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01" sheetId="1" r:id="rId5"/>
    <sheet state="visible" name="402" sheetId="2" r:id="rId6"/>
    <sheet state="visible" name="402 L" sheetId="3" r:id="rId7"/>
    <sheet state="visible" name="403" sheetId="4" r:id="rId8"/>
    <sheet state="visible" name="403 L" sheetId="5" r:id="rId9"/>
    <sheet state="visible" name="404" sheetId="6" r:id="rId10"/>
    <sheet state="visible" name="404 L" sheetId="7" r:id="rId11"/>
    <sheet state="visible" name="405" sheetId="8" r:id="rId12"/>
    <sheet state="visible" name="405 L" sheetId="9" r:id="rId13"/>
    <sheet state="visible" name="406 L" sheetId="10" r:id="rId14"/>
    <sheet state="visible" name="Summary" sheetId="11" r:id="rId15"/>
    <sheet state="visible" name="summary copy" sheetId="12" r:id="rId16"/>
    <sheet state="visible" name="Sheet2" sheetId="13" r:id="rId17"/>
  </sheets>
  <definedNames>
    <definedName hidden="1" localSheetId="10" name="_xlnm._FilterDatabase">Summary!$U$1:$U$972</definedName>
  </definedNames>
  <calcPr/>
</workbook>
</file>

<file path=xl/sharedStrings.xml><?xml version="1.0" encoding="utf-8"?>
<sst xmlns="http://schemas.openxmlformats.org/spreadsheetml/2006/main" count="2501" uniqueCount="261">
  <si>
    <t>BT401</t>
  </si>
  <si>
    <t>CSIT-402</t>
  </si>
  <si>
    <t>CSIT-402 L</t>
  </si>
  <si>
    <t xml:space="preserve"> </t>
  </si>
  <si>
    <t xml:space="preserve">    </t>
  </si>
  <si>
    <t xml:space="preserve">Faculty Name: </t>
  </si>
  <si>
    <t>Dr. Asmita Rajawat</t>
  </si>
  <si>
    <t>Prof. Neetu Verma</t>
  </si>
  <si>
    <t>Prof. Chanchal Bansal</t>
  </si>
  <si>
    <t xml:space="preserve">Subject Name : </t>
  </si>
  <si>
    <t>Analog and Digital  Communication</t>
  </si>
  <si>
    <t>M-III</t>
  </si>
  <si>
    <t xml:space="preserve">Subject Code : </t>
  </si>
  <si>
    <t>Analysis and Design of Algorithm</t>
  </si>
  <si>
    <t>Start Date</t>
  </si>
  <si>
    <t>End Date</t>
  </si>
  <si>
    <t>CSIT-403</t>
  </si>
  <si>
    <t xml:space="preserve">Total  Class   </t>
  </si>
  <si>
    <t>OverAll Att.         %</t>
  </si>
  <si>
    <t>Att. 50%</t>
  </si>
  <si>
    <t>Att. 30%</t>
  </si>
  <si>
    <t>MARCH    CLASS</t>
  </si>
  <si>
    <t>MAR %</t>
  </si>
  <si>
    <t>APRIL   CLASS</t>
  </si>
  <si>
    <t>APRIL  %</t>
  </si>
  <si>
    <t>MAY CLASS</t>
  </si>
  <si>
    <t>MAY %</t>
  </si>
  <si>
    <t>JUNE CLASS</t>
  </si>
  <si>
    <t>JUNE   %</t>
  </si>
  <si>
    <t>MAR  CLASS</t>
  </si>
  <si>
    <t>MARCH %</t>
  </si>
  <si>
    <t>DEC  CLASS</t>
  </si>
  <si>
    <t>DEC   %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</si>
  <si>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</si>
  <si>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APRIL  CLASS</t>
  </si>
  <si>
    <t>APRIL %</t>
  </si>
  <si>
    <t>MAY  CLASS</t>
  </si>
  <si>
    <t>MAY%</t>
  </si>
  <si>
    <t>PS</t>
  </si>
  <si>
    <t>JUNE  CLASS</t>
  </si>
  <si>
    <t>Enrollment No.</t>
  </si>
  <si>
    <t>JUNE %</t>
  </si>
  <si>
    <t>Student Name</t>
  </si>
  <si>
    <t>JULY  CLASS</t>
  </si>
  <si>
    <t>JULY%</t>
  </si>
  <si>
    <t>AUG CLASS</t>
  </si>
  <si>
    <t>AUG%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</si>
  <si>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</si>
  <si>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Enrollment NO.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</si>
  <si>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</si>
  <si>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</si>
  <si>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0827CI231006</t>
  </si>
  <si>
    <t>ABHINAV KOURAV</t>
  </si>
  <si>
    <t>0827CI241001</t>
  </si>
  <si>
    <t>AANCHAL GUPTA</t>
  </si>
  <si>
    <t>0827CI241002</t>
  </si>
  <si>
    <t>AARDRA TRIVEDI</t>
  </si>
  <si>
    <t>0827CI241003</t>
  </si>
  <si>
    <t>AARNA DUBEY</t>
  </si>
  <si>
    <t>0827CI241004</t>
  </si>
  <si>
    <t>AASHI BINDAL</t>
  </si>
  <si>
    <t>AANCHAL GUTA</t>
  </si>
  <si>
    <t>0827CI241005</t>
  </si>
  <si>
    <t>AASHI SAJJAN</t>
  </si>
  <si>
    <t>0827CI241006</t>
  </si>
  <si>
    <t>AAYUSH DHAKAD</t>
  </si>
  <si>
    <t>0827CI241007</t>
  </si>
  <si>
    <t>ADARSH PATHADE</t>
  </si>
  <si>
    <t>0827CI241008</t>
  </si>
  <si>
    <t>ADITI MISHRA</t>
  </si>
  <si>
    <t>0827CI241009</t>
  </si>
  <si>
    <t>ADITYA TRIPATHI</t>
  </si>
  <si>
    <t>0827CI241010</t>
  </si>
  <si>
    <t>ADWITIYA VERMA</t>
  </si>
  <si>
    <t>0827CI241011</t>
  </si>
  <si>
    <t>AKSHADA ANDHALE</t>
  </si>
  <si>
    <t>0827CI241012</t>
  </si>
  <si>
    <t>AKSHARA MANDLIYA</t>
  </si>
  <si>
    <t>0827CI241013</t>
  </si>
  <si>
    <t>ALOK KUMAWAT</t>
  </si>
  <si>
    <t>0827CI241014</t>
  </si>
  <si>
    <t>ANANYA AGRAWAL</t>
  </si>
  <si>
    <t>0827CI241015</t>
  </si>
  <si>
    <t>ANANYA YADAV</t>
  </si>
  <si>
    <t>0827CI241016</t>
  </si>
  <si>
    <t>ANJALI KHANDELWAL</t>
  </si>
  <si>
    <t>0827CI241017</t>
  </si>
  <si>
    <t>ANMOL MANDLAWADIA</t>
  </si>
  <si>
    <t>0827CI241018</t>
  </si>
  <si>
    <t>ANMOL SINGH BASSAN</t>
  </si>
  <si>
    <t>0827CI241019</t>
  </si>
  <si>
    <t>ANSHIKA KHARE</t>
  </si>
  <si>
    <t>0827CI241020</t>
  </si>
  <si>
    <t>ANSHIKA SHRIVASTAV</t>
  </si>
  <si>
    <t>0827CI241021</t>
  </si>
  <si>
    <t>ANUJ MALVIYA</t>
  </si>
  <si>
    <t>0827CI241022</t>
  </si>
  <si>
    <t>ANURAG CHOUDHARY</t>
  </si>
  <si>
    <t>0827CI241023</t>
  </si>
  <si>
    <t>ANUSHKA SISODIYA</t>
  </si>
  <si>
    <t>0827CI241024</t>
  </si>
  <si>
    <t>ARNAV TIWARI</t>
  </si>
  <si>
    <t>0827CI241025</t>
  </si>
  <si>
    <t>ARVIND RUHELA</t>
  </si>
  <si>
    <t>0827CI241026</t>
  </si>
  <si>
    <t>ASHU GARG</t>
  </si>
  <si>
    <t>0827CI241027</t>
  </si>
  <si>
    <t>ASHWIN PATEL</t>
  </si>
  <si>
    <t>0827CI241028</t>
  </si>
  <si>
    <t>AYUSH CHOUHAN</t>
  </si>
  <si>
    <t>0827CI241029</t>
  </si>
  <si>
    <t>AYUSHI DOSHI</t>
  </si>
  <si>
    <t>0827CI241030</t>
  </si>
  <si>
    <t>BHAGYESH JAIN</t>
  </si>
  <si>
    <t>0827CI241031</t>
  </si>
  <si>
    <t>CHAVAN SHAIFALI KARTIK</t>
  </si>
  <si>
    <t>0827CI241032</t>
  </si>
  <si>
    <t>DAKSH OJHA</t>
  </si>
  <si>
    <t>0827CI241033</t>
  </si>
  <si>
    <t>DEVKRISHNA PUROHIT</t>
  </si>
  <si>
    <t>0827CI241034</t>
  </si>
  <si>
    <t>DEWANSHI GAIKWAD</t>
  </si>
  <si>
    <t>0827CI241035</t>
  </si>
  <si>
    <t>DHRUV KUSHWAH</t>
  </si>
  <si>
    <t>0827CI241036</t>
  </si>
  <si>
    <t>DISHA BHAWSAR</t>
  </si>
  <si>
    <t>0827CI241037</t>
  </si>
  <si>
    <t>DIVY SHAH</t>
  </si>
  <si>
    <t>0827CI241038</t>
  </si>
  <si>
    <t>FARHIN KHAN</t>
  </si>
  <si>
    <t>0827CI241039</t>
  </si>
  <si>
    <t>GANESH KUSHWAH</t>
  </si>
  <si>
    <t>0827CI241040</t>
  </si>
  <si>
    <t>GARVIT KALA</t>
  </si>
  <si>
    <t>0827CI241041</t>
  </si>
  <si>
    <t>GOURANSH UJJAINIYA</t>
  </si>
  <si>
    <t>BATCH 2</t>
  </si>
  <si>
    <t>0827CI241042</t>
  </si>
  <si>
    <t>GOURAV PARMAR</t>
  </si>
  <si>
    <t>0827CI241043</t>
  </si>
  <si>
    <t>GUNJAN KOSE</t>
  </si>
  <si>
    <t>0827CI241044</t>
  </si>
  <si>
    <t>HARIPRIYA GUPTA</t>
  </si>
  <si>
    <t>0827CI241045</t>
  </si>
  <si>
    <t>HARSH VARDHAN SINGH</t>
  </si>
  <si>
    <t>0827CI241046</t>
  </si>
  <si>
    <t>HARSHIT SINGHI</t>
  </si>
  <si>
    <t>0827CI241047</t>
  </si>
  <si>
    <t>JAGRATI RAJPOOT</t>
  </si>
  <si>
    <t>0827CI241048</t>
  </si>
  <si>
    <t>JANHVI VYAS</t>
  </si>
  <si>
    <t>0827CI241049</t>
  </si>
  <si>
    <t>JAYANT SENGAR</t>
  </si>
  <si>
    <t>0827CI241050</t>
  </si>
  <si>
    <t>JAYESH SAGAR</t>
  </si>
  <si>
    <t>0827CI241051</t>
  </si>
  <si>
    <t>JIYA PAGARE</t>
  </si>
  <si>
    <t>0827CI241052</t>
  </si>
  <si>
    <t>KANAK GOYAL</t>
  </si>
  <si>
    <t>0827CI241053</t>
  </si>
  <si>
    <t>KARAN SINGH BHADORIYA</t>
  </si>
  <si>
    <t>0827CI241054</t>
  </si>
  <si>
    <t>KHUSHAL MISHRA</t>
  </si>
  <si>
    <t>0827CI241055</t>
  </si>
  <si>
    <t>KHUSHI</t>
  </si>
  <si>
    <t>0827CI241056</t>
  </si>
  <si>
    <t>KHUSHI HEDAU</t>
  </si>
  <si>
    <t>0827CI241057</t>
  </si>
  <si>
    <t>KHUSHI MITTAL</t>
  </si>
  <si>
    <t>0827CI241058</t>
  </si>
  <si>
    <t>KRATIKA DUGAYA</t>
  </si>
  <si>
    <t>0827CI241059</t>
  </si>
  <si>
    <t>KRISH PRAJAPAT</t>
  </si>
  <si>
    <t>0827CI241060</t>
  </si>
  <si>
    <t>KRISHNA HOLKAR</t>
  </si>
  <si>
    <t>0827CI241061</t>
  </si>
  <si>
    <t>KRISHNA NANDGAONKAR</t>
  </si>
  <si>
    <t>0827CI241062</t>
  </si>
  <si>
    <t>KRISHNA PRAJAPATI</t>
  </si>
  <si>
    <t>0827CI241063</t>
  </si>
  <si>
    <t>KUSHAGRA SINGH TOMAR</t>
  </si>
  <si>
    <t>0827CI241064</t>
  </si>
  <si>
    <t>KUSHAL MEHTA</t>
  </si>
  <si>
    <t>0827CI241065</t>
  </si>
  <si>
    <t>LAKSHYA VERMA</t>
  </si>
  <si>
    <t>0827CI241066</t>
  </si>
  <si>
    <t>MANAN GUPTA</t>
  </si>
  <si>
    <t>0827CI241067</t>
  </si>
  <si>
    <t>MAYUR YADAV</t>
  </si>
  <si>
    <t>0827CI241068</t>
  </si>
  <si>
    <t>MEHUL VIJAYVARGIYA</t>
  </si>
  <si>
    <t>0827CI241069</t>
  </si>
  <si>
    <t>MIHIKA TIWARI</t>
  </si>
  <si>
    <t>0827CI241070</t>
  </si>
  <si>
    <t>MITALI RAJPUT</t>
  </si>
  <si>
    <t>0827CI241071</t>
  </si>
  <si>
    <t>MITUSHI TAWAR</t>
  </si>
  <si>
    <t>0827CI241072</t>
  </si>
  <si>
    <t>MOHAMMED ZEESHAN KHAN</t>
  </si>
  <si>
    <t>0827CI241073</t>
  </si>
  <si>
    <t>MOHINI YADAV</t>
  </si>
  <si>
    <t>0827CI241074</t>
  </si>
  <si>
    <t>MOHIT PRAJAPAT</t>
  </si>
  <si>
    <t>0827CI241075</t>
  </si>
  <si>
    <t>MOIZ UDDIN</t>
  </si>
  <si>
    <t>0827CI241076</t>
  </si>
  <si>
    <t>MOKSHA JAIN</t>
  </si>
  <si>
    <t>0827CI241077</t>
  </si>
  <si>
    <t>MRIGISHA VERMA</t>
  </si>
  <si>
    <t>0827CI241078</t>
  </si>
  <si>
    <t>MUKUL VYAS</t>
  </si>
  <si>
    <t>0827CI241079</t>
  </si>
  <si>
    <t>NAINSI PATIDAR</t>
  </si>
  <si>
    <t>0827CI241080</t>
  </si>
  <si>
    <t>NIHARIKA SOLANKI</t>
  </si>
  <si>
    <t>0827CI241081</t>
  </si>
  <si>
    <t>NIHARIKA TIWARI</t>
  </si>
  <si>
    <t>0827CI241082</t>
  </si>
  <si>
    <t>NITIN RATHORE</t>
  </si>
  <si>
    <t>CSIT-403 L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</si>
  <si>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</si>
  <si>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CSIT-404</t>
  </si>
  <si>
    <t>Prof. Poornima Shrivastava</t>
  </si>
  <si>
    <t>Computer Organization &amp; Architecture</t>
  </si>
  <si>
    <t>CSIT-404 L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</si>
  <si>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</si>
  <si>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</si>
  <si>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CSIT-405</t>
  </si>
  <si>
    <t>Prof. Ashwinee Gadwal</t>
  </si>
  <si>
    <t>Data Base Management System</t>
  </si>
  <si>
    <t>2 Lec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</si>
  <si>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</si>
  <si>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CSIT-405 L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</si>
  <si>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</si>
  <si>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CSIT-406</t>
  </si>
  <si>
    <t>Prof. Amrita Jain</t>
  </si>
  <si>
    <t>Dot Net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</si>
  <si>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</si>
  <si>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Class Name</t>
  </si>
  <si>
    <t>III Sem</t>
  </si>
  <si>
    <t>Session</t>
  </si>
  <si>
    <t>July Dec 2025</t>
  </si>
  <si>
    <t>Start Att Date</t>
  </si>
  <si>
    <t>End Att Date</t>
  </si>
  <si>
    <t>Extra Attendance</t>
  </si>
  <si>
    <t>Additional</t>
  </si>
  <si>
    <t>Remark</t>
  </si>
  <si>
    <t>CDC</t>
  </si>
  <si>
    <t>402 L</t>
  </si>
  <si>
    <t>403 L</t>
  </si>
  <si>
    <t>404 L</t>
  </si>
  <si>
    <t>405 L</t>
  </si>
  <si>
    <t>406 L</t>
  </si>
  <si>
    <t>Total (Lecture)</t>
  </si>
  <si>
    <t>Total(Lab)</t>
  </si>
  <si>
    <t>Total(Lecture+Lab+Training+Exttra Att.)</t>
  </si>
  <si>
    <t>Final</t>
  </si>
  <si>
    <r>
      <rPr>
        <rFont val="Calibri"/>
        <b/>
        <color theme="1"/>
        <sz val="11.0"/>
      </rPr>
      <t>S.No</t>
    </r>
    <r>
      <rPr>
        <rFont val="Calibri"/>
        <b/>
        <color theme="1"/>
        <sz val="11.0"/>
      </rPr>
      <t>.</t>
    </r>
  </si>
  <si>
    <t>Atten %</t>
  </si>
  <si>
    <r>
      <rPr>
        <rFont val="Calibri"/>
        <b/>
        <color theme="1"/>
        <sz val="11.0"/>
      </rPr>
      <t>S.No</t>
    </r>
    <r>
      <rPr>
        <rFont val="Calibri"/>
        <b/>
        <color theme="1"/>
        <sz val="11.0"/>
      </rPr>
      <t>.</t>
    </r>
  </si>
  <si>
    <t>56 FS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</si>
</sst>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"/>
    <numFmt numFmtId="165" formatCode="0.000"/>
    <numFmt numFmtId="166" formatCode="d-mmm-yy"/>
    <numFmt numFmtId="167" formatCode="d mmm yyyy"/>
    <numFmt numFmtId="168" formatCode="0.00;[Red]0.00"/>
  </numFmts>
  <fonts count="26">
    <font>
      <sz val="11.0"/>
      <color theme="1"/>
      <name val="Calibri"/>
      <scheme val="minor"/>
    </font>
    <font>
      <b/>
      <sz val="11.0"/>
      <color rgb="FF000000"/>
      <name val="Calibri"/>
    </font>
    <font/>
    <font>
      <sz val="11.0"/>
      <color rgb="FF000000"/>
      <name val="Calibri"/>
    </font>
    <font>
      <sz val="11.0"/>
      <color theme="1"/>
      <name val="Calibri"/>
    </font>
    <font>
      <sz val="11.0"/>
      <color theme="1"/>
      <name val="Arial"/>
    </font>
    <font>
      <b/>
      <sz val="8.0"/>
      <color rgb="FF000000"/>
      <name val="Arial"/>
    </font>
    <font>
      <b/>
      <sz val="9.0"/>
      <color rgb="FF000000"/>
      <name val="Arial"/>
    </font>
    <font>
      <b/>
      <sz val="10.0"/>
      <color rgb="FF000000"/>
      <name val="Arial"/>
    </font>
    <font>
      <b/>
      <sz val="12.0"/>
      <color rgb="FF000000"/>
      <name val="Calibri"/>
    </font>
    <font>
      <sz val="9.0"/>
      <color rgb="FF000000"/>
      <name val="Arial"/>
    </font>
    <font>
      <b/>
      <u/>
      <sz val="11.0"/>
      <color rgb="FF000000"/>
      <name val="Calibri"/>
    </font>
    <font>
      <b/>
      <sz val="11.0"/>
      <color theme="1"/>
      <name val="Calibri"/>
    </font>
    <font>
      <sz val="12.0"/>
      <color rgb="FF000000"/>
      <name val="Calibri"/>
    </font>
    <font>
      <sz val="12.0"/>
      <color rgb="FF000000"/>
      <name val="Times New Roman"/>
    </font>
    <font>
      <sz val="9.0"/>
      <color rgb="FF000000"/>
      <name val="Roboto"/>
    </font>
    <font>
      <color theme="1"/>
      <name val="Calibri"/>
    </font>
    <font>
      <sz val="11.0"/>
      <color rgb="FF000000"/>
      <name val="Arial"/>
    </font>
    <font>
      <color theme="1"/>
      <name val="Calibri"/>
      <scheme val="minor"/>
    </font>
    <font>
      <b/>
      <sz val="13.0"/>
      <color rgb="FF000000"/>
      <name val="Calibri"/>
    </font>
    <font>
      <sz val="8.0"/>
      <color rgb="FF000000"/>
      <name val="Verdana"/>
    </font>
    <font>
      <sz val="9.0"/>
      <color theme="1"/>
      <name val="Roboto"/>
    </font>
    <font>
      <sz val="9.0"/>
      <color theme="1"/>
      <name val="Arial"/>
    </font>
    <font>
      <sz val="8.0"/>
      <color theme="1"/>
      <name val="Verdana"/>
    </font>
    <font>
      <b/>
      <sz val="11.0"/>
      <color theme="1"/>
      <name val="Verdana"/>
    </font>
    <font>
      <b/>
      <sz val="8.0"/>
      <color theme="1"/>
      <name val="Verdana"/>
    </font>
  </fonts>
  <fills count="19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BDD6EE"/>
        <bgColor rgb="FFBDD6EE"/>
      </patternFill>
    </fill>
    <fill>
      <patternFill patternType="solid">
        <fgColor rgb="FFFFE598"/>
        <bgColor rgb="FFFFE598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D6DCE4"/>
        <bgColor rgb="FFD6DCE4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D0E0E3"/>
        <bgColor rgb="FFD0E0E3"/>
      </patternFill>
    </fill>
    <fill>
      <patternFill patternType="solid">
        <fgColor rgb="FFD9D9D9"/>
        <bgColor rgb="FFD9D9D9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</fills>
  <borders count="59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/>
    </xf>
    <xf borderId="2" fillId="0" fontId="2" numFmtId="0" xfId="0" applyBorder="1" applyFont="1"/>
    <xf borderId="3" fillId="2" fontId="3" numFmtId="0" xfId="0" applyAlignment="1" applyBorder="1" applyFill="1" applyFont="1">
      <alignment horizontal="right" readingOrder="0"/>
    </xf>
    <xf borderId="4" fillId="2" fontId="3" numFmtId="0" xfId="0" applyAlignment="1" applyBorder="1" applyFill="1" applyFont="1">
      <alignment horizontal="left"/>
    </xf>
    <xf borderId="5" fillId="0" fontId="2" numFmtId="0" xfId="0" applyBorder="1" applyFont="1"/>
    <xf borderId="6" fillId="0" fontId="2" numFmtId="0" xfId="0" applyBorder="1" applyFont="1"/>
    <xf borderId="6" fillId="2" fontId="3" numFmtId="0" xfId="0" applyAlignment="1" applyBorder="1" applyFill="1" applyFont="1">
      <alignment horizontal="left"/>
    </xf>
    <xf borderId="7" fillId="0" fontId="2" numFmtId="0" xfId="0" applyBorder="1" applyFont="1"/>
    <xf borderId="0" fillId="0" fontId="4" numFmtId="0" xfId="0" applyAlignment="1" applyFont="1">
      <alignment horizontal="center"/>
    </xf>
    <xf borderId="7" fillId="2" fontId="3" numFmtId="0" xfId="0" applyAlignment="1" applyBorder="1" applyFill="1" applyFont="1">
      <alignment horizontal="left"/>
    </xf>
    <xf borderId="0" fillId="0" fontId="4" numFmtId="0" xfId="0" applyFont="1"/>
    <xf borderId="0" fillId="0" fontId="4" numFmtId="2" xfId="0" applyAlignment="1" applyFont="1" applyNumberFormat="1">
      <alignment horizontal="center"/>
    </xf>
    <xf borderId="0" fillId="0" fontId="4" numFmtId="1" xfId="0" applyAlignment="1" applyFont="1" applyNumberFormat="1">
      <alignment horizontal="center"/>
    </xf>
    <xf borderId="0" fillId="0" fontId="4" numFmtId="164" xfId="0" applyAlignment="1" applyFont="1" applyNumberFormat="1">
      <alignment horizontal="center"/>
    </xf>
    <xf borderId="0" fillId="0" fontId="4" numFmtId="165" xfId="0" applyAlignment="1" applyFont="1" applyNumberFormat="1">
      <alignment horizontal="center"/>
    </xf>
    <xf borderId="0" fillId="3" fontId="4" numFmtId="0" xfId="0" applyFill="1" applyFont="1"/>
    <xf borderId="8" fillId="2" fontId="1" numFmtId="0" xfId="0" applyAlignment="1" applyBorder="1" applyFill="1" applyFont="1">
      <alignment horizontal="right"/>
    </xf>
    <xf borderId="9" fillId="0" fontId="2" numFmtId="0" xfId="0" applyBorder="1" applyFont="1"/>
    <xf borderId="3" fillId="2" fontId="3" numFmtId="0" xfId="0" applyAlignment="1" applyBorder="1" applyFill="1" applyFont="1">
      <alignment horizontal="left" readingOrder="0"/>
    </xf>
    <xf borderId="10" fillId="2" fontId="3" numFmtId="0" xfId="0" applyAlignment="1" applyBorder="1" applyFill="1" applyFont="1">
      <alignment horizontal="left" readingOrder="0"/>
    </xf>
    <xf borderId="5" fillId="2" fontId="3" numFmtId="0" xfId="0" applyAlignment="1" applyBorder="1" applyFill="1" applyFont="1">
      <alignment horizontal="left" readingOrder="0"/>
    </xf>
    <xf borderId="10" fillId="0" fontId="2" numFmtId="0" xfId="0" applyBorder="1" applyFont="1"/>
    <xf borderId="0" fillId="3" fontId="4" numFmtId="0" xfId="0" applyAlignment="1" applyFill="1" applyFont="1">
      <alignment horizontal="center"/>
    </xf>
    <xf borderId="11" fillId="2" fontId="1" numFmtId="0" xfId="0" applyAlignment="1" applyBorder="1" applyFill="1" applyFont="1">
      <alignment horizontal="left" readingOrder="0"/>
    </xf>
    <xf borderId="12" fillId="2" fontId="1" numFmtId="0" xfId="0" applyAlignment="1" applyBorder="1" applyFill="1" applyFont="1">
      <alignment horizontal="left" readingOrder="0"/>
    </xf>
    <xf borderId="13" fillId="2" fontId="1" numFmtId="0" xfId="0" applyAlignment="1" applyBorder="1" applyFill="1" applyFont="1">
      <alignment horizontal="left" readingOrder="0"/>
    </xf>
    <xf borderId="1" fillId="2" fontId="1" numFmtId="0" xfId="0" applyAlignment="1" applyBorder="1" applyFill="1" applyFont="1">
      <alignment horizontal="left" readingOrder="0"/>
    </xf>
    <xf borderId="3" fillId="2" fontId="3" numFmtId="15" xfId="0" applyAlignment="1" applyBorder="1" applyFill="1" applyFont="1" applyNumberFormat="1">
      <alignment horizontal="left" readingOrder="0"/>
    </xf>
    <xf borderId="10" fillId="2" fontId="3" numFmtId="15" xfId="0" applyAlignment="1" applyBorder="1" applyFill="1" applyFont="1" applyNumberFormat="1">
      <alignment horizontal="left" readingOrder="0"/>
    </xf>
    <xf borderId="5" fillId="2" fontId="3" numFmtId="15" xfId="0" applyAlignment="1" applyBorder="1" applyFill="1" applyFont="1" applyNumberFormat="1">
      <alignment horizontal="left" readingOrder="0"/>
    </xf>
    <xf borderId="0" fillId="0" fontId="3" numFmtId="0" xfId="0" applyAlignment="1" applyFont="1">
      <alignment horizontal="center"/>
    </xf>
    <xf borderId="14" fillId="2" fontId="1" numFmtId="0" xfId="0" applyAlignment="1" applyBorder="1" applyFill="1" applyFont="1">
      <alignment horizontal="right"/>
    </xf>
    <xf borderId="15" fillId="0" fontId="2" numFmtId="0" xfId="0" applyBorder="1" applyFont="1"/>
    <xf borderId="16" fillId="2" fontId="3" numFmtId="15" xfId="0" applyAlignment="1" applyBorder="1" applyFill="1" applyFont="1" applyNumberFormat="1">
      <alignment horizontal="left"/>
    </xf>
    <xf borderId="17" fillId="2" fontId="3" numFmtId="15" xfId="0" applyAlignment="1" applyBorder="1" applyFill="1" applyFont="1" applyNumberFormat="1">
      <alignment horizontal="left"/>
    </xf>
    <xf borderId="18" fillId="2" fontId="3" numFmtId="15" xfId="0" applyAlignment="1" applyBorder="1" applyFill="1" applyFont="1" applyNumberFormat="1">
      <alignment horizontal="left"/>
    </xf>
    <xf borderId="0" fillId="0" fontId="1" numFmtId="0" xfId="0" applyAlignment="1" applyFont="1">
      <alignment horizontal="center" shrinkToFit="0" wrapText="1"/>
    </xf>
    <xf borderId="17" fillId="0" fontId="2" numFmtId="0" xfId="0" applyBorder="1" applyFont="1"/>
    <xf borderId="18" fillId="0" fontId="2" numFmtId="0" xfId="0" applyBorder="1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1" numFmtId="0" xfId="0" applyAlignment="1" applyFont="1">
      <alignment horizontal="center"/>
    </xf>
    <xf borderId="19" fillId="0" fontId="3" numFmtId="0" xfId="0" applyBorder="1" applyFont="1"/>
    <xf borderId="19" fillId="4" fontId="3" numFmtId="0" xfId="0" applyAlignment="1" applyBorder="1" applyFill="1" applyFont="1">
      <alignment horizontal="center"/>
    </xf>
    <xf borderId="20" fillId="0" fontId="3" numFmtId="0" xfId="0" applyBorder="1" applyFont="1"/>
    <xf borderId="21" fillId="0" fontId="3" numFmtId="0" xfId="0" applyBorder="1" applyFont="1"/>
    <xf borderId="22" fillId="4" fontId="3" numFmtId="0" xfId="0" applyAlignment="1" applyBorder="1" applyFill="1" applyFont="1">
      <alignment horizontal="center"/>
    </xf>
    <xf borderId="22" fillId="4" fontId="3" numFmtId="1" xfId="0" applyAlignment="1" applyBorder="1" applyFill="1" applyFont="1" applyNumberFormat="1">
      <alignment horizontal="center"/>
    </xf>
    <xf borderId="22" fillId="0" fontId="3" numFmtId="0" xfId="0" applyBorder="1" applyFont="1"/>
    <xf borderId="23" fillId="0" fontId="3" numFmtId="0" xfId="0" applyAlignment="1" applyBorder="1" applyFont="1">
      <alignment horizontal="center"/>
    </xf>
    <xf borderId="20" fillId="0" fontId="3" numFmtId="0" xfId="0" applyAlignment="1" applyBorder="1" applyFont="1">
      <alignment horizontal="center"/>
    </xf>
    <xf borderId="22" fillId="4" fontId="3" numFmtId="165" xfId="0" applyAlignment="1" applyBorder="1" applyFill="1" applyFont="1" applyNumberFormat="1">
      <alignment horizontal="center"/>
    </xf>
    <xf borderId="20" fillId="0" fontId="3" numFmtId="0" xfId="0" applyAlignment="1" applyBorder="1" applyFont="1">
      <alignment horizontal="center" readingOrder="0"/>
    </xf>
    <xf borderId="20" fillId="4" fontId="3" numFmtId="0" xfId="0" applyAlignment="1" applyBorder="1" applyFill="1" applyFont="1">
      <alignment horizontal="center"/>
    </xf>
    <xf borderId="22" fillId="4" fontId="3" numFmtId="0" xfId="0" applyBorder="1" applyFill="1" applyFont="1"/>
    <xf borderId="24" fillId="0" fontId="3" numFmtId="0" xfId="0" applyAlignment="1" applyBorder="1" applyFont="1">
      <alignment horizontal="center"/>
    </xf>
    <xf borderId="20" fillId="4" fontId="3" numFmtId="2" xfId="0" applyAlignment="1" applyBorder="1" applyFill="1" applyFont="1" applyNumberFormat="1">
      <alignment horizontal="center"/>
    </xf>
    <xf borderId="20" fillId="5" fontId="1" numFmtId="0" xfId="0" applyAlignment="1" applyBorder="1" applyFill="1" applyFont="1">
      <alignment horizontal="center" shrinkToFit="0" vertical="center" wrapText="1"/>
    </xf>
    <xf borderId="25" fillId="5" fontId="1" numFmtId="0" xfId="0" applyAlignment="1" applyBorder="1" applyFill="1" applyFont="1">
      <alignment horizontal="center" shrinkToFit="0" vertical="center" wrapText="1"/>
    </xf>
    <xf borderId="25" fillId="6" fontId="1" numFmtId="9" xfId="0" applyAlignment="1" applyBorder="1" applyFill="1" applyFont="1" applyNumberFormat="1">
      <alignment horizontal="center" shrinkToFit="0" vertical="center" wrapText="1"/>
    </xf>
    <xf borderId="19" fillId="6" fontId="1" numFmtId="9" xfId="0" applyAlignment="1" applyBorder="1" applyFill="1" applyFont="1" applyNumberFormat="1">
      <alignment horizontal="center" shrinkToFit="0" vertical="center" wrapText="1"/>
    </xf>
    <xf borderId="19" fillId="7" fontId="5" numFmtId="15" xfId="0" applyAlignment="1" applyBorder="1" applyFill="1" applyFont="1" applyNumberFormat="1">
      <alignment textRotation="90" vertical="bottom"/>
    </xf>
    <xf borderId="22" fillId="4" fontId="3" numFmtId="164" xfId="0" applyAlignment="1" applyBorder="1" applyFill="1" applyFont="1" applyNumberFormat="1">
      <alignment horizontal="center"/>
    </xf>
    <xf borderId="19" fillId="7" fontId="5" numFmtId="15" xfId="0" applyAlignment="1" applyBorder="1" applyFill="1" applyFont="1" applyNumberFormat="1">
      <alignment readingOrder="0" textRotation="90" vertical="bottom"/>
    </xf>
    <xf borderId="19" fillId="4" fontId="6" numFmtId="0" xfId="0" applyAlignment="1" applyBorder="1" applyFill="1" applyFont="1">
      <alignment readingOrder="0" textRotation="90"/>
    </xf>
    <xf borderId="19" fillId="4" fontId="7" numFmtId="0" xfId="0" applyAlignment="1" applyBorder="1" applyFill="1" applyFont="1">
      <alignment horizontal="center" readingOrder="0" textRotation="90" vertical="center"/>
    </xf>
    <xf borderId="20" fillId="4" fontId="8" numFmtId="0" xfId="0" applyAlignment="1" applyBorder="1" applyFill="1" applyFont="1">
      <alignment readingOrder="0" textRotation="90"/>
    </xf>
    <xf borderId="20" fillId="4" fontId="8" numFmtId="1" xfId="0" applyAlignment="1" applyBorder="1" applyFill="1" applyFont="1" applyNumberFormat="1">
      <alignment horizontal="center" readingOrder="0" textRotation="90" vertical="center"/>
    </xf>
    <xf borderId="22" fillId="3" fontId="3" numFmtId="0" xfId="0" applyBorder="1" applyFill="1" applyFont="1"/>
    <xf borderId="22" fillId="4" fontId="8" numFmtId="0" xfId="0" applyAlignment="1" applyBorder="1" applyFill="1" applyFont="1">
      <alignment readingOrder="0" textRotation="90"/>
    </xf>
    <xf borderId="22" fillId="4" fontId="8" numFmtId="165" xfId="0" applyAlignment="1" applyBorder="1" applyFill="1" applyFont="1" applyNumberFormat="1">
      <alignment horizontal="center" readingOrder="0" textRotation="90" vertical="center"/>
    </xf>
    <xf borderId="22" fillId="5" fontId="1" numFmtId="0" xfId="0" applyAlignment="1" applyBorder="1" applyFill="1" applyFont="1">
      <alignment horizontal="center" shrinkToFit="0" vertical="center" wrapText="1"/>
    </xf>
    <xf borderId="19" fillId="5" fontId="1" numFmtId="0" xfId="0" applyAlignment="1" applyBorder="1" applyFill="1" applyFont="1">
      <alignment horizontal="center" shrinkToFit="0" vertical="center" wrapText="1"/>
    </xf>
    <xf borderId="22" fillId="4" fontId="9" numFmtId="0" xfId="0" applyAlignment="1" applyBorder="1" applyFill="1" applyFont="1">
      <alignment horizontal="center" readingOrder="0" textRotation="90"/>
    </xf>
    <xf borderId="22" fillId="4" fontId="9" numFmtId="0" xfId="0" applyAlignment="1" applyBorder="1" applyFill="1" applyFont="1">
      <alignment horizontal="center" readingOrder="0" textRotation="90" vertical="center"/>
    </xf>
    <xf borderId="19" fillId="4" fontId="8" numFmtId="0" xfId="0" applyAlignment="1" applyBorder="1" applyFill="1" applyFont="1">
      <alignment readingOrder="0" textRotation="90"/>
    </xf>
    <xf borderId="22" fillId="7" fontId="10" numFmtId="166" xfId="0" applyAlignment="1" applyBorder="1" applyFill="1" applyFont="1" applyNumberFormat="1">
      <alignment readingOrder="0" textRotation="90" vertical="center"/>
    </xf>
    <xf borderId="19" fillId="4" fontId="8" numFmtId="0" xfId="0" applyAlignment="1" applyBorder="1" applyFill="1" applyFont="1">
      <alignment horizontal="center" readingOrder="0" textRotation="90" vertical="center"/>
    </xf>
    <xf borderId="22" fillId="7" fontId="10" numFmtId="15" xfId="0" applyAlignment="1" applyBorder="1" applyFill="1" applyFont="1" applyNumberFormat="1">
      <alignment textRotation="90" vertical="center"/>
    </xf>
    <xf borderId="26" fillId="4" fontId="1" numFmtId="0" xfId="0" applyAlignment="1" applyBorder="1" applyFill="1" applyFont="1">
      <alignment textRotation="90"/>
    </xf>
    <xf borderId="22" fillId="4" fontId="1" numFmtId="0" xfId="0" applyAlignment="1" applyBorder="1" applyFill="1" applyFont="1">
      <alignment textRotation="90" vertical="center"/>
    </xf>
    <xf borderId="22" fillId="4" fontId="8" numFmtId="164" xfId="0" applyAlignment="1" applyBorder="1" applyFill="1" applyFont="1" applyNumberFormat="1">
      <alignment horizontal="center" readingOrder="0" textRotation="90" vertical="center"/>
    </xf>
    <xf borderId="0" fillId="0" fontId="4" numFmtId="0" xfId="0" applyAlignment="1" applyFont="1">
      <alignment readingOrder="0"/>
    </xf>
    <xf borderId="24" fillId="0" fontId="11" numFmtId="0" xfId="0" applyAlignment="1" applyBorder="1" applyFont="1">
      <alignment horizontal="center"/>
    </xf>
    <xf borderId="19" fillId="0" fontId="1" numFmtId="0" xfId="0" applyBorder="1" applyFont="1"/>
    <xf borderId="22" fillId="4" fontId="8" numFmtId="0" xfId="0" applyAlignment="1" applyBorder="1" applyFill="1" applyFont="1">
      <alignment horizontal="center" readingOrder="0" textRotation="90" vertical="center"/>
    </xf>
    <xf borderId="22" fillId="7" fontId="10" numFmtId="15" xfId="0" applyAlignment="1" applyBorder="1" applyFill="1" applyFont="1" applyNumberFormat="1">
      <alignment readingOrder="0" textRotation="90" vertical="center"/>
    </xf>
    <xf borderId="20" fillId="7" fontId="10" numFmtId="15" xfId="0" applyAlignment="1" applyBorder="1" applyFill="1" applyFont="1" applyNumberFormat="1">
      <alignment textRotation="90" vertical="center"/>
    </xf>
    <xf borderId="20" fillId="7" fontId="10" numFmtId="167" xfId="0" applyAlignment="1" applyBorder="1" applyFill="1" applyFont="1" applyNumberFormat="1">
      <alignment textRotation="90" vertical="center"/>
    </xf>
    <xf borderId="20" fillId="3" fontId="12" numFmtId="0" xfId="0" applyAlignment="1" applyBorder="1" applyFill="1" applyFont="1">
      <alignment horizontal="center" shrinkToFit="0" textRotation="90" wrapText="1"/>
    </xf>
    <xf borderId="19" fillId="5" fontId="1" numFmtId="0" xfId="0" applyAlignment="1" applyBorder="1" applyFill="1" applyFont="1">
      <alignment horizontal="center"/>
    </xf>
    <xf borderId="19" fillId="6" fontId="3" numFmtId="0" xfId="0" applyAlignment="1" applyBorder="1" applyFill="1" applyFont="1">
      <alignment horizontal="center"/>
    </xf>
    <xf borderId="19" fillId="8" fontId="3" numFmtId="0" xfId="0" applyBorder="1" applyFill="1" applyFont="1"/>
    <xf borderId="27" fillId="4" fontId="3" numFmtId="0" xfId="0" applyAlignment="1" applyBorder="1" applyFill="1" applyFont="1">
      <alignment horizontal="center"/>
    </xf>
    <xf borderId="22" fillId="0" fontId="1" numFmtId="0" xfId="0" applyBorder="1" applyFont="1"/>
    <xf borderId="28" fillId="4" fontId="3" numFmtId="0" xfId="0" applyAlignment="1" applyBorder="1" applyFill="1" applyFont="1">
      <alignment horizontal="center"/>
    </xf>
    <xf borderId="20" fillId="0" fontId="1" numFmtId="0" xfId="0" applyBorder="1" applyFont="1"/>
    <xf borderId="22" fillId="5" fontId="1" numFmtId="0" xfId="0" applyAlignment="1" applyBorder="1" applyFill="1" applyFont="1">
      <alignment horizontal="center"/>
    </xf>
    <xf borderId="29" fillId="5" fontId="1" numFmtId="0" xfId="0" applyAlignment="1" applyBorder="1" applyFill="1" applyFont="1">
      <alignment horizontal="center"/>
    </xf>
    <xf borderId="29" fillId="6" fontId="3" numFmtId="0" xfId="0" applyAlignment="1" applyBorder="1" applyFill="1" applyFont="1">
      <alignment horizontal="center"/>
    </xf>
    <xf borderId="27" fillId="8" fontId="3" numFmtId="0" xfId="0" applyAlignment="1" applyBorder="1" applyFill="1" applyFont="1">
      <alignment horizontal="center"/>
    </xf>
    <xf borderId="19" fillId="4" fontId="3" numFmtId="1" xfId="0" applyAlignment="1" applyBorder="1" applyFill="1" applyFont="1" applyNumberFormat="1">
      <alignment horizontal="center"/>
    </xf>
    <xf borderId="21" fillId="8" fontId="3" numFmtId="0" xfId="0" applyBorder="1" applyFill="1" applyFont="1"/>
    <xf borderId="29" fillId="4" fontId="3" numFmtId="0" xfId="0" applyAlignment="1" applyBorder="1" applyFill="1" applyFont="1">
      <alignment horizontal="center"/>
    </xf>
    <xf borderId="27" fillId="8" fontId="3" numFmtId="0" xfId="0" applyBorder="1" applyFill="1" applyFont="1"/>
    <xf borderId="20" fillId="4" fontId="3" numFmtId="165" xfId="0" applyAlignment="1" applyBorder="1" applyFill="1" applyFont="1" applyNumberFormat="1">
      <alignment horizontal="center"/>
    </xf>
    <xf borderId="20" fillId="8" fontId="3" numFmtId="0" xfId="0" applyBorder="1" applyFill="1" applyFont="1"/>
    <xf borderId="29" fillId="4" fontId="3" numFmtId="2" xfId="0" applyAlignment="1" applyBorder="1" applyFill="1" applyFont="1" applyNumberFormat="1">
      <alignment horizontal="center"/>
    </xf>
    <xf borderId="22" fillId="4" fontId="4" numFmtId="0" xfId="0" applyBorder="1" applyFill="1" applyFont="1"/>
    <xf borderId="22" fillId="4" fontId="4" numFmtId="165" xfId="0" applyBorder="1" applyFill="1" applyFont="1" applyNumberFormat="1"/>
    <xf borderId="19" fillId="3" fontId="13" numFmtId="0" xfId="0" applyAlignment="1" applyBorder="1" applyFill="1" applyFont="1">
      <alignment horizontal="center"/>
    </xf>
    <xf borderId="19" fillId="3" fontId="14" numFmtId="0" xfId="0" applyAlignment="1" applyBorder="1" applyFill="1" applyFont="1">
      <alignment horizontal="left"/>
    </xf>
    <xf borderId="19" fillId="5" fontId="3" numFmtId="168" xfId="0" applyAlignment="1" applyBorder="1" applyFill="1" applyFont="1" applyNumberFormat="1">
      <alignment horizontal="center"/>
    </xf>
    <xf borderId="19" fillId="6" fontId="3" numFmtId="168" xfId="0" applyAlignment="1" applyBorder="1" applyFill="1" applyFont="1" applyNumberFormat="1">
      <alignment horizontal="center"/>
    </xf>
    <xf borderId="22" fillId="4" fontId="3" numFmtId="2" xfId="0" applyAlignment="1" applyBorder="1" applyFill="1" applyFont="1" applyNumberFormat="1">
      <alignment horizontal="center"/>
    </xf>
    <xf borderId="19" fillId="0" fontId="15" numFmtId="0" xfId="0" applyBorder="1" applyFont="1"/>
    <xf borderId="22" fillId="8" fontId="3" numFmtId="0" xfId="0" applyBorder="1" applyFill="1" applyFont="1"/>
    <xf borderId="19" fillId="4" fontId="15" numFmtId="0" xfId="0" applyAlignment="1" applyBorder="1" applyFill="1" applyFont="1">
      <alignment horizontal="center"/>
    </xf>
    <xf borderId="19" fillId="4" fontId="15" numFmtId="2" xfId="0" applyAlignment="1" applyBorder="1" applyFill="1" applyFont="1" applyNumberFormat="1">
      <alignment horizontal="center"/>
    </xf>
    <xf borderId="13" fillId="4" fontId="15" numFmtId="0" xfId="0" applyAlignment="1" applyBorder="1" applyFill="1" applyFont="1">
      <alignment horizontal="center"/>
    </xf>
    <xf borderId="30" fillId="4" fontId="15" numFmtId="1" xfId="0" applyAlignment="1" applyBorder="1" applyFill="1" applyFont="1" applyNumberFormat="1">
      <alignment horizontal="center"/>
    </xf>
    <xf borderId="19" fillId="4" fontId="15" numFmtId="165" xfId="0" applyAlignment="1" applyBorder="1" applyFill="1" applyFont="1" applyNumberFormat="1">
      <alignment horizontal="center"/>
    </xf>
    <xf borderId="22" fillId="4" fontId="4" numFmtId="2" xfId="0" applyBorder="1" applyFill="1" applyFont="1" applyNumberFormat="1"/>
    <xf borderId="2" fillId="4" fontId="3" numFmtId="0" xfId="0" applyAlignment="1" applyBorder="1" applyFill="1" applyFont="1">
      <alignment horizontal="center"/>
    </xf>
    <xf borderId="4" fillId="4" fontId="3" numFmtId="0" xfId="0" applyAlignment="1" applyBorder="1" applyFill="1" applyFont="1">
      <alignment horizontal="center"/>
    </xf>
    <xf borderId="27" fillId="3" fontId="13" numFmtId="0" xfId="0" applyAlignment="1" applyBorder="1" applyFill="1" applyFont="1">
      <alignment horizontal="center"/>
    </xf>
    <xf borderId="27" fillId="3" fontId="14" numFmtId="0" xfId="0" applyAlignment="1" applyBorder="1" applyFill="1" applyFont="1">
      <alignment horizontal="left"/>
    </xf>
    <xf borderId="2" fillId="4" fontId="4" numFmtId="0" xfId="0" applyBorder="1" applyFill="1" applyFont="1"/>
    <xf borderId="31" fillId="4" fontId="4" numFmtId="0" xfId="0" applyBorder="1" applyFill="1" applyFont="1"/>
    <xf borderId="32" fillId="5" fontId="3" numFmtId="168" xfId="0" applyAlignment="1" applyBorder="1" applyFill="1" applyFont="1" applyNumberFormat="1">
      <alignment horizontal="center"/>
    </xf>
    <xf borderId="33" fillId="0" fontId="3" numFmtId="0" xfId="0" applyAlignment="1" applyBorder="1" applyFont="1">
      <alignment horizontal="center"/>
    </xf>
    <xf borderId="32" fillId="6" fontId="3" numFmtId="168" xfId="0" applyAlignment="1" applyBorder="1" applyFill="1" applyFont="1" applyNumberFormat="1">
      <alignment horizontal="center"/>
    </xf>
    <xf borderId="34" fillId="6" fontId="3" numFmtId="168" xfId="0" applyAlignment="1" applyBorder="1" applyFill="1" applyFont="1" applyNumberFormat="1">
      <alignment horizontal="center"/>
    </xf>
    <xf borderId="4" fillId="6" fontId="3" numFmtId="168" xfId="0" applyAlignment="1" applyBorder="1" applyFill="1" applyFont="1" applyNumberFormat="1">
      <alignment horizontal="center"/>
    </xf>
    <xf borderId="30" fillId="6" fontId="3" numFmtId="0" xfId="0" applyAlignment="1" applyBorder="1" applyFill="1" applyFont="1">
      <alignment horizontal="center"/>
    </xf>
    <xf borderId="27" fillId="0" fontId="15" numFmtId="0" xfId="0" applyAlignment="1" applyBorder="1" applyFont="1">
      <alignment horizontal="center"/>
    </xf>
    <xf borderId="35" fillId="0" fontId="15" numFmtId="0" xfId="0" applyAlignment="1" applyBorder="1" applyFont="1">
      <alignment horizontal="center"/>
    </xf>
    <xf borderId="19" fillId="0" fontId="15" numFmtId="0" xfId="0" applyAlignment="1" applyBorder="1" applyFont="1">
      <alignment readingOrder="0"/>
    </xf>
    <xf borderId="2" fillId="4" fontId="15" numFmtId="0" xfId="0" applyAlignment="1" applyBorder="1" applyFill="1" applyFont="1">
      <alignment horizontal="center"/>
    </xf>
    <xf borderId="4" fillId="4" fontId="15" numFmtId="2" xfId="0" applyAlignment="1" applyBorder="1" applyFill="1" applyFont="1" applyNumberFormat="1">
      <alignment horizontal="center"/>
    </xf>
    <xf borderId="27" fillId="0" fontId="15" numFmtId="0" xfId="0" applyBorder="1" applyFont="1"/>
    <xf borderId="27" fillId="3" fontId="15" numFmtId="0" xfId="0" applyBorder="1" applyFill="1" applyFont="1"/>
    <xf borderId="27" fillId="3" fontId="15" numFmtId="0" xfId="0" applyAlignment="1" applyBorder="1" applyFill="1" applyFont="1">
      <alignment horizontal="center"/>
    </xf>
    <xf borderId="35" fillId="0" fontId="15" numFmtId="0" xfId="0" applyBorder="1" applyFont="1"/>
    <xf borderId="19" fillId="0" fontId="3" numFmtId="0" xfId="0" applyAlignment="1" applyBorder="1" applyFont="1">
      <alignment readingOrder="0"/>
    </xf>
    <xf borderId="36" fillId="0" fontId="3" numFmtId="0" xfId="0" applyAlignment="1" applyBorder="1" applyFont="1">
      <alignment horizontal="center"/>
    </xf>
    <xf borderId="28" fillId="0" fontId="15" numFmtId="0" xfId="0" applyBorder="1" applyFont="1"/>
    <xf borderId="27" fillId="0" fontId="16" numFmtId="0" xfId="0" applyBorder="1" applyFont="1"/>
    <xf borderId="3" fillId="6" fontId="3" numFmtId="0" xfId="0" applyAlignment="1" applyBorder="1" applyFill="1" applyFont="1">
      <alignment horizontal="center"/>
    </xf>
    <xf borderId="19" fillId="0" fontId="10" numFmtId="0" xfId="0" applyBorder="1" applyFont="1"/>
    <xf borderId="3" fillId="4" fontId="15" numFmtId="1" xfId="0" applyAlignment="1" applyBorder="1" applyFill="1" applyFont="1" applyNumberFormat="1">
      <alignment horizontal="center"/>
    </xf>
    <xf borderId="4" fillId="4" fontId="15" numFmtId="164" xfId="0" applyAlignment="1" applyBorder="1" applyFill="1" applyFont="1" applyNumberFormat="1">
      <alignment horizontal="center"/>
    </xf>
    <xf borderId="27" fillId="0" fontId="3" numFmtId="0" xfId="0" applyBorder="1" applyFont="1"/>
    <xf borderId="27" fillId="3" fontId="3" numFmtId="0" xfId="0" applyBorder="1" applyFill="1" applyFont="1"/>
    <xf borderId="9" fillId="4" fontId="3" numFmtId="0" xfId="0" applyAlignment="1" applyBorder="1" applyFill="1" applyFont="1">
      <alignment horizontal="center"/>
    </xf>
    <xf borderId="3" fillId="4" fontId="3" numFmtId="0" xfId="0" applyAlignment="1" applyBorder="1" applyFill="1" applyFont="1">
      <alignment horizontal="center"/>
    </xf>
    <xf borderId="9" fillId="4" fontId="4" numFmtId="0" xfId="0" applyBorder="1" applyFill="1" applyFont="1"/>
    <xf borderId="37" fillId="4" fontId="4" numFmtId="0" xfId="0" applyBorder="1" applyFill="1" applyFont="1"/>
    <xf borderId="31" fillId="4" fontId="3" numFmtId="0" xfId="0" applyAlignment="1" applyBorder="1" applyFill="1" applyFont="1">
      <alignment horizontal="center"/>
    </xf>
    <xf borderId="20" fillId="0" fontId="15" numFmtId="0" xfId="0" applyBorder="1" applyFont="1"/>
    <xf borderId="34" fillId="3" fontId="13" numFmtId="0" xfId="0" applyAlignment="1" applyBorder="1" applyFill="1" applyFont="1">
      <alignment horizontal="center"/>
    </xf>
    <xf borderId="13" fillId="3" fontId="14" numFmtId="0" xfId="0" applyAlignment="1" applyBorder="1" applyFill="1" applyFont="1">
      <alignment horizontal="left"/>
    </xf>
    <xf borderId="19" fillId="0" fontId="4" numFmtId="0" xfId="0" applyBorder="1" applyFont="1"/>
    <xf borderId="37" fillId="6" fontId="3" numFmtId="0" xfId="0" applyAlignment="1" applyBorder="1" applyFill="1" applyFont="1">
      <alignment horizontal="center"/>
    </xf>
    <xf borderId="9" fillId="0" fontId="15" numFmtId="0" xfId="0" applyBorder="1" applyFont="1"/>
    <xf borderId="19" fillId="0" fontId="16" numFmtId="0" xfId="0" applyBorder="1" applyFont="1"/>
    <xf borderId="0" fillId="0" fontId="16" numFmtId="0" xfId="0" applyFont="1"/>
    <xf borderId="38" fillId="4" fontId="15" numFmtId="0" xfId="0" applyAlignment="1" applyBorder="1" applyFill="1" applyFont="1">
      <alignment horizontal="center"/>
    </xf>
    <xf borderId="37" fillId="4" fontId="15" numFmtId="1" xfId="0" applyAlignment="1" applyBorder="1" applyFill="1" applyFont="1" applyNumberFormat="1">
      <alignment horizontal="center"/>
    </xf>
    <xf borderId="4" fillId="4" fontId="4" numFmtId="0" xfId="0" applyBorder="1" applyFill="1" applyFont="1"/>
    <xf borderId="19" fillId="3" fontId="4" numFmtId="0" xfId="0" applyBorder="1" applyFill="1" applyFont="1"/>
    <xf borderId="36" fillId="4" fontId="3" numFmtId="0" xfId="0" applyAlignment="1" applyBorder="1" applyFill="1" applyFont="1">
      <alignment horizontal="center"/>
    </xf>
    <xf borderId="37" fillId="4" fontId="3" numFmtId="0" xfId="0" applyAlignment="1" applyBorder="1" applyFill="1" applyFont="1">
      <alignment horizontal="center"/>
    </xf>
    <xf borderId="9" fillId="0" fontId="3" numFmtId="0" xfId="0" applyAlignment="1" applyBorder="1" applyFont="1">
      <alignment readingOrder="0"/>
    </xf>
    <xf borderId="36" fillId="4" fontId="4" numFmtId="0" xfId="0" applyBorder="1" applyFill="1" applyFont="1"/>
    <xf borderId="9" fillId="9" fontId="15" numFmtId="0" xfId="0" applyBorder="1" applyFill="1" applyFont="1"/>
    <xf borderId="27" fillId="0" fontId="15" numFmtId="0" xfId="0" applyAlignment="1" applyBorder="1" applyFont="1">
      <alignment readingOrder="0"/>
    </xf>
    <xf borderId="4" fillId="6" fontId="3" numFmtId="0" xfId="0" applyAlignment="1" applyBorder="1" applyFill="1" applyFont="1">
      <alignment horizontal="center"/>
    </xf>
    <xf borderId="19" fillId="9" fontId="15" numFmtId="0" xfId="0" applyBorder="1" applyFill="1" applyFont="1"/>
    <xf borderId="19" fillId="0" fontId="15" numFmtId="0" xfId="0" applyAlignment="1" applyBorder="1" applyFont="1">
      <alignment horizontal="center"/>
    </xf>
    <xf borderId="13" fillId="0" fontId="15" numFmtId="0" xfId="0" applyAlignment="1" applyBorder="1" applyFont="1">
      <alignment horizontal="center"/>
    </xf>
    <xf borderId="9" fillId="9" fontId="15" numFmtId="0" xfId="0" applyAlignment="1" applyBorder="1" applyFill="1" applyFont="1">
      <alignment readingOrder="0"/>
    </xf>
    <xf borderId="39" fillId="9" fontId="15" numFmtId="0" xfId="0" applyBorder="1" applyFill="1" applyFont="1"/>
    <xf borderId="19" fillId="9" fontId="15" numFmtId="0" xfId="0" applyAlignment="1" applyBorder="1" applyFill="1" applyFont="1">
      <alignment readingOrder="0"/>
    </xf>
    <xf borderId="19" fillId="3" fontId="15" numFmtId="0" xfId="0" applyBorder="1" applyFill="1" applyFont="1"/>
    <xf borderId="19" fillId="9" fontId="3" numFmtId="0" xfId="0" applyBorder="1" applyFill="1" applyFont="1"/>
    <xf borderId="19" fillId="3" fontId="15" numFmtId="0" xfId="0" applyAlignment="1" applyBorder="1" applyFill="1" applyFont="1">
      <alignment horizontal="center" readingOrder="0"/>
    </xf>
    <xf borderId="13" fillId="0" fontId="15" numFmtId="0" xfId="0" applyAlignment="1" applyBorder="1" applyFont="1">
      <alignment readingOrder="0"/>
    </xf>
    <xf borderId="39" fillId="9" fontId="3" numFmtId="0" xfId="0" applyAlignment="1" applyBorder="1" applyFill="1" applyFont="1">
      <alignment readingOrder="0"/>
    </xf>
    <xf borderId="30" fillId="0" fontId="15" numFmtId="0" xfId="0" applyBorder="1" applyFont="1"/>
    <xf borderId="19" fillId="0" fontId="16" numFmtId="0" xfId="0" applyAlignment="1" applyBorder="1" applyFont="1">
      <alignment readingOrder="0"/>
    </xf>
    <xf borderId="9" fillId="0" fontId="10" numFmtId="0" xfId="0" applyBorder="1" applyFont="1"/>
    <xf borderId="19" fillId="0" fontId="17" numFmtId="0" xfId="0" applyBorder="1" applyFont="1"/>
    <xf borderId="13" fillId="0" fontId="15" numFmtId="0" xfId="0" applyBorder="1" applyFont="1"/>
    <xf borderId="9" fillId="9" fontId="3" numFmtId="0" xfId="0" applyBorder="1" applyFill="1" applyFont="1"/>
    <xf borderId="9" fillId="0" fontId="15" numFmtId="0" xfId="0" applyAlignment="1" applyBorder="1" applyFont="1">
      <alignment readingOrder="0"/>
    </xf>
    <xf borderId="9" fillId="9" fontId="3" numFmtId="0" xfId="0" applyAlignment="1" applyBorder="1" applyFill="1" applyFont="1">
      <alignment readingOrder="0"/>
    </xf>
    <xf borderId="19" fillId="3" fontId="3" numFmtId="0" xfId="0" applyBorder="1" applyFill="1" applyFont="1"/>
    <xf borderId="39" fillId="9" fontId="3" numFmtId="0" xfId="0" applyBorder="1" applyFill="1" applyFont="1"/>
    <xf borderId="19" fillId="9" fontId="3" numFmtId="0" xfId="0" applyAlignment="1" applyBorder="1" applyFill="1" applyFont="1">
      <alignment readingOrder="0"/>
    </xf>
    <xf borderId="35" fillId="0" fontId="15" numFmtId="0" xfId="0" applyAlignment="1" applyBorder="1" applyFont="1">
      <alignment readingOrder="0"/>
    </xf>
    <xf borderId="37" fillId="6" fontId="3" numFmtId="168" xfId="0" applyAlignment="1" applyBorder="1" applyFill="1" applyFont="1" applyNumberFormat="1">
      <alignment horizontal="center"/>
    </xf>
    <xf borderId="19" fillId="0" fontId="10" numFmtId="0" xfId="0" applyAlignment="1" applyBorder="1" applyFont="1">
      <alignment horizontal="center"/>
    </xf>
    <xf borderId="9" fillId="0" fontId="15" numFmtId="0" xfId="0" applyAlignment="1" applyBorder="1" applyFont="1">
      <alignment horizontal="center"/>
    </xf>
    <xf borderId="3" fillId="4" fontId="15" numFmtId="2" xfId="0" applyAlignment="1" applyBorder="1" applyFill="1" applyFont="1" applyNumberFormat="1">
      <alignment horizontal="center"/>
    </xf>
    <xf borderId="9" fillId="9" fontId="10" numFmtId="0" xfId="0" applyBorder="1" applyFill="1" applyFont="1"/>
    <xf borderId="19" fillId="9" fontId="10" numFmtId="0" xfId="0" applyBorder="1" applyFill="1" applyFont="1"/>
    <xf borderId="3" fillId="4" fontId="15" numFmtId="164" xfId="0" applyAlignment="1" applyBorder="1" applyFill="1" applyFont="1" applyNumberFormat="1">
      <alignment horizontal="center"/>
    </xf>
    <xf borderId="9" fillId="9" fontId="10" numFmtId="0" xfId="0" applyAlignment="1" applyBorder="1" applyFill="1" applyFont="1">
      <alignment readingOrder="0"/>
    </xf>
    <xf borderId="19" fillId="3" fontId="15" numFmtId="0" xfId="0" applyAlignment="1" applyBorder="1" applyFill="1" applyFont="1">
      <alignment readingOrder="0"/>
    </xf>
    <xf borderId="3" fillId="0" fontId="15" numFmtId="0" xfId="0" applyBorder="1" applyFont="1"/>
    <xf borderId="39" fillId="9" fontId="10" numFmtId="0" xfId="0" applyBorder="1" applyFill="1" applyFont="1"/>
    <xf borderId="9" fillId="0" fontId="16" numFmtId="0" xfId="0" applyBorder="1" applyFont="1"/>
    <xf borderId="3" fillId="4" fontId="4" numFmtId="0" xfId="0" applyBorder="1" applyFill="1" applyFont="1"/>
    <xf borderId="19" fillId="0" fontId="15" numFmtId="0" xfId="0" applyAlignment="1" applyBorder="1" applyFont="1">
      <alignment horizontal="center" readingOrder="0"/>
    </xf>
    <xf borderId="19" fillId="3" fontId="3" numFmtId="0" xfId="0" applyAlignment="1" applyBorder="1" applyFill="1" applyFont="1">
      <alignment readingOrder="0"/>
    </xf>
    <xf borderId="19" fillId="3" fontId="15" numFmtId="0" xfId="0" applyAlignment="1" applyBorder="1" applyFill="1" applyFont="1">
      <alignment horizontal="center"/>
    </xf>
    <xf borderId="9" fillId="0" fontId="15" numFmtId="0" xfId="0" applyAlignment="1" applyBorder="1" applyFont="1">
      <alignment horizontal="center" readingOrder="0"/>
    </xf>
    <xf borderId="13" fillId="0" fontId="15" numFmtId="0" xfId="0" applyAlignment="1" applyBorder="1" applyFont="1">
      <alignment horizontal="center" readingOrder="0"/>
    </xf>
    <xf borderId="30" fillId="0" fontId="15" numFmtId="0" xfId="0" applyAlignment="1" applyBorder="1" applyFont="1">
      <alignment readingOrder="0"/>
    </xf>
    <xf borderId="19" fillId="0" fontId="3" numFmtId="0" xfId="0" applyAlignment="1" applyBorder="1" applyFont="1">
      <alignment horizontal="center"/>
    </xf>
    <xf borderId="3" fillId="9" fontId="15" numFmtId="0" xfId="0" applyBorder="1" applyFill="1" applyFont="1"/>
    <xf borderId="19" fillId="9" fontId="4" numFmtId="0" xfId="0" applyBorder="1" applyFill="1" applyFont="1"/>
    <xf borderId="19" fillId="0" fontId="17" numFmtId="0" xfId="0" applyAlignment="1" applyBorder="1" applyFont="1">
      <alignment horizontal="center"/>
    </xf>
    <xf borderId="3" fillId="9" fontId="3" numFmtId="0" xfId="0" applyBorder="1" applyFill="1" applyFont="1"/>
    <xf borderId="3" fillId="6" fontId="3" numFmtId="168" xfId="0" applyAlignment="1" applyBorder="1" applyFill="1" applyFont="1" applyNumberFormat="1">
      <alignment horizontal="center"/>
    </xf>
    <xf borderId="9" fillId="9" fontId="17" numFmtId="0" xfId="0" applyBorder="1" applyFill="1" applyFont="1"/>
    <xf borderId="19" fillId="9" fontId="17" numFmtId="0" xfId="0" applyBorder="1" applyFill="1" applyFont="1"/>
    <xf borderId="9" fillId="9" fontId="17" numFmtId="0" xfId="0" applyAlignment="1" applyBorder="1" applyFill="1" applyFont="1">
      <alignment readingOrder="0"/>
    </xf>
    <xf borderId="32" fillId="0" fontId="3" numFmtId="0" xfId="0" applyAlignment="1" applyBorder="1" applyFont="1">
      <alignment readingOrder="0"/>
    </xf>
    <xf borderId="40" fillId="9" fontId="3" numFmtId="0" xfId="0" applyBorder="1" applyFill="1" applyFont="1"/>
    <xf borderId="39" fillId="9" fontId="17" numFmtId="0" xfId="0" applyBorder="1" applyFill="1" applyFont="1"/>
    <xf borderId="19" fillId="9" fontId="17" numFmtId="0" xfId="0" applyAlignment="1" applyBorder="1" applyFill="1" applyFont="1">
      <alignment readingOrder="0"/>
    </xf>
    <xf borderId="19" fillId="9" fontId="10" numFmtId="0" xfId="0" applyAlignment="1" applyBorder="1" applyFill="1" applyFont="1">
      <alignment readingOrder="0"/>
    </xf>
    <xf borderId="3" fillId="9" fontId="15" numFmtId="0" xfId="0" applyAlignment="1" applyBorder="1" applyFill="1" applyFont="1">
      <alignment readingOrder="0"/>
    </xf>
    <xf borderId="3" fillId="9" fontId="10" numFmtId="0" xfId="0" applyBorder="1" applyFill="1" applyFont="1"/>
    <xf borderId="3" fillId="9" fontId="3" numFmtId="0" xfId="0" applyAlignment="1" applyBorder="1" applyFill="1" applyFont="1">
      <alignment readingOrder="0"/>
    </xf>
    <xf borderId="32" fillId="0" fontId="3" numFmtId="0" xfId="0" applyBorder="1" applyFont="1"/>
    <xf borderId="9" fillId="0" fontId="10" numFmtId="0" xfId="0" applyAlignment="1" applyBorder="1" applyFont="1">
      <alignment horizontal="center"/>
    </xf>
    <xf borderId="3" fillId="9" fontId="10" numFmtId="0" xfId="0" applyAlignment="1" applyBorder="1" applyFill="1" applyFont="1">
      <alignment readingOrder="0"/>
    </xf>
    <xf borderId="0" fillId="0" fontId="18" numFmtId="0" xfId="0" applyAlignment="1" applyFont="1">
      <alignment readingOrder="0"/>
    </xf>
    <xf borderId="11" fillId="4" fontId="19" numFmtId="0" xfId="0" applyAlignment="1" applyBorder="1" applyFill="1" applyFont="1">
      <alignment horizontal="center"/>
    </xf>
    <xf borderId="13" fillId="0" fontId="2" numFmtId="0" xfId="0" applyBorder="1" applyFont="1"/>
    <xf borderId="13" fillId="4" fontId="20" numFmtId="0" xfId="0" applyBorder="1" applyFill="1" applyFont="1"/>
    <xf borderId="27" fillId="4" fontId="1" numFmtId="0" xfId="0" applyAlignment="1" applyBorder="1" applyFill="1" applyFont="1">
      <alignment horizontal="center"/>
    </xf>
    <xf borderId="34" fillId="4" fontId="3" numFmtId="168" xfId="0" applyAlignment="1" applyBorder="1" applyFill="1" applyFont="1" applyNumberFormat="1">
      <alignment horizontal="center"/>
    </xf>
    <xf borderId="41" fillId="4" fontId="3" numFmtId="0" xfId="0" applyAlignment="1" applyBorder="1" applyFill="1" applyFont="1">
      <alignment horizontal="center"/>
    </xf>
    <xf borderId="42" fillId="4" fontId="3" numFmtId="1" xfId="0" applyAlignment="1" applyBorder="1" applyFill="1" applyFont="1" applyNumberFormat="1">
      <alignment horizontal="center"/>
    </xf>
    <xf borderId="19" fillId="4" fontId="3" numFmtId="165" xfId="0" applyAlignment="1" applyBorder="1" applyFill="1" applyFont="1" applyNumberFormat="1">
      <alignment horizontal="center"/>
    </xf>
    <xf borderId="19" fillId="10" fontId="1" numFmtId="0" xfId="0" applyAlignment="1" applyBorder="1" applyFill="1" applyFont="1">
      <alignment horizontal="center"/>
    </xf>
    <xf borderId="36" fillId="4" fontId="15" numFmtId="0" xfId="0" applyAlignment="1" applyBorder="1" applyFill="1" applyFont="1">
      <alignment horizontal="center"/>
    </xf>
    <xf borderId="19" fillId="3" fontId="10" numFmtId="0" xfId="0" applyBorder="1" applyFill="1" applyFont="1"/>
    <xf borderId="19" fillId="3" fontId="17" numFmtId="0" xfId="0" applyBorder="1" applyFill="1" applyFont="1"/>
    <xf borderId="19" fillId="9" fontId="15" numFmtId="0" xfId="0" applyAlignment="1" applyBorder="1" applyFill="1" applyFont="1">
      <alignment horizontal="center"/>
    </xf>
    <xf borderId="19" fillId="9" fontId="17" numFmtId="0" xfId="0" applyAlignment="1" applyBorder="1" applyFill="1" applyFont="1">
      <alignment horizontal="center"/>
    </xf>
    <xf borderId="19" fillId="9" fontId="10" numFmtId="0" xfId="0" applyAlignment="1" applyBorder="1" applyFill="1" applyFont="1">
      <alignment horizontal="center"/>
    </xf>
    <xf borderId="9" fillId="9" fontId="15" numFmtId="0" xfId="0" applyAlignment="1" applyBorder="1" applyFill="1" applyFont="1">
      <alignment horizontal="center"/>
    </xf>
    <xf borderId="19" fillId="9" fontId="3" numFmtId="0" xfId="0" applyAlignment="1" applyBorder="1" applyFill="1" applyFont="1">
      <alignment horizontal="center"/>
    </xf>
    <xf borderId="9" fillId="9" fontId="10" numFmtId="0" xfId="0" applyAlignment="1" applyBorder="1" applyFill="1" applyFont="1">
      <alignment horizontal="center"/>
    </xf>
    <xf borderId="35" fillId="3" fontId="14" numFmtId="0" xfId="0" applyAlignment="1" applyBorder="1" applyFill="1" applyFont="1">
      <alignment horizontal="left"/>
    </xf>
    <xf borderId="3" fillId="9" fontId="17" numFmtId="0" xfId="0" applyBorder="1" applyFill="1" applyFont="1"/>
    <xf borderId="19" fillId="0" fontId="4" numFmtId="0" xfId="0" applyAlignment="1" applyBorder="1" applyFont="1">
      <alignment readingOrder="0"/>
    </xf>
    <xf borderId="9" fillId="0" fontId="4" numFmtId="0" xfId="0" applyBorder="1" applyFont="1"/>
    <xf borderId="40" fillId="9" fontId="3" numFmtId="0" xfId="0" applyAlignment="1" applyBorder="1" applyFill="1" applyFont="1">
      <alignment readingOrder="0"/>
    </xf>
    <xf borderId="19" fillId="0" fontId="4" numFmtId="0" xfId="0" applyAlignment="1" applyBorder="1" applyFont="1">
      <alignment vertical="bottom"/>
    </xf>
    <xf borderId="9" fillId="0" fontId="4" numFmtId="0" xfId="0" applyAlignment="1" applyBorder="1" applyFont="1">
      <alignment vertical="bottom"/>
    </xf>
    <xf borderId="19" fillId="0" fontId="21" numFmtId="0" xfId="0" applyAlignment="1" applyBorder="1" applyFont="1">
      <alignment horizontal="right" vertical="bottom"/>
    </xf>
    <xf borderId="9" fillId="0" fontId="21" numFmtId="0" xfId="0" applyAlignment="1" applyBorder="1" applyFont="1">
      <alignment horizontal="right" vertical="bottom"/>
    </xf>
    <xf borderId="19" fillId="0" fontId="4" numFmtId="0" xfId="0" applyAlignment="1" applyBorder="1" applyFont="1">
      <alignment horizontal="right" vertical="bottom"/>
    </xf>
    <xf borderId="19" fillId="0" fontId="22" numFmtId="0" xfId="0" applyAlignment="1" applyBorder="1" applyFont="1">
      <alignment horizontal="right" vertical="bottom"/>
    </xf>
    <xf borderId="19" fillId="0" fontId="4" numFmtId="0" xfId="0" applyAlignment="1" applyBorder="1" applyFont="1">
      <alignment readingOrder="0" vertical="bottom"/>
    </xf>
    <xf borderId="19" fillId="4" fontId="15" numFmtId="164" xfId="0" applyAlignment="1" applyBorder="1" applyFill="1" applyFont="1" applyNumberFormat="1">
      <alignment horizontal="center"/>
    </xf>
    <xf borderId="19" fillId="3" fontId="4" numFmtId="0" xfId="0" applyAlignment="1" applyBorder="1" applyFill="1" applyFont="1">
      <alignment readingOrder="0"/>
    </xf>
    <xf borderId="19" fillId="0" fontId="4" numFmtId="0" xfId="0" applyAlignment="1" applyBorder="1" applyFont="1">
      <alignment horizontal="center"/>
    </xf>
    <xf borderId="9" fillId="0" fontId="4" numFmtId="0" xfId="0" applyAlignment="1" applyBorder="1" applyFont="1">
      <alignment horizontal="center"/>
    </xf>
    <xf borderId="19" fillId="0" fontId="4" numFmtId="0" xfId="0" applyAlignment="1" applyBorder="1" applyFont="1">
      <alignment horizontal="center" readingOrder="0"/>
    </xf>
    <xf borderId="27" fillId="0" fontId="3" numFmtId="0" xfId="0" applyAlignment="1" applyBorder="1" applyFont="1">
      <alignment readingOrder="0"/>
    </xf>
    <xf borderId="9" fillId="0" fontId="3" numFmtId="0" xfId="0" applyBorder="1" applyFont="1"/>
    <xf borderId="39" fillId="9" fontId="15" numFmtId="0" xfId="0" applyAlignment="1" applyBorder="1" applyFill="1" applyFont="1">
      <alignment readingOrder="0"/>
    </xf>
    <xf borderId="39" fillId="9" fontId="10" numFmtId="0" xfId="0" applyAlignment="1" applyBorder="1" applyFill="1" applyFont="1">
      <alignment readingOrder="0"/>
    </xf>
    <xf borderId="35" fillId="0" fontId="4" numFmtId="0" xfId="0" applyAlignment="1" applyBorder="1" applyFont="1">
      <alignment vertical="bottom"/>
    </xf>
    <xf borderId="13" fillId="0" fontId="21" numFmtId="0" xfId="0" applyAlignment="1" applyBorder="1" applyFont="1">
      <alignment horizontal="right" vertical="bottom"/>
    </xf>
    <xf borderId="19" fillId="3" fontId="10" numFmtId="0" xfId="0" applyAlignment="1" applyBorder="1" applyFill="1" applyFont="1">
      <alignment readingOrder="0"/>
    </xf>
    <xf borderId="39" fillId="9" fontId="17" numFmtId="0" xfId="0" applyAlignment="1" applyBorder="1" applyFill="1" applyFont="1">
      <alignment readingOrder="0"/>
    </xf>
    <xf borderId="22" fillId="7" fontId="10" numFmtId="166" xfId="0" applyAlignment="1" applyBorder="1" applyFill="1" applyFont="1" applyNumberFormat="1">
      <alignment textRotation="90" vertical="center"/>
    </xf>
    <xf borderId="19" fillId="8" fontId="3" numFmtId="0" xfId="0" applyAlignment="1" applyBorder="1" applyFill="1" applyFont="1">
      <alignment readingOrder="0"/>
    </xf>
    <xf borderId="22" fillId="8" fontId="3" numFmtId="0" xfId="0" applyAlignment="1" applyBorder="1" applyFill="1" applyFont="1">
      <alignment readingOrder="0"/>
    </xf>
    <xf borderId="9" fillId="0" fontId="10" numFmtId="0" xfId="0" applyAlignment="1" applyBorder="1" applyFont="1">
      <alignment readingOrder="0"/>
    </xf>
    <xf borderId="9" fillId="0" fontId="22" numFmtId="0" xfId="0" applyAlignment="1" applyBorder="1" applyFont="1">
      <alignment horizontal="right" vertical="bottom"/>
    </xf>
    <xf borderId="39" fillId="3" fontId="21" numFmtId="0" xfId="0" applyAlignment="1" applyBorder="1" applyFill="1" applyFont="1">
      <alignment horizontal="right" vertical="bottom"/>
    </xf>
    <xf borderId="39" fillId="3" fontId="4" numFmtId="0" xfId="0" applyAlignment="1" applyBorder="1" applyFill="1" applyFont="1">
      <alignment vertical="bottom"/>
    </xf>
    <xf borderId="39" fillId="3" fontId="22" numFmtId="0" xfId="0" applyAlignment="1" applyBorder="1" applyFill="1" applyFont="1">
      <alignment horizontal="right" vertical="bottom"/>
    </xf>
    <xf borderId="3" fillId="2" fontId="1" numFmtId="0" xfId="0" applyAlignment="1" applyBorder="1" applyFill="1" applyFont="1">
      <alignment horizontal="left" readingOrder="0"/>
    </xf>
    <xf borderId="43" fillId="2" fontId="1" numFmtId="0" xfId="0" applyAlignment="1" applyBorder="1" applyFill="1" applyFont="1">
      <alignment horizontal="left"/>
    </xf>
    <xf borderId="31" fillId="2" fontId="1" numFmtId="0" xfId="0" applyAlignment="1" applyBorder="1" applyFill="1" applyFont="1">
      <alignment horizontal="left"/>
    </xf>
    <xf borderId="0" fillId="0" fontId="3" numFmtId="0" xfId="0" applyAlignment="1" applyFont="1">
      <alignment horizontal="center" shrinkToFit="0" wrapText="1"/>
    </xf>
    <xf borderId="0" fillId="0" fontId="4" numFmtId="1" xfId="0" applyFont="1" applyNumberFormat="1"/>
    <xf borderId="44" fillId="2" fontId="1" numFmtId="0" xfId="0" applyAlignment="1" applyBorder="1" applyFill="1" applyFont="1">
      <alignment horizontal="left"/>
    </xf>
    <xf borderId="37" fillId="2" fontId="1" numFmtId="0" xfId="0" applyAlignment="1" applyBorder="1" applyFill="1" applyFont="1">
      <alignment horizontal="left"/>
    </xf>
    <xf borderId="37" fillId="2" fontId="1" numFmtId="15" xfId="0" applyAlignment="1" applyBorder="1" applyFill="1" applyFont="1" applyNumberFormat="1">
      <alignment horizontal="left"/>
    </xf>
    <xf borderId="0" fillId="0" fontId="4" numFmtId="0" xfId="0" applyAlignment="1" applyFont="1">
      <alignment shrinkToFit="0" wrapText="1"/>
    </xf>
    <xf borderId="45" fillId="2" fontId="1" numFmtId="0" xfId="0" applyAlignment="1" applyBorder="1" applyFill="1" applyFont="1">
      <alignment horizontal="left"/>
    </xf>
    <xf borderId="46" fillId="2" fontId="1" numFmtId="15" xfId="0" applyAlignment="1" applyBorder="1" applyFill="1" applyFont="1" applyNumberFormat="1">
      <alignment horizontal="left"/>
    </xf>
    <xf borderId="47" fillId="11" fontId="1" numFmtId="0" xfId="0" applyBorder="1" applyFill="1" applyFont="1"/>
    <xf borderId="48" fillId="11" fontId="1" numFmtId="0" xfId="0" applyAlignment="1" applyBorder="1" applyFill="1" applyFont="1">
      <alignment horizontal="right"/>
    </xf>
    <xf borderId="49" fillId="11" fontId="1" numFmtId="0" xfId="0" applyAlignment="1" applyBorder="1" applyFill="1" applyFont="1">
      <alignment horizontal="center" shrinkToFit="0" wrapText="1"/>
    </xf>
    <xf borderId="49" fillId="11" fontId="1" numFmtId="0" xfId="0" applyAlignment="1" applyBorder="1" applyFill="1" applyFont="1">
      <alignment horizontal="center"/>
    </xf>
    <xf borderId="24" fillId="11" fontId="1" numFmtId="0" xfId="0" applyAlignment="1" applyBorder="1" applyFill="1" applyFont="1">
      <alignment horizontal="center" readingOrder="0"/>
    </xf>
    <xf borderId="50" fillId="12" fontId="1" numFmtId="0" xfId="0" applyAlignment="1" applyBorder="1" applyFill="1" applyFont="1">
      <alignment horizontal="center" readingOrder="0"/>
    </xf>
    <xf borderId="50" fillId="13" fontId="1" numFmtId="0" xfId="0" applyAlignment="1" applyBorder="1" applyFill="1" applyFont="1">
      <alignment horizontal="center" readingOrder="0"/>
    </xf>
    <xf borderId="22" fillId="14" fontId="1" numFmtId="0" xfId="0" applyAlignment="1" applyBorder="1" applyFill="1" applyFont="1">
      <alignment horizontal="center" readingOrder="0"/>
    </xf>
    <xf borderId="22" fillId="13" fontId="1" numFmtId="0" xfId="0" applyAlignment="1" applyBorder="1" applyFill="1" applyFont="1">
      <alignment horizontal="center" readingOrder="0"/>
    </xf>
    <xf borderId="22" fillId="15" fontId="1" numFmtId="0" xfId="0" applyAlignment="1" applyBorder="1" applyFill="1" applyFont="1">
      <alignment horizontal="center" readingOrder="0"/>
    </xf>
    <xf borderId="22" fillId="16" fontId="1" numFmtId="0" xfId="0" applyAlignment="1" applyBorder="1" applyFill="1" applyFont="1">
      <alignment horizontal="center" readingOrder="0"/>
    </xf>
    <xf borderId="22" fillId="11" fontId="1" numFmtId="0" xfId="0" applyAlignment="1" applyBorder="1" applyFill="1" applyFont="1">
      <alignment horizontal="center"/>
    </xf>
    <xf borderId="51" fillId="11" fontId="1" numFmtId="0" xfId="0" applyAlignment="1" applyBorder="1" applyFill="1" applyFont="1">
      <alignment horizontal="center" shrinkToFit="0" wrapText="1"/>
    </xf>
    <xf borderId="52" fillId="11" fontId="1" numFmtId="0" xfId="0" applyAlignment="1" applyBorder="1" applyFill="1" applyFont="1">
      <alignment horizontal="center"/>
    </xf>
    <xf borderId="24" fillId="11" fontId="12" numFmtId="0" xfId="0" applyBorder="1" applyFill="1" applyFont="1"/>
    <xf borderId="22" fillId="11" fontId="1" numFmtId="0" xfId="0" applyBorder="1" applyFill="1" applyFont="1"/>
    <xf borderId="53" fillId="11" fontId="1" numFmtId="0" xfId="0" applyBorder="1" applyFill="1" applyFont="1"/>
    <xf borderId="49" fillId="4" fontId="1" numFmtId="0" xfId="0" applyAlignment="1" applyBorder="1" applyFill="1" applyFont="1">
      <alignment horizontal="center"/>
    </xf>
    <xf borderId="49" fillId="4" fontId="1" numFmtId="0" xfId="0" applyAlignment="1" applyBorder="1" applyFill="1" applyFont="1">
      <alignment horizontal="center" shrinkToFit="0" wrapText="1"/>
    </xf>
    <xf borderId="50" fillId="4" fontId="1" numFmtId="0" xfId="0" applyAlignment="1" applyBorder="1" applyFill="1" applyFont="1">
      <alignment horizontal="center"/>
    </xf>
    <xf borderId="22" fillId="4" fontId="1" numFmtId="0" xfId="0" applyAlignment="1" applyBorder="1" applyFill="1" applyFont="1">
      <alignment horizontal="center"/>
    </xf>
    <xf borderId="51" fillId="4" fontId="1" numFmtId="0" xfId="0" applyAlignment="1" applyBorder="1" applyFill="1" applyFont="1">
      <alignment horizontal="center"/>
    </xf>
    <xf borderId="49" fillId="9" fontId="23" numFmtId="0" xfId="0" applyAlignment="1" applyBorder="1" applyFill="1" applyFont="1">
      <alignment horizontal="center" shrinkToFit="0" wrapText="1"/>
    </xf>
    <xf borderId="13" fillId="17" fontId="1" numFmtId="0" xfId="0" applyAlignment="1" applyBorder="1" applyFill="1" applyFont="1">
      <alignment horizontal="center"/>
    </xf>
    <xf borderId="13" fillId="17" fontId="1" numFmtId="0" xfId="0" applyAlignment="1" applyBorder="1" applyFill="1" applyFont="1">
      <alignment horizontal="center" shrinkToFit="0" wrapText="1"/>
    </xf>
    <xf borderId="13" fillId="17" fontId="3" numFmtId="0" xfId="0" applyAlignment="1" applyBorder="1" applyFill="1" applyFont="1">
      <alignment horizontal="center"/>
    </xf>
    <xf borderId="32" fillId="17" fontId="3" numFmtId="0" xfId="0" applyAlignment="1" applyBorder="1" applyFill="1" applyFont="1">
      <alignment horizontal="center"/>
    </xf>
    <xf borderId="50" fillId="17" fontId="3" numFmtId="0" xfId="0" applyAlignment="1" applyBorder="1" applyFill="1" applyFont="1">
      <alignment horizontal="center"/>
    </xf>
    <xf borderId="22" fillId="17" fontId="1" numFmtId="0" xfId="0" applyAlignment="1" applyBorder="1" applyFill="1" applyFont="1">
      <alignment horizontal="center"/>
    </xf>
    <xf borderId="50" fillId="17" fontId="1" numFmtId="0" xfId="0" applyAlignment="1" applyBorder="1" applyFill="1" applyFont="1">
      <alignment horizontal="center"/>
    </xf>
    <xf borderId="22" fillId="17" fontId="3" numFmtId="0" xfId="0" applyAlignment="1" applyBorder="1" applyFill="1" applyFont="1">
      <alignment horizontal="center"/>
    </xf>
    <xf borderId="51" fillId="9" fontId="3" numFmtId="0" xfId="0" applyAlignment="1" applyBorder="1" applyFill="1" applyFont="1">
      <alignment horizontal="center"/>
    </xf>
    <xf borderId="54" fillId="9" fontId="4" numFmtId="0" xfId="0" applyBorder="1" applyFill="1" applyFont="1"/>
    <xf borderId="55" fillId="9" fontId="23" numFmtId="0" xfId="0" applyAlignment="1" applyBorder="1" applyFill="1" applyFont="1">
      <alignment horizontal="center" shrinkToFit="0" wrapText="1"/>
    </xf>
    <xf borderId="19" fillId="17" fontId="1" numFmtId="0" xfId="0" applyAlignment="1" applyBorder="1" applyFill="1" applyFont="1">
      <alignment horizontal="center"/>
    </xf>
    <xf borderId="19" fillId="17" fontId="16" numFmtId="0" xfId="0" applyBorder="1" applyFill="1" applyFont="1"/>
    <xf borderId="11" fillId="4" fontId="24" numFmtId="0" xfId="0" applyAlignment="1" applyBorder="1" applyFill="1" applyFont="1">
      <alignment horizontal="center" shrinkToFit="0" wrapText="1"/>
    </xf>
    <xf borderId="12" fillId="0" fontId="2" numFmtId="0" xfId="0" applyBorder="1" applyFont="1"/>
    <xf borderId="56" fillId="4" fontId="1" numFmtId="0" xfId="0" applyAlignment="1" applyBorder="1" applyFill="1" applyFont="1">
      <alignment horizontal="center"/>
    </xf>
    <xf borderId="56" fillId="4" fontId="1" numFmtId="0" xfId="0" applyAlignment="1" applyBorder="1" applyFill="1" applyFont="1">
      <alignment horizontal="center" shrinkToFit="0" wrapText="1"/>
    </xf>
    <xf borderId="54" fillId="4" fontId="4" numFmtId="0" xfId="0" applyBorder="1" applyFill="1" applyFont="1"/>
    <xf borderId="55" fillId="9" fontId="25" numFmtId="0" xfId="0" applyAlignment="1" applyBorder="1" applyFill="1" applyFont="1">
      <alignment horizontal="center" shrinkToFit="0" wrapText="1"/>
    </xf>
    <xf borderId="13" fillId="17" fontId="1" numFmtId="0" xfId="0" applyAlignment="1" applyBorder="1" applyFill="1" applyFont="1">
      <alignment horizontal="center" readingOrder="0"/>
    </xf>
    <xf borderId="13" fillId="17" fontId="1" numFmtId="0" xfId="0" applyAlignment="1" applyBorder="1" applyFill="1" applyFont="1">
      <alignment horizontal="center" readingOrder="0" shrinkToFit="0" wrapText="1"/>
    </xf>
    <xf borderId="46" fillId="4" fontId="3" numFmtId="0" xfId="0" applyAlignment="1" applyBorder="1" applyFill="1" applyFont="1">
      <alignment horizontal="center"/>
    </xf>
    <xf borderId="19" fillId="17" fontId="1" numFmtId="0" xfId="0" applyAlignment="1" applyBorder="1" applyFill="1" applyFont="1">
      <alignment horizontal="center" readingOrder="0"/>
    </xf>
    <xf borderId="19" fillId="18" fontId="13" numFmtId="0" xfId="0" applyAlignment="1" applyBorder="1" applyFill="1" applyFont="1">
      <alignment horizontal="center"/>
    </xf>
    <xf borderId="19" fillId="18" fontId="14" numFmtId="0" xfId="0" applyAlignment="1" applyBorder="1" applyFill="1" applyFont="1">
      <alignment horizontal="left"/>
    </xf>
    <xf borderId="27" fillId="18" fontId="13" numFmtId="0" xfId="0" applyAlignment="1" applyBorder="1" applyFill="1" applyFont="1">
      <alignment horizontal="center"/>
    </xf>
    <xf borderId="35" fillId="18" fontId="14" numFmtId="0" xfId="0" applyAlignment="1" applyBorder="1" applyFill="1" applyFont="1">
      <alignment horizontal="left"/>
    </xf>
    <xf borderId="19" fillId="17" fontId="3" numFmtId="0" xfId="0" applyAlignment="1" applyBorder="1" applyFill="1" applyFont="1">
      <alignment horizontal="center"/>
    </xf>
    <xf borderId="19" fillId="17" fontId="3" numFmtId="0" xfId="0" applyAlignment="1" applyBorder="1" applyFill="1" applyFont="1">
      <alignment horizontal="center" shrinkToFit="0" wrapText="1"/>
    </xf>
    <xf borderId="19" fillId="13" fontId="13" numFmtId="0" xfId="0" applyAlignment="1" applyBorder="1" applyFill="1" applyFont="1">
      <alignment horizontal="center"/>
    </xf>
    <xf borderId="19" fillId="13" fontId="14" numFmtId="0" xfId="0" applyAlignment="1" applyBorder="1" applyFill="1" applyFont="1">
      <alignment horizontal="left"/>
    </xf>
    <xf borderId="27" fillId="13" fontId="13" numFmtId="0" xfId="0" applyAlignment="1" applyBorder="1" applyFill="1" applyFont="1">
      <alignment horizontal="center"/>
    </xf>
    <xf borderId="27" fillId="13" fontId="14" numFmtId="0" xfId="0" applyAlignment="1" applyBorder="1" applyFill="1" applyFont="1">
      <alignment horizontal="left"/>
    </xf>
    <xf borderId="13" fillId="17" fontId="3" numFmtId="0" xfId="0" applyAlignment="1" applyBorder="1" applyFill="1" applyFont="1">
      <alignment horizontal="center" shrinkToFit="0" wrapText="1"/>
    </xf>
    <xf borderId="51" fillId="4" fontId="3" numFmtId="0" xfId="0" applyAlignment="1" applyBorder="1" applyFill="1" applyFont="1">
      <alignment horizontal="center"/>
    </xf>
    <xf borderId="54" fillId="0" fontId="4" numFmtId="0" xfId="0" applyBorder="1" applyFont="1"/>
    <xf borderId="49" fillId="9" fontId="25" numFmtId="0" xfId="0" applyAlignment="1" applyBorder="1" applyFill="1" applyFont="1">
      <alignment horizontal="center" shrinkToFit="0" wrapText="1"/>
    </xf>
    <xf borderId="38" fillId="9" fontId="23" numFmtId="0" xfId="0" applyAlignment="1" applyBorder="1" applyFill="1" applyFont="1">
      <alignment horizontal="center" shrinkToFit="0" wrapText="1"/>
    </xf>
    <xf borderId="0" fillId="3" fontId="13" numFmtId="0" xfId="0" applyAlignment="1" applyFill="1" applyFont="1">
      <alignment horizontal="center"/>
    </xf>
    <xf borderId="0" fillId="3" fontId="14" numFmtId="0" xfId="0" applyAlignment="1" applyFill="1" applyFont="1">
      <alignment horizontal="left"/>
    </xf>
    <xf borderId="56" fillId="17" fontId="1" numFmtId="0" xfId="0" applyAlignment="1" applyBorder="1" applyFill="1" applyFont="1">
      <alignment horizontal="center"/>
    </xf>
    <xf borderId="56" fillId="17" fontId="1" numFmtId="0" xfId="0" applyAlignment="1" applyBorder="1" applyFill="1" applyFont="1">
      <alignment horizontal="center" readingOrder="0"/>
    </xf>
    <xf borderId="56" fillId="17" fontId="1" numFmtId="0" xfId="0" applyAlignment="1" applyBorder="1" applyFill="1" applyFont="1">
      <alignment horizontal="center" shrinkToFit="0" wrapText="1"/>
    </xf>
    <xf borderId="56" fillId="17" fontId="3" numFmtId="0" xfId="0" applyAlignment="1" applyBorder="1" applyFill="1" applyFont="1">
      <alignment horizontal="center"/>
    </xf>
    <xf borderId="46" fillId="9" fontId="3" numFmtId="0" xfId="0" applyAlignment="1" applyBorder="1" applyFill="1" applyFont="1">
      <alignment horizontal="center"/>
    </xf>
    <xf borderId="13" fillId="17" fontId="16" numFmtId="0" xfId="0" applyBorder="1" applyFill="1" applyFont="1"/>
    <xf borderId="13" fillId="17" fontId="3" numFmtId="0" xfId="0" applyAlignment="1" applyBorder="1" applyFill="1" applyFont="1">
      <alignment horizontal="center" readingOrder="0"/>
    </xf>
    <xf borderId="0" fillId="9" fontId="4" numFmtId="0" xfId="0" applyFill="1" applyFont="1"/>
    <xf borderId="57" fillId="4" fontId="24" numFmtId="0" xfId="0" applyAlignment="1" applyBorder="1" applyFill="1" applyFont="1">
      <alignment horizontal="center" shrinkToFit="0" wrapText="1"/>
    </xf>
    <xf borderId="58" fillId="0" fontId="2" numFmtId="0" xfId="0" applyBorder="1" applyFont="1"/>
    <xf borderId="52" fillId="0" fontId="2" numFmtId="0" xfId="0" applyBorder="1" applyFont="1"/>
    <xf borderId="19" fillId="4" fontId="1" numFmtId="0" xfId="0" applyAlignment="1" applyBorder="1" applyFill="1" applyFont="1">
      <alignment horizontal="center"/>
    </xf>
    <xf borderId="19" fillId="4" fontId="1" numFmtId="0" xfId="0" applyAlignment="1" applyBorder="1" applyFill="1" applyFont="1">
      <alignment horizontal="center" shrinkToFit="0" wrapText="1"/>
    </xf>
    <xf borderId="32" fillId="4" fontId="1" numFmtId="0" xfId="0" applyAlignment="1" applyBorder="1" applyFill="1" applyFont="1">
      <alignment horizontal="center"/>
    </xf>
    <xf borderId="46" fillId="4" fontId="1" numFmtId="0" xfId="0" applyAlignment="1" applyBorder="1" applyFill="1" applyFont="1">
      <alignment horizontal="center"/>
    </xf>
    <xf borderId="0" fillId="4" fontId="4" numFmtId="0" xfId="0" applyFill="1" applyFont="1"/>
    <xf borderId="19" fillId="17" fontId="3" numFmtId="0" xfId="0" applyAlignment="1" applyBorder="1" applyFill="1" applyFont="1">
      <alignment horizontal="center" readingOrder="0"/>
    </xf>
  </cellXfs>
  <cellStyles count="1">
    <cellStyle xfId="0" name="Normal" builtinId="0"/>
  </cellStyles>
  <dxfs count="4"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8.14"/>
    <col customWidth="1" min="3" max="3" width="31.86"/>
    <col customWidth="1" min="4" max="4" width="8.14"/>
    <col customWidth="1" min="5" max="5" width="8.0"/>
    <col customWidth="1" min="6" max="6" width="6.71"/>
    <col customWidth="1" min="7" max="7" width="0.43"/>
    <col customWidth="1" min="8" max="8" width="4.0"/>
    <col customWidth="1" min="9" max="9" width="3.71"/>
    <col customWidth="1" min="10" max="10" width="0.43"/>
    <col customWidth="1" min="11" max="12" width="3.71"/>
    <col customWidth="1" min="13" max="13" width="4.71"/>
    <col customWidth="1" min="14" max="14" width="0.43"/>
    <col customWidth="1" min="15" max="21" width="3.71"/>
    <col customWidth="1" min="22" max="25" width="0.43"/>
    <col customWidth="1" min="26" max="34" width="3.71"/>
    <col customWidth="1" min="35" max="35" width="0.43"/>
    <col customWidth="1" min="36" max="36" width="3.71"/>
    <col customWidth="1" min="37" max="37" width="5.86"/>
    <col customWidth="1" min="38" max="58" width="3.71"/>
    <col customWidth="1" min="59" max="59" width="4.0"/>
    <col customWidth="1" min="60" max="60" width="5.71"/>
    <col customWidth="1" min="61" max="82" width="3.71"/>
    <col customWidth="1" min="83" max="83" width="4.0"/>
    <col customWidth="1" min="84" max="84" width="5.57"/>
    <col customWidth="1" min="85" max="88" width="3.71"/>
    <col customWidth="1" min="89" max="89" width="3.43"/>
    <col customWidth="1" min="90" max="100" width="3.71"/>
    <col customWidth="1" min="101" max="101" width="5.29"/>
    <col customWidth="1" min="102" max="102" width="6.29"/>
    <col customWidth="1" min="103" max="103" width="4.71"/>
    <col customWidth="1" min="104" max="104" width="4.57"/>
    <col customWidth="1" min="105" max="105" width="5.14"/>
    <col customWidth="1" min="106" max="106" width="4.43"/>
    <col customWidth="1" min="107" max="107" width="4.29"/>
    <col customWidth="1" min="108" max="109" width="4.14"/>
    <col customWidth="1" min="110" max="110" width="3.43"/>
    <col customWidth="1" min="111" max="111" width="3.86"/>
    <col customWidth="1" min="112" max="112" width="4.43"/>
    <col customWidth="1" min="113" max="113" width="3.57"/>
    <col customWidth="1" min="114" max="114" width="4.0"/>
    <col customWidth="1" min="115" max="116" width="5.86"/>
  </cols>
  <sheetData>
    <row r="1">
      <c r="A1" s="1" t="s">
        <v>0</v>
      </c>
      <c r="B1" s="2"/>
      <c r="C1" s="4"/>
      <c r="D1" s="6"/>
      <c r="E1" s="6"/>
      <c r="F1" s="8"/>
      <c r="G1" s="9"/>
      <c r="H1" s="9"/>
      <c r="I1" s="9"/>
      <c r="J1" s="9"/>
      <c r="K1" s="9"/>
      <c r="L1" s="9"/>
      <c r="M1" s="9"/>
      <c r="N1" s="9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9"/>
      <c r="AK1" s="12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9"/>
      <c r="BH1" s="14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9"/>
      <c r="CF1" s="9"/>
      <c r="CG1" s="11"/>
      <c r="CH1" s="11"/>
      <c r="CI1" s="11"/>
      <c r="CJ1" s="11"/>
      <c r="CK1" s="11"/>
      <c r="CL1" s="11"/>
      <c r="CM1" s="11"/>
      <c r="CN1" s="11" t="s">
        <v>4</v>
      </c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</row>
    <row r="2">
      <c r="A2" s="17" t="s">
        <v>5</v>
      </c>
      <c r="B2" s="18"/>
      <c r="C2" s="19" t="s">
        <v>7</v>
      </c>
      <c r="D2" s="22"/>
      <c r="E2" s="22"/>
      <c r="F2" s="5"/>
      <c r="G2" s="9"/>
      <c r="H2" s="23"/>
      <c r="I2" s="23"/>
      <c r="J2" s="23"/>
      <c r="K2" s="23"/>
      <c r="L2" s="23"/>
      <c r="M2" s="23"/>
      <c r="N2" s="23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9"/>
      <c r="AK2" s="12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9"/>
      <c r="BH2" s="14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9"/>
      <c r="CF2" s="9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</row>
    <row r="3">
      <c r="A3" s="17" t="s">
        <v>9</v>
      </c>
      <c r="B3" s="18"/>
      <c r="C3" s="19" t="s">
        <v>11</v>
      </c>
      <c r="D3" s="22"/>
      <c r="E3" s="22"/>
      <c r="F3" s="5"/>
      <c r="G3" s="9"/>
      <c r="H3" s="23"/>
      <c r="I3" s="23"/>
      <c r="J3" s="23"/>
      <c r="K3" s="23"/>
      <c r="L3" s="23"/>
      <c r="M3" s="23"/>
      <c r="N3" s="23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9"/>
      <c r="AK3" s="12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9"/>
      <c r="BH3" s="14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9"/>
      <c r="CF3" s="9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</row>
    <row r="4">
      <c r="A4" s="17" t="s">
        <v>12</v>
      </c>
      <c r="B4" s="18"/>
      <c r="C4" s="27" t="s">
        <v>0</v>
      </c>
      <c r="D4" s="6"/>
      <c r="E4" s="6"/>
      <c r="F4" s="2"/>
      <c r="G4" s="9"/>
      <c r="H4" s="9"/>
      <c r="I4" s="9"/>
      <c r="J4" s="9"/>
      <c r="K4" s="9"/>
      <c r="L4" s="9"/>
      <c r="M4" s="9"/>
      <c r="N4" s="9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9"/>
      <c r="AK4" s="12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9"/>
      <c r="BH4" s="14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9"/>
      <c r="CF4" s="9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</row>
    <row r="5">
      <c r="A5" s="17" t="s">
        <v>14</v>
      </c>
      <c r="B5" s="18"/>
      <c r="C5" s="28">
        <v>46104.0</v>
      </c>
      <c r="D5" s="22"/>
      <c r="E5" s="22"/>
      <c r="F5" s="5"/>
      <c r="G5" s="31"/>
      <c r="H5" s="9"/>
      <c r="I5" s="9"/>
      <c r="J5" s="9"/>
      <c r="K5" s="9"/>
      <c r="L5" s="9"/>
      <c r="M5" s="9"/>
      <c r="N5" s="9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9"/>
      <c r="AK5" s="12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9"/>
      <c r="BH5" s="14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9"/>
      <c r="CF5" s="9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</row>
    <row r="6">
      <c r="A6" s="32" t="s">
        <v>15</v>
      </c>
      <c r="B6" s="33"/>
      <c r="C6" s="34"/>
      <c r="D6" s="38"/>
      <c r="E6" s="38"/>
      <c r="F6" s="39"/>
      <c r="G6" s="37"/>
      <c r="H6" s="9"/>
      <c r="I6" s="9"/>
      <c r="J6" s="9"/>
      <c r="K6" s="9"/>
      <c r="L6" s="9"/>
      <c r="M6" s="9"/>
      <c r="N6" s="9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9"/>
      <c r="AK6" s="12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9"/>
      <c r="BH6" s="14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9"/>
      <c r="CF6" s="9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</row>
    <row r="7">
      <c r="A7" s="31"/>
      <c r="B7" s="40"/>
      <c r="C7" s="41"/>
      <c r="D7" s="31"/>
      <c r="E7" s="31"/>
      <c r="F7" s="42"/>
      <c r="G7" s="37"/>
      <c r="H7" s="50">
        <v>1.0</v>
      </c>
      <c r="I7" s="51">
        <v>2.0</v>
      </c>
      <c r="J7" s="51">
        <v>3.0</v>
      </c>
      <c r="K7" s="51">
        <v>4.0</v>
      </c>
      <c r="L7" s="53">
        <v>5.0</v>
      </c>
      <c r="M7" s="54"/>
      <c r="N7" s="54"/>
      <c r="O7" s="45">
        <v>1.0</v>
      </c>
      <c r="P7" s="45">
        <v>2.0</v>
      </c>
      <c r="Q7" s="45">
        <v>3.0</v>
      </c>
      <c r="R7" s="45">
        <v>4.0</v>
      </c>
      <c r="S7" s="45">
        <v>5.0</v>
      </c>
      <c r="T7" s="45">
        <v>6.0</v>
      </c>
      <c r="U7" s="45">
        <v>7.0</v>
      </c>
      <c r="V7" s="45">
        <v>8.0</v>
      </c>
      <c r="W7" s="45">
        <v>9.0</v>
      </c>
      <c r="X7" s="45">
        <v>10.0</v>
      </c>
      <c r="Y7" s="45">
        <v>11.0</v>
      </c>
      <c r="Z7" s="45">
        <v>12.0</v>
      </c>
      <c r="AA7" s="45">
        <v>13.0</v>
      </c>
      <c r="AB7" s="45">
        <v>14.0</v>
      </c>
      <c r="AC7" s="45">
        <v>15.0</v>
      </c>
      <c r="AD7" s="45">
        <v>16.0</v>
      </c>
      <c r="AE7" s="45">
        <v>17.0</v>
      </c>
      <c r="AF7" s="45">
        <v>18.0</v>
      </c>
      <c r="AG7" s="45">
        <v>19.0</v>
      </c>
      <c r="AH7" s="45">
        <v>20.0</v>
      </c>
      <c r="AI7" s="45">
        <v>21.0</v>
      </c>
      <c r="AJ7" s="54"/>
      <c r="AK7" s="57"/>
      <c r="AL7" s="45">
        <v>1.0</v>
      </c>
      <c r="AM7" s="45">
        <v>2.0</v>
      </c>
      <c r="AN7" s="45">
        <v>3.0</v>
      </c>
      <c r="AO7" s="45">
        <v>4.0</v>
      </c>
      <c r="AP7" s="45">
        <v>5.0</v>
      </c>
      <c r="AQ7" s="45">
        <v>6.0</v>
      </c>
      <c r="AR7" s="45">
        <v>7.0</v>
      </c>
      <c r="AS7" s="45">
        <v>8.0</v>
      </c>
      <c r="AT7" s="45">
        <v>9.0</v>
      </c>
      <c r="AU7" s="45">
        <v>10.0</v>
      </c>
      <c r="AV7" s="45">
        <v>11.0</v>
      </c>
      <c r="AW7" s="45">
        <v>12.0</v>
      </c>
      <c r="AX7" s="45">
        <v>13.0</v>
      </c>
      <c r="AY7" s="45">
        <v>14.0</v>
      </c>
      <c r="AZ7" s="45">
        <v>15.0</v>
      </c>
      <c r="BA7" s="45">
        <v>16.0</v>
      </c>
      <c r="BB7" s="45">
        <v>17.0</v>
      </c>
      <c r="BC7" s="45">
        <v>18.0</v>
      </c>
      <c r="BD7" s="45">
        <v>19.0</v>
      </c>
      <c r="BE7" s="45">
        <v>20.0</v>
      </c>
      <c r="BF7" s="45">
        <v>21.0</v>
      </c>
      <c r="BG7" s="47"/>
      <c r="BH7" s="63"/>
      <c r="BI7" s="49">
        <v>1.0</v>
      </c>
      <c r="BJ7" s="49">
        <v>2.0</v>
      </c>
      <c r="BK7" s="49">
        <v>3.0</v>
      </c>
      <c r="BL7" s="49">
        <v>4.0</v>
      </c>
      <c r="BM7" s="49">
        <v>5.0</v>
      </c>
      <c r="BN7" s="49">
        <v>6.0</v>
      </c>
      <c r="BO7" s="49">
        <v>7.0</v>
      </c>
      <c r="BP7" s="49">
        <v>8.0</v>
      </c>
      <c r="BQ7" s="49">
        <v>9.0</v>
      </c>
      <c r="BR7" s="49">
        <v>10.0</v>
      </c>
      <c r="BS7" s="49">
        <v>11.0</v>
      </c>
      <c r="BT7" s="49">
        <v>12.0</v>
      </c>
      <c r="BU7" s="49">
        <v>13.0</v>
      </c>
      <c r="BV7" s="49">
        <v>14.0</v>
      </c>
      <c r="BW7" s="49">
        <v>15.0</v>
      </c>
      <c r="BX7" s="49">
        <v>16.0</v>
      </c>
      <c r="BY7" s="49">
        <v>17.0</v>
      </c>
      <c r="BZ7" s="49">
        <v>18.0</v>
      </c>
      <c r="CA7" s="49">
        <v>19.0</v>
      </c>
      <c r="CB7" s="49">
        <v>20.0</v>
      </c>
      <c r="CC7" s="49">
        <v>21.0</v>
      </c>
      <c r="CD7" s="49">
        <v>22.0</v>
      </c>
      <c r="CE7" s="47"/>
      <c r="CF7" s="47"/>
      <c r="CG7" s="49">
        <v>1.0</v>
      </c>
      <c r="CH7" s="49">
        <v>2.0</v>
      </c>
      <c r="CI7" s="49">
        <v>3.0</v>
      </c>
      <c r="CJ7" s="49">
        <v>4.0</v>
      </c>
      <c r="CK7" s="49">
        <v>5.0</v>
      </c>
      <c r="CL7" s="49">
        <v>6.0</v>
      </c>
      <c r="CM7" s="49">
        <v>7.0</v>
      </c>
      <c r="CN7" s="49">
        <v>8.0</v>
      </c>
      <c r="CO7" s="49">
        <v>9.0</v>
      </c>
      <c r="CP7" s="49">
        <v>10.0</v>
      </c>
      <c r="CQ7" s="49">
        <v>11.0</v>
      </c>
      <c r="CR7" s="49">
        <v>12.0</v>
      </c>
      <c r="CS7" s="49">
        <v>13.0</v>
      </c>
      <c r="CT7" s="49">
        <v>14.0</v>
      </c>
      <c r="CU7" s="49">
        <v>15.0</v>
      </c>
      <c r="CV7" s="49">
        <v>16.0</v>
      </c>
      <c r="CW7" s="55"/>
      <c r="CX7" s="55"/>
      <c r="CY7" s="69"/>
      <c r="CZ7" s="69"/>
      <c r="DA7" s="69"/>
      <c r="DB7" s="69"/>
      <c r="DC7" s="69"/>
      <c r="DD7" s="69"/>
      <c r="DE7" s="69"/>
      <c r="DF7" s="69"/>
      <c r="DG7" s="69"/>
      <c r="DH7" s="69"/>
      <c r="DI7" s="69"/>
      <c r="DJ7" s="69"/>
      <c r="DK7" s="55"/>
      <c r="DL7" s="55"/>
    </row>
    <row r="8" ht="78.75" customHeight="1">
      <c r="A8" s="56"/>
      <c r="B8" s="49"/>
      <c r="C8" s="49"/>
      <c r="D8" s="72" t="s">
        <v>17</v>
      </c>
      <c r="E8" s="73" t="s">
        <v>18</v>
      </c>
      <c r="F8" s="61" t="s">
        <v>19</v>
      </c>
      <c r="G8" s="61" t="s">
        <v>20</v>
      </c>
      <c r="H8" s="62">
        <v>46104.0</v>
      </c>
      <c r="I8" s="62">
        <v>46105.0</v>
      </c>
      <c r="J8" s="62">
        <v>46106.0</v>
      </c>
      <c r="K8" s="62">
        <v>46107.0</v>
      </c>
      <c r="L8" s="64">
        <v>46111.0</v>
      </c>
      <c r="M8" s="76" t="s">
        <v>29</v>
      </c>
      <c r="N8" s="78" t="s">
        <v>30</v>
      </c>
      <c r="O8" s="62">
        <v>46113.0</v>
      </c>
      <c r="P8" s="62">
        <v>46114.0</v>
      </c>
      <c r="Q8" s="62">
        <v>46115.0</v>
      </c>
      <c r="R8" s="62">
        <v>46118.0</v>
      </c>
      <c r="S8" s="62">
        <v>46119.0</v>
      </c>
      <c r="T8" s="62">
        <v>46120.0</v>
      </c>
      <c r="U8" s="62">
        <v>46121.0</v>
      </c>
      <c r="V8" s="62">
        <v>46122.0</v>
      </c>
      <c r="W8" s="62">
        <v>46125.0</v>
      </c>
      <c r="X8" s="62">
        <v>46127.0</v>
      </c>
      <c r="Y8" s="62">
        <v>46128.0</v>
      </c>
      <c r="Z8" s="62">
        <v>46129.0</v>
      </c>
      <c r="AA8" s="62">
        <v>46132.0</v>
      </c>
      <c r="AB8" s="62">
        <v>46133.0</v>
      </c>
      <c r="AC8" s="62">
        <v>46134.0</v>
      </c>
      <c r="AD8" s="62">
        <v>46135.0</v>
      </c>
      <c r="AE8" s="62">
        <v>46136.0</v>
      </c>
      <c r="AF8" s="62">
        <v>46139.0</v>
      </c>
      <c r="AG8" s="62">
        <v>46140.0</v>
      </c>
      <c r="AH8" s="62">
        <v>46141.0</v>
      </c>
      <c r="AI8" s="62">
        <v>46142.0</v>
      </c>
      <c r="AJ8" s="76" t="s">
        <v>34</v>
      </c>
      <c r="AK8" s="78" t="s">
        <v>35</v>
      </c>
      <c r="AL8" s="62">
        <v>46143.0</v>
      </c>
      <c r="AM8" s="62">
        <v>46146.0</v>
      </c>
      <c r="AN8" s="62">
        <v>46147.0</v>
      </c>
      <c r="AO8" s="62">
        <v>46148.0</v>
      </c>
      <c r="AP8" s="62">
        <v>46149.0</v>
      </c>
      <c r="AQ8" s="62">
        <v>46150.0</v>
      </c>
      <c r="AR8" s="62">
        <v>46153.0</v>
      </c>
      <c r="AS8" s="62">
        <v>46154.0</v>
      </c>
      <c r="AT8" s="62">
        <v>46155.0</v>
      </c>
      <c r="AU8" s="62">
        <v>46156.0</v>
      </c>
      <c r="AV8" s="62">
        <v>46157.0</v>
      </c>
      <c r="AW8" s="62">
        <v>46160.0</v>
      </c>
      <c r="AX8" s="62">
        <v>46161.0</v>
      </c>
      <c r="AY8" s="62">
        <v>46162.0</v>
      </c>
      <c r="AZ8" s="62">
        <v>46163.0</v>
      </c>
      <c r="BA8" s="62">
        <v>46164.0</v>
      </c>
      <c r="BB8" s="62">
        <v>46167.0</v>
      </c>
      <c r="BC8" s="62">
        <v>46168.0</v>
      </c>
      <c r="BD8" s="62">
        <v>46169.0</v>
      </c>
      <c r="BE8" s="62">
        <v>46170.0</v>
      </c>
      <c r="BF8" s="62">
        <v>46171.0</v>
      </c>
      <c r="BG8" s="70" t="s">
        <v>36</v>
      </c>
      <c r="BH8" s="82" t="s">
        <v>37</v>
      </c>
      <c r="BI8" s="62">
        <v>46174.0</v>
      </c>
      <c r="BJ8" s="62">
        <v>46175.0</v>
      </c>
      <c r="BK8" s="62">
        <v>46176.0</v>
      </c>
      <c r="BL8" s="62">
        <v>46177.0</v>
      </c>
      <c r="BM8" s="62">
        <v>46178.0</v>
      </c>
      <c r="BN8" s="62">
        <v>46181.0</v>
      </c>
      <c r="BO8" s="62">
        <v>46182.0</v>
      </c>
      <c r="BP8" s="62">
        <v>46183.0</v>
      </c>
      <c r="BQ8" s="62">
        <v>46184.0</v>
      </c>
      <c r="BR8" s="62">
        <v>46185.0</v>
      </c>
      <c r="BS8" s="64">
        <v>46188.0</v>
      </c>
      <c r="BT8" s="64">
        <v>46189.0</v>
      </c>
      <c r="BU8" s="64">
        <v>46190.0</v>
      </c>
      <c r="BV8" s="64">
        <v>46191.0</v>
      </c>
      <c r="BW8" s="64">
        <v>46192.0</v>
      </c>
      <c r="BX8" s="64">
        <v>46195.0</v>
      </c>
      <c r="BY8" s="64">
        <v>46196.0</v>
      </c>
      <c r="BZ8" s="64">
        <v>46197.0</v>
      </c>
      <c r="CA8" s="64">
        <v>46198.0</v>
      </c>
      <c r="CB8" s="64">
        <v>46199.0</v>
      </c>
      <c r="CC8" s="64">
        <v>46202.0</v>
      </c>
      <c r="CD8" s="64">
        <v>46203.0</v>
      </c>
      <c r="CE8" s="70" t="s">
        <v>39</v>
      </c>
      <c r="CF8" s="86" t="s">
        <v>41</v>
      </c>
      <c r="CG8" s="64">
        <v>46205.0</v>
      </c>
      <c r="CH8" s="87">
        <v>46209.0</v>
      </c>
      <c r="CI8" s="87">
        <v>46210.0</v>
      </c>
      <c r="CJ8" s="79"/>
      <c r="CK8" s="79"/>
      <c r="CL8" s="79"/>
      <c r="CM8" s="79"/>
      <c r="CN8" s="79"/>
      <c r="CO8" s="88"/>
      <c r="CP8" s="88"/>
      <c r="CQ8" s="88"/>
      <c r="CR8" s="88"/>
      <c r="CS8" s="88"/>
      <c r="CT8" s="89"/>
      <c r="CU8" s="88"/>
      <c r="CV8" s="88"/>
      <c r="CW8" s="70" t="s">
        <v>43</v>
      </c>
      <c r="CX8" s="86" t="s">
        <v>44</v>
      </c>
      <c r="CY8" s="90"/>
      <c r="CZ8" s="90"/>
      <c r="DA8" s="90"/>
      <c r="DB8" s="90"/>
      <c r="DC8" s="90"/>
      <c r="DD8" s="90"/>
      <c r="DE8" s="90"/>
      <c r="DF8" s="90"/>
      <c r="DG8" s="90"/>
      <c r="DH8" s="90"/>
      <c r="DI8" s="90"/>
      <c r="DJ8" s="90"/>
      <c r="DK8" s="70" t="s">
        <v>45</v>
      </c>
      <c r="DL8" s="86" t="s">
        <v>46</v>
      </c>
    </row>
    <row r="9">
      <c r="A9" s="84" t="s">
        <v>47</v>
      </c>
      <c r="B9" s="95" t="s">
        <v>48</v>
      </c>
      <c r="C9" s="97" t="s">
        <v>42</v>
      </c>
      <c r="D9" s="98">
        <f t="shared" ref="D9:D92" si="9">SUM(M9+AJ9+BG9+CE9+CW9+DK9)</f>
        <v>44</v>
      </c>
      <c r="E9" s="99"/>
      <c r="F9" s="100"/>
      <c r="G9" s="100"/>
      <c r="H9" s="101">
        <f t="shared" ref="H9:L9" si="1">SUM(H11:H92)</f>
        <v>4</v>
      </c>
      <c r="I9" s="101">
        <f t="shared" si="1"/>
        <v>3</v>
      </c>
      <c r="J9" s="101">
        <f t="shared" si="1"/>
        <v>3</v>
      </c>
      <c r="K9" s="101">
        <f t="shared" si="1"/>
        <v>3</v>
      </c>
      <c r="L9" s="101">
        <f t="shared" si="1"/>
        <v>0</v>
      </c>
      <c r="M9" s="104">
        <f>COUNTIF(H9:L9,"&gt;0")</f>
        <v>4</v>
      </c>
      <c r="N9" s="104">
        <f>COUNTIF(H9:K9,"&gt;0")</f>
        <v>4</v>
      </c>
      <c r="O9" s="105">
        <f t="shared" ref="O9:AI9" si="2">SUM(O11:O92)</f>
        <v>3</v>
      </c>
      <c r="P9" s="105">
        <f t="shared" si="2"/>
        <v>5</v>
      </c>
      <c r="Q9" s="105">
        <f t="shared" si="2"/>
        <v>0</v>
      </c>
      <c r="R9" s="105">
        <f t="shared" si="2"/>
        <v>0</v>
      </c>
      <c r="S9" s="105">
        <f t="shared" si="2"/>
        <v>0</v>
      </c>
      <c r="T9" s="105">
        <f t="shared" si="2"/>
        <v>0</v>
      </c>
      <c r="U9" s="105">
        <f t="shared" si="2"/>
        <v>0</v>
      </c>
      <c r="V9" s="105">
        <f t="shared" si="2"/>
        <v>0</v>
      </c>
      <c r="W9" s="105">
        <f t="shared" si="2"/>
        <v>26</v>
      </c>
      <c r="X9" s="105">
        <f t="shared" si="2"/>
        <v>48</v>
      </c>
      <c r="Y9" s="105">
        <f t="shared" si="2"/>
        <v>53</v>
      </c>
      <c r="Z9" s="105">
        <f t="shared" si="2"/>
        <v>0</v>
      </c>
      <c r="AA9" s="105">
        <f t="shared" si="2"/>
        <v>44</v>
      </c>
      <c r="AB9" s="105">
        <f t="shared" si="2"/>
        <v>55</v>
      </c>
      <c r="AC9" s="105">
        <f t="shared" si="2"/>
        <v>51</v>
      </c>
      <c r="AD9" s="105">
        <f t="shared" si="2"/>
        <v>47</v>
      </c>
      <c r="AE9" s="105">
        <f t="shared" si="2"/>
        <v>0</v>
      </c>
      <c r="AF9" s="105">
        <f t="shared" si="2"/>
        <v>57</v>
      </c>
      <c r="AG9" s="105">
        <f t="shared" si="2"/>
        <v>52</v>
      </c>
      <c r="AH9" s="105">
        <f t="shared" si="2"/>
        <v>54</v>
      </c>
      <c r="AI9" s="105">
        <f t="shared" si="2"/>
        <v>44</v>
      </c>
      <c r="AJ9" s="104">
        <f>COUNTIF(O9:AI9,"&gt;0")</f>
        <v>13</v>
      </c>
      <c r="AK9" s="108">
        <f>SUM(M9+AJ9)</f>
        <v>17</v>
      </c>
      <c r="AL9" s="105">
        <f>SUM(AL11:AL92)</f>
        <v>0</v>
      </c>
      <c r="AM9" s="105">
        <f t="shared" ref="AM9:AP9" si="3">SUM(AM12:AM92)</f>
        <v>45</v>
      </c>
      <c r="AN9" s="105">
        <f t="shared" si="3"/>
        <v>42</v>
      </c>
      <c r="AO9" s="105">
        <f t="shared" si="3"/>
        <v>39</v>
      </c>
      <c r="AP9" s="105">
        <f t="shared" si="3"/>
        <v>52</v>
      </c>
      <c r="AQ9" s="105">
        <f t="shared" ref="AQ9:BF9" si="4">SUM(AQ11:AQ92)</f>
        <v>0</v>
      </c>
      <c r="AR9" s="105">
        <f t="shared" si="4"/>
        <v>44</v>
      </c>
      <c r="AS9" s="105">
        <f t="shared" si="4"/>
        <v>28</v>
      </c>
      <c r="AT9" s="105">
        <f t="shared" si="4"/>
        <v>35</v>
      </c>
      <c r="AU9" s="105">
        <f t="shared" si="4"/>
        <v>48</v>
      </c>
      <c r="AV9" s="105">
        <f t="shared" si="4"/>
        <v>0</v>
      </c>
      <c r="AW9" s="105">
        <f t="shared" si="4"/>
        <v>0</v>
      </c>
      <c r="AX9" s="105">
        <f t="shared" si="4"/>
        <v>0</v>
      </c>
      <c r="AY9" s="105">
        <f t="shared" si="4"/>
        <v>0</v>
      </c>
      <c r="AZ9" s="105">
        <f t="shared" si="4"/>
        <v>0</v>
      </c>
      <c r="BA9" s="105">
        <f t="shared" si="4"/>
        <v>0</v>
      </c>
      <c r="BB9" s="105">
        <f t="shared" si="4"/>
        <v>22</v>
      </c>
      <c r="BC9" s="105">
        <f t="shared" si="4"/>
        <v>39</v>
      </c>
      <c r="BD9" s="105">
        <f t="shared" si="4"/>
        <v>27</v>
      </c>
      <c r="BE9" s="105">
        <f t="shared" si="4"/>
        <v>17</v>
      </c>
      <c r="BF9" s="105">
        <f t="shared" si="4"/>
        <v>0</v>
      </c>
      <c r="BG9" s="47">
        <f>COUNTIF(AM9:BF9,"&gt;0")</f>
        <v>12</v>
      </c>
      <c r="BH9" s="63">
        <f>SUM(AK9+BG9)</f>
        <v>29</v>
      </c>
      <c r="BI9" s="107">
        <f t="shared" ref="BI9:CD9" si="5">SUM(BI11:BI92)</f>
        <v>41</v>
      </c>
      <c r="BJ9" s="107">
        <f t="shared" si="5"/>
        <v>49</v>
      </c>
      <c r="BK9" s="107">
        <f t="shared" si="5"/>
        <v>0</v>
      </c>
      <c r="BL9" s="107">
        <f t="shared" si="5"/>
        <v>50</v>
      </c>
      <c r="BM9" s="107">
        <f t="shared" si="5"/>
        <v>0</v>
      </c>
      <c r="BN9" s="107">
        <f t="shared" si="5"/>
        <v>0</v>
      </c>
      <c r="BO9" s="107">
        <f t="shared" si="5"/>
        <v>49</v>
      </c>
      <c r="BP9" s="107">
        <f t="shared" si="5"/>
        <v>58</v>
      </c>
      <c r="BQ9" s="107">
        <f t="shared" si="5"/>
        <v>0</v>
      </c>
      <c r="BR9" s="107">
        <f t="shared" si="5"/>
        <v>0</v>
      </c>
      <c r="BS9" s="107">
        <f t="shared" si="5"/>
        <v>47</v>
      </c>
      <c r="BT9" s="107">
        <f t="shared" si="5"/>
        <v>47</v>
      </c>
      <c r="BU9" s="107">
        <f t="shared" si="5"/>
        <v>25</v>
      </c>
      <c r="BV9" s="107">
        <f t="shared" si="5"/>
        <v>32</v>
      </c>
      <c r="BW9" s="107">
        <f t="shared" si="5"/>
        <v>0</v>
      </c>
      <c r="BX9" s="107">
        <f t="shared" si="5"/>
        <v>40</v>
      </c>
      <c r="BY9" s="107">
        <f t="shared" si="5"/>
        <v>48</v>
      </c>
      <c r="BZ9" s="107">
        <f t="shared" si="5"/>
        <v>41</v>
      </c>
      <c r="CA9" s="107">
        <f t="shared" si="5"/>
        <v>24</v>
      </c>
      <c r="CB9" s="107">
        <f t="shared" si="5"/>
        <v>0</v>
      </c>
      <c r="CC9" s="107">
        <f t="shared" si="5"/>
        <v>0</v>
      </c>
      <c r="CD9" s="107">
        <f t="shared" si="5"/>
        <v>0</v>
      </c>
      <c r="CE9" s="47">
        <f>COUNTIF(BI9:CD9,"&gt;0")</f>
        <v>13</v>
      </c>
      <c r="CF9" s="115">
        <f>SUM(BH9+CE9)</f>
        <v>42</v>
      </c>
      <c r="CG9" s="117"/>
      <c r="CH9" s="107">
        <f t="shared" ref="CH9:CR9" si="6">SUM(CH11:CH85)</f>
        <v>15</v>
      </c>
      <c r="CI9" s="107">
        <f t="shared" si="6"/>
        <v>17</v>
      </c>
      <c r="CJ9" s="107">
        <f t="shared" si="6"/>
        <v>0</v>
      </c>
      <c r="CK9" s="107">
        <f t="shared" si="6"/>
        <v>0</v>
      </c>
      <c r="CL9" s="107">
        <f t="shared" si="6"/>
        <v>0</v>
      </c>
      <c r="CM9" s="107">
        <f t="shared" si="6"/>
        <v>0</v>
      </c>
      <c r="CN9" s="107">
        <f t="shared" si="6"/>
        <v>0</v>
      </c>
      <c r="CO9" s="107">
        <f t="shared" si="6"/>
        <v>0</v>
      </c>
      <c r="CP9" s="107">
        <f t="shared" si="6"/>
        <v>0</v>
      </c>
      <c r="CQ9" s="107">
        <f t="shared" si="6"/>
        <v>0</v>
      </c>
      <c r="CR9" s="107">
        <f t="shared" si="6"/>
        <v>0</v>
      </c>
      <c r="CS9" s="107">
        <f t="shared" ref="CS9:CT9" si="7">SUM(CS10:CS92)</f>
        <v>0</v>
      </c>
      <c r="CT9" s="107">
        <f t="shared" si="7"/>
        <v>0</v>
      </c>
      <c r="CU9" s="107">
        <f>SUM(CU11:CU92)</f>
        <v>0</v>
      </c>
      <c r="CV9" s="117">
        <f>SUM(CV11:CV85)</f>
        <v>0</v>
      </c>
      <c r="CW9" s="109">
        <f>COUNTIF(CG9:CV9,"&gt;0")</f>
        <v>2</v>
      </c>
      <c r="CX9" s="123">
        <f>SUM(CF9+CW9)</f>
        <v>44</v>
      </c>
      <c r="CY9" s="117">
        <f t="shared" ref="CY9:DJ9" si="8">SUM(CY11:CY85)</f>
        <v>0</v>
      </c>
      <c r="CZ9" s="117">
        <f t="shared" si="8"/>
        <v>0</v>
      </c>
      <c r="DA9" s="117">
        <f t="shared" si="8"/>
        <v>0</v>
      </c>
      <c r="DB9" s="117">
        <f t="shared" si="8"/>
        <v>0</v>
      </c>
      <c r="DC9" s="117">
        <f t="shared" si="8"/>
        <v>0</v>
      </c>
      <c r="DD9" s="117">
        <f t="shared" si="8"/>
        <v>0</v>
      </c>
      <c r="DE9" s="117">
        <f t="shared" si="8"/>
        <v>0</v>
      </c>
      <c r="DF9" s="117">
        <f t="shared" si="8"/>
        <v>0</v>
      </c>
      <c r="DG9" s="117">
        <f t="shared" si="8"/>
        <v>0</v>
      </c>
      <c r="DH9" s="117">
        <f t="shared" si="8"/>
        <v>0</v>
      </c>
      <c r="DI9" s="117">
        <f t="shared" si="8"/>
        <v>0</v>
      </c>
      <c r="DJ9" s="117">
        <f t="shared" si="8"/>
        <v>0</v>
      </c>
      <c r="DK9" s="109">
        <f>COUNTIF(CY9:DJ9,"&gt;0")</f>
        <v>0</v>
      </c>
      <c r="DL9" s="123">
        <f>SUM(CX9+DK9)</f>
        <v>44</v>
      </c>
    </row>
    <row r="10">
      <c r="A10" s="50">
        <v>1.0</v>
      </c>
      <c r="B10" s="126" t="s">
        <v>51</v>
      </c>
      <c r="C10" s="127" t="s">
        <v>52</v>
      </c>
      <c r="D10" s="98">
        <f t="shared" si="9"/>
        <v>0</v>
      </c>
      <c r="E10" s="130">
        <f t="shared" ref="E10:E92" si="10">(D10)/D$9*100</f>
        <v>0</v>
      </c>
      <c r="F10" s="132">
        <f t="shared" ref="F10:F92" si="11">IF(E10&lt;50,E10, "  ")</f>
        <v>0</v>
      </c>
      <c r="G10" s="134">
        <f t="shared" ref="G10:G92" si="12">IF(E10&lt;30,E10, "  ")</f>
        <v>0</v>
      </c>
      <c r="H10" s="136"/>
      <c r="I10" s="136"/>
      <c r="J10" s="136"/>
      <c r="K10" s="136"/>
      <c r="L10" s="137"/>
      <c r="M10" s="139">
        <f t="shared" ref="M10:M92" si="13">SUM(H10:L10)</f>
        <v>0</v>
      </c>
      <c r="N10" s="140">
        <f t="shared" ref="N10:N92" si="14">M10/M$9*100</f>
        <v>0</v>
      </c>
      <c r="O10" s="141"/>
      <c r="P10" s="141"/>
      <c r="Q10" s="116"/>
      <c r="R10" s="141"/>
      <c r="S10" s="141"/>
      <c r="T10" s="141"/>
      <c r="U10" s="141"/>
      <c r="V10" s="141"/>
      <c r="W10" s="141"/>
      <c r="X10" s="141"/>
      <c r="Y10" s="141"/>
      <c r="Z10" s="142"/>
      <c r="AA10" s="143"/>
      <c r="AB10" s="141"/>
      <c r="AC10" s="141"/>
      <c r="AD10" s="144"/>
      <c r="AE10" s="144"/>
      <c r="AF10" s="144"/>
      <c r="AG10" s="144"/>
      <c r="AH10" s="144"/>
      <c r="AI10" s="144"/>
      <c r="AJ10" s="139">
        <f t="shared" ref="AJ10:AJ92" si="15">SUM(O10:AI10)</f>
        <v>0</v>
      </c>
      <c r="AK10" s="140">
        <f t="shared" ref="AK10:AK92" si="16">AJ10/AJ$9*100</f>
        <v>0</v>
      </c>
      <c r="AL10" s="147"/>
      <c r="AQ10" s="141"/>
      <c r="AR10" s="141"/>
      <c r="AS10" s="148"/>
      <c r="AT10" s="141"/>
      <c r="AU10" s="141"/>
      <c r="AV10" s="141"/>
      <c r="AW10" s="141"/>
      <c r="AX10" s="141"/>
      <c r="AY10" s="141"/>
      <c r="AZ10" s="136"/>
      <c r="BA10" s="136"/>
      <c r="BB10" s="137"/>
      <c r="BC10" s="137"/>
      <c r="BD10" s="137"/>
      <c r="BE10" s="137"/>
      <c r="BF10" s="137"/>
      <c r="BG10" s="139">
        <f t="shared" ref="BG10:BG92" si="17">SUM(AM10:BF10)</f>
        <v>0</v>
      </c>
      <c r="BH10" s="152">
        <f t="shared" ref="BH10:BH92" si="18">BG10/BG$9*100</f>
        <v>0</v>
      </c>
      <c r="BI10" s="141"/>
      <c r="BJ10" s="136"/>
      <c r="BK10" s="136"/>
      <c r="BL10" s="141"/>
      <c r="BM10" s="141"/>
      <c r="BN10" s="141"/>
      <c r="BO10" s="141"/>
      <c r="BP10" s="141"/>
      <c r="BQ10" s="147"/>
      <c r="BR10" s="148"/>
      <c r="BS10" s="144"/>
      <c r="BT10" s="142"/>
      <c r="BU10" s="153"/>
      <c r="BV10" s="153"/>
      <c r="BW10" s="154"/>
      <c r="BX10" s="153"/>
      <c r="BY10" s="141"/>
      <c r="BZ10" s="144"/>
      <c r="CA10" s="116"/>
      <c r="CB10" s="144"/>
      <c r="CC10" s="144"/>
      <c r="CD10" s="144"/>
      <c r="CE10" s="124">
        <f t="shared" ref="CE10:CE92" si="19">SUM(BI10:CD10)</f>
        <v>0</v>
      </c>
      <c r="CF10" s="159">
        <f t="shared" ref="CF10:CF92" si="20">CE10/CE$9*100</f>
        <v>0</v>
      </c>
      <c r="CG10" s="160"/>
      <c r="CH10" s="43"/>
      <c r="CI10" s="145"/>
      <c r="CJ10" s="43"/>
      <c r="CK10" s="43"/>
      <c r="CL10" s="43"/>
      <c r="CM10" s="163"/>
      <c r="CN10" s="163"/>
      <c r="CO10" s="163"/>
      <c r="CP10" s="166"/>
      <c r="CQ10" s="166"/>
      <c r="CR10" s="166"/>
      <c r="CS10" s="166"/>
      <c r="CT10" s="166"/>
      <c r="CU10" s="166"/>
      <c r="CV10" s="167"/>
      <c r="CW10" s="128">
        <f t="shared" ref="CW10:CW92" si="21">SUM(CG10:CV10)</f>
        <v>0</v>
      </c>
      <c r="CX10" s="170">
        <f t="shared" ref="CX10:CX92" si="22">CW10/CW$9*100</f>
        <v>0</v>
      </c>
      <c r="CY10" s="171"/>
      <c r="CZ10" s="171"/>
      <c r="DA10" s="171"/>
      <c r="DB10" s="171"/>
      <c r="DC10" s="171"/>
      <c r="DD10" s="171"/>
      <c r="DE10" s="171"/>
      <c r="DF10" s="171"/>
      <c r="DG10" s="171"/>
      <c r="DH10" s="171"/>
      <c r="DI10" s="171"/>
      <c r="DJ10" s="171"/>
      <c r="DK10" s="128">
        <f t="shared" ref="DK10:DK92" si="23">SUM(CY10:DJ10)</f>
        <v>0</v>
      </c>
      <c r="DL10" s="129" t="str">
        <f t="shared" ref="DL10:DL92" si="24">DK10/DK$9*100</f>
        <v>#DIV/0!</v>
      </c>
    </row>
    <row r="11">
      <c r="A11" s="131">
        <v>2.0</v>
      </c>
      <c r="B11" s="111" t="s">
        <v>53</v>
      </c>
      <c r="C11" s="112" t="s">
        <v>61</v>
      </c>
      <c r="D11" s="98">
        <f t="shared" si="9"/>
        <v>29</v>
      </c>
      <c r="E11" s="130">
        <f t="shared" si="10"/>
        <v>65.90909091</v>
      </c>
      <c r="F11" s="132" t="str">
        <f t="shared" si="11"/>
        <v>  </v>
      </c>
      <c r="G11" s="178" t="str">
        <f t="shared" si="12"/>
        <v>  </v>
      </c>
      <c r="H11" s="180"/>
      <c r="I11" s="180"/>
      <c r="J11" s="180"/>
      <c r="K11" s="180"/>
      <c r="L11" s="181"/>
      <c r="M11" s="139">
        <f t="shared" si="13"/>
        <v>0</v>
      </c>
      <c r="N11" s="140">
        <f t="shared" si="14"/>
        <v>0</v>
      </c>
      <c r="O11" s="116"/>
      <c r="P11" s="116"/>
      <c r="Q11" s="116"/>
      <c r="R11" s="116"/>
      <c r="S11" s="116"/>
      <c r="T11" s="116"/>
      <c r="U11" s="116"/>
      <c r="V11" s="116"/>
      <c r="W11" s="138">
        <v>1.0</v>
      </c>
      <c r="X11" s="138">
        <v>1.0</v>
      </c>
      <c r="Y11" s="138">
        <v>1.0</v>
      </c>
      <c r="Z11" s="185"/>
      <c r="AA11" s="187"/>
      <c r="AB11" s="138">
        <v>1.0</v>
      </c>
      <c r="AC11" s="116"/>
      <c r="AD11" s="138">
        <v>1.0</v>
      </c>
      <c r="AE11" s="116"/>
      <c r="AF11" s="188">
        <v>1.0</v>
      </c>
      <c r="AG11" s="188">
        <v>1.0</v>
      </c>
      <c r="AH11" s="138">
        <v>1.0</v>
      </c>
      <c r="AI11" s="138">
        <v>1.0</v>
      </c>
      <c r="AJ11" s="139">
        <f t="shared" si="15"/>
        <v>9</v>
      </c>
      <c r="AK11" s="140">
        <f t="shared" si="16"/>
        <v>69.23076923</v>
      </c>
      <c r="AL11" s="190"/>
      <c r="AM11" s="177">
        <v>1.0</v>
      </c>
      <c r="AN11" s="177">
        <v>1.0</v>
      </c>
      <c r="AO11" s="141"/>
      <c r="AP11" s="177">
        <v>1.0</v>
      </c>
      <c r="AQ11" s="116"/>
      <c r="AR11" s="138">
        <v>1.0</v>
      </c>
      <c r="AS11" s="191"/>
      <c r="AT11" s="138">
        <v>1.0</v>
      </c>
      <c r="AU11" s="116"/>
      <c r="AV11" s="116"/>
      <c r="AW11" s="116"/>
      <c r="AX11" s="116"/>
      <c r="AY11" s="116"/>
      <c r="AZ11" s="116"/>
      <c r="BA11" s="180"/>
      <c r="BB11" s="138">
        <v>1.0</v>
      </c>
      <c r="BC11" s="116"/>
      <c r="BD11" s="188">
        <v>1.0</v>
      </c>
      <c r="BE11" s="188">
        <v>1.0</v>
      </c>
      <c r="BF11" s="194"/>
      <c r="BG11" s="139">
        <f t="shared" si="17"/>
        <v>8</v>
      </c>
      <c r="BH11" s="152">
        <f t="shared" si="18"/>
        <v>66.66666667</v>
      </c>
      <c r="BI11" s="138">
        <v>1.0</v>
      </c>
      <c r="BJ11" s="138">
        <v>1.0</v>
      </c>
      <c r="BK11" s="180"/>
      <c r="BL11" s="138">
        <v>1.0</v>
      </c>
      <c r="BM11" s="116"/>
      <c r="BN11" s="116"/>
      <c r="BO11" s="116"/>
      <c r="BP11" s="138">
        <v>1.0</v>
      </c>
      <c r="BQ11" s="116"/>
      <c r="BR11" s="166"/>
      <c r="BS11" s="196">
        <v>1.0</v>
      </c>
      <c r="BT11" s="138">
        <v>1.0</v>
      </c>
      <c r="BU11" s="145">
        <v>1.0</v>
      </c>
      <c r="BV11" s="138">
        <v>1.0</v>
      </c>
      <c r="BW11" s="198"/>
      <c r="BX11" s="138">
        <v>1.0</v>
      </c>
      <c r="BY11" s="138">
        <v>1.0</v>
      </c>
      <c r="BZ11" s="194"/>
      <c r="CA11" s="138">
        <v>1.0</v>
      </c>
      <c r="CB11" s="116"/>
      <c r="CC11" s="194"/>
      <c r="CD11" s="194"/>
      <c r="CE11" s="124">
        <f t="shared" si="19"/>
        <v>11</v>
      </c>
      <c r="CF11" s="159">
        <f t="shared" si="20"/>
        <v>84.61538462</v>
      </c>
      <c r="CG11" s="116"/>
      <c r="CH11" s="116"/>
      <c r="CI11" s="145">
        <v>1.0</v>
      </c>
      <c r="CJ11" s="116"/>
      <c r="CK11" s="116"/>
      <c r="CL11" s="43"/>
      <c r="CM11" s="116"/>
      <c r="CN11" s="163"/>
      <c r="CO11" s="116"/>
      <c r="CP11" s="116"/>
      <c r="CQ11" s="116"/>
      <c r="CR11" s="116"/>
      <c r="CS11" s="116"/>
      <c r="CT11" s="116"/>
      <c r="CU11" s="116"/>
      <c r="CV11" s="194"/>
      <c r="CW11" s="128">
        <f t="shared" si="21"/>
        <v>1</v>
      </c>
      <c r="CX11" s="170">
        <f t="shared" si="22"/>
        <v>50</v>
      </c>
      <c r="CY11" s="171"/>
      <c r="CZ11" s="171"/>
      <c r="DA11" s="171"/>
      <c r="DB11" s="171"/>
      <c r="DC11" s="171"/>
      <c r="DD11" s="171"/>
      <c r="DE11" s="171"/>
      <c r="DF11" s="171"/>
      <c r="DG11" s="171"/>
      <c r="DH11" s="171"/>
      <c r="DI11" s="171"/>
      <c r="DJ11" s="171"/>
      <c r="DK11" s="128">
        <f t="shared" si="23"/>
        <v>0</v>
      </c>
      <c r="DL11" s="129" t="str">
        <f t="shared" si="24"/>
        <v>#DIV/0!</v>
      </c>
    </row>
    <row r="12" ht="16.5" customHeight="1">
      <c r="A12" s="146">
        <v>3.0</v>
      </c>
      <c r="B12" s="111" t="s">
        <v>55</v>
      </c>
      <c r="C12" s="112" t="s">
        <v>56</v>
      </c>
      <c r="D12" s="98">
        <f t="shared" si="9"/>
        <v>18</v>
      </c>
      <c r="E12" s="130">
        <f t="shared" si="10"/>
        <v>40.90909091</v>
      </c>
      <c r="F12" s="114">
        <f t="shared" si="11"/>
        <v>40.90909091</v>
      </c>
      <c r="G12" s="149" t="str">
        <f t="shared" si="12"/>
        <v>  </v>
      </c>
      <c r="H12" s="180"/>
      <c r="I12" s="203"/>
      <c r="J12" s="180"/>
      <c r="K12" s="180"/>
      <c r="L12" s="204"/>
      <c r="M12" s="139">
        <f t="shared" si="13"/>
        <v>0</v>
      </c>
      <c r="N12" s="140">
        <f t="shared" si="14"/>
        <v>0</v>
      </c>
      <c r="O12" s="116"/>
      <c r="P12" s="116"/>
      <c r="Q12" s="116"/>
      <c r="R12" s="116"/>
      <c r="S12" s="116"/>
      <c r="T12" s="116"/>
      <c r="U12" s="116"/>
      <c r="V12" s="116"/>
      <c r="W12" s="116"/>
      <c r="X12" s="138">
        <v>1.0</v>
      </c>
      <c r="Y12" s="138">
        <v>1.0</v>
      </c>
      <c r="Z12" s="185"/>
      <c r="AA12" s="187">
        <v>1.0</v>
      </c>
      <c r="AB12" s="138">
        <v>1.0</v>
      </c>
      <c r="AC12" s="138">
        <v>1.0</v>
      </c>
      <c r="AD12" s="116"/>
      <c r="AE12" s="116"/>
      <c r="AF12" s="196">
        <v>1.0</v>
      </c>
      <c r="AG12" s="196"/>
      <c r="AH12" s="196">
        <v>1.0</v>
      </c>
      <c r="AI12" s="165"/>
      <c r="AJ12" s="139">
        <f t="shared" si="15"/>
        <v>7</v>
      </c>
      <c r="AK12" s="205">
        <f t="shared" si="16"/>
        <v>53.84615385</v>
      </c>
      <c r="AL12" s="116"/>
      <c r="AM12" s="138">
        <v>1.0</v>
      </c>
      <c r="AN12" s="138">
        <v>1.0</v>
      </c>
      <c r="AO12" s="138">
        <v>1.0</v>
      </c>
      <c r="AP12" s="138">
        <v>1.0</v>
      </c>
      <c r="AQ12" s="116"/>
      <c r="AR12" s="138">
        <v>1.0</v>
      </c>
      <c r="AS12" s="191"/>
      <c r="AT12" s="116"/>
      <c r="AU12" s="138">
        <v>1.0</v>
      </c>
      <c r="AV12" s="116"/>
      <c r="AW12" s="116"/>
      <c r="AX12" s="116"/>
      <c r="AY12" s="116"/>
      <c r="AZ12" s="180"/>
      <c r="BA12" s="180"/>
      <c r="BB12" s="204"/>
      <c r="BC12" s="204"/>
      <c r="BD12" s="181"/>
      <c r="BE12" s="181"/>
      <c r="BF12" s="181"/>
      <c r="BG12" s="139">
        <f t="shared" si="17"/>
        <v>6</v>
      </c>
      <c r="BH12" s="208">
        <f t="shared" si="18"/>
        <v>50</v>
      </c>
      <c r="BI12" s="116"/>
      <c r="BJ12" s="180"/>
      <c r="BK12" s="180"/>
      <c r="BL12" s="138">
        <v>1.0</v>
      </c>
      <c r="BM12" s="116"/>
      <c r="BN12" s="116"/>
      <c r="BO12" s="116"/>
      <c r="BP12" s="138">
        <v>1.0</v>
      </c>
      <c r="BQ12" s="211"/>
      <c r="BR12" s="166"/>
      <c r="BS12" s="116"/>
      <c r="BT12" s="138">
        <v>1.0</v>
      </c>
      <c r="BU12" s="145">
        <v>1.0</v>
      </c>
      <c r="BV12" s="145">
        <v>1.0</v>
      </c>
      <c r="BW12" s="198"/>
      <c r="BX12" s="116"/>
      <c r="BY12" s="116"/>
      <c r="BZ12" s="165"/>
      <c r="CA12" s="116"/>
      <c r="CB12" s="165"/>
      <c r="CC12" s="165"/>
      <c r="CD12" s="165"/>
      <c r="CE12" s="124">
        <f t="shared" si="19"/>
        <v>5</v>
      </c>
      <c r="CF12" s="173">
        <f t="shared" si="20"/>
        <v>38.46153846</v>
      </c>
      <c r="CG12" s="116"/>
      <c r="CH12" s="116"/>
      <c r="CI12" s="43"/>
      <c r="CJ12" s="116"/>
      <c r="CK12" s="43"/>
      <c r="CL12" s="43"/>
      <c r="CM12" s="163"/>
      <c r="CN12" s="163"/>
      <c r="CO12" s="163"/>
      <c r="CP12" s="166"/>
      <c r="CQ12" s="166"/>
      <c r="CR12" s="166"/>
      <c r="CS12" s="166"/>
      <c r="CT12" s="116"/>
      <c r="CU12" s="116"/>
      <c r="CV12" s="213"/>
      <c r="CW12" s="128">
        <f t="shared" si="21"/>
        <v>0</v>
      </c>
      <c r="CX12" s="214">
        <f t="shared" si="22"/>
        <v>0</v>
      </c>
      <c r="CY12" s="171"/>
      <c r="CZ12" s="171"/>
      <c r="DA12" s="171"/>
      <c r="DB12" s="171"/>
      <c r="DC12" s="171"/>
      <c r="DD12" s="171"/>
      <c r="DE12" s="171"/>
      <c r="DF12" s="171"/>
      <c r="DG12" s="171"/>
      <c r="DH12" s="171"/>
      <c r="DI12" s="171"/>
      <c r="DJ12" s="171"/>
      <c r="DK12" s="128">
        <f t="shared" si="23"/>
        <v>0</v>
      </c>
      <c r="DL12" s="158" t="str">
        <f t="shared" si="24"/>
        <v>#DIV/0!</v>
      </c>
    </row>
    <row r="13">
      <c r="A13" s="50">
        <v>4.0</v>
      </c>
      <c r="B13" s="161" t="s">
        <v>57</v>
      </c>
      <c r="C13" s="162" t="s">
        <v>58</v>
      </c>
      <c r="D13" s="98">
        <f t="shared" si="9"/>
        <v>24</v>
      </c>
      <c r="E13" s="130">
        <f t="shared" si="10"/>
        <v>54.54545455</v>
      </c>
      <c r="F13" s="114" t="str">
        <f t="shared" si="11"/>
        <v>  </v>
      </c>
      <c r="G13" s="149" t="str">
        <f t="shared" si="12"/>
        <v>  </v>
      </c>
      <c r="H13" s="180"/>
      <c r="I13" s="180"/>
      <c r="J13" s="180"/>
      <c r="K13" s="180"/>
      <c r="L13" s="204"/>
      <c r="M13" s="139">
        <f t="shared" si="13"/>
        <v>0</v>
      </c>
      <c r="N13" s="140">
        <f t="shared" si="14"/>
        <v>0</v>
      </c>
      <c r="O13" s="116"/>
      <c r="P13" s="116"/>
      <c r="Q13" s="180"/>
      <c r="R13" s="116"/>
      <c r="S13" s="116"/>
      <c r="T13" s="116"/>
      <c r="U13" s="116"/>
      <c r="V13" s="116"/>
      <c r="W13" s="116"/>
      <c r="X13" s="116"/>
      <c r="Y13" s="138">
        <v>1.0</v>
      </c>
      <c r="Z13" s="185"/>
      <c r="AA13" s="217"/>
      <c r="AB13" s="138">
        <v>1.0</v>
      </c>
      <c r="AC13" s="138">
        <v>1.0</v>
      </c>
      <c r="AD13" s="138">
        <v>1.0</v>
      </c>
      <c r="AE13" s="116"/>
      <c r="AF13" s="196">
        <v>1.0</v>
      </c>
      <c r="AG13" s="196">
        <v>1.0</v>
      </c>
      <c r="AH13" s="196">
        <v>1.0</v>
      </c>
      <c r="AI13" s="165"/>
      <c r="AJ13" s="139">
        <f t="shared" si="15"/>
        <v>7</v>
      </c>
      <c r="AK13" s="205">
        <f t="shared" si="16"/>
        <v>53.84615385</v>
      </c>
      <c r="AL13" s="116"/>
      <c r="AM13" s="138">
        <v>1.0</v>
      </c>
      <c r="AN13" s="138">
        <v>1.0</v>
      </c>
      <c r="AO13" s="138">
        <v>1.0</v>
      </c>
      <c r="AP13" s="138">
        <v>1.0</v>
      </c>
      <c r="AQ13" s="116"/>
      <c r="AR13" s="138">
        <v>1.0</v>
      </c>
      <c r="AS13" s="166"/>
      <c r="AT13" s="116"/>
      <c r="AU13" s="138">
        <v>1.0</v>
      </c>
      <c r="AV13" s="116"/>
      <c r="AW13" s="116"/>
      <c r="AX13" s="116"/>
      <c r="AY13" s="116"/>
      <c r="AZ13" s="180"/>
      <c r="BA13" s="180"/>
      <c r="BB13" s="218">
        <v>1.0</v>
      </c>
      <c r="BC13" s="218">
        <v>1.0</v>
      </c>
      <c r="BD13" s="219">
        <v>1.0</v>
      </c>
      <c r="BE13" s="219">
        <v>1.0</v>
      </c>
      <c r="BF13" s="181"/>
      <c r="BG13" s="139">
        <f t="shared" si="17"/>
        <v>10</v>
      </c>
      <c r="BH13" s="208">
        <f t="shared" si="18"/>
        <v>83.33333333</v>
      </c>
      <c r="BI13" s="116"/>
      <c r="BJ13" s="215">
        <v>1.0</v>
      </c>
      <c r="BK13" s="180"/>
      <c r="BL13" s="138">
        <v>1.0</v>
      </c>
      <c r="BM13" s="116"/>
      <c r="BN13" s="116"/>
      <c r="BO13" s="116"/>
      <c r="BP13" s="138">
        <v>1.0</v>
      </c>
      <c r="BQ13" s="211"/>
      <c r="BR13" s="166"/>
      <c r="BS13" s="116"/>
      <c r="BT13" s="138">
        <v>1.0</v>
      </c>
      <c r="BU13" s="145">
        <v>1.0</v>
      </c>
      <c r="BV13" s="145">
        <v>1.0</v>
      </c>
      <c r="BW13" s="198"/>
      <c r="BX13" s="116"/>
      <c r="BY13" s="138">
        <v>1.0</v>
      </c>
      <c r="BZ13" s="165"/>
      <c r="CA13" s="116"/>
      <c r="CB13" s="165"/>
      <c r="CC13" s="165"/>
      <c r="CD13" s="165"/>
      <c r="CE13" s="124">
        <f t="shared" si="19"/>
        <v>7</v>
      </c>
      <c r="CF13" s="173">
        <f t="shared" si="20"/>
        <v>53.84615385</v>
      </c>
      <c r="CG13" s="116"/>
      <c r="CH13" s="138"/>
      <c r="CI13" s="43"/>
      <c r="CJ13" s="116"/>
      <c r="CK13" s="116"/>
      <c r="CL13" s="43"/>
      <c r="CM13" s="163"/>
      <c r="CN13" s="116"/>
      <c r="CO13" s="116"/>
      <c r="CP13" s="166"/>
      <c r="CQ13" s="213"/>
      <c r="CR13" s="213"/>
      <c r="CS13" s="116"/>
      <c r="CT13" s="116"/>
      <c r="CU13" s="116"/>
      <c r="CV13" s="213"/>
      <c r="CW13" s="128">
        <f t="shared" si="21"/>
        <v>0</v>
      </c>
      <c r="CX13" s="214">
        <f t="shared" si="22"/>
        <v>0</v>
      </c>
      <c r="CY13" s="171"/>
      <c r="CZ13" s="171"/>
      <c r="DA13" s="171"/>
      <c r="DB13" s="171"/>
      <c r="DC13" s="171"/>
      <c r="DD13" s="171"/>
      <c r="DE13" s="171"/>
      <c r="DF13" s="171"/>
      <c r="DG13" s="171"/>
      <c r="DH13" s="171"/>
      <c r="DI13" s="171"/>
      <c r="DJ13" s="171"/>
      <c r="DK13" s="128">
        <f t="shared" si="23"/>
        <v>0</v>
      </c>
      <c r="DL13" s="158" t="str">
        <f t="shared" si="24"/>
        <v>#DIV/0!</v>
      </c>
    </row>
    <row r="14">
      <c r="A14" s="131">
        <v>5.0</v>
      </c>
      <c r="B14" s="111" t="s">
        <v>59</v>
      </c>
      <c r="C14" s="112" t="s">
        <v>60</v>
      </c>
      <c r="D14" s="98">
        <f t="shared" si="9"/>
        <v>26</v>
      </c>
      <c r="E14" s="130">
        <f t="shared" si="10"/>
        <v>59.09090909</v>
      </c>
      <c r="F14" s="114" t="str">
        <f t="shared" si="11"/>
        <v>  </v>
      </c>
      <c r="G14" s="149" t="str">
        <f t="shared" si="12"/>
        <v>  </v>
      </c>
      <c r="H14" s="180"/>
      <c r="I14" s="180"/>
      <c r="J14" s="221"/>
      <c r="K14" s="180"/>
      <c r="L14" s="204"/>
      <c r="M14" s="139">
        <f t="shared" si="13"/>
        <v>0</v>
      </c>
      <c r="N14" s="140">
        <f t="shared" si="14"/>
        <v>0</v>
      </c>
      <c r="O14" s="116"/>
      <c r="P14" s="116"/>
      <c r="Q14" s="116"/>
      <c r="R14" s="179"/>
      <c r="S14" s="116"/>
      <c r="T14" s="116"/>
      <c r="U14" s="116"/>
      <c r="V14" s="179"/>
      <c r="W14" s="138">
        <v>1.0</v>
      </c>
      <c r="X14" s="116"/>
      <c r="Y14" s="184">
        <v>1.0</v>
      </c>
      <c r="Z14" s="185"/>
      <c r="AA14" s="187">
        <v>1.0</v>
      </c>
      <c r="AB14" s="138">
        <v>1.0</v>
      </c>
      <c r="AC14" s="184">
        <v>1.0</v>
      </c>
      <c r="AD14" s="116"/>
      <c r="AE14" s="116"/>
      <c r="AF14" s="182">
        <v>1.0</v>
      </c>
      <c r="AG14" s="182">
        <v>1.0</v>
      </c>
      <c r="AH14" s="138">
        <v>1.0</v>
      </c>
      <c r="AI14" s="138">
        <v>1.0</v>
      </c>
      <c r="AJ14" s="139">
        <f t="shared" si="15"/>
        <v>9</v>
      </c>
      <c r="AK14" s="205">
        <f t="shared" si="16"/>
        <v>69.23076923</v>
      </c>
      <c r="AL14" s="222"/>
      <c r="AM14" s="138">
        <v>1.0</v>
      </c>
      <c r="AN14" s="116"/>
      <c r="AO14" s="116"/>
      <c r="AP14" s="116"/>
      <c r="AQ14" s="116"/>
      <c r="AR14" s="116"/>
      <c r="AS14" s="166"/>
      <c r="AT14" s="138">
        <v>1.0</v>
      </c>
      <c r="AU14" s="138">
        <v>1.0</v>
      </c>
      <c r="AV14" s="116"/>
      <c r="AW14" s="179"/>
      <c r="AX14" s="116"/>
      <c r="AY14" s="116"/>
      <c r="AZ14" s="116"/>
      <c r="BA14" s="180"/>
      <c r="BB14" s="116"/>
      <c r="BC14" s="138">
        <v>1.0</v>
      </c>
      <c r="BD14" s="188">
        <v>1.0</v>
      </c>
      <c r="BE14" s="188">
        <v>1.0</v>
      </c>
      <c r="BF14" s="194"/>
      <c r="BG14" s="139">
        <f t="shared" si="17"/>
        <v>6</v>
      </c>
      <c r="BH14" s="208">
        <f t="shared" si="18"/>
        <v>50</v>
      </c>
      <c r="BI14" s="138">
        <v>1.0</v>
      </c>
      <c r="BJ14" s="138">
        <v>1.0</v>
      </c>
      <c r="BK14" s="180"/>
      <c r="BL14" s="138">
        <v>1.0</v>
      </c>
      <c r="BM14" s="116"/>
      <c r="BN14" s="116"/>
      <c r="BO14" s="138">
        <v>1.0</v>
      </c>
      <c r="BP14" s="138">
        <v>1.0</v>
      </c>
      <c r="BQ14" s="116"/>
      <c r="BR14" s="166"/>
      <c r="BS14" s="196">
        <v>1.0</v>
      </c>
      <c r="BT14" s="138">
        <v>1.0</v>
      </c>
      <c r="BU14" s="145">
        <v>1.0</v>
      </c>
      <c r="BV14" s="116"/>
      <c r="BW14" s="198"/>
      <c r="BX14" s="138">
        <v>1.0</v>
      </c>
      <c r="BY14" s="138">
        <v>1.0</v>
      </c>
      <c r="BZ14" s="165"/>
      <c r="CA14" s="165"/>
      <c r="CB14" s="165"/>
      <c r="CC14" s="165"/>
      <c r="CD14" s="165"/>
      <c r="CE14" s="124">
        <f t="shared" si="19"/>
        <v>10</v>
      </c>
      <c r="CF14" s="173">
        <f t="shared" si="20"/>
        <v>76.92307692</v>
      </c>
      <c r="CG14" s="116"/>
      <c r="CH14" s="138">
        <v>1.0</v>
      </c>
      <c r="CI14" s="138"/>
      <c r="CJ14" s="116"/>
      <c r="CK14" s="116"/>
      <c r="CL14" s="186"/>
      <c r="CM14" s="116"/>
      <c r="CN14" s="116"/>
      <c r="CO14" s="223"/>
      <c r="CP14" s="116"/>
      <c r="CQ14" s="165"/>
      <c r="CR14" s="165"/>
      <c r="CS14" s="116"/>
      <c r="CT14" s="116"/>
      <c r="CU14" s="165"/>
      <c r="CV14" s="165"/>
      <c r="CW14" s="128">
        <f t="shared" si="21"/>
        <v>1</v>
      </c>
      <c r="CX14" s="214">
        <f t="shared" si="22"/>
        <v>50</v>
      </c>
      <c r="CY14" s="171"/>
      <c r="CZ14" s="171"/>
      <c r="DA14" s="171"/>
      <c r="DB14" s="171"/>
      <c r="DC14" s="171"/>
      <c r="DD14" s="171"/>
      <c r="DE14" s="171"/>
      <c r="DF14" s="171"/>
      <c r="DG14" s="171"/>
      <c r="DH14" s="171"/>
      <c r="DI14" s="171"/>
      <c r="DJ14" s="171"/>
      <c r="DK14" s="128">
        <f t="shared" si="23"/>
        <v>0</v>
      </c>
      <c r="DL14" s="158" t="str">
        <f t="shared" si="24"/>
        <v>#DIV/0!</v>
      </c>
    </row>
    <row r="15">
      <c r="A15" s="146">
        <v>6.0</v>
      </c>
      <c r="B15" s="111" t="s">
        <v>62</v>
      </c>
      <c r="C15" s="112" t="s">
        <v>63</v>
      </c>
      <c r="D15" s="98">
        <f t="shared" si="9"/>
        <v>28</v>
      </c>
      <c r="E15" s="130">
        <f t="shared" si="10"/>
        <v>63.63636364</v>
      </c>
      <c r="F15" s="92" t="str">
        <f t="shared" si="11"/>
        <v>  </v>
      </c>
      <c r="G15" s="149" t="str">
        <f t="shared" si="12"/>
        <v>  </v>
      </c>
      <c r="H15" s="203"/>
      <c r="I15" s="224"/>
      <c r="J15" s="180"/>
      <c r="K15" s="180"/>
      <c r="L15" s="204"/>
      <c r="M15" s="139">
        <f t="shared" si="13"/>
        <v>0</v>
      </c>
      <c r="N15" s="140">
        <f t="shared" si="14"/>
        <v>0</v>
      </c>
      <c r="O15" s="116"/>
      <c r="P15" s="116"/>
      <c r="Q15" s="116"/>
      <c r="R15" s="186"/>
      <c r="S15" s="116"/>
      <c r="T15" s="116"/>
      <c r="U15" s="116"/>
      <c r="V15" s="186"/>
      <c r="W15" s="116"/>
      <c r="X15" s="138">
        <v>1.0</v>
      </c>
      <c r="Y15" s="200">
        <v>1.0</v>
      </c>
      <c r="Z15" s="185"/>
      <c r="AA15" s="187">
        <v>1.0</v>
      </c>
      <c r="AB15" s="138">
        <v>1.0</v>
      </c>
      <c r="AC15" s="200">
        <v>1.0</v>
      </c>
      <c r="AD15" s="138">
        <v>1.0</v>
      </c>
      <c r="AE15" s="116"/>
      <c r="AF15" s="197">
        <v>1.0</v>
      </c>
      <c r="AG15" s="197">
        <v>1.0</v>
      </c>
      <c r="AH15" s="138">
        <v>1.0</v>
      </c>
      <c r="AI15" s="138">
        <v>1.0</v>
      </c>
      <c r="AJ15" s="139">
        <f t="shared" si="15"/>
        <v>10</v>
      </c>
      <c r="AK15" s="205">
        <f t="shared" si="16"/>
        <v>76.92307692</v>
      </c>
      <c r="AL15" s="225"/>
      <c r="AM15" s="184">
        <v>1.0</v>
      </c>
      <c r="AN15" s="184">
        <v>1.0</v>
      </c>
      <c r="AO15" s="116"/>
      <c r="AP15" s="138">
        <v>1.0</v>
      </c>
      <c r="AQ15" s="116"/>
      <c r="AR15" s="138">
        <v>1.0</v>
      </c>
      <c r="AS15" s="166"/>
      <c r="AT15" s="138">
        <v>1.0</v>
      </c>
      <c r="AU15" s="138">
        <v>1.0</v>
      </c>
      <c r="AV15" s="116"/>
      <c r="AW15" s="186"/>
      <c r="AX15" s="116"/>
      <c r="AY15" s="116"/>
      <c r="AZ15" s="116"/>
      <c r="BA15" s="180"/>
      <c r="BB15" s="116"/>
      <c r="BC15" s="116"/>
      <c r="BD15" s="188">
        <v>1.0</v>
      </c>
      <c r="BE15" s="194"/>
      <c r="BF15" s="194"/>
      <c r="BG15" s="139">
        <f t="shared" si="17"/>
        <v>7</v>
      </c>
      <c r="BH15" s="208">
        <f t="shared" si="18"/>
        <v>58.33333333</v>
      </c>
      <c r="BI15" s="138">
        <v>1.0</v>
      </c>
      <c r="BJ15" s="138">
        <v>1.0</v>
      </c>
      <c r="BK15" s="180"/>
      <c r="BL15" s="138">
        <v>1.0</v>
      </c>
      <c r="BM15" s="116"/>
      <c r="BN15" s="116"/>
      <c r="BO15" s="138">
        <v>1.0</v>
      </c>
      <c r="BP15" s="138">
        <v>1.0</v>
      </c>
      <c r="BQ15" s="116"/>
      <c r="BR15" s="166"/>
      <c r="BS15" s="196">
        <v>1.0</v>
      </c>
      <c r="BT15" s="116"/>
      <c r="BU15" s="145">
        <v>1.0</v>
      </c>
      <c r="BV15" s="138">
        <v>1.0</v>
      </c>
      <c r="BW15" s="198"/>
      <c r="BX15" s="116"/>
      <c r="BY15" s="138">
        <v>1.0</v>
      </c>
      <c r="BZ15" s="165"/>
      <c r="CA15" s="116"/>
      <c r="CB15" s="116"/>
      <c r="CC15" s="165"/>
      <c r="CD15" s="165"/>
      <c r="CE15" s="124">
        <f t="shared" si="19"/>
        <v>9</v>
      </c>
      <c r="CF15" s="173">
        <f t="shared" si="20"/>
        <v>69.23076923</v>
      </c>
      <c r="CG15" s="116"/>
      <c r="CH15" s="138">
        <v>1.0</v>
      </c>
      <c r="CI15" s="138">
        <v>1.0</v>
      </c>
      <c r="CJ15" s="116"/>
      <c r="CK15" s="116"/>
      <c r="CL15" s="186"/>
      <c r="CM15" s="116"/>
      <c r="CN15" s="116"/>
      <c r="CO15" s="116"/>
      <c r="CP15" s="116"/>
      <c r="CQ15" s="165"/>
      <c r="CR15" s="165"/>
      <c r="CS15" s="116"/>
      <c r="CT15" s="116"/>
      <c r="CU15" s="165"/>
      <c r="CV15" s="165"/>
      <c r="CW15" s="128">
        <f t="shared" si="21"/>
        <v>2</v>
      </c>
      <c r="CX15" s="214">
        <f t="shared" si="22"/>
        <v>100</v>
      </c>
      <c r="CY15" s="171"/>
      <c r="CZ15" s="171"/>
      <c r="DA15" s="171"/>
      <c r="DB15" s="171"/>
      <c r="DC15" s="171"/>
      <c r="DD15" s="171"/>
      <c r="DE15" s="171"/>
      <c r="DF15" s="171"/>
      <c r="DG15" s="171"/>
      <c r="DH15" s="171"/>
      <c r="DI15" s="171"/>
      <c r="DJ15" s="171"/>
      <c r="DK15" s="128">
        <f t="shared" si="23"/>
        <v>0</v>
      </c>
      <c r="DL15" s="158" t="str">
        <f t="shared" si="24"/>
        <v>#DIV/0!</v>
      </c>
    </row>
    <row r="16">
      <c r="A16" s="50">
        <v>7.0</v>
      </c>
      <c r="B16" s="111" t="s">
        <v>64</v>
      </c>
      <c r="C16" s="112" t="s">
        <v>65</v>
      </c>
      <c r="D16" s="98">
        <f t="shared" si="9"/>
        <v>8</v>
      </c>
      <c r="E16" s="130">
        <f t="shared" si="10"/>
        <v>18.18181818</v>
      </c>
      <c r="F16" s="114">
        <f t="shared" si="11"/>
        <v>18.18181818</v>
      </c>
      <c r="G16" s="226">
        <f t="shared" si="12"/>
        <v>18.18181818</v>
      </c>
      <c r="H16" s="180"/>
      <c r="I16" s="221"/>
      <c r="J16" s="203"/>
      <c r="K16" s="180"/>
      <c r="L16" s="204"/>
      <c r="M16" s="139">
        <f t="shared" si="13"/>
        <v>0</v>
      </c>
      <c r="N16" s="140">
        <f t="shared" si="14"/>
        <v>0</v>
      </c>
      <c r="O16" s="116"/>
      <c r="P16" s="116"/>
      <c r="Q16" s="116"/>
      <c r="R16" s="179"/>
      <c r="S16" s="116"/>
      <c r="T16" s="116"/>
      <c r="U16" s="116"/>
      <c r="V16" s="179"/>
      <c r="W16" s="116"/>
      <c r="X16" s="138">
        <v>1.0</v>
      </c>
      <c r="Y16" s="184">
        <v>1.0</v>
      </c>
      <c r="Z16" s="185"/>
      <c r="AA16" s="217"/>
      <c r="AB16" s="138">
        <v>1.0</v>
      </c>
      <c r="AC16" s="184">
        <v>1.0</v>
      </c>
      <c r="AD16" s="176"/>
      <c r="AE16" s="176"/>
      <c r="AF16" s="176"/>
      <c r="AG16" s="182"/>
      <c r="AH16" s="116"/>
      <c r="AI16" s="176"/>
      <c r="AJ16" s="139">
        <f t="shared" si="15"/>
        <v>4</v>
      </c>
      <c r="AK16" s="205">
        <f t="shared" si="16"/>
        <v>30.76923077</v>
      </c>
      <c r="AL16" s="222"/>
      <c r="AM16" s="138">
        <v>1.0</v>
      </c>
      <c r="AN16" s="186"/>
      <c r="AO16" s="138">
        <v>1.0</v>
      </c>
      <c r="AP16" s="116"/>
      <c r="AQ16" s="116"/>
      <c r="AR16" s="116"/>
      <c r="AS16" s="166"/>
      <c r="AT16" s="116"/>
      <c r="AU16" s="116"/>
      <c r="AV16" s="116"/>
      <c r="AW16" s="179"/>
      <c r="AX16" s="116"/>
      <c r="AY16" s="116"/>
      <c r="AZ16" s="180"/>
      <c r="BA16" s="180"/>
      <c r="BB16" s="204"/>
      <c r="BC16" s="204"/>
      <c r="BD16" s="181"/>
      <c r="BE16" s="181"/>
      <c r="BF16" s="181"/>
      <c r="BG16" s="139">
        <f t="shared" si="17"/>
        <v>2</v>
      </c>
      <c r="BH16" s="208">
        <f t="shared" si="18"/>
        <v>16.66666667</v>
      </c>
      <c r="BI16" s="116"/>
      <c r="BJ16" s="116"/>
      <c r="BK16" s="180"/>
      <c r="BL16" s="116"/>
      <c r="BM16" s="116"/>
      <c r="BN16" s="116"/>
      <c r="BO16" s="116"/>
      <c r="BP16" s="116"/>
      <c r="BQ16" s="211"/>
      <c r="BR16" s="166"/>
      <c r="BS16" s="116"/>
      <c r="BT16" s="210">
        <v>1.0</v>
      </c>
      <c r="BU16" s="145"/>
      <c r="BV16" s="145">
        <v>1.0</v>
      </c>
      <c r="BW16" s="198"/>
      <c r="BX16" s="43"/>
      <c r="BY16" s="116"/>
      <c r="BZ16" s="165"/>
      <c r="CA16" s="116"/>
      <c r="CB16" s="165"/>
      <c r="CC16" s="165"/>
      <c r="CD16" s="165"/>
      <c r="CE16" s="124">
        <f t="shared" si="19"/>
        <v>2</v>
      </c>
      <c r="CF16" s="173">
        <f t="shared" si="20"/>
        <v>15.38461538</v>
      </c>
      <c r="CG16" s="184"/>
      <c r="CH16" s="230"/>
      <c r="CI16" s="186"/>
      <c r="CJ16" s="186"/>
      <c r="CK16" s="231"/>
      <c r="CL16" s="186"/>
      <c r="CM16" s="223"/>
      <c r="CN16" s="223"/>
      <c r="CO16" s="223"/>
      <c r="CP16" s="166"/>
      <c r="CQ16" s="213"/>
      <c r="CR16" s="213"/>
      <c r="CS16" s="213"/>
      <c r="CT16" s="116"/>
      <c r="CU16" s="213"/>
      <c r="CV16" s="213"/>
      <c r="CW16" s="128">
        <f t="shared" si="21"/>
        <v>0</v>
      </c>
      <c r="CX16" s="214">
        <f t="shared" si="22"/>
        <v>0</v>
      </c>
      <c r="CY16" s="171"/>
      <c r="CZ16" s="171"/>
      <c r="DA16" s="171"/>
      <c r="DB16" s="171"/>
      <c r="DC16" s="171"/>
      <c r="DD16" s="171"/>
      <c r="DE16" s="171"/>
      <c r="DF16" s="171"/>
      <c r="DG16" s="171"/>
      <c r="DH16" s="171"/>
      <c r="DI16" s="171"/>
      <c r="DJ16" s="171"/>
      <c r="DK16" s="128">
        <f t="shared" si="23"/>
        <v>0</v>
      </c>
      <c r="DL16" s="158" t="str">
        <f t="shared" si="24"/>
        <v>#DIV/0!</v>
      </c>
    </row>
    <row r="17">
      <c r="A17" s="131">
        <v>8.0</v>
      </c>
      <c r="B17" s="111" t="s">
        <v>66</v>
      </c>
      <c r="C17" s="112" t="s">
        <v>67</v>
      </c>
      <c r="D17" s="98">
        <f t="shared" si="9"/>
        <v>17</v>
      </c>
      <c r="E17" s="130">
        <f t="shared" si="10"/>
        <v>38.63636364</v>
      </c>
      <c r="F17" s="114">
        <f t="shared" si="11"/>
        <v>38.63636364</v>
      </c>
      <c r="G17" s="149" t="str">
        <f t="shared" si="12"/>
        <v>  </v>
      </c>
      <c r="H17" s="180"/>
      <c r="I17" s="203"/>
      <c r="J17" s="203"/>
      <c r="K17" s="180"/>
      <c r="L17" s="204"/>
      <c r="M17" s="139">
        <f t="shared" si="13"/>
        <v>0</v>
      </c>
      <c r="N17" s="140">
        <f t="shared" si="14"/>
        <v>0</v>
      </c>
      <c r="O17" s="116"/>
      <c r="P17" s="116"/>
      <c r="Q17" s="116"/>
      <c r="R17" s="207"/>
      <c r="S17" s="207"/>
      <c r="T17" s="116"/>
      <c r="U17" s="116"/>
      <c r="V17" s="207"/>
      <c r="W17" s="116"/>
      <c r="X17" s="138">
        <v>1.0</v>
      </c>
      <c r="Y17" s="234">
        <v>1.0</v>
      </c>
      <c r="Z17" s="185"/>
      <c r="AA17" s="217"/>
      <c r="AB17" s="138">
        <v>1.0</v>
      </c>
      <c r="AC17" s="234">
        <v>1.0</v>
      </c>
      <c r="AD17" s="209">
        <v>1.0</v>
      </c>
      <c r="AE17" s="116"/>
      <c r="AF17" s="209">
        <v>1.0</v>
      </c>
      <c r="AG17" s="206"/>
      <c r="AH17" s="138">
        <v>1.0</v>
      </c>
      <c r="AI17" s="209">
        <v>1.0</v>
      </c>
      <c r="AJ17" s="139">
        <f t="shared" si="15"/>
        <v>8</v>
      </c>
      <c r="AK17" s="205">
        <f t="shared" si="16"/>
        <v>61.53846154</v>
      </c>
      <c r="AL17" s="236"/>
      <c r="AM17" s="116"/>
      <c r="AN17" s="179"/>
      <c r="AO17" s="116"/>
      <c r="AP17" s="116"/>
      <c r="AQ17" s="116"/>
      <c r="AR17" s="116"/>
      <c r="AS17" s="166"/>
      <c r="AT17" s="116"/>
      <c r="AU17" s="138">
        <v>1.0</v>
      </c>
      <c r="AV17" s="116"/>
      <c r="AW17" s="207"/>
      <c r="AX17" s="116"/>
      <c r="AY17" s="116"/>
      <c r="AZ17" s="180"/>
      <c r="BA17" s="180"/>
      <c r="BB17" s="204"/>
      <c r="BC17" s="204"/>
      <c r="BD17" s="181"/>
      <c r="BE17" s="181"/>
      <c r="BF17" s="181"/>
      <c r="BG17" s="139">
        <f t="shared" si="17"/>
        <v>1</v>
      </c>
      <c r="BH17" s="208">
        <f t="shared" si="18"/>
        <v>8.333333333</v>
      </c>
      <c r="BI17" s="138">
        <v>1.0</v>
      </c>
      <c r="BJ17" s="138">
        <v>1.0</v>
      </c>
      <c r="BK17" s="180"/>
      <c r="BL17" s="116"/>
      <c r="BM17" s="116"/>
      <c r="BN17" s="116"/>
      <c r="BO17" s="116"/>
      <c r="BP17" s="138">
        <v>1.0</v>
      </c>
      <c r="BQ17" s="211"/>
      <c r="BR17" s="166"/>
      <c r="BS17" s="165"/>
      <c r="BT17" s="210">
        <v>1.0</v>
      </c>
      <c r="BU17" s="43"/>
      <c r="BV17" s="43"/>
      <c r="BW17" s="198"/>
      <c r="BX17" s="43"/>
      <c r="BY17" s="138">
        <v>1.0</v>
      </c>
      <c r="BZ17" s="165"/>
      <c r="CA17" s="196">
        <v>1.0</v>
      </c>
      <c r="CB17" s="116"/>
      <c r="CC17" s="165"/>
      <c r="CD17" s="165"/>
      <c r="CE17" s="124">
        <f t="shared" si="19"/>
        <v>6</v>
      </c>
      <c r="CF17" s="173">
        <f t="shared" si="20"/>
        <v>46.15384615</v>
      </c>
      <c r="CG17" s="234">
        <v>1.0</v>
      </c>
      <c r="CH17" s="138">
        <v>1.0</v>
      </c>
      <c r="CI17" s="138"/>
      <c r="CJ17" s="186"/>
      <c r="CK17" s="116"/>
      <c r="CL17" s="186"/>
      <c r="CM17" s="223"/>
      <c r="CN17" s="116"/>
      <c r="CO17" s="223"/>
      <c r="CP17" s="116"/>
      <c r="CQ17" s="165"/>
      <c r="CR17" s="165"/>
      <c r="CS17" s="116"/>
      <c r="CT17" s="116"/>
      <c r="CU17" s="116"/>
      <c r="CV17" s="165"/>
      <c r="CW17" s="128">
        <f t="shared" si="21"/>
        <v>2</v>
      </c>
      <c r="CX17" s="214">
        <f t="shared" si="22"/>
        <v>100</v>
      </c>
      <c r="CY17" s="171"/>
      <c r="CZ17" s="171"/>
      <c r="DA17" s="171"/>
      <c r="DB17" s="171"/>
      <c r="DC17" s="171"/>
      <c r="DD17" s="171"/>
      <c r="DE17" s="171"/>
      <c r="DF17" s="171"/>
      <c r="DG17" s="171"/>
      <c r="DH17" s="171"/>
      <c r="DI17" s="171"/>
      <c r="DJ17" s="171"/>
      <c r="DK17" s="128">
        <f t="shared" si="23"/>
        <v>0</v>
      </c>
      <c r="DL17" s="158" t="str">
        <f t="shared" si="24"/>
        <v>#DIV/0!</v>
      </c>
    </row>
    <row r="18" ht="15.0" customHeight="1">
      <c r="A18" s="146">
        <v>9.0</v>
      </c>
      <c r="B18" s="111" t="s">
        <v>68</v>
      </c>
      <c r="C18" s="112" t="s">
        <v>69</v>
      </c>
      <c r="D18" s="98">
        <f t="shared" si="9"/>
        <v>20</v>
      </c>
      <c r="E18" s="130">
        <f t="shared" si="10"/>
        <v>45.45454545</v>
      </c>
      <c r="F18" s="114">
        <f t="shared" si="11"/>
        <v>45.45454545</v>
      </c>
      <c r="G18" s="149" t="str">
        <f t="shared" si="12"/>
        <v>  </v>
      </c>
      <c r="H18" s="180"/>
      <c r="I18" s="203"/>
      <c r="J18" s="180"/>
      <c r="K18" s="180"/>
      <c r="L18" s="204"/>
      <c r="M18" s="139">
        <f t="shared" si="13"/>
        <v>0</v>
      </c>
      <c r="N18" s="140">
        <f t="shared" si="14"/>
        <v>0</v>
      </c>
      <c r="O18" s="116"/>
      <c r="P18" s="116"/>
      <c r="Q18" s="180"/>
      <c r="R18" s="186"/>
      <c r="S18" s="116"/>
      <c r="T18" s="116"/>
      <c r="U18" s="116"/>
      <c r="V18" s="186"/>
      <c r="W18" s="116"/>
      <c r="X18" s="138">
        <v>1.0</v>
      </c>
      <c r="Y18" s="200">
        <v>1.0</v>
      </c>
      <c r="Z18" s="185"/>
      <c r="AA18" s="187">
        <v>1.0</v>
      </c>
      <c r="AB18" s="116"/>
      <c r="AC18" s="200">
        <v>1.0</v>
      </c>
      <c r="AD18" s="197">
        <v>1.0</v>
      </c>
      <c r="AE18" s="116"/>
      <c r="AF18" s="195"/>
      <c r="AG18" s="197">
        <v>1.0</v>
      </c>
      <c r="AH18" s="116"/>
      <c r="AI18" s="197">
        <v>1.0</v>
      </c>
      <c r="AJ18" s="139">
        <f t="shared" si="15"/>
        <v>7</v>
      </c>
      <c r="AK18" s="205">
        <f t="shared" si="16"/>
        <v>53.84615385</v>
      </c>
      <c r="AL18" s="116"/>
      <c r="AM18" s="138">
        <v>1.0</v>
      </c>
      <c r="AN18" s="207"/>
      <c r="AO18" s="234">
        <v>1.0</v>
      </c>
      <c r="AP18" s="138">
        <v>1.0</v>
      </c>
      <c r="AQ18" s="116"/>
      <c r="AR18" s="138">
        <v>1.0</v>
      </c>
      <c r="AS18" s="166"/>
      <c r="AT18" s="116"/>
      <c r="AU18" s="138">
        <v>1.0</v>
      </c>
      <c r="AV18" s="116"/>
      <c r="AW18" s="186"/>
      <c r="AX18" s="116"/>
      <c r="AY18" s="116"/>
      <c r="AZ18" s="180"/>
      <c r="BA18" s="180"/>
      <c r="BB18" s="116"/>
      <c r="BC18" s="218"/>
      <c r="BD18" s="219"/>
      <c r="BE18" s="181"/>
      <c r="BF18" s="181"/>
      <c r="BG18" s="139">
        <f t="shared" si="17"/>
        <v>5</v>
      </c>
      <c r="BH18" s="208">
        <f t="shared" si="18"/>
        <v>41.66666667</v>
      </c>
      <c r="BI18" s="138">
        <v>1.0</v>
      </c>
      <c r="BJ18" s="180"/>
      <c r="BK18" s="180"/>
      <c r="BL18" s="138">
        <v>1.0</v>
      </c>
      <c r="BM18" s="116"/>
      <c r="BN18" s="116"/>
      <c r="BO18" s="138">
        <v>1.0</v>
      </c>
      <c r="BP18" s="116"/>
      <c r="BQ18" s="116"/>
      <c r="BR18" s="166"/>
      <c r="BS18" s="138">
        <v>1.0</v>
      </c>
      <c r="BT18" s="185"/>
      <c r="BU18" s="43"/>
      <c r="BV18" s="145">
        <v>1.0</v>
      </c>
      <c r="BW18" s="198"/>
      <c r="BX18" s="116"/>
      <c r="BY18" s="138">
        <v>1.0</v>
      </c>
      <c r="BZ18" s="165"/>
      <c r="CA18" s="116"/>
      <c r="CB18" s="116"/>
      <c r="CC18" s="165"/>
      <c r="CD18" s="165"/>
      <c r="CE18" s="124">
        <f t="shared" si="19"/>
        <v>6</v>
      </c>
      <c r="CF18" s="173">
        <f t="shared" si="20"/>
        <v>46.15384615</v>
      </c>
      <c r="CG18" s="138">
        <v>1.0</v>
      </c>
      <c r="CH18" s="238"/>
      <c r="CI18" s="200">
        <v>1.0</v>
      </c>
      <c r="CJ18" s="116"/>
      <c r="CK18" s="116"/>
      <c r="CL18" s="186"/>
      <c r="CM18" s="223"/>
      <c r="CN18" s="116"/>
      <c r="CO18" s="223"/>
      <c r="CP18" s="166"/>
      <c r="CQ18" s="213"/>
      <c r="CR18" s="213"/>
      <c r="CS18" s="116"/>
      <c r="CT18" s="213"/>
      <c r="CU18" s="213"/>
      <c r="CV18" s="213"/>
      <c r="CW18" s="128">
        <f t="shared" si="21"/>
        <v>2</v>
      </c>
      <c r="CX18" s="214">
        <f t="shared" si="22"/>
        <v>100</v>
      </c>
      <c r="CY18" s="171"/>
      <c r="CZ18" s="171"/>
      <c r="DA18" s="171"/>
      <c r="DB18" s="171"/>
      <c r="DC18" s="171"/>
      <c r="DD18" s="171"/>
      <c r="DE18" s="171"/>
      <c r="DF18" s="171"/>
      <c r="DG18" s="171"/>
      <c r="DH18" s="171"/>
      <c r="DI18" s="171"/>
      <c r="DJ18" s="171"/>
      <c r="DK18" s="128">
        <f t="shared" si="23"/>
        <v>0</v>
      </c>
      <c r="DL18" s="158" t="str">
        <f t="shared" si="24"/>
        <v>#DIV/0!</v>
      </c>
    </row>
    <row r="19">
      <c r="A19" s="50">
        <v>10.0</v>
      </c>
      <c r="B19" s="111" t="s">
        <v>70</v>
      </c>
      <c r="C19" s="112" t="s">
        <v>71</v>
      </c>
      <c r="D19" s="98">
        <f t="shared" si="9"/>
        <v>26</v>
      </c>
      <c r="E19" s="130">
        <f t="shared" si="10"/>
        <v>59.09090909</v>
      </c>
      <c r="F19" s="114" t="str">
        <f t="shared" si="11"/>
        <v>  </v>
      </c>
      <c r="G19" s="149" t="str">
        <f t="shared" si="12"/>
        <v>  </v>
      </c>
      <c r="H19" s="180"/>
      <c r="I19" s="180"/>
      <c r="J19" s="180"/>
      <c r="K19" s="180"/>
      <c r="L19" s="204"/>
      <c r="M19" s="139">
        <f t="shared" si="13"/>
        <v>0</v>
      </c>
      <c r="N19" s="140">
        <f t="shared" si="14"/>
        <v>0</v>
      </c>
      <c r="O19" s="116"/>
      <c r="P19" s="116"/>
      <c r="Q19" s="180"/>
      <c r="R19" s="179"/>
      <c r="S19" s="179"/>
      <c r="T19" s="116"/>
      <c r="U19" s="116"/>
      <c r="V19" s="179"/>
      <c r="W19" s="116"/>
      <c r="X19" s="138">
        <v>1.0</v>
      </c>
      <c r="Y19" s="184">
        <v>1.0</v>
      </c>
      <c r="Z19" s="185"/>
      <c r="AA19" s="187">
        <v>1.0</v>
      </c>
      <c r="AB19" s="138">
        <v>1.0</v>
      </c>
      <c r="AC19" s="184">
        <v>1.0</v>
      </c>
      <c r="AD19" s="138">
        <v>1.0</v>
      </c>
      <c r="AE19" s="116"/>
      <c r="AF19" s="182">
        <v>1.0</v>
      </c>
      <c r="AG19" s="182">
        <v>1.0</v>
      </c>
      <c r="AH19" s="138">
        <v>1.0</v>
      </c>
      <c r="AI19" s="182">
        <v>1.0</v>
      </c>
      <c r="AJ19" s="139">
        <f t="shared" si="15"/>
        <v>10</v>
      </c>
      <c r="AK19" s="205">
        <f t="shared" si="16"/>
        <v>76.92307692</v>
      </c>
      <c r="AL19" s="222"/>
      <c r="AM19" s="138">
        <v>1.0</v>
      </c>
      <c r="AN19" s="200">
        <v>1.0</v>
      </c>
      <c r="AO19" s="138">
        <v>1.0</v>
      </c>
      <c r="AP19" s="200">
        <v>1.0</v>
      </c>
      <c r="AQ19" s="116"/>
      <c r="AR19" s="138">
        <v>1.0</v>
      </c>
      <c r="AS19" s="191">
        <v>1.0</v>
      </c>
      <c r="AT19" s="116"/>
      <c r="AU19" s="138"/>
      <c r="AV19" s="116"/>
      <c r="AW19" s="179"/>
      <c r="AX19" s="116"/>
      <c r="AY19" s="116"/>
      <c r="AZ19" s="116"/>
      <c r="BA19" s="180"/>
      <c r="BB19" s="116"/>
      <c r="BC19" s="138">
        <v>1.0</v>
      </c>
      <c r="BD19" s="188">
        <v>1.0</v>
      </c>
      <c r="BE19" s="194"/>
      <c r="BF19" s="194"/>
      <c r="BG19" s="139">
        <f t="shared" si="17"/>
        <v>8</v>
      </c>
      <c r="BH19" s="208">
        <f t="shared" si="18"/>
        <v>66.66666667</v>
      </c>
      <c r="BI19" s="116"/>
      <c r="BJ19" s="116"/>
      <c r="BK19" s="180"/>
      <c r="BL19" s="116"/>
      <c r="BM19" s="116"/>
      <c r="BN19" s="116"/>
      <c r="BO19" s="138">
        <v>1.0</v>
      </c>
      <c r="BP19" s="138">
        <v>1.0</v>
      </c>
      <c r="BQ19" s="211"/>
      <c r="BR19" s="166"/>
      <c r="BS19" s="138">
        <v>1.0</v>
      </c>
      <c r="BT19" s="138">
        <v>1.0</v>
      </c>
      <c r="BU19" s="145">
        <v>1.0</v>
      </c>
      <c r="BV19" s="43"/>
      <c r="BW19" s="198"/>
      <c r="BX19" s="138">
        <v>1.0</v>
      </c>
      <c r="BY19" s="138">
        <v>1.0</v>
      </c>
      <c r="BZ19" s="165"/>
      <c r="CA19" s="116"/>
      <c r="CB19" s="165"/>
      <c r="CC19" s="165"/>
      <c r="CD19" s="165"/>
      <c r="CE19" s="124">
        <f t="shared" si="19"/>
        <v>7</v>
      </c>
      <c r="CF19" s="173">
        <f t="shared" si="20"/>
        <v>53.84615385</v>
      </c>
      <c r="CG19" s="138"/>
      <c r="CH19" s="238"/>
      <c r="CI19" s="200">
        <v>1.0</v>
      </c>
      <c r="CJ19" s="116"/>
      <c r="CK19" s="116"/>
      <c r="CL19" s="186"/>
      <c r="CM19" s="116"/>
      <c r="CN19" s="223"/>
      <c r="CO19" s="116"/>
      <c r="CP19" s="166"/>
      <c r="CQ19" s="213"/>
      <c r="CR19" s="213"/>
      <c r="CS19" s="116"/>
      <c r="CT19" s="213"/>
      <c r="CU19" s="213"/>
      <c r="CV19" s="213"/>
      <c r="CW19" s="128">
        <f t="shared" si="21"/>
        <v>1</v>
      </c>
      <c r="CX19" s="214">
        <f t="shared" si="22"/>
        <v>50</v>
      </c>
      <c r="CY19" s="171"/>
      <c r="CZ19" s="171"/>
      <c r="DA19" s="171"/>
      <c r="DB19" s="171"/>
      <c r="DC19" s="171"/>
      <c r="DD19" s="171"/>
      <c r="DE19" s="171"/>
      <c r="DF19" s="171"/>
      <c r="DG19" s="171"/>
      <c r="DH19" s="171"/>
      <c r="DI19" s="171"/>
      <c r="DJ19" s="171"/>
      <c r="DK19" s="128">
        <f t="shared" si="23"/>
        <v>0</v>
      </c>
      <c r="DL19" s="158" t="str">
        <f t="shared" si="24"/>
        <v>#DIV/0!</v>
      </c>
    </row>
    <row r="20">
      <c r="A20" s="131">
        <v>11.0</v>
      </c>
      <c r="B20" s="111" t="s">
        <v>72</v>
      </c>
      <c r="C20" s="112" t="s">
        <v>73</v>
      </c>
      <c r="D20" s="98">
        <f t="shared" si="9"/>
        <v>35</v>
      </c>
      <c r="E20" s="130">
        <f t="shared" si="10"/>
        <v>79.54545455</v>
      </c>
      <c r="F20" s="92" t="str">
        <f t="shared" si="11"/>
        <v>  </v>
      </c>
      <c r="G20" s="149" t="str">
        <f t="shared" si="12"/>
        <v>  </v>
      </c>
      <c r="H20" s="180"/>
      <c r="I20" s="180"/>
      <c r="J20" s="221"/>
      <c r="K20" s="180"/>
      <c r="L20" s="204"/>
      <c r="M20" s="139">
        <f t="shared" si="13"/>
        <v>0</v>
      </c>
      <c r="N20" s="140">
        <f t="shared" si="14"/>
        <v>0</v>
      </c>
      <c r="O20" s="116"/>
      <c r="P20" s="138">
        <v>1.0</v>
      </c>
      <c r="Q20" s="116"/>
      <c r="R20" s="186"/>
      <c r="S20" s="116"/>
      <c r="T20" s="116"/>
      <c r="U20" s="116"/>
      <c r="V20" s="186"/>
      <c r="W20" s="138">
        <v>1.0</v>
      </c>
      <c r="X20" s="138">
        <v>1.0</v>
      </c>
      <c r="Y20" s="200">
        <v>1.0</v>
      </c>
      <c r="Z20" s="185"/>
      <c r="AA20" s="187">
        <v>1.0</v>
      </c>
      <c r="AB20" s="138">
        <v>1.0</v>
      </c>
      <c r="AC20" s="200">
        <v>1.0</v>
      </c>
      <c r="AD20" s="138">
        <v>1.0</v>
      </c>
      <c r="AE20" s="116"/>
      <c r="AF20" s="197">
        <v>1.0</v>
      </c>
      <c r="AG20" s="197">
        <v>1.0</v>
      </c>
      <c r="AH20" s="138">
        <v>1.0</v>
      </c>
      <c r="AI20" s="138">
        <v>1.0</v>
      </c>
      <c r="AJ20" s="139">
        <f t="shared" si="15"/>
        <v>12</v>
      </c>
      <c r="AK20" s="205">
        <f t="shared" si="16"/>
        <v>92.30769231</v>
      </c>
      <c r="AL20" s="116"/>
      <c r="AM20" s="138">
        <v>1.0</v>
      </c>
      <c r="AN20" s="186"/>
      <c r="AO20" s="138">
        <v>1.0</v>
      </c>
      <c r="AP20" s="138">
        <v>1.0</v>
      </c>
      <c r="AQ20" s="116"/>
      <c r="AR20" s="138">
        <v>1.0</v>
      </c>
      <c r="AS20" s="191">
        <v>1.0</v>
      </c>
      <c r="AT20" s="138">
        <v>1.0</v>
      </c>
      <c r="AU20" s="138">
        <v>1.0</v>
      </c>
      <c r="AV20" s="116"/>
      <c r="AW20" s="186"/>
      <c r="AX20" s="116"/>
      <c r="AY20" s="116"/>
      <c r="AZ20" s="116"/>
      <c r="BA20" s="180"/>
      <c r="BB20" s="116"/>
      <c r="BC20" s="138">
        <v>1.0</v>
      </c>
      <c r="BD20" s="188">
        <v>1.0</v>
      </c>
      <c r="BE20" s="188">
        <v>1.0</v>
      </c>
      <c r="BF20" s="194"/>
      <c r="BG20" s="139">
        <f t="shared" si="17"/>
        <v>10</v>
      </c>
      <c r="BH20" s="208">
        <f t="shared" si="18"/>
        <v>83.33333333</v>
      </c>
      <c r="BI20" s="138">
        <v>1.0</v>
      </c>
      <c r="BJ20" s="138">
        <v>1.0</v>
      </c>
      <c r="BK20" s="180"/>
      <c r="BL20" s="138">
        <v>1.0</v>
      </c>
      <c r="BM20" s="116"/>
      <c r="BN20" s="116"/>
      <c r="BO20" s="138">
        <v>1.0</v>
      </c>
      <c r="BP20" s="138">
        <v>1.0</v>
      </c>
      <c r="BQ20" s="116"/>
      <c r="BR20" s="166"/>
      <c r="BS20" s="138">
        <v>1.0</v>
      </c>
      <c r="BT20" s="138">
        <v>1.0</v>
      </c>
      <c r="BU20" s="145">
        <v>1.0</v>
      </c>
      <c r="BV20" s="145">
        <v>1.0</v>
      </c>
      <c r="BW20" s="198"/>
      <c r="BX20" s="138">
        <v>1.0</v>
      </c>
      <c r="BY20" s="138">
        <v>1.0</v>
      </c>
      <c r="BZ20" s="165"/>
      <c r="CA20" s="116"/>
      <c r="CB20" s="116"/>
      <c r="CC20" s="165"/>
      <c r="CD20" s="165"/>
      <c r="CE20" s="124">
        <f t="shared" si="19"/>
        <v>11</v>
      </c>
      <c r="CF20" s="173">
        <f t="shared" si="20"/>
        <v>84.61538462</v>
      </c>
      <c r="CG20" s="138">
        <v>1.0</v>
      </c>
      <c r="CH20" s="116"/>
      <c r="CI20" s="138">
        <v>1.0</v>
      </c>
      <c r="CJ20" s="116"/>
      <c r="CK20" s="116"/>
      <c r="CL20" s="186"/>
      <c r="CM20" s="223"/>
      <c r="CN20" s="116"/>
      <c r="CO20" s="116"/>
      <c r="CP20" s="166"/>
      <c r="CQ20" s="213"/>
      <c r="CR20" s="213"/>
      <c r="CS20" s="116"/>
      <c r="CT20" s="116"/>
      <c r="CU20" s="213"/>
      <c r="CV20" s="213"/>
      <c r="CW20" s="128">
        <f t="shared" si="21"/>
        <v>2</v>
      </c>
      <c r="CX20" s="214">
        <f t="shared" si="22"/>
        <v>100</v>
      </c>
      <c r="CY20" s="171"/>
      <c r="CZ20" s="171"/>
      <c r="DA20" s="171"/>
      <c r="DB20" s="171"/>
      <c r="DC20" s="171"/>
      <c r="DD20" s="171"/>
      <c r="DE20" s="171"/>
      <c r="DF20" s="171"/>
      <c r="DG20" s="171"/>
      <c r="DH20" s="171"/>
      <c r="DI20" s="171"/>
      <c r="DJ20" s="171"/>
      <c r="DK20" s="128">
        <f t="shared" si="23"/>
        <v>0</v>
      </c>
      <c r="DL20" s="158" t="str">
        <f t="shared" si="24"/>
        <v>#DIV/0!</v>
      </c>
    </row>
    <row r="21" ht="15.75" customHeight="1">
      <c r="A21" s="146">
        <v>12.0</v>
      </c>
      <c r="B21" s="111" t="s">
        <v>74</v>
      </c>
      <c r="C21" s="112" t="s">
        <v>75</v>
      </c>
      <c r="D21" s="98">
        <f t="shared" si="9"/>
        <v>19</v>
      </c>
      <c r="E21" s="130">
        <f t="shared" si="10"/>
        <v>43.18181818</v>
      </c>
      <c r="F21" s="114">
        <f t="shared" si="11"/>
        <v>43.18181818</v>
      </c>
      <c r="G21" s="149" t="str">
        <f t="shared" si="12"/>
        <v>  </v>
      </c>
      <c r="H21" s="180"/>
      <c r="I21" s="180"/>
      <c r="J21" s="180"/>
      <c r="K21" s="203"/>
      <c r="L21" s="239"/>
      <c r="M21" s="139">
        <f t="shared" si="13"/>
        <v>0</v>
      </c>
      <c r="N21" s="140">
        <f t="shared" si="14"/>
        <v>0</v>
      </c>
      <c r="O21" s="116"/>
      <c r="P21" s="116"/>
      <c r="Q21" s="116"/>
      <c r="R21" s="179"/>
      <c r="S21" s="116"/>
      <c r="T21" s="116"/>
      <c r="U21" s="116"/>
      <c r="V21" s="179"/>
      <c r="W21" s="138">
        <v>1.0</v>
      </c>
      <c r="X21" s="138">
        <v>1.0</v>
      </c>
      <c r="Y21" s="184">
        <v>1.0</v>
      </c>
      <c r="Z21" s="185"/>
      <c r="AA21" s="217"/>
      <c r="AB21" s="138">
        <v>1.0</v>
      </c>
      <c r="AC21" s="184">
        <v>1.0</v>
      </c>
      <c r="AD21" s="182">
        <v>1.0</v>
      </c>
      <c r="AE21" s="176"/>
      <c r="AF21" s="182">
        <v>1.0</v>
      </c>
      <c r="AG21" s="182">
        <v>1.0</v>
      </c>
      <c r="AH21" s="182">
        <v>1.0</v>
      </c>
      <c r="AI21" s="176"/>
      <c r="AJ21" s="139">
        <f t="shared" si="15"/>
        <v>9</v>
      </c>
      <c r="AK21" s="205">
        <f t="shared" si="16"/>
        <v>69.23076923</v>
      </c>
      <c r="AL21" s="222"/>
      <c r="AM21" s="138">
        <v>1.0</v>
      </c>
      <c r="AN21" s="179"/>
      <c r="AO21" s="184">
        <v>1.0</v>
      </c>
      <c r="AP21" s="138">
        <v>1.0</v>
      </c>
      <c r="AQ21" s="116"/>
      <c r="AR21" s="116"/>
      <c r="AS21" s="166"/>
      <c r="AT21" s="138">
        <v>1.0</v>
      </c>
      <c r="AU21" s="138">
        <v>1.0</v>
      </c>
      <c r="AV21" s="116"/>
      <c r="AW21" s="179"/>
      <c r="AX21" s="116"/>
      <c r="AY21" s="116"/>
      <c r="AZ21" s="180"/>
      <c r="BA21" s="180"/>
      <c r="BB21" s="204"/>
      <c r="BC21" s="204"/>
      <c r="BD21" s="181"/>
      <c r="BE21" s="181"/>
      <c r="BF21" s="181"/>
      <c r="BG21" s="139">
        <f t="shared" si="17"/>
        <v>5</v>
      </c>
      <c r="BH21" s="208">
        <f t="shared" si="18"/>
        <v>41.66666667</v>
      </c>
      <c r="BI21" s="116"/>
      <c r="BJ21" s="116"/>
      <c r="BK21" s="180"/>
      <c r="BL21" s="116"/>
      <c r="BM21" s="116"/>
      <c r="BN21" s="116"/>
      <c r="BO21" s="138">
        <v>1.0</v>
      </c>
      <c r="BP21" s="138">
        <v>1.0</v>
      </c>
      <c r="BQ21" s="116"/>
      <c r="BR21" s="166"/>
      <c r="BS21" s="196">
        <v>1.0</v>
      </c>
      <c r="BT21" s="116"/>
      <c r="BU21" s="43"/>
      <c r="BV21" s="43"/>
      <c r="BW21" s="198"/>
      <c r="BX21" s="43"/>
      <c r="BY21" s="138">
        <v>1.0</v>
      </c>
      <c r="BZ21" s="165"/>
      <c r="CA21" s="116"/>
      <c r="CB21" s="116"/>
      <c r="CC21" s="165"/>
      <c r="CD21" s="165"/>
      <c r="CE21" s="124">
        <f t="shared" si="19"/>
        <v>4</v>
      </c>
      <c r="CF21" s="173">
        <f t="shared" si="20"/>
        <v>30.76923077</v>
      </c>
      <c r="CG21" s="138"/>
      <c r="CH21" s="116"/>
      <c r="CI21" s="138">
        <v>1.0</v>
      </c>
      <c r="CJ21" s="116"/>
      <c r="CK21" s="116"/>
      <c r="CL21" s="186"/>
      <c r="CM21" s="223"/>
      <c r="CN21" s="116"/>
      <c r="CO21" s="223"/>
      <c r="CP21" s="166"/>
      <c r="CQ21" s="213"/>
      <c r="CR21" s="213"/>
      <c r="CS21" s="116"/>
      <c r="CT21" s="116"/>
      <c r="CU21" s="213"/>
      <c r="CV21" s="213"/>
      <c r="CW21" s="128">
        <f t="shared" si="21"/>
        <v>1</v>
      </c>
      <c r="CX21" s="214">
        <f t="shared" si="22"/>
        <v>50</v>
      </c>
      <c r="CY21" s="171"/>
      <c r="CZ21" s="171"/>
      <c r="DA21" s="171"/>
      <c r="DB21" s="171"/>
      <c r="DC21" s="171"/>
      <c r="DD21" s="171"/>
      <c r="DE21" s="171"/>
      <c r="DF21" s="171"/>
      <c r="DG21" s="171"/>
      <c r="DH21" s="171"/>
      <c r="DI21" s="171"/>
      <c r="DJ21" s="171"/>
      <c r="DK21" s="128">
        <f t="shared" si="23"/>
        <v>0</v>
      </c>
      <c r="DL21" s="158" t="str">
        <f t="shared" si="24"/>
        <v>#DIV/0!</v>
      </c>
    </row>
    <row r="22" ht="15.75" customHeight="1">
      <c r="A22" s="50">
        <v>13.0</v>
      </c>
      <c r="B22" s="111" t="s">
        <v>76</v>
      </c>
      <c r="C22" s="112" t="s">
        <v>77</v>
      </c>
      <c r="D22" s="98">
        <f t="shared" si="9"/>
        <v>22</v>
      </c>
      <c r="E22" s="130">
        <f t="shared" si="10"/>
        <v>50</v>
      </c>
      <c r="F22" s="92" t="str">
        <f t="shared" si="11"/>
        <v>  </v>
      </c>
      <c r="G22" s="149" t="str">
        <f t="shared" si="12"/>
        <v>  </v>
      </c>
      <c r="H22" s="203"/>
      <c r="I22" s="180"/>
      <c r="J22" s="180"/>
      <c r="K22" s="180"/>
      <c r="L22" s="204"/>
      <c r="M22" s="139">
        <f t="shared" si="13"/>
        <v>0</v>
      </c>
      <c r="N22" s="140">
        <f t="shared" si="14"/>
        <v>0</v>
      </c>
      <c r="O22" s="116"/>
      <c r="P22" s="116"/>
      <c r="Q22" s="116"/>
      <c r="R22" s="179"/>
      <c r="S22" s="116"/>
      <c r="T22" s="116"/>
      <c r="U22" s="116"/>
      <c r="V22" s="179"/>
      <c r="W22" s="116"/>
      <c r="X22" s="138">
        <v>1.0</v>
      </c>
      <c r="Y22" s="184">
        <v>1.0</v>
      </c>
      <c r="Z22" s="185"/>
      <c r="AA22" s="187">
        <v>1.0</v>
      </c>
      <c r="AB22" s="116"/>
      <c r="AC22" s="184">
        <v>1.0</v>
      </c>
      <c r="AD22" s="182">
        <v>1.0</v>
      </c>
      <c r="AE22" s="176"/>
      <c r="AF22" s="176"/>
      <c r="AG22" s="182">
        <v>1.0</v>
      </c>
      <c r="AH22" s="176"/>
      <c r="AI22" s="182">
        <v>1.0</v>
      </c>
      <c r="AJ22" s="139">
        <f t="shared" si="15"/>
        <v>7</v>
      </c>
      <c r="AK22" s="205">
        <f t="shared" si="16"/>
        <v>53.84615385</v>
      </c>
      <c r="AL22" s="116"/>
      <c r="AM22" s="138">
        <v>1.0</v>
      </c>
      <c r="AN22" s="179"/>
      <c r="AO22" s="184">
        <v>1.0</v>
      </c>
      <c r="AP22" s="138">
        <v>1.0</v>
      </c>
      <c r="AQ22" s="116"/>
      <c r="AR22" s="138">
        <v>1.0</v>
      </c>
      <c r="AS22" s="166"/>
      <c r="AT22" s="116"/>
      <c r="AU22" s="138">
        <v>1.0</v>
      </c>
      <c r="AV22" s="116"/>
      <c r="AW22" s="179"/>
      <c r="AX22" s="116"/>
      <c r="AY22" s="116"/>
      <c r="AZ22" s="180"/>
      <c r="BA22" s="180"/>
      <c r="BB22" s="204"/>
      <c r="BC22" s="204"/>
      <c r="BD22" s="181"/>
      <c r="BE22" s="181"/>
      <c r="BF22" s="181"/>
      <c r="BG22" s="139">
        <f t="shared" si="17"/>
        <v>5</v>
      </c>
      <c r="BH22" s="208">
        <f t="shared" si="18"/>
        <v>41.66666667</v>
      </c>
      <c r="BI22" s="138">
        <v>1.0</v>
      </c>
      <c r="BJ22" s="215">
        <v>1.0</v>
      </c>
      <c r="BK22" s="180"/>
      <c r="BL22" s="138">
        <v>1.0</v>
      </c>
      <c r="BM22" s="116"/>
      <c r="BN22" s="116"/>
      <c r="BO22" s="138">
        <v>1.0</v>
      </c>
      <c r="BP22" s="138">
        <v>1.0</v>
      </c>
      <c r="BQ22" s="116"/>
      <c r="BR22" s="166"/>
      <c r="BS22" s="138">
        <v>1.0</v>
      </c>
      <c r="BT22" s="138">
        <v>1.0</v>
      </c>
      <c r="BU22" s="43"/>
      <c r="BV22" s="43"/>
      <c r="BW22" s="198"/>
      <c r="BX22" s="116"/>
      <c r="BY22" s="138">
        <v>1.0</v>
      </c>
      <c r="BZ22" s="165"/>
      <c r="CA22" s="116"/>
      <c r="CB22" s="116"/>
      <c r="CC22" s="165"/>
      <c r="CD22" s="165"/>
      <c r="CE22" s="124">
        <f t="shared" si="19"/>
        <v>8</v>
      </c>
      <c r="CF22" s="173">
        <f t="shared" si="20"/>
        <v>61.53846154</v>
      </c>
      <c r="CG22" s="138">
        <v>1.0</v>
      </c>
      <c r="CH22" s="116"/>
      <c r="CI22" s="200">
        <v>1.0</v>
      </c>
      <c r="CJ22" s="116"/>
      <c r="CK22" s="116"/>
      <c r="CL22" s="186"/>
      <c r="CM22" s="223"/>
      <c r="CN22" s="116"/>
      <c r="CO22" s="116"/>
      <c r="CP22" s="166"/>
      <c r="CQ22" s="213"/>
      <c r="CR22" s="213"/>
      <c r="CS22" s="116"/>
      <c r="CT22" s="213"/>
      <c r="CU22" s="213"/>
      <c r="CV22" s="213"/>
      <c r="CW22" s="128">
        <f t="shared" si="21"/>
        <v>2</v>
      </c>
      <c r="CX22" s="214">
        <f t="shared" si="22"/>
        <v>100</v>
      </c>
      <c r="CY22" s="171"/>
      <c r="CZ22" s="171"/>
      <c r="DA22" s="171"/>
      <c r="DB22" s="171"/>
      <c r="DC22" s="171"/>
      <c r="DD22" s="171"/>
      <c r="DE22" s="171"/>
      <c r="DF22" s="171"/>
      <c r="DG22" s="171"/>
      <c r="DH22" s="171"/>
      <c r="DI22" s="171"/>
      <c r="DJ22" s="171"/>
      <c r="DK22" s="128">
        <f t="shared" si="23"/>
        <v>0</v>
      </c>
      <c r="DL22" s="158" t="str">
        <f t="shared" si="24"/>
        <v>#DIV/0!</v>
      </c>
    </row>
    <row r="23" ht="15.75" customHeight="1">
      <c r="A23" s="131">
        <v>14.0</v>
      </c>
      <c r="B23" s="111" t="s">
        <v>78</v>
      </c>
      <c r="C23" s="112" t="s">
        <v>79</v>
      </c>
      <c r="D23" s="98">
        <f t="shared" si="9"/>
        <v>15</v>
      </c>
      <c r="E23" s="130">
        <f t="shared" si="10"/>
        <v>34.09090909</v>
      </c>
      <c r="F23" s="114">
        <f t="shared" si="11"/>
        <v>34.09090909</v>
      </c>
      <c r="G23" s="149" t="str">
        <f t="shared" si="12"/>
        <v>  </v>
      </c>
      <c r="H23" s="180"/>
      <c r="I23" s="203"/>
      <c r="J23" s="180"/>
      <c r="K23" s="180"/>
      <c r="L23" s="204"/>
      <c r="M23" s="139">
        <f t="shared" si="13"/>
        <v>0</v>
      </c>
      <c r="N23" s="140">
        <f t="shared" si="14"/>
        <v>0</v>
      </c>
      <c r="O23" s="116"/>
      <c r="P23" s="116"/>
      <c r="Q23" s="180"/>
      <c r="R23" s="179"/>
      <c r="S23" s="179"/>
      <c r="T23" s="116"/>
      <c r="U23" s="116"/>
      <c r="V23" s="179"/>
      <c r="W23" s="116"/>
      <c r="X23" s="138">
        <v>1.0</v>
      </c>
      <c r="Y23" s="179"/>
      <c r="Z23" s="185"/>
      <c r="AA23" s="187">
        <v>1.0</v>
      </c>
      <c r="AB23" s="138">
        <v>1.0</v>
      </c>
      <c r="AC23" s="179"/>
      <c r="AD23" s="182">
        <v>1.0</v>
      </c>
      <c r="AE23" s="116"/>
      <c r="AF23" s="182">
        <v>1.0</v>
      </c>
      <c r="AG23" s="176"/>
      <c r="AH23" s="116"/>
      <c r="AI23" s="138">
        <v>1.0</v>
      </c>
      <c r="AJ23" s="139">
        <f t="shared" si="15"/>
        <v>6</v>
      </c>
      <c r="AK23" s="205">
        <f t="shared" si="16"/>
        <v>46.15384615</v>
      </c>
      <c r="AL23" s="116"/>
      <c r="AM23" s="184">
        <v>1.0</v>
      </c>
      <c r="AN23" s="179"/>
      <c r="AO23" s="179"/>
      <c r="AP23" s="116"/>
      <c r="AQ23" s="116"/>
      <c r="AR23" s="116"/>
      <c r="AS23" s="166"/>
      <c r="AT23" s="138">
        <v>1.0</v>
      </c>
      <c r="AU23" s="138">
        <v>1.0</v>
      </c>
      <c r="AV23" s="116"/>
      <c r="AW23" s="179"/>
      <c r="AX23" s="116"/>
      <c r="AY23" s="116"/>
      <c r="AZ23" s="116"/>
      <c r="BA23" s="180"/>
      <c r="BC23" s="218">
        <v>1.0</v>
      </c>
      <c r="BD23" s="181"/>
      <c r="BE23" s="181"/>
      <c r="BF23" s="181"/>
      <c r="BG23" s="139">
        <f t="shared" si="17"/>
        <v>4</v>
      </c>
      <c r="BH23" s="208">
        <f t="shared" si="18"/>
        <v>33.33333333</v>
      </c>
      <c r="BI23" s="116"/>
      <c r="BJ23" s="138">
        <v>1.0</v>
      </c>
      <c r="BK23" s="180"/>
      <c r="BL23" s="138">
        <v>1.0</v>
      </c>
      <c r="BM23" s="116"/>
      <c r="BN23" s="116"/>
      <c r="BO23" s="138"/>
      <c r="BP23" s="116"/>
      <c r="BQ23" s="116"/>
      <c r="BR23" s="166"/>
      <c r="BS23" s="165"/>
      <c r="BT23" s="116"/>
      <c r="BU23" s="43"/>
      <c r="BV23" s="116"/>
      <c r="BW23" s="198"/>
      <c r="BX23" s="145">
        <v>1.0</v>
      </c>
      <c r="BY23" s="138">
        <v>1.0</v>
      </c>
      <c r="BZ23" s="165"/>
      <c r="CA23" s="116"/>
      <c r="CB23" s="116"/>
      <c r="CC23" s="165"/>
      <c r="CD23" s="165"/>
      <c r="CE23" s="124">
        <f t="shared" si="19"/>
        <v>4</v>
      </c>
      <c r="CF23" s="173">
        <f t="shared" si="20"/>
        <v>30.76923077</v>
      </c>
      <c r="CG23" s="184">
        <v>1.0</v>
      </c>
      <c r="CH23" s="116"/>
      <c r="CI23" s="116"/>
      <c r="CJ23" s="186"/>
      <c r="CK23" s="231"/>
      <c r="CL23" s="186"/>
      <c r="CM23" s="116"/>
      <c r="CN23" s="223"/>
      <c r="CO23" s="116"/>
      <c r="CP23" s="166"/>
      <c r="CQ23" s="213"/>
      <c r="CR23" s="213"/>
      <c r="CS23" s="213"/>
      <c r="CT23" s="116"/>
      <c r="CU23" s="116"/>
      <c r="CV23" s="213"/>
      <c r="CW23" s="128">
        <f t="shared" si="21"/>
        <v>1</v>
      </c>
      <c r="CX23" s="214">
        <f t="shared" si="22"/>
        <v>50</v>
      </c>
      <c r="CY23" s="171"/>
      <c r="CZ23" s="171"/>
      <c r="DA23" s="171"/>
      <c r="DB23" s="171"/>
      <c r="DC23" s="171"/>
      <c r="DD23" s="171"/>
      <c r="DE23" s="171"/>
      <c r="DF23" s="171"/>
      <c r="DG23" s="171"/>
      <c r="DH23" s="171"/>
      <c r="DI23" s="171"/>
      <c r="DJ23" s="171"/>
      <c r="DK23" s="128">
        <f t="shared" si="23"/>
        <v>0</v>
      </c>
      <c r="DL23" s="158" t="str">
        <f t="shared" si="24"/>
        <v>#DIV/0!</v>
      </c>
    </row>
    <row r="24" ht="15.75" customHeight="1">
      <c r="A24" s="146">
        <v>15.0</v>
      </c>
      <c r="B24" s="111" t="s">
        <v>80</v>
      </c>
      <c r="C24" s="112" t="s">
        <v>81</v>
      </c>
      <c r="D24" s="98">
        <f t="shared" si="9"/>
        <v>17</v>
      </c>
      <c r="E24" s="130">
        <f t="shared" si="10"/>
        <v>38.63636364</v>
      </c>
      <c r="F24" s="114">
        <f t="shared" si="11"/>
        <v>38.63636364</v>
      </c>
      <c r="G24" s="149" t="str">
        <f t="shared" si="12"/>
        <v>  </v>
      </c>
      <c r="H24" s="180"/>
      <c r="I24" s="180"/>
      <c r="J24" s="180"/>
      <c r="K24" s="203"/>
      <c r="L24" s="239"/>
      <c r="M24" s="139">
        <f t="shared" si="13"/>
        <v>0</v>
      </c>
      <c r="N24" s="140">
        <f t="shared" si="14"/>
        <v>0</v>
      </c>
      <c r="O24" s="116"/>
      <c r="P24" s="116"/>
      <c r="Q24" s="116"/>
      <c r="R24" s="179"/>
      <c r="S24" s="179"/>
      <c r="T24" s="116"/>
      <c r="U24" s="116"/>
      <c r="V24" s="179"/>
      <c r="W24" s="116"/>
      <c r="X24" s="116"/>
      <c r="Y24" s="184">
        <v>1.0</v>
      </c>
      <c r="Z24" s="185"/>
      <c r="AA24" s="217"/>
      <c r="AB24" s="138">
        <v>1.0</v>
      </c>
      <c r="AC24" s="184">
        <v>1.0</v>
      </c>
      <c r="AD24" s="182">
        <v>1.0</v>
      </c>
      <c r="AE24" s="116"/>
      <c r="AF24" s="176"/>
      <c r="AG24" s="182">
        <v>1.0</v>
      </c>
      <c r="AH24" s="182">
        <v>1.0</v>
      </c>
      <c r="AI24" s="182">
        <v>1.0</v>
      </c>
      <c r="AJ24" s="139">
        <f t="shared" si="15"/>
        <v>7</v>
      </c>
      <c r="AK24" s="205">
        <f t="shared" si="16"/>
        <v>53.84615385</v>
      </c>
      <c r="AL24" s="222"/>
      <c r="AM24" s="138">
        <v>1.0</v>
      </c>
      <c r="AN24" s="179"/>
      <c r="AO24" s="184">
        <v>1.0</v>
      </c>
      <c r="AP24" s="116"/>
      <c r="AQ24" s="116"/>
      <c r="AR24" s="116"/>
      <c r="AS24" s="166"/>
      <c r="AT24" s="138">
        <v>1.0</v>
      </c>
      <c r="AU24" s="138">
        <v>1.0</v>
      </c>
      <c r="AV24" s="116"/>
      <c r="AW24" s="179"/>
      <c r="AX24" s="116"/>
      <c r="AY24" s="116"/>
      <c r="AZ24" s="180"/>
      <c r="BA24" s="180"/>
      <c r="BB24" s="204"/>
      <c r="BC24" s="204"/>
      <c r="BD24" s="181"/>
      <c r="BE24" s="181"/>
      <c r="BF24" s="181"/>
      <c r="BG24" s="139">
        <f t="shared" si="17"/>
        <v>4</v>
      </c>
      <c r="BH24" s="208">
        <f t="shared" si="18"/>
        <v>33.33333333</v>
      </c>
      <c r="BI24" s="116"/>
      <c r="BJ24" s="116"/>
      <c r="BK24" s="180"/>
      <c r="BL24" s="116"/>
      <c r="BM24" s="116"/>
      <c r="BN24" s="116"/>
      <c r="BO24" s="138">
        <v>1.0</v>
      </c>
      <c r="BP24" s="138">
        <v>1.0</v>
      </c>
      <c r="BQ24" s="116"/>
      <c r="BR24" s="166"/>
      <c r="BS24" s="138">
        <v>1.0</v>
      </c>
      <c r="BT24" s="116"/>
      <c r="BU24" s="43"/>
      <c r="BV24" s="43"/>
      <c r="BW24" s="198"/>
      <c r="BX24" s="116"/>
      <c r="BY24" s="138">
        <v>1.0</v>
      </c>
      <c r="BZ24" s="165"/>
      <c r="CA24" s="116"/>
      <c r="CB24" s="165"/>
      <c r="CC24" s="165"/>
      <c r="CD24" s="165"/>
      <c r="CE24" s="124">
        <f t="shared" si="19"/>
        <v>4</v>
      </c>
      <c r="CF24" s="173">
        <f t="shared" si="20"/>
        <v>30.76923077</v>
      </c>
      <c r="CG24" s="138">
        <v>1.0</v>
      </c>
      <c r="CH24" s="116"/>
      <c r="CI24" s="200">
        <v>1.0</v>
      </c>
      <c r="CJ24" s="116"/>
      <c r="CK24" s="116"/>
      <c r="CL24" s="186"/>
      <c r="CM24" s="223"/>
      <c r="CN24" s="116"/>
      <c r="CO24" s="116"/>
      <c r="CP24" s="166"/>
      <c r="CQ24" s="213"/>
      <c r="CR24" s="213"/>
      <c r="CS24" s="116"/>
      <c r="CT24" s="116"/>
      <c r="CU24" s="213"/>
      <c r="CV24" s="213"/>
      <c r="CW24" s="128">
        <f t="shared" si="21"/>
        <v>2</v>
      </c>
      <c r="CX24" s="214">
        <f t="shared" si="22"/>
        <v>100</v>
      </c>
      <c r="CY24" s="171"/>
      <c r="CZ24" s="171"/>
      <c r="DA24" s="171"/>
      <c r="DB24" s="171"/>
      <c r="DC24" s="171"/>
      <c r="DD24" s="171"/>
      <c r="DE24" s="171"/>
      <c r="DF24" s="171"/>
      <c r="DG24" s="171"/>
      <c r="DH24" s="171"/>
      <c r="DI24" s="171"/>
      <c r="DJ24" s="171"/>
      <c r="DK24" s="128">
        <f t="shared" si="23"/>
        <v>0</v>
      </c>
      <c r="DL24" s="158" t="str">
        <f t="shared" si="24"/>
        <v>#DIV/0!</v>
      </c>
    </row>
    <row r="25" ht="15.75" customHeight="1">
      <c r="A25" s="50">
        <v>16.0</v>
      </c>
      <c r="B25" s="111" t="s">
        <v>82</v>
      </c>
      <c r="C25" s="112" t="s">
        <v>83</v>
      </c>
      <c r="D25" s="98">
        <f t="shared" si="9"/>
        <v>21</v>
      </c>
      <c r="E25" s="130">
        <f t="shared" si="10"/>
        <v>47.72727273</v>
      </c>
      <c r="F25" s="114">
        <f t="shared" si="11"/>
        <v>47.72727273</v>
      </c>
      <c r="G25" s="149" t="str">
        <f t="shared" si="12"/>
        <v>  </v>
      </c>
      <c r="H25" s="180"/>
      <c r="I25" s="203"/>
      <c r="J25" s="203"/>
      <c r="K25" s="180"/>
      <c r="L25" s="204"/>
      <c r="M25" s="139">
        <f t="shared" si="13"/>
        <v>0</v>
      </c>
      <c r="N25" s="140">
        <f t="shared" si="14"/>
        <v>0</v>
      </c>
      <c r="O25" s="116"/>
      <c r="P25" s="116"/>
      <c r="Q25" s="180"/>
      <c r="R25" s="179"/>
      <c r="S25" s="179"/>
      <c r="T25" s="116"/>
      <c r="U25" s="116"/>
      <c r="V25" s="179"/>
      <c r="W25" s="116"/>
      <c r="X25" s="138">
        <v>1.0</v>
      </c>
      <c r="Y25" s="184">
        <v>1.0</v>
      </c>
      <c r="Z25" s="185"/>
      <c r="AA25" s="187">
        <v>1.0</v>
      </c>
      <c r="AB25" s="138">
        <v>1.0</v>
      </c>
      <c r="AC25" s="184">
        <v>1.0</v>
      </c>
      <c r="AD25" s="182">
        <v>1.0</v>
      </c>
      <c r="AE25" s="116"/>
      <c r="AF25" s="182">
        <v>1.0</v>
      </c>
      <c r="AG25" s="182">
        <v>1.0</v>
      </c>
      <c r="AH25" s="116"/>
      <c r="AI25" s="116"/>
      <c r="AJ25" s="139">
        <f t="shared" si="15"/>
        <v>8</v>
      </c>
      <c r="AK25" s="205">
        <f t="shared" si="16"/>
        <v>61.53846154</v>
      </c>
      <c r="AL25" s="116"/>
      <c r="AM25" s="138">
        <v>1.0</v>
      </c>
      <c r="AN25" s="179"/>
      <c r="AO25" s="116"/>
      <c r="AP25" s="138">
        <v>1.0</v>
      </c>
      <c r="AQ25" s="116"/>
      <c r="AR25" s="138">
        <v>1.0</v>
      </c>
      <c r="AS25" s="166"/>
      <c r="AT25" s="138">
        <v>1.0</v>
      </c>
      <c r="AU25" s="138">
        <v>1.0</v>
      </c>
      <c r="AV25" s="116"/>
      <c r="AW25" s="179"/>
      <c r="AX25" s="116"/>
      <c r="AY25" s="116"/>
      <c r="AZ25" s="180"/>
      <c r="BA25" s="180"/>
      <c r="BB25" s="116"/>
      <c r="BC25" s="204"/>
      <c r="BD25" s="181"/>
      <c r="BE25" s="181"/>
      <c r="BF25" s="181"/>
      <c r="BG25" s="139">
        <f t="shared" si="17"/>
        <v>5</v>
      </c>
      <c r="BH25" s="208">
        <f t="shared" si="18"/>
        <v>41.66666667</v>
      </c>
      <c r="BI25" s="138">
        <v>1.0</v>
      </c>
      <c r="BJ25" s="215">
        <v>1.0</v>
      </c>
      <c r="BK25" s="180"/>
      <c r="BL25" s="116"/>
      <c r="BM25" s="116"/>
      <c r="BN25" s="116"/>
      <c r="BO25" s="138">
        <v>1.0</v>
      </c>
      <c r="BP25" s="138">
        <v>1.0</v>
      </c>
      <c r="BQ25" s="116"/>
      <c r="BR25" s="166"/>
      <c r="BS25" s="116"/>
      <c r="BT25" s="185"/>
      <c r="BU25" s="43"/>
      <c r="BV25" s="43"/>
      <c r="BW25" s="198"/>
      <c r="BX25" s="138">
        <v>1.0</v>
      </c>
      <c r="BY25" s="138">
        <v>1.0</v>
      </c>
      <c r="BZ25" s="165"/>
      <c r="CA25" s="116"/>
      <c r="CB25" s="116"/>
      <c r="CC25" s="165"/>
      <c r="CD25" s="165"/>
      <c r="CE25" s="124">
        <f t="shared" si="19"/>
        <v>6</v>
      </c>
      <c r="CF25" s="173">
        <f t="shared" si="20"/>
        <v>46.15384615</v>
      </c>
      <c r="CG25" s="138">
        <v>1.0</v>
      </c>
      <c r="CH25" s="116"/>
      <c r="CI25" s="200">
        <v>1.0</v>
      </c>
      <c r="CJ25" s="116"/>
      <c r="CK25" s="116"/>
      <c r="CL25" s="186"/>
      <c r="CM25" s="223"/>
      <c r="CN25" s="223"/>
      <c r="CO25" s="116"/>
      <c r="CP25" s="166"/>
      <c r="CQ25" s="213"/>
      <c r="CR25" s="213"/>
      <c r="CS25" s="213"/>
      <c r="CT25" s="116"/>
      <c r="CU25" s="213"/>
      <c r="CV25" s="213"/>
      <c r="CW25" s="128">
        <f t="shared" si="21"/>
        <v>2</v>
      </c>
      <c r="CX25" s="214">
        <f t="shared" si="22"/>
        <v>100</v>
      </c>
      <c r="CY25" s="171"/>
      <c r="CZ25" s="171"/>
      <c r="DA25" s="171"/>
      <c r="DB25" s="171"/>
      <c r="DC25" s="171"/>
      <c r="DD25" s="171"/>
      <c r="DE25" s="171"/>
      <c r="DF25" s="171"/>
      <c r="DG25" s="171"/>
      <c r="DH25" s="171"/>
      <c r="DI25" s="171"/>
      <c r="DJ25" s="171"/>
      <c r="DK25" s="128">
        <f t="shared" si="23"/>
        <v>0</v>
      </c>
      <c r="DL25" s="158" t="str">
        <f t="shared" si="24"/>
        <v>#DIV/0!</v>
      </c>
    </row>
    <row r="26" ht="15.75" customHeight="1">
      <c r="A26" s="131">
        <v>17.0</v>
      </c>
      <c r="B26" s="111" t="s">
        <v>84</v>
      </c>
      <c r="C26" s="112" t="s">
        <v>85</v>
      </c>
      <c r="D26" s="98">
        <f t="shared" si="9"/>
        <v>22</v>
      </c>
      <c r="E26" s="130">
        <f t="shared" si="10"/>
        <v>50</v>
      </c>
      <c r="F26" s="92" t="str">
        <f t="shared" si="11"/>
        <v>  </v>
      </c>
      <c r="G26" s="149" t="str">
        <f t="shared" si="12"/>
        <v>  </v>
      </c>
      <c r="H26" s="180"/>
      <c r="I26" s="203"/>
      <c r="J26" s="180"/>
      <c r="K26" s="180"/>
      <c r="L26" s="204"/>
      <c r="M26" s="139">
        <f t="shared" si="13"/>
        <v>0</v>
      </c>
      <c r="N26" s="140">
        <f t="shared" si="14"/>
        <v>0</v>
      </c>
      <c r="O26" s="116"/>
      <c r="P26" s="116"/>
      <c r="Q26" s="180"/>
      <c r="R26" s="228"/>
      <c r="S26" s="228"/>
      <c r="T26" s="116"/>
      <c r="U26" s="116"/>
      <c r="V26" s="228"/>
      <c r="W26" s="138">
        <v>1.0</v>
      </c>
      <c r="X26" s="138">
        <v>1.0</v>
      </c>
      <c r="Y26" s="233">
        <v>1.0</v>
      </c>
      <c r="Z26" s="185"/>
      <c r="AA26" s="217"/>
      <c r="AB26" s="138">
        <v>1.0</v>
      </c>
      <c r="AC26" s="233">
        <v>1.0</v>
      </c>
      <c r="AD26" s="138">
        <v>1.0</v>
      </c>
      <c r="AE26" s="116"/>
      <c r="AF26" s="227"/>
      <c r="AG26" s="227"/>
      <c r="AH26" s="116"/>
      <c r="AI26" s="138">
        <v>1.0</v>
      </c>
      <c r="AJ26" s="139">
        <f t="shared" si="15"/>
        <v>7</v>
      </c>
      <c r="AK26" s="205">
        <f t="shared" si="16"/>
        <v>53.84615385</v>
      </c>
      <c r="AL26" s="116"/>
      <c r="AM26" s="116"/>
      <c r="AN26" s="228"/>
      <c r="AO26" s="116"/>
      <c r="AP26" s="116"/>
      <c r="AQ26" s="116"/>
      <c r="AR26" s="138">
        <v>1.0</v>
      </c>
      <c r="AS26" s="191">
        <v>1.0</v>
      </c>
      <c r="AT26" s="138">
        <v>1.0</v>
      </c>
      <c r="AU26" s="138">
        <v>1.0</v>
      </c>
      <c r="AV26" s="116"/>
      <c r="AW26" s="228"/>
      <c r="AX26" s="116"/>
      <c r="AY26" s="116"/>
      <c r="AZ26" s="180"/>
      <c r="BA26" s="180"/>
      <c r="BB26" s="204"/>
      <c r="BC26" s="218">
        <v>1.0</v>
      </c>
      <c r="BD26" s="219">
        <v>1.0</v>
      </c>
      <c r="BE26" s="219">
        <v>1.0</v>
      </c>
      <c r="BF26" s="181"/>
      <c r="BG26" s="139">
        <f t="shared" si="17"/>
        <v>7</v>
      </c>
      <c r="BH26" s="208">
        <f t="shared" si="18"/>
        <v>58.33333333</v>
      </c>
      <c r="BI26" s="138">
        <v>1.0</v>
      </c>
      <c r="BJ26" s="138">
        <v>1.0</v>
      </c>
      <c r="BK26" s="180"/>
      <c r="BL26" s="116"/>
      <c r="BM26" s="116"/>
      <c r="BN26" s="116"/>
      <c r="BO26" s="138"/>
      <c r="BP26" s="138">
        <v>1.0</v>
      </c>
      <c r="BQ26" s="116"/>
      <c r="BR26" s="166"/>
      <c r="BS26" s="138">
        <v>1.0</v>
      </c>
      <c r="BT26" s="185"/>
      <c r="BU26" s="145">
        <v>1.0</v>
      </c>
      <c r="BV26" s="43"/>
      <c r="BW26" s="198"/>
      <c r="BX26" s="138">
        <v>1.0</v>
      </c>
      <c r="BY26" s="138">
        <v>1.0</v>
      </c>
      <c r="BZ26" s="165"/>
      <c r="CA26" s="138">
        <v>1.0</v>
      </c>
      <c r="CB26" s="116"/>
      <c r="CC26" s="165"/>
      <c r="CD26" s="165"/>
      <c r="CE26" s="124">
        <f t="shared" si="19"/>
        <v>8</v>
      </c>
      <c r="CF26" s="173">
        <f t="shared" si="20"/>
        <v>61.53846154</v>
      </c>
      <c r="CG26" s="116"/>
      <c r="CH26" s="116"/>
      <c r="CI26" s="116"/>
      <c r="CJ26" s="186"/>
      <c r="CK26" s="116"/>
      <c r="CL26" s="186"/>
      <c r="CM26" s="116"/>
      <c r="CN26" s="116"/>
      <c r="CO26" s="116"/>
      <c r="CP26" s="166"/>
      <c r="CQ26" s="213"/>
      <c r="CR26" s="213"/>
      <c r="CS26" s="116"/>
      <c r="CT26" s="213"/>
      <c r="CU26" s="213"/>
      <c r="CV26" s="213"/>
      <c r="CW26" s="128">
        <f t="shared" si="21"/>
        <v>0</v>
      </c>
      <c r="CX26" s="214">
        <f t="shared" si="22"/>
        <v>0</v>
      </c>
      <c r="CY26" s="171"/>
      <c r="CZ26" s="171"/>
      <c r="DA26" s="171"/>
      <c r="DB26" s="171"/>
      <c r="DC26" s="171"/>
      <c r="DD26" s="171"/>
      <c r="DE26" s="171"/>
      <c r="DF26" s="171"/>
      <c r="DG26" s="171"/>
      <c r="DH26" s="171"/>
      <c r="DI26" s="171"/>
      <c r="DJ26" s="171"/>
      <c r="DK26" s="128">
        <f t="shared" si="23"/>
        <v>0</v>
      </c>
      <c r="DL26" s="158" t="str">
        <f t="shared" si="24"/>
        <v>#DIV/0!</v>
      </c>
    </row>
    <row r="27" ht="15.75" customHeight="1">
      <c r="A27" s="146">
        <v>18.0</v>
      </c>
      <c r="B27" s="111" t="s">
        <v>86</v>
      </c>
      <c r="C27" s="112" t="s">
        <v>87</v>
      </c>
      <c r="D27" s="98">
        <f t="shared" si="9"/>
        <v>20</v>
      </c>
      <c r="E27" s="130">
        <f t="shared" si="10"/>
        <v>45.45454545</v>
      </c>
      <c r="F27" s="114">
        <f t="shared" si="11"/>
        <v>45.45454545</v>
      </c>
      <c r="G27" s="149" t="str">
        <f t="shared" si="12"/>
        <v>  </v>
      </c>
      <c r="H27" s="180"/>
      <c r="I27" s="180"/>
      <c r="J27" s="203"/>
      <c r="K27" s="180"/>
      <c r="L27" s="204"/>
      <c r="M27" s="139">
        <f t="shared" si="13"/>
        <v>0</v>
      </c>
      <c r="N27" s="140">
        <f t="shared" si="14"/>
        <v>0</v>
      </c>
      <c r="O27" s="116"/>
      <c r="P27" s="116"/>
      <c r="Q27" s="180"/>
      <c r="R27" s="179"/>
      <c r="S27" s="116"/>
      <c r="T27" s="116"/>
      <c r="U27" s="116"/>
      <c r="V27" s="179"/>
      <c r="W27" s="116"/>
      <c r="X27" s="138">
        <v>1.0</v>
      </c>
      <c r="Y27" s="184">
        <v>1.0</v>
      </c>
      <c r="Z27" s="185"/>
      <c r="AA27" s="217"/>
      <c r="AB27" s="138">
        <v>1.0</v>
      </c>
      <c r="AC27" s="184">
        <v>1.0</v>
      </c>
      <c r="AD27" s="116"/>
      <c r="AE27" s="116"/>
      <c r="AF27" s="182">
        <v>1.0</v>
      </c>
      <c r="AG27" s="182">
        <v>1.0</v>
      </c>
      <c r="AH27" s="182">
        <v>1.0</v>
      </c>
      <c r="AI27" s="116"/>
      <c r="AJ27" s="139">
        <f t="shared" si="15"/>
        <v>7</v>
      </c>
      <c r="AK27" s="205">
        <f t="shared" si="16"/>
        <v>53.84615385</v>
      </c>
      <c r="AL27" s="116"/>
      <c r="AM27" s="184">
        <v>1.0</v>
      </c>
      <c r="AN27" s="179"/>
      <c r="AO27" s="138"/>
      <c r="AP27" s="184"/>
      <c r="AQ27" s="116"/>
      <c r="AR27" s="138">
        <v>1.0</v>
      </c>
      <c r="AS27" s="166"/>
      <c r="AT27" s="116"/>
      <c r="AU27" s="116"/>
      <c r="AV27" s="116"/>
      <c r="AW27" s="179"/>
      <c r="AX27" s="116"/>
      <c r="AY27" s="116"/>
      <c r="AZ27" s="116"/>
      <c r="BA27" s="180"/>
      <c r="BB27" s="204"/>
      <c r="BC27" s="204"/>
      <c r="BD27" s="181"/>
      <c r="BE27" s="181"/>
      <c r="BF27" s="181"/>
      <c r="BG27" s="139">
        <f t="shared" si="17"/>
        <v>2</v>
      </c>
      <c r="BH27" s="208">
        <f t="shared" si="18"/>
        <v>16.66666667</v>
      </c>
      <c r="BI27" s="138">
        <v>1.0</v>
      </c>
      <c r="BJ27" s="116"/>
      <c r="BK27" s="180"/>
      <c r="BL27" s="138">
        <v>1.0</v>
      </c>
      <c r="BM27" s="116"/>
      <c r="BN27" s="116"/>
      <c r="BO27" s="138">
        <v>1.0</v>
      </c>
      <c r="BP27" s="138">
        <v>1.0</v>
      </c>
      <c r="BQ27" s="116"/>
      <c r="BR27" s="166"/>
      <c r="BS27" s="138">
        <v>1.0</v>
      </c>
      <c r="BT27" s="210">
        <v>1.0</v>
      </c>
      <c r="BU27" s="145">
        <v>1.0</v>
      </c>
      <c r="BV27" s="145">
        <v>1.0</v>
      </c>
      <c r="BW27" s="198"/>
      <c r="BX27" s="145">
        <v>1.0</v>
      </c>
      <c r="BY27" s="116"/>
      <c r="BZ27" s="196">
        <v>1.0</v>
      </c>
      <c r="CA27" s="116"/>
      <c r="CB27" s="116"/>
      <c r="CC27" s="165"/>
      <c r="CD27" s="165"/>
      <c r="CE27" s="124">
        <f t="shared" si="19"/>
        <v>10</v>
      </c>
      <c r="CF27" s="173">
        <f t="shared" si="20"/>
        <v>76.92307692</v>
      </c>
      <c r="CG27" s="138">
        <v>1.0</v>
      </c>
      <c r="CH27" s="116"/>
      <c r="CI27" s="186"/>
      <c r="CJ27" s="116"/>
      <c r="CK27" s="116"/>
      <c r="CL27" s="186"/>
      <c r="CM27" s="223"/>
      <c r="CN27" s="116"/>
      <c r="CO27" s="223"/>
      <c r="CP27" s="166"/>
      <c r="CQ27" s="213"/>
      <c r="CR27" s="213"/>
      <c r="CS27" s="213"/>
      <c r="CT27" s="116"/>
      <c r="CU27" s="213"/>
      <c r="CV27" s="213"/>
      <c r="CW27" s="128">
        <f t="shared" si="21"/>
        <v>1</v>
      </c>
      <c r="CX27" s="214">
        <f t="shared" si="22"/>
        <v>50</v>
      </c>
      <c r="CY27" s="171"/>
      <c r="CZ27" s="171"/>
      <c r="DA27" s="171"/>
      <c r="DB27" s="171"/>
      <c r="DC27" s="171"/>
      <c r="DD27" s="171"/>
      <c r="DE27" s="171"/>
      <c r="DF27" s="171"/>
      <c r="DG27" s="171"/>
      <c r="DH27" s="171"/>
      <c r="DI27" s="171"/>
      <c r="DJ27" s="171"/>
      <c r="DK27" s="128">
        <f t="shared" si="23"/>
        <v>0</v>
      </c>
      <c r="DL27" s="158" t="str">
        <f t="shared" si="24"/>
        <v>#DIV/0!</v>
      </c>
    </row>
    <row r="28" ht="15.75" customHeight="1">
      <c r="A28" s="50">
        <v>19.0</v>
      </c>
      <c r="B28" s="111" t="s">
        <v>88</v>
      </c>
      <c r="C28" s="112" t="s">
        <v>89</v>
      </c>
      <c r="D28" s="98">
        <f t="shared" si="9"/>
        <v>25</v>
      </c>
      <c r="E28" s="130">
        <f t="shared" si="10"/>
        <v>56.81818182</v>
      </c>
      <c r="F28" s="92" t="str">
        <f t="shared" si="11"/>
        <v>  </v>
      </c>
      <c r="G28" s="149" t="str">
        <f t="shared" si="12"/>
        <v>  </v>
      </c>
      <c r="H28" s="180"/>
      <c r="I28" s="180"/>
      <c r="J28" s="180"/>
      <c r="K28" s="180"/>
      <c r="L28" s="204"/>
      <c r="M28" s="139">
        <f t="shared" si="13"/>
        <v>0</v>
      </c>
      <c r="N28" s="140">
        <f t="shared" si="14"/>
        <v>0</v>
      </c>
      <c r="O28" s="116"/>
      <c r="P28" s="116"/>
      <c r="Q28" s="180"/>
      <c r="R28" s="179"/>
      <c r="S28" s="179"/>
      <c r="T28" s="116"/>
      <c r="U28" s="116"/>
      <c r="V28" s="179"/>
      <c r="W28" s="116"/>
      <c r="X28" s="116"/>
      <c r="Y28" s="179"/>
      <c r="Z28" s="185"/>
      <c r="AA28" s="187">
        <v>1.0</v>
      </c>
      <c r="AB28" s="116"/>
      <c r="AC28" s="179"/>
      <c r="AD28" s="182">
        <v>1.0</v>
      </c>
      <c r="AE28" s="116"/>
      <c r="AF28" s="182">
        <v>1.0</v>
      </c>
      <c r="AG28" s="182">
        <v>1.0</v>
      </c>
      <c r="AH28" s="138">
        <v>1.0</v>
      </c>
      <c r="AI28" s="138">
        <v>1.0</v>
      </c>
      <c r="AJ28" s="139">
        <f t="shared" si="15"/>
        <v>6</v>
      </c>
      <c r="AK28" s="205">
        <f t="shared" si="16"/>
        <v>46.15384615</v>
      </c>
      <c r="AL28" s="116"/>
      <c r="AM28" s="184">
        <v>1.0</v>
      </c>
      <c r="AN28" s="184">
        <v>1.0</v>
      </c>
      <c r="AO28" s="184">
        <v>1.0</v>
      </c>
      <c r="AP28" s="138">
        <v>1.0</v>
      </c>
      <c r="AQ28" s="116"/>
      <c r="AR28" s="116"/>
      <c r="AS28" s="166"/>
      <c r="AT28" s="138">
        <v>1.0</v>
      </c>
      <c r="AU28" s="138">
        <v>1.0</v>
      </c>
      <c r="AV28" s="116"/>
      <c r="AW28" s="179"/>
      <c r="AX28" s="116"/>
      <c r="AY28" s="116"/>
      <c r="AZ28" s="116"/>
      <c r="BA28" s="180"/>
      <c r="BB28" s="204"/>
      <c r="BC28" s="218">
        <v>1.0</v>
      </c>
      <c r="BD28" s="219">
        <v>1.0</v>
      </c>
      <c r="BE28" s="181"/>
      <c r="BF28" s="181"/>
      <c r="BG28" s="139">
        <f t="shared" si="17"/>
        <v>8</v>
      </c>
      <c r="BH28" s="208">
        <f t="shared" si="18"/>
        <v>66.66666667</v>
      </c>
      <c r="BI28" s="116"/>
      <c r="BJ28" s="138">
        <v>1.0</v>
      </c>
      <c r="BK28" s="180"/>
      <c r="BL28" s="138">
        <v>1.0</v>
      </c>
      <c r="BM28" s="116"/>
      <c r="BN28" s="116"/>
      <c r="BO28" s="138">
        <v>1.0</v>
      </c>
      <c r="BP28" s="138">
        <v>1.0</v>
      </c>
      <c r="BQ28" s="211"/>
      <c r="BR28" s="166"/>
      <c r="BS28" s="196">
        <v>1.0</v>
      </c>
      <c r="BT28" s="210">
        <v>1.0</v>
      </c>
      <c r="BU28" s="43"/>
      <c r="BV28" s="138">
        <v>1.0</v>
      </c>
      <c r="BW28" s="198"/>
      <c r="BX28" s="145">
        <v>1.0</v>
      </c>
      <c r="BY28" s="138">
        <v>1.0</v>
      </c>
      <c r="BZ28" s="165"/>
      <c r="CA28" s="116"/>
      <c r="CB28" s="116"/>
      <c r="CC28" s="165"/>
      <c r="CD28" s="165"/>
      <c r="CE28" s="124">
        <f t="shared" si="19"/>
        <v>9</v>
      </c>
      <c r="CF28" s="173">
        <f t="shared" si="20"/>
        <v>69.23076923</v>
      </c>
      <c r="CG28" s="184">
        <v>1.0</v>
      </c>
      <c r="CH28" s="116"/>
      <c r="CI28" s="138">
        <v>1.0</v>
      </c>
      <c r="CJ28" s="186"/>
      <c r="CK28" s="116"/>
      <c r="CL28" s="186"/>
      <c r="CM28" s="116"/>
      <c r="CN28" s="223"/>
      <c r="CO28" s="116"/>
      <c r="CP28" s="166"/>
      <c r="CQ28" s="213"/>
      <c r="CR28" s="213"/>
      <c r="CS28" s="213"/>
      <c r="CT28" s="116"/>
      <c r="CU28" s="116"/>
      <c r="CV28" s="213"/>
      <c r="CW28" s="128">
        <f t="shared" si="21"/>
        <v>2</v>
      </c>
      <c r="CX28" s="214">
        <f t="shared" si="22"/>
        <v>100</v>
      </c>
      <c r="CY28" s="171"/>
      <c r="CZ28" s="171"/>
      <c r="DA28" s="171"/>
      <c r="DB28" s="171"/>
      <c r="DC28" s="171"/>
      <c r="DD28" s="171"/>
      <c r="DE28" s="171"/>
      <c r="DF28" s="171"/>
      <c r="DG28" s="171"/>
      <c r="DH28" s="171"/>
      <c r="DI28" s="171"/>
      <c r="DJ28" s="171"/>
      <c r="DK28" s="128">
        <f t="shared" si="23"/>
        <v>0</v>
      </c>
      <c r="DL28" s="158" t="str">
        <f t="shared" si="24"/>
        <v>#DIV/0!</v>
      </c>
    </row>
    <row r="29" ht="15.75" customHeight="1">
      <c r="A29" s="131">
        <v>20.0</v>
      </c>
      <c r="B29" s="111" t="s">
        <v>90</v>
      </c>
      <c r="C29" s="112" t="s">
        <v>91</v>
      </c>
      <c r="D29" s="98">
        <f t="shared" si="9"/>
        <v>22</v>
      </c>
      <c r="E29" s="130">
        <f t="shared" si="10"/>
        <v>50</v>
      </c>
      <c r="F29" s="92" t="str">
        <f t="shared" si="11"/>
        <v>  </v>
      </c>
      <c r="G29" s="149" t="str">
        <f t="shared" si="12"/>
        <v>  </v>
      </c>
      <c r="H29" s="180"/>
      <c r="I29" s="180"/>
      <c r="J29" s="180"/>
      <c r="K29" s="180"/>
      <c r="L29" s="204"/>
      <c r="M29" s="139">
        <f t="shared" si="13"/>
        <v>0</v>
      </c>
      <c r="N29" s="140">
        <f t="shared" si="14"/>
        <v>0</v>
      </c>
      <c r="O29" s="116"/>
      <c r="P29" s="116"/>
      <c r="Q29" s="180"/>
      <c r="R29" s="179"/>
      <c r="S29" s="116"/>
      <c r="T29" s="116"/>
      <c r="U29" s="116"/>
      <c r="V29" s="179"/>
      <c r="W29" s="116"/>
      <c r="X29" s="138">
        <v>1.0</v>
      </c>
      <c r="Y29" s="184">
        <v>1.0</v>
      </c>
      <c r="Z29" s="185"/>
      <c r="AA29" s="187">
        <v>1.0</v>
      </c>
      <c r="AB29" s="138">
        <v>1.0</v>
      </c>
      <c r="AC29" s="184">
        <v>1.0</v>
      </c>
      <c r="AD29" s="182">
        <v>1.0</v>
      </c>
      <c r="AE29" s="116"/>
      <c r="AF29" s="182">
        <v>1.0</v>
      </c>
      <c r="AG29" s="176"/>
      <c r="AH29" s="116"/>
      <c r="AI29" s="182">
        <v>1.0</v>
      </c>
      <c r="AJ29" s="139">
        <f t="shared" si="15"/>
        <v>8</v>
      </c>
      <c r="AK29" s="205">
        <f t="shared" si="16"/>
        <v>61.53846154</v>
      </c>
      <c r="AL29" s="116"/>
      <c r="AM29" s="138">
        <v>1.0</v>
      </c>
      <c r="AN29" s="179"/>
      <c r="AO29" s="138">
        <v>1.0</v>
      </c>
      <c r="AP29" s="138">
        <v>1.0</v>
      </c>
      <c r="AQ29" s="116"/>
      <c r="AR29" s="116"/>
      <c r="AS29" s="191">
        <v>1.0</v>
      </c>
      <c r="AT29" s="116"/>
      <c r="AU29" s="138">
        <v>1.0</v>
      </c>
      <c r="AV29" s="116"/>
      <c r="AW29" s="179"/>
      <c r="AX29" s="116"/>
      <c r="AY29" s="116"/>
      <c r="AZ29" s="180"/>
      <c r="BA29" s="180"/>
      <c r="BB29" s="204"/>
      <c r="BC29" s="218">
        <v>1.0</v>
      </c>
      <c r="BD29" s="181"/>
      <c r="BE29" s="181"/>
      <c r="BF29" s="181"/>
      <c r="BG29" s="139">
        <f t="shared" si="17"/>
        <v>6</v>
      </c>
      <c r="BH29" s="208">
        <f t="shared" si="18"/>
        <v>50</v>
      </c>
      <c r="BI29" s="138">
        <v>1.0</v>
      </c>
      <c r="BJ29" s="215">
        <v>1.0</v>
      </c>
      <c r="BK29" s="180"/>
      <c r="BL29" s="116"/>
      <c r="BM29" s="116"/>
      <c r="BN29" s="116"/>
      <c r="BO29" s="138">
        <v>1.0</v>
      </c>
      <c r="BP29" s="138">
        <v>1.0</v>
      </c>
      <c r="BQ29" s="116"/>
      <c r="BR29" s="166"/>
      <c r="BS29" s="116"/>
      <c r="BT29" s="210">
        <v>1.0</v>
      </c>
      <c r="BU29" s="43"/>
      <c r="BV29" s="145">
        <v>1.0</v>
      </c>
      <c r="BW29" s="198"/>
      <c r="BX29" s="138">
        <v>1.0</v>
      </c>
      <c r="BY29" s="138">
        <v>1.0</v>
      </c>
      <c r="BZ29" s="165"/>
      <c r="CA29" s="116"/>
      <c r="CB29" s="116"/>
      <c r="CC29" s="165"/>
      <c r="CD29" s="165"/>
      <c r="CE29" s="124">
        <f t="shared" si="19"/>
        <v>8</v>
      </c>
      <c r="CF29" s="173">
        <f t="shared" si="20"/>
        <v>61.53846154</v>
      </c>
      <c r="CG29" s="116"/>
      <c r="CH29" s="116"/>
      <c r="CI29" s="186"/>
      <c r="CJ29" s="116"/>
      <c r="CK29" s="116"/>
      <c r="CL29" s="186"/>
      <c r="CM29" s="223"/>
      <c r="CN29" s="116"/>
      <c r="CO29" s="223"/>
      <c r="CP29" s="166"/>
      <c r="CQ29" s="213"/>
      <c r="CR29" s="213"/>
      <c r="CS29" s="116"/>
      <c r="CT29" s="213"/>
      <c r="CU29" s="213"/>
      <c r="CV29" s="213"/>
      <c r="CW29" s="128">
        <f t="shared" si="21"/>
        <v>0</v>
      </c>
      <c r="CX29" s="214">
        <f t="shared" si="22"/>
        <v>0</v>
      </c>
      <c r="CY29" s="171"/>
      <c r="CZ29" s="171"/>
      <c r="DA29" s="171"/>
      <c r="DB29" s="171"/>
      <c r="DC29" s="171"/>
      <c r="DD29" s="171"/>
      <c r="DE29" s="171"/>
      <c r="DF29" s="171"/>
      <c r="DG29" s="171"/>
      <c r="DH29" s="171"/>
      <c r="DI29" s="171"/>
      <c r="DJ29" s="171"/>
      <c r="DK29" s="128">
        <f t="shared" si="23"/>
        <v>0</v>
      </c>
      <c r="DL29" s="158" t="str">
        <f t="shared" si="24"/>
        <v>#DIV/0!</v>
      </c>
    </row>
    <row r="30" ht="15.75" customHeight="1">
      <c r="A30" s="146">
        <v>21.0</v>
      </c>
      <c r="B30" s="111" t="s">
        <v>92</v>
      </c>
      <c r="C30" s="112" t="s">
        <v>93</v>
      </c>
      <c r="D30" s="98">
        <f t="shared" si="9"/>
        <v>0</v>
      </c>
      <c r="E30" s="130">
        <f t="shared" si="10"/>
        <v>0</v>
      </c>
      <c r="F30" s="114">
        <f t="shared" si="11"/>
        <v>0</v>
      </c>
      <c r="G30" s="226">
        <f t="shared" si="12"/>
        <v>0</v>
      </c>
      <c r="H30" s="180"/>
      <c r="I30" s="180"/>
      <c r="J30" s="180"/>
      <c r="K30" s="180"/>
      <c r="L30" s="204"/>
      <c r="M30" s="139">
        <f t="shared" si="13"/>
        <v>0</v>
      </c>
      <c r="N30" s="140">
        <f t="shared" si="14"/>
        <v>0</v>
      </c>
      <c r="O30" s="116"/>
      <c r="P30" s="116"/>
      <c r="Q30" s="180"/>
      <c r="R30" s="179"/>
      <c r="S30" s="179"/>
      <c r="T30" s="116"/>
      <c r="U30" s="116"/>
      <c r="V30" s="179"/>
      <c r="W30" s="116"/>
      <c r="X30" s="116"/>
      <c r="Y30" s="184"/>
      <c r="Z30" s="185"/>
      <c r="AA30" s="217"/>
      <c r="AB30" s="116"/>
      <c r="AC30" s="179"/>
      <c r="AD30" s="176"/>
      <c r="AE30" s="176"/>
      <c r="AF30" s="176"/>
      <c r="AG30" s="176"/>
      <c r="AH30" s="176"/>
      <c r="AI30" s="176"/>
      <c r="AJ30" s="139">
        <f t="shared" si="15"/>
        <v>0</v>
      </c>
      <c r="AK30" s="205">
        <f t="shared" si="16"/>
        <v>0</v>
      </c>
      <c r="AL30" s="222"/>
      <c r="AM30" s="179"/>
      <c r="AN30" s="179"/>
      <c r="AO30" s="179"/>
      <c r="AP30" s="179"/>
      <c r="AQ30" s="116"/>
      <c r="AR30" s="116"/>
      <c r="AS30" s="166"/>
      <c r="AT30" s="116"/>
      <c r="AU30" s="116"/>
      <c r="AV30" s="116"/>
      <c r="AW30" s="179"/>
      <c r="AX30" s="116"/>
      <c r="AY30" s="116"/>
      <c r="AZ30" s="180"/>
      <c r="BA30" s="180"/>
      <c r="BB30" s="204"/>
      <c r="BC30" s="204"/>
      <c r="BD30" s="181"/>
      <c r="BE30" s="181"/>
      <c r="BF30" s="181"/>
      <c r="BG30" s="139">
        <f t="shared" si="17"/>
        <v>0</v>
      </c>
      <c r="BH30" s="208">
        <f t="shared" si="18"/>
        <v>0</v>
      </c>
      <c r="BI30" s="116"/>
      <c r="BJ30" s="180"/>
      <c r="BK30" s="180"/>
      <c r="BL30" s="116"/>
      <c r="BM30" s="116"/>
      <c r="BN30" s="116"/>
      <c r="BO30" s="138"/>
      <c r="BP30" s="116"/>
      <c r="BQ30" s="211"/>
      <c r="BR30" s="166"/>
      <c r="BS30" s="165"/>
      <c r="BT30" s="185"/>
      <c r="BU30" s="43"/>
      <c r="BV30" s="43"/>
      <c r="BW30" s="198"/>
      <c r="BX30" s="43"/>
      <c r="BY30" s="116"/>
      <c r="BZ30" s="165"/>
      <c r="CA30" s="165"/>
      <c r="CB30" s="165"/>
      <c r="CC30" s="165"/>
      <c r="CD30" s="165"/>
      <c r="CE30" s="124">
        <f t="shared" si="19"/>
        <v>0</v>
      </c>
      <c r="CF30" s="173">
        <f t="shared" si="20"/>
        <v>0</v>
      </c>
      <c r="CG30" s="184"/>
      <c r="CH30" s="238"/>
      <c r="CI30" s="116"/>
      <c r="CJ30" s="186"/>
      <c r="CK30" s="231"/>
      <c r="CL30" s="186"/>
      <c r="CM30" s="223"/>
      <c r="CN30" s="223"/>
      <c r="CO30" s="223"/>
      <c r="CP30" s="166"/>
      <c r="CQ30" s="213"/>
      <c r="CR30" s="213"/>
      <c r="CS30" s="213"/>
      <c r="CT30" s="213"/>
      <c r="CU30" s="213"/>
      <c r="CV30" s="213"/>
      <c r="CW30" s="128">
        <f t="shared" si="21"/>
        <v>0</v>
      </c>
      <c r="CX30" s="214">
        <f t="shared" si="22"/>
        <v>0</v>
      </c>
      <c r="CY30" s="171"/>
      <c r="CZ30" s="171"/>
      <c r="DA30" s="171"/>
      <c r="DB30" s="171"/>
      <c r="DC30" s="171"/>
      <c r="DD30" s="171"/>
      <c r="DE30" s="171"/>
      <c r="DF30" s="171"/>
      <c r="DG30" s="171"/>
      <c r="DH30" s="171"/>
      <c r="DI30" s="171"/>
      <c r="DJ30" s="171"/>
      <c r="DK30" s="128">
        <f t="shared" si="23"/>
        <v>0</v>
      </c>
      <c r="DL30" s="158" t="str">
        <f t="shared" si="24"/>
        <v>#DIV/0!</v>
      </c>
    </row>
    <row r="31" ht="15.75" customHeight="1">
      <c r="A31" s="50">
        <v>22.0</v>
      </c>
      <c r="B31" s="111" t="s">
        <v>94</v>
      </c>
      <c r="C31" s="112" t="s">
        <v>95</v>
      </c>
      <c r="D31" s="98">
        <f t="shared" si="9"/>
        <v>18</v>
      </c>
      <c r="E31" s="130">
        <f t="shared" si="10"/>
        <v>40.90909091</v>
      </c>
      <c r="F31" s="114">
        <f t="shared" si="11"/>
        <v>40.90909091</v>
      </c>
      <c r="G31" s="149" t="str">
        <f t="shared" si="12"/>
        <v>  </v>
      </c>
      <c r="H31" s="180"/>
      <c r="I31" s="203"/>
      <c r="J31" s="203"/>
      <c r="K31" s="180"/>
      <c r="L31" s="204"/>
      <c r="M31" s="139">
        <f t="shared" si="13"/>
        <v>0</v>
      </c>
      <c r="N31" s="140">
        <f t="shared" si="14"/>
        <v>0</v>
      </c>
      <c r="O31" s="116"/>
      <c r="P31" s="116"/>
      <c r="Q31" s="180"/>
      <c r="R31" s="179"/>
      <c r="S31" s="179"/>
      <c r="T31" s="116"/>
      <c r="U31" s="116"/>
      <c r="V31" s="179"/>
      <c r="W31" s="116"/>
      <c r="X31" s="138">
        <v>1.0</v>
      </c>
      <c r="Y31" s="179"/>
      <c r="Z31" s="185"/>
      <c r="AA31" s="217"/>
      <c r="AB31" s="116"/>
      <c r="AC31" s="179"/>
      <c r="AD31" s="176"/>
      <c r="AE31" s="116"/>
      <c r="AF31" s="176"/>
      <c r="AG31" s="176"/>
      <c r="AH31" s="182">
        <v>1.0</v>
      </c>
      <c r="AI31" s="182">
        <v>1.0</v>
      </c>
      <c r="AJ31" s="139">
        <f t="shared" si="15"/>
        <v>3</v>
      </c>
      <c r="AK31" s="205">
        <f t="shared" si="16"/>
        <v>23.07692308</v>
      </c>
      <c r="AL31" s="116"/>
      <c r="AM31" s="116"/>
      <c r="AN31" s="184">
        <v>1.0</v>
      </c>
      <c r="AO31" s="179"/>
      <c r="AP31" s="138">
        <v>1.0</v>
      </c>
      <c r="AQ31" s="116"/>
      <c r="AR31" s="138">
        <v>1.0</v>
      </c>
      <c r="AS31" s="191">
        <v>1.0</v>
      </c>
      <c r="AT31" s="116"/>
      <c r="AU31" s="138">
        <v>1.0</v>
      </c>
      <c r="AV31" s="116"/>
      <c r="AW31" s="179"/>
      <c r="AX31" s="116"/>
      <c r="AY31" s="116"/>
      <c r="AZ31" s="180"/>
      <c r="BA31" s="180"/>
      <c r="BB31" s="116"/>
      <c r="BC31" s="116"/>
      <c r="BD31" s="194"/>
      <c r="BE31" s="194"/>
      <c r="BF31" s="194"/>
      <c r="BG31" s="139">
        <f t="shared" si="17"/>
        <v>5</v>
      </c>
      <c r="BH31" s="208">
        <f t="shared" si="18"/>
        <v>41.66666667</v>
      </c>
      <c r="BI31" s="116"/>
      <c r="BJ31" s="138">
        <v>1.0</v>
      </c>
      <c r="BK31" s="180"/>
      <c r="BL31" s="138">
        <v>1.0</v>
      </c>
      <c r="BM31" s="116"/>
      <c r="BN31" s="116"/>
      <c r="BO31" s="138">
        <v>1.0</v>
      </c>
      <c r="BP31" s="138">
        <v>1.0</v>
      </c>
      <c r="BQ31" s="116"/>
      <c r="BR31" s="166"/>
      <c r="BS31" s="116"/>
      <c r="BT31" s="138">
        <v>1.0</v>
      </c>
      <c r="BU31" s="43"/>
      <c r="BV31" s="145">
        <v>1.0</v>
      </c>
      <c r="BW31" s="198"/>
      <c r="BX31" s="138">
        <v>1.0</v>
      </c>
      <c r="BY31" s="116"/>
      <c r="BZ31" s="196">
        <v>1.0</v>
      </c>
      <c r="CA31" s="116"/>
      <c r="CB31" s="165"/>
      <c r="CC31" s="165"/>
      <c r="CD31" s="165"/>
      <c r="CE31" s="124">
        <f t="shared" si="19"/>
        <v>8</v>
      </c>
      <c r="CF31" s="173">
        <f t="shared" si="20"/>
        <v>61.53846154</v>
      </c>
      <c r="CG31" s="241">
        <v>1.0</v>
      </c>
      <c r="CH31" s="238"/>
      <c r="CI31" s="138">
        <v>1.0</v>
      </c>
      <c r="CJ31" s="116"/>
      <c r="CK31" s="231"/>
      <c r="CL31" s="186"/>
      <c r="CM31" s="116"/>
      <c r="CN31" s="223"/>
      <c r="CO31" s="116"/>
      <c r="CP31" s="166"/>
      <c r="CQ31" s="213"/>
      <c r="CR31" s="213"/>
      <c r="CS31" s="213"/>
      <c r="CT31" s="213"/>
      <c r="CU31" s="213"/>
      <c r="CV31" s="213"/>
      <c r="CW31" s="128">
        <f t="shared" si="21"/>
        <v>2</v>
      </c>
      <c r="CX31" s="214">
        <f t="shared" si="22"/>
        <v>100</v>
      </c>
      <c r="CY31" s="171"/>
      <c r="CZ31" s="171"/>
      <c r="DA31" s="171"/>
      <c r="DB31" s="171"/>
      <c r="DC31" s="171"/>
      <c r="DD31" s="171"/>
      <c r="DE31" s="171"/>
      <c r="DF31" s="171"/>
      <c r="DG31" s="171"/>
      <c r="DH31" s="171"/>
      <c r="DI31" s="171"/>
      <c r="DJ31" s="171"/>
      <c r="DK31" s="128">
        <f t="shared" si="23"/>
        <v>0</v>
      </c>
      <c r="DL31" s="158" t="str">
        <f t="shared" si="24"/>
        <v>#DIV/0!</v>
      </c>
    </row>
    <row r="32" ht="15.75" customHeight="1">
      <c r="A32" s="131">
        <v>23.0</v>
      </c>
      <c r="B32" s="111" t="s">
        <v>96</v>
      </c>
      <c r="C32" s="112" t="s">
        <v>97</v>
      </c>
      <c r="D32" s="98">
        <f t="shared" si="9"/>
        <v>23</v>
      </c>
      <c r="E32" s="130">
        <f t="shared" si="10"/>
        <v>52.27272727</v>
      </c>
      <c r="F32" s="92" t="str">
        <f t="shared" si="11"/>
        <v>  </v>
      </c>
      <c r="G32" s="149" t="str">
        <f t="shared" si="12"/>
        <v>  </v>
      </c>
      <c r="H32" s="180"/>
      <c r="I32" s="203"/>
      <c r="J32" s="180"/>
      <c r="K32" s="180"/>
      <c r="L32" s="204"/>
      <c r="M32" s="139">
        <f t="shared" si="13"/>
        <v>0</v>
      </c>
      <c r="N32" s="140">
        <f t="shared" si="14"/>
        <v>0</v>
      </c>
      <c r="O32" s="116"/>
      <c r="P32" s="116"/>
      <c r="Q32" s="180"/>
      <c r="R32" s="179"/>
      <c r="S32" s="116"/>
      <c r="T32" s="116"/>
      <c r="U32" s="116"/>
      <c r="V32" s="179"/>
      <c r="W32" s="138">
        <v>1.0</v>
      </c>
      <c r="X32" s="138">
        <v>1.0</v>
      </c>
      <c r="Y32" s="184">
        <v>1.0</v>
      </c>
      <c r="Z32" s="185"/>
      <c r="AA32" s="217"/>
      <c r="AB32" s="138">
        <v>1.0</v>
      </c>
      <c r="AC32" s="184">
        <v>1.0</v>
      </c>
      <c r="AD32" s="138">
        <v>1.0</v>
      </c>
      <c r="AE32" s="116"/>
      <c r="AF32" s="182">
        <v>1.0</v>
      </c>
      <c r="AG32" s="182">
        <v>1.0</v>
      </c>
      <c r="AH32" s="182">
        <v>1.0</v>
      </c>
      <c r="AI32" s="116"/>
      <c r="AJ32" s="139">
        <f t="shared" si="15"/>
        <v>9</v>
      </c>
      <c r="AK32" s="205">
        <f t="shared" si="16"/>
        <v>69.23076923</v>
      </c>
      <c r="AL32" s="116"/>
      <c r="AM32" s="184">
        <v>1.0</v>
      </c>
      <c r="AN32" s="179"/>
      <c r="AO32" s="116"/>
      <c r="AP32" s="138">
        <v>1.0</v>
      </c>
      <c r="AQ32" s="116"/>
      <c r="AR32" s="138">
        <v>1.0</v>
      </c>
      <c r="AS32" s="166"/>
      <c r="AT32" s="116"/>
      <c r="AU32" s="116"/>
      <c r="AV32" s="116"/>
      <c r="AW32" s="179"/>
      <c r="AX32" s="116"/>
      <c r="AY32" s="116"/>
      <c r="AZ32" s="116"/>
      <c r="BA32" s="180"/>
      <c r="BB32" s="116"/>
      <c r="BC32" s="204"/>
      <c r="BD32" s="219">
        <v>1.0</v>
      </c>
      <c r="BE32" s="219">
        <v>1.0</v>
      </c>
      <c r="BF32" s="181"/>
      <c r="BG32" s="139">
        <f t="shared" si="17"/>
        <v>5</v>
      </c>
      <c r="BH32" s="208">
        <f t="shared" si="18"/>
        <v>41.66666667</v>
      </c>
      <c r="BI32" s="138">
        <v>1.0</v>
      </c>
      <c r="BJ32" s="116"/>
      <c r="BK32" s="180"/>
      <c r="BL32" s="138">
        <v>1.0</v>
      </c>
      <c r="BM32" s="116"/>
      <c r="BN32" s="116"/>
      <c r="BO32" s="116"/>
      <c r="BP32" s="138">
        <v>1.0</v>
      </c>
      <c r="BQ32" s="116"/>
      <c r="BR32" s="166"/>
      <c r="BS32" s="138">
        <v>1.0</v>
      </c>
      <c r="BT32" s="138">
        <v>1.0</v>
      </c>
      <c r="BU32" s="145">
        <v>1.0</v>
      </c>
      <c r="BV32" s="145">
        <v>1.0</v>
      </c>
      <c r="BW32" s="198"/>
      <c r="BX32" s="145">
        <v>1.0</v>
      </c>
      <c r="BY32" s="116"/>
      <c r="BZ32" s="196">
        <v>1.0</v>
      </c>
      <c r="CA32" s="165"/>
      <c r="CB32" s="165"/>
      <c r="CC32" s="165"/>
      <c r="CD32" s="165"/>
      <c r="CE32" s="124">
        <f t="shared" si="19"/>
        <v>9</v>
      </c>
      <c r="CF32" s="173">
        <f t="shared" si="20"/>
        <v>69.23076923</v>
      </c>
      <c r="CG32" s="179"/>
      <c r="CH32" s="238"/>
      <c r="CI32" s="186"/>
      <c r="CJ32" s="186"/>
      <c r="CK32" s="116"/>
      <c r="CL32" s="186"/>
      <c r="CM32" s="223"/>
      <c r="CN32" s="116"/>
      <c r="CO32" s="223"/>
      <c r="CP32" s="166"/>
      <c r="CQ32" s="213"/>
      <c r="CR32" s="213"/>
      <c r="CS32" s="116"/>
      <c r="CT32" s="116"/>
      <c r="CU32" s="213"/>
      <c r="CV32" s="213"/>
      <c r="CW32" s="128">
        <f t="shared" si="21"/>
        <v>0</v>
      </c>
      <c r="CX32" s="214">
        <f t="shared" si="22"/>
        <v>0</v>
      </c>
      <c r="CY32" s="171"/>
      <c r="CZ32" s="171"/>
      <c r="DA32" s="171"/>
      <c r="DB32" s="171"/>
      <c r="DC32" s="171"/>
      <c r="DD32" s="171"/>
      <c r="DE32" s="171"/>
      <c r="DF32" s="171"/>
      <c r="DG32" s="171"/>
      <c r="DH32" s="171"/>
      <c r="DI32" s="171"/>
      <c r="DJ32" s="171"/>
      <c r="DK32" s="128">
        <f t="shared" si="23"/>
        <v>0</v>
      </c>
      <c r="DL32" s="158" t="str">
        <f t="shared" si="24"/>
        <v>#DIV/0!</v>
      </c>
    </row>
    <row r="33" ht="15.75" customHeight="1">
      <c r="A33" s="146">
        <v>24.0</v>
      </c>
      <c r="B33" s="111" t="s">
        <v>98</v>
      </c>
      <c r="C33" s="112" t="s">
        <v>99</v>
      </c>
      <c r="D33" s="98">
        <f t="shared" si="9"/>
        <v>20</v>
      </c>
      <c r="E33" s="130">
        <f t="shared" si="10"/>
        <v>45.45454545</v>
      </c>
      <c r="F33" s="114">
        <f t="shared" si="11"/>
        <v>45.45454545</v>
      </c>
      <c r="G33" s="149" t="str">
        <f t="shared" si="12"/>
        <v>  </v>
      </c>
      <c r="H33" s="180"/>
      <c r="I33" s="203"/>
      <c r="J33" s="180"/>
      <c r="K33" s="180"/>
      <c r="L33" s="204"/>
      <c r="M33" s="139">
        <f t="shared" si="13"/>
        <v>0</v>
      </c>
      <c r="N33" s="140">
        <f t="shared" si="14"/>
        <v>0</v>
      </c>
      <c r="O33" s="116"/>
      <c r="P33" s="116"/>
      <c r="Q33" s="116"/>
      <c r="R33" s="207"/>
      <c r="S33" s="207"/>
      <c r="T33" s="116"/>
      <c r="U33" s="116"/>
      <c r="V33" s="207"/>
      <c r="W33" s="116"/>
      <c r="X33" s="138">
        <v>1.0</v>
      </c>
      <c r="Y33" s="234">
        <v>1.0</v>
      </c>
      <c r="Z33" s="185"/>
      <c r="AA33" s="187">
        <v>1.0</v>
      </c>
      <c r="AB33" s="138">
        <v>1.0</v>
      </c>
      <c r="AC33" s="234">
        <v>1.0</v>
      </c>
      <c r="AD33" s="116"/>
      <c r="AE33" s="206"/>
      <c r="AF33" s="209">
        <v>1.0</v>
      </c>
      <c r="AG33" s="209">
        <v>1.0</v>
      </c>
      <c r="AH33" s="209">
        <v>1.0</v>
      </c>
      <c r="AI33" s="206"/>
      <c r="AJ33" s="139">
        <f t="shared" si="15"/>
        <v>8</v>
      </c>
      <c r="AK33" s="205">
        <f t="shared" si="16"/>
        <v>61.53846154</v>
      </c>
      <c r="AL33" s="116"/>
      <c r="AM33" s="138">
        <v>1.0</v>
      </c>
      <c r="AN33" s="234">
        <v>1.0</v>
      </c>
      <c r="AO33" s="138">
        <v>1.0</v>
      </c>
      <c r="AP33" s="138">
        <v>1.0</v>
      </c>
      <c r="AQ33" s="116"/>
      <c r="AR33" s="138">
        <v>1.0</v>
      </c>
      <c r="AS33" s="166"/>
      <c r="AT33" s="116"/>
      <c r="AU33" s="138">
        <v>1.0</v>
      </c>
      <c r="AV33" s="116"/>
      <c r="AW33" s="207"/>
      <c r="AX33" s="116"/>
      <c r="AY33" s="116"/>
      <c r="AZ33" s="180"/>
      <c r="BA33" s="180"/>
      <c r="BB33" s="204"/>
      <c r="BC33" s="204"/>
      <c r="BD33" s="181"/>
      <c r="BE33" s="181"/>
      <c r="BF33" s="181"/>
      <c r="BG33" s="139">
        <f t="shared" si="17"/>
        <v>6</v>
      </c>
      <c r="BH33" s="208">
        <f t="shared" si="18"/>
        <v>50</v>
      </c>
      <c r="BI33" s="116"/>
      <c r="BJ33" s="180"/>
      <c r="BK33" s="180"/>
      <c r="BL33" s="138">
        <v>1.0</v>
      </c>
      <c r="BM33" s="116"/>
      <c r="BN33" s="116"/>
      <c r="BO33" s="138">
        <v>1.0</v>
      </c>
      <c r="BP33" s="138">
        <v>1.0</v>
      </c>
      <c r="BQ33" s="211"/>
      <c r="BR33" s="166"/>
      <c r="BS33" s="116"/>
      <c r="BT33" s="138">
        <v>1.0</v>
      </c>
      <c r="BU33" s="43"/>
      <c r="BV33" s="145">
        <v>1.0</v>
      </c>
      <c r="BW33" s="198"/>
      <c r="BX33" s="116"/>
      <c r="BY33" s="138">
        <v>1.0</v>
      </c>
      <c r="BZ33" s="165"/>
      <c r="CA33" s="165"/>
      <c r="CB33" s="165"/>
      <c r="CC33" s="165"/>
      <c r="CD33" s="165"/>
      <c r="CE33" s="124">
        <f t="shared" si="19"/>
        <v>6</v>
      </c>
      <c r="CF33" s="173">
        <f t="shared" si="20"/>
        <v>46.15384615</v>
      </c>
      <c r="CG33" s="234"/>
      <c r="CH33" s="238"/>
      <c r="CI33" s="138"/>
      <c r="CJ33" s="116"/>
      <c r="CK33" s="116"/>
      <c r="CL33" s="186"/>
      <c r="CM33" s="223"/>
      <c r="CN33" s="116"/>
      <c r="CO33" s="116"/>
      <c r="CP33" s="166"/>
      <c r="CQ33" s="213"/>
      <c r="CR33" s="213"/>
      <c r="CS33" s="116"/>
      <c r="CT33" s="116"/>
      <c r="CU33" s="116"/>
      <c r="CV33" s="213"/>
      <c r="CW33" s="128">
        <f t="shared" si="21"/>
        <v>0</v>
      </c>
      <c r="CX33" s="214">
        <f t="shared" si="22"/>
        <v>0</v>
      </c>
      <c r="CY33" s="171"/>
      <c r="CZ33" s="171"/>
      <c r="DA33" s="171"/>
      <c r="DB33" s="171"/>
      <c r="DC33" s="171"/>
      <c r="DD33" s="171"/>
      <c r="DE33" s="171"/>
      <c r="DF33" s="171"/>
      <c r="DG33" s="171"/>
      <c r="DH33" s="171"/>
      <c r="DI33" s="171"/>
      <c r="DJ33" s="171"/>
      <c r="DK33" s="128">
        <f t="shared" si="23"/>
        <v>0</v>
      </c>
      <c r="DL33" s="158" t="str">
        <f t="shared" si="24"/>
        <v>#DIV/0!</v>
      </c>
    </row>
    <row r="34" ht="15.75" customHeight="1">
      <c r="A34" s="50">
        <v>25.0</v>
      </c>
      <c r="B34" s="111" t="s">
        <v>100</v>
      </c>
      <c r="C34" s="112" t="s">
        <v>101</v>
      </c>
      <c r="D34" s="98">
        <f t="shared" si="9"/>
        <v>30</v>
      </c>
      <c r="E34" s="130">
        <f t="shared" si="10"/>
        <v>68.18181818</v>
      </c>
      <c r="F34" s="92" t="str">
        <f t="shared" si="11"/>
        <v>  </v>
      </c>
      <c r="G34" s="149" t="str">
        <f t="shared" si="12"/>
        <v>  </v>
      </c>
      <c r="H34" s="180"/>
      <c r="I34" s="221"/>
      <c r="J34" s="221"/>
      <c r="K34" s="180"/>
      <c r="L34" s="204"/>
      <c r="M34" s="139">
        <f t="shared" si="13"/>
        <v>0</v>
      </c>
      <c r="N34" s="140">
        <f t="shared" si="14"/>
        <v>0</v>
      </c>
      <c r="O34" s="116"/>
      <c r="P34" s="116"/>
      <c r="Q34" s="180"/>
      <c r="R34" s="207"/>
      <c r="S34" s="207"/>
      <c r="T34" s="116"/>
      <c r="U34" s="116"/>
      <c r="V34" s="207"/>
      <c r="W34" s="138">
        <v>1.0</v>
      </c>
      <c r="X34" s="116"/>
      <c r="Y34" s="234">
        <v>1.0</v>
      </c>
      <c r="Z34" s="185"/>
      <c r="AA34" s="187">
        <v>1.0</v>
      </c>
      <c r="AB34" s="138">
        <v>1.0</v>
      </c>
      <c r="AC34" s="234">
        <v>1.0</v>
      </c>
      <c r="AD34" s="138">
        <v>1.0</v>
      </c>
      <c r="AE34" s="116"/>
      <c r="AF34" s="209">
        <v>1.0</v>
      </c>
      <c r="AG34" s="209">
        <v>1.0</v>
      </c>
      <c r="AH34" s="209">
        <v>1.0</v>
      </c>
      <c r="AI34" s="138">
        <v>1.0</v>
      </c>
      <c r="AJ34" s="139">
        <f t="shared" si="15"/>
        <v>10</v>
      </c>
      <c r="AK34" s="205">
        <f t="shared" si="16"/>
        <v>76.92307692</v>
      </c>
      <c r="AL34" s="116"/>
      <c r="AM34" s="138">
        <v>1.0</v>
      </c>
      <c r="AN34" s="234">
        <v>1.0</v>
      </c>
      <c r="AO34" s="138">
        <v>1.0</v>
      </c>
      <c r="AP34" s="234">
        <v>1.0</v>
      </c>
      <c r="AQ34" s="116"/>
      <c r="AR34" s="138">
        <v>1.0</v>
      </c>
      <c r="AS34" s="166"/>
      <c r="AT34" s="138">
        <v>1.0</v>
      </c>
      <c r="AU34" s="138">
        <v>1.0</v>
      </c>
      <c r="AV34" s="116"/>
      <c r="AW34" s="207"/>
      <c r="AX34" s="116"/>
      <c r="AY34" s="116"/>
      <c r="AZ34" s="116"/>
      <c r="BA34" s="180"/>
      <c r="BB34" s="116"/>
      <c r="BC34" s="218">
        <v>1.0</v>
      </c>
      <c r="BD34" s="181"/>
      <c r="BE34" s="181"/>
      <c r="BF34" s="181"/>
      <c r="BG34" s="139">
        <f t="shared" si="17"/>
        <v>8</v>
      </c>
      <c r="BH34" s="208">
        <f t="shared" si="18"/>
        <v>66.66666667</v>
      </c>
      <c r="BI34" s="138">
        <v>1.0</v>
      </c>
      <c r="BJ34" s="138">
        <v>1.0</v>
      </c>
      <c r="BK34" s="180"/>
      <c r="BL34" s="138">
        <v>1.0</v>
      </c>
      <c r="BM34" s="116"/>
      <c r="BN34" s="116"/>
      <c r="BO34" s="138">
        <v>1.0</v>
      </c>
      <c r="BP34" s="138">
        <v>1.0</v>
      </c>
      <c r="BQ34" s="211"/>
      <c r="BR34" s="116"/>
      <c r="BS34" s="138">
        <v>1.0</v>
      </c>
      <c r="BT34" s="138">
        <v>1.0</v>
      </c>
      <c r="BU34" s="43"/>
      <c r="BV34" s="145">
        <v>1.0</v>
      </c>
      <c r="BW34" s="198"/>
      <c r="BX34" s="43"/>
      <c r="BY34" s="138">
        <v>1.0</v>
      </c>
      <c r="BZ34" s="196">
        <v>1.0</v>
      </c>
      <c r="CA34" s="116"/>
      <c r="CB34" s="165"/>
      <c r="CC34" s="165"/>
      <c r="CD34" s="165"/>
      <c r="CE34" s="124">
        <f t="shared" si="19"/>
        <v>10</v>
      </c>
      <c r="CF34" s="173">
        <f t="shared" si="20"/>
        <v>76.92307692</v>
      </c>
      <c r="CG34" s="138">
        <v>1.0</v>
      </c>
      <c r="CH34" s="116"/>
      <c r="CI34" s="200">
        <v>1.0</v>
      </c>
      <c r="CJ34" s="116"/>
      <c r="CK34" s="116"/>
      <c r="CL34" s="186"/>
      <c r="CM34" s="116"/>
      <c r="CN34" s="116"/>
      <c r="CO34" s="116"/>
      <c r="CP34" s="166"/>
      <c r="CQ34" s="213"/>
      <c r="CR34" s="213"/>
      <c r="CS34" s="116"/>
      <c r="CT34" s="116"/>
      <c r="CU34" s="116"/>
      <c r="CV34" s="213"/>
      <c r="CW34" s="128">
        <f t="shared" si="21"/>
        <v>2</v>
      </c>
      <c r="CX34" s="214">
        <f t="shared" si="22"/>
        <v>100</v>
      </c>
      <c r="CY34" s="171"/>
      <c r="CZ34" s="171"/>
      <c r="DA34" s="171"/>
      <c r="DB34" s="171"/>
      <c r="DC34" s="171"/>
      <c r="DD34" s="171"/>
      <c r="DE34" s="171"/>
      <c r="DF34" s="171"/>
      <c r="DG34" s="171"/>
      <c r="DH34" s="171"/>
      <c r="DI34" s="171"/>
      <c r="DJ34" s="171"/>
      <c r="DK34" s="128">
        <f t="shared" si="23"/>
        <v>0</v>
      </c>
      <c r="DL34" s="158" t="str">
        <f t="shared" si="24"/>
        <v>#DIV/0!</v>
      </c>
    </row>
    <row r="35" ht="15.75" customHeight="1">
      <c r="A35" s="131">
        <v>26.0</v>
      </c>
      <c r="B35" s="111" t="s">
        <v>102</v>
      </c>
      <c r="C35" s="112" t="s">
        <v>103</v>
      </c>
      <c r="D35" s="98">
        <f t="shared" si="9"/>
        <v>18</v>
      </c>
      <c r="E35" s="130">
        <f t="shared" si="10"/>
        <v>40.90909091</v>
      </c>
      <c r="F35" s="114">
        <f t="shared" si="11"/>
        <v>40.90909091</v>
      </c>
      <c r="G35" s="149" t="str">
        <f t="shared" si="12"/>
        <v>  </v>
      </c>
      <c r="H35" s="203"/>
      <c r="I35" s="180"/>
      <c r="J35" s="180"/>
      <c r="K35" s="180"/>
      <c r="L35" s="204"/>
      <c r="M35" s="139">
        <f t="shared" si="13"/>
        <v>0</v>
      </c>
      <c r="N35" s="140">
        <f t="shared" si="14"/>
        <v>0</v>
      </c>
      <c r="O35" s="116"/>
      <c r="P35" s="116"/>
      <c r="Q35" s="180"/>
      <c r="R35" s="179"/>
      <c r="S35" s="116"/>
      <c r="T35" s="116"/>
      <c r="U35" s="116"/>
      <c r="V35" s="179"/>
      <c r="W35" s="138">
        <v>1.0</v>
      </c>
      <c r="X35" s="138">
        <v>1.0</v>
      </c>
      <c r="Y35" s="184">
        <v>1.0</v>
      </c>
      <c r="Z35" s="185"/>
      <c r="AA35" s="187"/>
      <c r="AB35" s="138">
        <v>1.0</v>
      </c>
      <c r="AC35" s="184">
        <v>1.0</v>
      </c>
      <c r="AD35" s="116"/>
      <c r="AE35" s="116"/>
      <c r="AF35" s="182">
        <v>1.0</v>
      </c>
      <c r="AG35" s="176"/>
      <c r="AH35" s="182">
        <v>1.0</v>
      </c>
      <c r="AI35" s="176"/>
      <c r="AJ35" s="139">
        <f t="shared" si="15"/>
        <v>7</v>
      </c>
      <c r="AK35" s="205">
        <f t="shared" si="16"/>
        <v>53.84615385</v>
      </c>
      <c r="AL35" s="222"/>
      <c r="AM35" s="179"/>
      <c r="AN35" s="179"/>
      <c r="AO35" s="116"/>
      <c r="AP35" s="179"/>
      <c r="AQ35" s="116"/>
      <c r="AR35" s="138">
        <v>1.0</v>
      </c>
      <c r="AS35" s="166"/>
      <c r="AT35" s="116"/>
      <c r="AU35" s="116"/>
      <c r="AV35" s="116"/>
      <c r="AW35" s="179"/>
      <c r="AX35" s="116"/>
      <c r="AY35" s="116"/>
      <c r="AZ35" s="116"/>
      <c r="BA35" s="180"/>
      <c r="BB35" s="116"/>
      <c r="BC35" s="204"/>
      <c r="BD35" s="219">
        <v>1.0</v>
      </c>
      <c r="BE35" s="219">
        <v>1.0</v>
      </c>
      <c r="BF35" s="181"/>
      <c r="BG35" s="139">
        <f t="shared" si="17"/>
        <v>3</v>
      </c>
      <c r="BH35" s="208">
        <f t="shared" si="18"/>
        <v>25</v>
      </c>
      <c r="BI35" s="138">
        <v>1.0</v>
      </c>
      <c r="BJ35" s="116"/>
      <c r="BK35" s="180"/>
      <c r="BL35" s="138">
        <v>1.0</v>
      </c>
      <c r="BM35" s="116"/>
      <c r="BN35" s="116"/>
      <c r="BO35" s="116"/>
      <c r="BP35" s="138">
        <v>1.0</v>
      </c>
      <c r="BQ35" s="116"/>
      <c r="BR35" s="166"/>
      <c r="BS35" s="138">
        <v>1.0</v>
      </c>
      <c r="BT35" s="138">
        <v>1.0</v>
      </c>
      <c r="BU35" s="145">
        <v>1.0</v>
      </c>
      <c r="BV35" s="43"/>
      <c r="BW35" s="198"/>
      <c r="BX35" s="145">
        <v>1.0</v>
      </c>
      <c r="BY35" s="116"/>
      <c r="BZ35" s="196">
        <v>1.0</v>
      </c>
      <c r="CA35" s="116"/>
      <c r="CB35" s="116"/>
      <c r="CC35" s="165"/>
      <c r="CD35" s="165"/>
      <c r="CE35" s="124">
        <f t="shared" si="19"/>
        <v>8</v>
      </c>
      <c r="CF35" s="173">
        <f t="shared" si="20"/>
        <v>61.53846154</v>
      </c>
      <c r="CG35" s="179"/>
      <c r="CH35" s="116"/>
      <c r="CI35" s="200"/>
      <c r="CJ35" s="116"/>
      <c r="CK35" s="116"/>
      <c r="CL35" s="186"/>
      <c r="CM35" s="223"/>
      <c r="CN35" s="223"/>
      <c r="CO35" s="223"/>
      <c r="CP35" s="166"/>
      <c r="CQ35" s="213"/>
      <c r="CR35" s="213"/>
      <c r="CS35" s="213"/>
      <c r="CT35" s="213"/>
      <c r="CU35" s="213"/>
      <c r="CV35" s="213"/>
      <c r="CW35" s="128">
        <f t="shared" si="21"/>
        <v>0</v>
      </c>
      <c r="CX35" s="214">
        <f t="shared" si="22"/>
        <v>0</v>
      </c>
      <c r="CY35" s="171"/>
      <c r="CZ35" s="171"/>
      <c r="DA35" s="171"/>
      <c r="DB35" s="171"/>
      <c r="DC35" s="171"/>
      <c r="DD35" s="171"/>
      <c r="DE35" s="171"/>
      <c r="DF35" s="171"/>
      <c r="DG35" s="171"/>
      <c r="DH35" s="171"/>
      <c r="DI35" s="171"/>
      <c r="DJ35" s="171"/>
      <c r="DK35" s="128">
        <f t="shared" si="23"/>
        <v>0</v>
      </c>
      <c r="DL35" s="158" t="str">
        <f t="shared" si="24"/>
        <v>#DIV/0!</v>
      </c>
    </row>
    <row r="36" ht="15.75" customHeight="1">
      <c r="A36" s="146">
        <v>27.0</v>
      </c>
      <c r="B36" s="111" t="s">
        <v>104</v>
      </c>
      <c r="C36" s="112" t="s">
        <v>105</v>
      </c>
      <c r="D36" s="98">
        <f t="shared" si="9"/>
        <v>26</v>
      </c>
      <c r="E36" s="130">
        <f t="shared" si="10"/>
        <v>59.09090909</v>
      </c>
      <c r="F36" s="92" t="str">
        <f t="shared" si="11"/>
        <v>  </v>
      </c>
      <c r="G36" s="149" t="str">
        <f t="shared" si="12"/>
        <v>  </v>
      </c>
      <c r="H36" s="180"/>
      <c r="I36" s="180"/>
      <c r="J36" s="180"/>
      <c r="K36" s="180"/>
      <c r="L36" s="204"/>
      <c r="M36" s="139">
        <f t="shared" si="13"/>
        <v>0</v>
      </c>
      <c r="N36" s="140">
        <f t="shared" si="14"/>
        <v>0</v>
      </c>
      <c r="O36" s="116"/>
      <c r="P36" s="116"/>
      <c r="Q36" s="180"/>
      <c r="R36" s="179"/>
      <c r="S36" s="179"/>
      <c r="T36" s="116"/>
      <c r="U36" s="116"/>
      <c r="V36" s="179"/>
      <c r="W36" s="116"/>
      <c r="X36" s="116"/>
      <c r="Y36" s="184">
        <v>1.0</v>
      </c>
      <c r="Z36" s="185"/>
      <c r="AA36" s="187">
        <v>1.0</v>
      </c>
      <c r="AB36" s="138">
        <v>1.0</v>
      </c>
      <c r="AC36" s="184">
        <v>1.0</v>
      </c>
      <c r="AD36" s="138">
        <v>1.0</v>
      </c>
      <c r="AE36" s="116"/>
      <c r="AF36" s="182">
        <v>1.0</v>
      </c>
      <c r="AG36" s="182">
        <v>1.0</v>
      </c>
      <c r="AH36" s="138">
        <v>1.0</v>
      </c>
      <c r="AI36" s="182">
        <v>1.0</v>
      </c>
      <c r="AJ36" s="139">
        <f t="shared" si="15"/>
        <v>9</v>
      </c>
      <c r="AK36" s="205">
        <f t="shared" si="16"/>
        <v>69.23076923</v>
      </c>
      <c r="AL36" s="222"/>
      <c r="AM36" s="184">
        <v>1.0</v>
      </c>
      <c r="AN36" s="184">
        <v>1.0</v>
      </c>
      <c r="AO36" s="138">
        <v>1.0</v>
      </c>
      <c r="AP36" s="138">
        <v>1.0</v>
      </c>
      <c r="AQ36" s="116"/>
      <c r="AR36" s="138">
        <v>1.0</v>
      </c>
      <c r="AS36" s="191">
        <v>1.0</v>
      </c>
      <c r="AT36" s="116"/>
      <c r="AU36" s="116"/>
      <c r="AV36" s="116"/>
      <c r="AW36" s="179"/>
      <c r="AX36" s="116"/>
      <c r="AY36" s="116"/>
      <c r="AZ36" s="116"/>
      <c r="BA36" s="180"/>
      <c r="BB36" s="116"/>
      <c r="BC36" s="138">
        <v>1.0</v>
      </c>
      <c r="BD36" s="188">
        <v>1.0</v>
      </c>
      <c r="BE36" s="188">
        <v>1.0</v>
      </c>
      <c r="BF36" s="194"/>
      <c r="BG36" s="139">
        <f t="shared" si="17"/>
        <v>9</v>
      </c>
      <c r="BH36" s="208">
        <f t="shared" si="18"/>
        <v>75</v>
      </c>
      <c r="BI36" s="138">
        <v>1.0</v>
      </c>
      <c r="BJ36" s="116"/>
      <c r="BK36" s="180"/>
      <c r="BL36" s="116"/>
      <c r="BM36" s="116"/>
      <c r="BN36" s="116"/>
      <c r="BO36" s="138">
        <v>1.0</v>
      </c>
      <c r="BP36" s="138">
        <v>1.0</v>
      </c>
      <c r="BQ36" s="211"/>
      <c r="BR36" s="166"/>
      <c r="BS36" s="138">
        <v>1.0</v>
      </c>
      <c r="BT36" s="138">
        <v>1.0</v>
      </c>
      <c r="BU36" s="145">
        <v>1.0</v>
      </c>
      <c r="BV36" s="43"/>
      <c r="BW36" s="198"/>
      <c r="BX36" s="138">
        <v>1.0</v>
      </c>
      <c r="BY36" s="138">
        <v>1.0</v>
      </c>
      <c r="BZ36" s="165"/>
      <c r="CA36" s="116"/>
      <c r="CB36" s="165"/>
      <c r="CC36" s="165"/>
      <c r="CD36" s="165"/>
      <c r="CE36" s="124">
        <f t="shared" si="19"/>
        <v>8</v>
      </c>
      <c r="CF36" s="173">
        <f t="shared" si="20"/>
        <v>61.53846154</v>
      </c>
      <c r="CG36" s="116"/>
      <c r="CH36" s="238"/>
      <c r="CI36" s="186"/>
      <c r="CJ36" s="116"/>
      <c r="CK36" s="116"/>
      <c r="CL36" s="186"/>
      <c r="CM36" s="116"/>
      <c r="CN36" s="223"/>
      <c r="CO36" s="116"/>
      <c r="CP36" s="166"/>
      <c r="CQ36" s="213"/>
      <c r="CR36" s="213"/>
      <c r="CS36" s="116"/>
      <c r="CT36" s="213"/>
      <c r="CU36" s="213"/>
      <c r="CV36" s="213"/>
      <c r="CW36" s="128">
        <f t="shared" si="21"/>
        <v>0</v>
      </c>
      <c r="CX36" s="214">
        <f t="shared" si="22"/>
        <v>0</v>
      </c>
      <c r="CY36" s="171"/>
      <c r="CZ36" s="171"/>
      <c r="DA36" s="171"/>
      <c r="DB36" s="171"/>
      <c r="DC36" s="171"/>
      <c r="DD36" s="171"/>
      <c r="DE36" s="171"/>
      <c r="DF36" s="171"/>
      <c r="DG36" s="171"/>
      <c r="DH36" s="171"/>
      <c r="DI36" s="171"/>
      <c r="DJ36" s="171"/>
      <c r="DK36" s="128">
        <f t="shared" si="23"/>
        <v>0</v>
      </c>
      <c r="DL36" s="158" t="str">
        <f t="shared" si="24"/>
        <v>#DIV/0!</v>
      </c>
    </row>
    <row r="37" ht="15.75" customHeight="1">
      <c r="A37" s="50">
        <v>28.0</v>
      </c>
      <c r="B37" s="111" t="s">
        <v>106</v>
      </c>
      <c r="C37" s="112" t="s">
        <v>107</v>
      </c>
      <c r="D37" s="98">
        <f t="shared" si="9"/>
        <v>13</v>
      </c>
      <c r="E37" s="130">
        <f t="shared" si="10"/>
        <v>29.54545455</v>
      </c>
      <c r="F37" s="114">
        <f t="shared" si="11"/>
        <v>29.54545455</v>
      </c>
      <c r="G37" s="226">
        <f t="shared" si="12"/>
        <v>29.54545455</v>
      </c>
      <c r="H37" s="180"/>
      <c r="I37" s="203"/>
      <c r="J37" s="203"/>
      <c r="K37" s="203"/>
      <c r="L37" s="239"/>
      <c r="M37" s="139">
        <f t="shared" si="13"/>
        <v>0</v>
      </c>
      <c r="N37" s="140">
        <f t="shared" si="14"/>
        <v>0</v>
      </c>
      <c r="O37" s="116"/>
      <c r="P37" s="116"/>
      <c r="Q37" s="180"/>
      <c r="R37" s="179"/>
      <c r="S37" s="179"/>
      <c r="T37" s="116"/>
      <c r="U37" s="116"/>
      <c r="V37" s="179"/>
      <c r="W37" s="116"/>
      <c r="X37" s="116"/>
      <c r="Y37" s="179"/>
      <c r="Z37" s="185"/>
      <c r="AA37" s="217"/>
      <c r="AB37" s="116"/>
      <c r="AC37" s="179"/>
      <c r="AD37" s="176"/>
      <c r="AE37" s="176"/>
      <c r="AF37" s="176"/>
      <c r="AG37" s="182"/>
      <c r="AH37" s="182">
        <v>1.0</v>
      </c>
      <c r="AI37" s="182">
        <v>1.0</v>
      </c>
      <c r="AJ37" s="139">
        <f t="shared" si="15"/>
        <v>2</v>
      </c>
      <c r="AK37" s="205">
        <f t="shared" si="16"/>
        <v>15.38461538</v>
      </c>
      <c r="AL37" s="222"/>
      <c r="AM37" s="179"/>
      <c r="AN37" s="184">
        <v>1.0</v>
      </c>
      <c r="AO37" s="184">
        <v>1.0</v>
      </c>
      <c r="AP37" s="184">
        <v>1.0</v>
      </c>
      <c r="AQ37" s="116"/>
      <c r="AR37" s="116"/>
      <c r="AS37" s="166"/>
      <c r="AT37" s="138">
        <v>1.0</v>
      </c>
      <c r="AU37" s="138">
        <v>1.0</v>
      </c>
      <c r="AV37" s="116"/>
      <c r="AW37" s="179"/>
      <c r="AX37" s="116"/>
      <c r="AY37" s="116"/>
      <c r="AZ37" s="116"/>
      <c r="BA37" s="180"/>
      <c r="BB37" s="116"/>
      <c r="BC37" s="218">
        <v>1.0</v>
      </c>
      <c r="BD37" s="219">
        <v>1.0</v>
      </c>
      <c r="BE37" s="181"/>
      <c r="BF37" s="181"/>
      <c r="BG37" s="139">
        <f t="shared" si="17"/>
        <v>7</v>
      </c>
      <c r="BH37" s="208">
        <f t="shared" si="18"/>
        <v>58.33333333</v>
      </c>
      <c r="BI37" s="116"/>
      <c r="BJ37" s="116"/>
      <c r="BK37" s="180"/>
      <c r="BL37" s="138">
        <v>1.0</v>
      </c>
      <c r="BM37" s="116"/>
      <c r="BN37" s="116"/>
      <c r="BO37" s="138">
        <v>1.0</v>
      </c>
      <c r="BP37" s="138">
        <v>1.0</v>
      </c>
      <c r="BQ37" s="116"/>
      <c r="BR37" s="166"/>
      <c r="BS37" s="116"/>
      <c r="BT37" s="138"/>
      <c r="BV37" s="138">
        <v>1.0</v>
      </c>
      <c r="BW37" s="198"/>
      <c r="BX37" s="145"/>
      <c r="BY37" s="116"/>
      <c r="BZ37" s="165"/>
      <c r="CA37" s="116"/>
      <c r="CB37" s="116"/>
      <c r="CC37" s="165"/>
      <c r="CD37" s="165"/>
      <c r="CE37" s="124">
        <f t="shared" si="19"/>
        <v>4</v>
      </c>
      <c r="CF37" s="173">
        <f t="shared" si="20"/>
        <v>30.76923077</v>
      </c>
      <c r="CG37" s="179"/>
      <c r="CH37" s="116"/>
      <c r="CI37" s="116"/>
      <c r="CJ37" s="186"/>
      <c r="CK37" s="231"/>
      <c r="CL37" s="186"/>
      <c r="CM37" s="116"/>
      <c r="CN37" s="223"/>
      <c r="CO37" s="116"/>
      <c r="CP37" s="166"/>
      <c r="CQ37" s="213"/>
      <c r="CR37" s="213"/>
      <c r="CS37" s="213"/>
      <c r="CT37" s="116"/>
      <c r="CU37" s="116"/>
      <c r="CV37" s="213"/>
      <c r="CW37" s="128">
        <f t="shared" si="21"/>
        <v>0</v>
      </c>
      <c r="CX37" s="214">
        <f t="shared" si="22"/>
        <v>0</v>
      </c>
      <c r="CY37" s="171"/>
      <c r="CZ37" s="171"/>
      <c r="DA37" s="171"/>
      <c r="DB37" s="171"/>
      <c r="DC37" s="171"/>
      <c r="DD37" s="171"/>
      <c r="DE37" s="171"/>
      <c r="DF37" s="171"/>
      <c r="DG37" s="171"/>
      <c r="DH37" s="171"/>
      <c r="DI37" s="171"/>
      <c r="DJ37" s="171"/>
      <c r="DK37" s="128">
        <f t="shared" si="23"/>
        <v>0</v>
      </c>
      <c r="DL37" s="158" t="str">
        <f t="shared" si="24"/>
        <v>#DIV/0!</v>
      </c>
    </row>
    <row r="38" ht="15.75" customHeight="1">
      <c r="A38" s="131">
        <v>29.0</v>
      </c>
      <c r="B38" s="111" t="s">
        <v>108</v>
      </c>
      <c r="C38" s="112" t="s">
        <v>109</v>
      </c>
      <c r="D38" s="98">
        <f t="shared" si="9"/>
        <v>22</v>
      </c>
      <c r="E38" s="130">
        <f t="shared" si="10"/>
        <v>50</v>
      </c>
      <c r="F38" s="92" t="str">
        <f t="shared" si="11"/>
        <v>  </v>
      </c>
      <c r="G38" s="149" t="str">
        <f t="shared" si="12"/>
        <v>  </v>
      </c>
      <c r="H38" s="180"/>
      <c r="I38" s="203"/>
      <c r="J38" s="203"/>
      <c r="K38" s="203"/>
      <c r="L38" s="239"/>
      <c r="M38" s="139">
        <f t="shared" si="13"/>
        <v>0</v>
      </c>
      <c r="N38" s="140">
        <f t="shared" si="14"/>
        <v>0</v>
      </c>
      <c r="O38" s="116"/>
      <c r="P38" s="116"/>
      <c r="Q38" s="180"/>
      <c r="R38" s="179"/>
      <c r="S38" s="116"/>
      <c r="T38" s="116"/>
      <c r="U38" s="116"/>
      <c r="V38" s="179"/>
      <c r="W38" s="116"/>
      <c r="X38" s="116"/>
      <c r="Y38" s="179"/>
      <c r="Z38" s="185"/>
      <c r="AA38" s="217"/>
      <c r="AB38" s="138">
        <v>1.0</v>
      </c>
      <c r="AC38" s="184">
        <v>1.0</v>
      </c>
      <c r="AD38" s="182">
        <v>1.0</v>
      </c>
      <c r="AE38" s="116"/>
      <c r="AF38" s="182">
        <v>1.0</v>
      </c>
      <c r="AG38" s="182">
        <v>1.0</v>
      </c>
      <c r="AH38" s="138">
        <v>1.0</v>
      </c>
      <c r="AI38" s="138">
        <v>1.0</v>
      </c>
      <c r="AJ38" s="139">
        <f t="shared" si="15"/>
        <v>7</v>
      </c>
      <c r="AK38" s="205">
        <f t="shared" si="16"/>
        <v>53.84615385</v>
      </c>
      <c r="AL38" s="222"/>
      <c r="AM38" s="184">
        <v>1.0</v>
      </c>
      <c r="AN38" s="184">
        <v>1.0</v>
      </c>
      <c r="AO38" s="184">
        <v>1.0</v>
      </c>
      <c r="AP38" s="184">
        <v>1.0</v>
      </c>
      <c r="AQ38" s="116"/>
      <c r="AR38" s="138">
        <v>1.0</v>
      </c>
      <c r="AS38" s="166"/>
      <c r="AT38" s="138">
        <v>1.0</v>
      </c>
      <c r="AU38" s="138">
        <v>1.0</v>
      </c>
      <c r="AV38" s="116"/>
      <c r="AW38" s="179"/>
      <c r="AX38" s="116"/>
      <c r="AY38" s="116"/>
      <c r="AZ38" s="180"/>
      <c r="BA38" s="180"/>
      <c r="BB38" s="204"/>
      <c r="BC38" s="204"/>
      <c r="BD38" s="181"/>
      <c r="BE38" s="181"/>
      <c r="BF38" s="181"/>
      <c r="BG38" s="139">
        <f t="shared" si="17"/>
        <v>7</v>
      </c>
      <c r="BH38" s="208">
        <f t="shared" si="18"/>
        <v>58.33333333</v>
      </c>
      <c r="BI38" s="116"/>
      <c r="BJ38" s="116"/>
      <c r="BK38" s="180"/>
      <c r="BL38" s="116"/>
      <c r="BM38" s="116"/>
      <c r="BN38" s="116"/>
      <c r="BO38" s="116"/>
      <c r="BP38" s="116"/>
      <c r="BQ38" s="211"/>
      <c r="BR38" s="116"/>
      <c r="BS38" s="138">
        <v>1.0</v>
      </c>
      <c r="BT38" s="138">
        <v>1.0</v>
      </c>
      <c r="BU38" s="145">
        <v>1.0</v>
      </c>
      <c r="BV38" s="43"/>
      <c r="BW38" s="198"/>
      <c r="BX38" s="138">
        <v>1.0</v>
      </c>
      <c r="BY38" s="138">
        <v>1.0</v>
      </c>
      <c r="BZ38" s="196">
        <v>1.0</v>
      </c>
      <c r="CA38" s="116"/>
      <c r="CB38" s="116"/>
      <c r="CC38" s="165"/>
      <c r="CD38" s="165"/>
      <c r="CE38" s="124">
        <f t="shared" si="19"/>
        <v>6</v>
      </c>
      <c r="CF38" s="173">
        <f t="shared" si="20"/>
        <v>46.15384615</v>
      </c>
      <c r="CG38" s="138">
        <v>1.0</v>
      </c>
      <c r="CH38" s="116"/>
      <c r="CI38" s="200">
        <v>1.0</v>
      </c>
      <c r="CJ38" s="116"/>
      <c r="CK38" s="116"/>
      <c r="CL38" s="186"/>
      <c r="CM38" s="223"/>
      <c r="CN38" s="223"/>
      <c r="CO38" s="116"/>
      <c r="CP38" s="166"/>
      <c r="CQ38" s="213"/>
      <c r="CR38" s="213"/>
      <c r="CS38" s="116"/>
      <c r="CT38" s="116"/>
      <c r="CU38" s="213"/>
      <c r="CV38" s="213"/>
      <c r="CW38" s="128">
        <f t="shared" si="21"/>
        <v>2</v>
      </c>
      <c r="CX38" s="214">
        <f t="shared" si="22"/>
        <v>100</v>
      </c>
      <c r="CY38" s="171"/>
      <c r="CZ38" s="171"/>
      <c r="DA38" s="171"/>
      <c r="DB38" s="171"/>
      <c r="DC38" s="171"/>
      <c r="DD38" s="171"/>
      <c r="DE38" s="171"/>
      <c r="DF38" s="171"/>
      <c r="DG38" s="171"/>
      <c r="DH38" s="171"/>
      <c r="DI38" s="171"/>
      <c r="DJ38" s="171"/>
      <c r="DK38" s="128">
        <f t="shared" si="23"/>
        <v>0</v>
      </c>
      <c r="DL38" s="158" t="str">
        <f t="shared" si="24"/>
        <v>#DIV/0!</v>
      </c>
    </row>
    <row r="39" ht="15.75" customHeight="1">
      <c r="A39" s="146">
        <v>30.0</v>
      </c>
      <c r="B39" s="111" t="s">
        <v>110</v>
      </c>
      <c r="C39" s="112" t="s">
        <v>111</v>
      </c>
      <c r="D39" s="98">
        <f t="shared" si="9"/>
        <v>29</v>
      </c>
      <c r="E39" s="130">
        <f t="shared" si="10"/>
        <v>65.90909091</v>
      </c>
      <c r="F39" s="92" t="str">
        <f t="shared" si="11"/>
        <v>  </v>
      </c>
      <c r="G39" s="149" t="str">
        <f t="shared" si="12"/>
        <v>  </v>
      </c>
      <c r="H39" s="180"/>
      <c r="I39" s="203"/>
      <c r="J39" s="203"/>
      <c r="K39" s="203"/>
      <c r="L39" s="239"/>
      <c r="M39" s="139">
        <f t="shared" si="13"/>
        <v>0</v>
      </c>
      <c r="N39" s="140">
        <f t="shared" si="14"/>
        <v>0</v>
      </c>
      <c r="O39" s="116"/>
      <c r="P39" s="116"/>
      <c r="Q39" s="180"/>
      <c r="R39" s="179"/>
      <c r="S39" s="116"/>
      <c r="T39" s="116"/>
      <c r="U39" s="116"/>
      <c r="V39" s="179"/>
      <c r="W39" s="116"/>
      <c r="X39" s="138">
        <v>1.0</v>
      </c>
      <c r="Y39" s="184">
        <v>1.0</v>
      </c>
      <c r="Z39" s="185"/>
      <c r="AA39" s="217"/>
      <c r="AB39" s="116"/>
      <c r="AC39" s="179"/>
      <c r="AD39" s="116"/>
      <c r="AE39" s="176"/>
      <c r="AF39" s="182">
        <v>1.0</v>
      </c>
      <c r="AG39" s="182">
        <v>1.0</v>
      </c>
      <c r="AH39" s="182">
        <v>1.0</v>
      </c>
      <c r="AI39" s="182">
        <v>1.0</v>
      </c>
      <c r="AJ39" s="139">
        <f t="shared" si="15"/>
        <v>6</v>
      </c>
      <c r="AK39" s="205">
        <f t="shared" si="16"/>
        <v>46.15384615</v>
      </c>
      <c r="AL39" s="116"/>
      <c r="AM39" s="138">
        <v>1.0</v>
      </c>
      <c r="AN39" s="184">
        <v>1.0</v>
      </c>
      <c r="AO39" s="138">
        <v>1.0</v>
      </c>
      <c r="AP39" s="138">
        <v>1.0</v>
      </c>
      <c r="AQ39" s="116"/>
      <c r="AR39" s="138">
        <v>1.0</v>
      </c>
      <c r="AS39" s="191">
        <v>1.0</v>
      </c>
      <c r="AT39" s="138">
        <v>1.0</v>
      </c>
      <c r="AU39" s="138">
        <v>1.0</v>
      </c>
      <c r="AV39" s="116"/>
      <c r="AW39" s="179"/>
      <c r="AX39" s="116"/>
      <c r="AY39" s="116"/>
      <c r="AZ39" s="116"/>
      <c r="BA39" s="180"/>
      <c r="BB39" s="138">
        <v>1.0</v>
      </c>
      <c r="BC39" s="138"/>
      <c r="BD39" s="188">
        <v>1.0</v>
      </c>
      <c r="BE39" s="194"/>
      <c r="BF39" s="194"/>
      <c r="BG39" s="139">
        <f t="shared" si="17"/>
        <v>10</v>
      </c>
      <c r="BH39" s="208">
        <f t="shared" si="18"/>
        <v>83.33333333</v>
      </c>
      <c r="BI39" s="138">
        <v>1.0</v>
      </c>
      <c r="BJ39" s="138">
        <v>1.0</v>
      </c>
      <c r="BK39" s="180"/>
      <c r="BL39" s="138">
        <v>1.0</v>
      </c>
      <c r="BM39" s="116"/>
      <c r="BN39" s="116"/>
      <c r="BO39" s="138">
        <v>1.0</v>
      </c>
      <c r="BP39" s="116"/>
      <c r="BQ39" s="116"/>
      <c r="BR39" s="166"/>
      <c r="BS39" s="138">
        <v>1.0</v>
      </c>
      <c r="BT39" s="138">
        <v>1.0</v>
      </c>
      <c r="BU39" s="145">
        <v>1.0</v>
      </c>
      <c r="BV39" s="145">
        <v>1.0</v>
      </c>
      <c r="BW39" s="198"/>
      <c r="BX39" s="116"/>
      <c r="BY39" s="138">
        <v>1.0</v>
      </c>
      <c r="BZ39" s="196">
        <v>1.0</v>
      </c>
      <c r="CA39" s="138">
        <v>1.0</v>
      </c>
      <c r="CB39" s="116"/>
      <c r="CC39" s="165"/>
      <c r="CD39" s="165"/>
      <c r="CE39" s="124">
        <f t="shared" si="19"/>
        <v>11</v>
      </c>
      <c r="CF39" s="173">
        <f t="shared" si="20"/>
        <v>84.61538462</v>
      </c>
      <c r="CG39" s="184">
        <v>1.0</v>
      </c>
      <c r="CH39" s="238"/>
      <c r="CI39" s="200">
        <v>1.0</v>
      </c>
      <c r="CJ39" s="186"/>
      <c r="CK39" s="116"/>
      <c r="CL39" s="186"/>
      <c r="CM39" s="223"/>
      <c r="CN39" s="223"/>
      <c r="CO39" s="116"/>
      <c r="CP39" s="166"/>
      <c r="CQ39" s="213"/>
      <c r="CR39" s="213"/>
      <c r="CS39" s="213"/>
      <c r="CT39" s="213"/>
      <c r="CU39" s="213"/>
      <c r="CV39" s="213"/>
      <c r="CW39" s="128">
        <f t="shared" si="21"/>
        <v>2</v>
      </c>
      <c r="CX39" s="214">
        <f t="shared" si="22"/>
        <v>100</v>
      </c>
      <c r="CY39" s="171"/>
      <c r="CZ39" s="171"/>
      <c r="DA39" s="171"/>
      <c r="DB39" s="171"/>
      <c r="DC39" s="171"/>
      <c r="DD39" s="171"/>
      <c r="DE39" s="171"/>
      <c r="DF39" s="171"/>
      <c r="DG39" s="171"/>
      <c r="DH39" s="171"/>
      <c r="DI39" s="171"/>
      <c r="DJ39" s="171"/>
      <c r="DK39" s="128">
        <f t="shared" si="23"/>
        <v>0</v>
      </c>
      <c r="DL39" s="158" t="str">
        <f t="shared" si="24"/>
        <v>#DIV/0!</v>
      </c>
    </row>
    <row r="40" ht="15.75" customHeight="1">
      <c r="A40" s="50">
        <v>31.0</v>
      </c>
      <c r="B40" s="111" t="s">
        <v>112</v>
      </c>
      <c r="C40" s="112" t="s">
        <v>113</v>
      </c>
      <c r="D40" s="98">
        <f t="shared" si="9"/>
        <v>23</v>
      </c>
      <c r="E40" s="130">
        <f t="shared" si="10"/>
        <v>52.27272727</v>
      </c>
      <c r="F40" s="114" t="str">
        <f t="shared" si="11"/>
        <v>  </v>
      </c>
      <c r="G40" s="149" t="str">
        <f t="shared" si="12"/>
        <v>  </v>
      </c>
      <c r="H40" s="180"/>
      <c r="I40" s="180"/>
      <c r="J40" s="180"/>
      <c r="K40" s="180"/>
      <c r="L40" s="204"/>
      <c r="M40" s="139">
        <f t="shared" si="13"/>
        <v>0</v>
      </c>
      <c r="N40" s="140">
        <f t="shared" si="14"/>
        <v>0</v>
      </c>
      <c r="O40" s="116"/>
      <c r="P40" s="116"/>
      <c r="Q40" s="116"/>
      <c r="R40" s="207"/>
      <c r="S40" s="116"/>
      <c r="T40" s="116"/>
      <c r="U40" s="116"/>
      <c r="V40" s="207"/>
      <c r="W40" s="138">
        <v>1.0</v>
      </c>
      <c r="X40" s="116"/>
      <c r="Y40" s="207"/>
      <c r="Z40" s="185"/>
      <c r="AA40" s="187">
        <v>1.0</v>
      </c>
      <c r="AB40" s="138">
        <v>1.0</v>
      </c>
      <c r="AC40" s="207"/>
      <c r="AD40" s="138">
        <v>1.0</v>
      </c>
      <c r="AE40" s="116"/>
      <c r="AF40" s="209">
        <v>1.0</v>
      </c>
      <c r="AG40" s="209">
        <v>1.0</v>
      </c>
      <c r="AH40" s="138">
        <v>1.0</v>
      </c>
      <c r="AI40" s="138">
        <v>1.0</v>
      </c>
      <c r="AJ40" s="139">
        <f t="shared" si="15"/>
        <v>8</v>
      </c>
      <c r="AK40" s="205">
        <f t="shared" si="16"/>
        <v>61.53846154</v>
      </c>
      <c r="AL40" s="236"/>
      <c r="AM40" s="116"/>
      <c r="AN40" s="207"/>
      <c r="AO40" s="116"/>
      <c r="AP40" s="138">
        <v>1.0</v>
      </c>
      <c r="AQ40" s="116"/>
      <c r="AR40" s="138">
        <v>1.0</v>
      </c>
      <c r="AS40" s="166"/>
      <c r="AT40" s="116"/>
      <c r="AU40" s="116"/>
      <c r="AV40" s="116"/>
      <c r="AW40" s="207"/>
      <c r="AX40" s="116"/>
      <c r="AY40" s="116"/>
      <c r="AZ40" s="116"/>
      <c r="BA40" s="180"/>
      <c r="BB40" s="116"/>
      <c r="BC40" s="116"/>
      <c r="BD40" s="194"/>
      <c r="BE40" s="188">
        <v>1.0</v>
      </c>
      <c r="BF40" s="194"/>
      <c r="BG40" s="139">
        <f t="shared" si="17"/>
        <v>3</v>
      </c>
      <c r="BH40" s="208">
        <f t="shared" si="18"/>
        <v>25</v>
      </c>
      <c r="BI40" s="138">
        <v>1.0</v>
      </c>
      <c r="BJ40" s="138">
        <v>1.0</v>
      </c>
      <c r="BK40" s="180"/>
      <c r="BL40" s="138">
        <v>1.0</v>
      </c>
      <c r="BM40" s="116"/>
      <c r="BN40" s="116"/>
      <c r="BO40" s="138">
        <v>1.0</v>
      </c>
      <c r="BP40" s="138">
        <v>1.0</v>
      </c>
      <c r="BQ40" s="116"/>
      <c r="BR40" s="166"/>
      <c r="BS40" s="196">
        <v>1.0</v>
      </c>
      <c r="BT40" s="138">
        <v>1.0</v>
      </c>
      <c r="BU40" s="241">
        <v>1.0</v>
      </c>
      <c r="BV40" s="116"/>
      <c r="BW40" s="198"/>
      <c r="BX40" s="138">
        <v>1.0</v>
      </c>
      <c r="BY40" s="138">
        <v>1.0</v>
      </c>
      <c r="BZ40" s="165"/>
      <c r="CA40" s="138">
        <v>1.0</v>
      </c>
      <c r="CB40" s="116"/>
      <c r="CC40" s="165"/>
      <c r="CD40" s="165"/>
      <c r="CE40" s="124">
        <f t="shared" si="19"/>
        <v>11</v>
      </c>
      <c r="CF40" s="173">
        <f t="shared" si="20"/>
        <v>84.61538462</v>
      </c>
      <c r="CG40" s="138">
        <v>1.0</v>
      </c>
      <c r="CH40" s="238"/>
      <c r="CI40" s="186"/>
      <c r="CJ40" s="116"/>
      <c r="CK40" s="116"/>
      <c r="CL40" s="186"/>
      <c r="CM40" s="223"/>
      <c r="CN40" s="116"/>
      <c r="CO40" s="116"/>
      <c r="CP40" s="166"/>
      <c r="CQ40" s="213"/>
      <c r="CR40" s="213"/>
      <c r="CS40" s="116"/>
      <c r="CT40" s="116"/>
      <c r="CU40" s="116"/>
      <c r="CV40" s="213"/>
      <c r="CW40" s="128">
        <f t="shared" si="21"/>
        <v>1</v>
      </c>
      <c r="CX40" s="214">
        <f t="shared" si="22"/>
        <v>50</v>
      </c>
      <c r="CY40" s="171"/>
      <c r="CZ40" s="171"/>
      <c r="DA40" s="171"/>
      <c r="DB40" s="171"/>
      <c r="DC40" s="171"/>
      <c r="DD40" s="171"/>
      <c r="DE40" s="171"/>
      <c r="DF40" s="171"/>
      <c r="DG40" s="171"/>
      <c r="DH40" s="171"/>
      <c r="DI40" s="171"/>
      <c r="DJ40" s="171"/>
      <c r="DK40" s="128">
        <f t="shared" si="23"/>
        <v>0</v>
      </c>
      <c r="DL40" s="158" t="str">
        <f t="shared" si="24"/>
        <v>#DIV/0!</v>
      </c>
    </row>
    <row r="41" ht="15.75" customHeight="1">
      <c r="A41" s="131">
        <v>32.0</v>
      </c>
      <c r="B41" s="111" t="s">
        <v>114</v>
      </c>
      <c r="C41" s="112" t="s">
        <v>115</v>
      </c>
      <c r="D41" s="98">
        <f t="shared" si="9"/>
        <v>22</v>
      </c>
      <c r="E41" s="130">
        <f t="shared" si="10"/>
        <v>50</v>
      </c>
      <c r="F41" s="92" t="str">
        <f t="shared" si="11"/>
        <v>  </v>
      </c>
      <c r="G41" s="149" t="str">
        <f t="shared" si="12"/>
        <v>  </v>
      </c>
      <c r="H41" s="180"/>
      <c r="I41" s="180"/>
      <c r="J41" s="180"/>
      <c r="K41" s="180"/>
      <c r="L41" s="204"/>
      <c r="M41" s="139">
        <f t="shared" si="13"/>
        <v>0</v>
      </c>
      <c r="N41" s="140">
        <f t="shared" si="14"/>
        <v>0</v>
      </c>
      <c r="O41" s="116"/>
      <c r="P41" s="116"/>
      <c r="Q41" s="180"/>
      <c r="R41" s="179"/>
      <c r="S41" s="179"/>
      <c r="T41" s="116"/>
      <c r="U41" s="116"/>
      <c r="V41" s="179"/>
      <c r="W41" s="138">
        <v>1.0</v>
      </c>
      <c r="X41" s="116"/>
      <c r="Y41" s="179"/>
      <c r="Z41" s="185"/>
      <c r="AA41" s="187">
        <v>1.0</v>
      </c>
      <c r="AB41" s="138">
        <v>1.0</v>
      </c>
      <c r="AC41" s="184">
        <v>1.0</v>
      </c>
      <c r="AD41" s="116"/>
      <c r="AE41" s="116"/>
      <c r="AF41" s="182">
        <v>1.0</v>
      </c>
      <c r="AG41" s="182">
        <v>1.0</v>
      </c>
      <c r="AH41" s="138">
        <v>1.0</v>
      </c>
      <c r="AI41" s="116"/>
      <c r="AJ41" s="139">
        <f t="shared" si="15"/>
        <v>7</v>
      </c>
      <c r="AK41" s="205">
        <f t="shared" si="16"/>
        <v>53.84615385</v>
      </c>
      <c r="AL41" s="116"/>
      <c r="AM41" s="138">
        <v>1.0</v>
      </c>
      <c r="AN41" s="184">
        <v>1.0</v>
      </c>
      <c r="AO41" s="138">
        <v>1.0</v>
      </c>
      <c r="AP41" s="116"/>
      <c r="AQ41" s="116"/>
      <c r="AR41" s="138">
        <v>1.0</v>
      </c>
      <c r="AS41" s="166"/>
      <c r="AT41" s="116"/>
      <c r="AU41" s="138">
        <v>1.0</v>
      </c>
      <c r="AV41" s="116"/>
      <c r="AW41" s="179"/>
      <c r="AX41" s="116"/>
      <c r="AY41" s="116"/>
      <c r="AZ41" s="116"/>
      <c r="BA41" s="180"/>
      <c r="BB41" s="116"/>
      <c r="BC41" s="138">
        <v>1.0</v>
      </c>
      <c r="BD41" s="194"/>
      <c r="BE41" s="194"/>
      <c r="BF41" s="194"/>
      <c r="BG41" s="139">
        <f t="shared" si="17"/>
        <v>6</v>
      </c>
      <c r="BH41" s="208">
        <f t="shared" si="18"/>
        <v>50</v>
      </c>
      <c r="BI41" s="138">
        <v>1.0</v>
      </c>
      <c r="BJ41" s="138">
        <v>1.0</v>
      </c>
      <c r="BK41" s="180"/>
      <c r="BL41" s="116"/>
      <c r="BM41" s="116"/>
      <c r="BN41" s="116"/>
      <c r="BO41" s="138">
        <v>1.0</v>
      </c>
      <c r="BP41" s="138">
        <v>1.0</v>
      </c>
      <c r="BQ41" s="116"/>
      <c r="BR41" s="116"/>
      <c r="BS41" s="138">
        <v>1.0</v>
      </c>
      <c r="BT41" s="210"/>
      <c r="BU41" s="43"/>
      <c r="BV41" s="43"/>
      <c r="BW41" s="198"/>
      <c r="BX41" s="138">
        <v>1.0</v>
      </c>
      <c r="BY41" s="138">
        <v>1.0</v>
      </c>
      <c r="BZ41" s="196">
        <v>1.0</v>
      </c>
      <c r="CA41" s="116"/>
      <c r="CB41" s="116"/>
      <c r="CC41" s="165"/>
      <c r="CD41" s="165"/>
      <c r="CE41" s="124">
        <f t="shared" si="19"/>
        <v>8</v>
      </c>
      <c r="CF41" s="173">
        <f t="shared" si="20"/>
        <v>61.53846154</v>
      </c>
      <c r="CG41" s="138">
        <v>1.0</v>
      </c>
      <c r="CH41" s="116"/>
      <c r="CI41" s="186"/>
      <c r="CJ41" s="116"/>
      <c r="CK41" s="116"/>
      <c r="CL41" s="186"/>
      <c r="CM41" s="223"/>
      <c r="CN41" s="116"/>
      <c r="CO41" s="116"/>
      <c r="CP41" s="166"/>
      <c r="CQ41" s="213"/>
      <c r="CR41" s="213"/>
      <c r="CS41" s="116"/>
      <c r="CT41" s="116"/>
      <c r="CU41" s="213"/>
      <c r="CV41" s="213"/>
      <c r="CW41" s="128">
        <f t="shared" si="21"/>
        <v>1</v>
      </c>
      <c r="CX41" s="214">
        <f t="shared" si="22"/>
        <v>50</v>
      </c>
      <c r="CY41" s="171"/>
      <c r="CZ41" s="171"/>
      <c r="DA41" s="171"/>
      <c r="DB41" s="171"/>
      <c r="DC41" s="171"/>
      <c r="DD41" s="171"/>
      <c r="DE41" s="171"/>
      <c r="DF41" s="171"/>
      <c r="DG41" s="171"/>
      <c r="DH41" s="171"/>
      <c r="DI41" s="171"/>
      <c r="DJ41" s="171"/>
      <c r="DK41" s="128">
        <f t="shared" si="23"/>
        <v>0</v>
      </c>
      <c r="DL41" s="158" t="str">
        <f t="shared" si="24"/>
        <v>#DIV/0!</v>
      </c>
    </row>
    <row r="42" ht="15.75" customHeight="1">
      <c r="A42" s="146">
        <v>33.0</v>
      </c>
      <c r="B42" s="111" t="s">
        <v>116</v>
      </c>
      <c r="C42" s="112" t="s">
        <v>117</v>
      </c>
      <c r="D42" s="98">
        <f t="shared" si="9"/>
        <v>9</v>
      </c>
      <c r="E42" s="130">
        <f t="shared" si="10"/>
        <v>20.45454545</v>
      </c>
      <c r="F42" s="114">
        <f t="shared" si="11"/>
        <v>20.45454545</v>
      </c>
      <c r="G42" s="226">
        <f t="shared" si="12"/>
        <v>20.45454545</v>
      </c>
      <c r="H42" s="203"/>
      <c r="I42" s="203"/>
      <c r="J42" s="203"/>
      <c r="K42" s="180"/>
      <c r="L42" s="204"/>
      <c r="M42" s="139">
        <f t="shared" si="13"/>
        <v>0</v>
      </c>
      <c r="N42" s="140">
        <f t="shared" si="14"/>
        <v>0</v>
      </c>
      <c r="O42" s="116"/>
      <c r="P42" s="116"/>
      <c r="Q42" s="180"/>
      <c r="R42" s="179"/>
      <c r="S42" s="179"/>
      <c r="T42" s="116"/>
      <c r="U42" s="116"/>
      <c r="V42" s="179"/>
      <c r="W42" s="116"/>
      <c r="X42" s="116"/>
      <c r="Y42" s="179"/>
      <c r="Z42" s="185"/>
      <c r="AA42" s="217"/>
      <c r="AB42" s="138">
        <v>1.0</v>
      </c>
      <c r="AC42" s="179"/>
      <c r="AD42" s="182">
        <v>1.0</v>
      </c>
      <c r="AE42" s="176"/>
      <c r="AF42" s="176"/>
      <c r="AG42" s="182"/>
      <c r="AH42" s="182"/>
      <c r="AI42" s="176"/>
      <c r="AJ42" s="139">
        <f t="shared" si="15"/>
        <v>2</v>
      </c>
      <c r="AK42" s="205">
        <f t="shared" si="16"/>
        <v>15.38461538</v>
      </c>
      <c r="AL42" s="222"/>
      <c r="AM42" s="116"/>
      <c r="AN42" s="184">
        <v>1.0</v>
      </c>
      <c r="AO42" s="179"/>
      <c r="AP42" s="184">
        <v>1.0</v>
      </c>
      <c r="AQ42" s="116"/>
      <c r="AR42" s="138">
        <v>1.0</v>
      </c>
      <c r="AS42" s="191">
        <v>1.0</v>
      </c>
      <c r="AT42" s="116"/>
      <c r="AU42" s="116"/>
      <c r="AV42" s="116"/>
      <c r="AW42" s="179"/>
      <c r="AX42" s="116"/>
      <c r="AY42" s="116"/>
      <c r="AZ42" s="180"/>
      <c r="BA42" s="180"/>
      <c r="BB42" s="204"/>
      <c r="BC42" s="204"/>
      <c r="BD42" s="181"/>
      <c r="BE42" s="181"/>
      <c r="BF42" s="181"/>
      <c r="BG42" s="139">
        <f t="shared" si="17"/>
        <v>4</v>
      </c>
      <c r="BH42" s="208">
        <f t="shared" si="18"/>
        <v>33.33333333</v>
      </c>
      <c r="BI42" s="116"/>
      <c r="BJ42" s="180"/>
      <c r="BK42" s="180"/>
      <c r="BL42" s="116"/>
      <c r="BM42" s="116"/>
      <c r="BN42" s="116"/>
      <c r="BO42" s="116"/>
      <c r="BP42" s="116"/>
      <c r="BQ42" s="211"/>
      <c r="BR42" s="166"/>
      <c r="BS42" s="165"/>
      <c r="BT42" s="185"/>
      <c r="BU42" s="43"/>
      <c r="BV42" s="145">
        <v>1.0</v>
      </c>
      <c r="BW42" s="198"/>
      <c r="BX42" s="145">
        <v>1.0</v>
      </c>
      <c r="BY42" s="138">
        <v>1.0</v>
      </c>
      <c r="BZ42" s="165"/>
      <c r="CA42" s="165"/>
      <c r="CB42" s="165"/>
      <c r="CC42" s="165"/>
      <c r="CD42" s="165"/>
      <c r="CE42" s="124">
        <f t="shared" si="19"/>
        <v>3</v>
      </c>
      <c r="CF42" s="173">
        <f t="shared" si="20"/>
        <v>23.07692308</v>
      </c>
      <c r="CG42" s="179"/>
      <c r="CH42" s="238"/>
      <c r="CI42" s="186"/>
      <c r="CJ42" s="186"/>
      <c r="CK42" s="116"/>
      <c r="CL42" s="186"/>
      <c r="CM42" s="223"/>
      <c r="CN42" s="223"/>
      <c r="CO42" s="223"/>
      <c r="CP42" s="166"/>
      <c r="CQ42" s="213"/>
      <c r="CR42" s="213"/>
      <c r="CS42" s="116"/>
      <c r="CT42" s="116"/>
      <c r="CU42" s="213"/>
      <c r="CV42" s="213"/>
      <c r="CW42" s="128">
        <f t="shared" si="21"/>
        <v>0</v>
      </c>
      <c r="CX42" s="214">
        <f t="shared" si="22"/>
        <v>0</v>
      </c>
      <c r="CY42" s="171"/>
      <c r="CZ42" s="171"/>
      <c r="DA42" s="171"/>
      <c r="DB42" s="171"/>
      <c r="DC42" s="171"/>
      <c r="DD42" s="171"/>
      <c r="DE42" s="171"/>
      <c r="DF42" s="171"/>
      <c r="DG42" s="171"/>
      <c r="DH42" s="171"/>
      <c r="DI42" s="171"/>
      <c r="DJ42" s="171"/>
      <c r="DK42" s="128">
        <f t="shared" si="23"/>
        <v>0</v>
      </c>
      <c r="DL42" s="158" t="str">
        <f t="shared" si="24"/>
        <v>#DIV/0!</v>
      </c>
    </row>
    <row r="43" ht="15.75" customHeight="1">
      <c r="A43" s="50">
        <v>34.0</v>
      </c>
      <c r="B43" s="111" t="s">
        <v>118</v>
      </c>
      <c r="C43" s="112" t="s">
        <v>119</v>
      </c>
      <c r="D43" s="98">
        <f t="shared" si="9"/>
        <v>1</v>
      </c>
      <c r="E43" s="130">
        <f t="shared" si="10"/>
        <v>2.272727273</v>
      </c>
      <c r="F43" s="114">
        <f t="shared" si="11"/>
        <v>2.272727273</v>
      </c>
      <c r="G43" s="226">
        <f t="shared" si="12"/>
        <v>2.272727273</v>
      </c>
      <c r="H43" s="180"/>
      <c r="I43" s="180"/>
      <c r="J43" s="180"/>
      <c r="K43" s="203"/>
      <c r="L43" s="239"/>
      <c r="M43" s="139">
        <f t="shared" si="13"/>
        <v>0</v>
      </c>
      <c r="N43" s="140">
        <f t="shared" si="14"/>
        <v>0</v>
      </c>
      <c r="O43" s="116"/>
      <c r="P43" s="116"/>
      <c r="Q43" s="180"/>
      <c r="R43" s="179"/>
      <c r="S43" s="116"/>
      <c r="T43" s="116"/>
      <c r="U43" s="116"/>
      <c r="V43" s="179"/>
      <c r="W43" s="116"/>
      <c r="X43" s="116"/>
      <c r="Y43" s="179"/>
      <c r="Z43" s="185"/>
      <c r="AA43" s="217"/>
      <c r="AB43" s="116"/>
      <c r="AC43" s="179"/>
      <c r="AD43" s="176"/>
      <c r="AE43" s="176"/>
      <c r="AF43" s="176"/>
      <c r="AG43" s="182"/>
      <c r="AH43" s="182"/>
      <c r="AI43" s="176"/>
      <c r="AJ43" s="139">
        <f t="shared" si="15"/>
        <v>0</v>
      </c>
      <c r="AK43" s="205">
        <f t="shared" si="16"/>
        <v>0</v>
      </c>
      <c r="AL43" s="222"/>
      <c r="AM43" s="179"/>
      <c r="AN43" s="179"/>
      <c r="AO43" s="179"/>
      <c r="AP43" s="184">
        <v>1.0</v>
      </c>
      <c r="AQ43" s="116"/>
      <c r="AR43" s="116"/>
      <c r="AS43" s="166"/>
      <c r="AT43" s="116"/>
      <c r="AU43" s="116"/>
      <c r="AV43" s="116"/>
      <c r="AW43" s="179"/>
      <c r="AX43" s="116"/>
      <c r="AY43" s="116"/>
      <c r="AZ43" s="180"/>
      <c r="BA43" s="180"/>
      <c r="BB43" s="204"/>
      <c r="BC43" s="204"/>
      <c r="BD43" s="181"/>
      <c r="BE43" s="181"/>
      <c r="BF43" s="181"/>
      <c r="BG43" s="139">
        <f t="shared" si="17"/>
        <v>1</v>
      </c>
      <c r="BH43" s="208">
        <f t="shared" si="18"/>
        <v>8.333333333</v>
      </c>
      <c r="BI43" s="116"/>
      <c r="BJ43" s="116"/>
      <c r="BK43" s="180"/>
      <c r="BL43" s="116"/>
      <c r="BM43" s="116"/>
      <c r="BN43" s="116"/>
      <c r="BO43" s="116"/>
      <c r="BP43" s="116"/>
      <c r="BQ43" s="116"/>
      <c r="BR43" s="166"/>
      <c r="BS43" s="165"/>
      <c r="BT43" s="116"/>
      <c r="BU43" s="43"/>
      <c r="BV43" s="43"/>
      <c r="BW43" s="198"/>
      <c r="BX43" s="43"/>
      <c r="BY43" s="116"/>
      <c r="BZ43" s="165"/>
      <c r="CA43" s="165"/>
      <c r="CB43" s="165"/>
      <c r="CC43" s="165"/>
      <c r="CD43" s="165"/>
      <c r="CE43" s="124">
        <f t="shared" si="19"/>
        <v>0</v>
      </c>
      <c r="CF43" s="173">
        <f t="shared" si="20"/>
        <v>0</v>
      </c>
      <c r="CG43" s="179"/>
      <c r="CH43" s="238"/>
      <c r="CI43" s="186"/>
      <c r="CJ43" s="116"/>
      <c r="CK43" s="231"/>
      <c r="CL43" s="186"/>
      <c r="CM43" s="223"/>
      <c r="CN43" s="223"/>
      <c r="CO43" s="116"/>
      <c r="CP43" s="166"/>
      <c r="CQ43" s="213"/>
      <c r="CR43" s="213"/>
      <c r="CS43" s="213"/>
      <c r="CT43" s="213"/>
      <c r="CU43" s="116"/>
      <c r="CV43" s="213"/>
      <c r="CW43" s="128">
        <f t="shared" si="21"/>
        <v>0</v>
      </c>
      <c r="CX43" s="214">
        <f t="shared" si="22"/>
        <v>0</v>
      </c>
      <c r="CY43" s="171"/>
      <c r="CZ43" s="171"/>
      <c r="DA43" s="171"/>
      <c r="DB43" s="171"/>
      <c r="DC43" s="171"/>
      <c r="DD43" s="171"/>
      <c r="DE43" s="171"/>
      <c r="DF43" s="171"/>
      <c r="DG43" s="171"/>
      <c r="DH43" s="171"/>
      <c r="DI43" s="171"/>
      <c r="DJ43" s="171"/>
      <c r="DK43" s="128">
        <f t="shared" si="23"/>
        <v>0</v>
      </c>
      <c r="DL43" s="158" t="str">
        <f t="shared" si="24"/>
        <v>#DIV/0!</v>
      </c>
    </row>
    <row r="44" ht="15.75" customHeight="1">
      <c r="A44" s="131">
        <v>35.0</v>
      </c>
      <c r="B44" s="111" t="s">
        <v>120</v>
      </c>
      <c r="C44" s="112" t="s">
        <v>121</v>
      </c>
      <c r="D44" s="98">
        <f t="shared" si="9"/>
        <v>21</v>
      </c>
      <c r="E44" s="130">
        <f t="shared" si="10"/>
        <v>47.72727273</v>
      </c>
      <c r="F44" s="114">
        <f t="shared" si="11"/>
        <v>47.72727273</v>
      </c>
      <c r="G44" s="149" t="str">
        <f t="shared" si="12"/>
        <v>  </v>
      </c>
      <c r="H44" s="180"/>
      <c r="I44" s="180"/>
      <c r="J44" s="221"/>
      <c r="K44" s="180"/>
      <c r="L44" s="204"/>
      <c r="M44" s="139">
        <f t="shared" si="13"/>
        <v>0</v>
      </c>
      <c r="N44" s="140">
        <f t="shared" si="14"/>
        <v>0</v>
      </c>
      <c r="O44" s="116"/>
      <c r="P44" s="116"/>
      <c r="Q44" s="116"/>
      <c r="R44" s="186"/>
      <c r="S44" s="186"/>
      <c r="T44" s="116"/>
      <c r="U44" s="116"/>
      <c r="V44" s="186"/>
      <c r="W44" s="116"/>
      <c r="X44" s="138">
        <v>1.0</v>
      </c>
      <c r="Y44" s="200">
        <v>1.0</v>
      </c>
      <c r="Z44" s="185"/>
      <c r="AA44" s="217"/>
      <c r="AB44" s="138">
        <v>1.0</v>
      </c>
      <c r="AC44" s="200">
        <v>1.0</v>
      </c>
      <c r="AD44" s="195"/>
      <c r="AE44" s="195"/>
      <c r="AF44" s="197"/>
      <c r="AG44" s="197">
        <v>1.0</v>
      </c>
      <c r="AH44" s="197">
        <v>1.0</v>
      </c>
      <c r="AI44" s="197">
        <v>1.0</v>
      </c>
      <c r="AJ44" s="139">
        <f t="shared" si="15"/>
        <v>7</v>
      </c>
      <c r="AK44" s="205">
        <f t="shared" si="16"/>
        <v>53.84615385</v>
      </c>
      <c r="AL44" s="225"/>
      <c r="AM44" s="186"/>
      <c r="AN44" s="186"/>
      <c r="AO44" s="200">
        <v>1.0</v>
      </c>
      <c r="AP44" s="200">
        <v>1.0</v>
      </c>
      <c r="AQ44" s="116"/>
      <c r="AR44" s="138">
        <v>1.0</v>
      </c>
      <c r="AS44" s="191">
        <v>1.0</v>
      </c>
      <c r="AT44" s="116"/>
      <c r="AU44" s="116"/>
      <c r="AV44" s="116"/>
      <c r="AW44" s="186"/>
      <c r="AX44" s="116"/>
      <c r="AY44" s="116"/>
      <c r="AZ44" s="180"/>
      <c r="BA44" s="180"/>
      <c r="BB44" s="204"/>
      <c r="BC44" s="218">
        <v>1.0</v>
      </c>
      <c r="BD44" s="219">
        <v>1.0</v>
      </c>
      <c r="BE44" s="219">
        <v>1.0</v>
      </c>
      <c r="BF44" s="181"/>
      <c r="BG44" s="139">
        <f t="shared" si="17"/>
        <v>7</v>
      </c>
      <c r="BH44" s="208">
        <f t="shared" si="18"/>
        <v>58.33333333</v>
      </c>
      <c r="BI44" s="138">
        <v>1.0</v>
      </c>
      <c r="BJ44" s="116"/>
      <c r="BK44" s="180"/>
      <c r="BL44" s="138">
        <v>1.0</v>
      </c>
      <c r="BM44" s="116"/>
      <c r="BN44" s="116"/>
      <c r="BO44" s="138">
        <v>1.0</v>
      </c>
      <c r="BP44" s="138">
        <v>1.0</v>
      </c>
      <c r="BQ44" s="211"/>
      <c r="BR44" s="166"/>
      <c r="BS44" s="165"/>
      <c r="BT44" s="210">
        <v>1.0</v>
      </c>
      <c r="BU44" s="43"/>
      <c r="BV44" s="145">
        <v>1.0</v>
      </c>
      <c r="BW44" s="198"/>
      <c r="BX44" s="43"/>
      <c r="BY44" s="116"/>
      <c r="BZ44" s="165"/>
      <c r="CA44" s="116"/>
      <c r="CB44" s="165"/>
      <c r="CC44" s="165"/>
      <c r="CD44" s="165"/>
      <c r="CE44" s="124">
        <f t="shared" si="19"/>
        <v>6</v>
      </c>
      <c r="CF44" s="173">
        <f t="shared" si="20"/>
        <v>46.15384615</v>
      </c>
      <c r="CG44" s="200">
        <v>1.0</v>
      </c>
      <c r="CH44" s="116"/>
      <c r="CI44" s="116"/>
      <c r="CJ44" s="186"/>
      <c r="CK44" s="231"/>
      <c r="CL44" s="186"/>
      <c r="CM44" s="223"/>
      <c r="CN44" s="223"/>
      <c r="CO44" s="223"/>
      <c r="CP44" s="166"/>
      <c r="CQ44" s="213"/>
      <c r="CR44" s="213"/>
      <c r="CS44" s="116"/>
      <c r="CT44" s="116"/>
      <c r="CU44" s="116"/>
      <c r="CV44" s="213"/>
      <c r="CW44" s="128">
        <f t="shared" si="21"/>
        <v>1</v>
      </c>
      <c r="CX44" s="214">
        <f t="shared" si="22"/>
        <v>50</v>
      </c>
      <c r="CY44" s="171"/>
      <c r="CZ44" s="171"/>
      <c r="DA44" s="171"/>
      <c r="DB44" s="171"/>
      <c r="DC44" s="171"/>
      <c r="DD44" s="171"/>
      <c r="DE44" s="171"/>
      <c r="DF44" s="171"/>
      <c r="DG44" s="171"/>
      <c r="DH44" s="171"/>
      <c r="DI44" s="171"/>
      <c r="DJ44" s="171"/>
      <c r="DK44" s="128">
        <f t="shared" si="23"/>
        <v>0</v>
      </c>
      <c r="DL44" s="158" t="str">
        <f t="shared" si="24"/>
        <v>#DIV/0!</v>
      </c>
    </row>
    <row r="45" ht="15.75" customHeight="1">
      <c r="A45" s="146">
        <v>36.0</v>
      </c>
      <c r="B45" s="111" t="s">
        <v>122</v>
      </c>
      <c r="C45" s="112" t="s">
        <v>123</v>
      </c>
      <c r="D45" s="98">
        <f t="shared" si="9"/>
        <v>27</v>
      </c>
      <c r="E45" s="130">
        <f t="shared" si="10"/>
        <v>61.36363636</v>
      </c>
      <c r="F45" s="92" t="str">
        <f t="shared" si="11"/>
        <v>  </v>
      </c>
      <c r="G45" s="149" t="str">
        <f t="shared" si="12"/>
        <v>  </v>
      </c>
      <c r="H45" s="180"/>
      <c r="I45" s="180"/>
      <c r="J45" s="180"/>
      <c r="K45" s="180"/>
      <c r="L45" s="204"/>
      <c r="M45" s="139">
        <f t="shared" si="13"/>
        <v>0</v>
      </c>
      <c r="N45" s="140">
        <f t="shared" si="14"/>
        <v>0</v>
      </c>
      <c r="O45" s="116"/>
      <c r="P45" s="116"/>
      <c r="Q45" s="180"/>
      <c r="R45" s="186"/>
      <c r="S45" s="116"/>
      <c r="T45" s="116"/>
      <c r="U45" s="116"/>
      <c r="V45" s="186"/>
      <c r="W45" s="138">
        <v>1.0</v>
      </c>
      <c r="X45" s="138">
        <v>1.0</v>
      </c>
      <c r="Y45" s="200">
        <v>1.0</v>
      </c>
      <c r="Z45" s="185"/>
      <c r="AA45" s="187">
        <v>1.0</v>
      </c>
      <c r="AB45" s="138">
        <v>1.0</v>
      </c>
      <c r="AC45" s="200">
        <v>1.0</v>
      </c>
      <c r="AD45" s="116"/>
      <c r="AE45" s="116"/>
      <c r="AF45" s="197">
        <v>1.0</v>
      </c>
      <c r="AG45" s="197">
        <v>1.0</v>
      </c>
      <c r="AH45" s="116"/>
      <c r="AI45" s="116"/>
      <c r="AJ45" s="139">
        <f t="shared" si="15"/>
        <v>8</v>
      </c>
      <c r="AK45" s="205">
        <f t="shared" si="16"/>
        <v>61.53846154</v>
      </c>
      <c r="AL45" s="225"/>
      <c r="AM45" s="186"/>
      <c r="AN45" s="186"/>
      <c r="AO45" s="184">
        <v>1.0</v>
      </c>
      <c r="AP45" s="184">
        <v>1.0</v>
      </c>
      <c r="AQ45" s="116"/>
      <c r="AR45" s="138">
        <v>1.0</v>
      </c>
      <c r="AS45" s="166"/>
      <c r="AT45" s="138">
        <v>1.0</v>
      </c>
      <c r="AU45" s="138">
        <v>1.0</v>
      </c>
      <c r="AV45" s="116"/>
      <c r="AW45" s="186"/>
      <c r="AX45" s="116"/>
      <c r="AY45" s="116"/>
      <c r="AZ45" s="116"/>
      <c r="BA45" s="180"/>
      <c r="BB45" s="138">
        <v>1.0</v>
      </c>
      <c r="BC45" s="138">
        <v>1.0</v>
      </c>
      <c r="BD45" s="194"/>
      <c r="BE45" s="194"/>
      <c r="BF45" s="194"/>
      <c r="BG45" s="139">
        <f t="shared" si="17"/>
        <v>7</v>
      </c>
      <c r="BH45" s="208">
        <f t="shared" si="18"/>
        <v>58.33333333</v>
      </c>
      <c r="BI45" s="138">
        <v>1.0</v>
      </c>
      <c r="BJ45" s="215">
        <v>1.0</v>
      </c>
      <c r="BK45" s="180"/>
      <c r="BL45" s="138">
        <v>1.0</v>
      </c>
      <c r="BM45" s="116"/>
      <c r="BN45" s="116"/>
      <c r="BO45" s="138">
        <v>1.0</v>
      </c>
      <c r="BP45" s="138">
        <v>1.0</v>
      </c>
      <c r="BQ45" s="211"/>
      <c r="BR45" s="116"/>
      <c r="BS45" s="138">
        <v>1.0</v>
      </c>
      <c r="BT45" s="138">
        <v>1.0</v>
      </c>
      <c r="BU45" s="145">
        <v>1.0</v>
      </c>
      <c r="BV45" s="145">
        <v>1.0</v>
      </c>
      <c r="BW45" s="198"/>
      <c r="BX45" s="116"/>
      <c r="BY45" s="138">
        <v>1.0</v>
      </c>
      <c r="BZ45" s="196">
        <v>1.0</v>
      </c>
      <c r="CA45" s="116"/>
      <c r="CB45" s="165"/>
      <c r="CC45" s="165"/>
      <c r="CD45" s="165"/>
      <c r="CE45" s="124">
        <f t="shared" si="19"/>
        <v>11</v>
      </c>
      <c r="CF45" s="173">
        <f t="shared" si="20"/>
        <v>84.61538462</v>
      </c>
      <c r="CG45" s="138">
        <v>1.0</v>
      </c>
      <c r="CH45" s="116"/>
      <c r="CI45" s="186"/>
      <c r="CJ45" s="116"/>
      <c r="CK45" s="116"/>
      <c r="CL45" s="186"/>
      <c r="CM45" s="116"/>
      <c r="CN45" s="116"/>
      <c r="CO45" s="116"/>
      <c r="CP45" s="166"/>
      <c r="CQ45" s="213"/>
      <c r="CR45" s="213"/>
      <c r="CS45" s="116"/>
      <c r="CT45" s="116"/>
      <c r="CU45" s="116"/>
      <c r="CV45" s="213"/>
      <c r="CW45" s="128">
        <f t="shared" si="21"/>
        <v>1</v>
      </c>
      <c r="CX45" s="214">
        <f t="shared" si="22"/>
        <v>50</v>
      </c>
      <c r="CY45" s="171"/>
      <c r="CZ45" s="171"/>
      <c r="DA45" s="171"/>
      <c r="DB45" s="171"/>
      <c r="DC45" s="171"/>
      <c r="DD45" s="171"/>
      <c r="DE45" s="171"/>
      <c r="DF45" s="171"/>
      <c r="DG45" s="171"/>
      <c r="DH45" s="171"/>
      <c r="DI45" s="171"/>
      <c r="DJ45" s="171"/>
      <c r="DK45" s="128">
        <f t="shared" si="23"/>
        <v>0</v>
      </c>
      <c r="DL45" s="158" t="str">
        <f t="shared" si="24"/>
        <v>#DIV/0!</v>
      </c>
    </row>
    <row r="46" ht="15.75" customHeight="1">
      <c r="A46" s="50">
        <v>37.0</v>
      </c>
      <c r="B46" s="111" t="s">
        <v>124</v>
      </c>
      <c r="C46" s="112" t="s">
        <v>125</v>
      </c>
      <c r="D46" s="98">
        <f t="shared" si="9"/>
        <v>22</v>
      </c>
      <c r="E46" s="130">
        <f t="shared" si="10"/>
        <v>50</v>
      </c>
      <c r="F46" s="114" t="str">
        <f t="shared" si="11"/>
        <v>  </v>
      </c>
      <c r="G46" s="226" t="str">
        <f t="shared" si="12"/>
        <v>  </v>
      </c>
      <c r="H46" s="180"/>
      <c r="I46" s="180"/>
      <c r="J46" s="221"/>
      <c r="K46" s="180"/>
      <c r="L46" s="204"/>
      <c r="M46" s="139">
        <f t="shared" si="13"/>
        <v>0</v>
      </c>
      <c r="N46" s="140">
        <f t="shared" si="14"/>
        <v>0</v>
      </c>
      <c r="O46" s="116"/>
      <c r="P46" s="116"/>
      <c r="Q46" s="180"/>
      <c r="R46" s="179"/>
      <c r="S46" s="179"/>
      <c r="T46" s="116"/>
      <c r="U46" s="116"/>
      <c r="V46" s="179"/>
      <c r="W46" s="116"/>
      <c r="X46" s="116"/>
      <c r="Y46" s="179"/>
      <c r="Z46" s="185"/>
      <c r="AA46" s="187">
        <v>1.0</v>
      </c>
      <c r="AB46" s="138">
        <v>1.0</v>
      </c>
      <c r="AC46" s="179"/>
      <c r="AD46" s="176"/>
      <c r="AE46" s="116"/>
      <c r="AF46" s="182">
        <v>1.0</v>
      </c>
      <c r="AG46" s="182">
        <v>1.0</v>
      </c>
      <c r="AH46" s="138">
        <v>1.0</v>
      </c>
      <c r="AI46" s="182">
        <v>1.0</v>
      </c>
      <c r="AJ46" s="139">
        <f t="shared" si="15"/>
        <v>6</v>
      </c>
      <c r="AK46" s="205">
        <f t="shared" si="16"/>
        <v>46.15384615</v>
      </c>
      <c r="AL46" s="116"/>
      <c r="AM46" s="138">
        <v>1.0</v>
      </c>
      <c r="AN46" s="184">
        <v>1.0</v>
      </c>
      <c r="AO46" s="116"/>
      <c r="AP46" s="138">
        <v>1.0</v>
      </c>
      <c r="AQ46" s="116"/>
      <c r="AR46" s="138">
        <v>1.0</v>
      </c>
      <c r="AS46" s="191">
        <v>1.0</v>
      </c>
      <c r="AT46" s="116"/>
      <c r="AU46" s="138">
        <v>1.0</v>
      </c>
      <c r="AV46" s="116"/>
      <c r="AW46" s="179"/>
      <c r="AX46" s="116"/>
      <c r="AY46" s="116"/>
      <c r="AZ46" s="116"/>
      <c r="BA46" s="180"/>
      <c r="BB46" s="116"/>
      <c r="BC46" s="116"/>
      <c r="BD46" s="194"/>
      <c r="BE46" s="194"/>
      <c r="BF46" s="194"/>
      <c r="BG46" s="139">
        <f t="shared" si="17"/>
        <v>6</v>
      </c>
      <c r="BH46" s="208">
        <f t="shared" si="18"/>
        <v>50</v>
      </c>
      <c r="BI46" s="138">
        <v>1.0</v>
      </c>
      <c r="BJ46" s="138">
        <v>1.0</v>
      </c>
      <c r="BK46" s="180"/>
      <c r="BL46" s="138">
        <v>1.0</v>
      </c>
      <c r="BM46" s="116"/>
      <c r="BN46" s="116"/>
      <c r="BO46" s="138">
        <v>1.0</v>
      </c>
      <c r="BP46" s="138">
        <v>1.0</v>
      </c>
      <c r="BQ46" s="116"/>
      <c r="BR46" s="166"/>
      <c r="BS46" s="138">
        <v>1.0</v>
      </c>
      <c r="BT46" s="210">
        <v>1.0</v>
      </c>
      <c r="BU46" s="43"/>
      <c r="BV46" s="145">
        <v>1.0</v>
      </c>
      <c r="BW46" s="198"/>
      <c r="BX46" s="138">
        <v>1.0</v>
      </c>
      <c r="BY46" s="116"/>
      <c r="BZ46" s="196">
        <v>1.0</v>
      </c>
      <c r="CA46" s="116"/>
      <c r="CB46" s="165"/>
      <c r="CC46" s="165"/>
      <c r="CD46" s="165"/>
      <c r="CE46" s="124">
        <f t="shared" si="19"/>
        <v>10</v>
      </c>
      <c r="CF46" s="173">
        <f t="shared" si="20"/>
        <v>76.92307692</v>
      </c>
      <c r="CG46" s="116"/>
      <c r="CH46" s="238"/>
      <c r="CI46" s="186"/>
      <c r="CJ46" s="186"/>
      <c r="CK46" s="116"/>
      <c r="CL46" s="186"/>
      <c r="CM46" s="116"/>
      <c r="CN46" s="223"/>
      <c r="CO46" s="116"/>
      <c r="CP46" s="166"/>
      <c r="CQ46" s="213"/>
      <c r="CR46" s="213"/>
      <c r="CS46" s="213"/>
      <c r="CT46" s="116"/>
      <c r="CU46" s="213"/>
      <c r="CV46" s="213"/>
      <c r="CW46" s="128">
        <f t="shared" si="21"/>
        <v>0</v>
      </c>
      <c r="CX46" s="214">
        <f t="shared" si="22"/>
        <v>0</v>
      </c>
      <c r="CY46" s="171"/>
      <c r="CZ46" s="171"/>
      <c r="DA46" s="171"/>
      <c r="DB46" s="171"/>
      <c r="DC46" s="171"/>
      <c r="DD46" s="171"/>
      <c r="DE46" s="171"/>
      <c r="DF46" s="171"/>
      <c r="DG46" s="171"/>
      <c r="DH46" s="171"/>
      <c r="DI46" s="171"/>
      <c r="DJ46" s="171"/>
      <c r="DK46" s="128">
        <f t="shared" si="23"/>
        <v>0</v>
      </c>
      <c r="DL46" s="158" t="str">
        <f t="shared" si="24"/>
        <v>#DIV/0!</v>
      </c>
    </row>
    <row r="47" ht="15.75" customHeight="1">
      <c r="A47" s="131">
        <v>38.0</v>
      </c>
      <c r="B47" s="111" t="s">
        <v>126</v>
      </c>
      <c r="C47" s="112" t="s">
        <v>127</v>
      </c>
      <c r="D47" s="98">
        <f t="shared" si="9"/>
        <v>18</v>
      </c>
      <c r="E47" s="130">
        <f t="shared" si="10"/>
        <v>40.90909091</v>
      </c>
      <c r="F47" s="114">
        <f t="shared" si="11"/>
        <v>40.90909091</v>
      </c>
      <c r="G47" s="226" t="str">
        <f t="shared" si="12"/>
        <v>  </v>
      </c>
      <c r="H47" s="180"/>
      <c r="I47" s="180"/>
      <c r="J47" s="180"/>
      <c r="K47" s="180"/>
      <c r="L47" s="204"/>
      <c r="M47" s="139">
        <f t="shared" si="13"/>
        <v>0</v>
      </c>
      <c r="N47" s="140">
        <f t="shared" si="14"/>
        <v>0</v>
      </c>
      <c r="O47" s="116"/>
      <c r="P47" s="116"/>
      <c r="Q47" s="180"/>
      <c r="R47" s="179"/>
      <c r="S47" s="116"/>
      <c r="T47" s="116"/>
      <c r="U47" s="116"/>
      <c r="V47" s="179"/>
      <c r="W47" s="138">
        <v>1.0</v>
      </c>
      <c r="X47" s="138">
        <v>1.0</v>
      </c>
      <c r="Y47" s="184">
        <v>1.0</v>
      </c>
      <c r="Z47" s="185"/>
      <c r="AA47" s="217"/>
      <c r="AB47" s="138">
        <v>1.0</v>
      </c>
      <c r="AC47" s="184">
        <v>1.0</v>
      </c>
      <c r="AD47" s="176"/>
      <c r="AE47" s="176"/>
      <c r="AF47" s="182">
        <v>1.0</v>
      </c>
      <c r="AG47" s="176"/>
      <c r="AH47" s="182">
        <v>1.0</v>
      </c>
      <c r="AI47" s="176"/>
      <c r="AJ47" s="139">
        <f t="shared" si="15"/>
        <v>7</v>
      </c>
      <c r="AK47" s="205">
        <f t="shared" si="16"/>
        <v>53.84615385</v>
      </c>
      <c r="AL47" s="116"/>
      <c r="AM47" s="184">
        <v>1.0</v>
      </c>
      <c r="AN47" s="179"/>
      <c r="AO47" s="184">
        <v>1.0</v>
      </c>
      <c r="AP47" s="179"/>
      <c r="AQ47" s="116"/>
      <c r="AR47" s="138">
        <v>1.0</v>
      </c>
      <c r="AS47" s="166"/>
      <c r="AT47" s="138">
        <v>1.0</v>
      </c>
      <c r="AU47" s="116"/>
      <c r="AV47" s="116"/>
      <c r="AW47" s="179"/>
      <c r="AX47" s="116"/>
      <c r="AY47" s="116"/>
      <c r="AZ47" s="180"/>
      <c r="BA47" s="180"/>
      <c r="BB47" s="204"/>
      <c r="BC47" s="204"/>
      <c r="BD47" s="219">
        <v>1.0</v>
      </c>
      <c r="BE47" s="181"/>
      <c r="BF47" s="181"/>
      <c r="BG47" s="139">
        <f t="shared" si="17"/>
        <v>5</v>
      </c>
      <c r="BH47" s="208">
        <f t="shared" si="18"/>
        <v>41.66666667</v>
      </c>
      <c r="BI47" s="116"/>
      <c r="BJ47" s="116"/>
      <c r="BK47" s="180"/>
      <c r="BL47" s="116"/>
      <c r="BM47" s="116"/>
      <c r="BN47" s="116"/>
      <c r="BO47" s="116"/>
      <c r="BP47" s="138">
        <v>1.0</v>
      </c>
      <c r="BQ47" s="211"/>
      <c r="BR47" s="166"/>
      <c r="BS47" s="116"/>
      <c r="BT47" s="210">
        <v>1.0</v>
      </c>
      <c r="BU47" s="43"/>
      <c r="BV47" s="145">
        <v>1.0</v>
      </c>
      <c r="BW47" s="198"/>
      <c r="BX47" s="43"/>
      <c r="BY47" s="138">
        <v>1.0</v>
      </c>
      <c r="BZ47" s="196">
        <v>1.0</v>
      </c>
      <c r="CA47" s="116"/>
      <c r="CB47" s="165"/>
      <c r="CC47" s="165"/>
      <c r="CD47" s="165"/>
      <c r="CE47" s="124">
        <f t="shared" si="19"/>
        <v>5</v>
      </c>
      <c r="CF47" s="173">
        <f t="shared" si="20"/>
        <v>38.46153846</v>
      </c>
      <c r="CG47" s="184">
        <v>1.0</v>
      </c>
      <c r="CH47" s="116"/>
      <c r="CI47" s="186"/>
      <c r="CJ47" s="186"/>
      <c r="CK47" s="231"/>
      <c r="CL47" s="186"/>
      <c r="CM47" s="223"/>
      <c r="CN47" s="223"/>
      <c r="CO47" s="223"/>
      <c r="CP47" s="166"/>
      <c r="CQ47" s="213"/>
      <c r="CR47" s="213"/>
      <c r="CS47" s="213"/>
      <c r="CT47" s="116"/>
      <c r="CU47" s="213"/>
      <c r="CV47" s="213"/>
      <c r="CW47" s="128">
        <f t="shared" si="21"/>
        <v>1</v>
      </c>
      <c r="CX47" s="214">
        <f t="shared" si="22"/>
        <v>50</v>
      </c>
      <c r="CY47" s="171"/>
      <c r="CZ47" s="171"/>
      <c r="DA47" s="171"/>
      <c r="DB47" s="171"/>
      <c r="DC47" s="171"/>
      <c r="DD47" s="171"/>
      <c r="DE47" s="171"/>
      <c r="DF47" s="171"/>
      <c r="DG47" s="171"/>
      <c r="DH47" s="171"/>
      <c r="DI47" s="171"/>
      <c r="DJ47" s="171"/>
      <c r="DK47" s="128">
        <f t="shared" si="23"/>
        <v>0</v>
      </c>
      <c r="DL47" s="158" t="str">
        <f t="shared" si="24"/>
        <v>#DIV/0!</v>
      </c>
    </row>
    <row r="48" ht="15.75" customHeight="1">
      <c r="A48" s="146">
        <v>39.0</v>
      </c>
      <c r="B48" s="111" t="s">
        <v>128</v>
      </c>
      <c r="C48" s="112" t="s">
        <v>129</v>
      </c>
      <c r="D48" s="98">
        <f t="shared" si="9"/>
        <v>27</v>
      </c>
      <c r="E48" s="130">
        <f t="shared" si="10"/>
        <v>61.36363636</v>
      </c>
      <c r="F48" s="92" t="str">
        <f t="shared" si="11"/>
        <v>  </v>
      </c>
      <c r="G48" s="149" t="str">
        <f t="shared" si="12"/>
        <v>  </v>
      </c>
      <c r="H48" s="203"/>
      <c r="I48" s="221"/>
      <c r="J48" s="221"/>
      <c r="K48" s="180"/>
      <c r="L48" s="204"/>
      <c r="M48" s="139">
        <f t="shared" si="13"/>
        <v>0</v>
      </c>
      <c r="N48" s="140">
        <f t="shared" si="14"/>
        <v>0</v>
      </c>
      <c r="O48" s="116"/>
      <c r="P48" s="138">
        <v>1.0</v>
      </c>
      <c r="Q48" s="116"/>
      <c r="R48" s="179"/>
      <c r="S48" s="179"/>
      <c r="T48" s="116"/>
      <c r="U48" s="116"/>
      <c r="V48" s="179"/>
      <c r="W48" s="138">
        <v>1.0</v>
      </c>
      <c r="X48" s="138">
        <v>1.0</v>
      </c>
      <c r="Y48" s="184">
        <v>1.0</v>
      </c>
      <c r="Z48" s="185"/>
      <c r="AA48" s="217"/>
      <c r="AB48" s="116"/>
      <c r="AC48" s="184">
        <v>1.0</v>
      </c>
      <c r="AD48" s="138">
        <v>1.0</v>
      </c>
      <c r="AE48" s="116"/>
      <c r="AF48" s="182">
        <v>1.0</v>
      </c>
      <c r="AG48" s="182">
        <v>1.0</v>
      </c>
      <c r="AH48" s="138">
        <v>1.0</v>
      </c>
      <c r="AI48" s="138">
        <v>1.0</v>
      </c>
      <c r="AJ48" s="139">
        <f t="shared" si="15"/>
        <v>10</v>
      </c>
      <c r="AK48" s="205">
        <f t="shared" si="16"/>
        <v>76.92307692</v>
      </c>
      <c r="AL48" s="116"/>
      <c r="AM48" s="138">
        <v>1.0</v>
      </c>
      <c r="AN48" s="184">
        <v>1.0</v>
      </c>
      <c r="AO48" s="138">
        <v>1.0</v>
      </c>
      <c r="AP48" s="138">
        <v>1.0</v>
      </c>
      <c r="AQ48" s="116"/>
      <c r="AR48" s="116"/>
      <c r="AS48" s="191">
        <v>1.0</v>
      </c>
      <c r="AT48" s="138">
        <v>1.0</v>
      </c>
      <c r="AU48" s="138">
        <v>1.0</v>
      </c>
      <c r="AV48" s="116"/>
      <c r="AW48" s="179"/>
      <c r="AX48" s="116"/>
      <c r="AY48" s="116"/>
      <c r="AZ48" s="116"/>
      <c r="BA48" s="180"/>
      <c r="BB48" s="116"/>
      <c r="BC48" s="138">
        <v>1.0</v>
      </c>
      <c r="BD48" s="188">
        <v>1.0</v>
      </c>
      <c r="BE48" s="194"/>
      <c r="BF48" s="194"/>
      <c r="BG48" s="139">
        <f t="shared" si="17"/>
        <v>9</v>
      </c>
      <c r="BH48" s="208">
        <f t="shared" si="18"/>
        <v>75</v>
      </c>
      <c r="BI48" s="138">
        <v>1.0</v>
      </c>
      <c r="BJ48" s="138">
        <v>1.0</v>
      </c>
      <c r="BK48" s="180"/>
      <c r="BL48" s="116"/>
      <c r="BM48" s="116"/>
      <c r="BN48" s="116"/>
      <c r="BO48" s="116"/>
      <c r="BP48" s="138">
        <v>1.0</v>
      </c>
      <c r="BQ48" s="116"/>
      <c r="BR48" s="116"/>
      <c r="BS48" s="116"/>
      <c r="BT48" s="138">
        <v>1.0</v>
      </c>
      <c r="BU48" s="145">
        <v>1.0</v>
      </c>
      <c r="BV48" s="43"/>
      <c r="BW48" s="198"/>
      <c r="BX48" s="116"/>
      <c r="BY48" s="138">
        <v>1.0</v>
      </c>
      <c r="BZ48" s="196">
        <v>1.0</v>
      </c>
      <c r="CA48" s="138">
        <v>1.0</v>
      </c>
      <c r="CB48" s="116"/>
      <c r="CC48" s="165"/>
      <c r="CD48" s="165"/>
      <c r="CE48" s="124">
        <f t="shared" si="19"/>
        <v>8</v>
      </c>
      <c r="CF48" s="173">
        <f t="shared" si="20"/>
        <v>61.53846154</v>
      </c>
      <c r="CG48" s="116"/>
      <c r="CH48" s="116"/>
      <c r="CI48" s="116"/>
      <c r="CJ48" s="116"/>
      <c r="CK48" s="116"/>
      <c r="CL48" s="186"/>
      <c r="CM48" s="223"/>
      <c r="CN48" s="116"/>
      <c r="CO48" s="223"/>
      <c r="CP48" s="166"/>
      <c r="CQ48" s="213"/>
      <c r="CR48" s="213"/>
      <c r="CS48" s="116"/>
      <c r="CT48" s="116"/>
      <c r="CU48" s="116"/>
      <c r="CV48" s="213"/>
      <c r="CW48" s="128">
        <f t="shared" si="21"/>
        <v>0</v>
      </c>
      <c r="CX48" s="214">
        <f t="shared" si="22"/>
        <v>0</v>
      </c>
      <c r="CY48" s="171"/>
      <c r="CZ48" s="171"/>
      <c r="DA48" s="171"/>
      <c r="DB48" s="171"/>
      <c r="DC48" s="171"/>
      <c r="DD48" s="171"/>
      <c r="DE48" s="171"/>
      <c r="DF48" s="171"/>
      <c r="DG48" s="171"/>
      <c r="DH48" s="171"/>
      <c r="DI48" s="171"/>
      <c r="DJ48" s="171"/>
      <c r="DK48" s="128">
        <f t="shared" si="23"/>
        <v>0</v>
      </c>
      <c r="DL48" s="158" t="str">
        <f t="shared" si="24"/>
        <v>#DIV/0!</v>
      </c>
    </row>
    <row r="49" ht="15.75" customHeight="1">
      <c r="A49" s="50">
        <v>40.0</v>
      </c>
      <c r="B49" s="111" t="s">
        <v>130</v>
      </c>
      <c r="C49" s="112" t="s">
        <v>131</v>
      </c>
      <c r="D49" s="98">
        <f t="shared" si="9"/>
        <v>1</v>
      </c>
      <c r="E49" s="130">
        <f t="shared" si="10"/>
        <v>2.272727273</v>
      </c>
      <c r="F49" s="114">
        <f t="shared" si="11"/>
        <v>2.272727273</v>
      </c>
      <c r="G49" s="226">
        <f t="shared" si="12"/>
        <v>2.272727273</v>
      </c>
      <c r="H49" s="254"/>
      <c r="I49" s="255"/>
      <c r="J49" s="256"/>
      <c r="K49" s="254"/>
      <c r="L49" s="257"/>
      <c r="M49" s="139">
        <f t="shared" si="13"/>
        <v>0</v>
      </c>
      <c r="N49" s="140">
        <f t="shared" si="14"/>
        <v>0</v>
      </c>
      <c r="O49" s="116"/>
      <c r="P49" s="116"/>
      <c r="Q49" s="180"/>
      <c r="R49" s="179"/>
      <c r="S49" s="179"/>
      <c r="T49" s="116"/>
      <c r="U49" s="116"/>
      <c r="V49" s="179"/>
      <c r="W49" s="116"/>
      <c r="X49" s="116"/>
      <c r="Y49" s="179"/>
      <c r="Z49" s="185"/>
      <c r="AA49" s="217"/>
      <c r="AB49" s="116"/>
      <c r="AC49" s="179"/>
      <c r="AD49" s="176"/>
      <c r="AE49" s="176"/>
      <c r="AF49" s="182"/>
      <c r="AG49" s="182"/>
      <c r="AH49" s="176"/>
      <c r="AI49" s="176"/>
      <c r="AJ49" s="139">
        <f t="shared" si="15"/>
        <v>0</v>
      </c>
      <c r="AK49" s="205">
        <f t="shared" si="16"/>
        <v>0</v>
      </c>
      <c r="AL49" s="222"/>
      <c r="AM49" s="179"/>
      <c r="AN49" s="179"/>
      <c r="AO49" s="186"/>
      <c r="AP49" s="186"/>
      <c r="AQ49" s="116"/>
      <c r="AR49" s="116"/>
      <c r="AS49" s="166"/>
      <c r="AT49" s="116"/>
      <c r="AU49" s="116"/>
      <c r="AV49" s="116"/>
      <c r="AW49" s="179"/>
      <c r="AX49" s="116"/>
      <c r="AY49" s="116"/>
      <c r="AZ49" s="180"/>
      <c r="BA49" s="180"/>
      <c r="BB49" s="204"/>
      <c r="BC49" s="204"/>
      <c r="BD49" s="181"/>
      <c r="BE49" s="181"/>
      <c r="BF49" s="181"/>
      <c r="BG49" s="139">
        <f t="shared" si="17"/>
        <v>0</v>
      </c>
      <c r="BH49" s="208">
        <f t="shared" si="18"/>
        <v>0</v>
      </c>
      <c r="BI49" s="116"/>
      <c r="BJ49" s="180"/>
      <c r="BK49" s="180"/>
      <c r="BL49" s="116"/>
      <c r="BM49" s="116"/>
      <c r="BN49" s="116"/>
      <c r="BO49" s="116"/>
      <c r="BP49" s="116"/>
      <c r="BQ49" s="116"/>
      <c r="BR49" s="166"/>
      <c r="BS49" s="165"/>
      <c r="BT49" s="210"/>
      <c r="BU49" s="43"/>
      <c r="BV49" s="43"/>
      <c r="BW49" s="198"/>
      <c r="BX49" s="43"/>
      <c r="BY49" s="116"/>
      <c r="BZ49" s="165"/>
      <c r="CA49" s="165"/>
      <c r="CB49" s="165"/>
      <c r="CC49" s="165"/>
      <c r="CD49" s="165"/>
      <c r="CE49" s="124">
        <f t="shared" si="19"/>
        <v>0</v>
      </c>
      <c r="CF49" s="173">
        <f t="shared" si="20"/>
        <v>0</v>
      </c>
      <c r="CG49" s="184">
        <v>1.0</v>
      </c>
      <c r="CH49" s="238"/>
      <c r="CI49" s="186"/>
      <c r="CJ49" s="186"/>
      <c r="CK49" s="116"/>
      <c r="CL49" s="186"/>
      <c r="CM49" s="223"/>
      <c r="CN49" s="223"/>
      <c r="CO49" s="223"/>
      <c r="CP49" s="166"/>
      <c r="CQ49" s="213"/>
      <c r="CR49" s="213"/>
      <c r="CS49" s="213"/>
      <c r="CT49" s="213"/>
      <c r="CU49" s="213"/>
      <c r="CV49" s="213"/>
      <c r="CW49" s="128">
        <f t="shared" si="21"/>
        <v>1</v>
      </c>
      <c r="CX49" s="214">
        <f t="shared" si="22"/>
        <v>50</v>
      </c>
      <c r="CY49" s="171"/>
      <c r="CZ49" s="171"/>
      <c r="DA49" s="171"/>
      <c r="DB49" s="171"/>
      <c r="DC49" s="171"/>
      <c r="DD49" s="171"/>
      <c r="DE49" s="171"/>
      <c r="DF49" s="171"/>
      <c r="DG49" s="171"/>
      <c r="DH49" s="171"/>
      <c r="DI49" s="171"/>
      <c r="DJ49" s="171"/>
      <c r="DK49" s="128">
        <f t="shared" si="23"/>
        <v>0</v>
      </c>
      <c r="DL49" s="158" t="str">
        <f t="shared" si="24"/>
        <v>#DIV/0!</v>
      </c>
    </row>
    <row r="50" ht="15.75" customHeight="1">
      <c r="A50" s="131">
        <v>41.0</v>
      </c>
      <c r="B50" s="111" t="s">
        <v>132</v>
      </c>
      <c r="C50" s="112" t="s">
        <v>133</v>
      </c>
      <c r="D50" s="98">
        <f t="shared" si="9"/>
        <v>22</v>
      </c>
      <c r="E50" s="130">
        <f t="shared" si="10"/>
        <v>50</v>
      </c>
      <c r="F50" s="92" t="str">
        <f t="shared" si="11"/>
        <v>  </v>
      </c>
      <c r="G50" s="149" t="str">
        <f t="shared" si="12"/>
        <v>  </v>
      </c>
      <c r="H50" s="254"/>
      <c r="I50" s="258"/>
      <c r="J50" s="254"/>
      <c r="K50" s="254"/>
      <c r="L50" s="257"/>
      <c r="M50" s="139">
        <f t="shared" si="13"/>
        <v>0</v>
      </c>
      <c r="N50" s="140">
        <f t="shared" si="14"/>
        <v>0</v>
      </c>
      <c r="O50" s="116"/>
      <c r="P50" s="116"/>
      <c r="Q50" s="180"/>
      <c r="R50" s="186"/>
      <c r="S50" s="186"/>
      <c r="T50" s="116"/>
      <c r="U50" s="116"/>
      <c r="V50" s="186"/>
      <c r="W50" s="116"/>
      <c r="X50" s="138">
        <v>1.0</v>
      </c>
      <c r="Y50" s="200">
        <v>1.0</v>
      </c>
      <c r="Z50" s="185"/>
      <c r="AA50" s="187">
        <v>1.0</v>
      </c>
      <c r="AB50" s="138">
        <v>1.0</v>
      </c>
      <c r="AC50" s="186"/>
      <c r="AD50" s="116"/>
      <c r="AE50" s="116"/>
      <c r="AF50" s="197">
        <v>1.0</v>
      </c>
      <c r="AG50" s="197">
        <v>1.0</v>
      </c>
      <c r="AH50" s="195"/>
      <c r="AI50" s="138">
        <v>1.0</v>
      </c>
      <c r="AJ50" s="139">
        <f t="shared" si="15"/>
        <v>7</v>
      </c>
      <c r="AK50" s="205">
        <f t="shared" si="16"/>
        <v>53.84615385</v>
      </c>
      <c r="AL50" s="225"/>
      <c r="AM50" s="138">
        <v>1.0</v>
      </c>
      <c r="AN50" s="200">
        <v>1.0</v>
      </c>
      <c r="AO50" s="138">
        <v>1.0</v>
      </c>
      <c r="AP50" s="234"/>
      <c r="AQ50" s="116"/>
      <c r="AR50" s="138">
        <v>1.0</v>
      </c>
      <c r="AS50" s="166"/>
      <c r="AT50" s="116"/>
      <c r="AU50" s="116"/>
      <c r="AV50" s="116"/>
      <c r="AW50" s="186"/>
      <c r="AX50" s="116"/>
      <c r="AY50" s="116"/>
      <c r="AZ50" s="180"/>
      <c r="BA50" s="180"/>
      <c r="BB50" s="116"/>
      <c r="BC50" s="218">
        <v>1.0</v>
      </c>
      <c r="BD50" s="181"/>
      <c r="BE50" s="181"/>
      <c r="BF50" s="181"/>
      <c r="BG50" s="139">
        <f t="shared" si="17"/>
        <v>5</v>
      </c>
      <c r="BH50" s="208">
        <f t="shared" si="18"/>
        <v>41.66666667</v>
      </c>
      <c r="BI50" s="138">
        <v>1.0</v>
      </c>
      <c r="BJ50" s="138">
        <v>1.0</v>
      </c>
      <c r="BK50" s="180"/>
      <c r="BL50" s="138">
        <v>1.0</v>
      </c>
      <c r="BM50" s="116"/>
      <c r="BN50" s="116"/>
      <c r="BO50" s="116"/>
      <c r="BP50" s="116"/>
      <c r="BQ50" s="211"/>
      <c r="BR50" s="166"/>
      <c r="BS50" s="138">
        <v>1.0</v>
      </c>
      <c r="BT50" s="138">
        <v>1.0</v>
      </c>
      <c r="BU50" s="145">
        <v>1.0</v>
      </c>
      <c r="BV50" s="145"/>
      <c r="BW50" s="198"/>
      <c r="BX50" s="138">
        <v>1.0</v>
      </c>
      <c r="BY50" s="138">
        <v>1.0</v>
      </c>
      <c r="BZ50" s="196">
        <v>1.0</v>
      </c>
      <c r="CA50" s="138"/>
      <c r="CB50" s="165"/>
      <c r="CC50" s="165"/>
      <c r="CD50" s="165"/>
      <c r="CE50" s="124">
        <f t="shared" si="19"/>
        <v>9</v>
      </c>
      <c r="CF50" s="173">
        <f t="shared" si="20"/>
        <v>69.23076923</v>
      </c>
      <c r="CG50" s="138">
        <v>1.0</v>
      </c>
      <c r="CH50" s="116"/>
      <c r="CI50" s="186"/>
      <c r="CJ50" s="116"/>
      <c r="CK50" s="231"/>
      <c r="CL50" s="186"/>
      <c r="CM50" s="223"/>
      <c r="CN50" s="116"/>
      <c r="CO50" s="116"/>
      <c r="CP50" s="166"/>
      <c r="CQ50" s="213"/>
      <c r="CR50" s="213"/>
      <c r="CS50" s="213"/>
      <c r="CT50" s="116"/>
      <c r="CU50" s="116"/>
      <c r="CV50" s="213"/>
      <c r="CW50" s="128">
        <f t="shared" si="21"/>
        <v>1</v>
      </c>
      <c r="CX50" s="214">
        <f t="shared" si="22"/>
        <v>50</v>
      </c>
      <c r="CY50" s="171"/>
      <c r="CZ50" s="171"/>
      <c r="DA50" s="171"/>
      <c r="DB50" s="171"/>
      <c r="DC50" s="171"/>
      <c r="DD50" s="171"/>
      <c r="DE50" s="171"/>
      <c r="DF50" s="171"/>
      <c r="DG50" s="171"/>
      <c r="DH50" s="171"/>
      <c r="DI50" s="171"/>
      <c r="DJ50" s="171"/>
      <c r="DK50" s="128">
        <f t="shared" si="23"/>
        <v>0</v>
      </c>
      <c r="DL50" s="158" t="str">
        <f t="shared" si="24"/>
        <v>#DIV/0!</v>
      </c>
    </row>
    <row r="51" ht="15.75" customHeight="1">
      <c r="A51" s="146">
        <v>42.0</v>
      </c>
      <c r="B51" s="111" t="s">
        <v>134</v>
      </c>
      <c r="C51" s="112" t="s">
        <v>135</v>
      </c>
      <c r="D51" s="98">
        <f t="shared" si="9"/>
        <v>18</v>
      </c>
      <c r="E51" s="130">
        <f t="shared" si="10"/>
        <v>40.90909091</v>
      </c>
      <c r="F51" s="114">
        <f t="shared" si="11"/>
        <v>40.90909091</v>
      </c>
      <c r="G51" s="149" t="str">
        <f t="shared" si="12"/>
        <v>  </v>
      </c>
      <c r="H51" s="254"/>
      <c r="I51" s="254"/>
      <c r="J51" s="254"/>
      <c r="K51" s="256"/>
      <c r="L51" s="259"/>
      <c r="M51" s="139">
        <f t="shared" si="13"/>
        <v>0</v>
      </c>
      <c r="N51" s="140">
        <f t="shared" si="14"/>
        <v>0</v>
      </c>
      <c r="O51" s="116"/>
      <c r="P51" s="116"/>
      <c r="Q51" s="116"/>
      <c r="R51" s="207"/>
      <c r="S51" s="116"/>
      <c r="T51" s="116"/>
      <c r="U51" s="116"/>
      <c r="V51" s="207"/>
      <c r="W51" s="116"/>
      <c r="X51" s="138">
        <v>1.0</v>
      </c>
      <c r="Y51" s="234">
        <v>1.0</v>
      </c>
      <c r="Z51" s="185"/>
      <c r="AA51" s="187">
        <v>1.0</v>
      </c>
      <c r="AB51" s="138">
        <v>1.0</v>
      </c>
      <c r="AC51" s="234">
        <v>1.0</v>
      </c>
      <c r="AD51" s="209">
        <v>1.0</v>
      </c>
      <c r="AE51" s="116"/>
      <c r="AF51" s="209">
        <v>1.0</v>
      </c>
      <c r="AG51" s="206"/>
      <c r="AH51" s="138">
        <v>1.0</v>
      </c>
      <c r="AI51" s="138">
        <v>1.0</v>
      </c>
      <c r="AJ51" s="139">
        <f t="shared" si="15"/>
        <v>9</v>
      </c>
      <c r="AK51" s="205">
        <f t="shared" si="16"/>
        <v>69.23076923</v>
      </c>
      <c r="AL51" s="116"/>
      <c r="AM51" s="116"/>
      <c r="AN51" s="234">
        <v>1.0</v>
      </c>
      <c r="AO51" s="116"/>
      <c r="AP51" s="233">
        <v>1.0</v>
      </c>
      <c r="AQ51" s="116"/>
      <c r="AR51" s="138">
        <v>1.0</v>
      </c>
      <c r="AS51" s="166"/>
      <c r="AT51" s="116"/>
      <c r="AU51" s="116"/>
      <c r="AV51" s="116"/>
      <c r="AW51" s="207"/>
      <c r="AX51" s="116"/>
      <c r="AY51" s="116"/>
      <c r="AZ51" s="116"/>
      <c r="BA51" s="180"/>
      <c r="BB51" s="138">
        <v>1.0</v>
      </c>
      <c r="BC51" s="138">
        <v>1.0</v>
      </c>
      <c r="BD51" s="194"/>
      <c r="BE51" s="194"/>
      <c r="BF51" s="194"/>
      <c r="BG51" s="139">
        <f t="shared" si="17"/>
        <v>5</v>
      </c>
      <c r="BH51" s="208">
        <f t="shared" si="18"/>
        <v>41.66666667</v>
      </c>
      <c r="BI51" s="116"/>
      <c r="BJ51" s="180"/>
      <c r="BK51" s="180"/>
      <c r="BL51" s="138">
        <v>1.0</v>
      </c>
      <c r="BM51" s="116"/>
      <c r="BN51" s="116"/>
      <c r="BO51" s="116"/>
      <c r="BP51" s="116"/>
      <c r="BQ51" s="116"/>
      <c r="BR51" s="166"/>
      <c r="BS51" s="138">
        <v>1.0</v>
      </c>
      <c r="BT51" s="116"/>
      <c r="BU51" s="43"/>
      <c r="BV51" s="145">
        <v>1.0</v>
      </c>
      <c r="BW51" s="198"/>
      <c r="BX51" s="116"/>
      <c r="BY51" s="116"/>
      <c r="BZ51" s="165"/>
      <c r="CA51" s="138">
        <v>1.0</v>
      </c>
      <c r="CB51" s="165"/>
      <c r="CC51" s="165"/>
      <c r="CD51" s="165"/>
      <c r="CE51" s="124">
        <f t="shared" si="19"/>
        <v>4</v>
      </c>
      <c r="CF51" s="173">
        <f t="shared" si="20"/>
        <v>30.76923077</v>
      </c>
      <c r="CG51" s="116"/>
      <c r="CH51" s="116"/>
      <c r="CI51" s="186"/>
      <c r="CJ51" s="116"/>
      <c r="CK51" s="116"/>
      <c r="CL51" s="186"/>
      <c r="CM51" s="116"/>
      <c r="CN51" s="223"/>
      <c r="CO51" s="116"/>
      <c r="CP51" s="166"/>
      <c r="CQ51" s="213"/>
      <c r="CR51" s="213"/>
      <c r="CS51" s="213"/>
      <c r="CT51" s="116"/>
      <c r="CU51" s="116"/>
      <c r="CV51" s="213"/>
      <c r="CW51" s="128">
        <f t="shared" si="21"/>
        <v>0</v>
      </c>
      <c r="CX51" s="214">
        <f t="shared" si="22"/>
        <v>0</v>
      </c>
      <c r="CY51" s="171"/>
      <c r="CZ51" s="171"/>
      <c r="DA51" s="171"/>
      <c r="DB51" s="171"/>
      <c r="DC51" s="171"/>
      <c r="DD51" s="171"/>
      <c r="DE51" s="171"/>
      <c r="DF51" s="171"/>
      <c r="DG51" s="171"/>
      <c r="DH51" s="171"/>
      <c r="DI51" s="171"/>
      <c r="DJ51" s="171"/>
      <c r="DK51" s="128">
        <f t="shared" si="23"/>
        <v>0</v>
      </c>
      <c r="DL51" s="158" t="str">
        <f t="shared" si="24"/>
        <v>#DIV/0!</v>
      </c>
    </row>
    <row r="52" ht="15.75" customHeight="1">
      <c r="A52" s="50">
        <v>43.0</v>
      </c>
      <c r="B52" s="111" t="s">
        <v>137</v>
      </c>
      <c r="C52" s="112" t="s">
        <v>138</v>
      </c>
      <c r="D52" s="98">
        <f t="shared" si="9"/>
        <v>23</v>
      </c>
      <c r="E52" s="130">
        <f t="shared" si="10"/>
        <v>52.27272727</v>
      </c>
      <c r="F52" s="92" t="str">
        <f t="shared" si="11"/>
        <v>  </v>
      </c>
      <c r="G52" s="149" t="str">
        <f t="shared" si="12"/>
        <v>  </v>
      </c>
      <c r="H52" s="254"/>
      <c r="I52" s="256"/>
      <c r="J52" s="254"/>
      <c r="K52" s="254"/>
      <c r="L52" s="257"/>
      <c r="M52" s="139">
        <f t="shared" si="13"/>
        <v>0</v>
      </c>
      <c r="N52" s="140">
        <f t="shared" si="14"/>
        <v>0</v>
      </c>
      <c r="O52" s="116"/>
      <c r="P52" s="116"/>
      <c r="Q52" s="180"/>
      <c r="R52" s="228"/>
      <c r="S52" s="116"/>
      <c r="T52" s="116"/>
      <c r="U52" s="116"/>
      <c r="V52" s="228"/>
      <c r="W52" s="116"/>
      <c r="X52" s="138">
        <v>1.0</v>
      </c>
      <c r="Y52" s="233">
        <v>1.0</v>
      </c>
      <c r="Z52" s="185"/>
      <c r="AA52" s="187">
        <v>1.0</v>
      </c>
      <c r="AB52" s="116"/>
      <c r="AC52" s="228"/>
      <c r="AD52" s="116"/>
      <c r="AE52" s="116"/>
      <c r="AF52" s="229">
        <v>1.0</v>
      </c>
      <c r="AG52" s="229">
        <v>1.0</v>
      </c>
      <c r="AH52" s="138">
        <v>1.0</v>
      </c>
      <c r="AI52" s="138">
        <v>1.0</v>
      </c>
      <c r="AJ52" s="139">
        <f t="shared" si="15"/>
        <v>7</v>
      </c>
      <c r="AK52" s="205">
        <f t="shared" si="16"/>
        <v>53.84615385</v>
      </c>
      <c r="AL52" s="261"/>
      <c r="AM52" s="116"/>
      <c r="AN52" s="233">
        <v>1.0</v>
      </c>
      <c r="AO52" s="138">
        <v>1.0</v>
      </c>
      <c r="AP52" s="138">
        <v>1.0</v>
      </c>
      <c r="AQ52" s="116"/>
      <c r="AR52" s="138">
        <v>1.0</v>
      </c>
      <c r="AS52" s="166"/>
      <c r="AT52" s="138">
        <v>1.0</v>
      </c>
      <c r="AU52" s="138">
        <v>1.0</v>
      </c>
      <c r="AV52" s="116"/>
      <c r="AW52" s="228"/>
      <c r="AX52" s="116"/>
      <c r="AY52" s="116"/>
      <c r="AZ52" s="180"/>
      <c r="BA52" s="180"/>
      <c r="BB52" s="116"/>
      <c r="BC52" s="204"/>
      <c r="BD52" s="181"/>
      <c r="BE52" s="181"/>
      <c r="BF52" s="181"/>
      <c r="BG52" s="139">
        <f t="shared" si="17"/>
        <v>6</v>
      </c>
      <c r="BH52" s="208">
        <f t="shared" si="18"/>
        <v>50</v>
      </c>
      <c r="BI52" s="116"/>
      <c r="BJ52" s="116"/>
      <c r="BK52" s="180"/>
      <c r="BL52" s="138">
        <v>1.0</v>
      </c>
      <c r="BM52" s="116"/>
      <c r="BN52" s="116"/>
      <c r="BO52" s="138">
        <v>1.0</v>
      </c>
      <c r="BP52" s="138">
        <v>1.0</v>
      </c>
      <c r="BQ52" s="116"/>
      <c r="BR52" s="166"/>
      <c r="BS52" s="138">
        <v>1.0</v>
      </c>
      <c r="BT52" s="210">
        <v>1.0</v>
      </c>
      <c r="BU52" s="145">
        <v>1.0</v>
      </c>
      <c r="BV52" s="145">
        <v>1.0</v>
      </c>
      <c r="BW52" s="198"/>
      <c r="BX52" s="43"/>
      <c r="BY52" s="138">
        <v>1.0</v>
      </c>
      <c r="BZ52" s="196">
        <v>1.0</v>
      </c>
      <c r="CA52" s="116"/>
      <c r="CB52" s="116"/>
      <c r="CC52" s="165"/>
      <c r="CD52" s="165"/>
      <c r="CE52" s="124">
        <f t="shared" si="19"/>
        <v>9</v>
      </c>
      <c r="CF52" s="173">
        <f t="shared" si="20"/>
        <v>69.23076923</v>
      </c>
      <c r="CG52" s="233">
        <v>1.0</v>
      </c>
      <c r="CH52" s="116"/>
      <c r="CI52" s="186"/>
      <c r="CJ52" s="116"/>
      <c r="CK52" s="116"/>
      <c r="CL52" s="186"/>
      <c r="CM52" s="223"/>
      <c r="CN52" s="223"/>
      <c r="CO52" s="223"/>
      <c r="CP52" s="166"/>
      <c r="CQ52" s="213"/>
      <c r="CR52" s="213"/>
      <c r="CS52" s="116"/>
      <c r="CT52" s="213"/>
      <c r="CU52" s="213"/>
      <c r="CV52" s="213"/>
      <c r="CW52" s="128">
        <f t="shared" si="21"/>
        <v>1</v>
      </c>
      <c r="CX52" s="214">
        <f t="shared" si="22"/>
        <v>50</v>
      </c>
      <c r="CY52" s="171"/>
      <c r="CZ52" s="171"/>
      <c r="DA52" s="171"/>
      <c r="DB52" s="171"/>
      <c r="DC52" s="171"/>
      <c r="DD52" s="171"/>
      <c r="DE52" s="171"/>
      <c r="DF52" s="171"/>
      <c r="DG52" s="171"/>
      <c r="DH52" s="171"/>
      <c r="DI52" s="171"/>
      <c r="DJ52" s="171"/>
      <c r="DK52" s="128">
        <f t="shared" si="23"/>
        <v>0</v>
      </c>
      <c r="DL52" s="158" t="str">
        <f t="shared" si="24"/>
        <v>#DIV/0!</v>
      </c>
    </row>
    <row r="53" ht="15.75" customHeight="1">
      <c r="A53" s="131">
        <v>44.0</v>
      </c>
      <c r="B53" s="111" t="s">
        <v>139</v>
      </c>
      <c r="C53" s="112" t="s">
        <v>140</v>
      </c>
      <c r="D53" s="98">
        <f t="shared" si="9"/>
        <v>20</v>
      </c>
      <c r="E53" s="130">
        <f t="shared" si="10"/>
        <v>45.45454545</v>
      </c>
      <c r="F53" s="114">
        <f t="shared" si="11"/>
        <v>45.45454545</v>
      </c>
      <c r="G53" s="149" t="str">
        <f t="shared" si="12"/>
        <v>  </v>
      </c>
      <c r="H53" s="254"/>
      <c r="I53" s="254"/>
      <c r="J53" s="254"/>
      <c r="K53" s="254"/>
      <c r="L53" s="257"/>
      <c r="M53" s="139">
        <f t="shared" si="13"/>
        <v>0</v>
      </c>
      <c r="N53" s="140">
        <f t="shared" si="14"/>
        <v>0</v>
      </c>
      <c r="O53" s="116"/>
      <c r="P53" s="116"/>
      <c r="Q53" s="180"/>
      <c r="R53" s="179"/>
      <c r="S53" s="179"/>
      <c r="T53" s="116"/>
      <c r="U53" s="116"/>
      <c r="V53" s="179"/>
      <c r="W53" s="138">
        <v>1.0</v>
      </c>
      <c r="X53" s="138">
        <v>1.0</v>
      </c>
      <c r="Y53" s="184">
        <v>1.0</v>
      </c>
      <c r="Z53" s="185"/>
      <c r="AA53" s="187">
        <v>1.0</v>
      </c>
      <c r="AB53" s="116"/>
      <c r="AC53" s="179"/>
      <c r="AD53" s="138">
        <v>1.0</v>
      </c>
      <c r="AE53" s="116"/>
      <c r="AF53" s="182">
        <v>1.0</v>
      </c>
      <c r="AG53" s="182">
        <v>1.0</v>
      </c>
      <c r="AH53" s="116"/>
      <c r="AI53" s="182">
        <v>1.0</v>
      </c>
      <c r="AJ53" s="139">
        <f t="shared" si="15"/>
        <v>8</v>
      </c>
      <c r="AK53" s="205">
        <f t="shared" si="16"/>
        <v>61.53846154</v>
      </c>
      <c r="AL53" s="116"/>
      <c r="AM53" s="116"/>
      <c r="AN53" s="184">
        <v>1.0</v>
      </c>
      <c r="AO53" s="116"/>
      <c r="AP53" s="179"/>
      <c r="AQ53" s="116"/>
      <c r="AR53" s="138">
        <v>1.0</v>
      </c>
      <c r="AS53" s="191">
        <v>1.0</v>
      </c>
      <c r="AT53" s="116"/>
      <c r="AU53" s="138">
        <v>1.0</v>
      </c>
      <c r="AV53" s="116"/>
      <c r="AW53" s="179"/>
      <c r="AX53" s="116"/>
      <c r="AY53" s="116"/>
      <c r="AZ53" s="180"/>
      <c r="BA53" s="180"/>
      <c r="BB53" s="116"/>
      <c r="BC53" s="204"/>
      <c r="BD53" s="219">
        <v>1.0</v>
      </c>
      <c r="BE53" s="181"/>
      <c r="BF53" s="181"/>
      <c r="BG53" s="139">
        <f t="shared" si="17"/>
        <v>5</v>
      </c>
      <c r="BH53" s="208">
        <f t="shared" si="18"/>
        <v>41.66666667</v>
      </c>
      <c r="BI53" s="138">
        <v>1.0</v>
      </c>
      <c r="BJ53" s="180"/>
      <c r="BK53" s="180"/>
      <c r="BL53" s="138">
        <v>1.0</v>
      </c>
      <c r="BM53" s="116"/>
      <c r="BN53" s="116"/>
      <c r="BO53" s="138">
        <v>1.0</v>
      </c>
      <c r="BP53" s="138">
        <v>1.0</v>
      </c>
      <c r="BQ53" s="116"/>
      <c r="BR53" s="166"/>
      <c r="BS53" s="138">
        <v>1.0</v>
      </c>
      <c r="BT53" s="185"/>
      <c r="BU53" s="43"/>
      <c r="BV53" s="43"/>
      <c r="BW53" s="198"/>
      <c r="BX53" s="116"/>
      <c r="BY53" s="138">
        <v>1.0</v>
      </c>
      <c r="BZ53" s="196">
        <v>1.0</v>
      </c>
      <c r="CA53" s="116"/>
      <c r="CB53" s="116"/>
      <c r="CC53" s="165"/>
      <c r="CD53" s="165"/>
      <c r="CE53" s="124">
        <f t="shared" si="19"/>
        <v>7</v>
      </c>
      <c r="CF53" s="173">
        <f t="shared" si="20"/>
        <v>53.84615385</v>
      </c>
      <c r="CG53" s="116"/>
      <c r="CH53" s="116"/>
      <c r="CI53" s="116"/>
      <c r="CJ53" s="116"/>
      <c r="CK53" s="231"/>
      <c r="CL53" s="186"/>
      <c r="CM53" s="116"/>
      <c r="CN53" s="116"/>
      <c r="CO53" s="116"/>
      <c r="CP53" s="166"/>
      <c r="CQ53" s="213"/>
      <c r="CR53" s="213"/>
      <c r="CS53" s="116"/>
      <c r="CT53" s="213"/>
      <c r="CU53" s="213"/>
      <c r="CV53" s="213"/>
      <c r="CW53" s="128">
        <f t="shared" si="21"/>
        <v>0</v>
      </c>
      <c r="CX53" s="214">
        <f t="shared" si="22"/>
        <v>0</v>
      </c>
      <c r="CY53" s="171"/>
      <c r="CZ53" s="171"/>
      <c r="DA53" s="171"/>
      <c r="DB53" s="171"/>
      <c r="DC53" s="171"/>
      <c r="DD53" s="171"/>
      <c r="DE53" s="171"/>
      <c r="DF53" s="171"/>
      <c r="DG53" s="171"/>
      <c r="DH53" s="171"/>
      <c r="DI53" s="171"/>
      <c r="DJ53" s="171"/>
      <c r="DK53" s="128">
        <f t="shared" si="23"/>
        <v>0</v>
      </c>
      <c r="DL53" s="158" t="str">
        <f t="shared" si="24"/>
        <v>#DIV/0!</v>
      </c>
    </row>
    <row r="54" ht="15.75" customHeight="1">
      <c r="A54" s="146">
        <v>45.0</v>
      </c>
      <c r="B54" s="111" t="s">
        <v>141</v>
      </c>
      <c r="C54" s="112" t="s">
        <v>142</v>
      </c>
      <c r="D54" s="98">
        <f t="shared" si="9"/>
        <v>23</v>
      </c>
      <c r="E54" s="130">
        <f t="shared" si="10"/>
        <v>52.27272727</v>
      </c>
      <c r="F54" s="92" t="str">
        <f t="shared" si="11"/>
        <v>  </v>
      </c>
      <c r="G54" s="149" t="str">
        <f t="shared" si="12"/>
        <v>  </v>
      </c>
      <c r="H54" s="254"/>
      <c r="I54" s="254"/>
      <c r="J54" s="254"/>
      <c r="K54" s="254"/>
      <c r="L54" s="257"/>
      <c r="M54" s="139">
        <f t="shared" si="13"/>
        <v>0</v>
      </c>
      <c r="N54" s="140">
        <f t="shared" si="14"/>
        <v>0</v>
      </c>
      <c r="O54" s="116"/>
      <c r="P54" s="116"/>
      <c r="Q54" s="116"/>
      <c r="R54" s="179"/>
      <c r="S54" s="179"/>
      <c r="T54" s="116"/>
      <c r="U54" s="116"/>
      <c r="V54" s="179"/>
      <c r="W54" s="138">
        <v>1.0</v>
      </c>
      <c r="X54" s="138">
        <v>1.0</v>
      </c>
      <c r="Y54" s="184">
        <v>1.0</v>
      </c>
      <c r="Z54" s="185"/>
      <c r="AA54" s="187">
        <v>1.0</v>
      </c>
      <c r="AB54" s="116"/>
      <c r="AC54" s="179"/>
      <c r="AD54" s="138">
        <v>1.0</v>
      </c>
      <c r="AE54" s="116"/>
      <c r="AF54" s="182">
        <v>1.0</v>
      </c>
      <c r="AG54" s="182">
        <v>1.0</v>
      </c>
      <c r="AH54" s="182">
        <v>1.0</v>
      </c>
      <c r="AI54" s="138">
        <v>1.0</v>
      </c>
      <c r="AJ54" s="139">
        <f t="shared" si="15"/>
        <v>9</v>
      </c>
      <c r="AK54" s="205">
        <f t="shared" si="16"/>
        <v>69.23076923</v>
      </c>
      <c r="AL54" s="116"/>
      <c r="AM54" s="116"/>
      <c r="AN54" s="179"/>
      <c r="AO54" s="116"/>
      <c r="AP54" s="116"/>
      <c r="AQ54" s="116"/>
      <c r="AR54" s="138">
        <v>1.0</v>
      </c>
      <c r="AS54" s="191">
        <v>1.0</v>
      </c>
      <c r="AT54" s="138">
        <v>1.0</v>
      </c>
      <c r="AU54" s="138">
        <v>1.0</v>
      </c>
      <c r="AV54" s="116"/>
      <c r="AW54" s="179"/>
      <c r="AX54" s="116"/>
      <c r="AY54" s="116"/>
      <c r="AZ54" s="180"/>
      <c r="BA54" s="180"/>
      <c r="BB54" s="116"/>
      <c r="BC54" s="204"/>
      <c r="BD54" s="219">
        <v>1.0</v>
      </c>
      <c r="BE54" s="219">
        <v>1.0</v>
      </c>
      <c r="BF54" s="181"/>
      <c r="BG54" s="139">
        <f t="shared" si="17"/>
        <v>6</v>
      </c>
      <c r="BH54" s="208">
        <f t="shared" si="18"/>
        <v>50</v>
      </c>
      <c r="BI54" s="116"/>
      <c r="BJ54" s="116"/>
      <c r="BK54" s="180"/>
      <c r="BL54" s="116"/>
      <c r="BM54" s="116"/>
      <c r="BN54" s="116"/>
      <c r="BO54" s="138">
        <v>1.0</v>
      </c>
      <c r="BP54" s="138">
        <v>1.0</v>
      </c>
      <c r="BQ54" s="116"/>
      <c r="BR54" s="166"/>
      <c r="BS54" s="138">
        <v>1.0</v>
      </c>
      <c r="BT54" s="138">
        <v>1.0</v>
      </c>
      <c r="BU54" s="145">
        <v>1.0</v>
      </c>
      <c r="BV54" s="145">
        <v>1.0</v>
      </c>
      <c r="BW54" s="198"/>
      <c r="BX54" s="116"/>
      <c r="BY54" s="116"/>
      <c r="BZ54" s="196">
        <v>1.0</v>
      </c>
      <c r="CA54" s="138">
        <v>1.0</v>
      </c>
      <c r="CB54" s="165"/>
      <c r="CC54" s="165"/>
      <c r="CD54" s="165"/>
      <c r="CE54" s="124">
        <f t="shared" si="19"/>
        <v>8</v>
      </c>
      <c r="CF54" s="173">
        <f t="shared" si="20"/>
        <v>61.53846154</v>
      </c>
      <c r="CG54" s="179"/>
      <c r="CH54" s="238"/>
      <c r="CI54" s="186"/>
      <c r="CJ54" s="116"/>
      <c r="CK54" s="116"/>
      <c r="CL54" s="186"/>
      <c r="CM54" s="116"/>
      <c r="CN54" s="116"/>
      <c r="CO54" s="116"/>
      <c r="CP54" s="166"/>
      <c r="CQ54" s="213"/>
      <c r="CR54" s="213"/>
      <c r="CS54" s="213"/>
      <c r="CT54" s="213"/>
      <c r="CU54" s="213"/>
      <c r="CV54" s="213"/>
      <c r="CW54" s="128">
        <f t="shared" si="21"/>
        <v>0</v>
      </c>
      <c r="CX54" s="214">
        <f t="shared" si="22"/>
        <v>0</v>
      </c>
      <c r="CY54" s="171"/>
      <c r="CZ54" s="171"/>
      <c r="DA54" s="171"/>
      <c r="DB54" s="171"/>
      <c r="DC54" s="171"/>
      <c r="DD54" s="171"/>
      <c r="DE54" s="171"/>
      <c r="DF54" s="171"/>
      <c r="DG54" s="171"/>
      <c r="DH54" s="171"/>
      <c r="DI54" s="171"/>
      <c r="DJ54" s="171"/>
      <c r="DK54" s="128">
        <f t="shared" si="23"/>
        <v>0</v>
      </c>
      <c r="DL54" s="158" t="str">
        <f t="shared" si="24"/>
        <v>#DIV/0!</v>
      </c>
    </row>
    <row r="55" ht="15.75" customHeight="1">
      <c r="A55" s="50">
        <v>46.0</v>
      </c>
      <c r="B55" s="111" t="s">
        <v>143</v>
      </c>
      <c r="C55" s="112" t="s">
        <v>144</v>
      </c>
      <c r="D55" s="98">
        <f t="shared" si="9"/>
        <v>28</v>
      </c>
      <c r="E55" s="130">
        <f t="shared" si="10"/>
        <v>63.63636364</v>
      </c>
      <c r="F55" s="114" t="str">
        <f t="shared" si="11"/>
        <v>  </v>
      </c>
      <c r="G55" s="149" t="str">
        <f t="shared" si="12"/>
        <v>  </v>
      </c>
      <c r="H55" s="256"/>
      <c r="I55" s="254"/>
      <c r="J55" s="256"/>
      <c r="K55" s="254"/>
      <c r="L55" s="257"/>
      <c r="M55" s="139">
        <f t="shared" si="13"/>
        <v>0</v>
      </c>
      <c r="N55" s="140">
        <f t="shared" si="14"/>
        <v>0</v>
      </c>
      <c r="O55" s="116"/>
      <c r="P55" s="116"/>
      <c r="Q55" s="116"/>
      <c r="R55" s="179"/>
      <c r="S55" s="179"/>
      <c r="T55" s="116"/>
      <c r="U55" s="116"/>
      <c r="V55" s="179"/>
      <c r="W55" s="116"/>
      <c r="X55" s="138">
        <v>1.0</v>
      </c>
      <c r="Y55" s="184">
        <v>1.0</v>
      </c>
      <c r="Z55" s="185"/>
      <c r="AA55" s="187">
        <v>1.0</v>
      </c>
      <c r="AB55" s="138">
        <v>1.0</v>
      </c>
      <c r="AC55" s="184">
        <v>1.0</v>
      </c>
      <c r="AD55" s="138">
        <v>1.0</v>
      </c>
      <c r="AE55" s="116"/>
      <c r="AF55" s="182">
        <v>1.0</v>
      </c>
      <c r="AG55" s="182">
        <v>1.0</v>
      </c>
      <c r="AH55" s="138">
        <v>1.0</v>
      </c>
      <c r="AI55" s="182">
        <v>1.0</v>
      </c>
      <c r="AJ55" s="139">
        <f t="shared" si="15"/>
        <v>10</v>
      </c>
      <c r="AK55" s="205">
        <f t="shared" si="16"/>
        <v>76.92307692</v>
      </c>
      <c r="AL55" s="222"/>
      <c r="AM55" s="184">
        <v>1.0</v>
      </c>
      <c r="AN55" s="184">
        <v>1.0</v>
      </c>
      <c r="AO55" s="138">
        <v>1.0</v>
      </c>
      <c r="AP55" s="138">
        <v>1.0</v>
      </c>
      <c r="AQ55" s="116"/>
      <c r="AR55" s="116"/>
      <c r="AS55" s="166"/>
      <c r="AT55" s="116"/>
      <c r="AU55" s="116"/>
      <c r="AV55" s="116"/>
      <c r="AW55" s="179"/>
      <c r="AX55" s="116"/>
      <c r="AY55" s="116"/>
      <c r="AZ55" s="116"/>
      <c r="BA55" s="180"/>
      <c r="BB55" s="116"/>
      <c r="BC55" s="138">
        <v>1.0</v>
      </c>
      <c r="BD55" s="188">
        <v>1.0</v>
      </c>
      <c r="BE55" s="188">
        <v>1.0</v>
      </c>
      <c r="BF55" s="194"/>
      <c r="BG55" s="139">
        <f t="shared" si="17"/>
        <v>7</v>
      </c>
      <c r="BH55" s="208">
        <f t="shared" si="18"/>
        <v>58.33333333</v>
      </c>
      <c r="BI55" s="138">
        <v>1.0</v>
      </c>
      <c r="BJ55" s="116"/>
      <c r="BK55" s="180"/>
      <c r="BL55" s="138">
        <v>1.0</v>
      </c>
      <c r="BM55" s="116"/>
      <c r="BN55" s="116"/>
      <c r="BO55" s="138">
        <v>1.0</v>
      </c>
      <c r="BP55" s="138">
        <v>1.0</v>
      </c>
      <c r="BQ55" s="211"/>
      <c r="BR55" s="166"/>
      <c r="BS55" s="138">
        <v>1.0</v>
      </c>
      <c r="BT55" s="116"/>
      <c r="BU55" s="43"/>
      <c r="BV55" s="145">
        <v>1.0</v>
      </c>
      <c r="BW55" s="198"/>
      <c r="BX55" s="138">
        <v>1.0</v>
      </c>
      <c r="BY55" s="138">
        <v>1.0</v>
      </c>
      <c r="BZ55" s="196">
        <v>1.0</v>
      </c>
      <c r="CA55" s="116"/>
      <c r="CB55" s="165"/>
      <c r="CC55" s="165"/>
      <c r="CD55" s="165"/>
      <c r="CE55" s="124">
        <f t="shared" si="19"/>
        <v>9</v>
      </c>
      <c r="CF55" s="173">
        <f t="shared" si="20"/>
        <v>69.23076923</v>
      </c>
      <c r="CG55" s="116"/>
      <c r="CH55" s="230">
        <v>1.0</v>
      </c>
      <c r="CI55" s="200">
        <v>1.0</v>
      </c>
      <c r="CJ55" s="116"/>
      <c r="CK55" s="116"/>
      <c r="CL55" s="186"/>
      <c r="CM55" s="116"/>
      <c r="CN55" s="223"/>
      <c r="CO55" s="116"/>
      <c r="CP55" s="166"/>
      <c r="CQ55" s="213"/>
      <c r="CR55" s="213"/>
      <c r="CS55" s="116"/>
      <c r="CT55" s="213"/>
      <c r="CU55" s="213"/>
      <c r="CV55" s="213"/>
      <c r="CW55" s="128">
        <f t="shared" si="21"/>
        <v>2</v>
      </c>
      <c r="CX55" s="214">
        <f t="shared" si="22"/>
        <v>100</v>
      </c>
      <c r="CY55" s="171"/>
      <c r="CZ55" s="171"/>
      <c r="DA55" s="171"/>
      <c r="DB55" s="171"/>
      <c r="DC55" s="171"/>
      <c r="DD55" s="171"/>
      <c r="DE55" s="171"/>
      <c r="DF55" s="171"/>
      <c r="DG55" s="171"/>
      <c r="DH55" s="171"/>
      <c r="DI55" s="171"/>
      <c r="DJ55" s="171"/>
      <c r="DK55" s="128">
        <f t="shared" si="23"/>
        <v>0</v>
      </c>
      <c r="DL55" s="158" t="str">
        <f t="shared" si="24"/>
        <v>#DIV/0!</v>
      </c>
    </row>
    <row r="56" ht="15.75" customHeight="1">
      <c r="A56" s="131">
        <v>47.0</v>
      </c>
      <c r="B56" s="111" t="s">
        <v>145</v>
      </c>
      <c r="C56" s="112" t="s">
        <v>146</v>
      </c>
      <c r="D56" s="98">
        <f t="shared" si="9"/>
        <v>28</v>
      </c>
      <c r="E56" s="130">
        <f t="shared" si="10"/>
        <v>63.63636364</v>
      </c>
      <c r="F56" s="92" t="str">
        <f t="shared" si="11"/>
        <v>  </v>
      </c>
      <c r="G56" s="149" t="str">
        <f t="shared" si="12"/>
        <v>  </v>
      </c>
      <c r="H56" s="254"/>
      <c r="I56" s="255"/>
      <c r="J56" s="254"/>
      <c r="K56" s="254"/>
      <c r="L56" s="257"/>
      <c r="M56" s="139">
        <f t="shared" si="13"/>
        <v>0</v>
      </c>
      <c r="N56" s="140">
        <f t="shared" si="14"/>
        <v>0</v>
      </c>
      <c r="O56" s="116"/>
      <c r="P56" s="116"/>
      <c r="Q56" s="116"/>
      <c r="R56" s="179"/>
      <c r="S56" s="116"/>
      <c r="T56" s="116"/>
      <c r="U56" s="116"/>
      <c r="V56" s="179"/>
      <c r="W56" s="138">
        <v>1.0</v>
      </c>
      <c r="X56" s="138">
        <v>1.0</v>
      </c>
      <c r="Y56" s="184">
        <v>1.0</v>
      </c>
      <c r="Z56" s="185"/>
      <c r="AA56" s="187">
        <v>1.0</v>
      </c>
      <c r="AB56" s="138">
        <v>1.0</v>
      </c>
      <c r="AC56" s="184">
        <v>1.0</v>
      </c>
      <c r="AD56" s="138">
        <v>1.0</v>
      </c>
      <c r="AE56" s="116"/>
      <c r="AF56" s="182">
        <v>1.0</v>
      </c>
      <c r="AG56" s="182">
        <v>1.0</v>
      </c>
      <c r="AH56" s="138">
        <v>1.0</v>
      </c>
      <c r="AI56" s="182">
        <v>1.0</v>
      </c>
      <c r="AJ56" s="139">
        <f t="shared" si="15"/>
        <v>11</v>
      </c>
      <c r="AK56" s="205">
        <f t="shared" si="16"/>
        <v>84.61538462</v>
      </c>
      <c r="AL56" s="116"/>
      <c r="AM56" s="116"/>
      <c r="AN56" s="184">
        <v>1.0</v>
      </c>
      <c r="AO56" s="184">
        <v>1.0</v>
      </c>
      <c r="AP56" s="184">
        <v>1.0</v>
      </c>
      <c r="AQ56" s="116"/>
      <c r="AR56" s="138">
        <v>1.0</v>
      </c>
      <c r="AS56" s="166"/>
      <c r="AT56" s="116"/>
      <c r="AU56" s="116"/>
      <c r="AV56" s="116"/>
      <c r="AW56" s="179"/>
      <c r="AX56" s="116"/>
      <c r="AY56" s="116"/>
      <c r="AZ56" s="116"/>
      <c r="BA56" s="180"/>
      <c r="BB56" s="116"/>
      <c r="BC56" s="138">
        <v>1.0</v>
      </c>
      <c r="BD56" s="194"/>
      <c r="BE56" s="188">
        <v>1.0</v>
      </c>
      <c r="BF56" s="194"/>
      <c r="BG56" s="139">
        <f t="shared" si="17"/>
        <v>6</v>
      </c>
      <c r="BH56" s="208">
        <f t="shared" si="18"/>
        <v>50</v>
      </c>
      <c r="BI56" s="116"/>
      <c r="BJ56" s="138">
        <v>1.0</v>
      </c>
      <c r="BK56" s="180"/>
      <c r="BL56" s="138">
        <v>1.0</v>
      </c>
      <c r="BM56" s="116"/>
      <c r="BN56" s="116"/>
      <c r="BO56" s="138">
        <v>1.0</v>
      </c>
      <c r="BP56" s="138">
        <v>1.0</v>
      </c>
      <c r="BQ56" s="116"/>
      <c r="BR56" s="116"/>
      <c r="BS56" s="116"/>
      <c r="BT56" s="138">
        <v>1.0</v>
      </c>
      <c r="BU56" s="241">
        <v>1.0</v>
      </c>
      <c r="BV56" s="138">
        <v>1.0</v>
      </c>
      <c r="BW56" s="198"/>
      <c r="BX56" s="138">
        <v>1.0</v>
      </c>
      <c r="BY56" s="138">
        <v>1.0</v>
      </c>
      <c r="BZ56" s="196">
        <v>1.0</v>
      </c>
      <c r="CA56" s="116"/>
      <c r="CB56" s="116"/>
      <c r="CC56" s="165"/>
      <c r="CD56" s="165"/>
      <c r="CE56" s="124">
        <f t="shared" si="19"/>
        <v>10</v>
      </c>
      <c r="CF56" s="173">
        <f t="shared" si="20"/>
        <v>76.92307692</v>
      </c>
      <c r="CG56" s="184">
        <v>1.0</v>
      </c>
      <c r="CH56" s="116"/>
      <c r="CI56" s="116"/>
      <c r="CJ56" s="116"/>
      <c r="CK56" s="116"/>
      <c r="CL56" s="186"/>
      <c r="CM56" s="116"/>
      <c r="CN56" s="116"/>
      <c r="CO56" s="116"/>
      <c r="CP56" s="166"/>
      <c r="CQ56" s="213"/>
      <c r="CR56" s="213"/>
      <c r="CS56" s="116"/>
      <c r="CT56" s="116"/>
      <c r="CU56" s="116"/>
      <c r="CV56" s="213"/>
      <c r="CW56" s="128">
        <f t="shared" si="21"/>
        <v>1</v>
      </c>
      <c r="CX56" s="214">
        <f t="shared" si="22"/>
        <v>50</v>
      </c>
      <c r="CY56" s="171"/>
      <c r="CZ56" s="171"/>
      <c r="DA56" s="171"/>
      <c r="DB56" s="171"/>
      <c r="DC56" s="171"/>
      <c r="DD56" s="171"/>
      <c r="DE56" s="171"/>
      <c r="DF56" s="171"/>
      <c r="DG56" s="171"/>
      <c r="DH56" s="171"/>
      <c r="DI56" s="171"/>
      <c r="DJ56" s="171"/>
      <c r="DK56" s="128">
        <f t="shared" si="23"/>
        <v>0</v>
      </c>
      <c r="DL56" s="158" t="str">
        <f t="shared" si="24"/>
        <v>#DIV/0!</v>
      </c>
    </row>
    <row r="57" ht="15.75" customHeight="1">
      <c r="A57" s="146">
        <v>48.0</v>
      </c>
      <c r="B57" s="111" t="s">
        <v>147</v>
      </c>
      <c r="C57" s="112" t="s">
        <v>148</v>
      </c>
      <c r="D57" s="98">
        <f t="shared" si="9"/>
        <v>23</v>
      </c>
      <c r="E57" s="130">
        <f t="shared" si="10"/>
        <v>52.27272727</v>
      </c>
      <c r="F57" s="114" t="str">
        <f t="shared" si="11"/>
        <v>  </v>
      </c>
      <c r="G57" s="226" t="str">
        <f t="shared" si="12"/>
        <v>  </v>
      </c>
      <c r="H57" s="254"/>
      <c r="I57" s="256"/>
      <c r="J57" s="256"/>
      <c r="K57" s="254"/>
      <c r="L57" s="257"/>
      <c r="M57" s="139">
        <f t="shared" si="13"/>
        <v>0</v>
      </c>
      <c r="N57" s="140">
        <f t="shared" si="14"/>
        <v>0</v>
      </c>
      <c r="O57" s="116"/>
      <c r="P57" s="116"/>
      <c r="Q57" s="180"/>
      <c r="R57" s="179"/>
      <c r="S57" s="179"/>
      <c r="T57" s="116"/>
      <c r="U57" s="116"/>
      <c r="V57" s="179"/>
      <c r="W57" s="138">
        <v>1.0</v>
      </c>
      <c r="X57" s="138">
        <v>1.0</v>
      </c>
      <c r="Y57" s="184">
        <v>1.0</v>
      </c>
      <c r="Z57" s="185"/>
      <c r="AA57" s="187">
        <v>1.0</v>
      </c>
      <c r="AB57" s="138">
        <v>1.0</v>
      </c>
      <c r="AC57" s="184">
        <v>1.0</v>
      </c>
      <c r="AD57" s="138">
        <v>1.0</v>
      </c>
      <c r="AE57" s="116"/>
      <c r="AF57" s="182">
        <v>1.0</v>
      </c>
      <c r="AG57" s="182">
        <v>1.0</v>
      </c>
      <c r="AH57" s="176"/>
      <c r="AI57" s="138"/>
      <c r="AJ57" s="139">
        <f t="shared" si="15"/>
        <v>9</v>
      </c>
      <c r="AK57" s="205">
        <f t="shared" si="16"/>
        <v>69.23076923</v>
      </c>
      <c r="AL57" s="116"/>
      <c r="AM57" s="116"/>
      <c r="AN57" s="179"/>
      <c r="AO57" s="116"/>
      <c r="AP57" s="116"/>
      <c r="AQ57" s="116"/>
      <c r="AR57" s="116"/>
      <c r="AS57" s="166"/>
      <c r="AT57" s="138">
        <v>1.0</v>
      </c>
      <c r="AU57" s="138">
        <v>1.0</v>
      </c>
      <c r="AV57" s="116"/>
      <c r="AW57" s="179"/>
      <c r="AX57" s="116"/>
      <c r="AY57" s="116"/>
      <c r="AZ57" s="180"/>
      <c r="BA57" s="180"/>
      <c r="BB57" s="116"/>
      <c r="BC57" s="218">
        <v>1.0</v>
      </c>
      <c r="BD57" s="181"/>
      <c r="BE57" s="219">
        <v>1.0</v>
      </c>
      <c r="BF57" s="181"/>
      <c r="BG57" s="139">
        <f t="shared" si="17"/>
        <v>4</v>
      </c>
      <c r="BH57" s="208">
        <f t="shared" si="18"/>
        <v>33.33333333</v>
      </c>
      <c r="BI57" s="138">
        <v>1.0</v>
      </c>
      <c r="BJ57" s="138">
        <v>1.0</v>
      </c>
      <c r="BK57" s="180"/>
      <c r="BL57" s="138">
        <v>1.0</v>
      </c>
      <c r="BM57" s="116"/>
      <c r="BN57" s="116"/>
      <c r="BO57" s="138">
        <v>1.0</v>
      </c>
      <c r="BP57" s="138">
        <v>1.0</v>
      </c>
      <c r="BQ57" s="116"/>
      <c r="BR57" s="166"/>
      <c r="BS57" s="138">
        <v>1.0</v>
      </c>
      <c r="BT57" s="116"/>
      <c r="BV57" s="145">
        <v>1.0</v>
      </c>
      <c r="BW57" s="198"/>
      <c r="BX57" s="138">
        <v>1.0</v>
      </c>
      <c r="BY57" s="138">
        <v>1.0</v>
      </c>
      <c r="BZ57" s="165"/>
      <c r="CA57" s="116"/>
      <c r="CB57" s="165"/>
      <c r="CC57" s="165"/>
      <c r="CD57" s="165"/>
      <c r="CE57" s="124">
        <f t="shared" si="19"/>
        <v>9</v>
      </c>
      <c r="CF57" s="173">
        <f t="shared" si="20"/>
        <v>69.23076923</v>
      </c>
      <c r="CG57" s="138">
        <v>1.0</v>
      </c>
      <c r="CH57" s="116"/>
      <c r="CI57" s="116"/>
      <c r="CJ57" s="116"/>
      <c r="CK57" s="116"/>
      <c r="CL57" s="186"/>
      <c r="CM57" s="116"/>
      <c r="CN57" s="116"/>
      <c r="CO57" s="116"/>
      <c r="CP57" s="166"/>
      <c r="CQ57" s="213"/>
      <c r="CR57" s="213"/>
      <c r="CS57" s="213"/>
      <c r="CT57" s="213"/>
      <c r="CU57" s="213"/>
      <c r="CV57" s="213"/>
      <c r="CW57" s="128">
        <f t="shared" si="21"/>
        <v>1</v>
      </c>
      <c r="CX57" s="214">
        <f t="shared" si="22"/>
        <v>50</v>
      </c>
      <c r="CY57" s="171"/>
      <c r="CZ57" s="171"/>
      <c r="DA57" s="171"/>
      <c r="DB57" s="171"/>
      <c r="DC57" s="171"/>
      <c r="DD57" s="171"/>
      <c r="DE57" s="171"/>
      <c r="DF57" s="171"/>
      <c r="DG57" s="171"/>
      <c r="DH57" s="171"/>
      <c r="DI57" s="171"/>
      <c r="DJ57" s="171"/>
      <c r="DK57" s="128">
        <f t="shared" si="23"/>
        <v>0</v>
      </c>
      <c r="DL57" s="158" t="str">
        <f t="shared" si="24"/>
        <v>#DIV/0!</v>
      </c>
    </row>
    <row r="58" ht="15.75" customHeight="1">
      <c r="A58" s="50">
        <v>49.0</v>
      </c>
      <c r="B58" s="111" t="s">
        <v>149</v>
      </c>
      <c r="C58" s="112" t="s">
        <v>150</v>
      </c>
      <c r="D58" s="98">
        <f t="shared" si="9"/>
        <v>24</v>
      </c>
      <c r="E58" s="130">
        <f t="shared" si="10"/>
        <v>54.54545455</v>
      </c>
      <c r="F58" s="114" t="str">
        <f t="shared" si="11"/>
        <v>  </v>
      </c>
      <c r="G58" s="149" t="str">
        <f t="shared" si="12"/>
        <v>  </v>
      </c>
      <c r="H58" s="254"/>
      <c r="I58" s="254"/>
      <c r="J58" s="254"/>
      <c r="K58" s="254"/>
      <c r="L58" s="257"/>
      <c r="M58" s="139">
        <f t="shared" si="13"/>
        <v>0</v>
      </c>
      <c r="N58" s="140">
        <f t="shared" si="14"/>
        <v>0</v>
      </c>
      <c r="O58" s="116"/>
      <c r="P58" s="116"/>
      <c r="Q58" s="180"/>
      <c r="R58" s="179"/>
      <c r="S58" s="179"/>
      <c r="T58" s="116"/>
      <c r="U58" s="116"/>
      <c r="V58" s="179"/>
      <c r="W58" s="116"/>
      <c r="X58" s="116"/>
      <c r="Y58" s="179"/>
      <c r="Z58" s="185"/>
      <c r="AA58" s="187"/>
      <c r="AB58" s="138">
        <v>1.0</v>
      </c>
      <c r="AC58" s="179"/>
      <c r="AD58" s="182">
        <v>1.0</v>
      </c>
      <c r="AE58" s="116"/>
      <c r="AF58" s="182">
        <v>1.0</v>
      </c>
      <c r="AG58" s="182">
        <v>1.0</v>
      </c>
      <c r="AH58" s="138">
        <v>1.0</v>
      </c>
      <c r="AI58" s="138">
        <v>1.0</v>
      </c>
      <c r="AJ58" s="139">
        <f t="shared" si="15"/>
        <v>6</v>
      </c>
      <c r="AK58" s="205">
        <f t="shared" si="16"/>
        <v>46.15384615</v>
      </c>
      <c r="AL58" s="116"/>
      <c r="AM58" s="138">
        <v>1.0</v>
      </c>
      <c r="AN58" s="184">
        <v>1.0</v>
      </c>
      <c r="AO58" s="116"/>
      <c r="AP58" s="186"/>
      <c r="AQ58" s="116"/>
      <c r="AR58" s="138">
        <v>1.0</v>
      </c>
      <c r="AS58" s="191">
        <v>1.0</v>
      </c>
      <c r="AT58" s="116"/>
      <c r="AU58" s="138">
        <v>1.0</v>
      </c>
      <c r="AV58" s="116"/>
      <c r="AW58" s="179"/>
      <c r="AX58" s="116"/>
      <c r="AY58" s="116"/>
      <c r="AZ58" s="116"/>
      <c r="BA58" s="180"/>
      <c r="BB58" s="116"/>
      <c r="BC58" s="218">
        <v>1.0</v>
      </c>
      <c r="BD58" s="181"/>
      <c r="BE58" s="181"/>
      <c r="BF58" s="181"/>
      <c r="BG58" s="139">
        <f t="shared" si="17"/>
        <v>6</v>
      </c>
      <c r="BH58" s="208">
        <f t="shared" si="18"/>
        <v>50</v>
      </c>
      <c r="BI58" s="138">
        <v>1.0</v>
      </c>
      <c r="BJ58" s="138">
        <v>1.0</v>
      </c>
      <c r="BK58" s="180"/>
      <c r="BL58" s="138">
        <v>1.0</v>
      </c>
      <c r="BM58" s="116"/>
      <c r="BN58" s="116"/>
      <c r="BO58" s="138">
        <v>1.0</v>
      </c>
      <c r="BP58" s="138">
        <v>1.0</v>
      </c>
      <c r="BQ58" s="116"/>
      <c r="BR58" s="166"/>
      <c r="BS58" s="138">
        <v>1.0</v>
      </c>
      <c r="BT58" s="116"/>
      <c r="BV58" s="145">
        <v>1.0</v>
      </c>
      <c r="BW58" s="198"/>
      <c r="BX58" s="145">
        <v>1.0</v>
      </c>
      <c r="BY58" s="116"/>
      <c r="BZ58" s="196">
        <v>1.0</v>
      </c>
      <c r="CA58" s="165"/>
      <c r="CB58" s="116"/>
      <c r="CC58" s="165"/>
      <c r="CD58" s="165"/>
      <c r="CE58" s="124">
        <f t="shared" si="19"/>
        <v>9</v>
      </c>
      <c r="CF58" s="173">
        <f t="shared" si="20"/>
        <v>69.23076923</v>
      </c>
      <c r="CG58" s="184">
        <v>1.0</v>
      </c>
      <c r="CH58" s="138">
        <v>1.0</v>
      </c>
      <c r="CI58" s="200">
        <v>1.0</v>
      </c>
      <c r="CJ58" s="116"/>
      <c r="CK58" s="116"/>
      <c r="CL58" s="186"/>
      <c r="CM58" s="223"/>
      <c r="CN58" s="223"/>
      <c r="CO58" s="116"/>
      <c r="CP58" s="166"/>
      <c r="CQ58" s="213"/>
      <c r="CR58" s="213"/>
      <c r="CS58" s="213"/>
      <c r="CT58" s="116"/>
      <c r="CU58" s="213"/>
      <c r="CV58" s="213"/>
      <c r="CW58" s="128">
        <f t="shared" si="21"/>
        <v>3</v>
      </c>
      <c r="CX58" s="214">
        <f t="shared" si="22"/>
        <v>150</v>
      </c>
      <c r="CY58" s="171"/>
      <c r="CZ58" s="171"/>
      <c r="DA58" s="171"/>
      <c r="DB58" s="171"/>
      <c r="DC58" s="171"/>
      <c r="DD58" s="171"/>
      <c r="DE58" s="171"/>
      <c r="DF58" s="171"/>
      <c r="DG58" s="171"/>
      <c r="DH58" s="171"/>
      <c r="DI58" s="171"/>
      <c r="DJ58" s="171"/>
      <c r="DK58" s="128">
        <f t="shared" si="23"/>
        <v>0</v>
      </c>
      <c r="DL58" s="158" t="str">
        <f t="shared" si="24"/>
        <v>#DIV/0!</v>
      </c>
    </row>
    <row r="59" ht="15.75" customHeight="1">
      <c r="A59" s="131">
        <v>50.0</v>
      </c>
      <c r="B59" s="111" t="s">
        <v>151</v>
      </c>
      <c r="C59" s="112" t="s">
        <v>152</v>
      </c>
      <c r="D59" s="98">
        <f t="shared" si="9"/>
        <v>30</v>
      </c>
      <c r="E59" s="130">
        <f t="shared" si="10"/>
        <v>68.18181818</v>
      </c>
      <c r="F59" s="92" t="str">
        <f t="shared" si="11"/>
        <v>  </v>
      </c>
      <c r="G59" s="149" t="str">
        <f t="shared" si="12"/>
        <v>  </v>
      </c>
      <c r="H59" s="254"/>
      <c r="I59" s="258"/>
      <c r="J59" s="256"/>
      <c r="K59" s="254"/>
      <c r="L59" s="257"/>
      <c r="M59" s="139">
        <f t="shared" si="13"/>
        <v>0</v>
      </c>
      <c r="N59" s="140">
        <f t="shared" si="14"/>
        <v>0</v>
      </c>
      <c r="O59" s="116"/>
      <c r="P59" s="116"/>
      <c r="Q59" s="116"/>
      <c r="R59" s="186"/>
      <c r="S59" s="186"/>
      <c r="T59" s="116"/>
      <c r="U59" s="116"/>
      <c r="V59" s="186"/>
      <c r="W59" s="138">
        <v>1.0</v>
      </c>
      <c r="X59" s="138">
        <v>1.0</v>
      </c>
      <c r="Y59" s="200">
        <v>1.0</v>
      </c>
      <c r="Z59" s="185"/>
      <c r="AA59" s="187">
        <v>1.0</v>
      </c>
      <c r="AB59" s="138">
        <v>1.0</v>
      </c>
      <c r="AC59" s="200">
        <v>1.0</v>
      </c>
      <c r="AD59" s="138">
        <v>1.0</v>
      </c>
      <c r="AE59" s="116"/>
      <c r="AF59" s="197">
        <v>1.0</v>
      </c>
      <c r="AG59" s="197">
        <v>1.0</v>
      </c>
      <c r="AH59" s="138">
        <v>1.0</v>
      </c>
      <c r="AI59" s="197">
        <v>1.0</v>
      </c>
      <c r="AJ59" s="139">
        <f t="shared" si="15"/>
        <v>11</v>
      </c>
      <c r="AK59" s="205">
        <f t="shared" si="16"/>
        <v>84.61538462</v>
      </c>
      <c r="AL59" s="116"/>
      <c r="AM59" s="138">
        <v>1.0</v>
      </c>
      <c r="AN59" s="186"/>
      <c r="AO59" s="138">
        <v>1.0</v>
      </c>
      <c r="AP59" s="138">
        <v>1.0</v>
      </c>
      <c r="AQ59" s="116"/>
      <c r="AR59" s="138">
        <v>1.0</v>
      </c>
      <c r="AS59" s="191">
        <v>1.0</v>
      </c>
      <c r="AT59" s="138">
        <v>1.0</v>
      </c>
      <c r="AU59" s="138">
        <v>1.0</v>
      </c>
      <c r="AV59" s="116"/>
      <c r="AW59" s="186"/>
      <c r="AX59" s="116"/>
      <c r="AY59" s="116"/>
      <c r="AZ59" s="116"/>
      <c r="BA59" s="180"/>
      <c r="BB59" s="138">
        <v>1.0</v>
      </c>
      <c r="BC59" s="138">
        <v>1.0</v>
      </c>
      <c r="BD59" s="188">
        <v>1.0</v>
      </c>
      <c r="BE59" s="194"/>
      <c r="BF59" s="194"/>
      <c r="BG59" s="139">
        <f t="shared" si="17"/>
        <v>10</v>
      </c>
      <c r="BH59" s="208">
        <f t="shared" si="18"/>
        <v>83.33333333</v>
      </c>
      <c r="BI59" s="116"/>
      <c r="BJ59" s="138">
        <v>1.0</v>
      </c>
      <c r="BK59" s="180"/>
      <c r="BL59" s="138">
        <v>1.0</v>
      </c>
      <c r="BM59" s="116"/>
      <c r="BN59" s="116"/>
      <c r="BO59" s="138">
        <v>1.0</v>
      </c>
      <c r="BP59" s="116"/>
      <c r="BQ59" s="116"/>
      <c r="BR59" s="166"/>
      <c r="BS59" s="116"/>
      <c r="BT59" s="138">
        <v>1.0</v>
      </c>
      <c r="BU59" s="241">
        <v>1.0</v>
      </c>
      <c r="BV59" s="116"/>
      <c r="BW59" s="198"/>
      <c r="BX59" s="138">
        <v>1.0</v>
      </c>
      <c r="BY59" s="138">
        <v>1.0</v>
      </c>
      <c r="BZ59" s="196">
        <v>1.0</v>
      </c>
      <c r="CA59" s="138"/>
      <c r="CB59" s="116"/>
      <c r="CC59" s="165"/>
      <c r="CD59" s="165"/>
      <c r="CE59" s="124">
        <f t="shared" si="19"/>
        <v>8</v>
      </c>
      <c r="CF59" s="173">
        <f t="shared" si="20"/>
        <v>61.53846154</v>
      </c>
      <c r="CG59" s="116"/>
      <c r="CH59" s="138">
        <v>1.0</v>
      </c>
      <c r="CI59" s="116"/>
      <c r="CJ59" s="116"/>
      <c r="CK59" s="116"/>
      <c r="CL59" s="186"/>
      <c r="CM59" s="116"/>
      <c r="CN59" s="116"/>
      <c r="CO59" s="116"/>
      <c r="CP59" s="166"/>
      <c r="CQ59" s="213"/>
      <c r="CR59" s="213"/>
      <c r="CS59" s="116"/>
      <c r="CT59" s="116"/>
      <c r="CU59" s="116"/>
      <c r="CV59" s="213"/>
      <c r="CW59" s="128">
        <f t="shared" si="21"/>
        <v>1</v>
      </c>
      <c r="CX59" s="214">
        <f t="shared" si="22"/>
        <v>50</v>
      </c>
      <c r="CY59" s="171"/>
      <c r="CZ59" s="171"/>
      <c r="DA59" s="171"/>
      <c r="DB59" s="171"/>
      <c r="DC59" s="171"/>
      <c r="DD59" s="171"/>
      <c r="DE59" s="171"/>
      <c r="DF59" s="171"/>
      <c r="DG59" s="171"/>
      <c r="DH59" s="171"/>
      <c r="DI59" s="171"/>
      <c r="DJ59" s="171"/>
      <c r="DK59" s="128">
        <f t="shared" si="23"/>
        <v>0</v>
      </c>
      <c r="DL59" s="158" t="str">
        <f t="shared" si="24"/>
        <v>#DIV/0!</v>
      </c>
    </row>
    <row r="60" ht="15.75" customHeight="1">
      <c r="A60" s="146">
        <v>51.0</v>
      </c>
      <c r="B60" s="111" t="s">
        <v>153</v>
      </c>
      <c r="C60" s="112" t="s">
        <v>154</v>
      </c>
      <c r="D60" s="98">
        <f t="shared" si="9"/>
        <v>14</v>
      </c>
      <c r="E60" s="130">
        <f t="shared" si="10"/>
        <v>31.81818182</v>
      </c>
      <c r="F60" s="114">
        <f t="shared" si="11"/>
        <v>31.81818182</v>
      </c>
      <c r="G60" s="226" t="str">
        <f t="shared" si="12"/>
        <v>  </v>
      </c>
      <c r="H60" s="254"/>
      <c r="I60" s="258"/>
      <c r="J60" s="258"/>
      <c r="K60" s="254"/>
      <c r="L60" s="257"/>
      <c r="M60" s="139">
        <f t="shared" si="13"/>
        <v>0</v>
      </c>
      <c r="N60" s="140">
        <f t="shared" si="14"/>
        <v>0</v>
      </c>
      <c r="O60" s="116"/>
      <c r="P60" s="116"/>
      <c r="Q60" s="180"/>
      <c r="R60" s="186"/>
      <c r="S60" s="186"/>
      <c r="T60" s="116"/>
      <c r="U60" s="116"/>
      <c r="V60" s="186"/>
      <c r="W60" s="116"/>
      <c r="X60" s="116"/>
      <c r="Y60" s="186"/>
      <c r="Z60" s="185"/>
      <c r="AA60" s="217"/>
      <c r="AB60" s="116"/>
      <c r="AC60" s="186"/>
      <c r="AD60" s="197">
        <v>1.0</v>
      </c>
      <c r="AE60" s="116"/>
      <c r="AF60" s="197">
        <v>1.0</v>
      </c>
      <c r="AG60" s="197">
        <v>1.0</v>
      </c>
      <c r="AH60" s="197">
        <v>1.0</v>
      </c>
      <c r="AI60" s="195"/>
      <c r="AJ60" s="139">
        <f t="shared" si="15"/>
        <v>4</v>
      </c>
      <c r="AK60" s="205">
        <f t="shared" si="16"/>
        <v>30.76923077</v>
      </c>
      <c r="AL60" s="225"/>
      <c r="AM60" s="116"/>
      <c r="AN60" s="200">
        <v>1.0</v>
      </c>
      <c r="AO60" s="138">
        <v>1.0</v>
      </c>
      <c r="AP60" s="184">
        <v>1.0</v>
      </c>
      <c r="AQ60" s="116"/>
      <c r="AR60" s="116"/>
      <c r="AS60" s="191">
        <v>1.0</v>
      </c>
      <c r="AT60" s="116"/>
      <c r="AU60" s="116"/>
      <c r="AV60" s="116"/>
      <c r="AW60" s="186"/>
      <c r="AX60" s="116"/>
      <c r="AY60" s="116"/>
      <c r="AZ60" s="180"/>
      <c r="BA60" s="180"/>
      <c r="BB60" s="204"/>
      <c r="BC60" s="204"/>
      <c r="BD60" s="181"/>
      <c r="BE60" s="181"/>
      <c r="BF60" s="181"/>
      <c r="BG60" s="139">
        <f t="shared" si="17"/>
        <v>4</v>
      </c>
      <c r="BH60" s="208">
        <f t="shared" si="18"/>
        <v>33.33333333</v>
      </c>
      <c r="BI60" s="138">
        <v>1.0</v>
      </c>
      <c r="BJ60" s="215">
        <v>1.0</v>
      </c>
      <c r="BK60" s="180"/>
      <c r="BL60" s="138">
        <v>1.0</v>
      </c>
      <c r="BM60" s="116"/>
      <c r="BN60" s="116"/>
      <c r="BO60" s="116"/>
      <c r="BP60" s="116"/>
      <c r="BQ60" s="211"/>
      <c r="BR60" s="166"/>
      <c r="BS60" s="165"/>
      <c r="BT60" s="185"/>
      <c r="BU60" s="43"/>
      <c r="BV60" s="43"/>
      <c r="BW60" s="198"/>
      <c r="BX60" s="145">
        <v>1.0</v>
      </c>
      <c r="BY60" s="116"/>
      <c r="BZ60" s="196">
        <v>1.0</v>
      </c>
      <c r="CA60" s="196">
        <v>1.0</v>
      </c>
      <c r="CB60" s="165"/>
      <c r="CC60" s="165"/>
      <c r="CD60" s="165"/>
      <c r="CE60" s="124">
        <f t="shared" si="19"/>
        <v>6</v>
      </c>
      <c r="CF60" s="173">
        <f t="shared" si="20"/>
        <v>46.15384615</v>
      </c>
      <c r="CG60" s="200"/>
      <c r="CH60" s="238"/>
      <c r="CI60" s="186"/>
      <c r="CJ60" s="186"/>
      <c r="CK60" s="231"/>
      <c r="CL60" s="186"/>
      <c r="CM60" s="223"/>
      <c r="CN60" s="223"/>
      <c r="CO60" s="223"/>
      <c r="CP60" s="166"/>
      <c r="CQ60" s="213"/>
      <c r="CR60" s="213"/>
      <c r="CS60" s="213"/>
      <c r="CT60" s="213"/>
      <c r="CU60" s="213"/>
      <c r="CV60" s="213"/>
      <c r="CW60" s="128">
        <f t="shared" si="21"/>
        <v>0</v>
      </c>
      <c r="CX60" s="214">
        <f t="shared" si="22"/>
        <v>0</v>
      </c>
      <c r="CY60" s="171"/>
      <c r="CZ60" s="171"/>
      <c r="DA60" s="171"/>
      <c r="DB60" s="171"/>
      <c r="DC60" s="171"/>
      <c r="DD60" s="171"/>
      <c r="DE60" s="171"/>
      <c r="DF60" s="171"/>
      <c r="DG60" s="171"/>
      <c r="DH60" s="171"/>
      <c r="DI60" s="171"/>
      <c r="DJ60" s="171"/>
      <c r="DK60" s="128">
        <f t="shared" si="23"/>
        <v>0</v>
      </c>
      <c r="DL60" s="158" t="str">
        <f t="shared" si="24"/>
        <v>#DIV/0!</v>
      </c>
    </row>
    <row r="61" ht="15.75" customHeight="1">
      <c r="A61" s="50">
        <v>52.0</v>
      </c>
      <c r="B61" s="111" t="s">
        <v>155</v>
      </c>
      <c r="C61" s="112" t="s">
        <v>156</v>
      </c>
      <c r="D61" s="98">
        <f t="shared" si="9"/>
        <v>14</v>
      </c>
      <c r="E61" s="130">
        <f t="shared" si="10"/>
        <v>31.81818182</v>
      </c>
      <c r="F61" s="114">
        <f t="shared" si="11"/>
        <v>31.81818182</v>
      </c>
      <c r="G61" s="149" t="str">
        <f t="shared" si="12"/>
        <v>  </v>
      </c>
      <c r="H61" s="254"/>
      <c r="I61" s="256"/>
      <c r="J61" s="256"/>
      <c r="K61" s="254"/>
      <c r="L61" s="257"/>
      <c r="M61" s="139">
        <f t="shared" si="13"/>
        <v>0</v>
      </c>
      <c r="N61" s="140">
        <f t="shared" si="14"/>
        <v>0</v>
      </c>
      <c r="O61" s="116"/>
      <c r="P61" s="116"/>
      <c r="Q61" s="116"/>
      <c r="R61" s="179"/>
      <c r="S61" s="116"/>
      <c r="T61" s="116"/>
      <c r="U61" s="116"/>
      <c r="V61" s="179"/>
      <c r="W61" s="116"/>
      <c r="X61" s="116"/>
      <c r="Y61" s="179"/>
      <c r="Z61" s="185"/>
      <c r="AA61" s="187">
        <v>1.0</v>
      </c>
      <c r="AB61" s="138">
        <v>1.0</v>
      </c>
      <c r="AC61" s="184">
        <v>1.0</v>
      </c>
      <c r="AD61" s="116"/>
      <c r="AE61" s="116"/>
      <c r="AF61" s="176"/>
      <c r="AG61" s="182">
        <v>1.0</v>
      </c>
      <c r="AH61" s="182">
        <v>1.0</v>
      </c>
      <c r="AI61" s="182">
        <v>1.0</v>
      </c>
      <c r="AJ61" s="139">
        <f t="shared" si="15"/>
        <v>6</v>
      </c>
      <c r="AK61" s="205">
        <f t="shared" si="16"/>
        <v>46.15384615</v>
      </c>
      <c r="AL61" s="116"/>
      <c r="AM61" s="138">
        <v>1.0</v>
      </c>
      <c r="AN61" s="184">
        <v>1.0</v>
      </c>
      <c r="AO61" s="116"/>
      <c r="AP61" s="116"/>
      <c r="AQ61" s="116"/>
      <c r="AR61" s="116"/>
      <c r="AS61" s="166"/>
      <c r="AT61" s="116"/>
      <c r="AU61" s="116"/>
      <c r="AV61" s="116"/>
      <c r="AW61" s="179"/>
      <c r="AX61" s="116"/>
      <c r="AY61" s="116"/>
      <c r="AZ61" s="180"/>
      <c r="BA61" s="180"/>
      <c r="BB61" s="116"/>
      <c r="BC61" s="116"/>
      <c r="BD61" s="194"/>
      <c r="BE61" s="194"/>
      <c r="BF61" s="194"/>
      <c r="BG61" s="139">
        <f t="shared" si="17"/>
        <v>2</v>
      </c>
      <c r="BH61" s="208">
        <f t="shared" si="18"/>
        <v>16.66666667</v>
      </c>
      <c r="BI61" s="116"/>
      <c r="BJ61" s="138">
        <v>1.0</v>
      </c>
      <c r="BK61" s="180"/>
      <c r="BL61" s="138"/>
      <c r="BM61" s="116"/>
      <c r="BN61" s="116"/>
      <c r="BO61" s="116"/>
      <c r="BP61" s="116"/>
      <c r="BQ61" s="211"/>
      <c r="BR61" s="166"/>
      <c r="BS61" s="116"/>
      <c r="BT61" s="138">
        <v>1.0</v>
      </c>
      <c r="BU61" s="43"/>
      <c r="BV61" s="43"/>
      <c r="BW61" s="198"/>
      <c r="BX61" s="116"/>
      <c r="BY61" s="138"/>
      <c r="BZ61" s="196">
        <v>1.0</v>
      </c>
      <c r="CA61" s="138">
        <v>1.0</v>
      </c>
      <c r="CB61" s="165"/>
      <c r="CC61" s="165"/>
      <c r="CD61" s="165"/>
      <c r="CE61" s="124">
        <f t="shared" si="19"/>
        <v>4</v>
      </c>
      <c r="CF61" s="173">
        <f t="shared" si="20"/>
        <v>30.76923077</v>
      </c>
      <c r="CG61" s="184">
        <v>1.0</v>
      </c>
      <c r="CH61" s="230">
        <v>1.0</v>
      </c>
      <c r="CI61" s="186"/>
      <c r="CJ61" s="116"/>
      <c r="CK61" s="116"/>
      <c r="CL61" s="186"/>
      <c r="CM61" s="223"/>
      <c r="CN61" s="223"/>
      <c r="CO61" s="116"/>
      <c r="CP61" s="166"/>
      <c r="CQ61" s="213"/>
      <c r="CR61" s="213"/>
      <c r="CS61" s="213"/>
      <c r="CT61" s="213"/>
      <c r="CU61" s="213"/>
      <c r="CV61" s="213"/>
      <c r="CW61" s="128">
        <f t="shared" si="21"/>
        <v>2</v>
      </c>
      <c r="CX61" s="214">
        <f t="shared" si="22"/>
        <v>100</v>
      </c>
      <c r="CY61" s="171"/>
      <c r="CZ61" s="171"/>
      <c r="DA61" s="171"/>
      <c r="DB61" s="171"/>
      <c r="DC61" s="171"/>
      <c r="DD61" s="171"/>
      <c r="DE61" s="171"/>
      <c r="DF61" s="171"/>
      <c r="DG61" s="171"/>
      <c r="DH61" s="171"/>
      <c r="DI61" s="171"/>
      <c r="DJ61" s="171"/>
      <c r="DK61" s="128">
        <f t="shared" si="23"/>
        <v>0</v>
      </c>
      <c r="DL61" s="158" t="str">
        <f t="shared" si="24"/>
        <v>#DIV/0!</v>
      </c>
    </row>
    <row r="62" ht="15.75" customHeight="1">
      <c r="A62" s="131">
        <v>53.0</v>
      </c>
      <c r="B62" s="111" t="s">
        <v>157</v>
      </c>
      <c r="C62" s="112" t="s">
        <v>158</v>
      </c>
      <c r="D62" s="98">
        <f t="shared" si="9"/>
        <v>23</v>
      </c>
      <c r="E62" s="130">
        <f t="shared" si="10"/>
        <v>52.27272727</v>
      </c>
      <c r="F62" s="92" t="str">
        <f t="shared" si="11"/>
        <v>  </v>
      </c>
      <c r="G62" s="149" t="str">
        <f t="shared" si="12"/>
        <v>  </v>
      </c>
      <c r="H62" s="256"/>
      <c r="I62" s="254"/>
      <c r="J62" s="254"/>
      <c r="K62" s="254"/>
      <c r="L62" s="257"/>
      <c r="M62" s="139">
        <f t="shared" si="13"/>
        <v>0</v>
      </c>
      <c r="N62" s="140">
        <f t="shared" si="14"/>
        <v>0</v>
      </c>
      <c r="O62" s="116"/>
      <c r="P62" s="116"/>
      <c r="Q62" s="116"/>
      <c r="R62" s="179"/>
      <c r="S62" s="179"/>
      <c r="T62" s="116"/>
      <c r="U62" s="116"/>
      <c r="V62" s="179"/>
      <c r="W62" s="116"/>
      <c r="X62" s="116"/>
      <c r="Y62" s="184">
        <v>1.0</v>
      </c>
      <c r="Z62" s="185"/>
      <c r="AA62" s="187">
        <v>1.0</v>
      </c>
      <c r="AB62" s="138">
        <v>1.0</v>
      </c>
      <c r="AC62" s="184">
        <v>1.0</v>
      </c>
      <c r="AD62" s="138">
        <v>1.0</v>
      </c>
      <c r="AE62" s="116"/>
      <c r="AF62" s="176"/>
      <c r="AG62" s="176"/>
      <c r="AH62" s="116"/>
      <c r="AI62" s="182"/>
      <c r="AJ62" s="139">
        <f t="shared" si="15"/>
        <v>5</v>
      </c>
      <c r="AK62" s="205">
        <f t="shared" si="16"/>
        <v>38.46153846</v>
      </c>
      <c r="AL62" s="116"/>
      <c r="AM62" s="138">
        <v>1.0</v>
      </c>
      <c r="AN62" s="184">
        <v>1.0</v>
      </c>
      <c r="AO62" s="207"/>
      <c r="AP62" s="138">
        <v>1.0</v>
      </c>
      <c r="AQ62" s="116"/>
      <c r="AR62" s="138">
        <v>1.0</v>
      </c>
      <c r="AS62" s="166"/>
      <c r="AT62" s="116"/>
      <c r="AU62" s="138">
        <v>1.0</v>
      </c>
      <c r="AV62" s="116"/>
      <c r="AW62" s="179"/>
      <c r="AX62" s="116"/>
      <c r="AY62" s="116"/>
      <c r="AZ62" s="116"/>
      <c r="BA62" s="180"/>
      <c r="BB62" s="116"/>
      <c r="BC62" s="138">
        <v>1.0</v>
      </c>
      <c r="BD62" s="194"/>
      <c r="BE62" s="194"/>
      <c r="BF62" s="194"/>
      <c r="BG62" s="139">
        <f t="shared" si="17"/>
        <v>6</v>
      </c>
      <c r="BH62" s="208">
        <f t="shared" si="18"/>
        <v>50</v>
      </c>
      <c r="BI62" s="138">
        <v>1.0</v>
      </c>
      <c r="BJ62" s="138">
        <v>1.0</v>
      </c>
      <c r="BK62" s="180"/>
      <c r="BL62" s="138">
        <v>1.0</v>
      </c>
      <c r="BM62" s="116"/>
      <c r="BN62" s="116"/>
      <c r="BO62" s="138">
        <v>1.0</v>
      </c>
      <c r="BP62" s="138">
        <v>1.0</v>
      </c>
      <c r="BQ62" s="211"/>
      <c r="BR62" s="166"/>
      <c r="BS62" s="196">
        <v>1.0</v>
      </c>
      <c r="BT62" s="210">
        <v>1.0</v>
      </c>
      <c r="BU62" s="43"/>
      <c r="BV62" s="43"/>
      <c r="BW62" s="198"/>
      <c r="BX62" s="138">
        <v>1.0</v>
      </c>
      <c r="BY62" s="138">
        <v>1.0</v>
      </c>
      <c r="BZ62" s="196">
        <v>1.0</v>
      </c>
      <c r="CA62" s="116"/>
      <c r="CB62" s="165"/>
      <c r="CC62" s="165"/>
      <c r="CD62" s="165"/>
      <c r="CE62" s="124">
        <f t="shared" si="19"/>
        <v>10</v>
      </c>
      <c r="CF62" s="173">
        <f t="shared" si="20"/>
        <v>76.92307692</v>
      </c>
      <c r="CG62" s="138">
        <v>1.0</v>
      </c>
      <c r="CH62" s="138">
        <v>1.0</v>
      </c>
      <c r="CI62" s="186"/>
      <c r="CJ62" s="116"/>
      <c r="CK62" s="116"/>
      <c r="CL62" s="186"/>
      <c r="CM62" s="116"/>
      <c r="CN62" s="223"/>
      <c r="CO62" s="116"/>
      <c r="CP62" s="166"/>
      <c r="CQ62" s="213"/>
      <c r="CR62" s="213"/>
      <c r="CS62" s="213"/>
      <c r="CT62" s="213"/>
      <c r="CU62" s="213"/>
      <c r="CV62" s="213"/>
      <c r="CW62" s="128">
        <f t="shared" si="21"/>
        <v>2</v>
      </c>
      <c r="CX62" s="214">
        <f t="shared" si="22"/>
        <v>100</v>
      </c>
      <c r="CY62" s="171"/>
      <c r="CZ62" s="171"/>
      <c r="DA62" s="171"/>
      <c r="DB62" s="171"/>
      <c r="DC62" s="171"/>
      <c r="DD62" s="171"/>
      <c r="DE62" s="171"/>
      <c r="DF62" s="171"/>
      <c r="DG62" s="171"/>
      <c r="DH62" s="171"/>
      <c r="DI62" s="171"/>
      <c r="DJ62" s="171"/>
      <c r="DK62" s="128">
        <f t="shared" si="23"/>
        <v>0</v>
      </c>
      <c r="DL62" s="158" t="str">
        <f t="shared" si="24"/>
        <v>#DIV/0!</v>
      </c>
    </row>
    <row r="63" ht="15.75" customHeight="1">
      <c r="A63" s="146">
        <v>54.0</v>
      </c>
      <c r="B63" s="111" t="s">
        <v>159</v>
      </c>
      <c r="C63" s="112" t="s">
        <v>160</v>
      </c>
      <c r="D63" s="98">
        <f t="shared" si="9"/>
        <v>20</v>
      </c>
      <c r="E63" s="130">
        <f t="shared" si="10"/>
        <v>45.45454545</v>
      </c>
      <c r="F63" s="114">
        <f t="shared" si="11"/>
        <v>45.45454545</v>
      </c>
      <c r="G63" s="149" t="str">
        <f t="shared" si="12"/>
        <v>  </v>
      </c>
      <c r="H63" s="254"/>
      <c r="I63" s="254"/>
      <c r="J63" s="254"/>
      <c r="K63" s="254"/>
      <c r="L63" s="257"/>
      <c r="M63" s="139">
        <f t="shared" si="13"/>
        <v>0</v>
      </c>
      <c r="N63" s="140">
        <f t="shared" si="14"/>
        <v>0</v>
      </c>
      <c r="O63" s="116"/>
      <c r="P63" s="116"/>
      <c r="Q63" s="180"/>
      <c r="R63" s="207"/>
      <c r="S63" s="207"/>
      <c r="T63" s="116"/>
      <c r="U63" s="116"/>
      <c r="V63" s="207"/>
      <c r="W63" s="116"/>
      <c r="X63" s="138">
        <v>1.0</v>
      </c>
      <c r="Y63" s="234">
        <v>1.0</v>
      </c>
      <c r="Z63" s="185"/>
      <c r="AA63" s="217"/>
      <c r="AB63" s="116"/>
      <c r="AC63" s="234">
        <v>1.0</v>
      </c>
      <c r="AD63" s="138">
        <v>1.0</v>
      </c>
      <c r="AE63" s="116"/>
      <c r="AF63" s="209">
        <v>1.0</v>
      </c>
      <c r="AG63" s="206"/>
      <c r="AH63" s="138">
        <v>1.0</v>
      </c>
      <c r="AI63" s="138">
        <v>1.0</v>
      </c>
      <c r="AJ63" s="139">
        <f t="shared" si="15"/>
        <v>7</v>
      </c>
      <c r="AK63" s="205">
        <f t="shared" si="16"/>
        <v>53.84615385</v>
      </c>
      <c r="AL63" s="116"/>
      <c r="AM63" s="116"/>
      <c r="AN63" s="234">
        <v>1.0</v>
      </c>
      <c r="AO63" s="116"/>
      <c r="AP63" s="200">
        <v>1.0</v>
      </c>
      <c r="AQ63" s="116"/>
      <c r="AR63" s="116"/>
      <c r="AS63" s="191"/>
      <c r="AT63" s="116"/>
      <c r="AU63" s="138">
        <v>1.0</v>
      </c>
      <c r="AV63" s="116"/>
      <c r="AW63" s="207"/>
      <c r="AX63" s="116"/>
      <c r="AY63" s="116"/>
      <c r="AZ63" s="116"/>
      <c r="BA63" s="180"/>
      <c r="BB63" s="138">
        <v>1.0</v>
      </c>
      <c r="BC63" s="138">
        <v>1.0</v>
      </c>
      <c r="BD63" s="194"/>
      <c r="BE63" s="194"/>
      <c r="BF63" s="194"/>
      <c r="BG63" s="139">
        <f t="shared" si="17"/>
        <v>5</v>
      </c>
      <c r="BH63" s="208">
        <f t="shared" si="18"/>
        <v>41.66666667</v>
      </c>
      <c r="BI63" s="116"/>
      <c r="BJ63" s="138">
        <v>1.0</v>
      </c>
      <c r="BK63" s="180"/>
      <c r="BL63" s="138">
        <v>1.0</v>
      </c>
      <c r="BM63" s="116"/>
      <c r="BN63" s="116"/>
      <c r="BO63" s="116"/>
      <c r="BP63" s="116"/>
      <c r="BQ63" s="116"/>
      <c r="BR63" s="166"/>
      <c r="BS63" s="138">
        <v>1.0</v>
      </c>
      <c r="BT63" s="138">
        <v>1.0</v>
      </c>
      <c r="BV63" s="116"/>
      <c r="BW63" s="198"/>
      <c r="BX63" s="138">
        <v>1.0</v>
      </c>
      <c r="BY63" s="138">
        <v>1.0</v>
      </c>
      <c r="BZ63" s="196">
        <v>1.0</v>
      </c>
      <c r="CA63" s="138"/>
      <c r="CB63" s="165"/>
      <c r="CC63" s="165"/>
      <c r="CD63" s="165"/>
      <c r="CE63" s="124">
        <f t="shared" si="19"/>
        <v>7</v>
      </c>
      <c r="CF63" s="173">
        <f t="shared" si="20"/>
        <v>53.84615385</v>
      </c>
      <c r="CG63" s="138">
        <v>1.0</v>
      </c>
      <c r="CH63" s="116"/>
      <c r="CI63" s="186"/>
      <c r="CJ63" s="116"/>
      <c r="CK63" s="116"/>
      <c r="CL63" s="186"/>
      <c r="CM63" s="223"/>
      <c r="CN63" s="223"/>
      <c r="CO63" s="116"/>
      <c r="CP63" s="166"/>
      <c r="CQ63" s="213"/>
      <c r="CR63" s="213"/>
      <c r="CS63" s="213"/>
      <c r="CT63" s="213"/>
      <c r="CU63" s="213"/>
      <c r="CV63" s="213"/>
      <c r="CW63" s="128">
        <f t="shared" si="21"/>
        <v>1</v>
      </c>
      <c r="CX63" s="214">
        <f t="shared" si="22"/>
        <v>50</v>
      </c>
      <c r="CY63" s="171"/>
      <c r="CZ63" s="171"/>
      <c r="DA63" s="171"/>
      <c r="DB63" s="171"/>
      <c r="DC63" s="171"/>
      <c r="DD63" s="171"/>
      <c r="DE63" s="171"/>
      <c r="DF63" s="171"/>
      <c r="DG63" s="171"/>
      <c r="DH63" s="171"/>
      <c r="DI63" s="171"/>
      <c r="DJ63" s="171"/>
      <c r="DK63" s="128">
        <f t="shared" si="23"/>
        <v>0</v>
      </c>
      <c r="DL63" s="158" t="str">
        <f t="shared" si="24"/>
        <v>#DIV/0!</v>
      </c>
    </row>
    <row r="64" ht="15.75" customHeight="1">
      <c r="A64" s="50">
        <v>55.0</v>
      </c>
      <c r="B64" s="111" t="s">
        <v>161</v>
      </c>
      <c r="C64" s="112" t="s">
        <v>162</v>
      </c>
      <c r="D64" s="98">
        <f t="shared" si="9"/>
        <v>18</v>
      </c>
      <c r="E64" s="130">
        <f t="shared" si="10"/>
        <v>40.90909091</v>
      </c>
      <c r="F64" s="114">
        <f t="shared" si="11"/>
        <v>40.90909091</v>
      </c>
      <c r="G64" s="149" t="str">
        <f t="shared" si="12"/>
        <v>  </v>
      </c>
      <c r="H64" s="254"/>
      <c r="I64" s="254"/>
      <c r="J64" s="254"/>
      <c r="K64" s="254"/>
      <c r="L64" s="257"/>
      <c r="M64" s="139">
        <f t="shared" si="13"/>
        <v>0</v>
      </c>
      <c r="N64" s="140">
        <f t="shared" si="14"/>
        <v>0</v>
      </c>
      <c r="O64" s="116"/>
      <c r="P64" s="116"/>
      <c r="Q64" s="180"/>
      <c r="R64" s="179"/>
      <c r="S64" s="179"/>
      <c r="T64" s="116"/>
      <c r="U64" s="116"/>
      <c r="V64" s="179"/>
      <c r="W64" s="116"/>
      <c r="X64" s="116"/>
      <c r="Y64" s="179"/>
      <c r="Z64" s="185"/>
      <c r="AA64" s="187">
        <v>1.0</v>
      </c>
      <c r="AB64" s="138">
        <v>1.0</v>
      </c>
      <c r="AC64" s="184">
        <v>1.0</v>
      </c>
      <c r="AD64" s="182">
        <v>1.0</v>
      </c>
      <c r="AE64" s="116"/>
      <c r="AF64" s="182">
        <v>1.0</v>
      </c>
      <c r="AG64" s="182">
        <v>1.0</v>
      </c>
      <c r="AH64" s="176"/>
      <c r="AI64" s="176"/>
      <c r="AJ64" s="139">
        <f t="shared" si="15"/>
        <v>6</v>
      </c>
      <c r="AK64" s="205">
        <f t="shared" si="16"/>
        <v>46.15384615</v>
      </c>
      <c r="AL64" s="116"/>
      <c r="AM64" s="116"/>
      <c r="AN64" s="179"/>
      <c r="AO64" s="179"/>
      <c r="AP64" s="116"/>
      <c r="AQ64" s="116"/>
      <c r="AR64" s="138">
        <v>1.0</v>
      </c>
      <c r="AS64" s="191">
        <v>1.0</v>
      </c>
      <c r="AT64" s="138">
        <v>1.0</v>
      </c>
      <c r="AU64" s="138">
        <v>1.0</v>
      </c>
      <c r="AV64" s="116"/>
      <c r="AW64" s="179"/>
      <c r="AX64" s="116"/>
      <c r="AY64" s="116"/>
      <c r="AZ64" s="116"/>
      <c r="BA64" s="180"/>
      <c r="BB64" s="138">
        <v>1.0</v>
      </c>
      <c r="BC64" s="138">
        <v>1.0</v>
      </c>
      <c r="BD64" s="194"/>
      <c r="BE64" s="194"/>
      <c r="BF64" s="194"/>
      <c r="BG64" s="139">
        <f t="shared" si="17"/>
        <v>6</v>
      </c>
      <c r="BH64" s="208">
        <f t="shared" si="18"/>
        <v>50</v>
      </c>
      <c r="BI64" s="116"/>
      <c r="BJ64" s="215">
        <v>1.0</v>
      </c>
      <c r="BK64" s="180"/>
      <c r="BL64" s="138">
        <v>1.0</v>
      </c>
      <c r="BM64" s="116"/>
      <c r="BN64" s="116"/>
      <c r="BO64" s="116"/>
      <c r="BP64" s="138">
        <v>1.0</v>
      </c>
      <c r="BQ64" s="116"/>
      <c r="BR64" s="166"/>
      <c r="BS64" s="138">
        <v>1.0</v>
      </c>
      <c r="BT64" s="116"/>
      <c r="BU64" s="43"/>
      <c r="BV64" s="43"/>
      <c r="BW64" s="198"/>
      <c r="BX64" s="138">
        <v>1.0</v>
      </c>
      <c r="BY64" s="116"/>
      <c r="BZ64" s="165"/>
      <c r="CA64" s="196">
        <v>1.0</v>
      </c>
      <c r="CB64" s="165"/>
      <c r="CC64" s="165"/>
      <c r="CD64" s="165"/>
      <c r="CE64" s="124">
        <f t="shared" si="19"/>
        <v>6</v>
      </c>
      <c r="CF64" s="173">
        <f t="shared" si="20"/>
        <v>46.15384615</v>
      </c>
      <c r="CG64" s="184"/>
      <c r="CH64" s="238"/>
      <c r="CI64" s="116"/>
      <c r="CJ64" s="116"/>
      <c r="CK64" s="116"/>
      <c r="CL64" s="186"/>
      <c r="CM64" s="116"/>
      <c r="CN64" s="223"/>
      <c r="CO64" s="223"/>
      <c r="CP64" s="166"/>
      <c r="CQ64" s="213"/>
      <c r="CR64" s="213"/>
      <c r="CS64" s="213"/>
      <c r="CT64" s="213"/>
      <c r="CU64" s="213"/>
      <c r="CV64" s="213"/>
      <c r="CW64" s="128">
        <f t="shared" si="21"/>
        <v>0</v>
      </c>
      <c r="CX64" s="214">
        <f t="shared" si="22"/>
        <v>0</v>
      </c>
      <c r="CY64" s="171"/>
      <c r="CZ64" s="171"/>
      <c r="DA64" s="171"/>
      <c r="DB64" s="171"/>
      <c r="DC64" s="171"/>
      <c r="DD64" s="171"/>
      <c r="DE64" s="171"/>
      <c r="DF64" s="171"/>
      <c r="DG64" s="171"/>
      <c r="DH64" s="171"/>
      <c r="DI64" s="171"/>
      <c r="DJ64" s="171"/>
      <c r="DK64" s="128">
        <f t="shared" si="23"/>
        <v>0</v>
      </c>
      <c r="DL64" s="158" t="str">
        <f t="shared" si="24"/>
        <v>#DIV/0!</v>
      </c>
    </row>
    <row r="65" ht="15.75" customHeight="1">
      <c r="A65" s="131">
        <v>56.0</v>
      </c>
      <c r="B65" s="111" t="s">
        <v>163</v>
      </c>
      <c r="C65" s="112" t="s">
        <v>164</v>
      </c>
      <c r="D65" s="98">
        <f t="shared" si="9"/>
        <v>24</v>
      </c>
      <c r="E65" s="130">
        <f t="shared" si="10"/>
        <v>54.54545455</v>
      </c>
      <c r="F65" s="114" t="str">
        <f t="shared" si="11"/>
        <v>  </v>
      </c>
      <c r="G65" s="149" t="str">
        <f t="shared" si="12"/>
        <v>  </v>
      </c>
      <c r="H65" s="254"/>
      <c r="I65" s="254"/>
      <c r="J65" s="258"/>
      <c r="K65" s="254"/>
      <c r="L65" s="257"/>
      <c r="M65" s="139">
        <f t="shared" si="13"/>
        <v>0</v>
      </c>
      <c r="N65" s="140">
        <f t="shared" si="14"/>
        <v>0</v>
      </c>
      <c r="O65" s="116"/>
      <c r="P65" s="116"/>
      <c r="Q65" s="116"/>
      <c r="R65" s="179"/>
      <c r="S65" s="116"/>
      <c r="T65" s="116"/>
      <c r="U65" s="116"/>
      <c r="V65" s="179"/>
      <c r="W65" s="138">
        <v>1.0</v>
      </c>
      <c r="X65" s="138">
        <v>1.0</v>
      </c>
      <c r="Y65" s="184">
        <v>1.0</v>
      </c>
      <c r="Z65" s="185"/>
      <c r="AA65" s="187">
        <v>1.0</v>
      </c>
      <c r="AB65" s="138">
        <v>1.0</v>
      </c>
      <c r="AC65" s="184">
        <v>1.0</v>
      </c>
      <c r="AD65" s="182">
        <v>1.0</v>
      </c>
      <c r="AE65" s="116"/>
      <c r="AF65" s="182">
        <v>1.0</v>
      </c>
      <c r="AG65" s="182">
        <v>1.0</v>
      </c>
      <c r="AH65" s="138">
        <v>1.0</v>
      </c>
      <c r="AI65" s="182">
        <v>1.0</v>
      </c>
      <c r="AJ65" s="139">
        <f t="shared" si="15"/>
        <v>11</v>
      </c>
      <c r="AK65" s="205">
        <f t="shared" si="16"/>
        <v>84.61538462</v>
      </c>
      <c r="AL65" s="116"/>
      <c r="AM65" s="184">
        <v>1.0</v>
      </c>
      <c r="AN65" s="179"/>
      <c r="AO65" s="116"/>
      <c r="AP65" s="138">
        <v>1.0</v>
      </c>
      <c r="AQ65" s="116"/>
      <c r="AR65" s="116"/>
      <c r="AS65" s="166"/>
      <c r="AT65" s="116"/>
      <c r="AU65" s="138">
        <v>1.0</v>
      </c>
      <c r="AV65" s="116"/>
      <c r="AW65" s="179"/>
      <c r="AX65" s="116"/>
      <c r="AY65" s="116"/>
      <c r="AZ65" s="180"/>
      <c r="BA65" s="180"/>
      <c r="BB65" s="204"/>
      <c r="BC65" s="204"/>
      <c r="BD65" s="181"/>
      <c r="BE65" s="181"/>
      <c r="BF65" s="181"/>
      <c r="BG65" s="139">
        <f t="shared" si="17"/>
        <v>3</v>
      </c>
      <c r="BH65" s="208">
        <f t="shared" si="18"/>
        <v>25</v>
      </c>
      <c r="BI65" s="138">
        <v>1.0</v>
      </c>
      <c r="BJ65" s="138">
        <v>1.0</v>
      </c>
      <c r="BK65" s="180"/>
      <c r="BL65" s="138"/>
      <c r="BM65" s="116"/>
      <c r="BN65" s="116"/>
      <c r="BO65" s="138">
        <v>1.0</v>
      </c>
      <c r="BP65" s="138">
        <v>1.0</v>
      </c>
      <c r="BQ65" s="211"/>
      <c r="BR65" s="116"/>
      <c r="BS65" s="116"/>
      <c r="BT65" s="138">
        <v>1.0</v>
      </c>
      <c r="BU65" s="43"/>
      <c r="BV65" s="43"/>
      <c r="BW65" s="198"/>
      <c r="BX65" s="138">
        <v>1.0</v>
      </c>
      <c r="BY65" s="138">
        <v>1.0</v>
      </c>
      <c r="BZ65" s="165"/>
      <c r="CA65" s="138">
        <v>1.0</v>
      </c>
      <c r="CB65" s="116"/>
      <c r="CC65" s="165"/>
      <c r="CD65" s="165"/>
      <c r="CE65" s="124">
        <f t="shared" si="19"/>
        <v>8</v>
      </c>
      <c r="CF65" s="173">
        <f t="shared" si="20"/>
        <v>61.53846154</v>
      </c>
      <c r="CG65" s="184">
        <v>1.0</v>
      </c>
      <c r="CH65" s="138">
        <v>1.0</v>
      </c>
      <c r="CI65" s="116"/>
      <c r="CJ65" s="186"/>
      <c r="CK65" s="116"/>
      <c r="CL65" s="186"/>
      <c r="CM65" s="223"/>
      <c r="CN65" s="116"/>
      <c r="CO65" s="116"/>
      <c r="CP65" s="116"/>
      <c r="CQ65" s="165"/>
      <c r="CR65" s="165"/>
      <c r="CS65" s="116"/>
      <c r="CT65" s="116"/>
      <c r="CU65" s="116"/>
      <c r="CV65" s="165"/>
      <c r="CW65" s="128">
        <f t="shared" si="21"/>
        <v>2</v>
      </c>
      <c r="CX65" s="214">
        <f t="shared" si="22"/>
        <v>100</v>
      </c>
      <c r="CY65" s="171"/>
      <c r="CZ65" s="171"/>
      <c r="DA65" s="171"/>
      <c r="DB65" s="171"/>
      <c r="DC65" s="171"/>
      <c r="DD65" s="171"/>
      <c r="DE65" s="171"/>
      <c r="DF65" s="171"/>
      <c r="DG65" s="171"/>
      <c r="DH65" s="171"/>
      <c r="DI65" s="171"/>
      <c r="DJ65" s="171"/>
      <c r="DK65" s="128">
        <f t="shared" si="23"/>
        <v>0</v>
      </c>
      <c r="DL65" s="158" t="str">
        <f t="shared" si="24"/>
        <v>#DIV/0!</v>
      </c>
    </row>
    <row r="66" ht="15.75" customHeight="1">
      <c r="A66" s="146">
        <v>57.0</v>
      </c>
      <c r="B66" s="111" t="s">
        <v>165</v>
      </c>
      <c r="C66" s="112" t="s">
        <v>166</v>
      </c>
      <c r="D66" s="98">
        <f t="shared" si="9"/>
        <v>30</v>
      </c>
      <c r="E66" s="130">
        <f t="shared" si="10"/>
        <v>68.18181818</v>
      </c>
      <c r="F66" s="114" t="str">
        <f t="shared" si="11"/>
        <v>  </v>
      </c>
      <c r="G66" s="226" t="str">
        <f t="shared" si="12"/>
        <v>  </v>
      </c>
      <c r="H66" s="254"/>
      <c r="I66" s="254"/>
      <c r="J66" s="254"/>
      <c r="K66" s="254"/>
      <c r="L66" s="257"/>
      <c r="M66" s="139">
        <f t="shared" si="13"/>
        <v>0</v>
      </c>
      <c r="N66" s="140">
        <f t="shared" si="14"/>
        <v>0</v>
      </c>
      <c r="O66" s="116"/>
      <c r="P66" s="116"/>
      <c r="Q66" s="116"/>
      <c r="R66" s="179"/>
      <c r="S66" s="116"/>
      <c r="T66" s="116"/>
      <c r="U66" s="116"/>
      <c r="V66" s="179"/>
      <c r="W66" s="138">
        <v>1.0</v>
      </c>
      <c r="X66" s="138">
        <v>1.0</v>
      </c>
      <c r="Y66" s="184">
        <v>1.0</v>
      </c>
      <c r="Z66" s="185"/>
      <c r="AA66" s="187">
        <v>1.0</v>
      </c>
      <c r="AB66" s="138">
        <v>1.0</v>
      </c>
      <c r="AC66" s="184">
        <v>1.0</v>
      </c>
      <c r="AD66" s="138">
        <v>1.0</v>
      </c>
      <c r="AE66" s="116"/>
      <c r="AF66" s="182">
        <v>1.0</v>
      </c>
      <c r="AG66" s="182">
        <v>1.0</v>
      </c>
      <c r="AH66" s="138">
        <v>1.0</v>
      </c>
      <c r="AI66" s="138">
        <v>1.0</v>
      </c>
      <c r="AJ66" s="139">
        <f t="shared" si="15"/>
        <v>11</v>
      </c>
      <c r="AK66" s="205">
        <f t="shared" si="16"/>
        <v>84.61538462</v>
      </c>
      <c r="AL66" s="116"/>
      <c r="AM66" s="138">
        <v>1.0</v>
      </c>
      <c r="AN66" s="179"/>
      <c r="AO66" s="138">
        <v>1.0</v>
      </c>
      <c r="AP66" s="138">
        <v>1.0</v>
      </c>
      <c r="AQ66" s="116"/>
      <c r="AR66" s="138">
        <v>1.0</v>
      </c>
      <c r="AS66" s="166"/>
      <c r="AT66" s="116"/>
      <c r="AU66" s="138">
        <v>1.0</v>
      </c>
      <c r="AV66" s="116"/>
      <c r="AW66" s="179"/>
      <c r="AX66" s="116"/>
      <c r="AY66" s="116"/>
      <c r="AZ66" s="116"/>
      <c r="BA66" s="180"/>
      <c r="BB66" s="138">
        <v>1.0</v>
      </c>
      <c r="BC66" s="138">
        <v>1.0</v>
      </c>
      <c r="BD66" s="188">
        <v>1.0</v>
      </c>
      <c r="BE66" s="188">
        <v>1.0</v>
      </c>
      <c r="BF66" s="194"/>
      <c r="BG66" s="139">
        <f t="shared" si="17"/>
        <v>9</v>
      </c>
      <c r="BH66" s="208">
        <f t="shared" si="18"/>
        <v>75</v>
      </c>
      <c r="BI66" s="116"/>
      <c r="BJ66" s="138">
        <v>1.0</v>
      </c>
      <c r="BK66" s="180"/>
      <c r="BL66" s="138">
        <v>1.0</v>
      </c>
      <c r="BM66" s="116"/>
      <c r="BN66" s="116"/>
      <c r="BO66" s="138">
        <v>1.0</v>
      </c>
      <c r="BP66" s="138">
        <v>1.0</v>
      </c>
      <c r="BQ66" s="116"/>
      <c r="BR66" s="116"/>
      <c r="BS66" s="116"/>
      <c r="BT66" s="210">
        <v>1.0</v>
      </c>
      <c r="BU66" s="43"/>
      <c r="BV66" s="43"/>
      <c r="BW66" s="198"/>
      <c r="BX66" s="138">
        <v>1.0</v>
      </c>
      <c r="BY66" s="138">
        <v>1.0</v>
      </c>
      <c r="BZ66" s="196">
        <v>1.0</v>
      </c>
      <c r="CA66" s="138"/>
      <c r="CB66" s="116"/>
      <c r="CC66" s="165"/>
      <c r="CD66" s="165"/>
      <c r="CE66" s="124">
        <f t="shared" si="19"/>
        <v>8</v>
      </c>
      <c r="CF66" s="173">
        <f t="shared" si="20"/>
        <v>61.53846154</v>
      </c>
      <c r="CG66" s="138">
        <v>1.0</v>
      </c>
      <c r="CH66" s="230">
        <v>1.0</v>
      </c>
      <c r="CI66" s="116"/>
      <c r="CJ66" s="116"/>
      <c r="CK66" s="116"/>
      <c r="CL66" s="186"/>
      <c r="CM66" s="116"/>
      <c r="CN66" s="116"/>
      <c r="CO66" s="223"/>
      <c r="CP66" s="166"/>
      <c r="CQ66" s="213"/>
      <c r="CR66" s="213"/>
      <c r="CS66" s="116"/>
      <c r="CT66" s="116"/>
      <c r="CU66" s="116"/>
      <c r="CV66" s="213"/>
      <c r="CW66" s="128">
        <f t="shared" si="21"/>
        <v>2</v>
      </c>
      <c r="CX66" s="214">
        <f t="shared" si="22"/>
        <v>100</v>
      </c>
      <c r="CY66" s="171"/>
      <c r="CZ66" s="171"/>
      <c r="DA66" s="171"/>
      <c r="DB66" s="171"/>
      <c r="DC66" s="171"/>
      <c r="DD66" s="171"/>
      <c r="DE66" s="171"/>
      <c r="DF66" s="171"/>
      <c r="DG66" s="171"/>
      <c r="DH66" s="171"/>
      <c r="DI66" s="171"/>
      <c r="DJ66" s="171"/>
      <c r="DK66" s="128">
        <f t="shared" si="23"/>
        <v>0</v>
      </c>
      <c r="DL66" s="158" t="str">
        <f t="shared" si="24"/>
        <v>#DIV/0!</v>
      </c>
    </row>
    <row r="67" ht="15.75" customHeight="1">
      <c r="A67" s="50">
        <v>58.0</v>
      </c>
      <c r="B67" s="111" t="s">
        <v>167</v>
      </c>
      <c r="C67" s="112" t="s">
        <v>168</v>
      </c>
      <c r="D67" s="98">
        <f t="shared" si="9"/>
        <v>31</v>
      </c>
      <c r="E67" s="130">
        <f t="shared" si="10"/>
        <v>70.45454545</v>
      </c>
      <c r="F67" s="92" t="str">
        <f t="shared" si="11"/>
        <v>  </v>
      </c>
      <c r="G67" s="149" t="str">
        <f t="shared" si="12"/>
        <v>  </v>
      </c>
      <c r="H67" s="254"/>
      <c r="I67" s="254"/>
      <c r="J67" s="254"/>
      <c r="K67" s="254"/>
      <c r="L67" s="257"/>
      <c r="M67" s="139">
        <f t="shared" si="13"/>
        <v>0</v>
      </c>
      <c r="N67" s="140">
        <f t="shared" si="14"/>
        <v>0</v>
      </c>
      <c r="O67" s="116"/>
      <c r="P67" s="116"/>
      <c r="Q67" s="180"/>
      <c r="R67" s="179"/>
      <c r="S67" s="116"/>
      <c r="T67" s="116"/>
      <c r="U67" s="116"/>
      <c r="V67" s="179"/>
      <c r="W67" s="116"/>
      <c r="X67" s="138">
        <v>1.0</v>
      </c>
      <c r="Y67" s="184">
        <v>1.0</v>
      </c>
      <c r="Z67" s="185"/>
      <c r="AA67" s="217"/>
      <c r="AB67" s="138">
        <v>1.0</v>
      </c>
      <c r="AC67" s="184">
        <v>1.0</v>
      </c>
      <c r="AD67" s="138">
        <v>1.0</v>
      </c>
      <c r="AE67" s="116"/>
      <c r="AF67" s="182">
        <v>1.0</v>
      </c>
      <c r="AG67" s="182">
        <v>1.0</v>
      </c>
      <c r="AH67" s="182">
        <v>1.0</v>
      </c>
      <c r="AI67" s="182">
        <v>1.0</v>
      </c>
      <c r="AJ67" s="139">
        <f t="shared" si="15"/>
        <v>9</v>
      </c>
      <c r="AK67" s="205">
        <f t="shared" si="16"/>
        <v>69.23076923</v>
      </c>
      <c r="AL67" s="116"/>
      <c r="AM67" s="138">
        <v>1.0</v>
      </c>
      <c r="AN67" s="184">
        <v>1.0</v>
      </c>
      <c r="AO67" s="138">
        <v>1.0</v>
      </c>
      <c r="AP67" s="138">
        <v>1.0</v>
      </c>
      <c r="AQ67" s="116"/>
      <c r="AR67" s="138">
        <v>1.0</v>
      </c>
      <c r="AS67" s="191">
        <v>1.0</v>
      </c>
      <c r="AT67" s="138">
        <v>1.0</v>
      </c>
      <c r="AU67" s="138">
        <v>1.0</v>
      </c>
      <c r="AV67" s="116"/>
      <c r="AW67" s="179"/>
      <c r="AX67" s="116"/>
      <c r="AY67" s="116"/>
      <c r="AZ67" s="116"/>
      <c r="BA67" s="180"/>
      <c r="BB67" s="138">
        <v>1.0</v>
      </c>
      <c r="BC67" s="116"/>
      <c r="BD67" s="188">
        <v>1.0</v>
      </c>
      <c r="BE67" s="194"/>
      <c r="BF67" s="194"/>
      <c r="BG67" s="139">
        <f t="shared" si="17"/>
        <v>10</v>
      </c>
      <c r="BH67" s="208">
        <f t="shared" si="18"/>
        <v>83.33333333</v>
      </c>
      <c r="BI67" s="138">
        <v>1.0</v>
      </c>
      <c r="BJ67" s="138">
        <v>1.0</v>
      </c>
      <c r="BK67" s="180"/>
      <c r="BL67" s="138">
        <v>1.0</v>
      </c>
      <c r="BM67" s="116"/>
      <c r="BN67" s="116"/>
      <c r="BO67" s="138">
        <v>1.0</v>
      </c>
      <c r="BP67" s="138">
        <v>1.0</v>
      </c>
      <c r="BQ67" s="116"/>
      <c r="BR67" s="166"/>
      <c r="BS67" s="138">
        <v>1.0</v>
      </c>
      <c r="BT67" s="138">
        <v>1.0</v>
      </c>
      <c r="BU67" s="43"/>
      <c r="BV67" s="43"/>
      <c r="BW67" s="198"/>
      <c r="BX67" s="116"/>
      <c r="BY67" s="138">
        <v>1.0</v>
      </c>
      <c r="BZ67" s="196">
        <v>1.0</v>
      </c>
      <c r="CA67" s="138">
        <v>1.0</v>
      </c>
      <c r="CB67" s="116"/>
      <c r="CC67" s="165"/>
      <c r="CD67" s="165"/>
      <c r="CE67" s="124">
        <f t="shared" si="19"/>
        <v>10</v>
      </c>
      <c r="CF67" s="173">
        <f t="shared" si="20"/>
        <v>76.92307692</v>
      </c>
      <c r="CG67" s="138">
        <v>1.0</v>
      </c>
      <c r="CH67" s="230">
        <v>1.0</v>
      </c>
      <c r="CI67" s="186"/>
      <c r="CJ67" s="186"/>
      <c r="CK67" s="116"/>
      <c r="CL67" s="186"/>
      <c r="CM67" s="223"/>
      <c r="CN67" s="223"/>
      <c r="CO67" s="116"/>
      <c r="CP67" s="166"/>
      <c r="CQ67" s="213"/>
      <c r="CR67" s="213"/>
      <c r="CS67" s="213"/>
      <c r="CT67" s="213"/>
      <c r="CU67" s="213"/>
      <c r="CV67" s="213"/>
      <c r="CW67" s="128">
        <f t="shared" si="21"/>
        <v>2</v>
      </c>
      <c r="CX67" s="214">
        <f t="shared" si="22"/>
        <v>100</v>
      </c>
      <c r="CY67" s="171"/>
      <c r="CZ67" s="171"/>
      <c r="DA67" s="171"/>
      <c r="DB67" s="171"/>
      <c r="DC67" s="171"/>
      <c r="DD67" s="171"/>
      <c r="DE67" s="171"/>
      <c r="DF67" s="171"/>
      <c r="DG67" s="171"/>
      <c r="DH67" s="171"/>
      <c r="DI67" s="171"/>
      <c r="DJ67" s="171"/>
      <c r="DK67" s="128">
        <f t="shared" si="23"/>
        <v>0</v>
      </c>
      <c r="DL67" s="158" t="str">
        <f t="shared" si="24"/>
        <v>#DIV/0!</v>
      </c>
    </row>
    <row r="68" ht="15.75" customHeight="1">
      <c r="A68" s="131">
        <v>59.0</v>
      </c>
      <c r="B68" s="111" t="s">
        <v>169</v>
      </c>
      <c r="C68" s="112" t="s">
        <v>170</v>
      </c>
      <c r="D68" s="98">
        <f t="shared" si="9"/>
        <v>22</v>
      </c>
      <c r="E68" s="130">
        <f t="shared" si="10"/>
        <v>50</v>
      </c>
      <c r="F68" s="114" t="str">
        <f t="shared" si="11"/>
        <v>  </v>
      </c>
      <c r="G68" s="149" t="str">
        <f t="shared" si="12"/>
        <v>  </v>
      </c>
      <c r="H68" s="256"/>
      <c r="I68" s="256"/>
      <c r="J68" s="256"/>
      <c r="K68" s="256"/>
      <c r="L68" s="259"/>
      <c r="M68" s="139">
        <f t="shared" si="13"/>
        <v>0</v>
      </c>
      <c r="N68" s="140">
        <f t="shared" si="14"/>
        <v>0</v>
      </c>
      <c r="O68" s="116"/>
      <c r="P68" s="116"/>
      <c r="Q68" s="116"/>
      <c r="R68" s="207"/>
      <c r="S68" s="116"/>
      <c r="T68" s="116"/>
      <c r="U68" s="116"/>
      <c r="V68" s="207"/>
      <c r="W68" s="116"/>
      <c r="X68" s="116"/>
      <c r="Y68" s="207"/>
      <c r="Z68" s="185"/>
      <c r="AA68" s="217"/>
      <c r="AB68" s="138"/>
      <c r="AC68" s="207"/>
      <c r="AD68" s="138"/>
      <c r="AE68" s="116"/>
      <c r="AF68" s="209">
        <v>1.0</v>
      </c>
      <c r="AG68" s="209">
        <v>1.0</v>
      </c>
      <c r="AH68" s="209">
        <v>1.0</v>
      </c>
      <c r="AI68" s="138">
        <v>1.0</v>
      </c>
      <c r="AJ68" s="139">
        <f t="shared" si="15"/>
        <v>4</v>
      </c>
      <c r="AK68" s="205">
        <f t="shared" si="16"/>
        <v>30.76923077</v>
      </c>
      <c r="AL68" s="116"/>
      <c r="AM68" s="138">
        <v>1.0</v>
      </c>
      <c r="AN68" s="207"/>
      <c r="AO68" s="138">
        <v>1.0</v>
      </c>
      <c r="AP68" s="138">
        <v>1.0</v>
      </c>
      <c r="AQ68" s="116"/>
      <c r="AR68" s="116"/>
      <c r="AS68" s="191">
        <v>1.0</v>
      </c>
      <c r="AT68" s="138">
        <v>1.0</v>
      </c>
      <c r="AU68" s="138">
        <v>1.0</v>
      </c>
      <c r="AV68" s="116"/>
      <c r="AW68" s="207"/>
      <c r="AX68" s="116"/>
      <c r="AY68" s="116"/>
      <c r="AZ68" s="116"/>
      <c r="BA68" s="180"/>
      <c r="BB68" s="138">
        <v>1.0</v>
      </c>
      <c r="BC68" s="138">
        <v>1.0</v>
      </c>
      <c r="BD68" s="188">
        <v>1.0</v>
      </c>
      <c r="BE68" s="194"/>
      <c r="BF68" s="194"/>
      <c r="BG68" s="139">
        <f t="shared" si="17"/>
        <v>9</v>
      </c>
      <c r="BH68" s="208">
        <f t="shared" si="18"/>
        <v>75</v>
      </c>
      <c r="BI68" s="138">
        <v>1.0</v>
      </c>
      <c r="BJ68" s="138">
        <v>1.0</v>
      </c>
      <c r="BK68" s="180"/>
      <c r="BL68" s="138"/>
      <c r="BM68" s="116"/>
      <c r="BN68" s="116"/>
      <c r="BO68" s="138">
        <v>1.0</v>
      </c>
      <c r="BP68" s="138">
        <v>1.0</v>
      </c>
      <c r="BQ68" s="211"/>
      <c r="BR68" s="116"/>
      <c r="BS68" s="116"/>
      <c r="BT68" s="116"/>
      <c r="BU68" s="43"/>
      <c r="BV68" s="43"/>
      <c r="BW68" s="198"/>
      <c r="BX68" s="43"/>
      <c r="BY68" s="138">
        <v>1.0</v>
      </c>
      <c r="BZ68" s="196">
        <v>1.0</v>
      </c>
      <c r="CA68" s="138">
        <v>1.0</v>
      </c>
      <c r="CB68" s="116"/>
      <c r="CC68" s="165"/>
      <c r="CD68" s="165"/>
      <c r="CE68" s="124">
        <f t="shared" si="19"/>
        <v>7</v>
      </c>
      <c r="CF68" s="173">
        <f t="shared" si="20"/>
        <v>53.84615385</v>
      </c>
      <c r="CG68" s="138">
        <v>1.0</v>
      </c>
      <c r="CH68" s="138">
        <v>1.0</v>
      </c>
      <c r="CI68" s="116"/>
      <c r="CJ68" s="116"/>
      <c r="CK68" s="116"/>
      <c r="CL68" s="186"/>
      <c r="CM68" s="223"/>
      <c r="CN68" s="116"/>
      <c r="CO68" s="223"/>
      <c r="CP68" s="166"/>
      <c r="CQ68" s="213"/>
      <c r="CR68" s="213"/>
      <c r="CS68" s="116"/>
      <c r="CT68" s="116"/>
      <c r="CU68" s="116"/>
      <c r="CV68" s="213"/>
      <c r="CW68" s="128">
        <f t="shared" si="21"/>
        <v>2</v>
      </c>
      <c r="CX68" s="214">
        <f t="shared" si="22"/>
        <v>100</v>
      </c>
      <c r="CY68" s="171"/>
      <c r="CZ68" s="171"/>
      <c r="DA68" s="171"/>
      <c r="DB68" s="171"/>
      <c r="DC68" s="171"/>
      <c r="DD68" s="171"/>
      <c r="DE68" s="171"/>
      <c r="DF68" s="171"/>
      <c r="DG68" s="171"/>
      <c r="DH68" s="171"/>
      <c r="DI68" s="171"/>
      <c r="DJ68" s="171"/>
      <c r="DK68" s="128">
        <f t="shared" si="23"/>
        <v>0</v>
      </c>
      <c r="DL68" s="158" t="str">
        <f t="shared" si="24"/>
        <v>#DIV/0!</v>
      </c>
    </row>
    <row r="69" ht="15.75" customHeight="1">
      <c r="A69" s="146">
        <v>60.0</v>
      </c>
      <c r="B69" s="111" t="s">
        <v>171</v>
      </c>
      <c r="C69" s="112" t="s">
        <v>172</v>
      </c>
      <c r="D69" s="98">
        <f t="shared" si="9"/>
        <v>14</v>
      </c>
      <c r="E69" s="130">
        <f t="shared" si="10"/>
        <v>31.81818182</v>
      </c>
      <c r="F69" s="114">
        <f t="shared" si="11"/>
        <v>31.81818182</v>
      </c>
      <c r="G69" s="226" t="str">
        <f t="shared" si="12"/>
        <v>  </v>
      </c>
      <c r="H69" s="254"/>
      <c r="I69" s="254"/>
      <c r="J69" s="254"/>
      <c r="K69" s="254"/>
      <c r="L69" s="257"/>
      <c r="M69" s="139">
        <f t="shared" si="13"/>
        <v>0</v>
      </c>
      <c r="N69" s="140">
        <f t="shared" si="14"/>
        <v>0</v>
      </c>
      <c r="O69" s="116"/>
      <c r="P69" s="116"/>
      <c r="Q69" s="116"/>
      <c r="R69" s="179"/>
      <c r="S69" s="179"/>
      <c r="T69" s="116"/>
      <c r="U69" s="116"/>
      <c r="V69" s="179"/>
      <c r="W69" s="138">
        <v>1.0</v>
      </c>
      <c r="X69" s="116"/>
      <c r="Y69" s="179"/>
      <c r="Z69" s="185"/>
      <c r="AA69" s="217"/>
      <c r="AB69" s="138">
        <v>1.0</v>
      </c>
      <c r="AC69" s="184">
        <v>1.0</v>
      </c>
      <c r="AD69" s="182"/>
      <c r="AE69" s="176"/>
      <c r="AF69" s="182">
        <v>1.0</v>
      </c>
      <c r="AG69" s="182">
        <v>1.0</v>
      </c>
      <c r="AH69" s="138">
        <v>1.0</v>
      </c>
      <c r="AI69" s="182"/>
      <c r="AJ69" s="139">
        <f t="shared" si="15"/>
        <v>6</v>
      </c>
      <c r="AK69" s="205">
        <f t="shared" si="16"/>
        <v>46.15384615</v>
      </c>
      <c r="AL69" s="222"/>
      <c r="AM69" s="179"/>
      <c r="AN69" s="179"/>
      <c r="AO69" s="179"/>
      <c r="AP69" s="116"/>
      <c r="AQ69" s="116"/>
      <c r="AR69" s="116"/>
      <c r="AS69" s="166"/>
      <c r="AT69" s="116"/>
      <c r="AU69" s="116"/>
      <c r="AV69" s="116"/>
      <c r="AW69" s="179"/>
      <c r="AX69" s="116"/>
      <c r="AY69" s="116"/>
      <c r="AZ69" s="180"/>
      <c r="BA69" s="180"/>
      <c r="BB69" s="204"/>
      <c r="BC69" s="204"/>
      <c r="BD69" s="181"/>
      <c r="BE69" s="181"/>
      <c r="BF69" s="181"/>
      <c r="BG69" s="139">
        <f t="shared" si="17"/>
        <v>0</v>
      </c>
      <c r="BH69" s="208">
        <f t="shared" si="18"/>
        <v>0</v>
      </c>
      <c r="BI69" s="116"/>
      <c r="BJ69" s="138"/>
      <c r="BK69" s="180"/>
      <c r="BL69" s="116"/>
      <c r="BM69" s="116"/>
      <c r="BN69" s="116"/>
      <c r="BO69" s="138">
        <v>1.0</v>
      </c>
      <c r="BP69" s="138">
        <v>1.0</v>
      </c>
      <c r="BQ69" s="211"/>
      <c r="BR69" s="116"/>
      <c r="BS69" s="165"/>
      <c r="BT69" s="210">
        <v>1.0</v>
      </c>
      <c r="BU69" s="43"/>
      <c r="BV69" s="43"/>
      <c r="BW69" s="198"/>
      <c r="BX69" s="116"/>
      <c r="BY69" s="138">
        <v>1.0</v>
      </c>
      <c r="BZ69" s="196">
        <v>1.0</v>
      </c>
      <c r="CA69" s="196">
        <v>1.0</v>
      </c>
      <c r="CB69" s="165"/>
      <c r="CC69" s="165"/>
      <c r="CD69" s="165"/>
      <c r="CE69" s="124">
        <f t="shared" si="19"/>
        <v>6</v>
      </c>
      <c r="CF69" s="173">
        <f t="shared" si="20"/>
        <v>46.15384615</v>
      </c>
      <c r="CG69" s="184">
        <v>1.0</v>
      </c>
      <c r="CH69" s="230">
        <v>1.0</v>
      </c>
      <c r="CI69" s="186"/>
      <c r="CJ69" s="186"/>
      <c r="CK69" s="231"/>
      <c r="CL69" s="186"/>
      <c r="CM69" s="223"/>
      <c r="CN69" s="116"/>
      <c r="CO69" s="223"/>
      <c r="CP69" s="166"/>
      <c r="CQ69" s="213"/>
      <c r="CR69" s="213"/>
      <c r="CS69" s="213"/>
      <c r="CT69" s="213"/>
      <c r="CU69" s="116"/>
      <c r="CV69" s="213"/>
      <c r="CW69" s="128">
        <f t="shared" si="21"/>
        <v>2</v>
      </c>
      <c r="CX69" s="214">
        <f t="shared" si="22"/>
        <v>100</v>
      </c>
      <c r="CY69" s="171"/>
      <c r="CZ69" s="171"/>
      <c r="DA69" s="171"/>
      <c r="DB69" s="171"/>
      <c r="DC69" s="171"/>
      <c r="DD69" s="171"/>
      <c r="DE69" s="171"/>
      <c r="DF69" s="171"/>
      <c r="DG69" s="171"/>
      <c r="DH69" s="171"/>
      <c r="DI69" s="171"/>
      <c r="DJ69" s="171"/>
      <c r="DK69" s="128">
        <f t="shared" si="23"/>
        <v>0</v>
      </c>
      <c r="DL69" s="158" t="str">
        <f t="shared" si="24"/>
        <v>#DIV/0!</v>
      </c>
    </row>
    <row r="70" ht="15.75" customHeight="1">
      <c r="A70" s="50">
        <v>61.0</v>
      </c>
      <c r="B70" s="111" t="s">
        <v>173</v>
      </c>
      <c r="C70" s="112" t="s">
        <v>174</v>
      </c>
      <c r="D70" s="98">
        <f t="shared" si="9"/>
        <v>18</v>
      </c>
      <c r="E70" s="130">
        <f t="shared" si="10"/>
        <v>40.90909091</v>
      </c>
      <c r="F70" s="114">
        <f t="shared" si="11"/>
        <v>40.90909091</v>
      </c>
      <c r="G70" s="149" t="str">
        <f t="shared" si="12"/>
        <v>  </v>
      </c>
      <c r="H70" s="254"/>
      <c r="I70" s="254"/>
      <c r="J70" s="254"/>
      <c r="K70" s="254"/>
      <c r="L70" s="257"/>
      <c r="M70" s="139">
        <f t="shared" si="13"/>
        <v>0</v>
      </c>
      <c r="N70" s="140">
        <f t="shared" si="14"/>
        <v>0</v>
      </c>
      <c r="O70" s="116"/>
      <c r="P70" s="116"/>
      <c r="Q70" s="180"/>
      <c r="R70" s="179"/>
      <c r="S70" s="179"/>
      <c r="T70" s="116"/>
      <c r="U70" s="116"/>
      <c r="V70" s="179"/>
      <c r="W70" s="116"/>
      <c r="X70" s="116"/>
      <c r="Y70" s="179"/>
      <c r="Z70" s="185"/>
      <c r="AA70" s="217"/>
      <c r="AB70" s="138"/>
      <c r="AC70" s="179"/>
      <c r="AD70" s="138"/>
      <c r="AE70" s="116"/>
      <c r="AF70" s="182">
        <v>1.0</v>
      </c>
      <c r="AG70" s="182">
        <v>1.0</v>
      </c>
      <c r="AH70" s="138">
        <v>1.0</v>
      </c>
      <c r="AI70" s="182"/>
      <c r="AJ70" s="139">
        <f t="shared" si="15"/>
        <v>3</v>
      </c>
      <c r="AK70" s="205">
        <f t="shared" si="16"/>
        <v>23.07692308</v>
      </c>
      <c r="AL70" s="222"/>
      <c r="AM70" s="116"/>
      <c r="AN70" s="184">
        <v>1.0</v>
      </c>
      <c r="AO70" s="116"/>
      <c r="AP70" s="184">
        <v>1.0</v>
      </c>
      <c r="AQ70" s="116"/>
      <c r="AR70" s="116"/>
      <c r="AS70" s="191">
        <v>1.0</v>
      </c>
      <c r="AT70" s="138">
        <v>1.0</v>
      </c>
      <c r="AU70" s="116"/>
      <c r="AV70" s="116"/>
      <c r="AW70" s="179"/>
      <c r="AX70" s="116"/>
      <c r="AY70" s="116"/>
      <c r="AZ70" s="180"/>
      <c r="BA70" s="180"/>
      <c r="BB70" s="204"/>
      <c r="BC70" s="218">
        <v>1.0</v>
      </c>
      <c r="BD70" s="181"/>
      <c r="BE70" s="181"/>
      <c r="BF70" s="181"/>
      <c r="BG70" s="139">
        <f t="shared" si="17"/>
        <v>5</v>
      </c>
      <c r="BH70" s="208">
        <f t="shared" si="18"/>
        <v>41.66666667</v>
      </c>
      <c r="BI70" s="116"/>
      <c r="BJ70" s="138">
        <v>1.0</v>
      </c>
      <c r="BK70" s="180"/>
      <c r="BL70" s="138">
        <v>1.0</v>
      </c>
      <c r="BM70" s="116"/>
      <c r="BN70" s="116"/>
      <c r="BO70" s="138">
        <v>1.0</v>
      </c>
      <c r="BP70" s="138">
        <v>1.0</v>
      </c>
      <c r="BQ70" s="116"/>
      <c r="BR70" s="166"/>
      <c r="BS70" s="196">
        <v>1.0</v>
      </c>
      <c r="BT70" s="138">
        <v>1.0</v>
      </c>
      <c r="BU70" s="43"/>
      <c r="BV70" s="43"/>
      <c r="BW70" s="198"/>
      <c r="BX70" s="138">
        <v>1.0</v>
      </c>
      <c r="BY70" s="138">
        <v>1.0</v>
      </c>
      <c r="BZ70" s="196">
        <v>1.0</v>
      </c>
      <c r="CA70" s="165"/>
      <c r="CB70" s="165"/>
      <c r="CC70" s="165"/>
      <c r="CD70" s="165"/>
      <c r="CE70" s="124">
        <f t="shared" si="19"/>
        <v>9</v>
      </c>
      <c r="CF70" s="173">
        <f t="shared" si="20"/>
        <v>69.23076923</v>
      </c>
      <c r="CG70" s="184">
        <v>1.0</v>
      </c>
      <c r="CH70" s="238"/>
      <c r="CI70" s="186"/>
      <c r="CJ70" s="116"/>
      <c r="CK70" s="231"/>
      <c r="CL70" s="186"/>
      <c r="CM70" s="223"/>
      <c r="CN70" s="223"/>
      <c r="CO70" s="116"/>
      <c r="CP70" s="166"/>
      <c r="CQ70" s="213"/>
      <c r="CR70" s="213"/>
      <c r="CS70" s="213"/>
      <c r="CT70" s="213"/>
      <c r="CU70" s="213"/>
      <c r="CV70" s="213"/>
      <c r="CW70" s="128">
        <f t="shared" si="21"/>
        <v>1</v>
      </c>
      <c r="CX70" s="214">
        <f t="shared" si="22"/>
        <v>50</v>
      </c>
      <c r="CY70" s="171"/>
      <c r="CZ70" s="171"/>
      <c r="DA70" s="171"/>
      <c r="DB70" s="171"/>
      <c r="DC70" s="171"/>
      <c r="DD70" s="171"/>
      <c r="DE70" s="171"/>
      <c r="DF70" s="171"/>
      <c r="DG70" s="171"/>
      <c r="DH70" s="171"/>
      <c r="DI70" s="171"/>
      <c r="DJ70" s="171"/>
      <c r="DK70" s="128">
        <f t="shared" si="23"/>
        <v>0</v>
      </c>
      <c r="DL70" s="158" t="str">
        <f t="shared" si="24"/>
        <v>#DIV/0!</v>
      </c>
    </row>
    <row r="71" ht="15.75" customHeight="1">
      <c r="A71" s="131">
        <v>62.0</v>
      </c>
      <c r="B71" s="111" t="s">
        <v>175</v>
      </c>
      <c r="C71" s="112" t="s">
        <v>176</v>
      </c>
      <c r="D71" s="98">
        <f t="shared" si="9"/>
        <v>3</v>
      </c>
      <c r="E71" s="130">
        <f t="shared" si="10"/>
        <v>6.818181818</v>
      </c>
      <c r="F71" s="114">
        <f t="shared" si="11"/>
        <v>6.818181818</v>
      </c>
      <c r="G71" s="226">
        <f t="shared" si="12"/>
        <v>6.818181818</v>
      </c>
      <c r="H71" s="254"/>
      <c r="I71" s="254"/>
      <c r="J71" s="254"/>
      <c r="K71" s="254"/>
      <c r="L71" s="257"/>
      <c r="M71" s="139">
        <f t="shared" si="13"/>
        <v>0</v>
      </c>
      <c r="N71" s="140">
        <f t="shared" si="14"/>
        <v>0</v>
      </c>
      <c r="O71" s="116"/>
      <c r="P71" s="116"/>
      <c r="Q71" s="180"/>
      <c r="R71" s="179"/>
      <c r="S71" s="179"/>
      <c r="T71" s="116"/>
      <c r="U71" s="116"/>
      <c r="V71" s="179"/>
      <c r="W71" s="116"/>
      <c r="X71" s="116"/>
      <c r="Y71" s="179"/>
      <c r="Z71" s="185"/>
      <c r="AA71" s="217"/>
      <c r="AB71" s="116"/>
      <c r="AC71" s="179"/>
      <c r="AD71" s="176"/>
      <c r="AE71" s="116"/>
      <c r="AF71" s="182">
        <v>1.0</v>
      </c>
      <c r="AG71" s="182">
        <v>1.0</v>
      </c>
      <c r="AH71" s="176"/>
      <c r="AI71" s="176"/>
      <c r="AJ71" s="139">
        <f t="shared" si="15"/>
        <v>2</v>
      </c>
      <c r="AK71" s="205">
        <f t="shared" si="16"/>
        <v>15.38461538</v>
      </c>
      <c r="AL71" s="222"/>
      <c r="AM71" s="179"/>
      <c r="AN71" s="179"/>
      <c r="AO71" s="179"/>
      <c r="AP71" s="179"/>
      <c r="AQ71" s="116"/>
      <c r="AR71" s="116"/>
      <c r="AS71" s="166"/>
      <c r="AT71" s="116"/>
      <c r="AU71" s="116"/>
      <c r="AV71" s="116"/>
      <c r="AW71" s="179"/>
      <c r="AX71" s="116"/>
      <c r="AY71" s="116"/>
      <c r="AZ71" s="180"/>
      <c r="BA71" s="180"/>
      <c r="BB71" s="204"/>
      <c r="BC71" s="204"/>
      <c r="BD71" s="181"/>
      <c r="BE71" s="181"/>
      <c r="BF71" s="181"/>
      <c r="BG71" s="139">
        <f t="shared" si="17"/>
        <v>0</v>
      </c>
      <c r="BH71" s="208">
        <f t="shared" si="18"/>
        <v>0</v>
      </c>
      <c r="BI71" s="116"/>
      <c r="BJ71" s="138"/>
      <c r="BK71" s="180"/>
      <c r="BL71" s="116"/>
      <c r="BM71" s="116"/>
      <c r="BN71" s="116"/>
      <c r="BO71" s="116"/>
      <c r="BP71" s="138"/>
      <c r="BQ71" s="211"/>
      <c r="BR71" s="166"/>
      <c r="BS71" s="196">
        <v>1.0</v>
      </c>
      <c r="BT71" s="116"/>
      <c r="BU71" s="43"/>
      <c r="BV71" s="43"/>
      <c r="BW71" s="198"/>
      <c r="BX71" s="43"/>
      <c r="BY71" s="116"/>
      <c r="BZ71" s="165"/>
      <c r="CA71" s="165"/>
      <c r="CB71" s="165"/>
      <c r="CC71" s="165"/>
      <c r="CD71" s="165"/>
      <c r="CE71" s="124">
        <f t="shared" si="19"/>
        <v>1</v>
      </c>
      <c r="CF71" s="173">
        <f t="shared" si="20"/>
        <v>7.692307692</v>
      </c>
      <c r="CG71" s="184"/>
      <c r="CH71" s="238"/>
      <c r="CI71" s="186"/>
      <c r="CJ71" s="186"/>
      <c r="CK71" s="116"/>
      <c r="CL71" s="186"/>
      <c r="CM71" s="223"/>
      <c r="CN71" s="223"/>
      <c r="CO71" s="223"/>
      <c r="CP71" s="116"/>
      <c r="CQ71" s="165"/>
      <c r="CR71" s="165"/>
      <c r="CS71" s="116"/>
      <c r="CT71" s="116"/>
      <c r="CU71" s="116"/>
      <c r="CV71" s="165"/>
      <c r="CW71" s="128">
        <f t="shared" si="21"/>
        <v>0</v>
      </c>
      <c r="CX71" s="214">
        <f t="shared" si="22"/>
        <v>0</v>
      </c>
      <c r="CY71" s="171"/>
      <c r="CZ71" s="171"/>
      <c r="DA71" s="171"/>
      <c r="DB71" s="171"/>
      <c r="DC71" s="171"/>
      <c r="DD71" s="171"/>
      <c r="DE71" s="171"/>
      <c r="DF71" s="171"/>
      <c r="DG71" s="171"/>
      <c r="DH71" s="171"/>
      <c r="DI71" s="171"/>
      <c r="DJ71" s="171"/>
      <c r="DK71" s="128">
        <f t="shared" si="23"/>
        <v>0</v>
      </c>
      <c r="DL71" s="158" t="str">
        <f t="shared" si="24"/>
        <v>#DIV/0!</v>
      </c>
    </row>
    <row r="72" ht="15.75" customHeight="1">
      <c r="A72" s="146">
        <v>63.0</v>
      </c>
      <c r="B72" s="111" t="s">
        <v>177</v>
      </c>
      <c r="C72" s="112" t="s">
        <v>178</v>
      </c>
      <c r="D72" s="98">
        <f t="shared" si="9"/>
        <v>18</v>
      </c>
      <c r="E72" s="130">
        <f t="shared" si="10"/>
        <v>40.90909091</v>
      </c>
      <c r="F72" s="114">
        <f t="shared" si="11"/>
        <v>40.90909091</v>
      </c>
      <c r="G72" s="149" t="str">
        <f t="shared" si="12"/>
        <v>  </v>
      </c>
      <c r="H72" s="254"/>
      <c r="I72" s="254"/>
      <c r="J72" s="254"/>
      <c r="K72" s="254"/>
      <c r="L72" s="257"/>
      <c r="M72" s="139">
        <f t="shared" si="13"/>
        <v>0</v>
      </c>
      <c r="N72" s="140">
        <f t="shared" si="14"/>
        <v>0</v>
      </c>
      <c r="O72" s="116"/>
      <c r="P72" s="116"/>
      <c r="Q72" s="180"/>
      <c r="R72" s="179"/>
      <c r="S72" s="179"/>
      <c r="T72" s="116"/>
      <c r="U72" s="116"/>
      <c r="V72" s="179"/>
      <c r="W72" s="116"/>
      <c r="X72" s="138">
        <v>1.0</v>
      </c>
      <c r="Y72" s="184">
        <v>1.0</v>
      </c>
      <c r="Z72" s="185"/>
      <c r="AA72" s="187">
        <v>1.0</v>
      </c>
      <c r="AB72" s="116"/>
      <c r="AC72" s="184">
        <v>1.0</v>
      </c>
      <c r="AD72" s="138">
        <v>1.0</v>
      </c>
      <c r="AE72" s="116"/>
      <c r="AF72" s="176"/>
      <c r="AG72" s="176"/>
      <c r="AH72" s="138">
        <v>1.0</v>
      </c>
      <c r="AI72" s="138">
        <v>1.0</v>
      </c>
      <c r="AJ72" s="139">
        <f t="shared" si="15"/>
        <v>7</v>
      </c>
      <c r="AK72" s="205">
        <f t="shared" si="16"/>
        <v>53.84615385</v>
      </c>
      <c r="AL72" s="116"/>
      <c r="AM72" s="116"/>
      <c r="AN72" s="184">
        <v>1.0</v>
      </c>
      <c r="AO72" s="179"/>
      <c r="AP72" s="184">
        <v>1.0</v>
      </c>
      <c r="AQ72" s="116"/>
      <c r="AR72" s="116"/>
      <c r="AS72" s="166"/>
      <c r="AT72" s="116"/>
      <c r="AU72" s="138">
        <v>1.0</v>
      </c>
      <c r="AV72" s="116"/>
      <c r="AW72" s="179"/>
      <c r="AX72" s="116"/>
      <c r="AY72" s="116"/>
      <c r="AZ72" s="180"/>
      <c r="BA72" s="180"/>
      <c r="BB72" s="138">
        <v>1.0</v>
      </c>
      <c r="BC72" s="138">
        <v>1.0</v>
      </c>
      <c r="BD72" s="194"/>
      <c r="BE72" s="194"/>
      <c r="BF72" s="194"/>
      <c r="BG72" s="139">
        <f t="shared" si="17"/>
        <v>5</v>
      </c>
      <c r="BH72" s="208">
        <f t="shared" si="18"/>
        <v>41.66666667</v>
      </c>
      <c r="BI72" s="116"/>
      <c r="BJ72" s="138">
        <v>1.0</v>
      </c>
      <c r="BK72" s="180"/>
      <c r="BL72" s="138">
        <v>1.0</v>
      </c>
      <c r="BM72" s="116"/>
      <c r="BN72" s="116"/>
      <c r="BO72" s="116"/>
      <c r="BP72" s="116"/>
      <c r="BQ72" s="116"/>
      <c r="BR72" s="166"/>
      <c r="BS72" s="138">
        <v>1.0</v>
      </c>
      <c r="BT72" s="138">
        <v>1.0</v>
      </c>
      <c r="BV72" s="116"/>
      <c r="BW72" s="198"/>
      <c r="BX72" s="116"/>
      <c r="BY72" s="116"/>
      <c r="BZ72" s="196">
        <v>1.0</v>
      </c>
      <c r="CA72" s="138"/>
      <c r="CB72" s="165"/>
      <c r="CC72" s="165"/>
      <c r="CD72" s="165"/>
      <c r="CE72" s="124">
        <f t="shared" si="19"/>
        <v>5</v>
      </c>
      <c r="CF72" s="173">
        <f t="shared" si="20"/>
        <v>38.46153846</v>
      </c>
      <c r="CG72" s="138">
        <v>1.0</v>
      </c>
      <c r="CH72" s="116"/>
      <c r="CI72" s="186"/>
      <c r="CJ72" s="116"/>
      <c r="CK72" s="116"/>
      <c r="CL72" s="186"/>
      <c r="CM72" s="223"/>
      <c r="CN72" s="223"/>
      <c r="CO72" s="116"/>
      <c r="CP72" s="166"/>
      <c r="CQ72" s="213"/>
      <c r="CR72" s="213"/>
      <c r="CS72" s="213"/>
      <c r="CT72" s="213"/>
      <c r="CU72" s="116"/>
      <c r="CV72" s="213"/>
      <c r="CW72" s="128">
        <f t="shared" si="21"/>
        <v>1</v>
      </c>
      <c r="CX72" s="214">
        <f t="shared" si="22"/>
        <v>50</v>
      </c>
      <c r="CY72" s="171"/>
      <c r="CZ72" s="171"/>
      <c r="DA72" s="171"/>
      <c r="DB72" s="171"/>
      <c r="DC72" s="171"/>
      <c r="DD72" s="171"/>
      <c r="DE72" s="171"/>
      <c r="DF72" s="171"/>
      <c r="DG72" s="171"/>
      <c r="DH72" s="171"/>
      <c r="DI72" s="171"/>
      <c r="DJ72" s="171"/>
      <c r="DK72" s="128">
        <f t="shared" si="23"/>
        <v>0</v>
      </c>
      <c r="DL72" s="158" t="str">
        <f t="shared" si="24"/>
        <v>#DIV/0!</v>
      </c>
    </row>
    <row r="73" ht="15.75" customHeight="1">
      <c r="A73" s="50">
        <v>64.0</v>
      </c>
      <c r="B73" s="111" t="s">
        <v>179</v>
      </c>
      <c r="C73" s="112" t="s">
        <v>180</v>
      </c>
      <c r="D73" s="98">
        <f t="shared" si="9"/>
        <v>22</v>
      </c>
      <c r="E73" s="130">
        <f t="shared" si="10"/>
        <v>50</v>
      </c>
      <c r="F73" s="92" t="str">
        <f t="shared" si="11"/>
        <v>  </v>
      </c>
      <c r="G73" s="149" t="str">
        <f t="shared" si="12"/>
        <v>  </v>
      </c>
      <c r="H73" s="254"/>
      <c r="I73" s="254"/>
      <c r="J73" s="254"/>
      <c r="K73" s="254"/>
      <c r="L73" s="257"/>
      <c r="M73" s="139">
        <f t="shared" si="13"/>
        <v>0</v>
      </c>
      <c r="N73" s="140">
        <f t="shared" si="14"/>
        <v>0</v>
      </c>
      <c r="O73" s="116"/>
      <c r="P73" s="116"/>
      <c r="Q73" s="116"/>
      <c r="R73" s="179"/>
      <c r="S73" s="116"/>
      <c r="T73" s="116"/>
      <c r="U73" s="116"/>
      <c r="V73" s="179"/>
      <c r="W73" s="138">
        <v>1.0</v>
      </c>
      <c r="X73" s="138">
        <v>1.0</v>
      </c>
      <c r="Y73" s="184">
        <v>1.0</v>
      </c>
      <c r="Z73" s="185"/>
      <c r="AA73" s="187">
        <v>1.0</v>
      </c>
      <c r="AB73" s="138">
        <v>1.0</v>
      </c>
      <c r="AC73" s="184">
        <v>1.0</v>
      </c>
      <c r="AD73" s="182">
        <v>1.0</v>
      </c>
      <c r="AE73" s="176"/>
      <c r="AF73" s="176"/>
      <c r="AG73" s="176"/>
      <c r="AH73" s="176"/>
      <c r="AI73" s="176"/>
      <c r="AJ73" s="139">
        <f t="shared" si="15"/>
        <v>7</v>
      </c>
      <c r="AK73" s="205">
        <f t="shared" si="16"/>
        <v>53.84615385</v>
      </c>
      <c r="AL73" s="222"/>
      <c r="AM73" s="116"/>
      <c r="AN73" s="179"/>
      <c r="AO73" s="116"/>
      <c r="AP73" s="138">
        <v>1.0</v>
      </c>
      <c r="AQ73" s="116"/>
      <c r="AR73" s="116"/>
      <c r="AS73" s="166"/>
      <c r="AT73" s="116"/>
      <c r="AU73" s="116"/>
      <c r="AV73" s="116"/>
      <c r="AW73" s="179"/>
      <c r="AX73" s="116"/>
      <c r="AY73" s="116"/>
      <c r="AZ73" s="116"/>
      <c r="BA73" s="180"/>
      <c r="BB73" s="138">
        <v>1.0</v>
      </c>
      <c r="BC73" s="138">
        <v>1.0</v>
      </c>
      <c r="BD73" s="188">
        <v>1.0</v>
      </c>
      <c r="BE73" s="188">
        <v>1.0</v>
      </c>
      <c r="BF73" s="194"/>
      <c r="BG73" s="139">
        <f t="shared" si="17"/>
        <v>5</v>
      </c>
      <c r="BH73" s="208">
        <f t="shared" si="18"/>
        <v>41.66666667</v>
      </c>
      <c r="BI73" s="138">
        <v>1.0</v>
      </c>
      <c r="BJ73" s="138">
        <v>1.0</v>
      </c>
      <c r="BK73" s="180"/>
      <c r="BL73" s="116"/>
      <c r="BM73" s="116"/>
      <c r="BN73" s="116"/>
      <c r="BO73" s="138">
        <v>1.0</v>
      </c>
      <c r="BP73" s="138">
        <v>1.0</v>
      </c>
      <c r="BQ73" s="116"/>
      <c r="BR73" s="116"/>
      <c r="BS73" s="196">
        <v>1.0</v>
      </c>
      <c r="BT73" s="116"/>
      <c r="BV73" s="116"/>
      <c r="BW73" s="198"/>
      <c r="BX73" s="138">
        <v>1.0</v>
      </c>
      <c r="BY73" s="116"/>
      <c r="BZ73" s="196">
        <v>1.0</v>
      </c>
      <c r="CA73" s="138">
        <v>1.0</v>
      </c>
      <c r="CB73" s="116"/>
      <c r="CC73" s="165"/>
      <c r="CD73" s="165"/>
      <c r="CE73" s="124">
        <f t="shared" si="19"/>
        <v>8</v>
      </c>
      <c r="CF73" s="173">
        <f t="shared" si="20"/>
        <v>61.53846154</v>
      </c>
      <c r="CG73" s="138">
        <v>1.0</v>
      </c>
      <c r="CH73" s="138">
        <v>1.0</v>
      </c>
      <c r="CI73" s="116"/>
      <c r="CJ73" s="116"/>
      <c r="CK73" s="116"/>
      <c r="CL73" s="186"/>
      <c r="CM73" s="116"/>
      <c r="CN73" s="116"/>
      <c r="CO73" s="116"/>
      <c r="CP73" s="166"/>
      <c r="CQ73" s="213"/>
      <c r="CR73" s="213"/>
      <c r="CS73" s="116"/>
      <c r="CT73" s="116"/>
      <c r="CU73" s="116"/>
      <c r="CV73" s="213"/>
      <c r="CW73" s="128">
        <f t="shared" si="21"/>
        <v>2</v>
      </c>
      <c r="CX73" s="214">
        <f t="shared" si="22"/>
        <v>100</v>
      </c>
      <c r="CY73" s="171"/>
      <c r="CZ73" s="171"/>
      <c r="DA73" s="171"/>
      <c r="DB73" s="171"/>
      <c r="DC73" s="171"/>
      <c r="DD73" s="171"/>
      <c r="DE73" s="171"/>
      <c r="DF73" s="171"/>
      <c r="DG73" s="171"/>
      <c r="DH73" s="171"/>
      <c r="DI73" s="171"/>
      <c r="DJ73" s="171"/>
      <c r="DK73" s="128">
        <f t="shared" si="23"/>
        <v>0</v>
      </c>
      <c r="DL73" s="158" t="str">
        <f t="shared" si="24"/>
        <v>#DIV/0!</v>
      </c>
    </row>
    <row r="74" ht="15.75" customHeight="1">
      <c r="A74" s="131">
        <v>65.0</v>
      </c>
      <c r="B74" s="111" t="s">
        <v>181</v>
      </c>
      <c r="C74" s="112" t="s">
        <v>182</v>
      </c>
      <c r="D74" s="98">
        <f t="shared" si="9"/>
        <v>23</v>
      </c>
      <c r="E74" s="130">
        <f t="shared" si="10"/>
        <v>52.27272727</v>
      </c>
      <c r="F74" s="114" t="str">
        <f t="shared" si="11"/>
        <v>  </v>
      </c>
      <c r="G74" s="149" t="str">
        <f t="shared" si="12"/>
        <v>  </v>
      </c>
      <c r="H74" s="254"/>
      <c r="I74" s="254"/>
      <c r="J74" s="254"/>
      <c r="K74" s="254"/>
      <c r="L74" s="257"/>
      <c r="M74" s="139">
        <f t="shared" si="13"/>
        <v>0</v>
      </c>
      <c r="N74" s="140">
        <f t="shared" si="14"/>
        <v>0</v>
      </c>
      <c r="O74" s="116"/>
      <c r="P74" s="116"/>
      <c r="Q74" s="116"/>
      <c r="R74" s="179"/>
      <c r="S74" s="116"/>
      <c r="T74" s="116"/>
      <c r="U74" s="116"/>
      <c r="V74" s="179"/>
      <c r="W74" s="116"/>
      <c r="X74" s="138">
        <v>1.0</v>
      </c>
      <c r="Y74" s="184">
        <v>1.0</v>
      </c>
      <c r="Z74" s="185"/>
      <c r="AA74" s="187">
        <v>1.0</v>
      </c>
      <c r="AB74" s="138">
        <v>1.0</v>
      </c>
      <c r="AC74" s="184">
        <v>1.0</v>
      </c>
      <c r="AD74" s="138">
        <v>1.0</v>
      </c>
      <c r="AE74" s="176"/>
      <c r="AF74" s="182">
        <v>1.0</v>
      </c>
      <c r="AG74" s="176"/>
      <c r="AH74" s="138">
        <v>1.0</v>
      </c>
      <c r="AI74" s="138">
        <v>1.0</v>
      </c>
      <c r="AJ74" s="139">
        <f t="shared" si="15"/>
        <v>9</v>
      </c>
      <c r="AK74" s="205">
        <f t="shared" si="16"/>
        <v>69.23076923</v>
      </c>
      <c r="AL74" s="116"/>
      <c r="AM74" s="116"/>
      <c r="AN74" s="184">
        <v>1.0</v>
      </c>
      <c r="AO74" s="116"/>
      <c r="AP74" s="138">
        <v>1.0</v>
      </c>
      <c r="AQ74" s="116"/>
      <c r="AR74" s="138">
        <v>1.0</v>
      </c>
      <c r="AS74" s="166"/>
      <c r="AT74" s="116"/>
      <c r="AU74" s="138">
        <v>1.0</v>
      </c>
      <c r="AV74" s="116"/>
      <c r="AW74" s="179"/>
      <c r="AX74" s="116"/>
      <c r="AY74" s="116"/>
      <c r="AZ74" s="116"/>
      <c r="BA74" s="180"/>
      <c r="BB74" s="138">
        <v>1.0</v>
      </c>
      <c r="BC74" s="138">
        <v>1.0</v>
      </c>
      <c r="BD74" s="194"/>
      <c r="BE74" s="194"/>
      <c r="BF74" s="194"/>
      <c r="BG74" s="139">
        <f t="shared" si="17"/>
        <v>6</v>
      </c>
      <c r="BH74" s="208">
        <f t="shared" si="18"/>
        <v>50</v>
      </c>
      <c r="BI74" s="116"/>
      <c r="BJ74" s="116"/>
      <c r="BK74" s="180"/>
      <c r="BL74" s="138">
        <v>1.0</v>
      </c>
      <c r="BM74" s="116"/>
      <c r="BN74" s="116"/>
      <c r="BO74" s="116"/>
      <c r="BP74" s="116"/>
      <c r="BQ74" s="116"/>
      <c r="BR74" s="166"/>
      <c r="BS74" s="116"/>
      <c r="BT74" s="138">
        <v>1.0</v>
      </c>
      <c r="BV74" s="116"/>
      <c r="BW74" s="198"/>
      <c r="BX74" s="138">
        <v>1.0</v>
      </c>
      <c r="BY74" s="138">
        <v>1.0</v>
      </c>
      <c r="BZ74" s="196">
        <v>1.0</v>
      </c>
      <c r="CA74" s="138">
        <v>1.0</v>
      </c>
      <c r="CB74" s="165"/>
      <c r="CC74" s="165"/>
      <c r="CD74" s="165"/>
      <c r="CE74" s="124">
        <f t="shared" si="19"/>
        <v>6</v>
      </c>
      <c r="CF74" s="173">
        <f t="shared" si="20"/>
        <v>46.15384615</v>
      </c>
      <c r="CG74" s="184">
        <v>1.0</v>
      </c>
      <c r="CH74" s="116"/>
      <c r="CI74" s="200">
        <v>1.0</v>
      </c>
      <c r="CJ74" s="116"/>
      <c r="CK74" s="116"/>
      <c r="CL74" s="186"/>
      <c r="CM74" s="116"/>
      <c r="CN74" s="223"/>
      <c r="CO74" s="116"/>
      <c r="CP74" s="166"/>
      <c r="CQ74" s="213"/>
      <c r="CR74" s="213"/>
      <c r="CS74" s="213"/>
      <c r="CT74" s="213"/>
      <c r="CU74" s="116"/>
      <c r="CV74" s="213"/>
      <c r="CW74" s="128">
        <f t="shared" si="21"/>
        <v>2</v>
      </c>
      <c r="CX74" s="214">
        <f t="shared" si="22"/>
        <v>100</v>
      </c>
      <c r="CY74" s="171"/>
      <c r="CZ74" s="171"/>
      <c r="DA74" s="171"/>
      <c r="DB74" s="171"/>
      <c r="DC74" s="171"/>
      <c r="DD74" s="171"/>
      <c r="DE74" s="171"/>
      <c r="DF74" s="171"/>
      <c r="DG74" s="171"/>
      <c r="DH74" s="171"/>
      <c r="DI74" s="171"/>
      <c r="DJ74" s="171"/>
      <c r="DK74" s="128">
        <f t="shared" si="23"/>
        <v>0</v>
      </c>
      <c r="DL74" s="158" t="str">
        <f t="shared" si="24"/>
        <v>#DIV/0!</v>
      </c>
    </row>
    <row r="75" ht="15.75" customHeight="1">
      <c r="A75" s="146">
        <v>66.0</v>
      </c>
      <c r="B75" s="111" t="s">
        <v>183</v>
      </c>
      <c r="C75" s="112" t="s">
        <v>184</v>
      </c>
      <c r="D75" s="98">
        <f t="shared" si="9"/>
        <v>6</v>
      </c>
      <c r="E75" s="130">
        <f t="shared" si="10"/>
        <v>13.63636364</v>
      </c>
      <c r="F75" s="114">
        <f t="shared" si="11"/>
        <v>13.63636364</v>
      </c>
      <c r="G75" s="226">
        <f t="shared" si="12"/>
        <v>13.63636364</v>
      </c>
      <c r="H75" s="254"/>
      <c r="I75" s="254"/>
      <c r="J75" s="254"/>
      <c r="K75" s="254"/>
      <c r="L75" s="257"/>
      <c r="M75" s="139">
        <f t="shared" si="13"/>
        <v>0</v>
      </c>
      <c r="N75" s="140">
        <f t="shared" si="14"/>
        <v>0</v>
      </c>
      <c r="O75" s="116"/>
      <c r="P75" s="116"/>
      <c r="Q75" s="180"/>
      <c r="R75" s="179"/>
      <c r="S75" s="179"/>
      <c r="T75" s="116"/>
      <c r="U75" s="116"/>
      <c r="V75" s="179"/>
      <c r="W75" s="116"/>
      <c r="X75" s="116"/>
      <c r="Y75" s="179"/>
      <c r="Z75" s="185"/>
      <c r="AA75" s="187">
        <v>1.0</v>
      </c>
      <c r="AB75" s="138"/>
      <c r="AC75" s="179"/>
      <c r="AD75" s="176"/>
      <c r="AE75" s="176"/>
      <c r="AF75" s="182">
        <v>1.0</v>
      </c>
      <c r="AG75" s="176"/>
      <c r="AH75" s="176"/>
      <c r="AI75" s="116"/>
      <c r="AJ75" s="139">
        <f t="shared" si="15"/>
        <v>2</v>
      </c>
      <c r="AK75" s="205">
        <f t="shared" si="16"/>
        <v>15.38461538</v>
      </c>
      <c r="AL75" s="222"/>
      <c r="AM75" s="116"/>
      <c r="AN75" s="184">
        <v>1.0</v>
      </c>
      <c r="AO75" s="184">
        <v>1.0</v>
      </c>
      <c r="AP75" s="184">
        <v>1.0</v>
      </c>
      <c r="AQ75" s="116"/>
      <c r="AR75" s="116"/>
      <c r="AS75" s="166"/>
      <c r="AT75" s="116"/>
      <c r="AU75" s="116"/>
      <c r="AV75" s="116"/>
      <c r="AW75" s="179"/>
      <c r="AX75" s="116"/>
      <c r="AY75" s="116"/>
      <c r="AZ75" s="180"/>
      <c r="BA75" s="180"/>
      <c r="BB75" s="204"/>
      <c r="BC75" s="218">
        <v>1.0</v>
      </c>
      <c r="BD75" s="181"/>
      <c r="BE75" s="181"/>
      <c r="BF75" s="181"/>
      <c r="BG75" s="139">
        <f t="shared" si="17"/>
        <v>4</v>
      </c>
      <c r="BH75" s="208">
        <f t="shared" si="18"/>
        <v>33.33333333</v>
      </c>
      <c r="BI75" s="116"/>
      <c r="BJ75" s="116"/>
      <c r="BK75" s="180"/>
      <c r="BL75" s="116"/>
      <c r="BM75" s="116"/>
      <c r="BN75" s="116"/>
      <c r="BO75" s="116"/>
      <c r="BP75" s="116"/>
      <c r="BQ75" s="116"/>
      <c r="BR75" s="166"/>
      <c r="BS75" s="165"/>
      <c r="BT75" s="185"/>
      <c r="BU75" s="43"/>
      <c r="BV75" s="43"/>
      <c r="BW75" s="198"/>
      <c r="BX75" s="43"/>
      <c r="BY75" s="116"/>
      <c r="BZ75" s="165"/>
      <c r="CA75" s="196"/>
      <c r="CB75" s="165"/>
      <c r="CC75" s="165"/>
      <c r="CD75" s="165"/>
      <c r="CE75" s="124">
        <f t="shared" si="19"/>
        <v>0</v>
      </c>
      <c r="CF75" s="173">
        <f t="shared" si="20"/>
        <v>0</v>
      </c>
      <c r="CG75" s="179"/>
      <c r="CH75" s="238"/>
      <c r="CI75" s="186"/>
      <c r="CJ75" s="116"/>
      <c r="CK75" s="231"/>
      <c r="CL75" s="186"/>
      <c r="CM75" s="223"/>
      <c r="CN75" s="223"/>
      <c r="CO75" s="223"/>
      <c r="CP75" s="166"/>
      <c r="CQ75" s="213"/>
      <c r="CR75" s="213"/>
      <c r="CS75" s="213"/>
      <c r="CT75" s="116"/>
      <c r="CU75" s="116"/>
      <c r="CV75" s="213"/>
      <c r="CW75" s="128">
        <f t="shared" si="21"/>
        <v>0</v>
      </c>
      <c r="CX75" s="214">
        <f t="shared" si="22"/>
        <v>0</v>
      </c>
      <c r="CY75" s="171"/>
      <c r="CZ75" s="171"/>
      <c r="DA75" s="171"/>
      <c r="DB75" s="171"/>
      <c r="DC75" s="171"/>
      <c r="DD75" s="171"/>
      <c r="DE75" s="171"/>
      <c r="DF75" s="171"/>
      <c r="DG75" s="171"/>
      <c r="DH75" s="171"/>
      <c r="DI75" s="171"/>
      <c r="DJ75" s="171"/>
      <c r="DK75" s="128">
        <f t="shared" si="23"/>
        <v>0</v>
      </c>
      <c r="DL75" s="158" t="str">
        <f t="shared" si="24"/>
        <v>#DIV/0!</v>
      </c>
    </row>
    <row r="76" ht="15.75" customHeight="1">
      <c r="A76" s="50">
        <v>67.0</v>
      </c>
      <c r="B76" s="111" t="s">
        <v>185</v>
      </c>
      <c r="C76" s="112" t="s">
        <v>186</v>
      </c>
      <c r="D76" s="98">
        <f t="shared" si="9"/>
        <v>19</v>
      </c>
      <c r="E76" s="130">
        <f t="shared" si="10"/>
        <v>43.18181818</v>
      </c>
      <c r="F76" s="114">
        <f t="shared" si="11"/>
        <v>43.18181818</v>
      </c>
      <c r="G76" s="226" t="str">
        <f t="shared" si="12"/>
        <v>  </v>
      </c>
      <c r="H76" s="265"/>
      <c r="I76" s="265"/>
      <c r="J76" s="265"/>
      <c r="K76" s="265"/>
      <c r="L76" s="266"/>
      <c r="M76" s="139">
        <f t="shared" si="13"/>
        <v>0</v>
      </c>
      <c r="N76" s="140">
        <f t="shared" si="14"/>
        <v>0</v>
      </c>
      <c r="O76" s="116"/>
      <c r="P76" s="116"/>
      <c r="Q76" s="180"/>
      <c r="R76" s="179"/>
      <c r="S76" s="116"/>
      <c r="T76" s="116"/>
      <c r="U76" s="116"/>
      <c r="V76" s="179"/>
      <c r="W76" s="138">
        <v>1.0</v>
      </c>
      <c r="X76" s="138">
        <v>1.0</v>
      </c>
      <c r="Y76" s="184">
        <v>1.0</v>
      </c>
      <c r="Z76" s="185"/>
      <c r="AA76" s="187">
        <v>1.0</v>
      </c>
      <c r="AB76" s="138">
        <v>1.0</v>
      </c>
      <c r="AC76" s="179"/>
      <c r="AD76" s="116"/>
      <c r="AE76" s="116"/>
      <c r="AF76" s="176"/>
      <c r="AG76" s="176"/>
      <c r="AH76" s="182">
        <v>1.0</v>
      </c>
      <c r="AI76" s="116"/>
      <c r="AJ76" s="139">
        <f t="shared" si="15"/>
        <v>6</v>
      </c>
      <c r="AK76" s="205">
        <f t="shared" si="16"/>
        <v>46.15384615</v>
      </c>
      <c r="AL76" s="222"/>
      <c r="AM76" s="138">
        <v>1.0</v>
      </c>
      <c r="AN76" s="184">
        <v>1.0</v>
      </c>
      <c r="AO76" s="116"/>
      <c r="AP76" s="184"/>
      <c r="AQ76" s="116"/>
      <c r="AR76" s="116"/>
      <c r="AS76" s="166"/>
      <c r="AT76" s="116"/>
      <c r="AU76" s="138">
        <v>1.0</v>
      </c>
      <c r="AV76" s="116"/>
      <c r="AW76" s="179"/>
      <c r="AX76" s="116"/>
      <c r="AY76" s="116"/>
      <c r="AZ76" s="180"/>
      <c r="BA76" s="180"/>
      <c r="BB76" s="116"/>
      <c r="BC76" s="218">
        <v>1.0</v>
      </c>
      <c r="BD76" s="181"/>
      <c r="BE76" s="181"/>
      <c r="BF76" s="181"/>
      <c r="BG76" s="139">
        <f t="shared" si="17"/>
        <v>4</v>
      </c>
      <c r="BH76" s="208">
        <f t="shared" si="18"/>
        <v>33.33333333</v>
      </c>
      <c r="BI76" s="138">
        <v>1.0</v>
      </c>
      <c r="BJ76" s="138">
        <v>1.0</v>
      </c>
      <c r="BK76" s="180"/>
      <c r="BL76" s="138">
        <v>1.0</v>
      </c>
      <c r="BM76" s="116"/>
      <c r="BN76" s="116"/>
      <c r="BO76" s="138">
        <v>1.0</v>
      </c>
      <c r="BP76" s="138">
        <v>1.0</v>
      </c>
      <c r="BQ76" s="211"/>
      <c r="BR76" s="166"/>
      <c r="BS76" s="196">
        <v>1.0</v>
      </c>
      <c r="BT76" s="116"/>
      <c r="BU76" s="43"/>
      <c r="BV76" s="43"/>
      <c r="BW76" s="198"/>
      <c r="BX76" s="116"/>
      <c r="BY76" s="116"/>
      <c r="BZ76" s="196">
        <v>1.0</v>
      </c>
      <c r="CA76" s="138">
        <v>1.0</v>
      </c>
      <c r="CB76" s="165"/>
      <c r="CC76" s="165"/>
      <c r="CD76" s="165"/>
      <c r="CE76" s="124">
        <f t="shared" si="19"/>
        <v>8</v>
      </c>
      <c r="CF76" s="173">
        <f t="shared" si="20"/>
        <v>61.53846154</v>
      </c>
      <c r="CG76" s="138">
        <v>1.0</v>
      </c>
      <c r="CH76" s="116"/>
      <c r="CI76" s="186"/>
      <c r="CJ76" s="116"/>
      <c r="CK76" s="116"/>
      <c r="CL76" s="186"/>
      <c r="CM76" s="223"/>
      <c r="CN76" s="116"/>
      <c r="CO76" s="116"/>
      <c r="CP76" s="166"/>
      <c r="CQ76" s="213"/>
      <c r="CR76" s="213"/>
      <c r="CS76" s="116"/>
      <c r="CT76" s="116"/>
      <c r="CU76" s="116"/>
      <c r="CV76" s="213"/>
      <c r="CW76" s="128">
        <f t="shared" si="21"/>
        <v>1</v>
      </c>
      <c r="CX76" s="214">
        <f t="shared" si="22"/>
        <v>50</v>
      </c>
      <c r="CY76" s="171"/>
      <c r="CZ76" s="171"/>
      <c r="DA76" s="171"/>
      <c r="DB76" s="171"/>
      <c r="DC76" s="171"/>
      <c r="DD76" s="171"/>
      <c r="DE76" s="171"/>
      <c r="DF76" s="171"/>
      <c r="DG76" s="171"/>
      <c r="DH76" s="171"/>
      <c r="DI76" s="171"/>
      <c r="DJ76" s="171"/>
      <c r="DK76" s="128">
        <f t="shared" si="23"/>
        <v>0</v>
      </c>
      <c r="DL76" s="158" t="str">
        <f t="shared" si="24"/>
        <v>#DIV/0!</v>
      </c>
    </row>
    <row r="77" ht="15.75" customHeight="1">
      <c r="A77" s="131">
        <v>68.0</v>
      </c>
      <c r="B77" s="161" t="s">
        <v>187</v>
      </c>
      <c r="C77" s="162" t="s">
        <v>188</v>
      </c>
      <c r="D77" s="98">
        <f t="shared" si="9"/>
        <v>16</v>
      </c>
      <c r="E77" s="130">
        <f t="shared" si="10"/>
        <v>36.36363636</v>
      </c>
      <c r="F77" s="114">
        <f t="shared" si="11"/>
        <v>36.36363636</v>
      </c>
      <c r="G77" s="149" t="str">
        <f t="shared" si="12"/>
        <v>  </v>
      </c>
      <c r="H77" s="265"/>
      <c r="I77" s="265"/>
      <c r="J77" s="267"/>
      <c r="K77" s="267"/>
      <c r="L77" s="268"/>
      <c r="M77" s="139">
        <f t="shared" si="13"/>
        <v>0</v>
      </c>
      <c r="N77" s="140">
        <f t="shared" si="14"/>
        <v>0</v>
      </c>
      <c r="O77" s="116"/>
      <c r="P77" s="116"/>
      <c r="Q77" s="180"/>
      <c r="R77" s="179"/>
      <c r="S77" s="179"/>
      <c r="T77" s="116"/>
      <c r="U77" s="116"/>
      <c r="V77" s="179"/>
      <c r="W77" s="116"/>
      <c r="X77" s="116"/>
      <c r="Y77" s="179"/>
      <c r="Z77" s="185"/>
      <c r="AA77" s="187"/>
      <c r="AB77" s="138">
        <v>1.0</v>
      </c>
      <c r="AC77" s="184">
        <v>1.0</v>
      </c>
      <c r="AD77" s="182">
        <v>1.0</v>
      </c>
      <c r="AE77" s="116"/>
      <c r="AF77" s="182">
        <v>1.0</v>
      </c>
      <c r="AG77" s="176"/>
      <c r="AH77" s="176"/>
      <c r="AI77" s="176"/>
      <c r="AJ77" s="139">
        <f t="shared" si="15"/>
        <v>4</v>
      </c>
      <c r="AK77" s="205">
        <f t="shared" si="16"/>
        <v>30.76923077</v>
      </c>
      <c r="AL77" s="222"/>
      <c r="AM77" s="116"/>
      <c r="AN77" s="179"/>
      <c r="AO77" s="116"/>
      <c r="AP77" s="138">
        <v>1.0</v>
      </c>
      <c r="AQ77" s="116"/>
      <c r="AR77" s="116"/>
      <c r="AS77" s="191">
        <v>1.0</v>
      </c>
      <c r="AT77" s="138">
        <v>1.0</v>
      </c>
      <c r="AU77" s="116"/>
      <c r="AV77" s="116"/>
      <c r="AW77" s="179"/>
      <c r="AX77" s="116"/>
      <c r="AY77" s="116"/>
      <c r="AZ77" s="180"/>
      <c r="BA77" s="180"/>
      <c r="BB77" s="204"/>
      <c r="BC77" s="204"/>
      <c r="BD77" s="181"/>
      <c r="BE77" s="181"/>
      <c r="BF77" s="181"/>
      <c r="BG77" s="139">
        <f t="shared" si="17"/>
        <v>3</v>
      </c>
      <c r="BH77" s="208">
        <f t="shared" si="18"/>
        <v>25</v>
      </c>
      <c r="BI77" s="116"/>
      <c r="BJ77" s="138">
        <v>1.0</v>
      </c>
      <c r="BK77" s="180"/>
      <c r="BL77" s="116"/>
      <c r="BM77" s="116"/>
      <c r="BN77" s="116"/>
      <c r="BO77" s="138">
        <v>1.0</v>
      </c>
      <c r="BP77" s="138">
        <v>1.0</v>
      </c>
      <c r="BQ77" s="211"/>
      <c r="BR77" s="166"/>
      <c r="BS77" s="116"/>
      <c r="BT77" s="138">
        <v>1.0</v>
      </c>
      <c r="BU77" s="43"/>
      <c r="BV77" s="43"/>
      <c r="BW77" s="198"/>
      <c r="BX77" s="43"/>
      <c r="BY77" s="138">
        <v>1.0</v>
      </c>
      <c r="BZ77" s="196">
        <v>1.0</v>
      </c>
      <c r="CA77" s="196">
        <v>1.0</v>
      </c>
      <c r="CB77" s="116"/>
      <c r="CC77" s="165"/>
      <c r="CD77" s="165"/>
      <c r="CE77" s="124">
        <f t="shared" si="19"/>
        <v>7</v>
      </c>
      <c r="CF77" s="173">
        <f t="shared" si="20"/>
        <v>53.84615385</v>
      </c>
      <c r="CG77" s="184">
        <v>1.0</v>
      </c>
      <c r="CH77" s="230">
        <v>1.0</v>
      </c>
      <c r="CI77" s="186"/>
      <c r="CJ77" s="186"/>
      <c r="CK77" s="116"/>
      <c r="CL77" s="186"/>
      <c r="CM77" s="223"/>
      <c r="CN77" s="223"/>
      <c r="CO77" s="116"/>
      <c r="CP77" s="116"/>
      <c r="CQ77" s="165"/>
      <c r="CR77" s="165"/>
      <c r="CS77" s="165"/>
      <c r="CT77" s="116"/>
      <c r="CU77" s="165"/>
      <c r="CV77" s="165"/>
      <c r="CW77" s="128">
        <f t="shared" si="21"/>
        <v>2</v>
      </c>
      <c r="CX77" s="214">
        <f t="shared" si="22"/>
        <v>100</v>
      </c>
      <c r="CY77" s="171"/>
      <c r="CZ77" s="171"/>
      <c r="DA77" s="171"/>
      <c r="DB77" s="171"/>
      <c r="DC77" s="171"/>
      <c r="DD77" s="171"/>
      <c r="DE77" s="171"/>
      <c r="DF77" s="171"/>
      <c r="DG77" s="171"/>
      <c r="DH77" s="171"/>
      <c r="DI77" s="171"/>
      <c r="DJ77" s="171"/>
      <c r="DK77" s="128">
        <f t="shared" si="23"/>
        <v>0</v>
      </c>
      <c r="DL77" s="158" t="str">
        <f t="shared" si="24"/>
        <v>#DIV/0!</v>
      </c>
    </row>
    <row r="78" ht="15.75" customHeight="1">
      <c r="A78" s="146">
        <v>69.0</v>
      </c>
      <c r="B78" s="161" t="s">
        <v>189</v>
      </c>
      <c r="C78" s="162" t="s">
        <v>190</v>
      </c>
      <c r="D78" s="98">
        <f t="shared" si="9"/>
        <v>13</v>
      </c>
      <c r="E78" s="130">
        <f t="shared" si="10"/>
        <v>29.54545455</v>
      </c>
      <c r="F78" s="114">
        <f t="shared" si="11"/>
        <v>29.54545455</v>
      </c>
      <c r="G78" s="226">
        <f t="shared" si="12"/>
        <v>29.54545455</v>
      </c>
      <c r="H78" s="265"/>
      <c r="I78" s="265"/>
      <c r="J78" s="265"/>
      <c r="K78" s="265"/>
      <c r="L78" s="266"/>
      <c r="M78" s="139">
        <f t="shared" si="13"/>
        <v>0</v>
      </c>
      <c r="N78" s="140">
        <f t="shared" si="14"/>
        <v>0</v>
      </c>
      <c r="O78" s="116"/>
      <c r="P78" s="116"/>
      <c r="Q78" s="180"/>
      <c r="R78" s="179"/>
      <c r="S78" s="116"/>
      <c r="T78" s="116"/>
      <c r="U78" s="116"/>
      <c r="V78" s="179"/>
      <c r="W78" s="116"/>
      <c r="X78" s="116"/>
      <c r="Y78" s="179"/>
      <c r="Z78" s="185"/>
      <c r="AA78" s="217"/>
      <c r="AB78" s="138"/>
      <c r="AC78" s="184">
        <v>1.0</v>
      </c>
      <c r="AD78" s="116"/>
      <c r="AE78" s="176"/>
      <c r="AF78" s="176"/>
      <c r="AG78" s="176"/>
      <c r="AH78" s="182">
        <v>1.0</v>
      </c>
      <c r="AI78" s="182">
        <v>1.0</v>
      </c>
      <c r="AJ78" s="139">
        <f t="shared" si="15"/>
        <v>3</v>
      </c>
      <c r="AK78" s="205">
        <f t="shared" si="16"/>
        <v>23.07692308</v>
      </c>
      <c r="AL78" s="222"/>
      <c r="AM78" s="116"/>
      <c r="AN78" s="179"/>
      <c r="AO78" s="116"/>
      <c r="AP78" s="116"/>
      <c r="AQ78" s="116"/>
      <c r="AR78" s="116"/>
      <c r="AS78" s="191">
        <v>1.0</v>
      </c>
      <c r="AT78" s="138">
        <v>1.0</v>
      </c>
      <c r="AU78" s="138">
        <v>1.0</v>
      </c>
      <c r="AV78" s="116"/>
      <c r="AW78" s="179"/>
      <c r="AX78" s="116"/>
      <c r="AY78" s="116"/>
      <c r="AZ78" s="180"/>
      <c r="BA78" s="180"/>
      <c r="BB78" s="116"/>
      <c r="BC78" s="138">
        <v>1.0</v>
      </c>
      <c r="BD78" s="194"/>
      <c r="BE78" s="194"/>
      <c r="BF78" s="194"/>
      <c r="BG78" s="139">
        <f t="shared" si="17"/>
        <v>4</v>
      </c>
      <c r="BH78" s="208">
        <f t="shared" si="18"/>
        <v>33.33333333</v>
      </c>
      <c r="BI78" s="116"/>
      <c r="BJ78" s="215">
        <v>1.0</v>
      </c>
      <c r="BK78" s="180"/>
      <c r="BL78" s="116"/>
      <c r="BM78" s="116"/>
      <c r="BN78" s="116"/>
      <c r="BO78" s="116"/>
      <c r="BP78" s="116"/>
      <c r="BQ78" s="211"/>
      <c r="BR78" s="166"/>
      <c r="BS78" s="138">
        <v>1.0</v>
      </c>
      <c r="BT78" s="116"/>
      <c r="BU78" s="43"/>
      <c r="BV78" s="43"/>
      <c r="BW78" s="198"/>
      <c r="BX78" s="145">
        <v>1.0</v>
      </c>
      <c r="BY78" s="138">
        <v>1.0</v>
      </c>
      <c r="BZ78" s="196">
        <v>1.0</v>
      </c>
      <c r="CA78" s="165"/>
      <c r="CB78" s="165"/>
      <c r="CC78" s="165"/>
      <c r="CD78" s="165"/>
      <c r="CE78" s="124">
        <f t="shared" si="19"/>
        <v>5</v>
      </c>
      <c r="CF78" s="173">
        <f t="shared" si="20"/>
        <v>38.46153846</v>
      </c>
      <c r="CG78" s="138">
        <v>1.0</v>
      </c>
      <c r="CH78" s="116"/>
      <c r="CI78" s="186"/>
      <c r="CJ78" s="116"/>
      <c r="CK78" s="231"/>
      <c r="CL78" s="186"/>
      <c r="CM78" s="223"/>
      <c r="CN78" s="223"/>
      <c r="CO78" s="223"/>
      <c r="CP78" s="166"/>
      <c r="CQ78" s="213"/>
      <c r="CR78" s="213"/>
      <c r="CS78" s="213"/>
      <c r="CT78" s="213"/>
      <c r="CU78" s="213"/>
      <c r="CV78" s="213"/>
      <c r="CW78" s="128">
        <f t="shared" si="21"/>
        <v>1</v>
      </c>
      <c r="CX78" s="214">
        <f t="shared" si="22"/>
        <v>50</v>
      </c>
      <c r="CY78" s="171"/>
      <c r="CZ78" s="171"/>
      <c r="DA78" s="171"/>
      <c r="DB78" s="171"/>
      <c r="DC78" s="171"/>
      <c r="DD78" s="171"/>
      <c r="DE78" s="171"/>
      <c r="DF78" s="171"/>
      <c r="DG78" s="171"/>
      <c r="DH78" s="171"/>
      <c r="DI78" s="171"/>
      <c r="DJ78" s="171"/>
      <c r="DK78" s="128">
        <f t="shared" si="23"/>
        <v>0</v>
      </c>
      <c r="DL78" s="158" t="str">
        <f t="shared" si="24"/>
        <v>#DIV/0!</v>
      </c>
    </row>
    <row r="79" ht="15.75" customHeight="1">
      <c r="A79" s="50">
        <v>70.0</v>
      </c>
      <c r="B79" s="111" t="s">
        <v>191</v>
      </c>
      <c r="C79" s="112" t="s">
        <v>192</v>
      </c>
      <c r="D79" s="98">
        <f t="shared" si="9"/>
        <v>23</v>
      </c>
      <c r="E79" s="130">
        <f t="shared" si="10"/>
        <v>52.27272727</v>
      </c>
      <c r="F79" s="92" t="str">
        <f t="shared" si="11"/>
        <v>  </v>
      </c>
      <c r="G79" s="149" t="str">
        <f t="shared" si="12"/>
        <v>  </v>
      </c>
      <c r="H79" s="271">
        <v>1.0</v>
      </c>
      <c r="I79" s="265"/>
      <c r="J79" s="269"/>
      <c r="K79" s="265"/>
      <c r="L79" s="266"/>
      <c r="M79" s="139">
        <f t="shared" si="13"/>
        <v>1</v>
      </c>
      <c r="N79" s="140">
        <f t="shared" si="14"/>
        <v>25</v>
      </c>
      <c r="O79" s="116"/>
      <c r="P79" s="116"/>
      <c r="Q79" s="116"/>
      <c r="R79" s="179"/>
      <c r="S79" s="179"/>
      <c r="T79" s="116"/>
      <c r="U79" s="116"/>
      <c r="V79" s="179"/>
      <c r="W79" s="138">
        <v>1.0</v>
      </c>
      <c r="X79" s="138">
        <v>1.0</v>
      </c>
      <c r="Y79" s="184">
        <v>1.0</v>
      </c>
      <c r="Z79" s="185"/>
      <c r="AA79" s="187">
        <v>1.0</v>
      </c>
      <c r="AB79" s="138">
        <v>1.0</v>
      </c>
      <c r="AC79" s="184">
        <v>1.0</v>
      </c>
      <c r="AD79" s="116"/>
      <c r="AE79" s="116"/>
      <c r="AF79" s="182">
        <v>1.0</v>
      </c>
      <c r="AG79" s="182">
        <v>1.0</v>
      </c>
      <c r="AH79" s="116"/>
      <c r="AI79" s="138">
        <v>1.0</v>
      </c>
      <c r="AJ79" s="139">
        <f t="shared" si="15"/>
        <v>9</v>
      </c>
      <c r="AK79" s="205">
        <f t="shared" si="16"/>
        <v>69.23076923</v>
      </c>
      <c r="AL79" s="116"/>
      <c r="AM79" s="138">
        <v>1.0</v>
      </c>
      <c r="AN79" s="184">
        <v>1.0</v>
      </c>
      <c r="AO79" s="138">
        <v>1.0</v>
      </c>
      <c r="AP79" s="179"/>
      <c r="AQ79" s="116"/>
      <c r="AR79" s="116"/>
      <c r="AS79" s="191">
        <v>1.0</v>
      </c>
      <c r="AT79" s="138">
        <v>1.0</v>
      </c>
      <c r="AU79" s="116"/>
      <c r="AV79" s="116"/>
      <c r="AW79" s="179"/>
      <c r="AX79" s="116"/>
      <c r="AY79" s="116"/>
      <c r="AZ79" s="116"/>
      <c r="BA79" s="180"/>
      <c r="BB79" s="218">
        <v>1.0</v>
      </c>
      <c r="BC79" s="204"/>
      <c r="BD79" s="181"/>
      <c r="BE79" s="181"/>
      <c r="BF79" s="181"/>
      <c r="BG79" s="139">
        <f t="shared" si="17"/>
        <v>6</v>
      </c>
      <c r="BH79" s="208">
        <f t="shared" si="18"/>
        <v>50</v>
      </c>
      <c r="BI79" s="138">
        <v>1.0</v>
      </c>
      <c r="BJ79" s="116"/>
      <c r="BK79" s="180"/>
      <c r="BL79" s="138">
        <v>1.0</v>
      </c>
      <c r="BM79" s="116"/>
      <c r="BN79" s="116"/>
      <c r="BO79" s="138">
        <v>1.0</v>
      </c>
      <c r="BP79" s="138">
        <v>1.0</v>
      </c>
      <c r="BQ79" s="116"/>
      <c r="BR79" s="166"/>
      <c r="BS79" s="138">
        <v>1.0</v>
      </c>
      <c r="BT79" s="185"/>
      <c r="BV79" s="116"/>
      <c r="BW79" s="198"/>
      <c r="BX79" s="138">
        <v>1.0</v>
      </c>
      <c r="BY79" s="116"/>
      <c r="BZ79" s="196">
        <v>1.0</v>
      </c>
      <c r="CA79" s="138"/>
      <c r="CB79" s="116"/>
      <c r="CC79" s="165"/>
      <c r="CD79" s="165"/>
      <c r="CE79" s="124">
        <f t="shared" si="19"/>
        <v>7</v>
      </c>
      <c r="CF79" s="173">
        <f t="shared" si="20"/>
        <v>53.84615385</v>
      </c>
      <c r="CG79" s="116"/>
      <c r="CH79" s="116"/>
      <c r="CI79" s="186"/>
      <c r="CJ79" s="186"/>
      <c r="CK79" s="116"/>
      <c r="CL79" s="186"/>
      <c r="CM79" s="116"/>
      <c r="CN79" s="223"/>
      <c r="CO79" s="116"/>
      <c r="CP79" s="166"/>
      <c r="CQ79" s="213"/>
      <c r="CR79" s="213"/>
      <c r="CS79" s="213"/>
      <c r="CT79" s="116"/>
      <c r="CU79" s="116"/>
      <c r="CV79" s="213"/>
      <c r="CW79" s="128">
        <f t="shared" si="21"/>
        <v>0</v>
      </c>
      <c r="CX79" s="214">
        <f t="shared" si="22"/>
        <v>0</v>
      </c>
      <c r="CY79" s="171"/>
      <c r="CZ79" s="171"/>
      <c r="DA79" s="171"/>
      <c r="DB79" s="171"/>
      <c r="DC79" s="171"/>
      <c r="DD79" s="171"/>
      <c r="DE79" s="171"/>
      <c r="DF79" s="171"/>
      <c r="DG79" s="171"/>
      <c r="DH79" s="171"/>
      <c r="DI79" s="171"/>
      <c r="DJ79" s="171"/>
      <c r="DK79" s="128">
        <f t="shared" si="23"/>
        <v>0</v>
      </c>
      <c r="DL79" s="158" t="str">
        <f t="shared" si="24"/>
        <v>#DIV/0!</v>
      </c>
    </row>
    <row r="80" ht="15.75" customHeight="1">
      <c r="A80" s="131">
        <v>71.0</v>
      </c>
      <c r="B80" s="111" t="s">
        <v>193</v>
      </c>
      <c r="C80" s="112" t="s">
        <v>194</v>
      </c>
      <c r="D80" s="98">
        <f t="shared" si="9"/>
        <v>28</v>
      </c>
      <c r="E80" s="130">
        <f t="shared" si="10"/>
        <v>63.63636364</v>
      </c>
      <c r="F80" s="114" t="str">
        <f t="shared" si="11"/>
        <v>  </v>
      </c>
      <c r="G80" s="149" t="str">
        <f t="shared" si="12"/>
        <v>  </v>
      </c>
      <c r="H80" s="271">
        <v>1.0</v>
      </c>
      <c r="I80" s="271">
        <v>1.0</v>
      </c>
      <c r="J80" s="271">
        <v>1.0</v>
      </c>
      <c r="K80" s="271">
        <v>1.0</v>
      </c>
      <c r="L80" s="266"/>
      <c r="M80" s="139">
        <f t="shared" si="13"/>
        <v>4</v>
      </c>
      <c r="N80" s="140">
        <f t="shared" si="14"/>
        <v>100</v>
      </c>
      <c r="O80" s="138">
        <v>1.0</v>
      </c>
      <c r="P80" s="138">
        <v>1.0</v>
      </c>
      <c r="Q80" s="116"/>
      <c r="R80" s="179"/>
      <c r="S80" s="179"/>
      <c r="T80" s="116"/>
      <c r="U80" s="116"/>
      <c r="V80" s="179"/>
      <c r="W80" s="116"/>
      <c r="X80" s="116"/>
      <c r="Y80" s="179"/>
      <c r="Z80" s="185"/>
      <c r="AA80" s="217"/>
      <c r="AB80" s="138"/>
      <c r="AC80" s="184"/>
      <c r="AD80" s="176"/>
      <c r="AE80" s="116"/>
      <c r="AF80" s="182">
        <v>1.0</v>
      </c>
      <c r="AG80" s="182">
        <v>1.0</v>
      </c>
      <c r="AH80" s="138">
        <v>1.0</v>
      </c>
      <c r="AI80" s="116"/>
      <c r="AJ80" s="139">
        <f t="shared" si="15"/>
        <v>5</v>
      </c>
      <c r="AK80" s="205">
        <f t="shared" si="16"/>
        <v>38.46153846</v>
      </c>
      <c r="AL80" s="116"/>
      <c r="AM80" s="138">
        <v>1.0</v>
      </c>
      <c r="AN80" s="184">
        <v>1.0</v>
      </c>
      <c r="AO80" s="116"/>
      <c r="AP80" s="184">
        <v>1.0</v>
      </c>
      <c r="AQ80" s="116"/>
      <c r="AR80" s="116"/>
      <c r="AS80" s="191">
        <v>1.0</v>
      </c>
      <c r="AT80" s="138">
        <v>1.0</v>
      </c>
      <c r="AU80" s="138">
        <v>1.0</v>
      </c>
      <c r="AV80" s="116"/>
      <c r="AW80" s="179"/>
      <c r="AX80" s="116"/>
      <c r="AY80" s="116"/>
      <c r="AZ80" s="116"/>
      <c r="BA80" s="180"/>
      <c r="BB80" s="218">
        <v>1.0</v>
      </c>
      <c r="BC80" s="218">
        <v>1.0</v>
      </c>
      <c r="BD80" s="219">
        <v>1.0</v>
      </c>
      <c r="BE80" s="181"/>
      <c r="BF80" s="181"/>
      <c r="BG80" s="139">
        <f t="shared" si="17"/>
        <v>9</v>
      </c>
      <c r="BH80" s="208">
        <f t="shared" si="18"/>
        <v>75</v>
      </c>
      <c r="BI80" s="116"/>
      <c r="BJ80" s="138">
        <v>1.0</v>
      </c>
      <c r="BK80" s="180"/>
      <c r="BL80" s="138">
        <v>1.0</v>
      </c>
      <c r="BM80" s="116"/>
      <c r="BN80" s="116"/>
      <c r="BO80" s="138">
        <v>1.0</v>
      </c>
      <c r="BP80" s="138">
        <v>1.0</v>
      </c>
      <c r="BQ80" s="116"/>
      <c r="BR80" s="116"/>
      <c r="BS80" s="138">
        <v>1.0</v>
      </c>
      <c r="BT80" s="138">
        <v>1.0</v>
      </c>
      <c r="BV80" s="116"/>
      <c r="BW80" s="198"/>
      <c r="BX80" s="138">
        <v>1.0</v>
      </c>
      <c r="BY80" s="116"/>
      <c r="BZ80" s="196">
        <v>1.0</v>
      </c>
      <c r="CA80" s="138">
        <v>1.0</v>
      </c>
      <c r="CB80" s="116"/>
      <c r="CC80" s="165"/>
      <c r="CD80" s="165"/>
      <c r="CE80" s="124">
        <f t="shared" si="19"/>
        <v>9</v>
      </c>
      <c r="CF80" s="173">
        <f t="shared" si="20"/>
        <v>69.23076923</v>
      </c>
      <c r="CG80" s="138">
        <v>1.0</v>
      </c>
      <c r="CH80" s="138"/>
      <c r="CI80" s="116"/>
      <c r="CJ80" s="186"/>
      <c r="CK80" s="116"/>
      <c r="CL80" s="186"/>
      <c r="CM80" s="116"/>
      <c r="CN80" s="116"/>
      <c r="CO80" s="116"/>
      <c r="CP80" s="166"/>
      <c r="CQ80" s="213"/>
      <c r="CR80" s="213"/>
      <c r="CS80" s="116"/>
      <c r="CT80" s="116"/>
      <c r="CU80" s="116"/>
      <c r="CV80" s="213"/>
      <c r="CW80" s="128">
        <f t="shared" si="21"/>
        <v>1</v>
      </c>
      <c r="CX80" s="214">
        <f t="shared" si="22"/>
        <v>50</v>
      </c>
      <c r="CY80" s="171"/>
      <c r="CZ80" s="171"/>
      <c r="DA80" s="171"/>
      <c r="DB80" s="171"/>
      <c r="DC80" s="171"/>
      <c r="DD80" s="171"/>
      <c r="DE80" s="171"/>
      <c r="DF80" s="171"/>
      <c r="DG80" s="171"/>
      <c r="DH80" s="171"/>
      <c r="DI80" s="171"/>
      <c r="DJ80" s="171"/>
      <c r="DK80" s="128">
        <f t="shared" si="23"/>
        <v>0</v>
      </c>
      <c r="DL80" s="158" t="str">
        <f t="shared" si="24"/>
        <v>#DIV/0!</v>
      </c>
    </row>
    <row r="81" ht="15.75" customHeight="1">
      <c r="A81" s="146">
        <v>72.0</v>
      </c>
      <c r="B81" s="111" t="s">
        <v>195</v>
      </c>
      <c r="C81" s="112" t="s">
        <v>196</v>
      </c>
      <c r="D81" s="98">
        <f t="shared" si="9"/>
        <v>0</v>
      </c>
      <c r="E81" s="130">
        <f t="shared" si="10"/>
        <v>0</v>
      </c>
      <c r="F81" s="114">
        <f t="shared" si="11"/>
        <v>0</v>
      </c>
      <c r="G81" s="226">
        <f t="shared" si="12"/>
        <v>0</v>
      </c>
      <c r="H81" s="265"/>
      <c r="I81" s="265"/>
      <c r="J81" s="270"/>
      <c r="K81" s="265"/>
      <c r="L81" s="266"/>
      <c r="M81" s="139">
        <f t="shared" si="13"/>
        <v>0</v>
      </c>
      <c r="N81" s="140">
        <f t="shared" si="14"/>
        <v>0</v>
      </c>
      <c r="O81" s="116"/>
      <c r="P81" s="116"/>
      <c r="Q81" s="180"/>
      <c r="R81" s="179"/>
      <c r="S81" s="116"/>
      <c r="T81" s="116"/>
      <c r="U81" s="116"/>
      <c r="V81" s="179"/>
      <c r="W81" s="116"/>
      <c r="X81" s="116"/>
      <c r="Y81" s="179"/>
      <c r="Z81" s="185"/>
      <c r="AA81" s="217"/>
      <c r="AB81" s="116"/>
      <c r="AC81" s="179"/>
      <c r="AD81" s="116"/>
      <c r="AE81" s="116"/>
      <c r="AF81" s="182"/>
      <c r="AG81" s="176"/>
      <c r="AH81" s="116"/>
      <c r="AI81" s="176"/>
      <c r="AJ81" s="139">
        <f t="shared" si="15"/>
        <v>0</v>
      </c>
      <c r="AK81" s="205">
        <f t="shared" si="16"/>
        <v>0</v>
      </c>
      <c r="AL81" s="116"/>
      <c r="AM81" s="116"/>
      <c r="AN81" s="179"/>
      <c r="AO81" s="116"/>
      <c r="AP81" s="179"/>
      <c r="AQ81" s="116"/>
      <c r="AR81" s="116"/>
      <c r="AS81" s="166"/>
      <c r="AT81" s="116"/>
      <c r="AU81" s="116"/>
      <c r="AV81" s="116"/>
      <c r="AW81" s="179"/>
      <c r="AX81" s="116"/>
      <c r="AY81" s="116"/>
      <c r="AZ81" s="180"/>
      <c r="BA81" s="180"/>
      <c r="BB81" s="116"/>
      <c r="BC81" s="204"/>
      <c r="BD81" s="181"/>
      <c r="BE81" s="181"/>
      <c r="BF81" s="181"/>
      <c r="BG81" s="139">
        <f t="shared" si="17"/>
        <v>0</v>
      </c>
      <c r="BH81" s="208">
        <f t="shared" si="18"/>
        <v>0</v>
      </c>
      <c r="BI81" s="116"/>
      <c r="BJ81" s="116"/>
      <c r="BK81" s="180"/>
      <c r="BL81" s="116"/>
      <c r="BM81" s="116"/>
      <c r="BN81" s="116"/>
      <c r="BO81" s="138"/>
      <c r="BP81" s="116"/>
      <c r="BQ81" s="116"/>
      <c r="BR81" s="166"/>
      <c r="BS81" s="116"/>
      <c r="BT81" s="185"/>
      <c r="BU81" s="43"/>
      <c r="BV81" s="43"/>
      <c r="BW81" s="198"/>
      <c r="BX81" s="43"/>
      <c r="BY81" s="116"/>
      <c r="BZ81" s="165"/>
      <c r="CA81" s="165"/>
      <c r="CB81" s="165"/>
      <c r="CC81" s="165"/>
      <c r="CD81" s="165"/>
      <c r="CE81" s="124">
        <f t="shared" si="19"/>
        <v>0</v>
      </c>
      <c r="CF81" s="173">
        <f t="shared" si="20"/>
        <v>0</v>
      </c>
      <c r="CG81" s="179"/>
      <c r="CH81" s="238"/>
      <c r="CI81" s="186"/>
      <c r="CJ81" s="186"/>
      <c r="CK81" s="116"/>
      <c r="CL81" s="186"/>
      <c r="CM81" s="223"/>
      <c r="CN81" s="223"/>
      <c r="CO81" s="223"/>
      <c r="CP81" s="166"/>
      <c r="CQ81" s="213"/>
      <c r="CR81" s="213"/>
      <c r="CS81" s="213"/>
      <c r="CT81" s="213"/>
      <c r="CU81" s="213"/>
      <c r="CV81" s="213"/>
      <c r="CW81" s="128">
        <f t="shared" si="21"/>
        <v>0</v>
      </c>
      <c r="CX81" s="214">
        <f t="shared" si="22"/>
        <v>0</v>
      </c>
      <c r="CY81" s="171"/>
      <c r="CZ81" s="171"/>
      <c r="DA81" s="171"/>
      <c r="DB81" s="171"/>
      <c r="DC81" s="171"/>
      <c r="DD81" s="171"/>
      <c r="DE81" s="171"/>
      <c r="DF81" s="171"/>
      <c r="DG81" s="171"/>
      <c r="DH81" s="171"/>
      <c r="DI81" s="171"/>
      <c r="DJ81" s="171"/>
      <c r="DK81" s="128">
        <f t="shared" si="23"/>
        <v>0</v>
      </c>
      <c r="DL81" s="158" t="str">
        <f t="shared" si="24"/>
        <v>#DIV/0!</v>
      </c>
    </row>
    <row r="82" ht="15.75" customHeight="1">
      <c r="A82" s="50">
        <v>73.0</v>
      </c>
      <c r="B82" s="111" t="s">
        <v>197</v>
      </c>
      <c r="C82" s="112" t="s">
        <v>198</v>
      </c>
      <c r="D82" s="98">
        <f t="shared" si="9"/>
        <v>8</v>
      </c>
      <c r="E82" s="130">
        <f t="shared" si="10"/>
        <v>18.18181818</v>
      </c>
      <c r="F82" s="114">
        <f t="shared" si="11"/>
        <v>18.18181818</v>
      </c>
      <c r="G82" s="226">
        <f t="shared" si="12"/>
        <v>18.18181818</v>
      </c>
      <c r="H82" s="265"/>
      <c r="I82" s="265"/>
      <c r="J82" s="265"/>
      <c r="K82" s="267"/>
      <c r="L82" s="268"/>
      <c r="M82" s="139">
        <f t="shared" si="13"/>
        <v>0</v>
      </c>
      <c r="N82" s="140">
        <f t="shared" si="14"/>
        <v>0</v>
      </c>
      <c r="O82" s="116"/>
      <c r="P82" s="116"/>
      <c r="Q82" s="116"/>
      <c r="R82" s="179"/>
      <c r="S82" s="179"/>
      <c r="T82" s="116"/>
      <c r="U82" s="116"/>
      <c r="V82" s="179"/>
      <c r="W82" s="116"/>
      <c r="X82" s="116"/>
      <c r="Y82" s="179"/>
      <c r="Z82" s="185"/>
      <c r="AA82" s="217"/>
      <c r="AB82" s="138">
        <v>1.0</v>
      </c>
      <c r="AC82" s="179"/>
      <c r="AD82" s="176"/>
      <c r="AE82" s="116"/>
      <c r="AF82" s="176"/>
      <c r="AG82" s="176"/>
      <c r="AH82" s="182">
        <v>1.0</v>
      </c>
      <c r="AI82" s="116"/>
      <c r="AJ82" s="139">
        <f t="shared" si="15"/>
        <v>2</v>
      </c>
      <c r="AK82" s="205">
        <f t="shared" si="16"/>
        <v>15.38461538</v>
      </c>
      <c r="AL82" s="116"/>
      <c r="AM82" s="138">
        <v>1.0</v>
      </c>
      <c r="AN82" s="179"/>
      <c r="AO82" s="116"/>
      <c r="AP82" s="179"/>
      <c r="AQ82" s="116"/>
      <c r="AR82" s="116"/>
      <c r="AS82" s="166"/>
      <c r="AT82" s="116"/>
      <c r="AU82" s="138">
        <v>1.0</v>
      </c>
      <c r="AV82" s="116"/>
      <c r="AW82" s="179"/>
      <c r="AX82" s="116"/>
      <c r="AY82" s="116"/>
      <c r="AZ82" s="180"/>
      <c r="BA82" s="180"/>
      <c r="BB82" s="204"/>
      <c r="BC82" s="204"/>
      <c r="BD82" s="181"/>
      <c r="BE82" s="181"/>
      <c r="BF82" s="181"/>
      <c r="BG82" s="139">
        <f t="shared" si="17"/>
        <v>2</v>
      </c>
      <c r="BH82" s="208">
        <f t="shared" si="18"/>
        <v>16.66666667</v>
      </c>
      <c r="BI82" s="116"/>
      <c r="BJ82" s="180"/>
      <c r="BK82" s="180"/>
      <c r="BL82" s="138">
        <v>1.0</v>
      </c>
      <c r="BM82" s="116"/>
      <c r="BN82" s="116"/>
      <c r="BO82" s="138">
        <v>1.0</v>
      </c>
      <c r="BP82" s="138">
        <v>1.0</v>
      </c>
      <c r="BQ82" s="211"/>
      <c r="BR82" s="166"/>
      <c r="BS82" s="165"/>
      <c r="BT82" s="138">
        <v>1.0</v>
      </c>
      <c r="BU82" s="43"/>
      <c r="BV82" s="43"/>
      <c r="BW82" s="198"/>
      <c r="BX82" s="116"/>
      <c r="BY82" s="116"/>
      <c r="BZ82" s="165"/>
      <c r="CA82" s="116"/>
      <c r="CB82" s="116"/>
      <c r="CC82" s="165"/>
      <c r="CD82" s="165"/>
      <c r="CE82" s="124">
        <f t="shared" si="19"/>
        <v>4</v>
      </c>
      <c r="CF82" s="173">
        <f t="shared" si="20"/>
        <v>30.76923077</v>
      </c>
      <c r="CG82" s="179"/>
      <c r="CH82" s="116"/>
      <c r="CI82" s="186"/>
      <c r="CJ82" s="186"/>
      <c r="CK82" s="116"/>
      <c r="CL82" s="186"/>
      <c r="CM82" s="223"/>
      <c r="CN82" s="223"/>
      <c r="CO82" s="116"/>
      <c r="CP82" s="166"/>
      <c r="CQ82" s="213"/>
      <c r="CR82" s="213"/>
      <c r="CS82" s="116"/>
      <c r="CT82" s="213"/>
      <c r="CU82" s="213"/>
      <c r="CV82" s="213"/>
      <c r="CW82" s="128">
        <f t="shared" si="21"/>
        <v>0</v>
      </c>
      <c r="CX82" s="214">
        <f t="shared" si="22"/>
        <v>0</v>
      </c>
      <c r="CY82" s="171"/>
      <c r="CZ82" s="171"/>
      <c r="DA82" s="171"/>
      <c r="DB82" s="171"/>
      <c r="DC82" s="171"/>
      <c r="DD82" s="171"/>
      <c r="DE82" s="171"/>
      <c r="DF82" s="171"/>
      <c r="DG82" s="171"/>
      <c r="DH82" s="171"/>
      <c r="DI82" s="171"/>
      <c r="DJ82" s="171"/>
      <c r="DK82" s="128">
        <f t="shared" si="23"/>
        <v>0</v>
      </c>
      <c r="DL82" s="158" t="str">
        <f t="shared" si="24"/>
        <v>#DIV/0!</v>
      </c>
    </row>
    <row r="83" ht="15.75" customHeight="1">
      <c r="A83" s="131">
        <v>74.0</v>
      </c>
      <c r="B83" s="111" t="s">
        <v>199</v>
      </c>
      <c r="C83" s="112" t="s">
        <v>200</v>
      </c>
      <c r="D83" s="98">
        <f t="shared" si="9"/>
        <v>14</v>
      </c>
      <c r="E83" s="130">
        <f t="shared" si="10"/>
        <v>31.81818182</v>
      </c>
      <c r="F83" s="114">
        <f t="shared" si="11"/>
        <v>31.81818182</v>
      </c>
      <c r="G83" s="149" t="str">
        <f t="shared" si="12"/>
        <v>  </v>
      </c>
      <c r="H83" s="265"/>
      <c r="I83" s="265"/>
      <c r="J83" s="267"/>
      <c r="K83" s="267"/>
      <c r="L83" s="268"/>
      <c r="M83" s="139">
        <f t="shared" si="13"/>
        <v>0</v>
      </c>
      <c r="N83" s="140">
        <f t="shared" si="14"/>
        <v>0</v>
      </c>
      <c r="O83" s="116"/>
      <c r="P83" s="116"/>
      <c r="Q83" s="116"/>
      <c r="R83" s="179"/>
      <c r="S83" s="179"/>
      <c r="T83" s="116"/>
      <c r="U83" s="116"/>
      <c r="V83" s="179"/>
      <c r="W83" s="116"/>
      <c r="X83" s="116"/>
      <c r="Y83" s="179"/>
      <c r="Z83" s="185"/>
      <c r="AA83" s="217"/>
      <c r="AB83" s="138">
        <v>1.0</v>
      </c>
      <c r="AC83" s="184">
        <v>1.0</v>
      </c>
      <c r="AD83" s="182">
        <v>1.0</v>
      </c>
      <c r="AE83" s="116"/>
      <c r="AF83" s="182">
        <v>1.0</v>
      </c>
      <c r="AG83" s="182">
        <v>1.0</v>
      </c>
      <c r="AH83" s="182">
        <v>1.0</v>
      </c>
      <c r="AI83" s="176"/>
      <c r="AJ83" s="139">
        <f t="shared" si="15"/>
        <v>6</v>
      </c>
      <c r="AK83" s="205">
        <f t="shared" si="16"/>
        <v>46.15384615</v>
      </c>
      <c r="AL83" s="116"/>
      <c r="AM83" s="116"/>
      <c r="AN83" s="179"/>
      <c r="AO83" s="138">
        <v>1.0</v>
      </c>
      <c r="AP83" s="184">
        <v>1.0</v>
      </c>
      <c r="AQ83" s="116"/>
      <c r="AR83" s="138">
        <v>1.0</v>
      </c>
      <c r="AS83" s="166"/>
      <c r="AT83" s="116"/>
      <c r="AU83" s="116"/>
      <c r="AV83" s="116"/>
      <c r="AW83" s="179"/>
      <c r="AX83" s="116"/>
      <c r="AY83" s="116"/>
      <c r="AZ83" s="180"/>
      <c r="BA83" s="180"/>
      <c r="BB83" s="218">
        <v>1.0</v>
      </c>
      <c r="BC83" s="204"/>
      <c r="BD83" s="181"/>
      <c r="BE83" s="181"/>
      <c r="BF83" s="181"/>
      <c r="BG83" s="139">
        <f t="shared" si="17"/>
        <v>4</v>
      </c>
      <c r="BH83" s="208">
        <f t="shared" si="18"/>
        <v>33.33333333</v>
      </c>
      <c r="BI83" s="138">
        <v>1.0</v>
      </c>
      <c r="BJ83" s="138">
        <v>1.0</v>
      </c>
      <c r="BK83" s="180"/>
      <c r="BL83" s="116"/>
      <c r="BM83" s="116"/>
      <c r="BN83" s="116"/>
      <c r="BO83" s="138">
        <v>1.0</v>
      </c>
      <c r="BP83" s="138">
        <v>1.0</v>
      </c>
      <c r="BQ83" s="211"/>
      <c r="BR83" s="166"/>
      <c r="BS83" s="165"/>
      <c r="BT83" s="138"/>
      <c r="BU83" s="43"/>
      <c r="BV83" s="43"/>
      <c r="BW83" s="198"/>
      <c r="BX83" s="116"/>
      <c r="BY83" s="116"/>
      <c r="BZ83" s="165"/>
      <c r="CA83" s="138"/>
      <c r="CB83" s="116"/>
      <c r="CC83" s="165"/>
      <c r="CD83" s="165"/>
      <c r="CE83" s="124">
        <f t="shared" si="19"/>
        <v>4</v>
      </c>
      <c r="CF83" s="173">
        <f t="shared" si="20"/>
        <v>30.76923077</v>
      </c>
      <c r="CG83" s="179"/>
      <c r="CH83" s="116"/>
      <c r="CI83" s="186"/>
      <c r="CJ83" s="116"/>
      <c r="CK83" s="231"/>
      <c r="CL83" s="186"/>
      <c r="CM83" s="116"/>
      <c r="CN83" s="223"/>
      <c r="CO83" s="223"/>
      <c r="CP83" s="166"/>
      <c r="CQ83" s="213"/>
      <c r="CR83" s="213"/>
      <c r="CS83" s="213"/>
      <c r="CT83" s="213"/>
      <c r="CU83" s="213"/>
      <c r="CV83" s="213"/>
      <c r="CW83" s="128">
        <f t="shared" si="21"/>
        <v>0</v>
      </c>
      <c r="CX83" s="214">
        <f t="shared" si="22"/>
        <v>0</v>
      </c>
      <c r="CY83" s="171"/>
      <c r="CZ83" s="171"/>
      <c r="DA83" s="171"/>
      <c r="DB83" s="171"/>
      <c r="DC83" s="171"/>
      <c r="DD83" s="171"/>
      <c r="DE83" s="171"/>
      <c r="DF83" s="171"/>
      <c r="DG83" s="171"/>
      <c r="DH83" s="171"/>
      <c r="DI83" s="171"/>
      <c r="DJ83" s="171"/>
      <c r="DK83" s="128">
        <f t="shared" si="23"/>
        <v>0</v>
      </c>
      <c r="DL83" s="158" t="str">
        <f t="shared" si="24"/>
        <v>#DIV/0!</v>
      </c>
    </row>
    <row r="84" ht="15.75" customHeight="1">
      <c r="A84" s="146">
        <v>75.0</v>
      </c>
      <c r="B84" s="111" t="s">
        <v>201</v>
      </c>
      <c r="C84" s="112" t="s">
        <v>202</v>
      </c>
      <c r="D84" s="98">
        <f t="shared" si="9"/>
        <v>22</v>
      </c>
      <c r="E84" s="130">
        <f t="shared" si="10"/>
        <v>50</v>
      </c>
      <c r="F84" s="114" t="str">
        <f t="shared" si="11"/>
        <v>  </v>
      </c>
      <c r="G84" s="226" t="str">
        <f t="shared" si="12"/>
        <v>  </v>
      </c>
      <c r="H84" s="265"/>
      <c r="I84" s="265"/>
      <c r="J84" s="265"/>
      <c r="K84" s="265"/>
      <c r="L84" s="266"/>
      <c r="M84" s="139">
        <f t="shared" si="13"/>
        <v>0</v>
      </c>
      <c r="N84" s="140">
        <f t="shared" si="14"/>
        <v>0</v>
      </c>
      <c r="O84" s="116"/>
      <c r="P84" s="116"/>
      <c r="Q84" s="116"/>
      <c r="R84" s="163"/>
      <c r="S84" s="163"/>
      <c r="T84" s="116"/>
      <c r="U84" s="116"/>
      <c r="V84" s="163"/>
      <c r="W84" s="116"/>
      <c r="X84" s="138">
        <v>1.0</v>
      </c>
      <c r="Y84" s="262">
        <v>1.0</v>
      </c>
      <c r="Z84" s="185"/>
      <c r="AA84" s="217"/>
      <c r="AB84" s="138">
        <v>1.0</v>
      </c>
      <c r="AC84" s="262"/>
      <c r="AD84" s="163"/>
      <c r="AE84" s="116"/>
      <c r="AF84" s="262">
        <v>1.0</v>
      </c>
      <c r="AG84" s="262">
        <v>1.0</v>
      </c>
      <c r="AH84" s="262">
        <v>1.0</v>
      </c>
      <c r="AI84" s="163"/>
      <c r="AJ84" s="139">
        <f t="shared" si="15"/>
        <v>6</v>
      </c>
      <c r="AK84" s="119">
        <f t="shared" si="16"/>
        <v>46.15384615</v>
      </c>
      <c r="AL84" s="163"/>
      <c r="AM84" s="262">
        <v>1.0</v>
      </c>
      <c r="AN84" s="184">
        <v>1.0</v>
      </c>
      <c r="AO84" s="138">
        <v>1.0</v>
      </c>
      <c r="AP84" s="138">
        <v>1.0</v>
      </c>
      <c r="AQ84" s="116"/>
      <c r="AR84" s="138">
        <v>1.0</v>
      </c>
      <c r="AS84" s="191">
        <v>1.0</v>
      </c>
      <c r="AT84" s="138">
        <v>1.0</v>
      </c>
      <c r="AU84" s="138">
        <v>1.0</v>
      </c>
      <c r="AV84" s="116"/>
      <c r="AW84" s="163"/>
      <c r="AX84" s="116"/>
      <c r="AY84" s="116"/>
      <c r="AZ84" s="180"/>
      <c r="BA84" s="180"/>
      <c r="BB84" s="138">
        <v>1.0</v>
      </c>
      <c r="BC84" s="180"/>
      <c r="BD84" s="181"/>
      <c r="BE84" s="181"/>
      <c r="BF84" s="181"/>
      <c r="BG84" s="139">
        <f t="shared" si="17"/>
        <v>9</v>
      </c>
      <c r="BH84" s="272">
        <f t="shared" si="18"/>
        <v>75</v>
      </c>
      <c r="BI84" s="138">
        <v>1.0</v>
      </c>
      <c r="BJ84" s="215">
        <v>1.0</v>
      </c>
      <c r="BK84" s="180"/>
      <c r="BL84" s="138">
        <v>1.0</v>
      </c>
      <c r="BM84" s="116"/>
      <c r="BN84" s="116"/>
      <c r="BO84" s="138">
        <v>1.0</v>
      </c>
      <c r="BP84" s="138">
        <v>1.0</v>
      </c>
      <c r="BQ84" s="211"/>
      <c r="BR84" s="166"/>
      <c r="BS84" s="165"/>
      <c r="BT84" s="116"/>
      <c r="BV84" s="116"/>
      <c r="BW84" s="171"/>
      <c r="BX84" s="138">
        <v>1.0</v>
      </c>
      <c r="BY84" s="116"/>
      <c r="BZ84" s="116"/>
      <c r="CA84" s="138">
        <v>1.0</v>
      </c>
      <c r="CB84" s="116"/>
      <c r="CC84" s="116"/>
      <c r="CD84" s="116"/>
      <c r="CE84" s="124">
        <f t="shared" si="19"/>
        <v>7</v>
      </c>
      <c r="CF84" s="44">
        <f t="shared" si="20"/>
        <v>53.84615385</v>
      </c>
      <c r="CG84" s="116"/>
      <c r="CH84" s="116"/>
      <c r="CI84" s="116"/>
      <c r="CJ84" s="163"/>
      <c r="CK84" s="163"/>
      <c r="CL84" s="163"/>
      <c r="CM84" s="163"/>
      <c r="CN84" s="163"/>
      <c r="CO84" s="163"/>
      <c r="CP84" s="166"/>
      <c r="CQ84" s="166"/>
      <c r="CR84" s="166"/>
      <c r="CS84" s="166"/>
      <c r="CT84" s="116"/>
      <c r="CU84" s="166"/>
      <c r="CV84" s="166"/>
      <c r="CW84" s="128">
        <f t="shared" si="21"/>
        <v>0</v>
      </c>
      <c r="CX84" s="214">
        <f t="shared" si="22"/>
        <v>0</v>
      </c>
      <c r="CY84" s="171"/>
      <c r="CZ84" s="171"/>
      <c r="DA84" s="171"/>
      <c r="DB84" s="171"/>
      <c r="DC84" s="171"/>
      <c r="DD84" s="171"/>
      <c r="DE84" s="171"/>
      <c r="DF84" s="171"/>
      <c r="DG84" s="171"/>
      <c r="DH84" s="171"/>
      <c r="DI84" s="171"/>
      <c r="DJ84" s="171"/>
      <c r="DK84" s="128">
        <f t="shared" si="23"/>
        <v>0</v>
      </c>
      <c r="DL84" s="158" t="str">
        <f t="shared" si="24"/>
        <v>#DIV/0!</v>
      </c>
    </row>
    <row r="85" ht="15.75" customHeight="1">
      <c r="A85" s="50">
        <v>76.0</v>
      </c>
      <c r="B85" s="111" t="s">
        <v>203</v>
      </c>
      <c r="C85" s="112" t="s">
        <v>204</v>
      </c>
      <c r="D85" s="98">
        <f t="shared" si="9"/>
        <v>23</v>
      </c>
      <c r="E85" s="130">
        <f t="shared" si="10"/>
        <v>52.27272727</v>
      </c>
      <c r="F85" s="114" t="str">
        <f t="shared" si="11"/>
        <v>  </v>
      </c>
      <c r="G85" s="149" t="str">
        <f t="shared" si="12"/>
        <v>  </v>
      </c>
      <c r="H85" s="265"/>
      <c r="I85" s="265"/>
      <c r="J85" s="269"/>
      <c r="K85" s="265"/>
      <c r="L85" s="266"/>
      <c r="M85" s="139">
        <f t="shared" si="13"/>
        <v>0</v>
      </c>
      <c r="N85" s="140">
        <f t="shared" si="14"/>
        <v>0</v>
      </c>
      <c r="O85" s="116"/>
      <c r="P85" s="116"/>
      <c r="Q85" s="116"/>
      <c r="R85" s="163"/>
      <c r="S85" s="163"/>
      <c r="T85" s="116"/>
      <c r="U85" s="116"/>
      <c r="V85" s="163"/>
      <c r="W85" s="116"/>
      <c r="X85" s="138">
        <v>1.0</v>
      </c>
      <c r="Y85" s="262">
        <v>1.0</v>
      </c>
      <c r="Z85" s="185"/>
      <c r="AA85" s="187">
        <v>1.0</v>
      </c>
      <c r="AB85" s="138">
        <v>1.0</v>
      </c>
      <c r="AC85" s="262">
        <v>1.0</v>
      </c>
      <c r="AD85" s="262">
        <v>1.0</v>
      </c>
      <c r="AE85" s="116"/>
      <c r="AF85" s="262">
        <v>1.0</v>
      </c>
      <c r="AG85" s="262">
        <v>1.0</v>
      </c>
      <c r="AH85" s="262">
        <v>1.0</v>
      </c>
      <c r="AI85" s="116"/>
      <c r="AJ85" s="139">
        <f t="shared" si="15"/>
        <v>9</v>
      </c>
      <c r="AK85" s="119">
        <f t="shared" si="16"/>
        <v>69.23076923</v>
      </c>
      <c r="AL85" s="116"/>
      <c r="AM85" s="138">
        <v>1.0</v>
      </c>
      <c r="AN85" s="184">
        <v>1.0</v>
      </c>
      <c r="AO85" s="138">
        <v>1.0</v>
      </c>
      <c r="AP85" s="184">
        <v>1.0</v>
      </c>
      <c r="AQ85" s="116"/>
      <c r="AR85" s="138">
        <v>1.0</v>
      </c>
      <c r="AS85" s="191">
        <v>1.0</v>
      </c>
      <c r="AT85" s="138">
        <v>1.0</v>
      </c>
      <c r="AU85" s="116"/>
      <c r="AV85" s="116"/>
      <c r="AW85" s="163"/>
      <c r="AX85" s="116"/>
      <c r="AY85" s="116"/>
      <c r="AZ85" s="180"/>
      <c r="BA85" s="180"/>
      <c r="BB85" s="138">
        <v>1.0</v>
      </c>
      <c r="BC85" s="180"/>
      <c r="BD85" s="181"/>
      <c r="BE85" s="181"/>
      <c r="BF85" s="181"/>
      <c r="BG85" s="139">
        <f t="shared" si="17"/>
        <v>8</v>
      </c>
      <c r="BH85" s="272">
        <f t="shared" si="18"/>
        <v>66.66666667</v>
      </c>
      <c r="BI85" s="138">
        <v>1.0</v>
      </c>
      <c r="BJ85" s="138">
        <v>1.0</v>
      </c>
      <c r="BK85" s="180"/>
      <c r="BL85" s="138">
        <v>1.0</v>
      </c>
      <c r="BM85" s="116"/>
      <c r="BN85" s="116"/>
      <c r="BO85" s="138">
        <v>1.0</v>
      </c>
      <c r="BP85" s="138">
        <v>1.0</v>
      </c>
      <c r="BQ85" s="211"/>
      <c r="BR85" s="166"/>
      <c r="BS85" s="165"/>
      <c r="BT85" s="116"/>
      <c r="BU85" s="43"/>
      <c r="BV85" s="43"/>
      <c r="BW85" s="171"/>
      <c r="BX85" s="138"/>
      <c r="BY85" s="116"/>
      <c r="BZ85" s="116"/>
      <c r="CA85" s="138">
        <v>1.0</v>
      </c>
      <c r="CB85" s="116"/>
      <c r="CC85" s="116"/>
      <c r="CD85" s="116"/>
      <c r="CE85" s="124">
        <f t="shared" si="19"/>
        <v>6</v>
      </c>
      <c r="CF85" s="44">
        <f t="shared" si="20"/>
        <v>46.15384615</v>
      </c>
      <c r="CG85" s="116"/>
      <c r="CH85" s="116"/>
      <c r="CI85" s="163"/>
      <c r="CJ85" s="163"/>
      <c r="CK85" s="163"/>
      <c r="CL85" s="163"/>
      <c r="CM85" s="116"/>
      <c r="CN85" s="163"/>
      <c r="CO85" s="163"/>
      <c r="CP85" s="166"/>
      <c r="CQ85" s="166"/>
      <c r="CR85" s="166"/>
      <c r="CS85" s="166"/>
      <c r="CT85" s="116"/>
      <c r="CU85" s="116"/>
      <c r="CV85" s="166"/>
      <c r="CW85" s="128">
        <f t="shared" si="21"/>
        <v>0</v>
      </c>
      <c r="CX85" s="214">
        <f t="shared" si="22"/>
        <v>0</v>
      </c>
      <c r="CY85" s="171"/>
      <c r="CZ85" s="171"/>
      <c r="DA85" s="171"/>
      <c r="DB85" s="171"/>
      <c r="DC85" s="171"/>
      <c r="DD85" s="171"/>
      <c r="DE85" s="171"/>
      <c r="DF85" s="171"/>
      <c r="DG85" s="171"/>
      <c r="DH85" s="171"/>
      <c r="DI85" s="171"/>
      <c r="DJ85" s="171"/>
      <c r="DK85" s="128">
        <f t="shared" si="23"/>
        <v>0</v>
      </c>
      <c r="DL85" s="158" t="str">
        <f t="shared" si="24"/>
        <v>#DIV/0!</v>
      </c>
    </row>
    <row r="86" ht="15.75" customHeight="1">
      <c r="A86" s="131">
        <v>77.0</v>
      </c>
      <c r="B86" s="126" t="s">
        <v>205</v>
      </c>
      <c r="C86" s="260" t="s">
        <v>206</v>
      </c>
      <c r="D86" s="98">
        <f t="shared" si="9"/>
        <v>3</v>
      </c>
      <c r="E86" s="130">
        <f t="shared" si="10"/>
        <v>6.818181818</v>
      </c>
      <c r="F86" s="114">
        <f t="shared" si="11"/>
        <v>6.818181818</v>
      </c>
      <c r="G86" s="226">
        <f t="shared" si="12"/>
        <v>6.818181818</v>
      </c>
      <c r="H86" s="265"/>
      <c r="I86" s="265"/>
      <c r="J86" s="265"/>
      <c r="K86" s="265"/>
      <c r="L86" s="266"/>
      <c r="M86" s="139">
        <f t="shared" si="13"/>
        <v>0</v>
      </c>
      <c r="N86" s="140">
        <f t="shared" si="14"/>
        <v>0</v>
      </c>
      <c r="O86" s="116"/>
      <c r="P86" s="116"/>
      <c r="Q86" s="116"/>
      <c r="R86" s="163"/>
      <c r="S86" s="116"/>
      <c r="T86" s="116"/>
      <c r="U86" s="116"/>
      <c r="V86" s="163"/>
      <c r="W86" s="116"/>
      <c r="X86" s="116"/>
      <c r="Y86" s="262">
        <v>1.0</v>
      </c>
      <c r="Z86" s="185"/>
      <c r="AA86" s="187">
        <v>1.0</v>
      </c>
      <c r="AB86" s="116"/>
      <c r="AC86" s="262"/>
      <c r="AD86" s="116"/>
      <c r="AE86" s="116"/>
      <c r="AF86" s="262"/>
      <c r="AG86" s="163"/>
      <c r="AH86" s="116"/>
      <c r="AI86" s="116"/>
      <c r="AJ86" s="139">
        <f t="shared" si="15"/>
        <v>2</v>
      </c>
      <c r="AK86" s="119">
        <f t="shared" si="16"/>
        <v>15.38461538</v>
      </c>
      <c r="AL86" s="116"/>
      <c r="AM86" s="116"/>
      <c r="AN86" s="262">
        <v>1.0</v>
      </c>
      <c r="AO86" s="116"/>
      <c r="AP86" s="262"/>
      <c r="AQ86" s="116"/>
      <c r="AR86" s="116"/>
      <c r="AS86" s="166"/>
      <c r="AT86" s="116"/>
      <c r="AU86" s="116"/>
      <c r="AV86" s="116"/>
      <c r="AW86" s="163"/>
      <c r="AX86" s="116"/>
      <c r="AY86" s="116"/>
      <c r="AZ86" s="180"/>
      <c r="BA86" s="180"/>
      <c r="BB86" s="116"/>
      <c r="BC86" s="180"/>
      <c r="BD86" s="181"/>
      <c r="BE86" s="181"/>
      <c r="BF86" s="181"/>
      <c r="BG86" s="139">
        <f t="shared" si="17"/>
        <v>1</v>
      </c>
      <c r="BH86" s="272">
        <f t="shared" si="18"/>
        <v>8.333333333</v>
      </c>
      <c r="BI86" s="116"/>
      <c r="BJ86" s="180"/>
      <c r="BK86" s="180"/>
      <c r="BL86" s="116"/>
      <c r="BM86" s="116"/>
      <c r="BN86" s="116"/>
      <c r="BO86" s="116"/>
      <c r="BP86" s="116"/>
      <c r="BQ86" s="116"/>
      <c r="BR86" s="166"/>
      <c r="BS86" s="116"/>
      <c r="BT86" s="116"/>
      <c r="BU86" s="43"/>
      <c r="BV86" s="43"/>
      <c r="BW86" s="171"/>
      <c r="BX86" s="43"/>
      <c r="BY86" s="116"/>
      <c r="BZ86" s="116"/>
      <c r="CA86" s="116"/>
      <c r="CB86" s="116"/>
      <c r="CC86" s="116"/>
      <c r="CD86" s="116"/>
      <c r="CE86" s="124">
        <f t="shared" si="19"/>
        <v>0</v>
      </c>
      <c r="CF86" s="44">
        <f t="shared" si="20"/>
        <v>0</v>
      </c>
      <c r="CG86" s="116"/>
      <c r="CH86" s="116"/>
      <c r="CI86" s="163"/>
      <c r="CJ86" s="163"/>
      <c r="CK86" s="116"/>
      <c r="CL86" s="163"/>
      <c r="CM86" s="163"/>
      <c r="CN86" s="163"/>
      <c r="CO86" s="116"/>
      <c r="CP86" s="163"/>
      <c r="CQ86" s="163"/>
      <c r="CR86" s="163"/>
      <c r="CS86" s="163"/>
      <c r="CT86" s="163"/>
      <c r="CU86" s="163"/>
      <c r="CV86" s="163"/>
      <c r="CW86" s="128">
        <f t="shared" si="21"/>
        <v>0</v>
      </c>
      <c r="CX86" s="214">
        <f t="shared" si="22"/>
        <v>0</v>
      </c>
      <c r="CY86" s="171"/>
      <c r="CZ86" s="171"/>
      <c r="DA86" s="171"/>
      <c r="DB86" s="171"/>
      <c r="DC86" s="171"/>
      <c r="DD86" s="171"/>
      <c r="DE86" s="171"/>
      <c r="DF86" s="171"/>
      <c r="DG86" s="171"/>
      <c r="DH86" s="171"/>
      <c r="DI86" s="171"/>
      <c r="DJ86" s="171"/>
      <c r="DK86" s="128">
        <f t="shared" si="23"/>
        <v>0</v>
      </c>
      <c r="DL86" s="158" t="str">
        <f t="shared" si="24"/>
        <v>#DIV/0!</v>
      </c>
    </row>
    <row r="87" ht="15.75" customHeight="1">
      <c r="A87" s="146">
        <v>78.0</v>
      </c>
      <c r="B87" s="111" t="s">
        <v>207</v>
      </c>
      <c r="C87" s="112" t="s">
        <v>208</v>
      </c>
      <c r="D87" s="98">
        <f t="shared" si="9"/>
        <v>20</v>
      </c>
      <c r="E87" s="130">
        <f t="shared" si="10"/>
        <v>45.45454545</v>
      </c>
      <c r="F87" s="114">
        <f t="shared" si="11"/>
        <v>45.45454545</v>
      </c>
      <c r="G87" s="92" t="str">
        <f t="shared" si="12"/>
        <v>  </v>
      </c>
      <c r="H87" s="265"/>
      <c r="I87" s="265"/>
      <c r="J87" s="267"/>
      <c r="K87" s="267"/>
      <c r="L87" s="268"/>
      <c r="M87" s="139">
        <f t="shared" si="13"/>
        <v>0</v>
      </c>
      <c r="N87" s="140">
        <f t="shared" si="14"/>
        <v>0</v>
      </c>
      <c r="O87" s="116"/>
      <c r="P87" s="116"/>
      <c r="Q87" s="180"/>
      <c r="R87" s="163"/>
      <c r="S87" s="116"/>
      <c r="T87" s="116"/>
      <c r="U87" s="116"/>
      <c r="V87" s="163"/>
      <c r="W87" s="116"/>
      <c r="X87" s="138">
        <v>1.0</v>
      </c>
      <c r="Y87" s="262">
        <v>1.0</v>
      </c>
      <c r="Z87" s="185"/>
      <c r="AA87" s="187">
        <v>1.0</v>
      </c>
      <c r="AB87" s="116"/>
      <c r="AC87" s="163"/>
      <c r="AD87" s="138">
        <v>1.0</v>
      </c>
      <c r="AE87" s="163"/>
      <c r="AF87" s="163"/>
      <c r="AG87" s="262">
        <v>1.0</v>
      </c>
      <c r="AH87" s="138"/>
      <c r="AI87" s="262">
        <v>1.0</v>
      </c>
      <c r="AJ87" s="139">
        <f t="shared" si="15"/>
        <v>6</v>
      </c>
      <c r="AK87" s="119">
        <f t="shared" si="16"/>
        <v>46.15384615</v>
      </c>
      <c r="AL87" s="116"/>
      <c r="AM87" s="163"/>
      <c r="AN87" s="262">
        <v>1.0</v>
      </c>
      <c r="AO87" s="262">
        <v>1.0</v>
      </c>
      <c r="AP87" s="138">
        <v>1.0</v>
      </c>
      <c r="AQ87" s="116"/>
      <c r="AR87" s="116"/>
      <c r="AS87" s="166"/>
      <c r="AT87" s="116"/>
      <c r="AU87" s="116"/>
      <c r="AV87" s="116"/>
      <c r="AW87" s="163"/>
      <c r="AX87" s="116"/>
      <c r="AY87" s="116"/>
      <c r="AZ87" s="116"/>
      <c r="BA87" s="116"/>
      <c r="BB87" s="180"/>
      <c r="BC87" s="138">
        <v>1.0</v>
      </c>
      <c r="BD87" s="188">
        <v>1.0</v>
      </c>
      <c r="BE87" s="194"/>
      <c r="BF87" s="194"/>
      <c r="BG87" s="139">
        <f t="shared" si="17"/>
        <v>5</v>
      </c>
      <c r="BH87" s="272">
        <f t="shared" si="18"/>
        <v>41.66666667</v>
      </c>
      <c r="BI87" s="138">
        <v>1.0</v>
      </c>
      <c r="BJ87" s="138">
        <v>1.0</v>
      </c>
      <c r="BK87" s="180"/>
      <c r="BL87" s="116"/>
      <c r="BM87" s="116"/>
      <c r="BN87" s="116"/>
      <c r="BO87" s="138">
        <v>1.0</v>
      </c>
      <c r="BP87" s="116"/>
      <c r="BQ87" s="116"/>
      <c r="BR87" s="166"/>
      <c r="BS87" s="138">
        <v>1.0</v>
      </c>
      <c r="BT87" s="138">
        <v>1.0</v>
      </c>
      <c r="BV87" s="138">
        <v>1.0</v>
      </c>
      <c r="BW87" s="171"/>
      <c r="BX87" s="116"/>
      <c r="BY87" s="116"/>
      <c r="BZ87" s="138">
        <v>1.0</v>
      </c>
      <c r="CA87" s="138">
        <v>1.0</v>
      </c>
      <c r="CB87" s="116"/>
      <c r="CC87" s="116"/>
      <c r="CD87" s="116"/>
      <c r="CE87" s="124">
        <f t="shared" si="19"/>
        <v>8</v>
      </c>
      <c r="CF87" s="44">
        <f t="shared" si="20"/>
        <v>61.53846154</v>
      </c>
      <c r="CG87" s="262">
        <v>1.0</v>
      </c>
      <c r="CH87" s="238"/>
      <c r="CI87" s="116"/>
      <c r="CJ87" s="163"/>
      <c r="CK87" s="163"/>
      <c r="CL87" s="163"/>
      <c r="CM87" s="116"/>
      <c r="CN87" s="116"/>
      <c r="CO87" s="116"/>
      <c r="CP87" s="163"/>
      <c r="CQ87" s="163"/>
      <c r="CR87" s="163"/>
      <c r="CS87" s="163"/>
      <c r="CT87" s="116"/>
      <c r="CU87" s="163"/>
      <c r="CV87" s="163"/>
      <c r="CW87" s="128">
        <f t="shared" si="21"/>
        <v>1</v>
      </c>
      <c r="CX87" s="214">
        <f t="shared" si="22"/>
        <v>50</v>
      </c>
      <c r="CY87" s="171"/>
      <c r="CZ87" s="171"/>
      <c r="DA87" s="171"/>
      <c r="DB87" s="171"/>
      <c r="DC87" s="171"/>
      <c r="DD87" s="171"/>
      <c r="DE87" s="171"/>
      <c r="DF87" s="171"/>
      <c r="DG87" s="171"/>
      <c r="DH87" s="171"/>
      <c r="DI87" s="171"/>
      <c r="DJ87" s="171"/>
      <c r="DK87" s="128">
        <f t="shared" si="23"/>
        <v>0</v>
      </c>
      <c r="DL87" s="158" t="str">
        <f t="shared" si="24"/>
        <v>#DIV/0!</v>
      </c>
    </row>
    <row r="88" ht="15.75" customHeight="1">
      <c r="A88" s="50">
        <v>79.0</v>
      </c>
      <c r="B88" s="111" t="s">
        <v>209</v>
      </c>
      <c r="C88" s="112" t="s">
        <v>210</v>
      </c>
      <c r="D88" s="98">
        <f t="shared" si="9"/>
        <v>22</v>
      </c>
      <c r="E88" s="130">
        <f t="shared" si="10"/>
        <v>50</v>
      </c>
      <c r="F88" s="92" t="str">
        <f t="shared" si="11"/>
        <v>  </v>
      </c>
      <c r="G88" s="92" t="str">
        <f t="shared" si="12"/>
        <v>  </v>
      </c>
      <c r="H88" s="265"/>
      <c r="I88" s="265"/>
      <c r="J88" s="267"/>
      <c r="K88" s="267"/>
      <c r="L88" s="268"/>
      <c r="M88" s="139">
        <f t="shared" si="13"/>
        <v>0</v>
      </c>
      <c r="N88" s="140">
        <f t="shared" si="14"/>
        <v>0</v>
      </c>
      <c r="O88" s="116"/>
      <c r="P88" s="116"/>
      <c r="Q88" s="180"/>
      <c r="R88" s="163"/>
      <c r="S88" s="116"/>
      <c r="T88" s="116"/>
      <c r="U88" s="116"/>
      <c r="V88" s="163"/>
      <c r="W88" s="138">
        <v>1.0</v>
      </c>
      <c r="X88" s="116"/>
      <c r="Y88" s="163"/>
      <c r="Z88" s="185"/>
      <c r="AA88" s="187">
        <v>1.0</v>
      </c>
      <c r="AB88" s="138">
        <v>1.0</v>
      </c>
      <c r="AC88" s="163"/>
      <c r="AD88" s="138">
        <v>1.0</v>
      </c>
      <c r="AE88" s="163"/>
      <c r="AF88" s="163"/>
      <c r="AG88" s="262">
        <v>1.0</v>
      </c>
      <c r="AH88" s="262">
        <v>1.0</v>
      </c>
      <c r="AI88" s="163"/>
      <c r="AJ88" s="139">
        <f t="shared" si="15"/>
        <v>6</v>
      </c>
      <c r="AK88" s="119">
        <f t="shared" si="16"/>
        <v>46.15384615</v>
      </c>
      <c r="AL88" s="116"/>
      <c r="AM88" s="116"/>
      <c r="AN88" s="163"/>
      <c r="AO88" s="116"/>
      <c r="AP88" s="138">
        <v>1.0</v>
      </c>
      <c r="AQ88" s="116"/>
      <c r="AR88" s="138">
        <v>1.0</v>
      </c>
      <c r="AS88" s="166"/>
      <c r="AT88" s="138">
        <v>1.0</v>
      </c>
      <c r="AU88" s="138">
        <v>1.0</v>
      </c>
      <c r="AV88" s="116"/>
      <c r="AW88" s="163"/>
      <c r="AX88" s="116"/>
      <c r="AY88" s="116"/>
      <c r="AZ88" s="180"/>
      <c r="BA88" s="180"/>
      <c r="BB88" s="138">
        <v>1.0</v>
      </c>
      <c r="BC88" s="138">
        <v>1.0</v>
      </c>
      <c r="BD88" s="194"/>
      <c r="BE88" s="188">
        <v>1.0</v>
      </c>
      <c r="BF88" s="194"/>
      <c r="BG88" s="139">
        <f t="shared" si="17"/>
        <v>7</v>
      </c>
      <c r="BH88" s="272">
        <f t="shared" si="18"/>
        <v>58.33333333</v>
      </c>
      <c r="BI88" s="116"/>
      <c r="BJ88" s="138">
        <v>1.0</v>
      </c>
      <c r="BK88" s="180"/>
      <c r="BL88" s="138">
        <v>1.0</v>
      </c>
      <c r="BM88" s="116"/>
      <c r="BN88" s="116"/>
      <c r="BO88" s="138">
        <v>1.0</v>
      </c>
      <c r="BP88" s="138">
        <v>1.0</v>
      </c>
      <c r="BQ88" s="116"/>
      <c r="BR88" s="166"/>
      <c r="BS88" s="138">
        <v>1.0</v>
      </c>
      <c r="BT88" s="185"/>
      <c r="BU88" s="145">
        <v>1.0</v>
      </c>
      <c r="BV88" s="43"/>
      <c r="BW88" s="171"/>
      <c r="BX88" s="116"/>
      <c r="BY88" s="138">
        <v>1.0</v>
      </c>
      <c r="BZ88" s="138">
        <v>1.0</v>
      </c>
      <c r="CA88" s="116"/>
      <c r="CB88" s="116"/>
      <c r="CC88" s="116"/>
      <c r="CD88" s="116"/>
      <c r="CE88" s="124">
        <f t="shared" si="19"/>
        <v>8</v>
      </c>
      <c r="CF88" s="44">
        <f t="shared" si="20"/>
        <v>61.53846154</v>
      </c>
      <c r="CG88" s="163"/>
      <c r="CH88" s="116"/>
      <c r="CI88" s="138">
        <v>1.0</v>
      </c>
      <c r="CJ88" s="163"/>
      <c r="CK88" s="163"/>
      <c r="CL88" s="163"/>
      <c r="CM88" s="163"/>
      <c r="CN88" s="116"/>
      <c r="CO88" s="116"/>
      <c r="CP88" s="163"/>
      <c r="CQ88" s="163"/>
      <c r="CR88" s="163"/>
      <c r="CS88" s="163"/>
      <c r="CT88" s="116"/>
      <c r="CU88" s="163"/>
      <c r="CV88" s="163"/>
      <c r="CW88" s="128">
        <f t="shared" si="21"/>
        <v>1</v>
      </c>
      <c r="CX88" s="214">
        <f t="shared" si="22"/>
        <v>50</v>
      </c>
      <c r="CY88" s="171"/>
      <c r="CZ88" s="171"/>
      <c r="DA88" s="171"/>
      <c r="DB88" s="171"/>
      <c r="DC88" s="171"/>
      <c r="DD88" s="171"/>
      <c r="DE88" s="171"/>
      <c r="DF88" s="171"/>
      <c r="DG88" s="171"/>
      <c r="DH88" s="171"/>
      <c r="DI88" s="171"/>
      <c r="DJ88" s="171"/>
      <c r="DK88" s="128">
        <f t="shared" si="23"/>
        <v>0</v>
      </c>
      <c r="DL88" s="158" t="str">
        <f t="shared" si="24"/>
        <v>#DIV/0!</v>
      </c>
    </row>
    <row r="89" ht="15.75" customHeight="1">
      <c r="A89" s="131">
        <v>80.0</v>
      </c>
      <c r="B89" s="111" t="s">
        <v>211</v>
      </c>
      <c r="C89" s="112" t="s">
        <v>212</v>
      </c>
      <c r="D89" s="98">
        <f t="shared" si="9"/>
        <v>16</v>
      </c>
      <c r="E89" s="130">
        <f t="shared" si="10"/>
        <v>36.36363636</v>
      </c>
      <c r="F89" s="114">
        <f t="shared" si="11"/>
        <v>36.36363636</v>
      </c>
      <c r="G89" s="92" t="str">
        <f t="shared" si="12"/>
        <v>  </v>
      </c>
      <c r="H89" s="274"/>
      <c r="I89" s="274"/>
      <c r="J89" s="274"/>
      <c r="K89" s="274"/>
      <c r="L89" s="275"/>
      <c r="M89" s="139">
        <f t="shared" si="13"/>
        <v>0</v>
      </c>
      <c r="N89" s="140">
        <f t="shared" si="14"/>
        <v>0</v>
      </c>
      <c r="O89" s="116"/>
      <c r="P89" s="116"/>
      <c r="Q89" s="180"/>
      <c r="R89" s="163"/>
      <c r="S89" s="116"/>
      <c r="T89" s="116"/>
      <c r="U89" s="116"/>
      <c r="V89" s="163"/>
      <c r="W89" s="138">
        <v>1.0</v>
      </c>
      <c r="X89" s="138">
        <v>1.0</v>
      </c>
      <c r="Y89" s="262">
        <v>1.0</v>
      </c>
      <c r="Z89" s="171"/>
      <c r="AA89" s="217"/>
      <c r="AB89" s="116"/>
      <c r="AC89" s="262">
        <v>1.0</v>
      </c>
      <c r="AD89" s="116"/>
      <c r="AE89" s="163"/>
      <c r="AF89" s="262"/>
      <c r="AG89" s="163"/>
      <c r="AH89" s="262"/>
      <c r="AI89" s="138">
        <v>1.0</v>
      </c>
      <c r="AJ89" s="139">
        <f t="shared" si="15"/>
        <v>5</v>
      </c>
      <c r="AK89" s="119">
        <f t="shared" si="16"/>
        <v>38.46153846</v>
      </c>
      <c r="AL89" s="116"/>
      <c r="AM89" s="138">
        <v>1.0</v>
      </c>
      <c r="AN89" s="262">
        <v>1.0</v>
      </c>
      <c r="AO89" s="262">
        <v>1.0</v>
      </c>
      <c r="AP89" s="138"/>
      <c r="AQ89" s="116"/>
      <c r="AR89" s="116"/>
      <c r="AS89" s="166"/>
      <c r="AT89" s="138">
        <v>1.0</v>
      </c>
      <c r="AU89" s="116"/>
      <c r="AV89" s="116"/>
      <c r="AW89" s="163"/>
      <c r="AX89" s="116"/>
      <c r="AY89" s="116"/>
      <c r="AZ89" s="180"/>
      <c r="BA89" s="180"/>
      <c r="BB89" s="180"/>
      <c r="BC89" s="116"/>
      <c r="BD89" s="194"/>
      <c r="BE89" s="194"/>
      <c r="BF89" s="194"/>
      <c r="BG89" s="139">
        <f t="shared" si="17"/>
        <v>4</v>
      </c>
      <c r="BH89" s="272">
        <f t="shared" si="18"/>
        <v>33.33333333</v>
      </c>
      <c r="BI89" s="138">
        <v>1.0</v>
      </c>
      <c r="BJ89" s="138">
        <v>1.0</v>
      </c>
      <c r="BK89" s="180"/>
      <c r="BL89" s="138">
        <v>1.0</v>
      </c>
      <c r="BM89" s="116"/>
      <c r="BN89" s="116"/>
      <c r="BO89" s="116"/>
      <c r="BP89" s="138">
        <v>1.0</v>
      </c>
      <c r="BQ89" s="116"/>
      <c r="BR89" s="166"/>
      <c r="BS89" s="196">
        <v>1.0</v>
      </c>
      <c r="BT89" s="116"/>
      <c r="BU89" s="145"/>
      <c r="BV89" s="145">
        <v>1.0</v>
      </c>
      <c r="BW89" s="171"/>
      <c r="BX89" s="116"/>
      <c r="BY89" s="116"/>
      <c r="BZ89" s="116"/>
      <c r="CA89" s="116"/>
      <c r="CB89" s="116"/>
      <c r="CC89" s="116"/>
      <c r="CD89" s="116"/>
      <c r="CE89" s="124">
        <f t="shared" si="19"/>
        <v>6</v>
      </c>
      <c r="CF89" s="44">
        <f t="shared" si="20"/>
        <v>46.15384615</v>
      </c>
      <c r="CG89" s="262">
        <v>1.0</v>
      </c>
      <c r="CH89" s="116"/>
      <c r="CI89" s="163"/>
      <c r="CJ89" s="163"/>
      <c r="CK89" s="116"/>
      <c r="CL89" s="163"/>
      <c r="CM89" s="116"/>
      <c r="CN89" s="163"/>
      <c r="CO89" s="116"/>
      <c r="CP89" s="163"/>
      <c r="CQ89" s="163"/>
      <c r="CR89" s="163"/>
      <c r="CS89" s="163"/>
      <c r="CT89" s="116"/>
      <c r="CU89" s="163"/>
      <c r="CV89" s="163"/>
      <c r="CW89" s="128">
        <f t="shared" si="21"/>
        <v>1</v>
      </c>
      <c r="CX89" s="214">
        <f t="shared" si="22"/>
        <v>50</v>
      </c>
      <c r="CY89" s="171"/>
      <c r="CZ89" s="171"/>
      <c r="DA89" s="171"/>
      <c r="DB89" s="171"/>
      <c r="DC89" s="171"/>
      <c r="DD89" s="171"/>
      <c r="DE89" s="171"/>
      <c r="DF89" s="171"/>
      <c r="DG89" s="171"/>
      <c r="DH89" s="171"/>
      <c r="DI89" s="171"/>
      <c r="DJ89" s="171"/>
      <c r="DK89" s="128">
        <f t="shared" si="23"/>
        <v>0</v>
      </c>
      <c r="DL89" s="158" t="str">
        <f t="shared" si="24"/>
        <v>#DIV/0!</v>
      </c>
    </row>
    <row r="90" ht="15.75" customHeight="1">
      <c r="A90" s="146">
        <v>81.0</v>
      </c>
      <c r="B90" s="111" t="s">
        <v>213</v>
      </c>
      <c r="C90" s="112" t="s">
        <v>214</v>
      </c>
      <c r="D90" s="98">
        <f t="shared" si="9"/>
        <v>35</v>
      </c>
      <c r="E90" s="130">
        <f t="shared" si="10"/>
        <v>79.54545455</v>
      </c>
      <c r="F90" s="114" t="str">
        <f t="shared" si="11"/>
        <v>  </v>
      </c>
      <c r="G90" s="92" t="str">
        <f t="shared" si="12"/>
        <v>  </v>
      </c>
      <c r="H90" s="276">
        <v>1.0</v>
      </c>
      <c r="I90" s="276">
        <v>1.0</v>
      </c>
      <c r="J90" s="276">
        <v>1.0</v>
      </c>
      <c r="K90" s="276">
        <v>1.0</v>
      </c>
      <c r="L90" s="275"/>
      <c r="M90" s="139">
        <f t="shared" si="13"/>
        <v>4</v>
      </c>
      <c r="N90" s="140">
        <f t="shared" si="14"/>
        <v>100</v>
      </c>
      <c r="O90" s="138">
        <v>1.0</v>
      </c>
      <c r="P90" s="138">
        <v>1.0</v>
      </c>
      <c r="Q90" s="116"/>
      <c r="R90" s="163"/>
      <c r="S90" s="116"/>
      <c r="T90" s="116"/>
      <c r="U90" s="116"/>
      <c r="V90" s="163"/>
      <c r="W90" s="116"/>
      <c r="X90" s="138">
        <v>1.0</v>
      </c>
      <c r="Y90" s="262">
        <v>1.0</v>
      </c>
      <c r="Z90" s="171"/>
      <c r="AA90" s="187">
        <v>1.0</v>
      </c>
      <c r="AB90" s="138">
        <v>1.0</v>
      </c>
      <c r="AC90" s="262">
        <v>1.0</v>
      </c>
      <c r="AD90" s="262">
        <v>1.0</v>
      </c>
      <c r="AE90" s="116"/>
      <c r="AF90" s="262">
        <v>1.0</v>
      </c>
      <c r="AG90" s="262">
        <v>1.0</v>
      </c>
      <c r="AH90" s="138">
        <v>1.0</v>
      </c>
      <c r="AI90" s="116"/>
      <c r="AJ90" s="139">
        <f t="shared" si="15"/>
        <v>11</v>
      </c>
      <c r="AK90" s="119">
        <f t="shared" si="16"/>
        <v>84.61538462</v>
      </c>
      <c r="AL90" s="116"/>
      <c r="AM90" s="138">
        <v>1.0</v>
      </c>
      <c r="AN90" s="262">
        <v>1.0</v>
      </c>
      <c r="AO90" s="116"/>
      <c r="AP90" s="262">
        <v>1.0</v>
      </c>
      <c r="AQ90" s="116"/>
      <c r="AR90" s="138"/>
      <c r="AS90" s="191">
        <v>1.0</v>
      </c>
      <c r="AT90" s="138">
        <v>1.0</v>
      </c>
      <c r="AU90" s="138">
        <v>1.0</v>
      </c>
      <c r="AV90" s="116"/>
      <c r="AW90" s="163"/>
      <c r="AX90" s="116"/>
      <c r="AY90" s="116"/>
      <c r="AZ90" s="116"/>
      <c r="BA90" s="116"/>
      <c r="BB90" s="215">
        <v>1.0</v>
      </c>
      <c r="BC90" s="215">
        <v>1.0</v>
      </c>
      <c r="BD90" s="219">
        <v>1.0</v>
      </c>
      <c r="BE90" s="181"/>
      <c r="BF90" s="181"/>
      <c r="BG90" s="139">
        <f t="shared" si="17"/>
        <v>9</v>
      </c>
      <c r="BH90" s="272">
        <f t="shared" si="18"/>
        <v>75</v>
      </c>
      <c r="BI90" s="116"/>
      <c r="BJ90" s="215">
        <v>1.0</v>
      </c>
      <c r="BK90" s="180"/>
      <c r="BL90" s="138">
        <v>1.0</v>
      </c>
      <c r="BM90" s="116"/>
      <c r="BN90" s="116"/>
      <c r="BO90" s="116"/>
      <c r="BP90" s="138">
        <v>1.0</v>
      </c>
      <c r="BQ90" s="116"/>
      <c r="BR90" s="116"/>
      <c r="BS90" s="196">
        <v>1.0</v>
      </c>
      <c r="BT90" s="138">
        <v>1.0</v>
      </c>
      <c r="BU90" s="241">
        <v>1.0</v>
      </c>
      <c r="BV90" s="138">
        <v>1.0</v>
      </c>
      <c r="BW90" s="171"/>
      <c r="BX90" s="138">
        <v>1.0</v>
      </c>
      <c r="BY90" s="138">
        <v>1.0</v>
      </c>
      <c r="BZ90" s="138">
        <v>1.0</v>
      </c>
      <c r="CA90" s="116"/>
      <c r="CB90" s="116"/>
      <c r="CC90" s="116"/>
      <c r="CD90" s="116"/>
      <c r="CE90" s="124">
        <f t="shared" si="19"/>
        <v>10</v>
      </c>
      <c r="CF90" s="44">
        <f t="shared" si="20"/>
        <v>76.92307692</v>
      </c>
      <c r="CG90" s="138">
        <v>1.0</v>
      </c>
      <c r="CH90" s="116"/>
      <c r="CI90" s="116"/>
      <c r="CJ90" s="163"/>
      <c r="CK90" s="116"/>
      <c r="CL90" s="163"/>
      <c r="CM90" s="116"/>
      <c r="CN90" s="116"/>
      <c r="CO90" s="116"/>
      <c r="CP90" s="163"/>
      <c r="CQ90" s="163"/>
      <c r="CR90" s="163"/>
      <c r="CS90" s="116"/>
      <c r="CT90" s="116"/>
      <c r="CU90" s="116"/>
      <c r="CV90" s="163"/>
      <c r="CW90" s="128">
        <f t="shared" si="21"/>
        <v>1</v>
      </c>
      <c r="CX90" s="214">
        <f t="shared" si="22"/>
        <v>50</v>
      </c>
      <c r="CY90" s="171"/>
      <c r="CZ90" s="171"/>
      <c r="DA90" s="171"/>
      <c r="DB90" s="171"/>
      <c r="DC90" s="171"/>
      <c r="DD90" s="171"/>
      <c r="DE90" s="171"/>
      <c r="DF90" s="171"/>
      <c r="DG90" s="171"/>
      <c r="DH90" s="171"/>
      <c r="DI90" s="171"/>
      <c r="DJ90" s="171"/>
      <c r="DK90" s="128">
        <f t="shared" si="23"/>
        <v>0</v>
      </c>
      <c r="DL90" s="158" t="str">
        <f t="shared" si="24"/>
        <v>#DIV/0!</v>
      </c>
    </row>
    <row r="91" ht="15.75" customHeight="1">
      <c r="A91" s="50">
        <v>82.0</v>
      </c>
      <c r="B91" s="111" t="s">
        <v>215</v>
      </c>
      <c r="C91" s="112" t="s">
        <v>216</v>
      </c>
      <c r="D91" s="98">
        <f t="shared" si="9"/>
        <v>35</v>
      </c>
      <c r="E91" s="130">
        <f t="shared" si="10"/>
        <v>79.54545455</v>
      </c>
      <c r="F91" s="114" t="str">
        <f t="shared" si="11"/>
        <v>  </v>
      </c>
      <c r="G91" s="92" t="str">
        <f t="shared" si="12"/>
        <v>  </v>
      </c>
      <c r="H91" s="276">
        <v>1.0</v>
      </c>
      <c r="I91" s="276">
        <v>1.0</v>
      </c>
      <c r="J91" s="276">
        <v>1.0</v>
      </c>
      <c r="K91" s="276">
        <v>1.0</v>
      </c>
      <c r="L91" s="275"/>
      <c r="M91" s="139">
        <f t="shared" si="13"/>
        <v>4</v>
      </c>
      <c r="N91" s="140">
        <f t="shared" si="14"/>
        <v>100</v>
      </c>
      <c r="O91" s="138">
        <v>1.0</v>
      </c>
      <c r="P91" s="138">
        <v>1.0</v>
      </c>
      <c r="Q91" s="116"/>
      <c r="R91" s="163"/>
      <c r="S91" s="116"/>
      <c r="T91" s="116"/>
      <c r="U91" s="116"/>
      <c r="V91" s="163"/>
      <c r="W91" s="116"/>
      <c r="X91" s="138">
        <v>1.0</v>
      </c>
      <c r="Y91" s="262">
        <v>1.0</v>
      </c>
      <c r="Z91" s="171"/>
      <c r="AA91" s="187">
        <v>1.0</v>
      </c>
      <c r="AB91" s="138">
        <v>1.0</v>
      </c>
      <c r="AC91" s="262">
        <v>1.0</v>
      </c>
      <c r="AD91" s="138">
        <v>1.0</v>
      </c>
      <c r="AE91" s="116"/>
      <c r="AF91" s="262">
        <v>1.0</v>
      </c>
      <c r="AG91" s="163"/>
      <c r="AH91" s="116"/>
      <c r="AI91" s="116"/>
      <c r="AJ91" s="139">
        <f t="shared" si="15"/>
        <v>9</v>
      </c>
      <c r="AK91" s="119">
        <f t="shared" si="16"/>
        <v>69.23076923</v>
      </c>
      <c r="AL91" s="163"/>
      <c r="AM91" s="138">
        <v>1.0</v>
      </c>
      <c r="AN91" s="262">
        <v>1.0</v>
      </c>
      <c r="AO91" s="138">
        <v>1.0</v>
      </c>
      <c r="AP91" s="138">
        <v>1.0</v>
      </c>
      <c r="AQ91" s="116"/>
      <c r="AR91" s="138">
        <v>1.0</v>
      </c>
      <c r="AS91" s="191">
        <v>1.0</v>
      </c>
      <c r="AT91" s="138">
        <v>1.0</v>
      </c>
      <c r="AU91" s="138">
        <v>1.0</v>
      </c>
      <c r="AV91" s="116"/>
      <c r="AW91" s="163"/>
      <c r="AX91" s="116"/>
      <c r="AY91" s="116"/>
      <c r="AZ91" s="116"/>
      <c r="BA91" s="116"/>
      <c r="BB91" s="138">
        <v>1.0</v>
      </c>
      <c r="BC91" s="138">
        <v>1.0</v>
      </c>
      <c r="BD91" s="194"/>
      <c r="BE91" s="194"/>
      <c r="BF91" s="194"/>
      <c r="BG91" s="139">
        <f t="shared" si="17"/>
        <v>10</v>
      </c>
      <c r="BH91" s="272">
        <f t="shared" si="18"/>
        <v>83.33333333</v>
      </c>
      <c r="BI91" s="138">
        <v>1.0</v>
      </c>
      <c r="BJ91" s="138">
        <v>1.0</v>
      </c>
      <c r="BK91" s="180"/>
      <c r="BL91" s="138">
        <v>1.0</v>
      </c>
      <c r="BM91" s="116"/>
      <c r="BN91" s="116"/>
      <c r="BO91" s="116"/>
      <c r="BP91" s="138">
        <v>1.0</v>
      </c>
      <c r="BQ91" s="116"/>
      <c r="BR91" s="116"/>
      <c r="BS91" s="138">
        <v>1.0</v>
      </c>
      <c r="BT91" s="138">
        <v>1.0</v>
      </c>
      <c r="BU91" s="241">
        <v>1.0</v>
      </c>
      <c r="BV91" s="138">
        <v>1.0</v>
      </c>
      <c r="BW91" s="171"/>
      <c r="BX91" s="138">
        <v>1.0</v>
      </c>
      <c r="BY91" s="138">
        <v>1.0</v>
      </c>
      <c r="BZ91" s="138">
        <v>1.0</v>
      </c>
      <c r="CA91" s="138">
        <v>1.0</v>
      </c>
      <c r="CB91" s="116"/>
      <c r="CC91" s="116"/>
      <c r="CD91" s="116"/>
      <c r="CE91" s="124">
        <f t="shared" si="19"/>
        <v>12</v>
      </c>
      <c r="CF91" s="44">
        <f t="shared" si="20"/>
        <v>92.30769231</v>
      </c>
      <c r="CG91" s="116"/>
      <c r="CH91" s="116"/>
      <c r="CI91" s="116"/>
      <c r="CJ91" s="116"/>
      <c r="CK91" s="116"/>
      <c r="CL91" s="163"/>
      <c r="CM91" s="116"/>
      <c r="CN91" s="116"/>
      <c r="CO91" s="163"/>
      <c r="CP91" s="163"/>
      <c r="CQ91" s="163"/>
      <c r="CR91" s="163"/>
      <c r="CS91" s="116"/>
      <c r="CT91" s="116"/>
      <c r="CU91" s="116"/>
      <c r="CV91" s="163"/>
      <c r="CW91" s="128">
        <f t="shared" si="21"/>
        <v>0</v>
      </c>
      <c r="CX91" s="214">
        <f t="shared" si="22"/>
        <v>0</v>
      </c>
      <c r="CY91" s="171"/>
      <c r="CZ91" s="171"/>
      <c r="DA91" s="171"/>
      <c r="DB91" s="171"/>
      <c r="DC91" s="171"/>
      <c r="DD91" s="171"/>
      <c r="DE91" s="171"/>
      <c r="DF91" s="171"/>
      <c r="DG91" s="171"/>
      <c r="DH91" s="171"/>
      <c r="DI91" s="171"/>
      <c r="DJ91" s="171"/>
      <c r="DK91" s="128">
        <f t="shared" si="23"/>
        <v>0</v>
      </c>
      <c r="DL91" s="158" t="str">
        <f t="shared" si="24"/>
        <v>#DIV/0!</v>
      </c>
    </row>
    <row r="92" ht="15.75" customHeight="1">
      <c r="A92" s="131">
        <v>83.0</v>
      </c>
      <c r="B92" s="111" t="s">
        <v>217</v>
      </c>
      <c r="C92" s="112" t="s">
        <v>218</v>
      </c>
      <c r="D92" s="98">
        <f t="shared" si="9"/>
        <v>0</v>
      </c>
      <c r="E92" s="130">
        <f t="shared" si="10"/>
        <v>0</v>
      </c>
      <c r="F92" s="114">
        <f t="shared" si="11"/>
        <v>0</v>
      </c>
      <c r="G92" s="114">
        <f t="shared" si="12"/>
        <v>0</v>
      </c>
      <c r="H92" s="274"/>
      <c r="I92" s="274"/>
      <c r="J92" s="274"/>
      <c r="K92" s="274"/>
      <c r="L92" s="275"/>
      <c r="M92" s="139">
        <f t="shared" si="13"/>
        <v>0</v>
      </c>
      <c r="N92" s="140">
        <f t="shared" si="14"/>
        <v>0</v>
      </c>
      <c r="O92" s="163"/>
      <c r="P92" s="163"/>
      <c r="Q92" s="180"/>
      <c r="R92" s="163"/>
      <c r="S92" s="163"/>
      <c r="T92" s="116"/>
      <c r="U92" s="116"/>
      <c r="V92" s="163"/>
      <c r="W92" s="116"/>
      <c r="X92" s="116"/>
      <c r="Y92" s="163"/>
      <c r="Z92" s="171"/>
      <c r="AA92" s="217"/>
      <c r="AB92" s="116"/>
      <c r="AC92" s="163"/>
      <c r="AD92" s="163"/>
      <c r="AE92" s="163"/>
      <c r="AF92" s="163"/>
      <c r="AG92" s="163"/>
      <c r="AH92" s="163"/>
      <c r="AI92" s="163"/>
      <c r="AJ92" s="139">
        <f t="shared" si="15"/>
        <v>0</v>
      </c>
      <c r="AK92" s="119">
        <f t="shared" si="16"/>
        <v>0</v>
      </c>
      <c r="AL92" s="163"/>
      <c r="AM92" s="163"/>
      <c r="AN92" s="163"/>
      <c r="AO92" s="163"/>
      <c r="AP92" s="163"/>
      <c r="AQ92" s="116"/>
      <c r="AR92" s="116"/>
      <c r="AS92" s="166"/>
      <c r="AT92" s="116"/>
      <c r="AU92" s="116"/>
      <c r="AV92" s="116"/>
      <c r="AW92" s="163"/>
      <c r="AX92" s="116"/>
      <c r="AY92" s="116"/>
      <c r="AZ92" s="180"/>
      <c r="BA92" s="180"/>
      <c r="BB92" s="215"/>
      <c r="BC92" s="180"/>
      <c r="BD92" s="181"/>
      <c r="BE92" s="181"/>
      <c r="BF92" s="181"/>
      <c r="BG92" s="139">
        <f t="shared" si="17"/>
        <v>0</v>
      </c>
      <c r="BH92" s="272">
        <f t="shared" si="18"/>
        <v>0</v>
      </c>
      <c r="BI92" s="116"/>
      <c r="BJ92" s="180"/>
      <c r="BK92" s="180"/>
      <c r="BL92" s="116"/>
      <c r="BM92" s="116"/>
      <c r="BN92" s="116"/>
      <c r="BO92" s="116"/>
      <c r="BP92" s="116"/>
      <c r="BQ92" s="211"/>
      <c r="BR92" s="166"/>
      <c r="BS92" s="165"/>
      <c r="BT92" s="185"/>
      <c r="BU92" s="43"/>
      <c r="BV92" s="43"/>
      <c r="BW92" s="171"/>
      <c r="BX92" s="43"/>
      <c r="BY92" s="116"/>
      <c r="BZ92" s="116"/>
      <c r="CA92" s="116"/>
      <c r="CB92" s="116"/>
      <c r="CC92" s="116"/>
      <c r="CD92" s="116"/>
      <c r="CE92" s="124">
        <f t="shared" si="19"/>
        <v>0</v>
      </c>
      <c r="CF92" s="44">
        <f t="shared" si="20"/>
        <v>0</v>
      </c>
      <c r="CG92" s="163"/>
      <c r="CH92" s="238"/>
      <c r="CI92" s="163"/>
      <c r="CJ92" s="163"/>
      <c r="CK92" s="163"/>
      <c r="CL92" s="163"/>
      <c r="CM92" s="163"/>
      <c r="CN92" s="163"/>
      <c r="CO92" s="163"/>
      <c r="CP92" s="163"/>
      <c r="CQ92" s="163"/>
      <c r="CR92" s="163"/>
      <c r="CS92" s="163"/>
      <c r="CT92" s="163"/>
      <c r="CU92" s="163"/>
      <c r="CV92" s="163"/>
      <c r="CW92" s="128">
        <f t="shared" si="21"/>
        <v>0</v>
      </c>
      <c r="CX92" s="214">
        <f t="shared" si="22"/>
        <v>0</v>
      </c>
      <c r="CY92" s="171"/>
      <c r="CZ92" s="171"/>
      <c r="DA92" s="171"/>
      <c r="DB92" s="171"/>
      <c r="DC92" s="171"/>
      <c r="DD92" s="171"/>
      <c r="DE92" s="171"/>
      <c r="DF92" s="171"/>
      <c r="DG92" s="171"/>
      <c r="DH92" s="171"/>
      <c r="DI92" s="171"/>
      <c r="DJ92" s="171"/>
      <c r="DK92" s="128">
        <f t="shared" si="23"/>
        <v>0</v>
      </c>
      <c r="DL92" s="158" t="str">
        <f t="shared" si="24"/>
        <v>#DIV/0!</v>
      </c>
    </row>
    <row r="93" ht="15.75" customHeight="1"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9"/>
      <c r="AK93" s="12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9"/>
      <c r="BH93" s="14"/>
      <c r="BI93" s="11"/>
      <c r="BJ93" s="11"/>
      <c r="BK93" s="11"/>
      <c r="BL93" s="11"/>
      <c r="BM93" s="11"/>
      <c r="BN93" s="11"/>
      <c r="BO93" s="11"/>
      <c r="BP93" s="11"/>
      <c r="BQ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9"/>
      <c r="CF93" s="9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</row>
    <row r="94" ht="15.75" customHeight="1"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9"/>
      <c r="AK94" s="12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9"/>
      <c r="BH94" s="14"/>
      <c r="BI94" s="11"/>
      <c r="BJ94" s="11"/>
      <c r="BK94" s="11"/>
      <c r="BL94" s="11"/>
      <c r="BM94" s="11"/>
      <c r="BN94" s="11"/>
      <c r="BO94" s="11"/>
      <c r="BP94" s="11"/>
      <c r="BQ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9"/>
      <c r="CF94" s="9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</row>
    <row r="95" ht="15.75" customHeight="1"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9"/>
      <c r="AK95" s="12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9"/>
      <c r="BH95" s="14"/>
      <c r="BI95" s="11"/>
      <c r="BJ95" s="11"/>
      <c r="BK95" s="11"/>
      <c r="BL95" s="11"/>
      <c r="BM95" s="11"/>
      <c r="BN95" s="11"/>
      <c r="BO95" s="11"/>
      <c r="BP95" s="11"/>
      <c r="BQ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9"/>
      <c r="CF95" s="9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</row>
    <row r="96" ht="15.75" customHeight="1"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9"/>
      <c r="AK96" s="12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9"/>
      <c r="BH96" s="14"/>
      <c r="BI96" s="11"/>
      <c r="BJ96" s="11"/>
      <c r="BK96" s="11"/>
      <c r="BL96" s="11"/>
      <c r="BM96" s="11"/>
      <c r="BN96" s="11"/>
      <c r="BO96" s="11"/>
      <c r="BP96" s="11"/>
      <c r="BQ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9"/>
      <c r="CF96" s="9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</row>
    <row r="97" ht="15.75" customHeight="1"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9"/>
      <c r="AK97" s="12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9"/>
      <c r="BH97" s="14"/>
      <c r="BI97" s="11"/>
      <c r="BJ97" s="11"/>
      <c r="BK97" s="11"/>
      <c r="BL97" s="11"/>
      <c r="BM97" s="11"/>
      <c r="BN97" s="11"/>
      <c r="BO97" s="11"/>
      <c r="BP97" s="11"/>
      <c r="BQ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9"/>
      <c r="CF97" s="9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</row>
    <row r="98" ht="15.75" customHeight="1"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9"/>
      <c r="AK98" s="12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9"/>
      <c r="BH98" s="14"/>
      <c r="BI98" s="11"/>
      <c r="BJ98" s="11"/>
      <c r="BK98" s="11"/>
      <c r="BL98" s="11"/>
      <c r="BM98" s="11"/>
      <c r="BN98" s="11"/>
      <c r="BO98" s="11"/>
      <c r="BP98" s="11"/>
      <c r="BQ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9"/>
      <c r="CF98" s="9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</row>
    <row r="99" ht="15.75" customHeight="1"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9"/>
      <c r="AK99" s="12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9"/>
      <c r="BH99" s="14"/>
      <c r="BI99" s="11"/>
      <c r="BJ99" s="11"/>
      <c r="BK99" s="11"/>
      <c r="BL99" s="11"/>
      <c r="BM99" s="11"/>
      <c r="BN99" s="11"/>
      <c r="BO99" s="11"/>
      <c r="BP99" s="11"/>
      <c r="BQ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9"/>
      <c r="CF99" s="9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</row>
    <row r="100" ht="15.75" customHeight="1"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9"/>
      <c r="AK100" s="12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9"/>
      <c r="BH100" s="14"/>
      <c r="BI100" s="11"/>
      <c r="BJ100" s="11"/>
      <c r="BK100" s="11"/>
      <c r="BL100" s="11"/>
      <c r="BM100" s="11"/>
      <c r="BN100" s="11"/>
      <c r="BO100" s="11"/>
      <c r="BP100" s="11"/>
      <c r="BQ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9"/>
      <c r="CF100" s="9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</row>
    <row r="101" ht="15.75" customHeight="1"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9"/>
      <c r="AK101" s="12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9"/>
      <c r="BH101" s="14"/>
      <c r="BI101" s="11"/>
      <c r="BJ101" s="11"/>
      <c r="BK101" s="11"/>
      <c r="BL101" s="11"/>
      <c r="BM101" s="11"/>
      <c r="BN101" s="11"/>
      <c r="BO101" s="11"/>
      <c r="BP101" s="11"/>
      <c r="BQ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9"/>
      <c r="CF101" s="9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</row>
    <row r="102" ht="15.75" customHeight="1"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9"/>
      <c r="AK102" s="12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9"/>
      <c r="BH102" s="14"/>
      <c r="BI102" s="11"/>
      <c r="BJ102" s="11"/>
      <c r="BK102" s="11"/>
      <c r="BL102" s="11"/>
      <c r="BM102" s="11"/>
      <c r="BN102" s="11"/>
      <c r="BO102" s="11"/>
      <c r="BP102" s="11"/>
      <c r="BQ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9"/>
      <c r="CF102" s="9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</row>
    <row r="103" ht="15.75" customHeight="1"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9"/>
      <c r="AK103" s="12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9"/>
      <c r="BH103" s="14"/>
      <c r="BI103" s="11"/>
      <c r="BJ103" s="11"/>
      <c r="BK103" s="11"/>
      <c r="BL103" s="11"/>
      <c r="BM103" s="11"/>
      <c r="BN103" s="11"/>
      <c r="BO103" s="11"/>
      <c r="BP103" s="11"/>
      <c r="BQ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9"/>
      <c r="CF103" s="9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</row>
    <row r="104" ht="15.75" customHeight="1"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9"/>
      <c r="AK104" s="12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9"/>
      <c r="BH104" s="14"/>
      <c r="BI104" s="11"/>
      <c r="BJ104" s="11"/>
      <c r="BK104" s="11"/>
      <c r="BL104" s="11"/>
      <c r="BM104" s="11"/>
      <c r="BN104" s="11"/>
      <c r="BO104" s="11"/>
      <c r="BP104" s="11"/>
      <c r="BQ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9"/>
      <c r="CF104" s="9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</row>
    <row r="105" ht="15.75" customHeight="1"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9"/>
      <c r="AK105" s="12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9"/>
      <c r="BH105" s="14"/>
      <c r="BI105" s="11"/>
      <c r="BJ105" s="11"/>
      <c r="BK105" s="11"/>
      <c r="BL105" s="11"/>
      <c r="BM105" s="11"/>
      <c r="BN105" s="11"/>
      <c r="BO105" s="11"/>
      <c r="BP105" s="11"/>
      <c r="BQ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9"/>
      <c r="CF105" s="9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  <c r="DK105" s="16"/>
      <c r="DL105" s="16"/>
    </row>
    <row r="106" ht="15.75" customHeight="1"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9"/>
      <c r="AK106" s="12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9"/>
      <c r="BH106" s="14"/>
      <c r="BI106" s="11"/>
      <c r="BJ106" s="11"/>
      <c r="BK106" s="11"/>
      <c r="BL106" s="11"/>
      <c r="BM106" s="11"/>
      <c r="BN106" s="11"/>
      <c r="BO106" s="11"/>
      <c r="BP106" s="11"/>
      <c r="BQ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9"/>
      <c r="CF106" s="9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  <c r="DJ106" s="16"/>
      <c r="DK106" s="16"/>
      <c r="DL106" s="16"/>
    </row>
    <row r="107" ht="15.75" customHeight="1"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9"/>
      <c r="AK107" s="12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9"/>
      <c r="BH107" s="14"/>
      <c r="BI107" s="11"/>
      <c r="BJ107" s="11"/>
      <c r="BK107" s="11"/>
      <c r="BL107" s="11"/>
      <c r="BM107" s="11"/>
      <c r="BN107" s="11"/>
      <c r="BO107" s="11"/>
      <c r="BP107" s="11"/>
      <c r="BQ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9"/>
      <c r="CF107" s="9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</row>
    <row r="108" ht="15.75" customHeight="1"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9"/>
      <c r="AK108" s="12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9"/>
      <c r="BH108" s="14"/>
      <c r="BI108" s="11"/>
      <c r="BJ108" s="11"/>
      <c r="BK108" s="11"/>
      <c r="BL108" s="11"/>
      <c r="BM108" s="11"/>
      <c r="BN108" s="11"/>
      <c r="BO108" s="11"/>
      <c r="BP108" s="11"/>
      <c r="BQ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9"/>
      <c r="CF108" s="9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</row>
    <row r="109" ht="15.75" customHeight="1"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9"/>
      <c r="AK109" s="12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9"/>
      <c r="BH109" s="14"/>
      <c r="BI109" s="11"/>
      <c r="BJ109" s="11"/>
      <c r="BK109" s="11"/>
      <c r="BL109" s="11"/>
      <c r="BM109" s="11"/>
      <c r="BN109" s="11"/>
      <c r="BO109" s="11"/>
      <c r="BP109" s="11"/>
      <c r="BQ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9"/>
      <c r="CF109" s="9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</row>
    <row r="110" ht="15.75" customHeight="1"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9"/>
      <c r="AK110" s="12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9"/>
      <c r="BH110" s="14"/>
      <c r="BI110" s="11"/>
      <c r="BJ110" s="11"/>
      <c r="BK110" s="11"/>
      <c r="BL110" s="11"/>
      <c r="BM110" s="11"/>
      <c r="BN110" s="11"/>
      <c r="BO110" s="11"/>
      <c r="BP110" s="11"/>
      <c r="BQ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9"/>
      <c r="CF110" s="9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</row>
    <row r="111" ht="15.75" customHeight="1"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9"/>
      <c r="AK111" s="12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9"/>
      <c r="BH111" s="14"/>
      <c r="BI111" s="11"/>
      <c r="BJ111" s="11"/>
      <c r="BK111" s="11"/>
      <c r="BL111" s="11"/>
      <c r="BM111" s="11"/>
      <c r="BN111" s="11"/>
      <c r="BO111" s="11"/>
      <c r="BP111" s="11"/>
      <c r="BQ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9"/>
      <c r="CF111" s="9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  <c r="DJ111" s="16"/>
      <c r="DK111" s="16"/>
      <c r="DL111" s="16"/>
    </row>
    <row r="112" ht="15.75" customHeight="1"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9"/>
      <c r="AK112" s="12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9"/>
      <c r="BH112" s="14"/>
      <c r="BI112" s="11"/>
      <c r="BJ112" s="11"/>
      <c r="BK112" s="11"/>
      <c r="BL112" s="11"/>
      <c r="BM112" s="11"/>
      <c r="BN112" s="11"/>
      <c r="BO112" s="11"/>
      <c r="BP112" s="11"/>
      <c r="BQ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9"/>
      <c r="CF112" s="9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  <c r="DK112" s="16"/>
      <c r="DL112" s="16"/>
    </row>
    <row r="113" ht="15.75" customHeight="1"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9"/>
      <c r="AK113" s="12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9"/>
      <c r="BH113" s="14"/>
      <c r="BI113" s="11"/>
      <c r="BJ113" s="11"/>
      <c r="BK113" s="11"/>
      <c r="BL113" s="11"/>
      <c r="BM113" s="11"/>
      <c r="BN113" s="11"/>
      <c r="BO113" s="11"/>
      <c r="BP113" s="11"/>
      <c r="BQ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9"/>
      <c r="CF113" s="9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  <c r="DJ113" s="16"/>
      <c r="DK113" s="16"/>
      <c r="DL113" s="16"/>
    </row>
    <row r="114" ht="15.75" customHeight="1"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9"/>
      <c r="AK114" s="12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9"/>
      <c r="BH114" s="14"/>
      <c r="BI114" s="11"/>
      <c r="BJ114" s="11"/>
      <c r="BK114" s="11"/>
      <c r="BL114" s="11"/>
      <c r="BM114" s="11"/>
      <c r="BN114" s="11"/>
      <c r="BO114" s="11"/>
      <c r="BP114" s="11"/>
      <c r="BQ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9"/>
      <c r="CF114" s="9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</row>
    <row r="115" ht="15.75" customHeight="1"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9"/>
      <c r="AK115" s="12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9"/>
      <c r="BH115" s="14"/>
      <c r="BI115" s="11"/>
      <c r="BJ115" s="11"/>
      <c r="BK115" s="11"/>
      <c r="BL115" s="11"/>
      <c r="BM115" s="11"/>
      <c r="BN115" s="11"/>
      <c r="BO115" s="11"/>
      <c r="BP115" s="11"/>
      <c r="BQ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9"/>
      <c r="CF115" s="9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  <c r="DJ115" s="16"/>
      <c r="DK115" s="16"/>
      <c r="DL115" s="16"/>
    </row>
    <row r="116" ht="15.75" customHeight="1"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9"/>
      <c r="AK116" s="12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9"/>
      <c r="BH116" s="14"/>
      <c r="BI116" s="11"/>
      <c r="BJ116" s="11"/>
      <c r="BK116" s="11"/>
      <c r="BL116" s="11"/>
      <c r="BM116" s="11"/>
      <c r="BN116" s="11"/>
      <c r="BO116" s="11"/>
      <c r="BP116" s="11"/>
      <c r="BQ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9"/>
      <c r="CF116" s="9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  <c r="DJ116" s="16"/>
      <c r="DK116" s="16"/>
      <c r="DL116" s="16"/>
    </row>
    <row r="117" ht="15.75" customHeight="1"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9"/>
      <c r="AK117" s="12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9"/>
      <c r="BH117" s="14"/>
      <c r="BI117" s="11"/>
      <c r="BJ117" s="11"/>
      <c r="BK117" s="11"/>
      <c r="BL117" s="11"/>
      <c r="BM117" s="11"/>
      <c r="BN117" s="11"/>
      <c r="BO117" s="11"/>
      <c r="BP117" s="11"/>
      <c r="BQ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9"/>
      <c r="CF117" s="9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</row>
    <row r="118" ht="15.75" customHeight="1"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9"/>
      <c r="AK118" s="12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9"/>
      <c r="BH118" s="14"/>
      <c r="BI118" s="11"/>
      <c r="BJ118" s="11"/>
      <c r="BK118" s="11"/>
      <c r="BL118" s="11"/>
      <c r="BM118" s="11"/>
      <c r="BN118" s="11"/>
      <c r="BO118" s="11"/>
      <c r="BP118" s="11"/>
      <c r="BQ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9"/>
      <c r="CF118" s="9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  <c r="DJ118" s="16"/>
      <c r="DK118" s="16"/>
      <c r="DL118" s="16"/>
    </row>
    <row r="119" ht="15.75" customHeight="1"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9"/>
      <c r="AK119" s="12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9"/>
      <c r="BH119" s="14"/>
      <c r="BI119" s="11"/>
      <c r="BJ119" s="11"/>
      <c r="BK119" s="11"/>
      <c r="BL119" s="11"/>
      <c r="BM119" s="11"/>
      <c r="BN119" s="11"/>
      <c r="BO119" s="11"/>
      <c r="BP119" s="11"/>
      <c r="BQ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9"/>
      <c r="CF119" s="9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  <c r="DJ119" s="16"/>
      <c r="DK119" s="16"/>
      <c r="DL119" s="16"/>
    </row>
    <row r="120" ht="15.75" customHeight="1"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9"/>
      <c r="AK120" s="12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9"/>
      <c r="BH120" s="14"/>
      <c r="BI120" s="11"/>
      <c r="BJ120" s="11"/>
      <c r="BK120" s="11"/>
      <c r="BL120" s="11"/>
      <c r="BM120" s="11"/>
      <c r="BN120" s="11"/>
      <c r="BO120" s="11"/>
      <c r="BP120" s="11"/>
      <c r="BQ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9"/>
      <c r="CF120" s="9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  <c r="DJ120" s="16"/>
      <c r="DK120" s="16"/>
      <c r="DL120" s="16"/>
    </row>
    <row r="121" ht="15.75" customHeight="1"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9"/>
      <c r="AK121" s="12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9"/>
      <c r="BH121" s="14"/>
      <c r="BI121" s="11"/>
      <c r="BJ121" s="11"/>
      <c r="BK121" s="11"/>
      <c r="BL121" s="11"/>
      <c r="BM121" s="11"/>
      <c r="BN121" s="11"/>
      <c r="BO121" s="11"/>
      <c r="BP121" s="11"/>
      <c r="BQ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9"/>
      <c r="CF121" s="9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  <c r="DJ121" s="16"/>
      <c r="DK121" s="16"/>
      <c r="DL121" s="16"/>
    </row>
    <row r="122" ht="15.75" customHeight="1"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9"/>
      <c r="AK122" s="12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9"/>
      <c r="BH122" s="14"/>
      <c r="BI122" s="11"/>
      <c r="BJ122" s="11"/>
      <c r="BK122" s="11"/>
      <c r="BL122" s="11"/>
      <c r="BM122" s="11"/>
      <c r="BN122" s="11"/>
      <c r="BO122" s="11"/>
      <c r="BP122" s="11"/>
      <c r="BQ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9"/>
      <c r="CF122" s="9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  <c r="DJ122" s="16"/>
      <c r="DK122" s="16"/>
      <c r="DL122" s="16"/>
    </row>
    <row r="123" ht="15.75" customHeight="1"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9"/>
      <c r="AK123" s="12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9"/>
      <c r="BH123" s="14"/>
      <c r="BI123" s="11"/>
      <c r="BJ123" s="11"/>
      <c r="BK123" s="11"/>
      <c r="BL123" s="11"/>
      <c r="BM123" s="11"/>
      <c r="BN123" s="11"/>
      <c r="BO123" s="11"/>
      <c r="BP123" s="11"/>
      <c r="BQ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9"/>
      <c r="CF123" s="9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  <c r="DJ123" s="16"/>
      <c r="DK123" s="16"/>
      <c r="DL123" s="16"/>
    </row>
    <row r="124" ht="15.75" customHeight="1"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9"/>
      <c r="AK124" s="12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9"/>
      <c r="BH124" s="14"/>
      <c r="BI124" s="11"/>
      <c r="BJ124" s="11"/>
      <c r="BK124" s="11"/>
      <c r="BL124" s="11"/>
      <c r="BM124" s="11"/>
      <c r="BN124" s="11"/>
      <c r="BO124" s="11"/>
      <c r="BP124" s="11"/>
      <c r="BQ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9"/>
      <c r="CF124" s="9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</row>
    <row r="125" ht="15.75" customHeight="1"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9"/>
      <c r="AK125" s="12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9"/>
      <c r="BH125" s="14"/>
      <c r="BI125" s="11"/>
      <c r="BJ125" s="11"/>
      <c r="BK125" s="11"/>
      <c r="BL125" s="11"/>
      <c r="BM125" s="11"/>
      <c r="BN125" s="11"/>
      <c r="BO125" s="11"/>
      <c r="BP125" s="11"/>
      <c r="BQ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9"/>
      <c r="CF125" s="9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  <c r="DJ125" s="16"/>
      <c r="DK125" s="16"/>
      <c r="DL125" s="16"/>
    </row>
    <row r="126" ht="15.75" customHeight="1"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9"/>
      <c r="AK126" s="12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9"/>
      <c r="BH126" s="14"/>
      <c r="BI126" s="11"/>
      <c r="BJ126" s="11"/>
      <c r="BK126" s="11"/>
      <c r="BL126" s="11"/>
      <c r="BM126" s="11"/>
      <c r="BN126" s="11"/>
      <c r="BO126" s="11"/>
      <c r="BP126" s="11"/>
      <c r="BQ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9"/>
      <c r="CF126" s="9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  <c r="DJ126" s="16"/>
      <c r="DK126" s="16"/>
      <c r="DL126" s="16"/>
    </row>
    <row r="127" ht="15.75" customHeight="1"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9"/>
      <c r="AK127" s="12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9"/>
      <c r="BH127" s="14"/>
      <c r="BI127" s="11"/>
      <c r="BJ127" s="11"/>
      <c r="BK127" s="11"/>
      <c r="BL127" s="11"/>
      <c r="BM127" s="11"/>
      <c r="BN127" s="11"/>
      <c r="BO127" s="11"/>
      <c r="BP127" s="11"/>
      <c r="BQ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9"/>
      <c r="CF127" s="9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/>
      <c r="DI127" s="16"/>
      <c r="DJ127" s="16"/>
      <c r="DK127" s="16"/>
      <c r="DL127" s="16"/>
    </row>
    <row r="128" ht="15.75" customHeight="1"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9"/>
      <c r="AK128" s="12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9"/>
      <c r="BH128" s="14"/>
      <c r="BI128" s="11"/>
      <c r="BJ128" s="11"/>
      <c r="BK128" s="11"/>
      <c r="BL128" s="11"/>
      <c r="BM128" s="11"/>
      <c r="BN128" s="11"/>
      <c r="BO128" s="11"/>
      <c r="BP128" s="11"/>
      <c r="BQ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9"/>
      <c r="CF128" s="9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  <c r="DJ128" s="16"/>
      <c r="DK128" s="16"/>
      <c r="DL128" s="16"/>
    </row>
    <row r="129" ht="15.75" customHeight="1"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9"/>
      <c r="AK129" s="12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9"/>
      <c r="BH129" s="14"/>
      <c r="BI129" s="11"/>
      <c r="BJ129" s="11"/>
      <c r="BK129" s="11"/>
      <c r="BL129" s="11"/>
      <c r="BM129" s="11"/>
      <c r="BN129" s="11"/>
      <c r="BO129" s="11"/>
      <c r="BP129" s="11"/>
      <c r="BQ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9"/>
      <c r="CF129" s="9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  <c r="DJ129" s="16"/>
      <c r="DK129" s="16"/>
      <c r="DL129" s="16"/>
    </row>
    <row r="130" ht="15.75" customHeight="1"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9"/>
      <c r="AK130" s="12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9"/>
      <c r="BH130" s="14"/>
      <c r="BI130" s="11"/>
      <c r="BJ130" s="11"/>
      <c r="BK130" s="11"/>
      <c r="BL130" s="11"/>
      <c r="BM130" s="11"/>
      <c r="BN130" s="11"/>
      <c r="BO130" s="11"/>
      <c r="BP130" s="11"/>
      <c r="BQ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9"/>
      <c r="CF130" s="9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  <c r="DK130" s="16"/>
      <c r="DL130" s="16"/>
    </row>
    <row r="131" ht="15.75" customHeight="1"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9"/>
      <c r="AK131" s="12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9"/>
      <c r="BH131" s="14"/>
      <c r="BI131" s="11"/>
      <c r="BJ131" s="11"/>
      <c r="BK131" s="11"/>
      <c r="BL131" s="11"/>
      <c r="BM131" s="11"/>
      <c r="BN131" s="11"/>
      <c r="BO131" s="11"/>
      <c r="BP131" s="11"/>
      <c r="BQ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9"/>
      <c r="CF131" s="9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</row>
    <row r="132" ht="15.75" customHeight="1"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9"/>
      <c r="AK132" s="12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9"/>
      <c r="BH132" s="14"/>
      <c r="BI132" s="11"/>
      <c r="BJ132" s="11"/>
      <c r="BK132" s="11"/>
      <c r="BL132" s="11"/>
      <c r="BM132" s="11"/>
      <c r="BN132" s="11"/>
      <c r="BO132" s="11"/>
      <c r="BP132" s="11"/>
      <c r="BQ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9"/>
      <c r="CF132" s="9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  <c r="DK132" s="16"/>
      <c r="DL132" s="16"/>
    </row>
    <row r="133" ht="15.75" customHeight="1"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9"/>
      <c r="AK133" s="12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9"/>
      <c r="BH133" s="14"/>
      <c r="BI133" s="11"/>
      <c r="BJ133" s="11"/>
      <c r="BK133" s="11"/>
      <c r="BL133" s="11"/>
      <c r="BM133" s="11"/>
      <c r="BN133" s="11"/>
      <c r="BO133" s="11"/>
      <c r="BP133" s="11"/>
      <c r="BQ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9"/>
      <c r="CF133" s="9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  <c r="DJ133" s="16"/>
      <c r="DK133" s="16"/>
      <c r="DL133" s="16"/>
    </row>
    <row r="134" ht="15.75" customHeight="1"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9"/>
      <c r="AK134" s="12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9"/>
      <c r="BH134" s="14"/>
      <c r="BI134" s="11"/>
      <c r="BJ134" s="11"/>
      <c r="BK134" s="11"/>
      <c r="BL134" s="11"/>
      <c r="BM134" s="11"/>
      <c r="BN134" s="11"/>
      <c r="BO134" s="11"/>
      <c r="BP134" s="11"/>
      <c r="BQ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9"/>
      <c r="CF134" s="9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</row>
    <row r="135" ht="15.75" customHeight="1"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9"/>
      <c r="AK135" s="12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9"/>
      <c r="BH135" s="14"/>
      <c r="BI135" s="11"/>
      <c r="BJ135" s="11"/>
      <c r="BK135" s="11"/>
      <c r="BL135" s="11"/>
      <c r="BM135" s="11"/>
      <c r="BN135" s="11"/>
      <c r="BO135" s="11"/>
      <c r="BP135" s="11"/>
      <c r="BQ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9"/>
      <c r="CF135" s="9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  <c r="DJ135" s="16"/>
      <c r="DK135" s="16"/>
      <c r="DL135" s="16"/>
    </row>
    <row r="136" ht="15.75" customHeight="1"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9"/>
      <c r="AK136" s="12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9"/>
      <c r="BH136" s="14"/>
      <c r="BI136" s="11"/>
      <c r="BJ136" s="11"/>
      <c r="BK136" s="11"/>
      <c r="BL136" s="11"/>
      <c r="BM136" s="11"/>
      <c r="BN136" s="11"/>
      <c r="BO136" s="11"/>
      <c r="BP136" s="11"/>
      <c r="BQ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9"/>
      <c r="CF136" s="9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</row>
    <row r="137" ht="15.75" customHeight="1"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9"/>
      <c r="AK137" s="12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9"/>
      <c r="BH137" s="14"/>
      <c r="BI137" s="11"/>
      <c r="BJ137" s="11"/>
      <c r="BK137" s="11"/>
      <c r="BL137" s="11"/>
      <c r="BM137" s="11"/>
      <c r="BN137" s="11"/>
      <c r="BO137" s="11"/>
      <c r="BP137" s="11"/>
      <c r="BQ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9"/>
      <c r="CF137" s="9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  <c r="DJ137" s="16"/>
      <c r="DK137" s="16"/>
      <c r="DL137" s="16"/>
    </row>
    <row r="138" ht="15.75" customHeight="1"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9"/>
      <c r="AK138" s="12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9"/>
      <c r="BH138" s="14"/>
      <c r="BI138" s="11"/>
      <c r="BJ138" s="11"/>
      <c r="BK138" s="11"/>
      <c r="BL138" s="11"/>
      <c r="BM138" s="11"/>
      <c r="BN138" s="11"/>
      <c r="BO138" s="11"/>
      <c r="BP138" s="11"/>
      <c r="BQ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9"/>
      <c r="CF138" s="9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</row>
    <row r="139" ht="15.75" customHeight="1"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9"/>
      <c r="AK139" s="12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9"/>
      <c r="BH139" s="14"/>
      <c r="BI139" s="11"/>
      <c r="BJ139" s="11"/>
      <c r="BK139" s="11"/>
      <c r="BL139" s="11"/>
      <c r="BM139" s="11"/>
      <c r="BN139" s="11"/>
      <c r="BO139" s="11"/>
      <c r="BP139" s="11"/>
      <c r="BQ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9"/>
      <c r="CF139" s="9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  <c r="DJ139" s="16"/>
      <c r="DK139" s="16"/>
      <c r="DL139" s="16"/>
    </row>
    <row r="140" ht="15.75" customHeight="1"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9"/>
      <c r="AK140" s="12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9"/>
      <c r="BH140" s="14"/>
      <c r="BI140" s="11"/>
      <c r="BJ140" s="11"/>
      <c r="BK140" s="11"/>
      <c r="BL140" s="11"/>
      <c r="BM140" s="11"/>
      <c r="BN140" s="11"/>
      <c r="BO140" s="11"/>
      <c r="BP140" s="11"/>
      <c r="BQ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9"/>
      <c r="CF140" s="9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  <c r="DJ140" s="16"/>
      <c r="DK140" s="16"/>
      <c r="DL140" s="16"/>
    </row>
    <row r="141" ht="15.75" customHeight="1"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9"/>
      <c r="AK141" s="12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9"/>
      <c r="BH141" s="14"/>
      <c r="BI141" s="11"/>
      <c r="BJ141" s="11"/>
      <c r="BK141" s="11"/>
      <c r="BL141" s="11"/>
      <c r="BM141" s="11"/>
      <c r="BN141" s="11"/>
      <c r="BO141" s="11"/>
      <c r="BP141" s="11"/>
      <c r="BQ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9"/>
      <c r="CF141" s="9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/>
      <c r="DI141" s="16"/>
      <c r="DJ141" s="16"/>
      <c r="DK141" s="16"/>
      <c r="DL141" s="16"/>
    </row>
    <row r="142" ht="15.75" customHeight="1"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9"/>
      <c r="AK142" s="12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9"/>
      <c r="BH142" s="14"/>
      <c r="BI142" s="11"/>
      <c r="BJ142" s="11"/>
      <c r="BK142" s="11"/>
      <c r="BL142" s="11"/>
      <c r="BM142" s="11"/>
      <c r="BN142" s="11"/>
      <c r="BO142" s="11"/>
      <c r="BP142" s="11"/>
      <c r="BQ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9"/>
      <c r="CF142" s="9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/>
      <c r="DI142" s="16"/>
      <c r="DJ142" s="16"/>
      <c r="DK142" s="16"/>
      <c r="DL142" s="16"/>
    </row>
    <row r="143" ht="15.75" customHeight="1"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9"/>
      <c r="AK143" s="12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9"/>
      <c r="BH143" s="14"/>
      <c r="BI143" s="11"/>
      <c r="BJ143" s="11"/>
      <c r="BK143" s="11"/>
      <c r="BL143" s="11"/>
      <c r="BM143" s="11"/>
      <c r="BN143" s="11"/>
      <c r="BO143" s="11"/>
      <c r="BP143" s="11"/>
      <c r="BQ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9"/>
      <c r="CF143" s="9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  <c r="DJ143" s="16"/>
      <c r="DK143" s="16"/>
      <c r="DL143" s="16"/>
    </row>
    <row r="144" ht="15.75" customHeight="1"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9"/>
      <c r="AK144" s="12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9"/>
      <c r="BH144" s="14"/>
      <c r="BI144" s="11"/>
      <c r="BJ144" s="11"/>
      <c r="BK144" s="11"/>
      <c r="BL144" s="11"/>
      <c r="BM144" s="11"/>
      <c r="BN144" s="11"/>
      <c r="BO144" s="11"/>
      <c r="BP144" s="11"/>
      <c r="BQ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9"/>
      <c r="CF144" s="9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  <c r="DJ144" s="16"/>
      <c r="DK144" s="16"/>
      <c r="DL144" s="16"/>
    </row>
    <row r="145" ht="15.75" customHeight="1"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9"/>
      <c r="AK145" s="12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9"/>
      <c r="BH145" s="14"/>
      <c r="BI145" s="11"/>
      <c r="BJ145" s="11"/>
      <c r="BK145" s="11"/>
      <c r="BL145" s="11"/>
      <c r="BM145" s="11"/>
      <c r="BN145" s="11"/>
      <c r="BO145" s="11"/>
      <c r="BP145" s="11"/>
      <c r="BQ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9"/>
      <c r="CF145" s="9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</row>
    <row r="146" ht="15.75" customHeight="1"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9"/>
      <c r="AK146" s="12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9"/>
      <c r="BH146" s="14"/>
      <c r="BI146" s="11"/>
      <c r="BJ146" s="11"/>
      <c r="BK146" s="11"/>
      <c r="BL146" s="11"/>
      <c r="BM146" s="11"/>
      <c r="BN146" s="11"/>
      <c r="BO146" s="11"/>
      <c r="BP146" s="11"/>
      <c r="BQ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9"/>
      <c r="CF146" s="9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  <c r="DJ146" s="16"/>
      <c r="DK146" s="16"/>
      <c r="DL146" s="16"/>
    </row>
    <row r="147" ht="15.75" customHeight="1"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9"/>
      <c r="AK147" s="12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9"/>
      <c r="BH147" s="14"/>
      <c r="BI147" s="11"/>
      <c r="BJ147" s="11"/>
      <c r="BK147" s="11"/>
      <c r="BL147" s="11"/>
      <c r="BM147" s="11"/>
      <c r="BN147" s="11"/>
      <c r="BO147" s="11"/>
      <c r="BP147" s="11"/>
      <c r="BQ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9"/>
      <c r="CF147" s="9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/>
      <c r="DI147" s="16"/>
      <c r="DJ147" s="16"/>
      <c r="DK147" s="16"/>
      <c r="DL147" s="16"/>
    </row>
    <row r="148" ht="15.75" customHeight="1"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9"/>
      <c r="AK148" s="12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9"/>
      <c r="BH148" s="14"/>
      <c r="BI148" s="11"/>
      <c r="BJ148" s="11"/>
      <c r="BK148" s="11"/>
      <c r="BL148" s="11"/>
      <c r="BM148" s="11"/>
      <c r="BN148" s="11"/>
      <c r="BO148" s="11"/>
      <c r="BP148" s="11"/>
      <c r="BQ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9"/>
      <c r="CF148" s="9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  <c r="CU148" s="11"/>
      <c r="CV148" s="11"/>
      <c r="CW148" s="11"/>
      <c r="CX148" s="11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  <c r="DJ148" s="16"/>
      <c r="DK148" s="16"/>
      <c r="DL148" s="16"/>
    </row>
    <row r="149" ht="15.75" customHeight="1"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9"/>
      <c r="AK149" s="12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9"/>
      <c r="BH149" s="14"/>
      <c r="BI149" s="11"/>
      <c r="BJ149" s="11"/>
      <c r="BK149" s="11"/>
      <c r="BL149" s="11"/>
      <c r="BM149" s="11"/>
      <c r="BN149" s="11"/>
      <c r="BO149" s="11"/>
      <c r="BP149" s="11"/>
      <c r="BQ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9"/>
      <c r="CF149" s="9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  <c r="DJ149" s="16"/>
      <c r="DK149" s="16"/>
      <c r="DL149" s="16"/>
    </row>
    <row r="150" ht="15.75" customHeight="1"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9"/>
      <c r="AK150" s="12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9"/>
      <c r="BH150" s="14"/>
      <c r="BI150" s="11"/>
      <c r="BJ150" s="11"/>
      <c r="BK150" s="11"/>
      <c r="BL150" s="11"/>
      <c r="BM150" s="11"/>
      <c r="BN150" s="11"/>
      <c r="BO150" s="11"/>
      <c r="BP150" s="11"/>
      <c r="BQ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9"/>
      <c r="CF150" s="9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  <c r="DJ150" s="16"/>
      <c r="DK150" s="16"/>
      <c r="DL150" s="16"/>
    </row>
    <row r="151" ht="15.75" customHeight="1"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9"/>
      <c r="AK151" s="12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9"/>
      <c r="BH151" s="14"/>
      <c r="BI151" s="11"/>
      <c r="BJ151" s="11"/>
      <c r="BK151" s="11"/>
      <c r="BL151" s="11"/>
      <c r="BM151" s="11"/>
      <c r="BN151" s="11"/>
      <c r="BO151" s="11"/>
      <c r="BP151" s="11"/>
      <c r="BQ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9"/>
      <c r="CF151" s="9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  <c r="DJ151" s="16"/>
      <c r="DK151" s="16"/>
      <c r="DL151" s="16"/>
    </row>
    <row r="152" ht="15.75" customHeight="1"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9"/>
      <c r="AK152" s="12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9"/>
      <c r="BH152" s="14"/>
      <c r="BI152" s="11"/>
      <c r="BJ152" s="11"/>
      <c r="BK152" s="11"/>
      <c r="BL152" s="11"/>
      <c r="BM152" s="11"/>
      <c r="BN152" s="11"/>
      <c r="BO152" s="11"/>
      <c r="BP152" s="11"/>
      <c r="BQ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9"/>
      <c r="CF152" s="9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  <c r="DK152" s="16"/>
      <c r="DL152" s="16"/>
    </row>
    <row r="153" ht="15.75" customHeight="1"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9"/>
      <c r="AK153" s="12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9"/>
      <c r="BH153" s="14"/>
      <c r="BI153" s="11"/>
      <c r="BJ153" s="11"/>
      <c r="BK153" s="11"/>
      <c r="BL153" s="11"/>
      <c r="BM153" s="11"/>
      <c r="BN153" s="11"/>
      <c r="BO153" s="11"/>
      <c r="BP153" s="11"/>
      <c r="BQ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9"/>
      <c r="CF153" s="9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  <c r="DJ153" s="16"/>
      <c r="DK153" s="16"/>
      <c r="DL153" s="16"/>
    </row>
    <row r="154" ht="15.75" customHeight="1"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9"/>
      <c r="AK154" s="12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9"/>
      <c r="BH154" s="14"/>
      <c r="BI154" s="11"/>
      <c r="BJ154" s="11"/>
      <c r="BK154" s="11"/>
      <c r="BL154" s="11"/>
      <c r="BM154" s="11"/>
      <c r="BN154" s="11"/>
      <c r="BO154" s="11"/>
      <c r="BP154" s="11"/>
      <c r="BQ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9"/>
      <c r="CF154" s="9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  <c r="CU154" s="11"/>
      <c r="CV154" s="11"/>
      <c r="CW154" s="11"/>
      <c r="CX154" s="11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  <c r="DJ154" s="16"/>
      <c r="DK154" s="16"/>
      <c r="DL154" s="16"/>
    </row>
    <row r="155" ht="15.75" customHeight="1"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9"/>
      <c r="AK155" s="12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9"/>
      <c r="BH155" s="14"/>
      <c r="BI155" s="11"/>
      <c r="BJ155" s="11"/>
      <c r="BK155" s="11"/>
      <c r="BL155" s="11"/>
      <c r="BM155" s="11"/>
      <c r="BN155" s="11"/>
      <c r="BO155" s="11"/>
      <c r="BP155" s="11"/>
      <c r="BQ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9"/>
      <c r="CF155" s="9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  <c r="DJ155" s="16"/>
      <c r="DK155" s="16"/>
      <c r="DL155" s="16"/>
    </row>
    <row r="156" ht="15.75" customHeight="1"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9"/>
      <c r="AK156" s="12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9"/>
      <c r="BH156" s="14"/>
      <c r="BI156" s="11"/>
      <c r="BJ156" s="11"/>
      <c r="BK156" s="11"/>
      <c r="BL156" s="11"/>
      <c r="BM156" s="11"/>
      <c r="BN156" s="11"/>
      <c r="BO156" s="11"/>
      <c r="BP156" s="11"/>
      <c r="BQ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9"/>
      <c r="CF156" s="9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/>
      <c r="CW156" s="11"/>
      <c r="CX156" s="11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  <c r="DJ156" s="16"/>
      <c r="DK156" s="16"/>
      <c r="DL156" s="16"/>
    </row>
    <row r="157" ht="15.75" customHeight="1"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9"/>
      <c r="AK157" s="12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9"/>
      <c r="BH157" s="14"/>
      <c r="BI157" s="11"/>
      <c r="BJ157" s="11"/>
      <c r="BK157" s="11"/>
      <c r="BL157" s="11"/>
      <c r="BM157" s="11"/>
      <c r="BN157" s="11"/>
      <c r="BO157" s="11"/>
      <c r="BP157" s="11"/>
      <c r="BQ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9"/>
      <c r="CF157" s="9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/>
      <c r="DI157" s="16"/>
      <c r="DJ157" s="16"/>
      <c r="DK157" s="16"/>
      <c r="DL157" s="16"/>
    </row>
    <row r="158" ht="15.75" customHeight="1"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9"/>
      <c r="AK158" s="12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9"/>
      <c r="BH158" s="14"/>
      <c r="BI158" s="11"/>
      <c r="BJ158" s="11"/>
      <c r="BK158" s="11"/>
      <c r="BL158" s="11"/>
      <c r="BM158" s="11"/>
      <c r="BN158" s="11"/>
      <c r="BO158" s="11"/>
      <c r="BP158" s="11"/>
      <c r="BQ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9"/>
      <c r="CF158" s="9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  <c r="CU158" s="11"/>
      <c r="CV158" s="11"/>
      <c r="CW158" s="11"/>
      <c r="CX158" s="11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  <c r="DJ158" s="16"/>
      <c r="DK158" s="16"/>
      <c r="DL158" s="16"/>
    </row>
    <row r="159" ht="15.75" customHeight="1"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9"/>
      <c r="AK159" s="12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9"/>
      <c r="BH159" s="14"/>
      <c r="BI159" s="11"/>
      <c r="BJ159" s="11"/>
      <c r="BK159" s="11"/>
      <c r="BL159" s="11"/>
      <c r="BM159" s="11"/>
      <c r="BN159" s="11"/>
      <c r="BO159" s="11"/>
      <c r="BP159" s="11"/>
      <c r="BQ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9"/>
      <c r="CF159" s="9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  <c r="DK159" s="16"/>
      <c r="DL159" s="16"/>
    </row>
    <row r="160" ht="15.75" customHeight="1"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9"/>
      <c r="AK160" s="12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9"/>
      <c r="BH160" s="14"/>
      <c r="BI160" s="11"/>
      <c r="BJ160" s="11"/>
      <c r="BK160" s="11"/>
      <c r="BL160" s="11"/>
      <c r="BM160" s="11"/>
      <c r="BN160" s="11"/>
      <c r="BO160" s="11"/>
      <c r="BP160" s="11"/>
      <c r="BQ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9"/>
      <c r="CF160" s="9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  <c r="CS160" s="11"/>
      <c r="CT160" s="11"/>
      <c r="CU160" s="11"/>
      <c r="CV160" s="11"/>
      <c r="CW160" s="11"/>
      <c r="CX160" s="11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/>
      <c r="DI160" s="16"/>
      <c r="DJ160" s="16"/>
      <c r="DK160" s="16"/>
      <c r="DL160" s="16"/>
    </row>
    <row r="161" ht="15.75" customHeight="1"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9"/>
      <c r="AK161" s="12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9"/>
      <c r="BH161" s="14"/>
      <c r="BI161" s="11"/>
      <c r="BJ161" s="11"/>
      <c r="BK161" s="11"/>
      <c r="BL161" s="11"/>
      <c r="BM161" s="11"/>
      <c r="BN161" s="11"/>
      <c r="BO161" s="11"/>
      <c r="BP161" s="11"/>
      <c r="BQ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9"/>
      <c r="CF161" s="9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/>
      <c r="DI161" s="16"/>
      <c r="DJ161" s="16"/>
      <c r="DK161" s="16"/>
      <c r="DL161" s="16"/>
    </row>
    <row r="162" ht="15.75" customHeight="1"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9"/>
      <c r="AK162" s="12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9"/>
      <c r="BH162" s="14"/>
      <c r="BI162" s="11"/>
      <c r="BJ162" s="11"/>
      <c r="BK162" s="11"/>
      <c r="BL162" s="11"/>
      <c r="BM162" s="11"/>
      <c r="BN162" s="11"/>
      <c r="BO162" s="11"/>
      <c r="BP162" s="11"/>
      <c r="BQ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9"/>
      <c r="CF162" s="9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  <c r="CU162" s="11"/>
      <c r="CV162" s="11"/>
      <c r="CW162" s="11"/>
      <c r="CX162" s="11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  <c r="DJ162" s="16"/>
      <c r="DK162" s="16"/>
      <c r="DL162" s="16"/>
    </row>
    <row r="163" ht="15.75" customHeight="1"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9"/>
      <c r="AK163" s="12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9"/>
      <c r="BH163" s="14"/>
      <c r="BI163" s="11"/>
      <c r="BJ163" s="11"/>
      <c r="BK163" s="11"/>
      <c r="BL163" s="11"/>
      <c r="BM163" s="11"/>
      <c r="BN163" s="11"/>
      <c r="BO163" s="11"/>
      <c r="BP163" s="11"/>
      <c r="BQ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9"/>
      <c r="CF163" s="9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/>
      <c r="DI163" s="16"/>
      <c r="DJ163" s="16"/>
      <c r="DK163" s="16"/>
      <c r="DL163" s="16"/>
    </row>
    <row r="164" ht="15.75" customHeight="1"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9"/>
      <c r="AK164" s="12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9"/>
      <c r="BH164" s="14"/>
      <c r="BI164" s="11"/>
      <c r="BJ164" s="11"/>
      <c r="BK164" s="11"/>
      <c r="BL164" s="11"/>
      <c r="BM164" s="11"/>
      <c r="BN164" s="11"/>
      <c r="BO164" s="11"/>
      <c r="BP164" s="11"/>
      <c r="BQ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9"/>
      <c r="CF164" s="9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  <c r="CU164" s="11"/>
      <c r="CV164" s="11"/>
      <c r="CW164" s="11"/>
      <c r="CX164" s="11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/>
      <c r="DI164" s="16"/>
      <c r="DJ164" s="16"/>
      <c r="DK164" s="16"/>
      <c r="DL164" s="16"/>
    </row>
    <row r="165" ht="15.75" customHeight="1"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9"/>
      <c r="AK165" s="12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9"/>
      <c r="BH165" s="14"/>
      <c r="BI165" s="11"/>
      <c r="BJ165" s="11"/>
      <c r="BK165" s="11"/>
      <c r="BL165" s="11"/>
      <c r="BM165" s="11"/>
      <c r="BN165" s="11"/>
      <c r="BO165" s="11"/>
      <c r="BP165" s="11"/>
      <c r="BQ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9"/>
      <c r="CF165" s="9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  <c r="CV165" s="11"/>
      <c r="CW165" s="11"/>
      <c r="CX165" s="11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/>
      <c r="DI165" s="16"/>
      <c r="DJ165" s="16"/>
      <c r="DK165" s="16"/>
      <c r="DL165" s="16"/>
    </row>
    <row r="166" ht="15.75" customHeight="1"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9"/>
      <c r="AK166" s="12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9"/>
      <c r="BH166" s="14"/>
      <c r="BI166" s="11"/>
      <c r="BJ166" s="11"/>
      <c r="BK166" s="11"/>
      <c r="BL166" s="11"/>
      <c r="BM166" s="11"/>
      <c r="BN166" s="11"/>
      <c r="BO166" s="11"/>
      <c r="BP166" s="11"/>
      <c r="BQ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9"/>
      <c r="CF166" s="9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  <c r="CU166" s="11"/>
      <c r="CV166" s="11"/>
      <c r="CW166" s="11"/>
      <c r="CX166" s="11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</row>
    <row r="167" ht="15.75" customHeight="1"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9"/>
      <c r="AK167" s="12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9"/>
      <c r="BH167" s="14"/>
      <c r="BI167" s="11"/>
      <c r="BJ167" s="11"/>
      <c r="BK167" s="11"/>
      <c r="BL167" s="11"/>
      <c r="BM167" s="11"/>
      <c r="BN167" s="11"/>
      <c r="BO167" s="11"/>
      <c r="BP167" s="11"/>
      <c r="BQ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9"/>
      <c r="CF167" s="9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6"/>
      <c r="CZ167" s="16"/>
      <c r="DA167" s="16"/>
      <c r="DB167" s="16"/>
      <c r="DC167" s="16"/>
      <c r="DD167" s="16"/>
      <c r="DE167" s="16"/>
      <c r="DF167" s="16"/>
      <c r="DG167" s="16"/>
      <c r="DH167" s="16"/>
      <c r="DI167" s="16"/>
      <c r="DJ167" s="16"/>
      <c r="DK167" s="16"/>
      <c r="DL167" s="16"/>
    </row>
    <row r="168" ht="15.75" customHeight="1"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9"/>
      <c r="AK168" s="12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9"/>
      <c r="BH168" s="14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9"/>
      <c r="CF168" s="9"/>
      <c r="CG168" s="11"/>
      <c r="CH168" s="11"/>
      <c r="CI168" s="11"/>
      <c r="CJ168" s="11"/>
      <c r="CK168" s="11"/>
      <c r="CL168" s="11"/>
      <c r="CM168" s="11"/>
      <c r="CN168" s="11"/>
      <c r="CO168" s="11"/>
      <c r="CP168" s="11"/>
      <c r="CQ168" s="11"/>
      <c r="CR168" s="11"/>
      <c r="CS168" s="11"/>
      <c r="CT168" s="11"/>
      <c r="CU168" s="11"/>
      <c r="CV168" s="11"/>
      <c r="CW168" s="11"/>
      <c r="CX168" s="11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/>
      <c r="DI168" s="16"/>
      <c r="DJ168" s="16"/>
      <c r="DK168" s="16"/>
      <c r="DL168" s="16"/>
    </row>
    <row r="169" ht="15.75" customHeight="1"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9"/>
      <c r="AK169" s="12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9"/>
      <c r="BH169" s="14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9"/>
      <c r="CF169" s="9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/>
      <c r="DI169" s="16"/>
      <c r="DJ169" s="16"/>
      <c r="DK169" s="16"/>
      <c r="DL169" s="16"/>
    </row>
    <row r="170" ht="15.75" customHeight="1"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9"/>
      <c r="AK170" s="12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9"/>
      <c r="BH170" s="14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9"/>
      <c r="CF170" s="9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/>
      <c r="DI170" s="16"/>
      <c r="DJ170" s="16"/>
      <c r="DK170" s="16"/>
      <c r="DL170" s="16"/>
    </row>
    <row r="171" ht="15.75" customHeight="1"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9"/>
      <c r="AK171" s="12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9"/>
      <c r="BH171" s="14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9"/>
      <c r="CF171" s="9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  <c r="CW171" s="11"/>
      <c r="CX171" s="11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/>
      <c r="DI171" s="16"/>
      <c r="DJ171" s="16"/>
      <c r="DK171" s="16"/>
      <c r="DL171" s="16"/>
    </row>
    <row r="172" ht="15.75" customHeight="1"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9"/>
      <c r="AK172" s="12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9"/>
      <c r="BH172" s="14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9"/>
      <c r="CF172" s="9"/>
      <c r="CG172" s="11"/>
      <c r="CH172" s="11"/>
      <c r="CI172" s="11"/>
      <c r="CJ172" s="11"/>
      <c r="CK172" s="11"/>
      <c r="CL172" s="11"/>
      <c r="CM172" s="11"/>
      <c r="CN172" s="11"/>
      <c r="CO172" s="11"/>
      <c r="CP172" s="11"/>
      <c r="CQ172" s="11"/>
      <c r="CR172" s="11"/>
      <c r="CS172" s="11"/>
      <c r="CT172" s="11"/>
      <c r="CU172" s="11"/>
      <c r="CV172" s="11"/>
      <c r="CW172" s="11"/>
      <c r="CX172" s="11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/>
      <c r="DI172" s="16"/>
      <c r="DJ172" s="16"/>
      <c r="DK172" s="16"/>
      <c r="DL172" s="16"/>
    </row>
    <row r="173" ht="15.75" customHeight="1"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9"/>
      <c r="AK173" s="12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9"/>
      <c r="BH173" s="14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9"/>
      <c r="CF173" s="9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</row>
    <row r="174" ht="15.75" customHeight="1"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9"/>
      <c r="AK174" s="12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9"/>
      <c r="BH174" s="14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9"/>
      <c r="CF174" s="9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/>
      <c r="CQ174" s="11"/>
      <c r="CR174" s="11"/>
      <c r="CS174" s="11"/>
      <c r="CT174" s="11"/>
      <c r="CU174" s="11"/>
      <c r="CV174" s="11"/>
      <c r="CW174" s="11"/>
      <c r="CX174" s="11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  <c r="DJ174" s="16"/>
      <c r="DK174" s="16"/>
      <c r="DL174" s="16"/>
    </row>
    <row r="175" ht="15.75" customHeight="1"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9"/>
      <c r="AK175" s="12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9"/>
      <c r="BH175" s="14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9"/>
      <c r="CF175" s="9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  <c r="CU175" s="11"/>
      <c r="CV175" s="11"/>
      <c r="CW175" s="11"/>
      <c r="CX175" s="11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/>
      <c r="DI175" s="16"/>
      <c r="DJ175" s="16"/>
      <c r="DK175" s="16"/>
      <c r="DL175" s="16"/>
    </row>
    <row r="176" ht="15.75" customHeight="1"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9"/>
      <c r="AK176" s="12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9"/>
      <c r="BH176" s="14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9"/>
      <c r="CF176" s="9"/>
      <c r="CG176" s="11"/>
      <c r="CH176" s="11"/>
      <c r="CI176" s="11"/>
      <c r="CJ176" s="11"/>
      <c r="CK176" s="11"/>
      <c r="CL176" s="11"/>
      <c r="CM176" s="11"/>
      <c r="CN176" s="11"/>
      <c r="CO176" s="11"/>
      <c r="CP176" s="11"/>
      <c r="CQ176" s="11"/>
      <c r="CR176" s="11"/>
      <c r="CS176" s="11"/>
      <c r="CT176" s="11"/>
      <c r="CU176" s="11"/>
      <c r="CV176" s="11"/>
      <c r="CW176" s="11"/>
      <c r="CX176" s="11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/>
      <c r="DI176" s="16"/>
      <c r="DJ176" s="16"/>
      <c r="DK176" s="16"/>
      <c r="DL176" s="16"/>
    </row>
    <row r="177" ht="15.75" customHeight="1">
      <c r="A177" s="9"/>
      <c r="B177" s="11"/>
      <c r="C177" s="11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9"/>
      <c r="AK177" s="12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9"/>
      <c r="BH177" s="14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9"/>
      <c r="CF177" s="9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6"/>
      <c r="CZ177" s="16"/>
      <c r="DA177" s="16"/>
      <c r="DB177" s="16"/>
      <c r="DC177" s="16"/>
      <c r="DD177" s="16"/>
      <c r="DE177" s="16"/>
      <c r="DF177" s="16"/>
      <c r="DG177" s="16"/>
      <c r="DH177" s="16"/>
      <c r="DI177" s="16"/>
      <c r="DJ177" s="16"/>
      <c r="DK177" s="16"/>
      <c r="DL177" s="16"/>
    </row>
    <row r="178" ht="15.75" customHeight="1">
      <c r="A178" s="9"/>
      <c r="B178" s="11"/>
      <c r="C178" s="11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9"/>
      <c r="AK178" s="12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9"/>
      <c r="BH178" s="14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9"/>
      <c r="CF178" s="9"/>
      <c r="CG178" s="11"/>
      <c r="CH178" s="11"/>
      <c r="CI178" s="11"/>
      <c r="CJ178" s="11"/>
      <c r="CK178" s="11"/>
      <c r="CL178" s="11"/>
      <c r="CM178" s="11"/>
      <c r="CN178" s="11"/>
      <c r="CO178" s="11"/>
      <c r="CP178" s="11"/>
      <c r="CQ178" s="11"/>
      <c r="CR178" s="11"/>
      <c r="CS178" s="11"/>
      <c r="CT178" s="11"/>
      <c r="CU178" s="11"/>
      <c r="CV178" s="11"/>
      <c r="CW178" s="11"/>
      <c r="CX178" s="11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  <c r="DJ178" s="16"/>
      <c r="DK178" s="16"/>
      <c r="DL178" s="16"/>
    </row>
    <row r="179" ht="15.75" customHeight="1">
      <c r="A179" s="9"/>
      <c r="B179" s="11"/>
      <c r="C179" s="11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9"/>
      <c r="AK179" s="12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9"/>
      <c r="BH179" s="14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9"/>
      <c r="CF179" s="9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  <c r="CU179" s="11"/>
      <c r="CV179" s="11"/>
      <c r="CW179" s="11"/>
      <c r="CX179" s="11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  <c r="DJ179" s="16"/>
      <c r="DK179" s="16"/>
      <c r="DL179" s="16"/>
    </row>
    <row r="180" ht="15.75" customHeight="1">
      <c r="A180" s="9"/>
      <c r="B180" s="11"/>
      <c r="C180" s="11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9"/>
      <c r="AK180" s="12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9"/>
      <c r="BH180" s="14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9"/>
      <c r="CF180" s="9"/>
      <c r="CG180" s="11"/>
      <c r="CH180" s="11"/>
      <c r="CI180" s="11"/>
      <c r="CJ180" s="11"/>
      <c r="CK180" s="11"/>
      <c r="CL180" s="11"/>
      <c r="CM180" s="11"/>
      <c r="CN180" s="11"/>
      <c r="CO180" s="11"/>
      <c r="CP180" s="11"/>
      <c r="CQ180" s="11"/>
      <c r="CR180" s="11"/>
      <c r="CS180" s="11"/>
      <c r="CT180" s="11"/>
      <c r="CU180" s="11"/>
      <c r="CV180" s="11"/>
      <c r="CW180" s="11"/>
      <c r="CX180" s="11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  <c r="DJ180" s="16"/>
      <c r="DK180" s="16"/>
      <c r="DL180" s="16"/>
    </row>
    <row r="181" ht="15.75" customHeight="1">
      <c r="A181" s="9"/>
      <c r="B181" s="11"/>
      <c r="C181" s="11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9"/>
      <c r="AK181" s="12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9"/>
      <c r="BH181" s="14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9"/>
      <c r="CF181" s="9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/>
      <c r="DI181" s="16"/>
      <c r="DJ181" s="16"/>
      <c r="DK181" s="16"/>
      <c r="DL181" s="16"/>
    </row>
    <row r="182" ht="15.75" customHeight="1">
      <c r="A182" s="9"/>
      <c r="B182" s="11"/>
      <c r="C182" s="11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9"/>
      <c r="AK182" s="12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9"/>
      <c r="BH182" s="14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9"/>
      <c r="CF182" s="9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  <c r="CU182" s="11"/>
      <c r="CV182" s="11"/>
      <c r="CW182" s="11"/>
      <c r="CX182" s="11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6"/>
      <c r="DJ182" s="16"/>
      <c r="DK182" s="16"/>
      <c r="DL182" s="16"/>
    </row>
    <row r="183" ht="15.75" customHeight="1">
      <c r="A183" s="9"/>
      <c r="B183" s="11"/>
      <c r="C183" s="11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9"/>
      <c r="AK183" s="12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9"/>
      <c r="BH183" s="14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9"/>
      <c r="CF183" s="9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/>
      <c r="DI183" s="16"/>
      <c r="DJ183" s="16"/>
      <c r="DK183" s="16"/>
      <c r="DL183" s="16"/>
    </row>
    <row r="184" ht="15.75" customHeight="1">
      <c r="A184" s="9"/>
      <c r="B184" s="11"/>
      <c r="C184" s="11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9"/>
      <c r="AK184" s="12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9"/>
      <c r="BH184" s="14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9"/>
      <c r="CF184" s="9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6"/>
      <c r="DJ184" s="16"/>
      <c r="DK184" s="16"/>
      <c r="DL184" s="16"/>
    </row>
    <row r="185" ht="15.75" customHeight="1">
      <c r="A185" s="9"/>
      <c r="B185" s="11"/>
      <c r="C185" s="11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9"/>
      <c r="AK185" s="12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9"/>
      <c r="BH185" s="14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9"/>
      <c r="CF185" s="9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/>
      <c r="DI185" s="16"/>
      <c r="DJ185" s="16"/>
      <c r="DK185" s="16"/>
      <c r="DL185" s="16"/>
    </row>
    <row r="186" ht="15.75" customHeight="1">
      <c r="A186" s="9"/>
      <c r="B186" s="11"/>
      <c r="C186" s="11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9"/>
      <c r="AK186" s="12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9"/>
      <c r="BH186" s="14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9"/>
      <c r="CF186" s="9"/>
      <c r="CG186" s="11"/>
      <c r="CH186" s="11"/>
      <c r="CI186" s="11"/>
      <c r="CJ186" s="11"/>
      <c r="CK186" s="11"/>
      <c r="CL186" s="11"/>
      <c r="CM186" s="11"/>
      <c r="CN186" s="11"/>
      <c r="CO186" s="11"/>
      <c r="CP186" s="11"/>
      <c r="CQ186" s="11"/>
      <c r="CR186" s="11"/>
      <c r="CS186" s="11"/>
      <c r="CT186" s="11"/>
      <c r="CU186" s="11"/>
      <c r="CV186" s="11"/>
      <c r="CW186" s="11"/>
      <c r="CX186" s="11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/>
      <c r="DI186" s="16"/>
      <c r="DJ186" s="16"/>
      <c r="DK186" s="16"/>
      <c r="DL186" s="16"/>
    </row>
    <row r="187" ht="15.75" customHeight="1">
      <c r="A187" s="9"/>
      <c r="B187" s="11"/>
      <c r="C187" s="11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9"/>
      <c r="AK187" s="12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9"/>
      <c r="BH187" s="14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9"/>
      <c r="CF187" s="9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  <c r="CU187" s="11"/>
      <c r="CV187" s="11"/>
      <c r="CW187" s="11"/>
      <c r="CX187" s="11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/>
      <c r="DI187" s="16"/>
      <c r="DJ187" s="16"/>
      <c r="DK187" s="16"/>
      <c r="DL187" s="16"/>
    </row>
    <row r="188" ht="15.75" customHeight="1">
      <c r="A188" s="9"/>
      <c r="B188" s="11"/>
      <c r="C188" s="11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9"/>
      <c r="AK188" s="12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9"/>
      <c r="BH188" s="14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9"/>
      <c r="CF188" s="9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  <c r="CT188" s="11"/>
      <c r="CU188" s="11"/>
      <c r="CV188" s="11"/>
      <c r="CW188" s="11"/>
      <c r="CX188" s="11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/>
      <c r="DI188" s="16"/>
      <c r="DJ188" s="16"/>
      <c r="DK188" s="16"/>
      <c r="DL188" s="16"/>
    </row>
    <row r="189" ht="15.75" customHeight="1">
      <c r="A189" s="9"/>
      <c r="B189" s="11"/>
      <c r="C189" s="11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9"/>
      <c r="AK189" s="12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9"/>
      <c r="BH189" s="14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9"/>
      <c r="CF189" s="9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  <c r="CV189" s="11"/>
      <c r="CW189" s="11"/>
      <c r="CX189" s="11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/>
      <c r="DI189" s="16"/>
      <c r="DJ189" s="16"/>
      <c r="DK189" s="16"/>
      <c r="DL189" s="16"/>
    </row>
    <row r="190" ht="15.75" customHeight="1">
      <c r="A190" s="9"/>
      <c r="B190" s="11"/>
      <c r="C190" s="11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9"/>
      <c r="AK190" s="12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9"/>
      <c r="BH190" s="14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9"/>
      <c r="CF190" s="9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/>
      <c r="DI190" s="16"/>
      <c r="DJ190" s="16"/>
      <c r="DK190" s="16"/>
      <c r="DL190" s="16"/>
    </row>
    <row r="191" ht="15.75" customHeight="1">
      <c r="A191" s="9"/>
      <c r="B191" s="11"/>
      <c r="C191" s="11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9"/>
      <c r="AK191" s="12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9"/>
      <c r="BH191" s="14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9"/>
      <c r="CF191" s="9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  <c r="CV191" s="11"/>
      <c r="CW191" s="11"/>
      <c r="CX191" s="11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/>
      <c r="DI191" s="16"/>
      <c r="DJ191" s="16"/>
      <c r="DK191" s="16"/>
      <c r="DL191" s="16"/>
    </row>
    <row r="192" ht="15.75" customHeight="1">
      <c r="A192" s="9"/>
      <c r="B192" s="11"/>
      <c r="C192" s="11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9"/>
      <c r="AK192" s="12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9"/>
      <c r="BH192" s="14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9"/>
      <c r="CF192" s="9"/>
      <c r="CG192" s="11"/>
      <c r="CH192" s="11"/>
      <c r="CI192" s="11"/>
      <c r="CJ192" s="11"/>
      <c r="CK192" s="11"/>
      <c r="CL192" s="11"/>
      <c r="CM192" s="11"/>
      <c r="CN192" s="11"/>
      <c r="CO192" s="11"/>
      <c r="CP192" s="11"/>
      <c r="CQ192" s="11"/>
      <c r="CR192" s="11"/>
      <c r="CS192" s="11"/>
      <c r="CT192" s="11"/>
      <c r="CU192" s="11"/>
      <c r="CV192" s="11"/>
      <c r="CW192" s="11"/>
      <c r="CX192" s="11"/>
      <c r="CY192" s="16"/>
      <c r="CZ192" s="16"/>
      <c r="DA192" s="16"/>
      <c r="DB192" s="16"/>
      <c r="DC192" s="16"/>
      <c r="DD192" s="16"/>
      <c r="DE192" s="16"/>
      <c r="DF192" s="16"/>
      <c r="DG192" s="16"/>
      <c r="DH192" s="16"/>
      <c r="DI192" s="16"/>
      <c r="DJ192" s="16"/>
      <c r="DK192" s="16"/>
      <c r="DL192" s="16"/>
    </row>
    <row r="193" ht="15.75" customHeight="1">
      <c r="A193" s="9"/>
      <c r="B193" s="11"/>
      <c r="C193" s="11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9"/>
      <c r="AK193" s="12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9"/>
      <c r="BH193" s="14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9"/>
      <c r="CF193" s="9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  <c r="CV193" s="11"/>
      <c r="CW193" s="11"/>
      <c r="CX193" s="11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/>
      <c r="DI193" s="16"/>
      <c r="DJ193" s="16"/>
      <c r="DK193" s="16"/>
      <c r="DL193" s="16"/>
    </row>
    <row r="194" ht="15.75" customHeight="1">
      <c r="A194" s="9"/>
      <c r="B194" s="11"/>
      <c r="C194" s="11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9"/>
      <c r="AK194" s="12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9"/>
      <c r="BH194" s="14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9"/>
      <c r="CF194" s="9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  <c r="CU194" s="11"/>
      <c r="CV194" s="11"/>
      <c r="CW194" s="11"/>
      <c r="CX194" s="11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  <c r="DJ194" s="16"/>
      <c r="DK194" s="16"/>
      <c r="DL194" s="16"/>
    </row>
    <row r="195" ht="15.75" customHeight="1">
      <c r="A195" s="9"/>
      <c r="B195" s="11"/>
      <c r="C195" s="11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9"/>
      <c r="AK195" s="12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9"/>
      <c r="BH195" s="14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9"/>
      <c r="CF195" s="9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/>
      <c r="DI195" s="16"/>
      <c r="DJ195" s="16"/>
      <c r="DK195" s="16"/>
      <c r="DL195" s="16"/>
    </row>
    <row r="196" ht="15.75" customHeight="1">
      <c r="A196" s="9"/>
      <c r="B196" s="11"/>
      <c r="C196" s="11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9"/>
      <c r="AK196" s="12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9"/>
      <c r="BH196" s="14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9"/>
      <c r="CF196" s="9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  <c r="CU196" s="11"/>
      <c r="CV196" s="11"/>
      <c r="CW196" s="11"/>
      <c r="CX196" s="11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/>
      <c r="DI196" s="16"/>
      <c r="DJ196" s="16"/>
      <c r="DK196" s="16"/>
      <c r="DL196" s="16"/>
    </row>
    <row r="197" ht="15.75" customHeight="1">
      <c r="A197" s="9"/>
      <c r="B197" s="11"/>
      <c r="C197" s="11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9"/>
      <c r="AK197" s="12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9"/>
      <c r="BH197" s="14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9"/>
      <c r="CF197" s="9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6"/>
      <c r="CZ197" s="16"/>
      <c r="DA197" s="16"/>
      <c r="DB197" s="16"/>
      <c r="DC197" s="16"/>
      <c r="DD197" s="16"/>
      <c r="DE197" s="16"/>
      <c r="DF197" s="16"/>
      <c r="DG197" s="16"/>
      <c r="DH197" s="16"/>
      <c r="DI197" s="16"/>
      <c r="DJ197" s="16"/>
      <c r="DK197" s="16"/>
      <c r="DL197" s="16"/>
    </row>
    <row r="198" ht="15.75" customHeight="1">
      <c r="A198" s="9"/>
      <c r="B198" s="11"/>
      <c r="C198" s="11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9"/>
      <c r="AK198" s="12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9"/>
      <c r="BH198" s="14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9"/>
      <c r="CF198" s="9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6"/>
      <c r="CZ198" s="16"/>
      <c r="DA198" s="16"/>
      <c r="DB198" s="16"/>
      <c r="DC198" s="16"/>
      <c r="DD198" s="16"/>
      <c r="DE198" s="16"/>
      <c r="DF198" s="16"/>
      <c r="DG198" s="16"/>
      <c r="DH198" s="16"/>
      <c r="DI198" s="16"/>
      <c r="DJ198" s="16"/>
      <c r="DK198" s="16"/>
      <c r="DL198" s="16"/>
    </row>
    <row r="199" ht="15.75" customHeight="1">
      <c r="A199" s="9"/>
      <c r="B199" s="11"/>
      <c r="C199" s="11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9"/>
      <c r="AK199" s="12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9"/>
      <c r="BH199" s="14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9"/>
      <c r="CF199" s="9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6"/>
      <c r="CZ199" s="16"/>
      <c r="DA199" s="16"/>
      <c r="DB199" s="16"/>
      <c r="DC199" s="16"/>
      <c r="DD199" s="16"/>
      <c r="DE199" s="16"/>
      <c r="DF199" s="16"/>
      <c r="DG199" s="16"/>
      <c r="DH199" s="16"/>
      <c r="DI199" s="16"/>
      <c r="DJ199" s="16"/>
      <c r="DK199" s="16"/>
      <c r="DL199" s="16"/>
    </row>
    <row r="200" ht="15.75" customHeight="1">
      <c r="A200" s="9"/>
      <c r="B200" s="11"/>
      <c r="C200" s="11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9"/>
      <c r="AK200" s="12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9"/>
      <c r="BH200" s="14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9"/>
      <c r="CF200" s="9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/>
      <c r="DI200" s="16"/>
      <c r="DJ200" s="16"/>
      <c r="DK200" s="16"/>
      <c r="DL200" s="16"/>
    </row>
    <row r="201" ht="15.75" customHeight="1">
      <c r="A201" s="9"/>
      <c r="B201" s="11"/>
      <c r="C201" s="11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9"/>
      <c r="AK201" s="12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9"/>
      <c r="BH201" s="14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9"/>
      <c r="CF201" s="9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/>
      <c r="DI201" s="16"/>
      <c r="DJ201" s="16"/>
      <c r="DK201" s="16"/>
      <c r="DL201" s="16"/>
    </row>
    <row r="202" ht="15.75" customHeight="1">
      <c r="A202" s="9"/>
      <c r="B202" s="11"/>
      <c r="C202" s="11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9"/>
      <c r="AK202" s="12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9"/>
      <c r="BH202" s="14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9"/>
      <c r="CF202" s="9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  <c r="CV202" s="11"/>
      <c r="CW202" s="11"/>
      <c r="CX202" s="11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/>
      <c r="DI202" s="16"/>
      <c r="DJ202" s="16"/>
      <c r="DK202" s="16"/>
      <c r="DL202" s="16"/>
    </row>
    <row r="203" ht="15.75" customHeight="1">
      <c r="A203" s="9"/>
      <c r="B203" s="11"/>
      <c r="C203" s="11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9"/>
      <c r="AK203" s="12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9"/>
      <c r="BH203" s="14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9"/>
      <c r="CF203" s="9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/>
      <c r="DI203" s="16"/>
      <c r="DJ203" s="16"/>
      <c r="DK203" s="16"/>
      <c r="DL203" s="16"/>
    </row>
    <row r="204" ht="15.75" customHeight="1">
      <c r="A204" s="9"/>
      <c r="B204" s="11"/>
      <c r="C204" s="11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9"/>
      <c r="AK204" s="12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9"/>
      <c r="BH204" s="14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9"/>
      <c r="CF204" s="9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  <c r="CV204" s="11"/>
      <c r="CW204" s="11"/>
      <c r="CX204" s="11"/>
      <c r="CY204" s="16"/>
      <c r="CZ204" s="16"/>
      <c r="DA204" s="16"/>
      <c r="DB204" s="16"/>
      <c r="DC204" s="16"/>
      <c r="DD204" s="16"/>
      <c r="DE204" s="16"/>
      <c r="DF204" s="16"/>
      <c r="DG204" s="16"/>
      <c r="DH204" s="16"/>
      <c r="DI204" s="16"/>
      <c r="DJ204" s="16"/>
      <c r="DK204" s="16"/>
      <c r="DL204" s="16"/>
    </row>
    <row r="205" ht="15.75" customHeight="1">
      <c r="A205" s="9"/>
      <c r="B205" s="11"/>
      <c r="C205" s="11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9"/>
      <c r="AK205" s="12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9"/>
      <c r="BH205" s="14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9"/>
      <c r="CF205" s="9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/>
      <c r="DI205" s="16"/>
      <c r="DJ205" s="16"/>
      <c r="DK205" s="16"/>
      <c r="DL205" s="16"/>
    </row>
    <row r="206" ht="15.75" customHeight="1">
      <c r="A206" s="9"/>
      <c r="B206" s="11"/>
      <c r="C206" s="11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9"/>
      <c r="AK206" s="12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9"/>
      <c r="BH206" s="14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9"/>
      <c r="CF206" s="9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/>
      <c r="DI206" s="16"/>
      <c r="DJ206" s="16"/>
      <c r="DK206" s="16"/>
      <c r="DL206" s="16"/>
    </row>
    <row r="207" ht="15.75" customHeight="1">
      <c r="A207" s="9"/>
      <c r="B207" s="11"/>
      <c r="C207" s="11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9"/>
      <c r="AK207" s="12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9"/>
      <c r="BH207" s="14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9"/>
      <c r="CF207" s="9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/>
      <c r="DI207" s="16"/>
      <c r="DJ207" s="16"/>
      <c r="DK207" s="16"/>
      <c r="DL207" s="16"/>
    </row>
    <row r="208" ht="15.75" customHeight="1">
      <c r="A208" s="9"/>
      <c r="B208" s="11"/>
      <c r="C208" s="11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9"/>
      <c r="AK208" s="12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9"/>
      <c r="BH208" s="14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9"/>
      <c r="CF208" s="9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  <c r="CU208" s="11"/>
      <c r="CV208" s="11"/>
      <c r="CW208" s="11"/>
      <c r="CX208" s="11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/>
      <c r="DI208" s="16"/>
      <c r="DJ208" s="16"/>
      <c r="DK208" s="16"/>
      <c r="DL208" s="16"/>
    </row>
    <row r="209" ht="15.75" customHeight="1">
      <c r="A209" s="9"/>
      <c r="B209" s="11"/>
      <c r="C209" s="11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9"/>
      <c r="AK209" s="12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9"/>
      <c r="BH209" s="14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9"/>
      <c r="CF209" s="9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/>
      <c r="DI209" s="16"/>
      <c r="DJ209" s="16"/>
      <c r="DK209" s="16"/>
      <c r="DL209" s="16"/>
    </row>
    <row r="210" ht="15.75" customHeight="1">
      <c r="A210" s="9"/>
      <c r="B210" s="11"/>
      <c r="C210" s="11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9"/>
      <c r="AK210" s="12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9"/>
      <c r="BH210" s="14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9"/>
      <c r="CF210" s="9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  <c r="CU210" s="11"/>
      <c r="CV210" s="11"/>
      <c r="CW210" s="11"/>
      <c r="CX210" s="11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/>
      <c r="DI210" s="16"/>
      <c r="DJ210" s="16"/>
      <c r="DK210" s="16"/>
      <c r="DL210" s="16"/>
    </row>
    <row r="211" ht="15.75" customHeight="1">
      <c r="A211" s="9"/>
      <c r="B211" s="11"/>
      <c r="C211" s="11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9"/>
      <c r="AK211" s="12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9"/>
      <c r="BH211" s="14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9"/>
      <c r="CF211" s="9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/>
      <c r="CY211" s="16"/>
      <c r="CZ211" s="16"/>
      <c r="DA211" s="16"/>
      <c r="DB211" s="16"/>
      <c r="DC211" s="16"/>
      <c r="DD211" s="16"/>
      <c r="DE211" s="16"/>
      <c r="DF211" s="16"/>
      <c r="DG211" s="16"/>
      <c r="DH211" s="16"/>
      <c r="DI211" s="16"/>
      <c r="DJ211" s="16"/>
      <c r="DK211" s="16"/>
      <c r="DL211" s="16"/>
    </row>
    <row r="212" ht="15.75" customHeight="1">
      <c r="A212" s="9"/>
      <c r="B212" s="11"/>
      <c r="C212" s="11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9"/>
      <c r="AK212" s="12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9"/>
      <c r="BH212" s="14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9"/>
      <c r="CF212" s="9"/>
      <c r="CG212" s="11"/>
      <c r="CH212" s="11"/>
      <c r="CI212" s="11"/>
      <c r="CJ212" s="11"/>
      <c r="CK212" s="11"/>
      <c r="CL212" s="11"/>
      <c r="CM212" s="11"/>
      <c r="CN212" s="11"/>
      <c r="CO212" s="11"/>
      <c r="CP212" s="11"/>
      <c r="CQ212" s="11"/>
      <c r="CR212" s="11"/>
      <c r="CS212" s="11"/>
      <c r="CT212" s="11"/>
      <c r="CU212" s="11"/>
      <c r="CV212" s="11"/>
      <c r="CW212" s="11"/>
      <c r="CX212" s="11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/>
      <c r="DI212" s="16"/>
      <c r="DJ212" s="16"/>
      <c r="DK212" s="16"/>
      <c r="DL212" s="16"/>
    </row>
    <row r="213" ht="15.75" customHeight="1">
      <c r="A213" s="9"/>
      <c r="B213" s="11"/>
      <c r="C213" s="11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9"/>
      <c r="AK213" s="12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9"/>
      <c r="BH213" s="14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9"/>
      <c r="CF213" s="9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/>
      <c r="DI213" s="16"/>
      <c r="DJ213" s="16"/>
      <c r="DK213" s="16"/>
      <c r="DL213" s="16"/>
    </row>
    <row r="214" ht="15.75" customHeight="1">
      <c r="A214" s="9"/>
      <c r="B214" s="11"/>
      <c r="C214" s="11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9"/>
      <c r="AK214" s="12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9"/>
      <c r="BH214" s="14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9"/>
      <c r="CF214" s="9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  <c r="CT214" s="11"/>
      <c r="CU214" s="11"/>
      <c r="CV214" s="11"/>
      <c r="CW214" s="11"/>
      <c r="CX214" s="11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/>
      <c r="DI214" s="16"/>
      <c r="DJ214" s="16"/>
      <c r="DK214" s="16"/>
      <c r="DL214" s="16"/>
    </row>
    <row r="215" ht="15.75" customHeight="1">
      <c r="A215" s="9"/>
      <c r="B215" s="11"/>
      <c r="C215" s="11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9"/>
      <c r="AK215" s="12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9"/>
      <c r="BH215" s="14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9"/>
      <c r="CF215" s="9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6"/>
      <c r="CZ215" s="16"/>
      <c r="DA215" s="16"/>
      <c r="DB215" s="16"/>
      <c r="DC215" s="16"/>
      <c r="DD215" s="16"/>
      <c r="DE215" s="16"/>
      <c r="DF215" s="16"/>
      <c r="DG215" s="16"/>
      <c r="DH215" s="16"/>
      <c r="DI215" s="16"/>
      <c r="DJ215" s="16"/>
      <c r="DK215" s="16"/>
      <c r="DL215" s="16"/>
    </row>
    <row r="216" ht="15.75" customHeight="1">
      <c r="A216" s="9"/>
      <c r="B216" s="11"/>
      <c r="C216" s="11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9"/>
      <c r="AK216" s="12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9"/>
      <c r="BH216" s="14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9"/>
      <c r="CF216" s="9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  <c r="CU216" s="11"/>
      <c r="CV216" s="11"/>
      <c r="CW216" s="11"/>
      <c r="CX216" s="11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/>
      <c r="DI216" s="16"/>
      <c r="DJ216" s="16"/>
      <c r="DK216" s="16"/>
      <c r="DL216" s="16"/>
    </row>
    <row r="217" ht="15.75" customHeight="1">
      <c r="A217" s="9"/>
      <c r="B217" s="11"/>
      <c r="C217" s="11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9"/>
      <c r="AK217" s="12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9"/>
      <c r="BH217" s="14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9"/>
      <c r="CF217" s="9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6"/>
      <c r="DJ217" s="16"/>
      <c r="DK217" s="16"/>
      <c r="DL217" s="16"/>
    </row>
    <row r="218" ht="15.75" customHeight="1">
      <c r="A218" s="9"/>
      <c r="B218" s="11"/>
      <c r="C218" s="11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9"/>
      <c r="AK218" s="12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9"/>
      <c r="BH218" s="14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9"/>
      <c r="CF218" s="9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/>
      <c r="DI218" s="16"/>
      <c r="DJ218" s="16"/>
      <c r="DK218" s="16"/>
      <c r="DL218" s="16"/>
    </row>
    <row r="219" ht="15.75" customHeight="1">
      <c r="A219" s="9"/>
      <c r="B219" s="11"/>
      <c r="C219" s="11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9"/>
      <c r="AK219" s="12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9"/>
      <c r="BH219" s="14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9"/>
      <c r="CF219" s="9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  <c r="DJ219" s="16"/>
      <c r="DK219" s="16"/>
      <c r="DL219" s="16"/>
    </row>
    <row r="220" ht="15.75" customHeight="1">
      <c r="A220" s="9"/>
      <c r="B220" s="11"/>
      <c r="C220" s="11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9"/>
      <c r="AK220" s="12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9"/>
      <c r="BH220" s="14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9"/>
      <c r="CF220" s="9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  <c r="CU220" s="11"/>
      <c r="CV220" s="11"/>
      <c r="CW220" s="11"/>
      <c r="CX220" s="11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/>
      <c r="DI220" s="16"/>
      <c r="DJ220" s="16"/>
      <c r="DK220" s="16"/>
      <c r="DL220" s="16"/>
    </row>
    <row r="221" ht="15.75" customHeight="1">
      <c r="A221" s="9"/>
      <c r="B221" s="11"/>
      <c r="C221" s="11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9"/>
      <c r="AK221" s="12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9"/>
      <c r="BH221" s="14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9"/>
      <c r="CF221" s="9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  <c r="CV221" s="11"/>
      <c r="CW221" s="11"/>
      <c r="CX221" s="11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/>
      <c r="DI221" s="16"/>
      <c r="DJ221" s="16"/>
      <c r="DK221" s="16"/>
      <c r="DL221" s="16"/>
    </row>
    <row r="222" ht="15.75" customHeight="1">
      <c r="A222" s="9"/>
      <c r="B222" s="11"/>
      <c r="C222" s="11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9"/>
      <c r="AK222" s="12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9"/>
      <c r="BH222" s="14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9"/>
      <c r="CF222" s="9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  <c r="CU222" s="11"/>
      <c r="CV222" s="11"/>
      <c r="CW222" s="11"/>
      <c r="CX222" s="11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/>
      <c r="DI222" s="16"/>
      <c r="DJ222" s="16"/>
      <c r="DK222" s="16"/>
      <c r="DL222" s="16"/>
    </row>
    <row r="223" ht="15.75" customHeight="1">
      <c r="A223" s="9"/>
      <c r="B223" s="11"/>
      <c r="C223" s="11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9"/>
      <c r="AK223" s="12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9"/>
      <c r="BH223" s="14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9"/>
      <c r="CF223" s="9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  <c r="CV223" s="11"/>
      <c r="CW223" s="11"/>
      <c r="CX223" s="11"/>
      <c r="CY223" s="16"/>
      <c r="CZ223" s="16"/>
      <c r="DA223" s="16"/>
      <c r="DB223" s="16"/>
      <c r="DC223" s="16"/>
      <c r="DD223" s="16"/>
      <c r="DE223" s="16"/>
      <c r="DF223" s="16"/>
      <c r="DG223" s="16"/>
      <c r="DH223" s="16"/>
      <c r="DI223" s="16"/>
      <c r="DJ223" s="16"/>
      <c r="DK223" s="16"/>
      <c r="DL223" s="16"/>
    </row>
    <row r="224" ht="15.75" customHeight="1">
      <c r="A224" s="9"/>
      <c r="B224" s="11"/>
      <c r="C224" s="11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9"/>
      <c r="AK224" s="12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9"/>
      <c r="BH224" s="14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9"/>
      <c r="CF224" s="9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/>
      <c r="DI224" s="16"/>
      <c r="DJ224" s="16"/>
      <c r="DK224" s="16"/>
      <c r="DL224" s="16"/>
    </row>
    <row r="225" ht="15.75" customHeight="1">
      <c r="A225" s="9"/>
      <c r="B225" s="11"/>
      <c r="C225" s="11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9"/>
      <c r="AK225" s="12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9"/>
      <c r="BH225" s="14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9"/>
      <c r="CF225" s="9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6"/>
      <c r="CZ225" s="16"/>
      <c r="DA225" s="16"/>
      <c r="DB225" s="16"/>
      <c r="DC225" s="16"/>
      <c r="DD225" s="16"/>
      <c r="DE225" s="16"/>
      <c r="DF225" s="16"/>
      <c r="DG225" s="16"/>
      <c r="DH225" s="16"/>
      <c r="DI225" s="16"/>
      <c r="DJ225" s="16"/>
      <c r="DK225" s="16"/>
      <c r="DL225" s="16"/>
    </row>
    <row r="226" ht="15.75" customHeight="1">
      <c r="A226" s="9"/>
      <c r="B226" s="11"/>
      <c r="C226" s="11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9"/>
      <c r="AK226" s="12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9"/>
      <c r="BH226" s="14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9"/>
      <c r="CF226" s="9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  <c r="CU226" s="11"/>
      <c r="CV226" s="11"/>
      <c r="CW226" s="11"/>
      <c r="CX226" s="11"/>
      <c r="CY226" s="16"/>
      <c r="CZ226" s="16"/>
      <c r="DA226" s="16"/>
      <c r="DB226" s="16"/>
      <c r="DC226" s="16"/>
      <c r="DD226" s="16"/>
      <c r="DE226" s="16"/>
      <c r="DF226" s="16"/>
      <c r="DG226" s="16"/>
      <c r="DH226" s="16"/>
      <c r="DI226" s="16"/>
      <c r="DJ226" s="16"/>
      <c r="DK226" s="16"/>
      <c r="DL226" s="16"/>
    </row>
    <row r="227" ht="15.75" customHeight="1">
      <c r="A227" s="9"/>
      <c r="B227" s="11"/>
      <c r="C227" s="11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9"/>
      <c r="AK227" s="12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9"/>
      <c r="BH227" s="14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9"/>
      <c r="CF227" s="9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6"/>
      <c r="CZ227" s="16"/>
      <c r="DA227" s="16"/>
      <c r="DB227" s="16"/>
      <c r="DC227" s="16"/>
      <c r="DD227" s="16"/>
      <c r="DE227" s="16"/>
      <c r="DF227" s="16"/>
      <c r="DG227" s="16"/>
      <c r="DH227" s="16"/>
      <c r="DI227" s="16"/>
      <c r="DJ227" s="16"/>
      <c r="DK227" s="16"/>
      <c r="DL227" s="16"/>
    </row>
    <row r="228" ht="15.75" customHeight="1">
      <c r="A228" s="9"/>
      <c r="B228" s="11"/>
      <c r="C228" s="11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9"/>
      <c r="AK228" s="12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9"/>
      <c r="BH228" s="14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9"/>
      <c r="CF228" s="9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  <c r="CU228" s="11"/>
      <c r="CV228" s="11"/>
      <c r="CW228" s="11"/>
      <c r="CX228" s="11"/>
      <c r="CY228" s="16"/>
      <c r="CZ228" s="16"/>
      <c r="DA228" s="16"/>
      <c r="DB228" s="16"/>
      <c r="DC228" s="16"/>
      <c r="DD228" s="16"/>
      <c r="DE228" s="16"/>
      <c r="DF228" s="16"/>
      <c r="DG228" s="16"/>
      <c r="DH228" s="16"/>
      <c r="DI228" s="16"/>
      <c r="DJ228" s="16"/>
      <c r="DK228" s="16"/>
      <c r="DL228" s="16"/>
    </row>
    <row r="229" ht="15.75" customHeight="1">
      <c r="A229" s="9"/>
      <c r="B229" s="11"/>
      <c r="C229" s="11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9"/>
      <c r="AK229" s="12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9"/>
      <c r="BH229" s="14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9"/>
      <c r="CF229" s="9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/>
      <c r="DI229" s="16"/>
      <c r="DJ229" s="16"/>
      <c r="DK229" s="16"/>
      <c r="DL229" s="16"/>
    </row>
    <row r="230" ht="15.75" customHeight="1">
      <c r="A230" s="9"/>
      <c r="B230" s="11"/>
      <c r="C230" s="11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9"/>
      <c r="AK230" s="12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9"/>
      <c r="BH230" s="14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9"/>
      <c r="CF230" s="9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6"/>
      <c r="CZ230" s="16"/>
      <c r="DA230" s="16"/>
      <c r="DB230" s="16"/>
      <c r="DC230" s="16"/>
      <c r="DD230" s="16"/>
      <c r="DE230" s="16"/>
      <c r="DF230" s="16"/>
      <c r="DG230" s="16"/>
      <c r="DH230" s="16"/>
      <c r="DI230" s="16"/>
      <c r="DJ230" s="16"/>
      <c r="DK230" s="16"/>
      <c r="DL230" s="16"/>
    </row>
    <row r="231" ht="15.75" customHeight="1">
      <c r="A231" s="9"/>
      <c r="B231" s="11"/>
      <c r="C231" s="11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9"/>
      <c r="AK231" s="12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9"/>
      <c r="BH231" s="14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9"/>
      <c r="CF231" s="9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6"/>
      <c r="CZ231" s="16"/>
      <c r="DA231" s="16"/>
      <c r="DB231" s="16"/>
      <c r="DC231" s="16"/>
      <c r="DD231" s="16"/>
      <c r="DE231" s="16"/>
      <c r="DF231" s="16"/>
      <c r="DG231" s="16"/>
      <c r="DH231" s="16"/>
      <c r="DI231" s="16"/>
      <c r="DJ231" s="16"/>
      <c r="DK231" s="16"/>
      <c r="DL231" s="16"/>
    </row>
    <row r="232" ht="15.75" customHeight="1">
      <c r="A232" s="9"/>
      <c r="B232" s="11"/>
      <c r="C232" s="11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9"/>
      <c r="AK232" s="12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9"/>
      <c r="BH232" s="14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9"/>
      <c r="CF232" s="9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  <c r="CV232" s="11"/>
      <c r="CW232" s="11"/>
      <c r="CX232" s="11"/>
      <c r="CY232" s="16"/>
      <c r="CZ232" s="16"/>
      <c r="DA232" s="16"/>
      <c r="DB232" s="16"/>
      <c r="DC232" s="16"/>
      <c r="DD232" s="16"/>
      <c r="DE232" s="16"/>
      <c r="DF232" s="16"/>
      <c r="DG232" s="16"/>
      <c r="DH232" s="16"/>
      <c r="DI232" s="16"/>
      <c r="DJ232" s="16"/>
      <c r="DK232" s="16"/>
      <c r="DL232" s="16"/>
    </row>
    <row r="233" ht="15.75" customHeight="1">
      <c r="A233" s="9"/>
      <c r="B233" s="11"/>
      <c r="C233" s="11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9"/>
      <c r="AK233" s="12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9"/>
      <c r="BH233" s="14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9"/>
      <c r="CF233" s="9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6"/>
      <c r="CZ233" s="16"/>
      <c r="DA233" s="16"/>
      <c r="DB233" s="16"/>
      <c r="DC233" s="16"/>
      <c r="DD233" s="16"/>
      <c r="DE233" s="16"/>
      <c r="DF233" s="16"/>
      <c r="DG233" s="16"/>
      <c r="DH233" s="16"/>
      <c r="DI233" s="16"/>
      <c r="DJ233" s="16"/>
      <c r="DK233" s="16"/>
      <c r="DL233" s="16"/>
    </row>
    <row r="234" ht="15.75" customHeight="1">
      <c r="A234" s="9"/>
      <c r="B234" s="11"/>
      <c r="C234" s="11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9"/>
      <c r="AK234" s="12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9"/>
      <c r="BH234" s="14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9"/>
      <c r="CF234" s="9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  <c r="CU234" s="11"/>
      <c r="CV234" s="11"/>
      <c r="CW234" s="11"/>
      <c r="CX234" s="11"/>
      <c r="CY234" s="16"/>
      <c r="CZ234" s="16"/>
      <c r="DA234" s="16"/>
      <c r="DB234" s="16"/>
      <c r="DC234" s="16"/>
      <c r="DD234" s="16"/>
      <c r="DE234" s="16"/>
      <c r="DF234" s="16"/>
      <c r="DG234" s="16"/>
      <c r="DH234" s="16"/>
      <c r="DI234" s="16"/>
      <c r="DJ234" s="16"/>
      <c r="DK234" s="16"/>
      <c r="DL234" s="16"/>
    </row>
    <row r="235" ht="15.75" customHeight="1">
      <c r="A235" s="9"/>
      <c r="B235" s="11"/>
      <c r="C235" s="11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9"/>
      <c r="AK235" s="12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9"/>
      <c r="BH235" s="14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9"/>
      <c r="CF235" s="9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6"/>
      <c r="CZ235" s="16"/>
      <c r="DA235" s="16"/>
      <c r="DB235" s="16"/>
      <c r="DC235" s="16"/>
      <c r="DD235" s="16"/>
      <c r="DE235" s="16"/>
      <c r="DF235" s="16"/>
      <c r="DG235" s="16"/>
      <c r="DH235" s="16"/>
      <c r="DI235" s="16"/>
      <c r="DJ235" s="16"/>
      <c r="DK235" s="16"/>
      <c r="DL235" s="16"/>
    </row>
    <row r="236" ht="15.75" customHeight="1">
      <c r="A236" s="9"/>
      <c r="B236" s="11"/>
      <c r="C236" s="11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9"/>
      <c r="AK236" s="12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9"/>
      <c r="BH236" s="14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9"/>
      <c r="CF236" s="9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  <c r="CU236" s="11"/>
      <c r="CV236" s="11"/>
      <c r="CW236" s="11"/>
      <c r="CX236" s="11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/>
      <c r="DI236" s="16"/>
      <c r="DJ236" s="16"/>
      <c r="DK236" s="16"/>
      <c r="DL236" s="16"/>
    </row>
    <row r="237" ht="15.75" customHeight="1">
      <c r="A237" s="9"/>
      <c r="B237" s="11"/>
      <c r="C237" s="11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9"/>
      <c r="AK237" s="12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9"/>
      <c r="BH237" s="14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9"/>
      <c r="CF237" s="9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  <c r="CV237" s="11"/>
      <c r="CW237" s="11"/>
      <c r="CX237" s="11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/>
      <c r="DI237" s="16"/>
      <c r="DJ237" s="16"/>
      <c r="DK237" s="16"/>
      <c r="DL237" s="16"/>
    </row>
    <row r="238" ht="15.75" customHeight="1">
      <c r="A238" s="9"/>
      <c r="B238" s="11"/>
      <c r="C238" s="11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9"/>
      <c r="AK238" s="12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9"/>
      <c r="BH238" s="14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9"/>
      <c r="CF238" s="9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  <c r="CU238" s="11"/>
      <c r="CV238" s="11"/>
      <c r="CW238" s="11"/>
      <c r="CX238" s="11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/>
      <c r="DI238" s="16"/>
      <c r="DJ238" s="16"/>
      <c r="DK238" s="16"/>
      <c r="DL238" s="16"/>
    </row>
    <row r="239" ht="15.75" customHeight="1">
      <c r="A239" s="9"/>
      <c r="B239" s="11"/>
      <c r="C239" s="11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9"/>
      <c r="AK239" s="12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9"/>
      <c r="BH239" s="14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9"/>
      <c r="CF239" s="9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6"/>
      <c r="CZ239" s="16"/>
      <c r="DA239" s="16"/>
      <c r="DB239" s="16"/>
      <c r="DC239" s="16"/>
      <c r="DD239" s="16"/>
      <c r="DE239" s="16"/>
      <c r="DF239" s="16"/>
      <c r="DG239" s="16"/>
      <c r="DH239" s="16"/>
      <c r="DI239" s="16"/>
      <c r="DJ239" s="16"/>
      <c r="DK239" s="16"/>
      <c r="DL239" s="16"/>
    </row>
    <row r="240" ht="15.75" customHeight="1">
      <c r="A240" s="9"/>
      <c r="B240" s="11"/>
      <c r="C240" s="11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9"/>
      <c r="AK240" s="12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9"/>
      <c r="BH240" s="14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9"/>
      <c r="CF240" s="9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  <c r="CV240" s="11"/>
      <c r="CW240" s="11"/>
      <c r="CX240" s="11"/>
      <c r="CY240" s="16"/>
      <c r="CZ240" s="16"/>
      <c r="DA240" s="16"/>
      <c r="DB240" s="16"/>
      <c r="DC240" s="16"/>
      <c r="DD240" s="16"/>
      <c r="DE240" s="16"/>
      <c r="DF240" s="16"/>
      <c r="DG240" s="16"/>
      <c r="DH240" s="16"/>
      <c r="DI240" s="16"/>
      <c r="DJ240" s="16"/>
      <c r="DK240" s="16"/>
      <c r="DL240" s="16"/>
    </row>
    <row r="241" ht="15.75" customHeight="1">
      <c r="A241" s="9"/>
      <c r="B241" s="11"/>
      <c r="C241" s="11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9"/>
      <c r="AK241" s="12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9"/>
      <c r="BH241" s="14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9"/>
      <c r="CF241" s="9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6"/>
      <c r="CZ241" s="16"/>
      <c r="DA241" s="16"/>
      <c r="DB241" s="16"/>
      <c r="DC241" s="16"/>
      <c r="DD241" s="16"/>
      <c r="DE241" s="16"/>
      <c r="DF241" s="16"/>
      <c r="DG241" s="16"/>
      <c r="DH241" s="16"/>
      <c r="DI241" s="16"/>
      <c r="DJ241" s="16"/>
      <c r="DK241" s="16"/>
      <c r="DL241" s="16"/>
    </row>
    <row r="242" ht="15.75" customHeight="1">
      <c r="A242" s="9"/>
      <c r="B242" s="11"/>
      <c r="C242" s="11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9"/>
      <c r="AK242" s="12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9"/>
      <c r="BH242" s="14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9"/>
      <c r="CF242" s="9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  <c r="CU242" s="11"/>
      <c r="CV242" s="11"/>
      <c r="CW242" s="11"/>
      <c r="CX242" s="11"/>
      <c r="CY242" s="16"/>
      <c r="CZ242" s="16"/>
      <c r="DA242" s="16"/>
      <c r="DB242" s="16"/>
      <c r="DC242" s="16"/>
      <c r="DD242" s="16"/>
      <c r="DE242" s="16"/>
      <c r="DF242" s="16"/>
      <c r="DG242" s="16"/>
      <c r="DH242" s="16"/>
      <c r="DI242" s="16"/>
      <c r="DJ242" s="16"/>
      <c r="DK242" s="16"/>
      <c r="DL242" s="16"/>
    </row>
    <row r="243" ht="15.75" customHeight="1">
      <c r="A243" s="9"/>
      <c r="B243" s="11"/>
      <c r="C243" s="11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9"/>
      <c r="AK243" s="12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9"/>
      <c r="BH243" s="14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9"/>
      <c r="CF243" s="9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6"/>
      <c r="CZ243" s="16"/>
      <c r="DA243" s="16"/>
      <c r="DB243" s="16"/>
      <c r="DC243" s="16"/>
      <c r="DD243" s="16"/>
      <c r="DE243" s="16"/>
      <c r="DF243" s="16"/>
      <c r="DG243" s="16"/>
      <c r="DH243" s="16"/>
      <c r="DI243" s="16"/>
      <c r="DJ243" s="16"/>
      <c r="DK243" s="16"/>
      <c r="DL243" s="16"/>
    </row>
    <row r="244" ht="15.75" customHeight="1">
      <c r="A244" s="9"/>
      <c r="B244" s="11"/>
      <c r="C244" s="11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9"/>
      <c r="AK244" s="12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9"/>
      <c r="BH244" s="14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9"/>
      <c r="CF244" s="9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1"/>
      <c r="CU244" s="11"/>
      <c r="CV244" s="11"/>
      <c r="CW244" s="11"/>
      <c r="CX244" s="11"/>
      <c r="CY244" s="16"/>
      <c r="CZ244" s="16"/>
      <c r="DA244" s="16"/>
      <c r="DB244" s="16"/>
      <c r="DC244" s="16"/>
      <c r="DD244" s="16"/>
      <c r="DE244" s="16"/>
      <c r="DF244" s="16"/>
      <c r="DG244" s="16"/>
      <c r="DH244" s="16"/>
      <c r="DI244" s="16"/>
      <c r="DJ244" s="16"/>
      <c r="DK244" s="16"/>
      <c r="DL244" s="16"/>
    </row>
    <row r="245" ht="15.75" customHeight="1">
      <c r="A245" s="9"/>
      <c r="B245" s="11"/>
      <c r="C245" s="11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9"/>
      <c r="AK245" s="12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9"/>
      <c r="BH245" s="14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9"/>
      <c r="CF245" s="9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  <c r="CV245" s="11"/>
      <c r="CW245" s="11"/>
      <c r="CX245" s="11"/>
      <c r="CY245" s="16"/>
      <c r="CZ245" s="16"/>
      <c r="DA245" s="16"/>
      <c r="DB245" s="16"/>
      <c r="DC245" s="16"/>
      <c r="DD245" s="16"/>
      <c r="DE245" s="16"/>
      <c r="DF245" s="16"/>
      <c r="DG245" s="16"/>
      <c r="DH245" s="16"/>
      <c r="DI245" s="16"/>
      <c r="DJ245" s="16"/>
      <c r="DK245" s="16"/>
      <c r="DL245" s="16"/>
    </row>
    <row r="246" ht="15.75" customHeight="1">
      <c r="A246" s="9"/>
      <c r="B246" s="11"/>
      <c r="C246" s="11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9"/>
      <c r="AK246" s="12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9"/>
      <c r="BH246" s="14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9"/>
      <c r="CF246" s="9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  <c r="CU246" s="11"/>
      <c r="CV246" s="11"/>
      <c r="CW246" s="11"/>
      <c r="CX246" s="11"/>
      <c r="CY246" s="16"/>
      <c r="CZ246" s="16"/>
      <c r="DA246" s="16"/>
      <c r="DB246" s="16"/>
      <c r="DC246" s="16"/>
      <c r="DD246" s="16"/>
      <c r="DE246" s="16"/>
      <c r="DF246" s="16"/>
      <c r="DG246" s="16"/>
      <c r="DH246" s="16"/>
      <c r="DI246" s="16"/>
      <c r="DJ246" s="16"/>
      <c r="DK246" s="16"/>
      <c r="DL246" s="16"/>
    </row>
    <row r="247" ht="15.75" customHeight="1">
      <c r="A247" s="9"/>
      <c r="B247" s="11"/>
      <c r="C247" s="11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9"/>
      <c r="AK247" s="12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9"/>
      <c r="BH247" s="14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9"/>
      <c r="CF247" s="9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  <c r="CV247" s="11"/>
      <c r="CW247" s="11"/>
      <c r="CX247" s="11"/>
      <c r="CY247" s="16"/>
      <c r="CZ247" s="16"/>
      <c r="DA247" s="16"/>
      <c r="DB247" s="16"/>
      <c r="DC247" s="16"/>
      <c r="DD247" s="16"/>
      <c r="DE247" s="16"/>
      <c r="DF247" s="16"/>
      <c r="DG247" s="16"/>
      <c r="DH247" s="16"/>
      <c r="DI247" s="16"/>
      <c r="DJ247" s="16"/>
      <c r="DK247" s="16"/>
      <c r="DL247" s="16"/>
    </row>
    <row r="248" ht="15.75" customHeight="1">
      <c r="A248" s="9"/>
      <c r="B248" s="11"/>
      <c r="C248" s="11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9"/>
      <c r="AK248" s="12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9"/>
      <c r="BH248" s="14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9"/>
      <c r="CF248" s="9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  <c r="CU248" s="11"/>
      <c r="CV248" s="11"/>
      <c r="CW248" s="11"/>
      <c r="CX248" s="11"/>
      <c r="CY248" s="16"/>
      <c r="CZ248" s="16"/>
      <c r="DA248" s="16"/>
      <c r="DB248" s="16"/>
      <c r="DC248" s="16"/>
      <c r="DD248" s="16"/>
      <c r="DE248" s="16"/>
      <c r="DF248" s="16"/>
      <c r="DG248" s="16"/>
      <c r="DH248" s="16"/>
      <c r="DI248" s="16"/>
      <c r="DJ248" s="16"/>
      <c r="DK248" s="16"/>
      <c r="DL248" s="16"/>
    </row>
    <row r="249" ht="15.75" customHeight="1">
      <c r="A249" s="9"/>
      <c r="B249" s="11"/>
      <c r="C249" s="11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9"/>
      <c r="AK249" s="12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9"/>
      <c r="BH249" s="14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9"/>
      <c r="CF249" s="9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6"/>
      <c r="CZ249" s="16"/>
      <c r="DA249" s="16"/>
      <c r="DB249" s="16"/>
      <c r="DC249" s="16"/>
      <c r="DD249" s="16"/>
      <c r="DE249" s="16"/>
      <c r="DF249" s="16"/>
      <c r="DG249" s="16"/>
      <c r="DH249" s="16"/>
      <c r="DI249" s="16"/>
      <c r="DJ249" s="16"/>
      <c r="DK249" s="16"/>
      <c r="DL249" s="16"/>
    </row>
    <row r="250" ht="15.75" customHeight="1">
      <c r="A250" s="9"/>
      <c r="B250" s="11"/>
      <c r="C250" s="11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9"/>
      <c r="AK250" s="12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9"/>
      <c r="BH250" s="14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9"/>
      <c r="CF250" s="9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  <c r="CU250" s="11"/>
      <c r="CV250" s="11"/>
      <c r="CW250" s="11"/>
      <c r="CX250" s="11"/>
      <c r="CY250" s="16"/>
      <c r="CZ250" s="16"/>
      <c r="DA250" s="16"/>
      <c r="DB250" s="16"/>
      <c r="DC250" s="16"/>
      <c r="DD250" s="16"/>
      <c r="DE250" s="16"/>
      <c r="DF250" s="16"/>
      <c r="DG250" s="16"/>
      <c r="DH250" s="16"/>
      <c r="DI250" s="16"/>
      <c r="DJ250" s="16"/>
      <c r="DK250" s="16"/>
      <c r="DL250" s="16"/>
    </row>
    <row r="251" ht="15.75" customHeight="1">
      <c r="A251" s="9"/>
      <c r="B251" s="11"/>
      <c r="C251" s="11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9"/>
      <c r="AK251" s="12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9"/>
      <c r="BH251" s="14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9"/>
      <c r="CF251" s="9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  <c r="CV251" s="11"/>
      <c r="CW251" s="11"/>
      <c r="CX251" s="11"/>
      <c r="CY251" s="16"/>
      <c r="CZ251" s="16"/>
      <c r="DA251" s="16"/>
      <c r="DB251" s="16"/>
      <c r="DC251" s="16"/>
      <c r="DD251" s="16"/>
      <c r="DE251" s="16"/>
      <c r="DF251" s="16"/>
      <c r="DG251" s="16"/>
      <c r="DH251" s="16"/>
      <c r="DI251" s="16"/>
      <c r="DJ251" s="16"/>
      <c r="DK251" s="16"/>
      <c r="DL251" s="16"/>
    </row>
    <row r="252" ht="15.75" customHeight="1">
      <c r="A252" s="9"/>
      <c r="B252" s="11"/>
      <c r="C252" s="11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9"/>
      <c r="AK252" s="12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9"/>
      <c r="BH252" s="14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9"/>
      <c r="CF252" s="9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  <c r="CU252" s="11"/>
      <c r="CV252" s="11"/>
      <c r="CW252" s="11"/>
      <c r="CX252" s="11"/>
      <c r="CY252" s="16"/>
      <c r="CZ252" s="16"/>
      <c r="DA252" s="16"/>
      <c r="DB252" s="16"/>
      <c r="DC252" s="16"/>
      <c r="DD252" s="16"/>
      <c r="DE252" s="16"/>
      <c r="DF252" s="16"/>
      <c r="DG252" s="16"/>
      <c r="DH252" s="16"/>
      <c r="DI252" s="16"/>
      <c r="DJ252" s="16"/>
      <c r="DK252" s="16"/>
      <c r="DL252" s="16"/>
    </row>
    <row r="253" ht="15.75" customHeight="1">
      <c r="A253" s="9"/>
      <c r="B253" s="11"/>
      <c r="C253" s="11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9"/>
      <c r="AK253" s="12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9"/>
      <c r="BH253" s="14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9"/>
      <c r="CF253" s="9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6"/>
      <c r="CZ253" s="16"/>
      <c r="DA253" s="16"/>
      <c r="DB253" s="16"/>
      <c r="DC253" s="16"/>
      <c r="DD253" s="16"/>
      <c r="DE253" s="16"/>
      <c r="DF253" s="16"/>
      <c r="DG253" s="16"/>
      <c r="DH253" s="16"/>
      <c r="DI253" s="16"/>
      <c r="DJ253" s="16"/>
      <c r="DK253" s="16"/>
      <c r="DL253" s="16"/>
    </row>
    <row r="254" ht="15.75" customHeight="1">
      <c r="A254" s="9"/>
      <c r="B254" s="11"/>
      <c r="C254" s="11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9"/>
      <c r="AK254" s="12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9"/>
      <c r="BH254" s="14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9"/>
      <c r="CF254" s="9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  <c r="CU254" s="11"/>
      <c r="CV254" s="11"/>
      <c r="CW254" s="11"/>
      <c r="CX254" s="11"/>
      <c r="CY254" s="16"/>
      <c r="CZ254" s="16"/>
      <c r="DA254" s="16"/>
      <c r="DB254" s="16"/>
      <c r="DC254" s="16"/>
      <c r="DD254" s="16"/>
      <c r="DE254" s="16"/>
      <c r="DF254" s="16"/>
      <c r="DG254" s="16"/>
      <c r="DH254" s="16"/>
      <c r="DI254" s="16"/>
      <c r="DJ254" s="16"/>
      <c r="DK254" s="16"/>
      <c r="DL254" s="16"/>
    </row>
    <row r="255" ht="15.75" customHeight="1">
      <c r="A255" s="9"/>
      <c r="B255" s="11"/>
      <c r="C255" s="11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9"/>
      <c r="AK255" s="12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9"/>
      <c r="BH255" s="14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9"/>
      <c r="CF255" s="9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6"/>
      <c r="CZ255" s="16"/>
      <c r="DA255" s="16"/>
      <c r="DB255" s="16"/>
      <c r="DC255" s="16"/>
      <c r="DD255" s="16"/>
      <c r="DE255" s="16"/>
      <c r="DF255" s="16"/>
      <c r="DG255" s="16"/>
      <c r="DH255" s="16"/>
      <c r="DI255" s="16"/>
      <c r="DJ255" s="16"/>
      <c r="DK255" s="16"/>
      <c r="DL255" s="16"/>
    </row>
    <row r="256" ht="15.75" customHeight="1">
      <c r="A256" s="9"/>
      <c r="B256" s="11"/>
      <c r="C256" s="11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9"/>
      <c r="AK256" s="12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9"/>
      <c r="BH256" s="14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9"/>
      <c r="CF256" s="9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6"/>
      <c r="CZ256" s="16"/>
      <c r="DA256" s="16"/>
      <c r="DB256" s="16"/>
      <c r="DC256" s="16"/>
      <c r="DD256" s="16"/>
      <c r="DE256" s="16"/>
      <c r="DF256" s="16"/>
      <c r="DG256" s="16"/>
      <c r="DH256" s="16"/>
      <c r="DI256" s="16"/>
      <c r="DJ256" s="16"/>
      <c r="DK256" s="16"/>
      <c r="DL256" s="16"/>
    </row>
    <row r="257" ht="15.75" customHeight="1">
      <c r="A257" s="9"/>
      <c r="B257" s="11"/>
      <c r="C257" s="11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9"/>
      <c r="AK257" s="12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9"/>
      <c r="BH257" s="14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9"/>
      <c r="CF257" s="9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/>
      <c r="CY257" s="16"/>
      <c r="CZ257" s="16"/>
      <c r="DA257" s="16"/>
      <c r="DB257" s="16"/>
      <c r="DC257" s="16"/>
      <c r="DD257" s="16"/>
      <c r="DE257" s="16"/>
      <c r="DF257" s="16"/>
      <c r="DG257" s="16"/>
      <c r="DH257" s="16"/>
      <c r="DI257" s="16"/>
      <c r="DJ257" s="16"/>
      <c r="DK257" s="16"/>
      <c r="DL257" s="16"/>
    </row>
    <row r="258" ht="15.75" customHeight="1">
      <c r="A258" s="9"/>
      <c r="B258" s="11"/>
      <c r="C258" s="11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9"/>
      <c r="AK258" s="12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9"/>
      <c r="BH258" s="14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9"/>
      <c r="CF258" s="9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  <c r="CU258" s="11"/>
      <c r="CV258" s="11"/>
      <c r="CW258" s="11"/>
      <c r="CX258" s="11"/>
      <c r="CY258" s="16"/>
      <c r="CZ258" s="16"/>
      <c r="DA258" s="16"/>
      <c r="DB258" s="16"/>
      <c r="DC258" s="16"/>
      <c r="DD258" s="16"/>
      <c r="DE258" s="16"/>
      <c r="DF258" s="16"/>
      <c r="DG258" s="16"/>
      <c r="DH258" s="16"/>
      <c r="DI258" s="16"/>
      <c r="DJ258" s="16"/>
      <c r="DK258" s="16"/>
      <c r="DL258" s="16"/>
    </row>
    <row r="259" ht="15.75" customHeight="1">
      <c r="A259" s="9"/>
      <c r="B259" s="11"/>
      <c r="C259" s="11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9"/>
      <c r="AK259" s="12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9"/>
      <c r="BH259" s="14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9"/>
      <c r="CF259" s="9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6"/>
      <c r="CZ259" s="16"/>
      <c r="DA259" s="16"/>
      <c r="DB259" s="16"/>
      <c r="DC259" s="16"/>
      <c r="DD259" s="16"/>
      <c r="DE259" s="16"/>
      <c r="DF259" s="16"/>
      <c r="DG259" s="16"/>
      <c r="DH259" s="16"/>
      <c r="DI259" s="16"/>
      <c r="DJ259" s="16"/>
      <c r="DK259" s="16"/>
      <c r="DL259" s="16"/>
    </row>
    <row r="260" ht="15.75" customHeight="1">
      <c r="A260" s="9"/>
      <c r="B260" s="11"/>
      <c r="C260" s="11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9"/>
      <c r="AK260" s="12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9"/>
      <c r="BH260" s="14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9"/>
      <c r="CF260" s="9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  <c r="CU260" s="11"/>
      <c r="CV260" s="11"/>
      <c r="CW260" s="11"/>
      <c r="CX260" s="11"/>
      <c r="CY260" s="16"/>
      <c r="CZ260" s="16"/>
      <c r="DA260" s="16"/>
      <c r="DB260" s="16"/>
      <c r="DC260" s="16"/>
      <c r="DD260" s="16"/>
      <c r="DE260" s="16"/>
      <c r="DF260" s="16"/>
      <c r="DG260" s="16"/>
      <c r="DH260" s="16"/>
      <c r="DI260" s="16"/>
      <c r="DJ260" s="16"/>
      <c r="DK260" s="16"/>
      <c r="DL260" s="16"/>
    </row>
    <row r="261" ht="15.75" customHeight="1">
      <c r="A261" s="9"/>
      <c r="B261" s="11"/>
      <c r="C261" s="11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9"/>
      <c r="AK261" s="12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9"/>
      <c r="BH261" s="14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9"/>
      <c r="CF261" s="9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6"/>
      <c r="CZ261" s="16"/>
      <c r="DA261" s="16"/>
      <c r="DB261" s="16"/>
      <c r="DC261" s="16"/>
      <c r="DD261" s="16"/>
      <c r="DE261" s="16"/>
      <c r="DF261" s="16"/>
      <c r="DG261" s="16"/>
      <c r="DH261" s="16"/>
      <c r="DI261" s="16"/>
      <c r="DJ261" s="16"/>
      <c r="DK261" s="16"/>
      <c r="DL261" s="16"/>
    </row>
    <row r="262" ht="15.75" customHeight="1">
      <c r="A262" s="9"/>
      <c r="B262" s="11"/>
      <c r="C262" s="11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9"/>
      <c r="AK262" s="12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9"/>
      <c r="BH262" s="14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9"/>
      <c r="CF262" s="9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  <c r="CV262" s="11"/>
      <c r="CW262" s="11"/>
      <c r="CX262" s="11"/>
      <c r="CY262" s="16"/>
      <c r="CZ262" s="16"/>
      <c r="DA262" s="16"/>
      <c r="DB262" s="16"/>
      <c r="DC262" s="16"/>
      <c r="DD262" s="16"/>
      <c r="DE262" s="16"/>
      <c r="DF262" s="16"/>
      <c r="DG262" s="16"/>
      <c r="DH262" s="16"/>
      <c r="DI262" s="16"/>
      <c r="DJ262" s="16"/>
      <c r="DK262" s="16"/>
      <c r="DL262" s="16"/>
    </row>
    <row r="263" ht="15.75" customHeight="1">
      <c r="A263" s="9"/>
      <c r="B263" s="11"/>
      <c r="C263" s="11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9"/>
      <c r="AK263" s="12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9"/>
      <c r="BH263" s="14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9"/>
      <c r="CF263" s="9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6"/>
      <c r="CZ263" s="16"/>
      <c r="DA263" s="16"/>
      <c r="DB263" s="16"/>
      <c r="DC263" s="16"/>
      <c r="DD263" s="16"/>
      <c r="DE263" s="16"/>
      <c r="DF263" s="16"/>
      <c r="DG263" s="16"/>
      <c r="DH263" s="16"/>
      <c r="DI263" s="16"/>
      <c r="DJ263" s="16"/>
      <c r="DK263" s="16"/>
      <c r="DL263" s="16"/>
    </row>
    <row r="264" ht="15.75" customHeight="1">
      <c r="A264" s="9"/>
      <c r="B264" s="11"/>
      <c r="C264" s="11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9"/>
      <c r="AK264" s="12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9"/>
      <c r="BH264" s="14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9"/>
      <c r="CF264" s="9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6"/>
      <c r="CZ264" s="16"/>
      <c r="DA264" s="16"/>
      <c r="DB264" s="16"/>
      <c r="DC264" s="16"/>
      <c r="DD264" s="16"/>
      <c r="DE264" s="16"/>
      <c r="DF264" s="16"/>
      <c r="DG264" s="16"/>
      <c r="DH264" s="16"/>
      <c r="DI264" s="16"/>
      <c r="DJ264" s="16"/>
      <c r="DK264" s="16"/>
      <c r="DL264" s="16"/>
    </row>
    <row r="265" ht="15.75" customHeight="1">
      <c r="A265" s="9"/>
      <c r="B265" s="11"/>
      <c r="C265" s="11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9"/>
      <c r="AK265" s="12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9"/>
      <c r="BH265" s="14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9"/>
      <c r="CF265" s="9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6"/>
      <c r="CZ265" s="16"/>
      <c r="DA265" s="16"/>
      <c r="DB265" s="16"/>
      <c r="DC265" s="16"/>
      <c r="DD265" s="16"/>
      <c r="DE265" s="16"/>
      <c r="DF265" s="16"/>
      <c r="DG265" s="16"/>
      <c r="DH265" s="16"/>
      <c r="DI265" s="16"/>
      <c r="DJ265" s="16"/>
      <c r="DK265" s="16"/>
      <c r="DL265" s="16"/>
    </row>
    <row r="266" ht="15.75" customHeight="1">
      <c r="A266" s="9"/>
      <c r="B266" s="11"/>
      <c r="C266" s="11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9"/>
      <c r="AK266" s="12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9"/>
      <c r="BH266" s="14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9"/>
      <c r="CF266" s="9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  <c r="CV266" s="11"/>
      <c r="CW266" s="11"/>
      <c r="CX266" s="11"/>
      <c r="CY266" s="16"/>
      <c r="CZ266" s="16"/>
      <c r="DA266" s="16"/>
      <c r="DB266" s="16"/>
      <c r="DC266" s="16"/>
      <c r="DD266" s="16"/>
      <c r="DE266" s="16"/>
      <c r="DF266" s="16"/>
      <c r="DG266" s="16"/>
      <c r="DH266" s="16"/>
      <c r="DI266" s="16"/>
      <c r="DJ266" s="16"/>
      <c r="DK266" s="16"/>
      <c r="DL266" s="16"/>
    </row>
    <row r="267" ht="15.75" customHeight="1">
      <c r="A267" s="9"/>
      <c r="B267" s="11"/>
      <c r="C267" s="11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9"/>
      <c r="AK267" s="12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9"/>
      <c r="BH267" s="14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9"/>
      <c r="CF267" s="9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6"/>
      <c r="CZ267" s="16"/>
      <c r="DA267" s="16"/>
      <c r="DB267" s="16"/>
      <c r="DC267" s="16"/>
      <c r="DD267" s="16"/>
      <c r="DE267" s="16"/>
      <c r="DF267" s="16"/>
      <c r="DG267" s="16"/>
      <c r="DH267" s="16"/>
      <c r="DI267" s="16"/>
      <c r="DJ267" s="16"/>
      <c r="DK267" s="16"/>
      <c r="DL267" s="16"/>
    </row>
    <row r="268" ht="15.75" customHeight="1">
      <c r="A268" s="9"/>
      <c r="B268" s="11"/>
      <c r="C268" s="11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9"/>
      <c r="AK268" s="12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9"/>
      <c r="BH268" s="14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9"/>
      <c r="CF268" s="9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  <c r="CV268" s="11"/>
      <c r="CW268" s="11"/>
      <c r="CX268" s="11"/>
      <c r="CY268" s="16"/>
      <c r="CZ268" s="16"/>
      <c r="DA268" s="16"/>
      <c r="DB268" s="16"/>
      <c r="DC268" s="16"/>
      <c r="DD268" s="16"/>
      <c r="DE268" s="16"/>
      <c r="DF268" s="16"/>
      <c r="DG268" s="16"/>
      <c r="DH268" s="16"/>
      <c r="DI268" s="16"/>
      <c r="DJ268" s="16"/>
      <c r="DK268" s="16"/>
      <c r="DL268" s="16"/>
    </row>
    <row r="269" ht="15.75" customHeight="1">
      <c r="A269" s="9"/>
      <c r="B269" s="11"/>
      <c r="C269" s="11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9"/>
      <c r="AK269" s="12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9"/>
      <c r="BH269" s="14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9"/>
      <c r="CF269" s="9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6"/>
      <c r="CZ269" s="16"/>
      <c r="DA269" s="16"/>
      <c r="DB269" s="16"/>
      <c r="DC269" s="16"/>
      <c r="DD269" s="16"/>
      <c r="DE269" s="16"/>
      <c r="DF269" s="16"/>
      <c r="DG269" s="16"/>
      <c r="DH269" s="16"/>
      <c r="DI269" s="16"/>
      <c r="DJ269" s="16"/>
      <c r="DK269" s="16"/>
      <c r="DL269" s="16"/>
    </row>
    <row r="270" ht="15.75" customHeight="1">
      <c r="A270" s="9"/>
      <c r="B270" s="11"/>
      <c r="C270" s="11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9"/>
      <c r="AK270" s="12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9"/>
      <c r="BH270" s="14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9"/>
      <c r="CF270" s="9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6"/>
      <c r="CZ270" s="16"/>
      <c r="DA270" s="16"/>
      <c r="DB270" s="16"/>
      <c r="DC270" s="16"/>
      <c r="DD270" s="16"/>
      <c r="DE270" s="16"/>
      <c r="DF270" s="16"/>
      <c r="DG270" s="16"/>
      <c r="DH270" s="16"/>
      <c r="DI270" s="16"/>
      <c r="DJ270" s="16"/>
      <c r="DK270" s="16"/>
      <c r="DL270" s="16"/>
    </row>
    <row r="271" ht="15.75" customHeight="1">
      <c r="A271" s="9"/>
      <c r="B271" s="11"/>
      <c r="C271" s="11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9"/>
      <c r="AK271" s="12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9"/>
      <c r="BH271" s="14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9"/>
      <c r="CF271" s="9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6"/>
      <c r="CZ271" s="16"/>
      <c r="DA271" s="16"/>
      <c r="DB271" s="16"/>
      <c r="DC271" s="16"/>
      <c r="DD271" s="16"/>
      <c r="DE271" s="16"/>
      <c r="DF271" s="16"/>
      <c r="DG271" s="16"/>
      <c r="DH271" s="16"/>
      <c r="DI271" s="16"/>
      <c r="DJ271" s="16"/>
      <c r="DK271" s="16"/>
      <c r="DL271" s="16"/>
    </row>
    <row r="272" ht="15.75" customHeight="1">
      <c r="A272" s="9"/>
      <c r="B272" s="11"/>
      <c r="C272" s="11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9"/>
      <c r="AK272" s="12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9"/>
      <c r="BH272" s="14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9"/>
      <c r="CF272" s="9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  <c r="CU272" s="11"/>
      <c r="CV272" s="11"/>
      <c r="CW272" s="11"/>
      <c r="CX272" s="11"/>
      <c r="CY272" s="16"/>
      <c r="CZ272" s="16"/>
      <c r="DA272" s="16"/>
      <c r="DB272" s="16"/>
      <c r="DC272" s="16"/>
      <c r="DD272" s="16"/>
      <c r="DE272" s="16"/>
      <c r="DF272" s="16"/>
      <c r="DG272" s="16"/>
      <c r="DH272" s="16"/>
      <c r="DI272" s="16"/>
      <c r="DJ272" s="16"/>
      <c r="DK272" s="16"/>
      <c r="DL272" s="16"/>
    </row>
    <row r="273" ht="15.75" customHeight="1">
      <c r="A273" s="9"/>
      <c r="B273" s="11"/>
      <c r="C273" s="11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9"/>
      <c r="AK273" s="12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9"/>
      <c r="BH273" s="14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9"/>
      <c r="CF273" s="9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6"/>
      <c r="CZ273" s="16"/>
      <c r="DA273" s="16"/>
      <c r="DB273" s="16"/>
      <c r="DC273" s="16"/>
      <c r="DD273" s="16"/>
      <c r="DE273" s="16"/>
      <c r="DF273" s="16"/>
      <c r="DG273" s="16"/>
      <c r="DH273" s="16"/>
      <c r="DI273" s="16"/>
      <c r="DJ273" s="16"/>
      <c r="DK273" s="16"/>
      <c r="DL273" s="16"/>
    </row>
    <row r="274" ht="15.75" customHeight="1">
      <c r="A274" s="9"/>
      <c r="B274" s="11"/>
      <c r="C274" s="11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9"/>
      <c r="AK274" s="12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9"/>
      <c r="BH274" s="14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9"/>
      <c r="CF274" s="9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  <c r="CU274" s="11"/>
      <c r="CV274" s="11"/>
      <c r="CW274" s="11"/>
      <c r="CX274" s="11"/>
      <c r="CY274" s="16"/>
      <c r="CZ274" s="16"/>
      <c r="DA274" s="16"/>
      <c r="DB274" s="16"/>
      <c r="DC274" s="16"/>
      <c r="DD274" s="16"/>
      <c r="DE274" s="16"/>
      <c r="DF274" s="16"/>
      <c r="DG274" s="16"/>
      <c r="DH274" s="16"/>
      <c r="DI274" s="16"/>
      <c r="DJ274" s="16"/>
      <c r="DK274" s="16"/>
      <c r="DL274" s="16"/>
    </row>
    <row r="275" ht="15.75" customHeight="1">
      <c r="A275" s="9"/>
      <c r="B275" s="11"/>
      <c r="C275" s="11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9"/>
      <c r="AK275" s="12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9"/>
      <c r="BH275" s="14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9"/>
      <c r="CF275" s="9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  <c r="CV275" s="11"/>
      <c r="CW275" s="11"/>
      <c r="CX275" s="11"/>
      <c r="CY275" s="16"/>
      <c r="CZ275" s="16"/>
      <c r="DA275" s="16"/>
      <c r="DB275" s="16"/>
      <c r="DC275" s="16"/>
      <c r="DD275" s="16"/>
      <c r="DE275" s="16"/>
      <c r="DF275" s="16"/>
      <c r="DG275" s="16"/>
      <c r="DH275" s="16"/>
      <c r="DI275" s="16"/>
      <c r="DJ275" s="16"/>
      <c r="DK275" s="16"/>
      <c r="DL275" s="16"/>
    </row>
    <row r="276" ht="15.75" customHeight="1">
      <c r="A276" s="9"/>
      <c r="B276" s="11"/>
      <c r="C276" s="11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9"/>
      <c r="AK276" s="12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9"/>
      <c r="BH276" s="14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9"/>
      <c r="CF276" s="9"/>
      <c r="CG276" s="11"/>
      <c r="CH276" s="11"/>
      <c r="CI276" s="11"/>
      <c r="CJ276" s="11"/>
      <c r="CK276" s="11"/>
      <c r="CL276" s="11"/>
      <c r="CM276" s="11"/>
      <c r="CN276" s="11"/>
      <c r="CO276" s="11"/>
      <c r="CP276" s="11"/>
      <c r="CQ276" s="11"/>
      <c r="CR276" s="11"/>
      <c r="CS276" s="11"/>
      <c r="CT276" s="11"/>
      <c r="CU276" s="11"/>
      <c r="CV276" s="11"/>
      <c r="CW276" s="11"/>
      <c r="CX276" s="11"/>
      <c r="CY276" s="16"/>
      <c r="CZ276" s="16"/>
      <c r="DA276" s="16"/>
      <c r="DB276" s="16"/>
      <c r="DC276" s="16"/>
      <c r="DD276" s="16"/>
      <c r="DE276" s="16"/>
      <c r="DF276" s="16"/>
      <c r="DG276" s="16"/>
      <c r="DH276" s="16"/>
      <c r="DI276" s="16"/>
      <c r="DJ276" s="16"/>
      <c r="DK276" s="16"/>
      <c r="DL276" s="16"/>
    </row>
    <row r="277" ht="15.75" customHeight="1">
      <c r="A277" s="9"/>
      <c r="B277" s="11"/>
      <c r="C277" s="11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9"/>
      <c r="AK277" s="12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9"/>
      <c r="BH277" s="14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9"/>
      <c r="CF277" s="9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  <c r="CV277" s="11"/>
      <c r="CW277" s="11"/>
      <c r="CX277" s="11"/>
      <c r="CY277" s="16"/>
      <c r="CZ277" s="16"/>
      <c r="DA277" s="16"/>
      <c r="DB277" s="16"/>
      <c r="DC277" s="16"/>
      <c r="DD277" s="16"/>
      <c r="DE277" s="16"/>
      <c r="DF277" s="16"/>
      <c r="DG277" s="16"/>
      <c r="DH277" s="16"/>
      <c r="DI277" s="16"/>
      <c r="DJ277" s="16"/>
      <c r="DK277" s="16"/>
      <c r="DL277" s="16"/>
    </row>
    <row r="278" ht="15.75" customHeight="1">
      <c r="A278" s="9"/>
      <c r="B278" s="11"/>
      <c r="C278" s="11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9"/>
      <c r="AK278" s="12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9"/>
      <c r="BH278" s="14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9"/>
      <c r="CF278" s="9"/>
      <c r="CG278" s="11"/>
      <c r="CH278" s="11"/>
      <c r="CI278" s="11"/>
      <c r="CJ278" s="11"/>
      <c r="CK278" s="11"/>
      <c r="CL278" s="11"/>
      <c r="CM278" s="11"/>
      <c r="CN278" s="11"/>
      <c r="CO278" s="11"/>
      <c r="CP278" s="11"/>
      <c r="CQ278" s="11"/>
      <c r="CR278" s="11"/>
      <c r="CS278" s="11"/>
      <c r="CT278" s="11"/>
      <c r="CU278" s="11"/>
      <c r="CV278" s="11"/>
      <c r="CW278" s="11"/>
      <c r="CX278" s="11"/>
      <c r="CY278" s="16"/>
      <c r="CZ278" s="16"/>
      <c r="DA278" s="16"/>
      <c r="DB278" s="16"/>
      <c r="DC278" s="16"/>
      <c r="DD278" s="16"/>
      <c r="DE278" s="16"/>
      <c r="DF278" s="16"/>
      <c r="DG278" s="16"/>
      <c r="DH278" s="16"/>
      <c r="DI278" s="16"/>
      <c r="DJ278" s="16"/>
      <c r="DK278" s="16"/>
      <c r="DL278" s="16"/>
    </row>
    <row r="279" ht="15.75" customHeight="1">
      <c r="A279" s="9"/>
      <c r="B279" s="11"/>
      <c r="C279" s="11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9"/>
      <c r="AK279" s="12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9"/>
      <c r="BH279" s="14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9"/>
      <c r="CF279" s="9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  <c r="CV279" s="11"/>
      <c r="CW279" s="11"/>
      <c r="CX279" s="11"/>
      <c r="CY279" s="16"/>
      <c r="CZ279" s="16"/>
      <c r="DA279" s="16"/>
      <c r="DB279" s="16"/>
      <c r="DC279" s="16"/>
      <c r="DD279" s="16"/>
      <c r="DE279" s="16"/>
      <c r="DF279" s="16"/>
      <c r="DG279" s="16"/>
      <c r="DH279" s="16"/>
      <c r="DI279" s="16"/>
      <c r="DJ279" s="16"/>
      <c r="DK279" s="16"/>
      <c r="DL279" s="16"/>
    </row>
    <row r="280" ht="15.75" customHeight="1">
      <c r="A280" s="9"/>
      <c r="B280" s="11"/>
      <c r="C280" s="11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9"/>
      <c r="AK280" s="12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9"/>
      <c r="BH280" s="14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9"/>
      <c r="CF280" s="9"/>
      <c r="CG280" s="11"/>
      <c r="CH280" s="11"/>
      <c r="CI280" s="11"/>
      <c r="CJ280" s="11"/>
      <c r="CK280" s="11"/>
      <c r="CL280" s="11"/>
      <c r="CM280" s="11"/>
      <c r="CN280" s="11"/>
      <c r="CO280" s="11"/>
      <c r="CP280" s="11"/>
      <c r="CQ280" s="11"/>
      <c r="CR280" s="11"/>
      <c r="CS280" s="11"/>
      <c r="CT280" s="11"/>
      <c r="CU280" s="11"/>
      <c r="CV280" s="11"/>
      <c r="CW280" s="11"/>
      <c r="CX280" s="11"/>
      <c r="CY280" s="16"/>
      <c r="CZ280" s="16"/>
      <c r="DA280" s="16"/>
      <c r="DB280" s="16"/>
      <c r="DC280" s="16"/>
      <c r="DD280" s="16"/>
      <c r="DE280" s="16"/>
      <c r="DF280" s="16"/>
      <c r="DG280" s="16"/>
      <c r="DH280" s="16"/>
      <c r="DI280" s="16"/>
      <c r="DJ280" s="16"/>
      <c r="DK280" s="16"/>
      <c r="DL280" s="16"/>
    </row>
    <row r="281" ht="15.75" customHeight="1">
      <c r="A281" s="9"/>
      <c r="B281" s="11"/>
      <c r="C281" s="11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9"/>
      <c r="AK281" s="12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9"/>
      <c r="BH281" s="14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9"/>
      <c r="CF281" s="9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  <c r="CV281" s="11"/>
      <c r="CW281" s="11"/>
      <c r="CX281" s="11"/>
      <c r="CY281" s="16"/>
      <c r="CZ281" s="16"/>
      <c r="DA281" s="16"/>
      <c r="DB281" s="16"/>
      <c r="DC281" s="16"/>
      <c r="DD281" s="16"/>
      <c r="DE281" s="16"/>
      <c r="DF281" s="16"/>
      <c r="DG281" s="16"/>
      <c r="DH281" s="16"/>
      <c r="DI281" s="16"/>
      <c r="DJ281" s="16"/>
      <c r="DK281" s="16"/>
      <c r="DL281" s="16"/>
    </row>
    <row r="282" ht="15.75" customHeight="1">
      <c r="A282" s="9"/>
      <c r="B282" s="11"/>
      <c r="C282" s="11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9"/>
      <c r="AK282" s="12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9"/>
      <c r="BH282" s="14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9"/>
      <c r="CF282" s="9"/>
      <c r="CG282" s="11"/>
      <c r="CH282" s="11"/>
      <c r="CI282" s="11"/>
      <c r="CJ282" s="11"/>
      <c r="CK282" s="11"/>
      <c r="CL282" s="11"/>
      <c r="CM282" s="11"/>
      <c r="CN282" s="11"/>
      <c r="CO282" s="11"/>
      <c r="CP282" s="11"/>
      <c r="CQ282" s="11"/>
      <c r="CR282" s="11"/>
      <c r="CS282" s="11"/>
      <c r="CT282" s="11"/>
      <c r="CU282" s="11"/>
      <c r="CV282" s="11"/>
      <c r="CW282" s="11"/>
      <c r="CX282" s="11"/>
      <c r="CY282" s="16"/>
      <c r="CZ282" s="16"/>
      <c r="DA282" s="16"/>
      <c r="DB282" s="16"/>
      <c r="DC282" s="16"/>
      <c r="DD282" s="16"/>
      <c r="DE282" s="16"/>
      <c r="DF282" s="16"/>
      <c r="DG282" s="16"/>
      <c r="DH282" s="16"/>
      <c r="DI282" s="16"/>
      <c r="DJ282" s="16"/>
      <c r="DK282" s="16"/>
      <c r="DL282" s="16"/>
    </row>
    <row r="283" ht="15.75" customHeight="1">
      <c r="A283" s="9"/>
      <c r="B283" s="11"/>
      <c r="C283" s="11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9"/>
      <c r="AK283" s="12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9"/>
      <c r="BH283" s="14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9"/>
      <c r="CF283" s="9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6"/>
      <c r="CZ283" s="16"/>
      <c r="DA283" s="16"/>
      <c r="DB283" s="16"/>
      <c r="DC283" s="16"/>
      <c r="DD283" s="16"/>
      <c r="DE283" s="16"/>
      <c r="DF283" s="16"/>
      <c r="DG283" s="16"/>
      <c r="DH283" s="16"/>
      <c r="DI283" s="16"/>
      <c r="DJ283" s="16"/>
      <c r="DK283" s="16"/>
      <c r="DL283" s="16"/>
    </row>
    <row r="284" ht="15.75" customHeight="1">
      <c r="A284" s="9"/>
      <c r="B284" s="11"/>
      <c r="C284" s="11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9"/>
      <c r="AK284" s="12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9"/>
      <c r="BH284" s="14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9"/>
      <c r="CF284" s="9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1"/>
      <c r="CU284" s="11"/>
      <c r="CV284" s="11"/>
      <c r="CW284" s="11"/>
      <c r="CX284" s="11"/>
      <c r="CY284" s="16"/>
      <c r="CZ284" s="16"/>
      <c r="DA284" s="16"/>
      <c r="DB284" s="16"/>
      <c r="DC284" s="16"/>
      <c r="DD284" s="16"/>
      <c r="DE284" s="16"/>
      <c r="DF284" s="16"/>
      <c r="DG284" s="16"/>
      <c r="DH284" s="16"/>
      <c r="DI284" s="16"/>
      <c r="DJ284" s="16"/>
      <c r="DK284" s="16"/>
      <c r="DL284" s="16"/>
    </row>
    <row r="285" ht="15.75" customHeight="1">
      <c r="A285" s="9"/>
      <c r="B285" s="11"/>
      <c r="C285" s="11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9"/>
      <c r="AK285" s="12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9"/>
      <c r="BH285" s="14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9"/>
      <c r="CF285" s="9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6"/>
      <c r="CZ285" s="16"/>
      <c r="DA285" s="16"/>
      <c r="DB285" s="16"/>
      <c r="DC285" s="16"/>
      <c r="DD285" s="16"/>
      <c r="DE285" s="16"/>
      <c r="DF285" s="16"/>
      <c r="DG285" s="16"/>
      <c r="DH285" s="16"/>
      <c r="DI285" s="16"/>
      <c r="DJ285" s="16"/>
      <c r="DK285" s="16"/>
      <c r="DL285" s="16"/>
    </row>
    <row r="286" ht="15.75" customHeight="1">
      <c r="A286" s="9"/>
      <c r="B286" s="11"/>
      <c r="C286" s="11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9"/>
      <c r="AK286" s="12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9"/>
      <c r="BH286" s="14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9"/>
      <c r="CF286" s="9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  <c r="CS286" s="11"/>
      <c r="CT286" s="11"/>
      <c r="CU286" s="11"/>
      <c r="CV286" s="11"/>
      <c r="CW286" s="11"/>
      <c r="CX286" s="11"/>
      <c r="CY286" s="16"/>
      <c r="CZ286" s="16"/>
      <c r="DA286" s="16"/>
      <c r="DB286" s="16"/>
      <c r="DC286" s="16"/>
      <c r="DD286" s="16"/>
      <c r="DE286" s="16"/>
      <c r="DF286" s="16"/>
      <c r="DG286" s="16"/>
      <c r="DH286" s="16"/>
      <c r="DI286" s="16"/>
      <c r="DJ286" s="16"/>
      <c r="DK286" s="16"/>
      <c r="DL286" s="16"/>
    </row>
  </sheetData>
  <mergeCells count="12">
    <mergeCell ref="A4:B4"/>
    <mergeCell ref="A5:B5"/>
    <mergeCell ref="A6:B6"/>
    <mergeCell ref="C5:F5"/>
    <mergeCell ref="C6:F6"/>
    <mergeCell ref="A1:B1"/>
    <mergeCell ref="C1:F1"/>
    <mergeCell ref="A2:B2"/>
    <mergeCell ref="C2:F2"/>
    <mergeCell ref="A3:B3"/>
    <mergeCell ref="C3:F3"/>
    <mergeCell ref="C4:F4"/>
  </mergeCells>
  <conditionalFormatting sqref="H9:CV9 CY9:DJ9 R49:S49 AP49">
    <cfRule type="cellIs" dxfId="0" priority="1" operator="lessThan">
      <formula>1</formula>
    </cfRule>
  </conditionalFormatting>
  <hyperlinks>
    <hyperlink r:id="rId1" ref="A9"/>
  </hyperlinks>
  <printOptions/>
  <pageMargins bottom="0.2" footer="0.0" header="0.0" left="0.7" right="0.16" top="0.28"/>
  <pageSetup paperSize="9" scale="45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4.29"/>
    <col customWidth="1" min="2" max="2" width="17.57"/>
    <col customWidth="1" min="3" max="3" width="34.43"/>
    <col customWidth="1" min="4" max="4" width="8.14"/>
    <col customWidth="1" min="5" max="5" width="8.0"/>
    <col customWidth="1" min="6" max="6" width="6.71"/>
    <col customWidth="1" min="7" max="7" width="6.57"/>
    <col customWidth="1" min="8" max="8" width="4.0"/>
    <col customWidth="1" min="9" max="12" width="3.71"/>
    <col customWidth="1" min="13" max="13" width="4.71"/>
    <col customWidth="1" min="14" max="14" width="6.57"/>
    <col customWidth="1" min="15" max="36" width="3.71"/>
    <col customWidth="1" min="37" max="37" width="5.86"/>
    <col customWidth="1" min="38" max="58" width="3.71"/>
    <col customWidth="1" min="59" max="59" width="4.0"/>
    <col customWidth="1" min="60" max="60" width="5.71"/>
    <col customWidth="1" min="61" max="82" width="3.71"/>
    <col customWidth="1" min="83" max="83" width="4.0"/>
    <col customWidth="1" min="84" max="84" width="5.57"/>
    <col customWidth="1" min="85" max="88" width="3.71"/>
    <col customWidth="1" min="89" max="89" width="3.43"/>
    <col customWidth="1" min="90" max="100" width="3.71"/>
    <col customWidth="1" min="101" max="101" width="5.29"/>
    <col customWidth="1" min="102" max="102" width="6.29"/>
    <col customWidth="1" min="103" max="103" width="4.71"/>
    <col customWidth="1" min="104" max="104" width="4.57"/>
    <col customWidth="1" min="105" max="105" width="5.14"/>
    <col customWidth="1" min="106" max="106" width="4.43"/>
    <col customWidth="1" min="107" max="107" width="4.29"/>
    <col customWidth="1" min="108" max="109" width="4.14"/>
    <col customWidth="1" min="110" max="110" width="3.43"/>
    <col customWidth="1" min="111" max="111" width="3.86"/>
    <col customWidth="1" min="112" max="112" width="4.43"/>
    <col customWidth="1" min="113" max="113" width="3.57"/>
    <col customWidth="1" min="114" max="114" width="4.0"/>
    <col customWidth="1" min="115" max="116" width="5.86"/>
  </cols>
  <sheetData>
    <row r="1">
      <c r="A1" s="1" t="s">
        <v>1</v>
      </c>
      <c r="B1" s="2"/>
      <c r="C1" s="4"/>
      <c r="D1" s="7"/>
      <c r="E1" s="7"/>
      <c r="F1" s="10"/>
      <c r="G1" s="9"/>
      <c r="H1" s="9"/>
      <c r="I1" s="9"/>
      <c r="J1" s="9"/>
      <c r="K1" s="9"/>
      <c r="L1" s="9"/>
      <c r="M1" s="9"/>
      <c r="N1" s="9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9"/>
      <c r="AK1" s="12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9"/>
      <c r="BH1" s="14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9"/>
      <c r="CF1" s="9"/>
      <c r="CG1" s="11"/>
      <c r="CH1" s="11"/>
      <c r="CI1" s="11"/>
      <c r="CJ1" s="11"/>
      <c r="CK1" s="11"/>
      <c r="CL1" s="11"/>
      <c r="CM1" s="11"/>
      <c r="CN1" s="11" t="s">
        <v>4</v>
      </c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</row>
    <row r="2">
      <c r="A2" s="17" t="s">
        <v>5</v>
      </c>
      <c r="B2" s="18"/>
      <c r="C2" s="19" t="s">
        <v>6</v>
      </c>
      <c r="D2" s="20"/>
      <c r="E2" s="20"/>
      <c r="F2" s="21"/>
      <c r="G2" s="9"/>
      <c r="H2" s="23"/>
      <c r="I2" s="23"/>
      <c r="J2" s="23"/>
      <c r="K2" s="23"/>
      <c r="L2" s="23"/>
      <c r="M2" s="23"/>
      <c r="N2" s="23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9"/>
      <c r="AK2" s="12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9"/>
      <c r="BH2" s="14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9"/>
      <c r="CF2" s="9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</row>
    <row r="3">
      <c r="A3" s="17" t="s">
        <v>9</v>
      </c>
      <c r="B3" s="18"/>
      <c r="C3" s="19" t="s">
        <v>10</v>
      </c>
      <c r="D3" s="20"/>
      <c r="E3" s="20"/>
      <c r="F3" s="21"/>
      <c r="G3" s="9"/>
      <c r="H3" s="23"/>
      <c r="I3" s="23"/>
      <c r="J3" s="23"/>
      <c r="K3" s="23"/>
      <c r="L3" s="23"/>
      <c r="M3" s="23"/>
      <c r="N3" s="23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9"/>
      <c r="AK3" s="12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9"/>
      <c r="BH3" s="14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9"/>
      <c r="CF3" s="9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</row>
    <row r="4">
      <c r="A4" s="17" t="s">
        <v>12</v>
      </c>
      <c r="B4" s="18"/>
      <c r="C4" s="24" t="s">
        <v>1</v>
      </c>
      <c r="D4" s="25"/>
      <c r="E4" s="25"/>
      <c r="F4" s="26"/>
      <c r="G4" s="9"/>
      <c r="H4" s="9"/>
      <c r="I4" s="9"/>
      <c r="J4" s="9"/>
      <c r="K4" s="9"/>
      <c r="L4" s="9"/>
      <c r="M4" s="9"/>
      <c r="N4" s="9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9"/>
      <c r="AK4" s="12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9"/>
      <c r="BH4" s="14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9"/>
      <c r="CF4" s="9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</row>
    <row r="5">
      <c r="A5" s="17" t="s">
        <v>14</v>
      </c>
      <c r="B5" s="18"/>
      <c r="C5" s="28">
        <v>46104.0</v>
      </c>
      <c r="D5" s="29"/>
      <c r="E5" s="29"/>
      <c r="F5" s="30"/>
      <c r="G5" s="31"/>
      <c r="H5" s="9"/>
      <c r="I5" s="9"/>
      <c r="J5" s="9"/>
      <c r="K5" s="9"/>
      <c r="L5" s="9"/>
      <c r="M5" s="9"/>
      <c r="N5" s="9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9"/>
      <c r="AK5" s="12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9"/>
      <c r="BH5" s="14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9"/>
      <c r="CF5" s="9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</row>
    <row r="6">
      <c r="A6" s="32" t="s">
        <v>15</v>
      </c>
      <c r="B6" s="33"/>
      <c r="C6" s="34"/>
      <c r="D6" s="35"/>
      <c r="E6" s="35"/>
      <c r="F6" s="36"/>
      <c r="G6" s="37"/>
      <c r="H6" s="9"/>
      <c r="I6" s="9"/>
      <c r="J6" s="9"/>
      <c r="K6" s="9"/>
      <c r="L6" s="9"/>
      <c r="M6" s="9"/>
      <c r="N6" s="9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9"/>
      <c r="AK6" s="12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9"/>
      <c r="BH6" s="14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9"/>
      <c r="CF6" s="9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</row>
    <row r="7">
      <c r="A7" s="31"/>
      <c r="B7" s="40"/>
      <c r="C7" s="41"/>
      <c r="D7" s="31"/>
      <c r="E7" s="31"/>
      <c r="F7" s="42"/>
      <c r="G7" s="37"/>
      <c r="H7" s="50">
        <v>1.0</v>
      </c>
      <c r="I7" s="51">
        <v>2.0</v>
      </c>
      <c r="J7" s="51">
        <v>3.0</v>
      </c>
      <c r="K7" s="51">
        <v>4.0</v>
      </c>
      <c r="L7" s="53">
        <v>5.0</v>
      </c>
      <c r="M7" s="54"/>
      <c r="N7" s="54"/>
      <c r="O7" s="45">
        <v>1.0</v>
      </c>
      <c r="P7" s="45">
        <v>2.0</v>
      </c>
      <c r="Q7" s="45">
        <v>3.0</v>
      </c>
      <c r="R7" s="45">
        <v>4.0</v>
      </c>
      <c r="S7" s="45">
        <v>5.0</v>
      </c>
      <c r="T7" s="45">
        <v>6.0</v>
      </c>
      <c r="U7" s="45">
        <v>7.0</v>
      </c>
      <c r="V7" s="45">
        <v>8.0</v>
      </c>
      <c r="W7" s="45">
        <v>9.0</v>
      </c>
      <c r="X7" s="45">
        <v>10.0</v>
      </c>
      <c r="Y7" s="45">
        <v>11.0</v>
      </c>
      <c r="Z7" s="45">
        <v>12.0</v>
      </c>
      <c r="AA7" s="45">
        <v>13.0</v>
      </c>
      <c r="AB7" s="45">
        <v>14.0</v>
      </c>
      <c r="AC7" s="45">
        <v>15.0</v>
      </c>
      <c r="AD7" s="45">
        <v>16.0</v>
      </c>
      <c r="AE7" s="45">
        <v>17.0</v>
      </c>
      <c r="AF7" s="45">
        <v>18.0</v>
      </c>
      <c r="AG7" s="45">
        <v>19.0</v>
      </c>
      <c r="AH7" s="45">
        <v>20.0</v>
      </c>
      <c r="AI7" s="45">
        <v>21.0</v>
      </c>
      <c r="AJ7" s="54"/>
      <c r="AK7" s="57"/>
      <c r="AL7" s="45">
        <v>1.0</v>
      </c>
      <c r="AM7" s="45">
        <v>2.0</v>
      </c>
      <c r="AN7" s="45">
        <v>3.0</v>
      </c>
      <c r="AO7" s="45">
        <v>4.0</v>
      </c>
      <c r="AP7" s="45">
        <v>5.0</v>
      </c>
      <c r="AQ7" s="45">
        <v>6.0</v>
      </c>
      <c r="AR7" s="45">
        <v>7.0</v>
      </c>
      <c r="AS7" s="45">
        <v>8.0</v>
      </c>
      <c r="AT7" s="45">
        <v>9.0</v>
      </c>
      <c r="AU7" s="45">
        <v>10.0</v>
      </c>
      <c r="AV7" s="45">
        <v>11.0</v>
      </c>
      <c r="AW7" s="45">
        <v>12.0</v>
      </c>
      <c r="AX7" s="45">
        <v>13.0</v>
      </c>
      <c r="AY7" s="45">
        <v>14.0</v>
      </c>
      <c r="AZ7" s="45">
        <v>15.0</v>
      </c>
      <c r="BA7" s="45">
        <v>16.0</v>
      </c>
      <c r="BB7" s="45">
        <v>17.0</v>
      </c>
      <c r="BC7" s="45">
        <v>18.0</v>
      </c>
      <c r="BD7" s="45">
        <v>19.0</v>
      </c>
      <c r="BE7" s="45">
        <v>20.0</v>
      </c>
      <c r="BF7" s="45">
        <v>21.0</v>
      </c>
      <c r="BG7" s="47"/>
      <c r="BH7" s="63"/>
      <c r="BI7" s="49">
        <v>1.0</v>
      </c>
      <c r="BJ7" s="49">
        <v>2.0</v>
      </c>
      <c r="BK7" s="49">
        <v>3.0</v>
      </c>
      <c r="BL7" s="49">
        <v>4.0</v>
      </c>
      <c r="BM7" s="49">
        <v>5.0</v>
      </c>
      <c r="BN7" s="49">
        <v>6.0</v>
      </c>
      <c r="BO7" s="49">
        <v>7.0</v>
      </c>
      <c r="BP7" s="49">
        <v>8.0</v>
      </c>
      <c r="BQ7" s="49">
        <v>9.0</v>
      </c>
      <c r="BR7" s="49">
        <v>10.0</v>
      </c>
      <c r="BS7" s="49">
        <v>11.0</v>
      </c>
      <c r="BT7" s="49">
        <v>12.0</v>
      </c>
      <c r="BU7" s="49">
        <v>13.0</v>
      </c>
      <c r="BV7" s="49">
        <v>14.0</v>
      </c>
      <c r="BW7" s="49">
        <v>15.0</v>
      </c>
      <c r="BX7" s="49">
        <v>16.0</v>
      </c>
      <c r="BY7" s="49">
        <v>17.0</v>
      </c>
      <c r="BZ7" s="49">
        <v>18.0</v>
      </c>
      <c r="CA7" s="49">
        <v>19.0</v>
      </c>
      <c r="CB7" s="49">
        <v>20.0</v>
      </c>
      <c r="CC7" s="49">
        <v>21.0</v>
      </c>
      <c r="CD7" s="49">
        <v>22.0</v>
      </c>
      <c r="CE7" s="47"/>
      <c r="CF7" s="47"/>
      <c r="CG7" s="49">
        <v>1.0</v>
      </c>
      <c r="CH7" s="49">
        <v>2.0</v>
      </c>
      <c r="CI7" s="49">
        <v>3.0</v>
      </c>
      <c r="CJ7" s="49">
        <v>4.0</v>
      </c>
      <c r="CK7" s="49">
        <v>5.0</v>
      </c>
      <c r="CL7" s="49">
        <v>6.0</v>
      </c>
      <c r="CM7" s="49">
        <v>7.0</v>
      </c>
      <c r="CN7" s="49">
        <v>8.0</v>
      </c>
      <c r="CO7" s="49">
        <v>9.0</v>
      </c>
      <c r="CP7" s="49">
        <v>10.0</v>
      </c>
      <c r="CQ7" s="49">
        <v>11.0</v>
      </c>
      <c r="CR7" s="49">
        <v>12.0</v>
      </c>
      <c r="CS7" s="49">
        <v>13.0</v>
      </c>
      <c r="CT7" s="49">
        <v>14.0</v>
      </c>
      <c r="CU7" s="49">
        <v>15.0</v>
      </c>
      <c r="CV7" s="49">
        <v>16.0</v>
      </c>
      <c r="CW7" s="55"/>
      <c r="CX7" s="55"/>
      <c r="CY7" s="69"/>
      <c r="CZ7" s="69"/>
      <c r="DA7" s="69"/>
      <c r="DB7" s="69"/>
      <c r="DC7" s="69"/>
      <c r="DD7" s="69"/>
      <c r="DE7" s="69"/>
      <c r="DF7" s="69"/>
      <c r="DG7" s="69"/>
      <c r="DH7" s="69"/>
      <c r="DI7" s="69"/>
      <c r="DJ7" s="69"/>
      <c r="DK7" s="55"/>
      <c r="DL7" s="55"/>
    </row>
    <row r="8" ht="78.75" customHeight="1">
      <c r="A8" s="56"/>
      <c r="B8" s="49"/>
      <c r="C8" s="49"/>
      <c r="D8" s="72" t="s">
        <v>17</v>
      </c>
      <c r="E8" s="73" t="s">
        <v>18</v>
      </c>
      <c r="F8" s="61" t="s">
        <v>19</v>
      </c>
      <c r="G8" s="61" t="s">
        <v>20</v>
      </c>
      <c r="H8" s="62">
        <v>46104.0</v>
      </c>
      <c r="I8" s="62">
        <v>46105.0</v>
      </c>
      <c r="J8" s="62">
        <v>46106.0</v>
      </c>
      <c r="K8" s="62">
        <v>46107.0</v>
      </c>
      <c r="L8" s="64">
        <v>46111.0</v>
      </c>
      <c r="M8" s="76" t="s">
        <v>29</v>
      </c>
      <c r="N8" s="78" t="s">
        <v>30</v>
      </c>
      <c r="O8" s="62">
        <v>46113.0</v>
      </c>
      <c r="P8" s="62">
        <v>46114.0</v>
      </c>
      <c r="Q8" s="62">
        <v>46115.0</v>
      </c>
      <c r="R8" s="62">
        <v>46118.0</v>
      </c>
      <c r="S8" s="62">
        <v>46119.0</v>
      </c>
      <c r="T8" s="62">
        <v>46120.0</v>
      </c>
      <c r="U8" s="62">
        <v>46121.0</v>
      </c>
      <c r="V8" s="62">
        <v>46122.0</v>
      </c>
      <c r="W8" s="62">
        <v>46125.0</v>
      </c>
      <c r="X8" s="62">
        <v>46127.0</v>
      </c>
      <c r="Y8" s="62">
        <v>46128.0</v>
      </c>
      <c r="Z8" s="62">
        <v>46129.0</v>
      </c>
      <c r="AA8" s="62">
        <v>46132.0</v>
      </c>
      <c r="AB8" s="62">
        <v>46133.0</v>
      </c>
      <c r="AC8" s="62">
        <v>46134.0</v>
      </c>
      <c r="AD8" s="62">
        <v>46135.0</v>
      </c>
      <c r="AE8" s="62">
        <v>46136.0</v>
      </c>
      <c r="AF8" s="62">
        <v>46139.0</v>
      </c>
      <c r="AG8" s="62">
        <v>46140.0</v>
      </c>
      <c r="AH8" s="62">
        <v>46141.0</v>
      </c>
      <c r="AI8" s="62">
        <v>46142.0</v>
      </c>
      <c r="AJ8" s="76" t="s">
        <v>34</v>
      </c>
      <c r="AK8" s="78" t="s">
        <v>35</v>
      </c>
      <c r="AL8" s="62">
        <v>46143.0</v>
      </c>
      <c r="AM8" s="62">
        <v>46146.0</v>
      </c>
      <c r="AN8" s="62">
        <v>46147.0</v>
      </c>
      <c r="AO8" s="62">
        <v>46148.0</v>
      </c>
      <c r="AP8" s="64">
        <v>46148.0</v>
      </c>
      <c r="AQ8" s="62">
        <v>46150.0</v>
      </c>
      <c r="AR8" s="62">
        <v>46153.0</v>
      </c>
      <c r="AS8" s="62">
        <v>46154.0</v>
      </c>
      <c r="AT8" s="62">
        <v>46155.0</v>
      </c>
      <c r="AU8" s="62">
        <v>46156.0</v>
      </c>
      <c r="AV8" s="62">
        <v>46157.0</v>
      </c>
      <c r="AW8" s="62">
        <v>46160.0</v>
      </c>
      <c r="AX8" s="62">
        <v>46161.0</v>
      </c>
      <c r="AY8" s="62">
        <v>46162.0</v>
      </c>
      <c r="AZ8" s="62">
        <v>46163.0</v>
      </c>
      <c r="BA8" s="62">
        <v>46164.0</v>
      </c>
      <c r="BB8" s="62">
        <v>46167.0</v>
      </c>
      <c r="BC8" s="62">
        <v>46168.0</v>
      </c>
      <c r="BD8" s="62">
        <v>46169.0</v>
      </c>
      <c r="BE8" s="62">
        <v>46170.0</v>
      </c>
      <c r="BF8" s="62">
        <v>46171.0</v>
      </c>
      <c r="BG8" s="70" t="s">
        <v>36</v>
      </c>
      <c r="BH8" s="82" t="s">
        <v>37</v>
      </c>
      <c r="BI8" s="62">
        <v>46174.0</v>
      </c>
      <c r="BJ8" s="62">
        <v>46175.0</v>
      </c>
      <c r="BK8" s="62">
        <v>46176.0</v>
      </c>
      <c r="BL8" s="62">
        <v>46177.0</v>
      </c>
      <c r="BM8" s="62">
        <v>46178.0</v>
      </c>
      <c r="BN8" s="62">
        <v>46181.0</v>
      </c>
      <c r="BO8" s="62">
        <v>46182.0</v>
      </c>
      <c r="BP8" s="62">
        <v>46183.0</v>
      </c>
      <c r="BQ8" s="62">
        <v>46184.0</v>
      </c>
      <c r="BR8" s="62">
        <v>46185.0</v>
      </c>
      <c r="BS8" s="64">
        <v>46188.0</v>
      </c>
      <c r="BT8" s="64">
        <v>46189.0</v>
      </c>
      <c r="BU8" s="64">
        <v>46190.0</v>
      </c>
      <c r="BV8" s="64">
        <v>46191.0</v>
      </c>
      <c r="BW8" s="64">
        <v>46192.0</v>
      </c>
      <c r="BX8" s="64">
        <v>46195.0</v>
      </c>
      <c r="BY8" s="64">
        <v>46196.0</v>
      </c>
      <c r="BZ8" s="64">
        <v>46197.0</v>
      </c>
      <c r="CA8" s="64">
        <v>46198.0</v>
      </c>
      <c r="CB8" s="64">
        <v>46199.0</v>
      </c>
      <c r="CC8" s="64">
        <v>46202.0</v>
      </c>
      <c r="CD8" s="64">
        <v>46203.0</v>
      </c>
      <c r="CE8" s="70" t="s">
        <v>39</v>
      </c>
      <c r="CF8" s="86" t="s">
        <v>41</v>
      </c>
      <c r="CG8" s="64">
        <v>46204.0</v>
      </c>
      <c r="CH8" s="64">
        <v>46206.0</v>
      </c>
      <c r="CI8" s="64">
        <v>46223.0</v>
      </c>
      <c r="CJ8" s="79"/>
      <c r="CK8" s="79"/>
      <c r="CL8" s="79"/>
      <c r="CM8" s="79"/>
      <c r="CN8" s="79"/>
      <c r="CO8" s="88"/>
      <c r="CP8" s="88"/>
      <c r="CQ8" s="88"/>
      <c r="CR8" s="88"/>
      <c r="CS8" s="88"/>
      <c r="CT8" s="89"/>
      <c r="CU8" s="88"/>
      <c r="CV8" s="88"/>
      <c r="CW8" s="70" t="s">
        <v>43</v>
      </c>
      <c r="CX8" s="86" t="s">
        <v>44</v>
      </c>
      <c r="CY8" s="90"/>
      <c r="CZ8" s="90"/>
      <c r="DA8" s="90"/>
      <c r="DB8" s="90"/>
      <c r="DC8" s="90"/>
      <c r="DD8" s="90"/>
      <c r="DE8" s="90"/>
      <c r="DF8" s="90"/>
      <c r="DG8" s="90"/>
      <c r="DH8" s="90"/>
      <c r="DI8" s="90"/>
      <c r="DJ8" s="90"/>
      <c r="DK8" s="70" t="s">
        <v>45</v>
      </c>
      <c r="DL8" s="86" t="s">
        <v>46</v>
      </c>
    </row>
    <row r="9">
      <c r="A9" s="84" t="s">
        <v>49</v>
      </c>
      <c r="B9" s="95" t="s">
        <v>48</v>
      </c>
      <c r="C9" s="97" t="s">
        <v>42</v>
      </c>
      <c r="D9" s="98">
        <f t="shared" ref="D9:D92" si="8">SUM(M9+AJ9+BG9+CE9+CW9+DK9)</f>
        <v>38</v>
      </c>
      <c r="E9" s="99"/>
      <c r="F9" s="100"/>
      <c r="G9" s="100"/>
      <c r="H9" s="101">
        <f t="shared" ref="H9:L9" si="1">SUM(H11:H92)</f>
        <v>0</v>
      </c>
      <c r="I9" s="101">
        <f t="shared" si="1"/>
        <v>0</v>
      </c>
      <c r="J9" s="101">
        <f t="shared" si="1"/>
        <v>0</v>
      </c>
      <c r="K9" s="101">
        <f t="shared" si="1"/>
        <v>0</v>
      </c>
      <c r="L9" s="101">
        <f t="shared" si="1"/>
        <v>0</v>
      </c>
      <c r="M9" s="104">
        <f>COUNTIF(H9:L9,"&gt;0")</f>
        <v>0</v>
      </c>
      <c r="N9" s="104">
        <f>COUNTIF(H9:K9,"&gt;0")</f>
        <v>0</v>
      </c>
      <c r="O9" s="105">
        <f t="shared" ref="O9:AI9" si="2">SUM(O11:O92)</f>
        <v>0</v>
      </c>
      <c r="P9" s="105">
        <f t="shared" si="2"/>
        <v>0</v>
      </c>
      <c r="Q9" s="105">
        <f t="shared" si="2"/>
        <v>0</v>
      </c>
      <c r="R9" s="105">
        <f t="shared" si="2"/>
        <v>0</v>
      </c>
      <c r="S9" s="105">
        <f t="shared" si="2"/>
        <v>0</v>
      </c>
      <c r="T9" s="105">
        <f t="shared" si="2"/>
        <v>0</v>
      </c>
      <c r="U9" s="105">
        <f t="shared" si="2"/>
        <v>0</v>
      </c>
      <c r="V9" s="105">
        <f t="shared" si="2"/>
        <v>0</v>
      </c>
      <c r="W9" s="105">
        <f t="shared" si="2"/>
        <v>26</v>
      </c>
      <c r="X9" s="105">
        <f t="shared" si="2"/>
        <v>0</v>
      </c>
      <c r="Y9" s="105">
        <f t="shared" si="2"/>
        <v>0</v>
      </c>
      <c r="Z9" s="105">
        <f t="shared" si="2"/>
        <v>25</v>
      </c>
      <c r="AA9" s="105">
        <f t="shared" si="2"/>
        <v>26</v>
      </c>
      <c r="AB9" s="105">
        <f t="shared" si="2"/>
        <v>40</v>
      </c>
      <c r="AC9" s="105">
        <f t="shared" si="2"/>
        <v>39</v>
      </c>
      <c r="AD9" s="105">
        <f t="shared" si="2"/>
        <v>0</v>
      </c>
      <c r="AE9" s="105">
        <f t="shared" si="2"/>
        <v>0</v>
      </c>
      <c r="AF9" s="105">
        <f t="shared" si="2"/>
        <v>36</v>
      </c>
      <c r="AG9" s="105">
        <f t="shared" si="2"/>
        <v>50</v>
      </c>
      <c r="AH9" s="105">
        <f t="shared" si="2"/>
        <v>0</v>
      </c>
      <c r="AI9" s="105">
        <f t="shared" si="2"/>
        <v>0</v>
      </c>
      <c r="AJ9" s="104">
        <f>COUNTIF(O9:AI9,"&gt;0")</f>
        <v>7</v>
      </c>
      <c r="AK9" s="108">
        <f>SUM(M9+AJ9)</f>
        <v>7</v>
      </c>
      <c r="AL9" s="105">
        <f t="shared" ref="AL9:BF9" si="3">SUM(AL11:AL92)</f>
        <v>0</v>
      </c>
      <c r="AM9" s="105">
        <f t="shared" si="3"/>
        <v>41</v>
      </c>
      <c r="AN9" s="105">
        <f t="shared" si="3"/>
        <v>33</v>
      </c>
      <c r="AO9" s="105">
        <f t="shared" si="3"/>
        <v>36</v>
      </c>
      <c r="AP9" s="105">
        <f t="shared" si="3"/>
        <v>38</v>
      </c>
      <c r="AQ9" s="105">
        <f t="shared" si="3"/>
        <v>15</v>
      </c>
      <c r="AR9" s="105">
        <f t="shared" si="3"/>
        <v>39</v>
      </c>
      <c r="AS9" s="105">
        <f t="shared" si="3"/>
        <v>37</v>
      </c>
      <c r="AT9" s="105">
        <f t="shared" si="3"/>
        <v>0</v>
      </c>
      <c r="AU9" s="105">
        <f t="shared" si="3"/>
        <v>0</v>
      </c>
      <c r="AV9" s="105">
        <f t="shared" si="3"/>
        <v>20</v>
      </c>
      <c r="AW9" s="105">
        <f t="shared" si="3"/>
        <v>0</v>
      </c>
      <c r="AX9" s="105">
        <f t="shared" si="3"/>
        <v>26</v>
      </c>
      <c r="AY9" s="105">
        <f t="shared" si="3"/>
        <v>0</v>
      </c>
      <c r="AZ9" s="105">
        <f t="shared" si="3"/>
        <v>0</v>
      </c>
      <c r="BA9" s="105">
        <f t="shared" si="3"/>
        <v>63</v>
      </c>
      <c r="BB9" s="105">
        <f t="shared" si="3"/>
        <v>21</v>
      </c>
      <c r="BC9" s="105">
        <f t="shared" si="3"/>
        <v>38</v>
      </c>
      <c r="BD9" s="105">
        <f t="shared" si="3"/>
        <v>29</v>
      </c>
      <c r="BE9" s="105">
        <f t="shared" si="3"/>
        <v>0</v>
      </c>
      <c r="BF9" s="105">
        <f t="shared" si="3"/>
        <v>29</v>
      </c>
      <c r="BG9" s="47">
        <f>COUNTIF(AM9:BF9,"&gt;0")</f>
        <v>14</v>
      </c>
      <c r="BH9" s="63">
        <f>SUM(AK9+BG9)</f>
        <v>21</v>
      </c>
      <c r="BI9" s="107">
        <f t="shared" ref="BI9:CD9" si="4">SUM(BI11:BI92)</f>
        <v>36</v>
      </c>
      <c r="BJ9" s="107">
        <f t="shared" si="4"/>
        <v>46</v>
      </c>
      <c r="BK9" s="107">
        <f t="shared" si="4"/>
        <v>0</v>
      </c>
      <c r="BL9" s="107">
        <f t="shared" si="4"/>
        <v>0</v>
      </c>
      <c r="BM9" s="107">
        <f t="shared" si="4"/>
        <v>0</v>
      </c>
      <c r="BN9" s="107">
        <f t="shared" si="4"/>
        <v>0</v>
      </c>
      <c r="BO9" s="107">
        <f t="shared" si="4"/>
        <v>44</v>
      </c>
      <c r="BP9" s="107">
        <f t="shared" si="4"/>
        <v>0</v>
      </c>
      <c r="BQ9" s="107">
        <f t="shared" si="4"/>
        <v>0</v>
      </c>
      <c r="BR9" s="107">
        <f t="shared" si="4"/>
        <v>24</v>
      </c>
      <c r="BS9" s="107">
        <f t="shared" si="4"/>
        <v>44</v>
      </c>
      <c r="BT9" s="107">
        <f t="shared" si="4"/>
        <v>51</v>
      </c>
      <c r="BU9" s="107">
        <f t="shared" si="4"/>
        <v>36</v>
      </c>
      <c r="BV9" s="107">
        <f t="shared" si="4"/>
        <v>0</v>
      </c>
      <c r="BW9" s="107">
        <f t="shared" si="4"/>
        <v>28</v>
      </c>
      <c r="BX9" s="107">
        <f t="shared" si="4"/>
        <v>36</v>
      </c>
      <c r="BY9" s="107">
        <f t="shared" si="4"/>
        <v>43</v>
      </c>
      <c r="BZ9" s="107">
        <f t="shared" si="4"/>
        <v>42</v>
      </c>
      <c r="CA9" s="107">
        <f t="shared" si="4"/>
        <v>0</v>
      </c>
      <c r="CB9" s="107">
        <f t="shared" si="4"/>
        <v>21</v>
      </c>
      <c r="CC9" s="107">
        <f t="shared" si="4"/>
        <v>30</v>
      </c>
      <c r="CD9" s="107">
        <f t="shared" si="4"/>
        <v>58</v>
      </c>
      <c r="CE9" s="47">
        <f>COUNTIF(BI9:CD9,"&gt;0")</f>
        <v>14</v>
      </c>
      <c r="CF9" s="115">
        <f>SUM(BH9+CE9)</f>
        <v>35</v>
      </c>
      <c r="CG9" s="117">
        <f t="shared" ref="CG9:CR9" si="5">SUM(CG11:CG85)</f>
        <v>38</v>
      </c>
      <c r="CH9" s="107">
        <f t="shared" si="5"/>
        <v>11</v>
      </c>
      <c r="CI9" s="107">
        <f t="shared" si="5"/>
        <v>2</v>
      </c>
      <c r="CJ9" s="107">
        <f t="shared" si="5"/>
        <v>0</v>
      </c>
      <c r="CK9" s="107">
        <f t="shared" si="5"/>
        <v>0</v>
      </c>
      <c r="CL9" s="107">
        <f t="shared" si="5"/>
        <v>0</v>
      </c>
      <c r="CM9" s="107">
        <f t="shared" si="5"/>
        <v>0</v>
      </c>
      <c r="CN9" s="107">
        <f t="shared" si="5"/>
        <v>0</v>
      </c>
      <c r="CO9" s="107">
        <f t="shared" si="5"/>
        <v>0</v>
      </c>
      <c r="CP9" s="107">
        <f t="shared" si="5"/>
        <v>0</v>
      </c>
      <c r="CQ9" s="107">
        <f t="shared" si="5"/>
        <v>0</v>
      </c>
      <c r="CR9" s="107">
        <f t="shared" si="5"/>
        <v>0</v>
      </c>
      <c r="CS9" s="107">
        <f t="shared" ref="CS9:CT9" si="6">SUM(CS10:CS92)</f>
        <v>0</v>
      </c>
      <c r="CT9" s="107">
        <f t="shared" si="6"/>
        <v>0</v>
      </c>
      <c r="CU9" s="107">
        <f>SUM(CU11:CU92)</f>
        <v>0</v>
      </c>
      <c r="CV9" s="117">
        <f>SUM(CV11:CV85)</f>
        <v>0</v>
      </c>
      <c r="CW9" s="109">
        <f>COUNTIF(CG9:CV9,"&gt;0")</f>
        <v>3</v>
      </c>
      <c r="CX9" s="123">
        <f>SUM(CF9+CW9)</f>
        <v>38</v>
      </c>
      <c r="CY9" s="117">
        <f t="shared" ref="CY9:DJ9" si="7">SUM(CY11:CY85)</f>
        <v>0</v>
      </c>
      <c r="CZ9" s="117">
        <f t="shared" si="7"/>
        <v>0</v>
      </c>
      <c r="DA9" s="117">
        <f t="shared" si="7"/>
        <v>0</v>
      </c>
      <c r="DB9" s="117">
        <f t="shared" si="7"/>
        <v>0</v>
      </c>
      <c r="DC9" s="117">
        <f t="shared" si="7"/>
        <v>0</v>
      </c>
      <c r="DD9" s="117">
        <f t="shared" si="7"/>
        <v>0</v>
      </c>
      <c r="DE9" s="117">
        <f t="shared" si="7"/>
        <v>0</v>
      </c>
      <c r="DF9" s="117">
        <f t="shared" si="7"/>
        <v>0</v>
      </c>
      <c r="DG9" s="117">
        <f t="shared" si="7"/>
        <v>0</v>
      </c>
      <c r="DH9" s="117">
        <f t="shared" si="7"/>
        <v>0</v>
      </c>
      <c r="DI9" s="117">
        <f t="shared" si="7"/>
        <v>0</v>
      </c>
      <c r="DJ9" s="117">
        <f t="shared" si="7"/>
        <v>0</v>
      </c>
      <c r="DK9" s="109">
        <f>COUNTIF(CY9:DJ9,"&gt;0")</f>
        <v>0</v>
      </c>
      <c r="DL9" s="123">
        <f>SUM(CX9+DK9)</f>
        <v>38</v>
      </c>
    </row>
    <row r="10">
      <c r="A10" s="50">
        <v>1.0</v>
      </c>
      <c r="B10" s="126" t="s">
        <v>51</v>
      </c>
      <c r="C10" s="127" t="s">
        <v>52</v>
      </c>
      <c r="D10" s="98">
        <f t="shared" si="8"/>
        <v>0</v>
      </c>
      <c r="E10" s="130">
        <f t="shared" ref="E10:E92" si="9">(D10)/D$9*100</f>
        <v>0</v>
      </c>
      <c r="F10" s="132">
        <f t="shared" ref="F10:F92" si="10">IF(E10&lt;50,E10, "  ")</f>
        <v>0</v>
      </c>
      <c r="G10" s="134">
        <f t="shared" ref="G10:G92" si="11">IF(E10&lt;30,E10, "  ")</f>
        <v>0</v>
      </c>
      <c r="H10" s="136"/>
      <c r="I10" s="136"/>
      <c r="J10" s="136"/>
      <c r="K10" s="136"/>
      <c r="L10" s="137"/>
      <c r="M10" s="139">
        <f t="shared" ref="M10:M92" si="12">SUM(H10:L10)</f>
        <v>0</v>
      </c>
      <c r="N10" s="140" t="str">
        <f t="shared" ref="N10:N92" si="13">M10/M$9*100</f>
        <v>#DIV/0!</v>
      </c>
      <c r="O10" s="141"/>
      <c r="P10" s="141"/>
      <c r="Q10" s="116"/>
      <c r="R10" s="141"/>
      <c r="S10" s="141"/>
      <c r="T10" s="141"/>
      <c r="U10" s="141"/>
      <c r="V10" s="141"/>
      <c r="W10" s="141"/>
      <c r="X10" s="141"/>
      <c r="Y10" s="141"/>
      <c r="Z10" s="142"/>
      <c r="AA10" s="143"/>
      <c r="AB10" s="141"/>
      <c r="AC10" s="141"/>
      <c r="AD10" s="144"/>
      <c r="AE10" s="144"/>
      <c r="AF10" s="144"/>
      <c r="AG10" s="144"/>
      <c r="AH10" s="144"/>
      <c r="AI10" s="144"/>
      <c r="AJ10" s="139">
        <f t="shared" ref="AJ10:AJ92" si="14">SUM(O10:AI10)</f>
        <v>0</v>
      </c>
      <c r="AK10" s="140">
        <f t="shared" ref="AK10:AK92" si="15">AJ10/AJ$9*100</f>
        <v>0</v>
      </c>
      <c r="AL10" s="147"/>
      <c r="AM10" s="141"/>
      <c r="AN10" s="141"/>
      <c r="AO10" s="141"/>
      <c r="AP10" s="141"/>
      <c r="AQ10" s="141"/>
      <c r="AR10" s="141"/>
      <c r="AS10" s="148"/>
      <c r="AT10" s="141"/>
      <c r="AU10" s="141"/>
      <c r="AV10" s="141"/>
      <c r="AW10" s="141"/>
      <c r="AX10" s="177"/>
      <c r="AY10" s="141"/>
      <c r="AZ10" s="136"/>
      <c r="BA10" s="136"/>
      <c r="BB10" s="137"/>
      <c r="BC10" s="137"/>
      <c r="BD10" s="137"/>
      <c r="BE10" s="137"/>
      <c r="BF10" s="137"/>
      <c r="BG10" s="139">
        <f t="shared" ref="BG10:BG92" si="16">SUM(AM10:BF10)</f>
        <v>0</v>
      </c>
      <c r="BH10" s="152">
        <f t="shared" ref="BH10:BH92" si="17">BG10/BG$9*100</f>
        <v>0</v>
      </c>
      <c r="BI10" s="141"/>
      <c r="BJ10" s="136"/>
      <c r="BK10" s="136"/>
      <c r="BL10" s="141"/>
      <c r="BM10" s="141"/>
      <c r="BN10" s="141"/>
      <c r="BO10" s="141"/>
      <c r="BP10" s="141"/>
      <c r="BQ10" s="147"/>
      <c r="BR10" s="148"/>
      <c r="BS10" s="144"/>
      <c r="BT10" s="142"/>
      <c r="BU10" s="153"/>
      <c r="BV10" s="153"/>
      <c r="BW10" s="154"/>
      <c r="BX10" s="153"/>
      <c r="BY10" s="141"/>
      <c r="BZ10" s="144"/>
      <c r="CA10" s="116"/>
      <c r="CB10" s="144"/>
      <c r="CC10" s="43"/>
      <c r="CD10" s="144"/>
      <c r="CE10" s="124">
        <f t="shared" ref="CE10:CE92" si="18">SUM(BI10:CD10)</f>
        <v>0</v>
      </c>
      <c r="CF10" s="159">
        <f t="shared" ref="CF10:CF92" si="19">CE10/CE$9*100</f>
        <v>0</v>
      </c>
      <c r="CG10" s="160"/>
      <c r="CH10" s="43"/>
      <c r="CI10" s="43"/>
      <c r="CJ10" s="43"/>
      <c r="CK10" s="43"/>
      <c r="CL10" s="43"/>
      <c r="CM10" s="163"/>
      <c r="CN10" s="163"/>
      <c r="CO10" s="163"/>
      <c r="CP10" s="166"/>
      <c r="CQ10" s="166"/>
      <c r="CR10" s="166"/>
      <c r="CS10" s="166"/>
      <c r="CT10" s="166"/>
      <c r="CU10" s="166"/>
      <c r="CV10" s="167"/>
      <c r="CW10" s="128">
        <f t="shared" ref="CW10:CW92" si="20">SUM(CG10:CV10)</f>
        <v>0</v>
      </c>
      <c r="CX10" s="170">
        <f t="shared" ref="CX10:CX92" si="21">CW10/CW$9*100</f>
        <v>0</v>
      </c>
      <c r="CY10" s="171"/>
      <c r="CZ10" s="171"/>
      <c r="DA10" s="171"/>
      <c r="DB10" s="171"/>
      <c r="DC10" s="171"/>
      <c r="DD10" s="171"/>
      <c r="DE10" s="171"/>
      <c r="DF10" s="171"/>
      <c r="DG10" s="171"/>
      <c r="DH10" s="171"/>
      <c r="DI10" s="171"/>
      <c r="DJ10" s="171"/>
      <c r="DK10" s="128">
        <f t="shared" ref="DK10:DK92" si="22">SUM(CY10:DJ10)</f>
        <v>0</v>
      </c>
      <c r="DL10" s="129" t="str">
        <f t="shared" ref="DL10:DL92" si="23">DK10/DK$9*100</f>
        <v>#DIV/0!</v>
      </c>
    </row>
    <row r="11">
      <c r="A11" s="131">
        <v>2.0</v>
      </c>
      <c r="B11" s="111" t="s">
        <v>53</v>
      </c>
      <c r="C11" s="112" t="s">
        <v>61</v>
      </c>
      <c r="D11" s="98">
        <f t="shared" si="8"/>
        <v>27</v>
      </c>
      <c r="E11" s="130">
        <f t="shared" si="9"/>
        <v>71.05263158</v>
      </c>
      <c r="F11" s="132" t="str">
        <f t="shared" si="10"/>
        <v>  </v>
      </c>
      <c r="G11" s="178" t="str">
        <f t="shared" si="11"/>
        <v>  </v>
      </c>
      <c r="H11" s="180"/>
      <c r="I11" s="180"/>
      <c r="J11" s="180"/>
      <c r="K11" s="180"/>
      <c r="L11" s="181"/>
      <c r="M11" s="139">
        <f t="shared" si="12"/>
        <v>0</v>
      </c>
      <c r="N11" s="140" t="str">
        <f t="shared" si="13"/>
        <v>#DIV/0!</v>
      </c>
      <c r="O11" s="116"/>
      <c r="P11" s="116"/>
      <c r="Q11" s="116"/>
      <c r="R11" s="116"/>
      <c r="S11" s="116"/>
      <c r="T11" s="116"/>
      <c r="U11" s="116"/>
      <c r="V11" s="116"/>
      <c r="W11" s="138">
        <v>1.0</v>
      </c>
      <c r="X11" s="116"/>
      <c r="Y11" s="116"/>
      <c r="Z11" s="210">
        <v>1.0</v>
      </c>
      <c r="AA11" s="187">
        <v>1.0</v>
      </c>
      <c r="AB11" s="138">
        <v>1.0</v>
      </c>
      <c r="AC11" s="116"/>
      <c r="AD11" s="116"/>
      <c r="AE11" s="116"/>
      <c r="AF11" s="188">
        <v>1.0</v>
      </c>
      <c r="AG11" s="188">
        <v>1.0</v>
      </c>
      <c r="AH11" s="116"/>
      <c r="AI11" s="116"/>
      <c r="AJ11" s="139">
        <f t="shared" si="14"/>
        <v>6</v>
      </c>
      <c r="AK11" s="140">
        <f t="shared" si="15"/>
        <v>85.71428571</v>
      </c>
      <c r="AL11" s="190"/>
      <c r="AM11" s="138">
        <v>1.0</v>
      </c>
      <c r="AN11" s="116"/>
      <c r="AO11" s="116"/>
      <c r="AP11" s="116"/>
      <c r="AQ11" s="116"/>
      <c r="AR11" s="138">
        <v>1.0</v>
      </c>
      <c r="AS11" s="166"/>
      <c r="AT11" s="116"/>
      <c r="AU11" s="116"/>
      <c r="AV11" s="116"/>
      <c r="AW11" s="116"/>
      <c r="AX11" s="138">
        <v>1.0</v>
      </c>
      <c r="AY11" s="116"/>
      <c r="AZ11" s="116"/>
      <c r="BA11" s="215">
        <v>1.0</v>
      </c>
      <c r="BB11" s="138">
        <v>1.0</v>
      </c>
      <c r="BC11" s="116"/>
      <c r="BD11" s="188">
        <v>1.0</v>
      </c>
      <c r="BE11" s="194"/>
      <c r="BF11" s="188">
        <v>1.0</v>
      </c>
      <c r="BG11" s="139">
        <f t="shared" si="16"/>
        <v>7</v>
      </c>
      <c r="BH11" s="152">
        <f t="shared" si="17"/>
        <v>50</v>
      </c>
      <c r="BI11" s="138">
        <v>1.0</v>
      </c>
      <c r="BJ11" s="138">
        <v>1.0</v>
      </c>
      <c r="BK11" s="180"/>
      <c r="BL11" s="116"/>
      <c r="BM11" s="116"/>
      <c r="BN11" s="116"/>
      <c r="BO11" s="138">
        <v>1.0</v>
      </c>
      <c r="BP11" s="116"/>
      <c r="BQ11" s="116"/>
      <c r="BR11" s="191">
        <v>1.0</v>
      </c>
      <c r="BS11" s="196">
        <v>1.0</v>
      </c>
      <c r="BT11" s="138">
        <v>1.0</v>
      </c>
      <c r="BU11" s="145">
        <v>1.0</v>
      </c>
      <c r="BV11" s="116"/>
      <c r="BW11" s="216">
        <v>1.0</v>
      </c>
      <c r="BX11" s="138">
        <v>1.0</v>
      </c>
      <c r="BY11" s="138">
        <v>1.0</v>
      </c>
      <c r="BZ11" s="194"/>
      <c r="CA11" s="116"/>
      <c r="CB11" s="138">
        <v>1.0</v>
      </c>
      <c r="CC11" s="145">
        <v>1.0</v>
      </c>
      <c r="CD11" s="188">
        <v>1.0</v>
      </c>
      <c r="CE11" s="124">
        <f t="shared" si="18"/>
        <v>13</v>
      </c>
      <c r="CF11" s="159">
        <f t="shared" si="19"/>
        <v>92.85714286</v>
      </c>
      <c r="CG11" s="116"/>
      <c r="CH11" s="138">
        <v>1.0</v>
      </c>
      <c r="CI11" s="43"/>
      <c r="CJ11" s="116"/>
      <c r="CK11" s="116"/>
      <c r="CL11" s="43"/>
      <c r="CM11" s="116"/>
      <c r="CN11" s="163"/>
      <c r="CO11" s="116"/>
      <c r="CP11" s="116"/>
      <c r="CQ11" s="116"/>
      <c r="CR11" s="116"/>
      <c r="CS11" s="116"/>
      <c r="CT11" s="116"/>
      <c r="CU11" s="116"/>
      <c r="CV11" s="194"/>
      <c r="CW11" s="128">
        <f t="shared" si="20"/>
        <v>1</v>
      </c>
      <c r="CX11" s="170">
        <f t="shared" si="21"/>
        <v>33.33333333</v>
      </c>
      <c r="CY11" s="171"/>
      <c r="CZ11" s="171"/>
      <c r="DA11" s="171"/>
      <c r="DB11" s="171"/>
      <c r="DC11" s="171"/>
      <c r="DD11" s="171"/>
      <c r="DE11" s="171"/>
      <c r="DF11" s="171"/>
      <c r="DG11" s="171"/>
      <c r="DH11" s="171"/>
      <c r="DI11" s="171"/>
      <c r="DJ11" s="171"/>
      <c r="DK11" s="128">
        <f t="shared" si="22"/>
        <v>0</v>
      </c>
      <c r="DL11" s="129" t="str">
        <f t="shared" si="23"/>
        <v>#DIV/0!</v>
      </c>
    </row>
    <row r="12" ht="16.5" customHeight="1">
      <c r="A12" s="146">
        <v>3.0</v>
      </c>
      <c r="B12" s="111" t="s">
        <v>55</v>
      </c>
      <c r="C12" s="112" t="s">
        <v>56</v>
      </c>
      <c r="D12" s="98">
        <f t="shared" si="8"/>
        <v>15</v>
      </c>
      <c r="E12" s="130">
        <f t="shared" si="9"/>
        <v>39.47368421</v>
      </c>
      <c r="F12" s="114">
        <f t="shared" si="10"/>
        <v>39.47368421</v>
      </c>
      <c r="G12" s="149" t="str">
        <f t="shared" si="11"/>
        <v>  </v>
      </c>
      <c r="H12" s="180"/>
      <c r="I12" s="203"/>
      <c r="J12" s="180"/>
      <c r="K12" s="180"/>
      <c r="L12" s="204"/>
      <c r="M12" s="139">
        <f t="shared" si="12"/>
        <v>0</v>
      </c>
      <c r="N12" s="140" t="str">
        <f t="shared" si="13"/>
        <v>#DIV/0!</v>
      </c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210">
        <v>1.0</v>
      </c>
      <c r="AA12" s="187">
        <v>1.0</v>
      </c>
      <c r="AB12" s="138">
        <v>1.0</v>
      </c>
      <c r="AC12" s="116"/>
      <c r="AD12" s="116"/>
      <c r="AE12" s="116"/>
      <c r="AF12" s="196">
        <v>1.0</v>
      </c>
      <c r="AG12" s="165"/>
      <c r="AH12" s="165"/>
      <c r="AI12" s="165"/>
      <c r="AJ12" s="139">
        <f t="shared" si="14"/>
        <v>4</v>
      </c>
      <c r="AK12" s="205">
        <f t="shared" si="15"/>
        <v>57.14285714</v>
      </c>
      <c r="AL12" s="116"/>
      <c r="AM12" s="138">
        <v>1.0</v>
      </c>
      <c r="AN12" s="138">
        <v>1.0</v>
      </c>
      <c r="AO12" s="138">
        <v>1.0</v>
      </c>
      <c r="AP12" s="138">
        <v>1.0</v>
      </c>
      <c r="AQ12" s="116"/>
      <c r="AR12" s="116"/>
      <c r="AS12" s="191">
        <v>1.0</v>
      </c>
      <c r="AT12" s="116"/>
      <c r="AU12" s="116"/>
      <c r="AV12" s="116"/>
      <c r="AW12" s="116"/>
      <c r="AX12" s="138">
        <v>1.0</v>
      </c>
      <c r="AY12" s="116"/>
      <c r="AZ12" s="180"/>
      <c r="BA12" s="215">
        <v>1.0</v>
      </c>
      <c r="BB12" s="204"/>
      <c r="BC12" s="204"/>
      <c r="BD12" s="181"/>
      <c r="BE12" s="181"/>
      <c r="BF12" s="181"/>
      <c r="BG12" s="139">
        <f t="shared" si="16"/>
        <v>7</v>
      </c>
      <c r="BH12" s="208">
        <f t="shared" si="17"/>
        <v>50</v>
      </c>
      <c r="BI12" s="116"/>
      <c r="BJ12" s="180"/>
      <c r="BK12" s="180"/>
      <c r="BL12" s="116"/>
      <c r="BM12" s="116"/>
      <c r="BN12" s="116"/>
      <c r="BO12" s="116"/>
      <c r="BP12" s="116"/>
      <c r="BQ12" s="211"/>
      <c r="BR12" s="166"/>
      <c r="BS12" s="116"/>
      <c r="BT12" s="138">
        <v>1.0</v>
      </c>
      <c r="BU12" s="145">
        <v>1.0</v>
      </c>
      <c r="BV12" s="43"/>
      <c r="BW12" s="198"/>
      <c r="BX12" s="116"/>
      <c r="BY12" s="138">
        <v>1.0</v>
      </c>
      <c r="BZ12" s="165"/>
      <c r="CA12" s="116"/>
      <c r="CB12" s="165"/>
      <c r="CC12" s="43"/>
      <c r="CD12" s="196">
        <v>1.0</v>
      </c>
      <c r="CE12" s="124">
        <f t="shared" si="18"/>
        <v>4</v>
      </c>
      <c r="CF12" s="173">
        <f t="shared" si="19"/>
        <v>28.57142857</v>
      </c>
      <c r="CG12" s="116"/>
      <c r="CH12" s="116"/>
      <c r="CI12" s="43"/>
      <c r="CJ12" s="116"/>
      <c r="CK12" s="43"/>
      <c r="CL12" s="43"/>
      <c r="CM12" s="163"/>
      <c r="CN12" s="163"/>
      <c r="CO12" s="163"/>
      <c r="CP12" s="166"/>
      <c r="CQ12" s="166"/>
      <c r="CR12" s="166"/>
      <c r="CS12" s="166"/>
      <c r="CT12" s="116"/>
      <c r="CU12" s="116"/>
      <c r="CV12" s="213"/>
      <c r="CW12" s="128">
        <f t="shared" si="20"/>
        <v>0</v>
      </c>
      <c r="CX12" s="214">
        <f t="shared" si="21"/>
        <v>0</v>
      </c>
      <c r="CY12" s="171"/>
      <c r="CZ12" s="171"/>
      <c r="DA12" s="171"/>
      <c r="DB12" s="171"/>
      <c r="DC12" s="171"/>
      <c r="DD12" s="171"/>
      <c r="DE12" s="171"/>
      <c r="DF12" s="171"/>
      <c r="DG12" s="171"/>
      <c r="DH12" s="171"/>
      <c r="DI12" s="171"/>
      <c r="DJ12" s="171"/>
      <c r="DK12" s="128">
        <f t="shared" si="22"/>
        <v>0</v>
      </c>
      <c r="DL12" s="158" t="str">
        <f t="shared" si="23"/>
        <v>#DIV/0!</v>
      </c>
    </row>
    <row r="13">
      <c r="A13" s="50">
        <v>4.0</v>
      </c>
      <c r="B13" s="161" t="s">
        <v>57</v>
      </c>
      <c r="C13" s="162" t="s">
        <v>58</v>
      </c>
      <c r="D13" s="98">
        <f t="shared" si="8"/>
        <v>18</v>
      </c>
      <c r="E13" s="130">
        <f t="shared" si="9"/>
        <v>47.36842105</v>
      </c>
      <c r="F13" s="114">
        <f t="shared" si="10"/>
        <v>47.36842105</v>
      </c>
      <c r="G13" s="149" t="str">
        <f t="shared" si="11"/>
        <v>  </v>
      </c>
      <c r="H13" s="180"/>
      <c r="I13" s="180"/>
      <c r="J13" s="180"/>
      <c r="K13" s="180"/>
      <c r="L13" s="204"/>
      <c r="M13" s="139">
        <f t="shared" si="12"/>
        <v>0</v>
      </c>
      <c r="N13" s="140" t="str">
        <f t="shared" si="13"/>
        <v>#DIV/0!</v>
      </c>
      <c r="O13" s="116"/>
      <c r="P13" s="116"/>
      <c r="Q13" s="180"/>
      <c r="R13" s="116"/>
      <c r="S13" s="116"/>
      <c r="T13" s="116"/>
      <c r="U13" s="116"/>
      <c r="V13" s="116"/>
      <c r="W13" s="116"/>
      <c r="X13" s="116"/>
      <c r="Y13" s="116"/>
      <c r="Z13" s="210">
        <v>1.0</v>
      </c>
      <c r="AA13" s="187">
        <v>1.0</v>
      </c>
      <c r="AB13" s="138">
        <v>1.0</v>
      </c>
      <c r="AC13" s="116"/>
      <c r="AD13" s="116"/>
      <c r="AE13" s="116"/>
      <c r="AF13" s="196">
        <v>1.0</v>
      </c>
      <c r="AG13" s="165"/>
      <c r="AH13" s="165"/>
      <c r="AI13" s="165"/>
      <c r="AJ13" s="139">
        <f t="shared" si="14"/>
        <v>4</v>
      </c>
      <c r="AK13" s="205">
        <f t="shared" si="15"/>
        <v>57.14285714</v>
      </c>
      <c r="AL13" s="116"/>
      <c r="AM13" s="138">
        <v>1.0</v>
      </c>
      <c r="AN13" s="138">
        <v>1.0</v>
      </c>
      <c r="AO13" s="138">
        <v>1.0</v>
      </c>
      <c r="AP13" s="138">
        <v>1.0</v>
      </c>
      <c r="AQ13" s="116"/>
      <c r="AR13" s="116"/>
      <c r="AS13" s="191">
        <v>1.0</v>
      </c>
      <c r="AT13" s="116"/>
      <c r="AU13" s="116"/>
      <c r="AV13" s="116"/>
      <c r="AW13" s="116"/>
      <c r="AX13" s="138">
        <v>1.0</v>
      </c>
      <c r="AY13" s="116"/>
      <c r="AZ13" s="180"/>
      <c r="BA13" s="215">
        <v>1.0</v>
      </c>
      <c r="BB13" s="204"/>
      <c r="BC13" s="204"/>
      <c r="BD13" s="181"/>
      <c r="BE13" s="181"/>
      <c r="BF13" s="219">
        <v>1.0</v>
      </c>
      <c r="BG13" s="139">
        <f t="shared" si="16"/>
        <v>8</v>
      </c>
      <c r="BH13" s="208">
        <f t="shared" si="17"/>
        <v>57.14285714</v>
      </c>
      <c r="BI13" s="116"/>
      <c r="BJ13" s="215">
        <v>1.0</v>
      </c>
      <c r="BK13" s="180"/>
      <c r="BL13" s="116"/>
      <c r="BM13" s="116"/>
      <c r="BN13" s="116"/>
      <c r="BO13" s="138">
        <v>1.0</v>
      </c>
      <c r="BP13" s="116"/>
      <c r="BQ13" s="211"/>
      <c r="BR13" s="166"/>
      <c r="BS13" s="116"/>
      <c r="BT13" s="138">
        <v>1.0</v>
      </c>
      <c r="BU13" s="145">
        <v>1.0</v>
      </c>
      <c r="BV13" s="43"/>
      <c r="BW13" s="198"/>
      <c r="BX13" s="116"/>
      <c r="BY13" s="138">
        <v>1.0</v>
      </c>
      <c r="BZ13" s="165"/>
      <c r="CA13" s="116"/>
      <c r="CB13" s="165"/>
      <c r="CC13" s="43"/>
      <c r="CD13" s="196">
        <v>1.0</v>
      </c>
      <c r="CE13" s="124">
        <f t="shared" si="18"/>
        <v>6</v>
      </c>
      <c r="CF13" s="173">
        <f t="shared" si="19"/>
        <v>42.85714286</v>
      </c>
      <c r="CG13" s="116"/>
      <c r="CH13" s="116"/>
      <c r="CI13" s="43"/>
      <c r="CJ13" s="116"/>
      <c r="CK13" s="116"/>
      <c r="CL13" s="43"/>
      <c r="CM13" s="163"/>
      <c r="CN13" s="116"/>
      <c r="CO13" s="116"/>
      <c r="CP13" s="166"/>
      <c r="CQ13" s="213"/>
      <c r="CR13" s="213"/>
      <c r="CS13" s="116"/>
      <c r="CT13" s="116"/>
      <c r="CU13" s="116"/>
      <c r="CV13" s="213"/>
      <c r="CW13" s="128">
        <f t="shared" si="20"/>
        <v>0</v>
      </c>
      <c r="CX13" s="214">
        <f t="shared" si="21"/>
        <v>0</v>
      </c>
      <c r="CY13" s="171"/>
      <c r="CZ13" s="171"/>
      <c r="DA13" s="171"/>
      <c r="DB13" s="171"/>
      <c r="DC13" s="171"/>
      <c r="DD13" s="171"/>
      <c r="DE13" s="171"/>
      <c r="DF13" s="171"/>
      <c r="DG13" s="171"/>
      <c r="DH13" s="171"/>
      <c r="DI13" s="171"/>
      <c r="DJ13" s="171"/>
      <c r="DK13" s="128">
        <f t="shared" si="22"/>
        <v>0</v>
      </c>
      <c r="DL13" s="158" t="str">
        <f t="shared" si="23"/>
        <v>#DIV/0!</v>
      </c>
    </row>
    <row r="14">
      <c r="A14" s="131">
        <v>5.0</v>
      </c>
      <c r="B14" s="111" t="s">
        <v>59</v>
      </c>
      <c r="C14" s="112" t="s">
        <v>60</v>
      </c>
      <c r="D14" s="98">
        <f t="shared" si="8"/>
        <v>21</v>
      </c>
      <c r="E14" s="130">
        <f t="shared" si="9"/>
        <v>55.26315789</v>
      </c>
      <c r="F14" s="114" t="str">
        <f t="shared" si="10"/>
        <v>  </v>
      </c>
      <c r="G14" s="149" t="str">
        <f t="shared" si="11"/>
        <v>  </v>
      </c>
      <c r="H14" s="180"/>
      <c r="I14" s="180"/>
      <c r="J14" s="221"/>
      <c r="K14" s="180"/>
      <c r="L14" s="204"/>
      <c r="M14" s="139">
        <f t="shared" si="12"/>
        <v>0</v>
      </c>
      <c r="N14" s="140" t="str">
        <f t="shared" si="13"/>
        <v>#DIV/0!</v>
      </c>
      <c r="O14" s="116"/>
      <c r="P14" s="116"/>
      <c r="Q14" s="116"/>
      <c r="R14" s="179"/>
      <c r="S14" s="116"/>
      <c r="T14" s="116"/>
      <c r="U14" s="116"/>
      <c r="V14" s="179"/>
      <c r="W14" s="138">
        <v>1.0</v>
      </c>
      <c r="X14" s="116"/>
      <c r="Y14" s="179"/>
      <c r="Z14" s="185"/>
      <c r="AA14" s="187">
        <v>1.0</v>
      </c>
      <c r="AB14" s="138">
        <v>1.0</v>
      </c>
      <c r="AC14" s="184">
        <v>1.0</v>
      </c>
      <c r="AD14" s="116"/>
      <c r="AE14" s="116"/>
      <c r="AF14" s="182">
        <v>1.0</v>
      </c>
      <c r="AG14" s="182">
        <v>1.0</v>
      </c>
      <c r="AH14" s="116"/>
      <c r="AI14" s="116"/>
      <c r="AJ14" s="139">
        <f t="shared" si="14"/>
        <v>6</v>
      </c>
      <c r="AK14" s="205">
        <f t="shared" si="15"/>
        <v>85.71428571</v>
      </c>
      <c r="AL14" s="222"/>
      <c r="AM14" s="179"/>
      <c r="AN14" s="179"/>
      <c r="AO14" s="116"/>
      <c r="AP14" s="116"/>
      <c r="AQ14" s="116"/>
      <c r="AR14" s="116"/>
      <c r="AS14" s="166"/>
      <c r="AT14" s="116"/>
      <c r="AU14" s="116"/>
      <c r="AV14" s="138">
        <v>1.0</v>
      </c>
      <c r="AW14" s="179"/>
      <c r="AX14" s="138">
        <v>1.0</v>
      </c>
      <c r="AY14" s="116"/>
      <c r="AZ14" s="116"/>
      <c r="BA14" s="215">
        <v>1.0</v>
      </c>
      <c r="BB14" s="138">
        <v>1.0</v>
      </c>
      <c r="BC14" s="138">
        <v>1.0</v>
      </c>
      <c r="BD14" s="188">
        <v>1.0</v>
      </c>
      <c r="BE14" s="194"/>
      <c r="BF14" s="194"/>
      <c r="BG14" s="139">
        <f t="shared" si="16"/>
        <v>6</v>
      </c>
      <c r="BH14" s="208">
        <f t="shared" si="17"/>
        <v>42.85714286</v>
      </c>
      <c r="BI14" s="138">
        <v>1.0</v>
      </c>
      <c r="BJ14" s="138">
        <v>1.0</v>
      </c>
      <c r="BK14" s="180"/>
      <c r="BL14" s="116"/>
      <c r="BM14" s="116"/>
      <c r="BN14" s="116"/>
      <c r="BO14" s="138">
        <v>1.0</v>
      </c>
      <c r="BP14" s="116"/>
      <c r="BQ14" s="116"/>
      <c r="BR14" s="166"/>
      <c r="BS14" s="196">
        <v>1.0</v>
      </c>
      <c r="BT14" s="138">
        <v>1.0</v>
      </c>
      <c r="BU14" s="43"/>
      <c r="BV14" s="116"/>
      <c r="BW14" s="198"/>
      <c r="BX14" s="138">
        <v>1.0</v>
      </c>
      <c r="BY14" s="138">
        <v>1.0</v>
      </c>
      <c r="BZ14" s="165"/>
      <c r="CA14" s="165"/>
      <c r="CB14" s="165"/>
      <c r="CC14" s="186"/>
      <c r="CD14" s="196">
        <v>1.0</v>
      </c>
      <c r="CE14" s="124">
        <f t="shared" si="18"/>
        <v>8</v>
      </c>
      <c r="CF14" s="173">
        <f t="shared" si="19"/>
        <v>57.14285714</v>
      </c>
      <c r="CG14" s="138">
        <v>1.0</v>
      </c>
      <c r="CH14" s="116"/>
      <c r="CI14" s="116"/>
      <c r="CJ14" s="116"/>
      <c r="CK14" s="116"/>
      <c r="CL14" s="186"/>
      <c r="CM14" s="116"/>
      <c r="CN14" s="116"/>
      <c r="CO14" s="223"/>
      <c r="CP14" s="116"/>
      <c r="CQ14" s="165"/>
      <c r="CR14" s="165"/>
      <c r="CS14" s="116"/>
      <c r="CT14" s="116"/>
      <c r="CU14" s="165"/>
      <c r="CV14" s="165"/>
      <c r="CW14" s="128">
        <f t="shared" si="20"/>
        <v>1</v>
      </c>
      <c r="CX14" s="214">
        <f t="shared" si="21"/>
        <v>33.33333333</v>
      </c>
      <c r="CY14" s="171"/>
      <c r="CZ14" s="171"/>
      <c r="DA14" s="171"/>
      <c r="DB14" s="171"/>
      <c r="DC14" s="171"/>
      <c r="DD14" s="171"/>
      <c r="DE14" s="171"/>
      <c r="DF14" s="171"/>
      <c r="DG14" s="171"/>
      <c r="DH14" s="171"/>
      <c r="DI14" s="171"/>
      <c r="DJ14" s="171"/>
      <c r="DK14" s="128">
        <f t="shared" si="22"/>
        <v>0</v>
      </c>
      <c r="DL14" s="158" t="str">
        <f t="shared" si="23"/>
        <v>#DIV/0!</v>
      </c>
    </row>
    <row r="15">
      <c r="A15" s="146">
        <v>6.0</v>
      </c>
      <c r="B15" s="111" t="s">
        <v>62</v>
      </c>
      <c r="C15" s="112" t="s">
        <v>63</v>
      </c>
      <c r="D15" s="98">
        <f t="shared" si="8"/>
        <v>20</v>
      </c>
      <c r="E15" s="130">
        <f t="shared" si="9"/>
        <v>52.63157895</v>
      </c>
      <c r="F15" s="92" t="str">
        <f t="shared" si="10"/>
        <v>  </v>
      </c>
      <c r="G15" s="149" t="str">
        <f t="shared" si="11"/>
        <v>  </v>
      </c>
      <c r="H15" s="203"/>
      <c r="I15" s="224"/>
      <c r="J15" s="180"/>
      <c r="K15" s="180"/>
      <c r="L15" s="204"/>
      <c r="M15" s="139">
        <f t="shared" si="12"/>
        <v>0</v>
      </c>
      <c r="N15" s="140" t="str">
        <f t="shared" si="13"/>
        <v>#DIV/0!</v>
      </c>
      <c r="O15" s="116"/>
      <c r="P15" s="116"/>
      <c r="Q15" s="116"/>
      <c r="R15" s="186"/>
      <c r="S15" s="116"/>
      <c r="T15" s="116"/>
      <c r="U15" s="116"/>
      <c r="V15" s="186"/>
      <c r="W15" s="116"/>
      <c r="X15" s="116"/>
      <c r="Y15" s="186"/>
      <c r="Z15" s="185"/>
      <c r="AA15" s="187">
        <v>1.0</v>
      </c>
      <c r="AB15" s="138">
        <v>1.0</v>
      </c>
      <c r="AC15" s="200">
        <v>1.0</v>
      </c>
      <c r="AD15" s="116"/>
      <c r="AE15" s="116"/>
      <c r="AF15" s="197">
        <v>1.0</v>
      </c>
      <c r="AG15" s="197">
        <v>1.0</v>
      </c>
      <c r="AH15" s="116"/>
      <c r="AI15" s="116"/>
      <c r="AJ15" s="139">
        <f t="shared" si="14"/>
        <v>5</v>
      </c>
      <c r="AK15" s="205">
        <f t="shared" si="15"/>
        <v>71.42857143</v>
      </c>
      <c r="AL15" s="225"/>
      <c r="AM15" s="116"/>
      <c r="AN15" s="186"/>
      <c r="AO15" s="116"/>
      <c r="AP15" s="116"/>
      <c r="AQ15" s="116"/>
      <c r="AR15" s="116"/>
      <c r="AS15" s="166"/>
      <c r="AT15" s="116"/>
      <c r="AU15" s="116"/>
      <c r="AV15" s="138">
        <v>1.0</v>
      </c>
      <c r="AW15" s="186"/>
      <c r="AX15" s="138">
        <v>1.0</v>
      </c>
      <c r="AY15" s="116"/>
      <c r="AZ15" s="116"/>
      <c r="BA15" s="215">
        <v>1.0</v>
      </c>
      <c r="BB15" s="116"/>
      <c r="BC15" s="138">
        <v>1.0</v>
      </c>
      <c r="BD15" s="188">
        <v>1.0</v>
      </c>
      <c r="BE15" s="194"/>
      <c r="BF15" s="194"/>
      <c r="BG15" s="139">
        <f t="shared" si="16"/>
        <v>5</v>
      </c>
      <c r="BH15" s="208">
        <f t="shared" si="17"/>
        <v>35.71428571</v>
      </c>
      <c r="BI15" s="138">
        <v>1.0</v>
      </c>
      <c r="BJ15" s="138">
        <v>1.0</v>
      </c>
      <c r="BK15" s="180"/>
      <c r="BL15" s="116"/>
      <c r="BM15" s="116"/>
      <c r="BN15" s="116"/>
      <c r="BO15" s="138">
        <v>1.0</v>
      </c>
      <c r="BP15" s="116"/>
      <c r="BQ15" s="116"/>
      <c r="BR15" s="191">
        <v>1.0</v>
      </c>
      <c r="BS15" s="196">
        <v>1.0</v>
      </c>
      <c r="BT15" s="138">
        <v>1.0</v>
      </c>
      <c r="BU15" s="43"/>
      <c r="BV15" s="116"/>
      <c r="BW15" s="198"/>
      <c r="BX15" s="138">
        <v>1.0</v>
      </c>
      <c r="BY15" s="116"/>
      <c r="BZ15" s="165"/>
      <c r="CA15" s="116"/>
      <c r="CB15" s="138">
        <v>1.0</v>
      </c>
      <c r="CC15" s="186"/>
      <c r="CD15" s="196">
        <v>1.0</v>
      </c>
      <c r="CE15" s="124">
        <f t="shared" si="18"/>
        <v>9</v>
      </c>
      <c r="CF15" s="173">
        <f t="shared" si="19"/>
        <v>64.28571429</v>
      </c>
      <c r="CG15" s="138">
        <v>1.0</v>
      </c>
      <c r="CH15" s="116"/>
      <c r="CI15" s="116"/>
      <c r="CJ15" s="116"/>
      <c r="CK15" s="116"/>
      <c r="CL15" s="186"/>
      <c r="CM15" s="116"/>
      <c r="CN15" s="116"/>
      <c r="CO15" s="116"/>
      <c r="CP15" s="116"/>
      <c r="CQ15" s="165"/>
      <c r="CR15" s="165"/>
      <c r="CS15" s="116"/>
      <c r="CT15" s="116"/>
      <c r="CU15" s="165"/>
      <c r="CV15" s="165"/>
      <c r="CW15" s="128">
        <f t="shared" si="20"/>
        <v>1</v>
      </c>
      <c r="CX15" s="214">
        <f t="shared" si="21"/>
        <v>33.33333333</v>
      </c>
      <c r="CY15" s="171"/>
      <c r="CZ15" s="171"/>
      <c r="DA15" s="171"/>
      <c r="DB15" s="171"/>
      <c r="DC15" s="171"/>
      <c r="DD15" s="171"/>
      <c r="DE15" s="171"/>
      <c r="DF15" s="171"/>
      <c r="DG15" s="171"/>
      <c r="DH15" s="171"/>
      <c r="DI15" s="171"/>
      <c r="DJ15" s="171"/>
      <c r="DK15" s="128">
        <f t="shared" si="22"/>
        <v>0</v>
      </c>
      <c r="DL15" s="158" t="str">
        <f t="shared" si="23"/>
        <v>#DIV/0!</v>
      </c>
    </row>
    <row r="16">
      <c r="A16" s="50">
        <v>7.0</v>
      </c>
      <c r="B16" s="111" t="s">
        <v>64</v>
      </c>
      <c r="C16" s="112" t="s">
        <v>65</v>
      </c>
      <c r="D16" s="98">
        <f t="shared" si="8"/>
        <v>7</v>
      </c>
      <c r="E16" s="130">
        <f t="shared" si="9"/>
        <v>18.42105263</v>
      </c>
      <c r="F16" s="114">
        <f t="shared" si="10"/>
        <v>18.42105263</v>
      </c>
      <c r="G16" s="226">
        <f t="shared" si="11"/>
        <v>18.42105263</v>
      </c>
      <c r="H16" s="180"/>
      <c r="I16" s="221"/>
      <c r="J16" s="203"/>
      <c r="K16" s="180"/>
      <c r="L16" s="204"/>
      <c r="M16" s="139">
        <f t="shared" si="12"/>
        <v>0</v>
      </c>
      <c r="N16" s="140" t="str">
        <f t="shared" si="13"/>
        <v>#DIV/0!</v>
      </c>
      <c r="O16" s="116"/>
      <c r="P16" s="116"/>
      <c r="Q16" s="116"/>
      <c r="R16" s="179"/>
      <c r="S16" s="116"/>
      <c r="T16" s="116"/>
      <c r="U16" s="116"/>
      <c r="V16" s="179"/>
      <c r="W16" s="116"/>
      <c r="X16" s="116"/>
      <c r="Y16" s="179"/>
      <c r="Z16" s="185"/>
      <c r="AA16" s="217"/>
      <c r="AB16" s="138">
        <v>1.0</v>
      </c>
      <c r="AC16" s="184">
        <v>1.0</v>
      </c>
      <c r="AD16" s="176"/>
      <c r="AE16" s="176"/>
      <c r="AF16" s="176"/>
      <c r="AG16" s="176"/>
      <c r="AH16" s="116"/>
      <c r="AI16" s="176"/>
      <c r="AJ16" s="139">
        <f t="shared" si="14"/>
        <v>2</v>
      </c>
      <c r="AK16" s="205">
        <f t="shared" si="15"/>
        <v>28.57142857</v>
      </c>
      <c r="AL16" s="222"/>
      <c r="AM16" s="138">
        <v>1.0</v>
      </c>
      <c r="AN16" s="179"/>
      <c r="AO16" s="138">
        <v>1.0</v>
      </c>
      <c r="AP16" s="138">
        <v>1.0</v>
      </c>
      <c r="AQ16" s="116"/>
      <c r="AR16" s="116"/>
      <c r="AS16" s="166"/>
      <c r="AT16" s="116"/>
      <c r="AU16" s="116"/>
      <c r="AV16" s="116"/>
      <c r="AW16" s="179"/>
      <c r="AX16" s="116"/>
      <c r="AY16" s="116"/>
      <c r="AZ16" s="180"/>
      <c r="BA16" s="215">
        <v>1.0</v>
      </c>
      <c r="BB16" s="204"/>
      <c r="BC16" s="204"/>
      <c r="BD16" s="219">
        <v>1.0</v>
      </c>
      <c r="BE16" s="181"/>
      <c r="BF16" s="181"/>
      <c r="BG16" s="139">
        <f t="shared" si="16"/>
        <v>5</v>
      </c>
      <c r="BH16" s="208">
        <f t="shared" si="17"/>
        <v>35.71428571</v>
      </c>
      <c r="BI16" s="116"/>
      <c r="BJ16" s="116"/>
      <c r="BK16" s="180"/>
      <c r="BL16" s="116"/>
      <c r="BM16" s="116"/>
      <c r="BN16" s="116"/>
      <c r="BO16" s="116"/>
      <c r="BP16" s="116"/>
      <c r="BQ16" s="211"/>
      <c r="BR16" s="166"/>
      <c r="BS16" s="116"/>
      <c r="BT16" s="185"/>
      <c r="BU16" s="43"/>
      <c r="BV16" s="43"/>
      <c r="BW16" s="198"/>
      <c r="BX16" s="43"/>
      <c r="BY16" s="116"/>
      <c r="BZ16" s="165"/>
      <c r="CA16" s="116"/>
      <c r="CB16" s="165"/>
      <c r="CC16" s="186"/>
      <c r="CD16" s="165"/>
      <c r="CE16" s="124">
        <f t="shared" si="18"/>
        <v>0</v>
      </c>
      <c r="CF16" s="173">
        <f t="shared" si="19"/>
        <v>0</v>
      </c>
      <c r="CG16" s="179"/>
      <c r="CH16" s="238"/>
      <c r="CI16" s="186"/>
      <c r="CJ16" s="186"/>
      <c r="CK16" s="231"/>
      <c r="CL16" s="186"/>
      <c r="CM16" s="223"/>
      <c r="CN16" s="223"/>
      <c r="CO16" s="223"/>
      <c r="CP16" s="166"/>
      <c r="CQ16" s="213"/>
      <c r="CR16" s="213"/>
      <c r="CS16" s="213"/>
      <c r="CT16" s="116"/>
      <c r="CU16" s="213"/>
      <c r="CV16" s="213"/>
      <c r="CW16" s="128">
        <f t="shared" si="20"/>
        <v>0</v>
      </c>
      <c r="CX16" s="214">
        <f t="shared" si="21"/>
        <v>0</v>
      </c>
      <c r="CY16" s="171"/>
      <c r="CZ16" s="171"/>
      <c r="DA16" s="171"/>
      <c r="DB16" s="171"/>
      <c r="DC16" s="171"/>
      <c r="DD16" s="171"/>
      <c r="DE16" s="171"/>
      <c r="DF16" s="171"/>
      <c r="DG16" s="171"/>
      <c r="DH16" s="171"/>
      <c r="DI16" s="171"/>
      <c r="DJ16" s="171"/>
      <c r="DK16" s="128">
        <f t="shared" si="22"/>
        <v>0</v>
      </c>
      <c r="DL16" s="158" t="str">
        <f t="shared" si="23"/>
        <v>#DIV/0!</v>
      </c>
    </row>
    <row r="17">
      <c r="A17" s="131">
        <v>8.0</v>
      </c>
      <c r="B17" s="111" t="s">
        <v>66</v>
      </c>
      <c r="C17" s="112" t="s">
        <v>67</v>
      </c>
      <c r="D17" s="98">
        <f t="shared" si="8"/>
        <v>11</v>
      </c>
      <c r="E17" s="130">
        <f t="shared" si="9"/>
        <v>28.94736842</v>
      </c>
      <c r="F17" s="114">
        <f t="shared" si="10"/>
        <v>28.94736842</v>
      </c>
      <c r="G17" s="226">
        <f t="shared" si="11"/>
        <v>28.94736842</v>
      </c>
      <c r="H17" s="180"/>
      <c r="I17" s="203"/>
      <c r="J17" s="203"/>
      <c r="K17" s="180"/>
      <c r="L17" s="204"/>
      <c r="M17" s="139">
        <f t="shared" si="12"/>
        <v>0</v>
      </c>
      <c r="N17" s="140" t="str">
        <f t="shared" si="13"/>
        <v>#DIV/0!</v>
      </c>
      <c r="O17" s="116"/>
      <c r="P17" s="116"/>
      <c r="Q17" s="116"/>
      <c r="R17" s="207"/>
      <c r="S17" s="207"/>
      <c r="T17" s="116"/>
      <c r="U17" s="116"/>
      <c r="V17" s="207"/>
      <c r="W17" s="116"/>
      <c r="X17" s="116"/>
      <c r="Y17" s="207"/>
      <c r="Z17" s="185"/>
      <c r="AA17" s="217"/>
      <c r="AB17" s="138">
        <v>1.0</v>
      </c>
      <c r="AC17" s="234">
        <v>1.0</v>
      </c>
      <c r="AD17" s="206"/>
      <c r="AE17" s="116"/>
      <c r="AF17" s="206"/>
      <c r="AG17" s="206"/>
      <c r="AH17" s="116"/>
      <c r="AI17" s="206"/>
      <c r="AJ17" s="139">
        <f t="shared" si="14"/>
        <v>2</v>
      </c>
      <c r="AK17" s="205">
        <f t="shared" si="15"/>
        <v>28.57142857</v>
      </c>
      <c r="AL17" s="236"/>
      <c r="AM17" s="138"/>
      <c r="AN17" s="207"/>
      <c r="AO17" s="207"/>
      <c r="AP17" s="207"/>
      <c r="AQ17" s="116"/>
      <c r="AR17" s="116"/>
      <c r="AS17" s="166"/>
      <c r="AT17" s="116"/>
      <c r="AU17" s="116"/>
      <c r="AV17" s="116"/>
      <c r="AW17" s="207"/>
      <c r="AX17" s="116"/>
      <c r="AY17" s="116"/>
      <c r="AZ17" s="180"/>
      <c r="BA17" s="215">
        <v>1.0</v>
      </c>
      <c r="BB17" s="204"/>
      <c r="BC17" s="204"/>
      <c r="BD17" s="181"/>
      <c r="BE17" s="181"/>
      <c r="BF17" s="181"/>
      <c r="BG17" s="139">
        <f t="shared" si="16"/>
        <v>1</v>
      </c>
      <c r="BH17" s="208">
        <f t="shared" si="17"/>
        <v>7.142857143</v>
      </c>
      <c r="BI17" s="116"/>
      <c r="BJ17" s="138">
        <v>1.0</v>
      </c>
      <c r="BK17" s="180"/>
      <c r="BL17" s="116"/>
      <c r="BM17" s="116"/>
      <c r="BN17" s="116"/>
      <c r="BO17" s="116"/>
      <c r="BP17" s="116"/>
      <c r="BQ17" s="211"/>
      <c r="BR17" s="191">
        <v>1.0</v>
      </c>
      <c r="BS17" s="165"/>
      <c r="BT17" s="210">
        <v>1.0</v>
      </c>
      <c r="BU17" s="43"/>
      <c r="BV17" s="43"/>
      <c r="BW17" s="216">
        <v>1.0</v>
      </c>
      <c r="BX17" s="43"/>
      <c r="BY17" s="138">
        <v>1.0</v>
      </c>
      <c r="BZ17" s="165"/>
      <c r="CA17" s="165"/>
      <c r="CB17" s="138">
        <v>1.0</v>
      </c>
      <c r="CC17" s="186"/>
      <c r="CD17" s="196">
        <v>1.0</v>
      </c>
      <c r="CE17" s="124">
        <f t="shared" si="18"/>
        <v>7</v>
      </c>
      <c r="CF17" s="173">
        <f t="shared" si="19"/>
        <v>50</v>
      </c>
      <c r="CG17" s="234">
        <v>1.0</v>
      </c>
      <c r="CH17" s="116"/>
      <c r="CI17" s="116"/>
      <c r="CJ17" s="186"/>
      <c r="CK17" s="116"/>
      <c r="CL17" s="186"/>
      <c r="CM17" s="223"/>
      <c r="CN17" s="116"/>
      <c r="CO17" s="223"/>
      <c r="CP17" s="116"/>
      <c r="CQ17" s="165"/>
      <c r="CR17" s="165"/>
      <c r="CS17" s="116"/>
      <c r="CT17" s="116"/>
      <c r="CU17" s="116"/>
      <c r="CV17" s="165"/>
      <c r="CW17" s="128">
        <f t="shared" si="20"/>
        <v>1</v>
      </c>
      <c r="CX17" s="214">
        <f t="shared" si="21"/>
        <v>33.33333333</v>
      </c>
      <c r="CY17" s="171"/>
      <c r="CZ17" s="171"/>
      <c r="DA17" s="171"/>
      <c r="DB17" s="171"/>
      <c r="DC17" s="171"/>
      <c r="DD17" s="171"/>
      <c r="DE17" s="171"/>
      <c r="DF17" s="171"/>
      <c r="DG17" s="171"/>
      <c r="DH17" s="171"/>
      <c r="DI17" s="171"/>
      <c r="DJ17" s="171"/>
      <c r="DK17" s="128">
        <f t="shared" si="22"/>
        <v>0</v>
      </c>
      <c r="DL17" s="158" t="str">
        <f t="shared" si="23"/>
        <v>#DIV/0!</v>
      </c>
    </row>
    <row r="18" ht="15.0" customHeight="1">
      <c r="A18" s="146">
        <v>9.0</v>
      </c>
      <c r="B18" s="111" t="s">
        <v>68</v>
      </c>
      <c r="C18" s="112" t="s">
        <v>69</v>
      </c>
      <c r="D18" s="98">
        <f t="shared" si="8"/>
        <v>14</v>
      </c>
      <c r="E18" s="130">
        <f t="shared" si="9"/>
        <v>36.84210526</v>
      </c>
      <c r="F18" s="114">
        <f t="shared" si="10"/>
        <v>36.84210526</v>
      </c>
      <c r="G18" s="149" t="str">
        <f t="shared" si="11"/>
        <v>  </v>
      </c>
      <c r="H18" s="180"/>
      <c r="I18" s="203"/>
      <c r="J18" s="180"/>
      <c r="K18" s="180"/>
      <c r="L18" s="204"/>
      <c r="M18" s="139">
        <f t="shared" si="12"/>
        <v>0</v>
      </c>
      <c r="N18" s="140" t="str">
        <f t="shared" si="13"/>
        <v>#DIV/0!</v>
      </c>
      <c r="O18" s="116"/>
      <c r="P18" s="116"/>
      <c r="Q18" s="180"/>
      <c r="R18" s="186"/>
      <c r="S18" s="116"/>
      <c r="T18" s="116"/>
      <c r="U18" s="116"/>
      <c r="V18" s="186"/>
      <c r="W18" s="116"/>
      <c r="X18" s="116"/>
      <c r="Y18" s="186"/>
      <c r="Z18" s="185"/>
      <c r="AA18" s="217"/>
      <c r="AB18" s="116"/>
      <c r="AC18" s="200">
        <v>1.0</v>
      </c>
      <c r="AD18" s="195"/>
      <c r="AE18" s="116"/>
      <c r="AF18" s="195"/>
      <c r="AG18" s="197">
        <v>1.0</v>
      </c>
      <c r="AH18" s="116"/>
      <c r="AI18" s="195"/>
      <c r="AJ18" s="139">
        <f t="shared" si="14"/>
        <v>2</v>
      </c>
      <c r="AK18" s="205">
        <f t="shared" si="15"/>
        <v>28.57142857</v>
      </c>
      <c r="AL18" s="116"/>
      <c r="AM18" s="138">
        <v>1.0</v>
      </c>
      <c r="AN18" s="186"/>
      <c r="AO18" s="138">
        <v>1.0</v>
      </c>
      <c r="AP18" s="138">
        <v>1.0</v>
      </c>
      <c r="AQ18" s="116"/>
      <c r="AR18" s="138">
        <v>1.0</v>
      </c>
      <c r="AS18" s="166"/>
      <c r="AT18" s="116"/>
      <c r="AU18" s="116"/>
      <c r="AV18" s="116"/>
      <c r="AW18" s="186"/>
      <c r="AX18" s="116"/>
      <c r="AY18" s="116"/>
      <c r="AZ18" s="180"/>
      <c r="BA18" s="215">
        <v>1.0</v>
      </c>
      <c r="BB18" s="116"/>
      <c r="BC18" s="204"/>
      <c r="BD18" s="181"/>
      <c r="BE18" s="181"/>
      <c r="BF18" s="181"/>
      <c r="BG18" s="139">
        <f t="shared" si="16"/>
        <v>5</v>
      </c>
      <c r="BH18" s="208">
        <f t="shared" si="17"/>
        <v>35.71428571</v>
      </c>
      <c r="BI18" s="138">
        <v>1.0</v>
      </c>
      <c r="BJ18" s="180"/>
      <c r="BK18" s="180"/>
      <c r="BL18" s="116"/>
      <c r="BM18" s="116"/>
      <c r="BN18" s="116"/>
      <c r="BO18" s="138">
        <v>1.0</v>
      </c>
      <c r="BP18" s="116"/>
      <c r="BQ18" s="116"/>
      <c r="BR18" s="166"/>
      <c r="BS18" s="138">
        <v>1.0</v>
      </c>
      <c r="BT18" s="185"/>
      <c r="BU18" s="43"/>
      <c r="BV18" s="43"/>
      <c r="BW18" s="198"/>
      <c r="BX18" s="116"/>
      <c r="BY18" s="138">
        <v>1.0</v>
      </c>
      <c r="BZ18" s="165"/>
      <c r="CA18" s="116"/>
      <c r="CB18" s="138">
        <v>1.0</v>
      </c>
      <c r="CC18" s="186"/>
      <c r="CD18" s="196">
        <v>1.0</v>
      </c>
      <c r="CE18" s="124">
        <f t="shared" si="18"/>
        <v>6</v>
      </c>
      <c r="CF18" s="173">
        <f t="shared" si="19"/>
        <v>42.85714286</v>
      </c>
      <c r="CG18" s="138">
        <v>1.0</v>
      </c>
      <c r="CH18" s="238"/>
      <c r="CI18" s="186"/>
      <c r="CJ18" s="116"/>
      <c r="CK18" s="116"/>
      <c r="CL18" s="186"/>
      <c r="CM18" s="223"/>
      <c r="CN18" s="116"/>
      <c r="CO18" s="223"/>
      <c r="CP18" s="166"/>
      <c r="CQ18" s="213"/>
      <c r="CR18" s="213"/>
      <c r="CS18" s="116"/>
      <c r="CT18" s="213"/>
      <c r="CU18" s="213"/>
      <c r="CV18" s="213"/>
      <c r="CW18" s="128">
        <f t="shared" si="20"/>
        <v>1</v>
      </c>
      <c r="CX18" s="214">
        <f t="shared" si="21"/>
        <v>33.33333333</v>
      </c>
      <c r="CY18" s="171"/>
      <c r="CZ18" s="171"/>
      <c r="DA18" s="171"/>
      <c r="DB18" s="171"/>
      <c r="DC18" s="171"/>
      <c r="DD18" s="171"/>
      <c r="DE18" s="171"/>
      <c r="DF18" s="171"/>
      <c r="DG18" s="171"/>
      <c r="DH18" s="171"/>
      <c r="DI18" s="171"/>
      <c r="DJ18" s="171"/>
      <c r="DK18" s="128">
        <f t="shared" si="22"/>
        <v>0</v>
      </c>
      <c r="DL18" s="158" t="str">
        <f t="shared" si="23"/>
        <v>#DIV/0!</v>
      </c>
    </row>
    <row r="19">
      <c r="A19" s="50">
        <v>10.0</v>
      </c>
      <c r="B19" s="111" t="s">
        <v>70</v>
      </c>
      <c r="C19" s="112" t="s">
        <v>71</v>
      </c>
      <c r="D19" s="98">
        <f t="shared" si="8"/>
        <v>22</v>
      </c>
      <c r="E19" s="130">
        <f t="shared" si="9"/>
        <v>57.89473684</v>
      </c>
      <c r="F19" s="114" t="str">
        <f t="shared" si="10"/>
        <v>  </v>
      </c>
      <c r="G19" s="149" t="str">
        <f t="shared" si="11"/>
        <v>  </v>
      </c>
      <c r="H19" s="180"/>
      <c r="I19" s="180"/>
      <c r="J19" s="180"/>
      <c r="K19" s="180"/>
      <c r="L19" s="204"/>
      <c r="M19" s="139">
        <f t="shared" si="12"/>
        <v>0</v>
      </c>
      <c r="N19" s="140" t="str">
        <f t="shared" si="13"/>
        <v>#DIV/0!</v>
      </c>
      <c r="O19" s="116"/>
      <c r="P19" s="116"/>
      <c r="Q19" s="180"/>
      <c r="R19" s="179"/>
      <c r="S19" s="179"/>
      <c r="T19" s="116"/>
      <c r="U19" s="116"/>
      <c r="V19" s="179"/>
      <c r="W19" s="116"/>
      <c r="X19" s="116"/>
      <c r="Y19" s="179"/>
      <c r="Z19" s="185"/>
      <c r="AA19" s="217"/>
      <c r="AB19" s="138">
        <v>1.0</v>
      </c>
      <c r="AC19" s="184">
        <v>1.0</v>
      </c>
      <c r="AD19" s="116"/>
      <c r="AE19" s="116"/>
      <c r="AF19" s="176"/>
      <c r="AG19" s="182">
        <v>1.0</v>
      </c>
      <c r="AH19" s="116"/>
      <c r="AI19" s="176"/>
      <c r="AJ19" s="139">
        <f t="shared" si="14"/>
        <v>3</v>
      </c>
      <c r="AK19" s="205">
        <f t="shared" si="15"/>
        <v>42.85714286</v>
      </c>
      <c r="AL19" s="222"/>
      <c r="AM19" s="184">
        <v>1.0</v>
      </c>
      <c r="AN19" s="184">
        <v>1.0</v>
      </c>
      <c r="AO19" s="138">
        <v>1.0</v>
      </c>
      <c r="AP19" s="138">
        <v>1.0</v>
      </c>
      <c r="AQ19" s="116"/>
      <c r="AR19" s="138">
        <v>1.0</v>
      </c>
      <c r="AS19" s="191">
        <v>1.0</v>
      </c>
      <c r="AT19" s="116"/>
      <c r="AU19" s="116"/>
      <c r="AV19" s="138">
        <v>1.0</v>
      </c>
      <c r="AW19" s="179"/>
      <c r="AX19" s="138">
        <v>1.0</v>
      </c>
      <c r="AY19" s="116"/>
      <c r="AZ19" s="116"/>
      <c r="BA19" s="215">
        <v>1.0</v>
      </c>
      <c r="BB19" s="138">
        <v>1.0</v>
      </c>
      <c r="BC19" s="138">
        <v>1.0</v>
      </c>
      <c r="BD19" s="194"/>
      <c r="BE19" s="194"/>
      <c r="BF19" s="194"/>
      <c r="BG19" s="139">
        <f t="shared" si="16"/>
        <v>11</v>
      </c>
      <c r="BH19" s="208">
        <f t="shared" si="17"/>
        <v>78.57142857</v>
      </c>
      <c r="BI19" s="116"/>
      <c r="BJ19" s="116"/>
      <c r="BK19" s="180"/>
      <c r="BL19" s="116"/>
      <c r="BM19" s="116"/>
      <c r="BN19" s="116"/>
      <c r="BO19" s="138">
        <v>1.0</v>
      </c>
      <c r="BP19" s="116"/>
      <c r="BQ19" s="211"/>
      <c r="BR19" s="191">
        <v>1.0</v>
      </c>
      <c r="BS19" s="138">
        <v>1.0</v>
      </c>
      <c r="BT19" s="138">
        <v>1.0</v>
      </c>
      <c r="BU19" s="145">
        <v>1.0</v>
      </c>
      <c r="BV19" s="43"/>
      <c r="BW19" s="198"/>
      <c r="BX19" s="138">
        <v>1.0</v>
      </c>
      <c r="BY19" s="138">
        <v>1.0</v>
      </c>
      <c r="BZ19" s="165"/>
      <c r="CA19" s="116"/>
      <c r="CB19" s="165"/>
      <c r="CC19" s="186"/>
      <c r="CD19" s="196">
        <v>1.0</v>
      </c>
      <c r="CE19" s="124">
        <f t="shared" si="18"/>
        <v>8</v>
      </c>
      <c r="CF19" s="173">
        <f t="shared" si="19"/>
        <v>57.14285714</v>
      </c>
      <c r="CG19" s="116"/>
      <c r="CH19" s="238"/>
      <c r="CI19" s="186"/>
      <c r="CJ19" s="116"/>
      <c r="CK19" s="116"/>
      <c r="CL19" s="186"/>
      <c r="CM19" s="116"/>
      <c r="CN19" s="223"/>
      <c r="CO19" s="116"/>
      <c r="CP19" s="166"/>
      <c r="CQ19" s="213"/>
      <c r="CR19" s="213"/>
      <c r="CS19" s="116"/>
      <c r="CT19" s="213"/>
      <c r="CU19" s="213"/>
      <c r="CV19" s="213"/>
      <c r="CW19" s="128">
        <f t="shared" si="20"/>
        <v>0</v>
      </c>
      <c r="CX19" s="214">
        <f t="shared" si="21"/>
        <v>0</v>
      </c>
      <c r="CY19" s="171"/>
      <c r="CZ19" s="171"/>
      <c r="DA19" s="171"/>
      <c r="DB19" s="171"/>
      <c r="DC19" s="171"/>
      <c r="DD19" s="171"/>
      <c r="DE19" s="171"/>
      <c r="DF19" s="171"/>
      <c r="DG19" s="171"/>
      <c r="DH19" s="171"/>
      <c r="DI19" s="171"/>
      <c r="DJ19" s="171"/>
      <c r="DK19" s="128">
        <f t="shared" si="22"/>
        <v>0</v>
      </c>
      <c r="DL19" s="158" t="str">
        <f t="shared" si="23"/>
        <v>#DIV/0!</v>
      </c>
    </row>
    <row r="20">
      <c r="A20" s="131">
        <v>11.0</v>
      </c>
      <c r="B20" s="111" t="s">
        <v>72</v>
      </c>
      <c r="C20" s="112" t="s">
        <v>73</v>
      </c>
      <c r="D20" s="98">
        <f t="shared" si="8"/>
        <v>28</v>
      </c>
      <c r="E20" s="130">
        <f t="shared" si="9"/>
        <v>73.68421053</v>
      </c>
      <c r="F20" s="92" t="str">
        <f t="shared" si="10"/>
        <v>  </v>
      </c>
      <c r="G20" s="149" t="str">
        <f t="shared" si="11"/>
        <v>  </v>
      </c>
      <c r="H20" s="180"/>
      <c r="I20" s="180"/>
      <c r="J20" s="221"/>
      <c r="K20" s="180"/>
      <c r="L20" s="204"/>
      <c r="M20" s="139">
        <f t="shared" si="12"/>
        <v>0</v>
      </c>
      <c r="N20" s="140" t="str">
        <f t="shared" si="13"/>
        <v>#DIV/0!</v>
      </c>
      <c r="O20" s="116"/>
      <c r="P20" s="116"/>
      <c r="Q20" s="116"/>
      <c r="R20" s="186"/>
      <c r="S20" s="116"/>
      <c r="T20" s="116"/>
      <c r="U20" s="116"/>
      <c r="V20" s="186"/>
      <c r="W20" s="138">
        <v>1.0</v>
      </c>
      <c r="X20" s="116"/>
      <c r="Y20" s="186"/>
      <c r="Z20" s="210">
        <v>1.0</v>
      </c>
      <c r="AA20" s="187">
        <v>1.0</v>
      </c>
      <c r="AB20" s="138">
        <v>1.0</v>
      </c>
      <c r="AC20" s="200">
        <v>1.0</v>
      </c>
      <c r="AD20" s="116"/>
      <c r="AE20" s="116"/>
      <c r="AF20" s="197">
        <v>1.0</v>
      </c>
      <c r="AG20" s="197">
        <v>1.0</v>
      </c>
      <c r="AH20" s="116"/>
      <c r="AI20" s="116"/>
      <c r="AJ20" s="139">
        <f t="shared" si="14"/>
        <v>7</v>
      </c>
      <c r="AK20" s="205">
        <f t="shared" si="15"/>
        <v>100</v>
      </c>
      <c r="AL20" s="116"/>
      <c r="AM20" s="138">
        <v>1.0</v>
      </c>
      <c r="AN20" s="186"/>
      <c r="AO20" s="138">
        <v>1.0</v>
      </c>
      <c r="AP20" s="138">
        <v>1.0</v>
      </c>
      <c r="AQ20" s="116"/>
      <c r="AR20" s="138">
        <v>1.0</v>
      </c>
      <c r="AS20" s="191">
        <v>1.0</v>
      </c>
      <c r="AT20" s="116"/>
      <c r="AU20" s="116"/>
      <c r="AV20" s="116"/>
      <c r="AW20" s="186"/>
      <c r="AX20" s="138">
        <v>1.0</v>
      </c>
      <c r="AY20" s="116"/>
      <c r="AZ20" s="116"/>
      <c r="BA20" s="215">
        <v>1.0</v>
      </c>
      <c r="BB20" s="116"/>
      <c r="BC20" s="138">
        <v>1.0</v>
      </c>
      <c r="BD20" s="188">
        <v>1.0</v>
      </c>
      <c r="BE20" s="194"/>
      <c r="BF20" s="194"/>
      <c r="BG20" s="139">
        <f t="shared" si="16"/>
        <v>9</v>
      </c>
      <c r="BH20" s="208">
        <f t="shared" si="17"/>
        <v>64.28571429</v>
      </c>
      <c r="BI20" s="138">
        <v>1.0</v>
      </c>
      <c r="BJ20" s="138">
        <v>1.0</v>
      </c>
      <c r="BK20" s="180"/>
      <c r="BL20" s="116"/>
      <c r="BM20" s="116"/>
      <c r="BN20" s="116"/>
      <c r="BO20" s="138">
        <v>1.0</v>
      </c>
      <c r="BP20" s="116"/>
      <c r="BQ20" s="116"/>
      <c r="BR20" s="191">
        <v>1.0</v>
      </c>
      <c r="BS20" s="138">
        <v>1.0</v>
      </c>
      <c r="BT20" s="138">
        <v>1.0</v>
      </c>
      <c r="BU20" s="145">
        <v>1.0</v>
      </c>
      <c r="BV20" s="43"/>
      <c r="BW20" s="198"/>
      <c r="BX20" s="138">
        <v>1.0</v>
      </c>
      <c r="BY20" s="138">
        <v>1.0</v>
      </c>
      <c r="BZ20" s="165"/>
      <c r="CA20" s="116"/>
      <c r="CB20" s="116"/>
      <c r="CC20" s="200">
        <v>1.0</v>
      </c>
      <c r="CD20" s="196">
        <v>1.0</v>
      </c>
      <c r="CE20" s="124">
        <f t="shared" si="18"/>
        <v>11</v>
      </c>
      <c r="CF20" s="173">
        <f t="shared" si="19"/>
        <v>78.57142857</v>
      </c>
      <c r="CG20" s="138">
        <v>1.0</v>
      </c>
      <c r="CH20" s="116"/>
      <c r="CI20" s="116"/>
      <c r="CJ20" s="116"/>
      <c r="CK20" s="116"/>
      <c r="CL20" s="186"/>
      <c r="CM20" s="223"/>
      <c r="CN20" s="116"/>
      <c r="CO20" s="116"/>
      <c r="CP20" s="166"/>
      <c r="CQ20" s="213"/>
      <c r="CR20" s="213"/>
      <c r="CS20" s="116"/>
      <c r="CT20" s="116"/>
      <c r="CU20" s="213"/>
      <c r="CV20" s="213"/>
      <c r="CW20" s="128">
        <f t="shared" si="20"/>
        <v>1</v>
      </c>
      <c r="CX20" s="214">
        <f t="shared" si="21"/>
        <v>33.33333333</v>
      </c>
      <c r="CY20" s="171"/>
      <c r="CZ20" s="171"/>
      <c r="DA20" s="171"/>
      <c r="DB20" s="171"/>
      <c r="DC20" s="171"/>
      <c r="DD20" s="171"/>
      <c r="DE20" s="171"/>
      <c r="DF20" s="171"/>
      <c r="DG20" s="171"/>
      <c r="DH20" s="171"/>
      <c r="DI20" s="171"/>
      <c r="DJ20" s="171"/>
      <c r="DK20" s="128">
        <f t="shared" si="22"/>
        <v>0</v>
      </c>
      <c r="DL20" s="158" t="str">
        <f t="shared" si="23"/>
        <v>#DIV/0!</v>
      </c>
    </row>
    <row r="21" ht="15.75" customHeight="1">
      <c r="A21" s="146">
        <v>12.0</v>
      </c>
      <c r="B21" s="111" t="s">
        <v>74</v>
      </c>
      <c r="C21" s="112" t="s">
        <v>75</v>
      </c>
      <c r="D21" s="98">
        <f t="shared" si="8"/>
        <v>16</v>
      </c>
      <c r="E21" s="130">
        <f t="shared" si="9"/>
        <v>42.10526316</v>
      </c>
      <c r="F21" s="114">
        <f t="shared" si="10"/>
        <v>42.10526316</v>
      </c>
      <c r="G21" s="149" t="str">
        <f t="shared" si="11"/>
        <v>  </v>
      </c>
      <c r="H21" s="180"/>
      <c r="I21" s="180"/>
      <c r="J21" s="180"/>
      <c r="K21" s="203"/>
      <c r="L21" s="239"/>
      <c r="M21" s="139">
        <f t="shared" si="12"/>
        <v>0</v>
      </c>
      <c r="N21" s="140" t="str">
        <f t="shared" si="13"/>
        <v>#DIV/0!</v>
      </c>
      <c r="O21" s="116"/>
      <c r="P21" s="116"/>
      <c r="Q21" s="116"/>
      <c r="R21" s="179"/>
      <c r="S21" s="116"/>
      <c r="T21" s="116"/>
      <c r="U21" s="116"/>
      <c r="V21" s="179"/>
      <c r="W21" s="138">
        <v>1.0</v>
      </c>
      <c r="X21" s="116"/>
      <c r="Y21" s="179"/>
      <c r="Z21" s="210">
        <v>1.0</v>
      </c>
      <c r="AA21" s="217"/>
      <c r="AB21" s="116"/>
      <c r="AC21" s="179"/>
      <c r="AD21" s="176"/>
      <c r="AE21" s="176"/>
      <c r="AF21" s="176"/>
      <c r="AG21" s="182">
        <v>1.0</v>
      </c>
      <c r="AH21" s="176"/>
      <c r="AI21" s="176"/>
      <c r="AJ21" s="139">
        <f t="shared" si="14"/>
        <v>3</v>
      </c>
      <c r="AK21" s="205">
        <f t="shared" si="15"/>
        <v>42.85714286</v>
      </c>
      <c r="AL21" s="222"/>
      <c r="AM21" s="138">
        <v>1.0</v>
      </c>
      <c r="AN21" s="179"/>
      <c r="AO21" s="184">
        <v>1.0</v>
      </c>
      <c r="AP21" s="184">
        <v>1.0</v>
      </c>
      <c r="AQ21" s="138">
        <v>1.0</v>
      </c>
      <c r="AR21" s="116"/>
      <c r="AS21" s="166"/>
      <c r="AT21" s="116"/>
      <c r="AU21" s="116"/>
      <c r="AV21" s="116"/>
      <c r="AW21" s="179"/>
      <c r="AX21" s="138">
        <v>1.0</v>
      </c>
      <c r="AY21" s="116"/>
      <c r="AZ21" s="180"/>
      <c r="BA21" s="215">
        <v>1.0</v>
      </c>
      <c r="BB21" s="204"/>
      <c r="BC21" s="204"/>
      <c r="BD21" s="181"/>
      <c r="BE21" s="181"/>
      <c r="BF21" s="181"/>
      <c r="BG21" s="139">
        <f t="shared" si="16"/>
        <v>6</v>
      </c>
      <c r="BH21" s="208">
        <f t="shared" si="17"/>
        <v>42.85714286</v>
      </c>
      <c r="BI21" s="116"/>
      <c r="BJ21" s="138">
        <v>1.0</v>
      </c>
      <c r="BK21" s="180"/>
      <c r="BL21" s="116"/>
      <c r="BM21" s="116"/>
      <c r="BN21" s="116"/>
      <c r="BO21" s="138">
        <v>1.0</v>
      </c>
      <c r="BP21" s="116"/>
      <c r="BQ21" s="116"/>
      <c r="BR21" s="166"/>
      <c r="BS21" s="196">
        <v>1.0</v>
      </c>
      <c r="BT21" s="116"/>
      <c r="BU21" s="43"/>
      <c r="BV21" s="43"/>
      <c r="BW21" s="198"/>
      <c r="BX21" s="145">
        <v>1.0</v>
      </c>
      <c r="BY21" s="138">
        <v>1.0</v>
      </c>
      <c r="BZ21" s="165"/>
      <c r="CA21" s="116"/>
      <c r="CB21" s="116"/>
      <c r="CC21" s="186"/>
      <c r="CD21" s="196">
        <v>1.0</v>
      </c>
      <c r="CE21" s="124">
        <f t="shared" si="18"/>
        <v>6</v>
      </c>
      <c r="CF21" s="173">
        <f t="shared" si="19"/>
        <v>42.85714286</v>
      </c>
      <c r="CG21" s="138">
        <v>1.0</v>
      </c>
      <c r="CH21" s="116"/>
      <c r="CI21" s="116"/>
      <c r="CJ21" s="116"/>
      <c r="CK21" s="116"/>
      <c r="CL21" s="186"/>
      <c r="CM21" s="223"/>
      <c r="CN21" s="116"/>
      <c r="CO21" s="223"/>
      <c r="CP21" s="166"/>
      <c r="CQ21" s="213"/>
      <c r="CR21" s="213"/>
      <c r="CS21" s="116"/>
      <c r="CT21" s="116"/>
      <c r="CU21" s="213"/>
      <c r="CV21" s="213"/>
      <c r="CW21" s="128">
        <f t="shared" si="20"/>
        <v>1</v>
      </c>
      <c r="CX21" s="214">
        <f t="shared" si="21"/>
        <v>33.33333333</v>
      </c>
      <c r="CY21" s="171"/>
      <c r="CZ21" s="171"/>
      <c r="DA21" s="171"/>
      <c r="DB21" s="171"/>
      <c r="DC21" s="171"/>
      <c r="DD21" s="171"/>
      <c r="DE21" s="171"/>
      <c r="DF21" s="171"/>
      <c r="DG21" s="171"/>
      <c r="DH21" s="171"/>
      <c r="DI21" s="171"/>
      <c r="DJ21" s="171"/>
      <c r="DK21" s="128">
        <f t="shared" si="22"/>
        <v>0</v>
      </c>
      <c r="DL21" s="158" t="str">
        <f t="shared" si="23"/>
        <v>#DIV/0!</v>
      </c>
    </row>
    <row r="22" ht="15.75" customHeight="1">
      <c r="A22" s="50">
        <v>13.0</v>
      </c>
      <c r="B22" s="111" t="s">
        <v>76</v>
      </c>
      <c r="C22" s="112" t="s">
        <v>77</v>
      </c>
      <c r="D22" s="98">
        <f t="shared" si="8"/>
        <v>18</v>
      </c>
      <c r="E22" s="130">
        <f t="shared" si="9"/>
        <v>47.36842105</v>
      </c>
      <c r="F22" s="114">
        <f t="shared" si="10"/>
        <v>47.36842105</v>
      </c>
      <c r="G22" s="149" t="str">
        <f t="shared" si="11"/>
        <v>  </v>
      </c>
      <c r="H22" s="203"/>
      <c r="I22" s="180"/>
      <c r="J22" s="180"/>
      <c r="K22" s="180"/>
      <c r="L22" s="204"/>
      <c r="M22" s="139">
        <f t="shared" si="12"/>
        <v>0</v>
      </c>
      <c r="N22" s="140" t="str">
        <f t="shared" si="13"/>
        <v>#DIV/0!</v>
      </c>
      <c r="O22" s="116"/>
      <c r="P22" s="116"/>
      <c r="Q22" s="116"/>
      <c r="R22" s="179"/>
      <c r="S22" s="116"/>
      <c r="T22" s="116"/>
      <c r="U22" s="116"/>
      <c r="V22" s="179"/>
      <c r="W22" s="116"/>
      <c r="X22" s="116"/>
      <c r="Y22" s="179"/>
      <c r="Z22" s="185"/>
      <c r="AA22" s="217"/>
      <c r="AB22" s="116"/>
      <c r="AC22" s="184">
        <v>1.0</v>
      </c>
      <c r="AD22" s="176"/>
      <c r="AE22" s="176"/>
      <c r="AF22" s="176"/>
      <c r="AG22" s="182">
        <v>1.0</v>
      </c>
      <c r="AH22" s="176"/>
      <c r="AI22" s="176"/>
      <c r="AJ22" s="139">
        <f t="shared" si="14"/>
        <v>2</v>
      </c>
      <c r="AK22" s="205">
        <f t="shared" si="15"/>
        <v>28.57142857</v>
      </c>
      <c r="AL22" s="116"/>
      <c r="AM22" s="138">
        <v>1.0</v>
      </c>
      <c r="AN22" s="179"/>
      <c r="AO22" s="184">
        <v>1.0</v>
      </c>
      <c r="AP22" s="184">
        <v>1.0</v>
      </c>
      <c r="AQ22" s="116"/>
      <c r="AR22" s="138">
        <v>1.0</v>
      </c>
      <c r="AS22" s="166"/>
      <c r="AT22" s="116"/>
      <c r="AU22" s="116"/>
      <c r="AV22" s="116"/>
      <c r="AW22" s="179"/>
      <c r="AX22" s="116"/>
      <c r="AY22" s="116"/>
      <c r="AZ22" s="180"/>
      <c r="BA22" s="215">
        <v>1.0</v>
      </c>
      <c r="BB22" s="204"/>
      <c r="BC22" s="204"/>
      <c r="BD22" s="181"/>
      <c r="BE22" s="181"/>
      <c r="BF22" s="181"/>
      <c r="BG22" s="139">
        <f t="shared" si="16"/>
        <v>5</v>
      </c>
      <c r="BH22" s="208">
        <f t="shared" si="17"/>
        <v>35.71428571</v>
      </c>
      <c r="BI22" s="138">
        <v>1.0</v>
      </c>
      <c r="BJ22" s="215">
        <v>1.0</v>
      </c>
      <c r="BK22" s="180"/>
      <c r="BL22" s="116"/>
      <c r="BM22" s="116"/>
      <c r="BN22" s="116"/>
      <c r="BO22" s="138">
        <v>1.0</v>
      </c>
      <c r="BP22" s="116"/>
      <c r="BQ22" s="116"/>
      <c r="BR22" s="191">
        <v>1.0</v>
      </c>
      <c r="BS22" s="138">
        <v>1.0</v>
      </c>
      <c r="BT22" s="138">
        <v>1.0</v>
      </c>
      <c r="BU22" s="43"/>
      <c r="BV22" s="43"/>
      <c r="BW22" s="198"/>
      <c r="BX22" s="116"/>
      <c r="BY22" s="138">
        <v>1.0</v>
      </c>
      <c r="BZ22" s="165"/>
      <c r="CA22" s="116"/>
      <c r="CB22" s="138">
        <v>1.0</v>
      </c>
      <c r="CC22" s="200">
        <v>1.0</v>
      </c>
      <c r="CD22" s="196">
        <v>1.0</v>
      </c>
      <c r="CE22" s="124">
        <f t="shared" si="18"/>
        <v>10</v>
      </c>
      <c r="CF22" s="173">
        <f t="shared" si="19"/>
        <v>71.42857143</v>
      </c>
      <c r="CG22" s="138">
        <v>1.0</v>
      </c>
      <c r="CH22" s="116"/>
      <c r="CI22" s="186"/>
      <c r="CJ22" s="116"/>
      <c r="CK22" s="116"/>
      <c r="CL22" s="186"/>
      <c r="CM22" s="223"/>
      <c r="CN22" s="116"/>
      <c r="CO22" s="116"/>
      <c r="CP22" s="166"/>
      <c r="CQ22" s="213"/>
      <c r="CR22" s="213"/>
      <c r="CS22" s="116"/>
      <c r="CT22" s="213"/>
      <c r="CU22" s="213"/>
      <c r="CV22" s="213"/>
      <c r="CW22" s="128">
        <f t="shared" si="20"/>
        <v>1</v>
      </c>
      <c r="CX22" s="214">
        <f t="shared" si="21"/>
        <v>33.33333333</v>
      </c>
      <c r="CY22" s="171"/>
      <c r="CZ22" s="171"/>
      <c r="DA22" s="171"/>
      <c r="DB22" s="171"/>
      <c r="DC22" s="171"/>
      <c r="DD22" s="171"/>
      <c r="DE22" s="171"/>
      <c r="DF22" s="171"/>
      <c r="DG22" s="171"/>
      <c r="DH22" s="171"/>
      <c r="DI22" s="171"/>
      <c r="DJ22" s="171"/>
      <c r="DK22" s="128">
        <f t="shared" si="22"/>
        <v>0</v>
      </c>
      <c r="DL22" s="158" t="str">
        <f t="shared" si="23"/>
        <v>#DIV/0!</v>
      </c>
    </row>
    <row r="23" ht="15.75" customHeight="1">
      <c r="A23" s="131">
        <v>14.0</v>
      </c>
      <c r="B23" s="111" t="s">
        <v>78</v>
      </c>
      <c r="C23" s="112" t="s">
        <v>79</v>
      </c>
      <c r="D23" s="98">
        <f t="shared" si="8"/>
        <v>10</v>
      </c>
      <c r="E23" s="130">
        <f t="shared" si="9"/>
        <v>26.31578947</v>
      </c>
      <c r="F23" s="114">
        <f t="shared" si="10"/>
        <v>26.31578947</v>
      </c>
      <c r="G23" s="226">
        <f t="shared" si="11"/>
        <v>26.31578947</v>
      </c>
      <c r="H23" s="180"/>
      <c r="I23" s="203"/>
      <c r="J23" s="180"/>
      <c r="K23" s="180"/>
      <c r="L23" s="204"/>
      <c r="M23" s="139">
        <f t="shared" si="12"/>
        <v>0</v>
      </c>
      <c r="N23" s="140" t="str">
        <f t="shared" si="13"/>
        <v>#DIV/0!</v>
      </c>
      <c r="O23" s="116"/>
      <c r="P23" s="116"/>
      <c r="Q23" s="180"/>
      <c r="R23" s="179"/>
      <c r="S23" s="179"/>
      <c r="T23" s="116"/>
      <c r="U23" s="116"/>
      <c r="V23" s="179"/>
      <c r="W23" s="116"/>
      <c r="X23" s="116"/>
      <c r="Y23" s="179"/>
      <c r="Z23" s="185"/>
      <c r="AA23" s="217"/>
      <c r="AB23" s="116"/>
      <c r="AC23" s="179"/>
      <c r="AD23" s="176"/>
      <c r="AE23" s="116"/>
      <c r="AF23" s="176"/>
      <c r="AG23" s="182">
        <v>1.0</v>
      </c>
      <c r="AH23" s="116"/>
      <c r="AI23" s="116"/>
      <c r="AJ23" s="139">
        <f t="shared" si="14"/>
        <v>1</v>
      </c>
      <c r="AK23" s="205">
        <f t="shared" si="15"/>
        <v>14.28571429</v>
      </c>
      <c r="AL23" s="116"/>
      <c r="AM23" s="184">
        <v>1.0</v>
      </c>
      <c r="AN23" s="179"/>
      <c r="AO23" s="179"/>
      <c r="AP23" s="179"/>
      <c r="AQ23" s="116"/>
      <c r="AR23" s="116"/>
      <c r="AS23" s="166"/>
      <c r="AT23" s="116"/>
      <c r="AU23" s="116"/>
      <c r="AV23" s="116"/>
      <c r="AW23" s="179"/>
      <c r="AX23" s="116"/>
      <c r="AY23" s="116"/>
      <c r="AZ23" s="116"/>
      <c r="BA23" s="215">
        <v>1.0</v>
      </c>
      <c r="BC23" s="218">
        <v>1.0</v>
      </c>
      <c r="BD23" s="219">
        <v>1.0</v>
      </c>
      <c r="BE23" s="181"/>
      <c r="BF23" s="181"/>
      <c r="BG23" s="139">
        <f t="shared" si="16"/>
        <v>4</v>
      </c>
      <c r="BH23" s="208">
        <f t="shared" si="17"/>
        <v>28.57142857</v>
      </c>
      <c r="BI23" s="116"/>
      <c r="BJ23" s="138">
        <v>1.0</v>
      </c>
      <c r="BK23" s="180"/>
      <c r="BL23" s="116"/>
      <c r="BM23" s="116"/>
      <c r="BN23" s="116"/>
      <c r="BO23" s="116"/>
      <c r="BP23" s="116"/>
      <c r="BQ23" s="116"/>
      <c r="BR23" s="166"/>
      <c r="BS23" s="165"/>
      <c r="BT23" s="116"/>
      <c r="BU23" s="43"/>
      <c r="BV23" s="116"/>
      <c r="BW23" s="198"/>
      <c r="BX23" s="145">
        <v>1.0</v>
      </c>
      <c r="BY23" s="138">
        <v>1.0</v>
      </c>
      <c r="BZ23" s="165"/>
      <c r="CA23" s="116"/>
      <c r="CB23" s="116"/>
      <c r="CC23" s="186"/>
      <c r="CD23" s="165"/>
      <c r="CE23" s="124">
        <f t="shared" si="18"/>
        <v>3</v>
      </c>
      <c r="CF23" s="173">
        <f t="shared" si="19"/>
        <v>21.42857143</v>
      </c>
      <c r="CG23" s="184">
        <v>1.0</v>
      </c>
      <c r="CH23" s="138">
        <v>1.0</v>
      </c>
      <c r="CI23" s="116"/>
      <c r="CJ23" s="186"/>
      <c r="CK23" s="231"/>
      <c r="CL23" s="186"/>
      <c r="CM23" s="116"/>
      <c r="CN23" s="223"/>
      <c r="CO23" s="116"/>
      <c r="CP23" s="166"/>
      <c r="CQ23" s="213"/>
      <c r="CR23" s="213"/>
      <c r="CS23" s="213"/>
      <c r="CT23" s="116"/>
      <c r="CU23" s="116"/>
      <c r="CV23" s="213"/>
      <c r="CW23" s="128">
        <f t="shared" si="20"/>
        <v>2</v>
      </c>
      <c r="CX23" s="214">
        <f t="shared" si="21"/>
        <v>66.66666667</v>
      </c>
      <c r="CY23" s="171"/>
      <c r="CZ23" s="171"/>
      <c r="DA23" s="171"/>
      <c r="DB23" s="171"/>
      <c r="DC23" s="171"/>
      <c r="DD23" s="171"/>
      <c r="DE23" s="171"/>
      <c r="DF23" s="171"/>
      <c r="DG23" s="171"/>
      <c r="DH23" s="171"/>
      <c r="DI23" s="171"/>
      <c r="DJ23" s="171"/>
      <c r="DK23" s="128">
        <f t="shared" si="22"/>
        <v>0</v>
      </c>
      <c r="DL23" s="158" t="str">
        <f t="shared" si="23"/>
        <v>#DIV/0!</v>
      </c>
    </row>
    <row r="24" ht="15.75" customHeight="1">
      <c r="A24" s="146">
        <v>15.0</v>
      </c>
      <c r="B24" s="111" t="s">
        <v>80</v>
      </c>
      <c r="C24" s="112" t="s">
        <v>81</v>
      </c>
      <c r="D24" s="98">
        <f t="shared" si="8"/>
        <v>12</v>
      </c>
      <c r="E24" s="130">
        <f t="shared" si="9"/>
        <v>31.57894737</v>
      </c>
      <c r="F24" s="114">
        <f t="shared" si="10"/>
        <v>31.57894737</v>
      </c>
      <c r="G24" s="149" t="str">
        <f t="shared" si="11"/>
        <v>  </v>
      </c>
      <c r="H24" s="180"/>
      <c r="I24" s="180"/>
      <c r="J24" s="180"/>
      <c r="K24" s="203"/>
      <c r="L24" s="239"/>
      <c r="M24" s="139">
        <f t="shared" si="12"/>
        <v>0</v>
      </c>
      <c r="N24" s="140" t="str">
        <f t="shared" si="13"/>
        <v>#DIV/0!</v>
      </c>
      <c r="O24" s="116"/>
      <c r="P24" s="116"/>
      <c r="Q24" s="116"/>
      <c r="R24" s="179"/>
      <c r="S24" s="179"/>
      <c r="T24" s="116"/>
      <c r="U24" s="116"/>
      <c r="V24" s="179"/>
      <c r="W24" s="116"/>
      <c r="X24" s="116"/>
      <c r="Y24" s="179"/>
      <c r="Z24" s="185"/>
      <c r="AA24" s="217"/>
      <c r="AB24" s="116"/>
      <c r="AC24" s="179"/>
      <c r="AD24" s="176"/>
      <c r="AE24" s="116"/>
      <c r="AF24" s="176"/>
      <c r="AG24" s="176"/>
      <c r="AH24" s="176"/>
      <c r="AI24" s="176"/>
      <c r="AJ24" s="139">
        <f t="shared" si="14"/>
        <v>0</v>
      </c>
      <c r="AK24" s="205">
        <f t="shared" si="15"/>
        <v>0</v>
      </c>
      <c r="AL24" s="222"/>
      <c r="AM24" s="138">
        <v>1.0</v>
      </c>
      <c r="AN24" s="179"/>
      <c r="AO24" s="184">
        <v>1.0</v>
      </c>
      <c r="AP24" s="184">
        <v>1.0</v>
      </c>
      <c r="AQ24" s="116"/>
      <c r="AR24" s="116"/>
      <c r="AS24" s="166"/>
      <c r="AT24" s="116"/>
      <c r="AU24" s="116"/>
      <c r="AV24" s="116"/>
      <c r="AW24" s="179"/>
      <c r="AX24" s="138">
        <v>1.0</v>
      </c>
      <c r="AY24" s="116"/>
      <c r="AZ24" s="180"/>
      <c r="BA24" s="215">
        <v>1.0</v>
      </c>
      <c r="BB24" s="204"/>
      <c r="BC24" s="218"/>
      <c r="BD24" s="181"/>
      <c r="BE24" s="181"/>
      <c r="BF24" s="181"/>
      <c r="BG24" s="139">
        <f t="shared" si="16"/>
        <v>5</v>
      </c>
      <c r="BH24" s="208">
        <f t="shared" si="17"/>
        <v>35.71428571</v>
      </c>
      <c r="BI24" s="116"/>
      <c r="BJ24" s="138">
        <v>1.0</v>
      </c>
      <c r="BK24" s="180"/>
      <c r="BL24" s="116"/>
      <c r="BM24" s="116"/>
      <c r="BN24" s="116"/>
      <c r="BO24" s="138">
        <v>1.0</v>
      </c>
      <c r="BP24" s="116"/>
      <c r="BQ24" s="116"/>
      <c r="BR24" s="166"/>
      <c r="BS24" s="138">
        <v>1.0</v>
      </c>
      <c r="BT24" s="116"/>
      <c r="BU24" s="43"/>
      <c r="BV24" s="43"/>
      <c r="BW24" s="198"/>
      <c r="BX24" s="138">
        <v>1.0</v>
      </c>
      <c r="BY24" s="138">
        <v>1.0</v>
      </c>
      <c r="BZ24" s="165"/>
      <c r="CA24" s="116"/>
      <c r="CB24" s="165"/>
      <c r="CC24" s="186"/>
      <c r="CD24" s="196">
        <v>1.0</v>
      </c>
      <c r="CE24" s="124">
        <f t="shared" si="18"/>
        <v>6</v>
      </c>
      <c r="CF24" s="173">
        <f t="shared" si="19"/>
        <v>42.85714286</v>
      </c>
      <c r="CG24" s="138">
        <v>1.0</v>
      </c>
      <c r="CH24" s="116"/>
      <c r="CI24" s="186"/>
      <c r="CJ24" s="116"/>
      <c r="CK24" s="116"/>
      <c r="CL24" s="186"/>
      <c r="CM24" s="223"/>
      <c r="CN24" s="116"/>
      <c r="CO24" s="116"/>
      <c r="CP24" s="166"/>
      <c r="CQ24" s="213"/>
      <c r="CR24" s="213"/>
      <c r="CS24" s="116"/>
      <c r="CT24" s="116"/>
      <c r="CU24" s="213"/>
      <c r="CV24" s="213"/>
      <c r="CW24" s="128">
        <f t="shared" si="20"/>
        <v>1</v>
      </c>
      <c r="CX24" s="214">
        <f t="shared" si="21"/>
        <v>33.33333333</v>
      </c>
      <c r="CY24" s="171"/>
      <c r="CZ24" s="171"/>
      <c r="DA24" s="171"/>
      <c r="DB24" s="171"/>
      <c r="DC24" s="171"/>
      <c r="DD24" s="171"/>
      <c r="DE24" s="171"/>
      <c r="DF24" s="171"/>
      <c r="DG24" s="171"/>
      <c r="DH24" s="171"/>
      <c r="DI24" s="171"/>
      <c r="DJ24" s="171"/>
      <c r="DK24" s="128">
        <f t="shared" si="22"/>
        <v>0</v>
      </c>
      <c r="DL24" s="158" t="str">
        <f t="shared" si="23"/>
        <v>#DIV/0!</v>
      </c>
    </row>
    <row r="25" ht="15.75" customHeight="1">
      <c r="A25" s="50">
        <v>16.0</v>
      </c>
      <c r="B25" s="111" t="s">
        <v>82</v>
      </c>
      <c r="C25" s="112" t="s">
        <v>83</v>
      </c>
      <c r="D25" s="98">
        <f t="shared" si="8"/>
        <v>14</v>
      </c>
      <c r="E25" s="130">
        <f t="shared" si="9"/>
        <v>36.84210526</v>
      </c>
      <c r="F25" s="114">
        <f t="shared" si="10"/>
        <v>36.84210526</v>
      </c>
      <c r="G25" s="149" t="str">
        <f t="shared" si="11"/>
        <v>  </v>
      </c>
      <c r="H25" s="180"/>
      <c r="I25" s="203"/>
      <c r="J25" s="203"/>
      <c r="K25" s="180"/>
      <c r="L25" s="204"/>
      <c r="M25" s="139">
        <f t="shared" si="12"/>
        <v>0</v>
      </c>
      <c r="N25" s="140" t="str">
        <f t="shared" si="13"/>
        <v>#DIV/0!</v>
      </c>
      <c r="O25" s="116"/>
      <c r="P25" s="116"/>
      <c r="Q25" s="180"/>
      <c r="R25" s="179"/>
      <c r="S25" s="179"/>
      <c r="T25" s="116"/>
      <c r="U25" s="116"/>
      <c r="V25" s="179"/>
      <c r="W25" s="116"/>
      <c r="X25" s="116"/>
      <c r="Y25" s="179"/>
      <c r="Z25" s="185"/>
      <c r="AA25" s="217"/>
      <c r="AB25" s="116"/>
      <c r="AC25" s="184">
        <v>1.0</v>
      </c>
      <c r="AD25" s="176"/>
      <c r="AE25" s="116"/>
      <c r="AF25" s="176"/>
      <c r="AG25" s="182">
        <v>1.0</v>
      </c>
      <c r="AH25" s="116"/>
      <c r="AI25" s="116"/>
      <c r="AJ25" s="139">
        <f t="shared" si="14"/>
        <v>2</v>
      </c>
      <c r="AK25" s="205">
        <f t="shared" si="15"/>
        <v>28.57142857</v>
      </c>
      <c r="AL25" s="116"/>
      <c r="AM25" s="138">
        <v>1.0</v>
      </c>
      <c r="AN25" s="179"/>
      <c r="AO25" s="116"/>
      <c r="AP25" s="116"/>
      <c r="AQ25" s="116"/>
      <c r="AR25" s="138">
        <v>1.0</v>
      </c>
      <c r="AS25" s="166"/>
      <c r="AT25" s="116"/>
      <c r="AU25" s="116"/>
      <c r="AV25" s="116"/>
      <c r="AW25" s="179"/>
      <c r="AX25" s="116"/>
      <c r="AY25" s="116"/>
      <c r="AZ25" s="180"/>
      <c r="BA25" s="215">
        <v>1.0</v>
      </c>
      <c r="BB25" s="116"/>
      <c r="BC25" s="204"/>
      <c r="BD25" s="181"/>
      <c r="BE25" s="181"/>
      <c r="BF25" s="181"/>
      <c r="BG25" s="139">
        <f t="shared" si="16"/>
        <v>3</v>
      </c>
      <c r="BH25" s="208">
        <f t="shared" si="17"/>
        <v>21.42857143</v>
      </c>
      <c r="BI25" s="138">
        <v>1.0</v>
      </c>
      <c r="BJ25" s="215">
        <v>1.0</v>
      </c>
      <c r="BK25" s="180"/>
      <c r="BL25" s="116"/>
      <c r="BM25" s="116"/>
      <c r="BN25" s="116"/>
      <c r="BO25" s="138">
        <v>1.0</v>
      </c>
      <c r="BP25" s="116"/>
      <c r="BQ25" s="116"/>
      <c r="BR25" s="191">
        <v>1.0</v>
      </c>
      <c r="BS25" s="116"/>
      <c r="BT25" s="185"/>
      <c r="BU25" s="43"/>
      <c r="BV25" s="43"/>
      <c r="BW25" s="198"/>
      <c r="BX25" s="138">
        <v>1.0</v>
      </c>
      <c r="BY25" s="138">
        <v>1.0</v>
      </c>
      <c r="BZ25" s="165"/>
      <c r="CA25" s="116"/>
      <c r="CB25" s="138">
        <v>1.0</v>
      </c>
      <c r="CC25" s="186"/>
      <c r="CD25" s="196">
        <v>1.0</v>
      </c>
      <c r="CE25" s="124">
        <f t="shared" si="18"/>
        <v>8</v>
      </c>
      <c r="CF25" s="173">
        <f t="shared" si="19"/>
        <v>57.14285714</v>
      </c>
      <c r="CG25" s="138">
        <v>1.0</v>
      </c>
      <c r="CH25" s="116"/>
      <c r="CI25" s="186"/>
      <c r="CJ25" s="116"/>
      <c r="CK25" s="116"/>
      <c r="CL25" s="186"/>
      <c r="CM25" s="223"/>
      <c r="CN25" s="223"/>
      <c r="CO25" s="116"/>
      <c r="CP25" s="166"/>
      <c r="CQ25" s="213"/>
      <c r="CR25" s="213"/>
      <c r="CS25" s="213"/>
      <c r="CT25" s="116"/>
      <c r="CU25" s="213"/>
      <c r="CV25" s="213"/>
      <c r="CW25" s="128">
        <f t="shared" si="20"/>
        <v>1</v>
      </c>
      <c r="CX25" s="214">
        <f t="shared" si="21"/>
        <v>33.33333333</v>
      </c>
      <c r="CY25" s="171"/>
      <c r="CZ25" s="171"/>
      <c r="DA25" s="171"/>
      <c r="DB25" s="171"/>
      <c r="DC25" s="171"/>
      <c r="DD25" s="171"/>
      <c r="DE25" s="171"/>
      <c r="DF25" s="171"/>
      <c r="DG25" s="171"/>
      <c r="DH25" s="171"/>
      <c r="DI25" s="171"/>
      <c r="DJ25" s="171"/>
      <c r="DK25" s="128">
        <f t="shared" si="22"/>
        <v>0</v>
      </c>
      <c r="DL25" s="158" t="str">
        <f t="shared" si="23"/>
        <v>#DIV/0!</v>
      </c>
    </row>
    <row r="26" ht="15.75" customHeight="1">
      <c r="A26" s="131">
        <v>17.0</v>
      </c>
      <c r="B26" s="111" t="s">
        <v>84</v>
      </c>
      <c r="C26" s="112" t="s">
        <v>85</v>
      </c>
      <c r="D26" s="98">
        <f t="shared" si="8"/>
        <v>23</v>
      </c>
      <c r="E26" s="130">
        <f t="shared" si="9"/>
        <v>60.52631579</v>
      </c>
      <c r="F26" s="92" t="str">
        <f t="shared" si="10"/>
        <v>  </v>
      </c>
      <c r="G26" s="149" t="str">
        <f t="shared" si="11"/>
        <v>  </v>
      </c>
      <c r="H26" s="180"/>
      <c r="I26" s="203"/>
      <c r="J26" s="180"/>
      <c r="K26" s="180"/>
      <c r="L26" s="204"/>
      <c r="M26" s="139">
        <f t="shared" si="12"/>
        <v>0</v>
      </c>
      <c r="N26" s="140" t="str">
        <f t="shared" si="13"/>
        <v>#DIV/0!</v>
      </c>
      <c r="O26" s="116"/>
      <c r="P26" s="116"/>
      <c r="Q26" s="180"/>
      <c r="R26" s="228"/>
      <c r="S26" s="228"/>
      <c r="T26" s="116"/>
      <c r="U26" s="116"/>
      <c r="V26" s="228"/>
      <c r="W26" s="138">
        <v>1.0</v>
      </c>
      <c r="X26" s="116"/>
      <c r="Y26" s="228"/>
      <c r="Z26" s="210">
        <v>1.0</v>
      </c>
      <c r="AA26" s="217"/>
      <c r="AB26" s="138">
        <v>1.0</v>
      </c>
      <c r="AC26" s="228"/>
      <c r="AD26" s="116"/>
      <c r="AE26" s="116"/>
      <c r="AF26" s="229">
        <v>1.0</v>
      </c>
      <c r="AG26" s="229">
        <v>1.0</v>
      </c>
      <c r="AH26" s="116"/>
      <c r="AI26" s="116"/>
      <c r="AJ26" s="139">
        <f t="shared" si="14"/>
        <v>5</v>
      </c>
      <c r="AK26" s="205">
        <f t="shared" si="15"/>
        <v>71.42857143</v>
      </c>
      <c r="AL26" s="116"/>
      <c r="AM26" s="138"/>
      <c r="AN26" s="228"/>
      <c r="AO26" s="116"/>
      <c r="AP26" s="116"/>
      <c r="AQ26" s="116"/>
      <c r="AR26" s="138">
        <v>1.0</v>
      </c>
      <c r="AS26" s="191">
        <v>1.0</v>
      </c>
      <c r="AT26" s="116"/>
      <c r="AU26" s="116"/>
      <c r="AV26" s="138">
        <v>1.0</v>
      </c>
      <c r="AW26" s="228"/>
      <c r="AX26" s="138">
        <v>1.0</v>
      </c>
      <c r="AY26" s="116"/>
      <c r="AZ26" s="180"/>
      <c r="BA26" s="215">
        <v>1.0</v>
      </c>
      <c r="BB26" s="204"/>
      <c r="BC26" s="218">
        <v>1.0</v>
      </c>
      <c r="BD26" s="219">
        <v>1.0</v>
      </c>
      <c r="BE26" s="181"/>
      <c r="BF26" s="219">
        <v>1.0</v>
      </c>
      <c r="BG26" s="139">
        <f t="shared" si="16"/>
        <v>8</v>
      </c>
      <c r="BH26" s="208">
        <f t="shared" si="17"/>
        <v>57.14285714</v>
      </c>
      <c r="BI26" s="138">
        <v>1.0</v>
      </c>
      <c r="BJ26" s="138">
        <v>1.0</v>
      </c>
      <c r="BK26" s="180"/>
      <c r="BL26" s="116"/>
      <c r="BM26" s="116"/>
      <c r="BN26" s="116"/>
      <c r="BO26" s="116"/>
      <c r="BP26" s="116"/>
      <c r="BQ26" s="116"/>
      <c r="BR26" s="166"/>
      <c r="BS26" s="138">
        <v>1.0</v>
      </c>
      <c r="BT26" s="210">
        <v>1.0</v>
      </c>
      <c r="BU26" s="145">
        <v>1.0</v>
      </c>
      <c r="BV26" s="43"/>
      <c r="BW26" s="198"/>
      <c r="BX26" s="138">
        <v>1.0</v>
      </c>
      <c r="BY26" s="138">
        <v>1.0</v>
      </c>
      <c r="BZ26" s="165"/>
      <c r="CA26" s="116"/>
      <c r="CB26" s="138">
        <v>1.0</v>
      </c>
      <c r="CC26" s="200">
        <v>1.0</v>
      </c>
      <c r="CD26" s="196">
        <v>1.0</v>
      </c>
      <c r="CE26" s="124">
        <f t="shared" si="18"/>
        <v>10</v>
      </c>
      <c r="CF26" s="173">
        <f t="shared" si="19"/>
        <v>71.42857143</v>
      </c>
      <c r="CG26" s="116"/>
      <c r="CH26" s="116"/>
      <c r="CI26" s="116"/>
      <c r="CJ26" s="186"/>
      <c r="CK26" s="116"/>
      <c r="CL26" s="186"/>
      <c r="CM26" s="116"/>
      <c r="CN26" s="116"/>
      <c r="CO26" s="116"/>
      <c r="CP26" s="166"/>
      <c r="CQ26" s="213"/>
      <c r="CR26" s="213"/>
      <c r="CS26" s="116"/>
      <c r="CT26" s="213"/>
      <c r="CU26" s="213"/>
      <c r="CV26" s="213"/>
      <c r="CW26" s="128">
        <f t="shared" si="20"/>
        <v>0</v>
      </c>
      <c r="CX26" s="214">
        <f t="shared" si="21"/>
        <v>0</v>
      </c>
      <c r="CY26" s="171"/>
      <c r="CZ26" s="171"/>
      <c r="DA26" s="171"/>
      <c r="DB26" s="171"/>
      <c r="DC26" s="171"/>
      <c r="DD26" s="171"/>
      <c r="DE26" s="171"/>
      <c r="DF26" s="171"/>
      <c r="DG26" s="171"/>
      <c r="DH26" s="171"/>
      <c r="DI26" s="171"/>
      <c r="DJ26" s="171"/>
      <c r="DK26" s="128">
        <f t="shared" si="22"/>
        <v>0</v>
      </c>
      <c r="DL26" s="158" t="str">
        <f t="shared" si="23"/>
        <v>#DIV/0!</v>
      </c>
    </row>
    <row r="27" ht="15.75" customHeight="1">
      <c r="A27" s="146">
        <v>18.0</v>
      </c>
      <c r="B27" s="111" t="s">
        <v>86</v>
      </c>
      <c r="C27" s="112" t="s">
        <v>87</v>
      </c>
      <c r="D27" s="98">
        <f t="shared" si="8"/>
        <v>16</v>
      </c>
      <c r="E27" s="130">
        <f t="shared" si="9"/>
        <v>42.10526316</v>
      </c>
      <c r="F27" s="114">
        <f t="shared" si="10"/>
        <v>42.10526316</v>
      </c>
      <c r="G27" s="149" t="str">
        <f t="shared" si="11"/>
        <v>  </v>
      </c>
      <c r="H27" s="180"/>
      <c r="I27" s="180"/>
      <c r="J27" s="203"/>
      <c r="K27" s="180"/>
      <c r="L27" s="204"/>
      <c r="M27" s="139">
        <f t="shared" si="12"/>
        <v>0</v>
      </c>
      <c r="N27" s="140" t="str">
        <f t="shared" si="13"/>
        <v>#DIV/0!</v>
      </c>
      <c r="O27" s="116"/>
      <c r="P27" s="116"/>
      <c r="Q27" s="180"/>
      <c r="R27" s="179"/>
      <c r="S27" s="116"/>
      <c r="T27" s="116"/>
      <c r="U27" s="116"/>
      <c r="V27" s="179"/>
      <c r="W27" s="116"/>
      <c r="X27" s="116"/>
      <c r="Y27" s="179"/>
      <c r="Z27" s="185"/>
      <c r="AA27" s="217"/>
      <c r="AB27" s="116"/>
      <c r="AC27" s="179"/>
      <c r="AD27" s="116"/>
      <c r="AE27" s="116"/>
      <c r="AF27" s="182">
        <v>1.0</v>
      </c>
      <c r="AG27" s="176"/>
      <c r="AH27" s="176"/>
      <c r="AI27" s="116"/>
      <c r="AJ27" s="139">
        <f t="shared" si="14"/>
        <v>1</v>
      </c>
      <c r="AK27" s="205">
        <f t="shared" si="15"/>
        <v>14.28571429</v>
      </c>
      <c r="AL27" s="116"/>
      <c r="AM27" s="184">
        <v>1.0</v>
      </c>
      <c r="AN27" s="179"/>
      <c r="AO27" s="116"/>
      <c r="AP27" s="116"/>
      <c r="AQ27" s="116"/>
      <c r="AR27" s="138">
        <v>1.0</v>
      </c>
      <c r="AS27" s="166"/>
      <c r="AT27" s="116"/>
      <c r="AU27" s="116"/>
      <c r="AV27" s="116"/>
      <c r="AW27" s="179"/>
      <c r="AX27" s="116"/>
      <c r="AY27" s="116"/>
      <c r="AZ27" s="116"/>
      <c r="BA27" s="215">
        <v>1.0</v>
      </c>
      <c r="BB27" s="204"/>
      <c r="BC27" s="218"/>
      <c r="BD27" s="181"/>
      <c r="BE27" s="181"/>
      <c r="BF27" s="219">
        <v>1.0</v>
      </c>
      <c r="BG27" s="139">
        <f t="shared" si="16"/>
        <v>4</v>
      </c>
      <c r="BH27" s="208">
        <f t="shared" si="17"/>
        <v>28.57142857</v>
      </c>
      <c r="BI27" s="138">
        <v>1.0</v>
      </c>
      <c r="BJ27" s="116"/>
      <c r="BK27" s="180"/>
      <c r="BL27" s="116"/>
      <c r="BM27" s="116"/>
      <c r="BN27" s="116"/>
      <c r="BO27" s="138">
        <v>1.0</v>
      </c>
      <c r="BP27" s="116"/>
      <c r="BQ27" s="116"/>
      <c r="BR27" s="166"/>
      <c r="BS27" s="138">
        <v>1.0</v>
      </c>
      <c r="BT27" s="185"/>
      <c r="BU27" s="145">
        <v>1.0</v>
      </c>
      <c r="BV27" s="43"/>
      <c r="BW27" s="198"/>
      <c r="BX27" s="145">
        <v>1.0</v>
      </c>
      <c r="BY27" s="116"/>
      <c r="BZ27" s="196">
        <v>1.0</v>
      </c>
      <c r="CA27" s="116"/>
      <c r="CB27" s="116"/>
      <c r="CC27" s="200">
        <v>1.0</v>
      </c>
      <c r="CD27" s="196">
        <v>1.0</v>
      </c>
      <c r="CE27" s="124">
        <f t="shared" si="18"/>
        <v>8</v>
      </c>
      <c r="CF27" s="173">
        <f t="shared" si="19"/>
        <v>57.14285714</v>
      </c>
      <c r="CG27" s="138">
        <v>1.0</v>
      </c>
      <c r="CH27" s="138">
        <v>1.0</v>
      </c>
      <c r="CI27" s="200">
        <v>1.0</v>
      </c>
      <c r="CJ27" s="116"/>
      <c r="CK27" s="116"/>
      <c r="CL27" s="186"/>
      <c r="CM27" s="223"/>
      <c r="CN27" s="116"/>
      <c r="CO27" s="223"/>
      <c r="CP27" s="166"/>
      <c r="CQ27" s="213"/>
      <c r="CR27" s="213"/>
      <c r="CS27" s="213"/>
      <c r="CT27" s="116"/>
      <c r="CU27" s="213"/>
      <c r="CV27" s="213"/>
      <c r="CW27" s="128">
        <f t="shared" si="20"/>
        <v>3</v>
      </c>
      <c r="CX27" s="214">
        <f t="shared" si="21"/>
        <v>100</v>
      </c>
      <c r="CY27" s="171"/>
      <c r="CZ27" s="171"/>
      <c r="DA27" s="171"/>
      <c r="DB27" s="171"/>
      <c r="DC27" s="171"/>
      <c r="DD27" s="171"/>
      <c r="DE27" s="171"/>
      <c r="DF27" s="171"/>
      <c r="DG27" s="171"/>
      <c r="DH27" s="171"/>
      <c r="DI27" s="171"/>
      <c r="DJ27" s="171"/>
      <c r="DK27" s="128">
        <f t="shared" si="22"/>
        <v>0</v>
      </c>
      <c r="DL27" s="158" t="str">
        <f t="shared" si="23"/>
        <v>#DIV/0!</v>
      </c>
    </row>
    <row r="28" ht="15.75" customHeight="1">
      <c r="A28" s="50">
        <v>19.0</v>
      </c>
      <c r="B28" s="111" t="s">
        <v>88</v>
      </c>
      <c r="C28" s="112" t="s">
        <v>89</v>
      </c>
      <c r="D28" s="98">
        <f t="shared" si="8"/>
        <v>17</v>
      </c>
      <c r="E28" s="130">
        <f t="shared" si="9"/>
        <v>44.73684211</v>
      </c>
      <c r="F28" s="114">
        <f t="shared" si="10"/>
        <v>44.73684211</v>
      </c>
      <c r="G28" s="149" t="str">
        <f t="shared" si="11"/>
        <v>  </v>
      </c>
      <c r="H28" s="180"/>
      <c r="I28" s="180"/>
      <c r="J28" s="180"/>
      <c r="K28" s="180"/>
      <c r="L28" s="204"/>
      <c r="M28" s="139">
        <f t="shared" si="12"/>
        <v>0</v>
      </c>
      <c r="N28" s="140" t="str">
        <f t="shared" si="13"/>
        <v>#DIV/0!</v>
      </c>
      <c r="O28" s="116"/>
      <c r="P28" s="116"/>
      <c r="Q28" s="180"/>
      <c r="R28" s="179"/>
      <c r="S28" s="179"/>
      <c r="T28" s="116"/>
      <c r="U28" s="116"/>
      <c r="V28" s="179"/>
      <c r="W28" s="116"/>
      <c r="X28" s="116"/>
      <c r="Y28" s="179"/>
      <c r="Z28" s="185"/>
      <c r="AA28" s="217"/>
      <c r="AB28" s="138">
        <v>1.0</v>
      </c>
      <c r="AC28" s="179"/>
      <c r="AD28" s="176"/>
      <c r="AE28" s="116"/>
      <c r="AF28" s="176"/>
      <c r="AG28" s="182">
        <v>1.0</v>
      </c>
      <c r="AH28" s="116"/>
      <c r="AI28" s="116"/>
      <c r="AJ28" s="139">
        <f t="shared" si="14"/>
        <v>2</v>
      </c>
      <c r="AK28" s="205">
        <f t="shared" si="15"/>
        <v>28.57142857</v>
      </c>
      <c r="AL28" s="116"/>
      <c r="AM28" s="184">
        <v>1.0</v>
      </c>
      <c r="AN28" s="184">
        <v>1.0</v>
      </c>
      <c r="AO28" s="184">
        <v>1.0</v>
      </c>
      <c r="AP28" s="184">
        <v>1.0</v>
      </c>
      <c r="AQ28" s="116"/>
      <c r="AR28" s="116"/>
      <c r="AS28" s="166"/>
      <c r="AT28" s="116"/>
      <c r="AU28" s="116"/>
      <c r="AV28" s="138">
        <v>1.0</v>
      </c>
      <c r="AW28" s="179"/>
      <c r="AX28" s="116"/>
      <c r="AY28" s="116"/>
      <c r="AZ28" s="116"/>
      <c r="BA28" s="215">
        <v>1.0</v>
      </c>
      <c r="BB28" s="204"/>
      <c r="BC28" s="218">
        <v>1.0</v>
      </c>
      <c r="BD28" s="219">
        <v>1.0</v>
      </c>
      <c r="BE28" s="181"/>
      <c r="BF28" s="181"/>
      <c r="BG28" s="139">
        <f t="shared" si="16"/>
        <v>8</v>
      </c>
      <c r="BH28" s="208">
        <f t="shared" si="17"/>
        <v>57.14285714</v>
      </c>
      <c r="BI28" s="116"/>
      <c r="BJ28" s="138">
        <v>1.0</v>
      </c>
      <c r="BK28" s="180"/>
      <c r="BL28" s="116"/>
      <c r="BM28" s="116"/>
      <c r="BN28" s="116"/>
      <c r="BO28" s="138">
        <v>1.0</v>
      </c>
      <c r="BP28" s="116"/>
      <c r="BQ28" s="211"/>
      <c r="BR28" s="166"/>
      <c r="BS28" s="196">
        <v>1.0</v>
      </c>
      <c r="BT28" s="185"/>
      <c r="BU28" s="43"/>
      <c r="BV28" s="116"/>
      <c r="BW28" s="216">
        <v>1.0</v>
      </c>
      <c r="BX28" s="145">
        <v>1.0</v>
      </c>
      <c r="BY28" s="116"/>
      <c r="BZ28" s="165"/>
      <c r="CA28" s="116"/>
      <c r="CB28" s="116"/>
      <c r="CC28" s="186"/>
      <c r="CD28" s="165"/>
      <c r="CE28" s="124">
        <f t="shared" si="18"/>
        <v>5</v>
      </c>
      <c r="CF28" s="173">
        <f t="shared" si="19"/>
        <v>35.71428571</v>
      </c>
      <c r="CG28" s="184">
        <v>1.0</v>
      </c>
      <c r="CH28" s="138">
        <v>1.0</v>
      </c>
      <c r="CI28" s="116"/>
      <c r="CJ28" s="186"/>
      <c r="CK28" s="116"/>
      <c r="CL28" s="186"/>
      <c r="CM28" s="116"/>
      <c r="CN28" s="223"/>
      <c r="CO28" s="116"/>
      <c r="CP28" s="166"/>
      <c r="CQ28" s="213"/>
      <c r="CR28" s="213"/>
      <c r="CS28" s="213"/>
      <c r="CT28" s="116"/>
      <c r="CU28" s="116"/>
      <c r="CV28" s="213"/>
      <c r="CW28" s="128">
        <f t="shared" si="20"/>
        <v>2</v>
      </c>
      <c r="CX28" s="214">
        <f t="shared" si="21"/>
        <v>66.66666667</v>
      </c>
      <c r="CY28" s="171"/>
      <c r="CZ28" s="171"/>
      <c r="DA28" s="171"/>
      <c r="DB28" s="171"/>
      <c r="DC28" s="171"/>
      <c r="DD28" s="171"/>
      <c r="DE28" s="171"/>
      <c r="DF28" s="171"/>
      <c r="DG28" s="171"/>
      <c r="DH28" s="171"/>
      <c r="DI28" s="171"/>
      <c r="DJ28" s="171"/>
      <c r="DK28" s="128">
        <f t="shared" si="22"/>
        <v>0</v>
      </c>
      <c r="DL28" s="158" t="str">
        <f t="shared" si="23"/>
        <v>#DIV/0!</v>
      </c>
    </row>
    <row r="29" ht="15.75" customHeight="1">
      <c r="A29" s="131">
        <v>20.0</v>
      </c>
      <c r="B29" s="111" t="s">
        <v>90</v>
      </c>
      <c r="C29" s="112" t="s">
        <v>91</v>
      </c>
      <c r="D29" s="98">
        <f t="shared" si="8"/>
        <v>16</v>
      </c>
      <c r="E29" s="130">
        <f t="shared" si="9"/>
        <v>42.10526316</v>
      </c>
      <c r="F29" s="114">
        <f t="shared" si="10"/>
        <v>42.10526316</v>
      </c>
      <c r="G29" s="149" t="str">
        <f t="shared" si="11"/>
        <v>  </v>
      </c>
      <c r="H29" s="180"/>
      <c r="I29" s="180"/>
      <c r="J29" s="180"/>
      <c r="K29" s="180"/>
      <c r="L29" s="204"/>
      <c r="M29" s="139">
        <f t="shared" si="12"/>
        <v>0</v>
      </c>
      <c r="N29" s="140" t="str">
        <f t="shared" si="13"/>
        <v>#DIV/0!</v>
      </c>
      <c r="O29" s="116"/>
      <c r="P29" s="116"/>
      <c r="Q29" s="180"/>
      <c r="R29" s="179"/>
      <c r="S29" s="116"/>
      <c r="T29" s="116"/>
      <c r="U29" s="116"/>
      <c r="V29" s="179"/>
      <c r="W29" s="116"/>
      <c r="X29" s="116"/>
      <c r="Y29" s="179"/>
      <c r="Z29" s="185"/>
      <c r="AA29" s="217"/>
      <c r="AB29" s="116"/>
      <c r="AC29" s="184">
        <v>1.0</v>
      </c>
      <c r="AD29" s="176"/>
      <c r="AE29" s="116"/>
      <c r="AF29" s="176"/>
      <c r="AG29" s="182">
        <v>1.0</v>
      </c>
      <c r="AH29" s="116"/>
      <c r="AI29" s="176"/>
      <c r="AJ29" s="139">
        <f t="shared" si="14"/>
        <v>2</v>
      </c>
      <c r="AK29" s="205">
        <f t="shared" si="15"/>
        <v>28.57142857</v>
      </c>
      <c r="AL29" s="116"/>
      <c r="AM29" s="116"/>
      <c r="AN29" s="179"/>
      <c r="AO29" s="138">
        <v>1.0</v>
      </c>
      <c r="AP29" s="138">
        <v>1.0</v>
      </c>
      <c r="AQ29" s="116"/>
      <c r="AR29" s="116"/>
      <c r="AS29" s="191">
        <v>1.0</v>
      </c>
      <c r="AT29" s="116"/>
      <c r="AU29" s="116"/>
      <c r="AV29" s="116"/>
      <c r="AW29" s="179"/>
      <c r="AX29" s="116"/>
      <c r="AY29" s="116"/>
      <c r="AZ29" s="180"/>
      <c r="BA29" s="215">
        <v>1.0</v>
      </c>
      <c r="BB29" s="204"/>
      <c r="BC29" s="218">
        <v>1.0</v>
      </c>
      <c r="BD29" s="181"/>
      <c r="BE29" s="181"/>
      <c r="BF29" s="181"/>
      <c r="BG29" s="139">
        <f t="shared" si="16"/>
        <v>5</v>
      </c>
      <c r="BH29" s="208">
        <f t="shared" si="17"/>
        <v>35.71428571</v>
      </c>
      <c r="BI29" s="138">
        <v>1.0</v>
      </c>
      <c r="BJ29" s="215">
        <v>1.0</v>
      </c>
      <c r="BK29" s="180"/>
      <c r="BL29" s="116"/>
      <c r="BM29" s="116"/>
      <c r="BN29" s="116"/>
      <c r="BO29" s="138">
        <v>1.0</v>
      </c>
      <c r="BP29" s="116"/>
      <c r="BQ29" s="116"/>
      <c r="BR29" s="191">
        <v>1.0</v>
      </c>
      <c r="BS29" s="116"/>
      <c r="BT29" s="210">
        <v>1.0</v>
      </c>
      <c r="BU29" s="43"/>
      <c r="BV29" s="43"/>
      <c r="BW29" s="198"/>
      <c r="BX29" s="138">
        <v>1.0</v>
      </c>
      <c r="BY29" s="138">
        <v>1.0</v>
      </c>
      <c r="BZ29" s="165"/>
      <c r="CA29" s="116"/>
      <c r="CB29" s="116"/>
      <c r="CC29" s="186"/>
      <c r="CD29" s="196">
        <v>1.0</v>
      </c>
      <c r="CE29" s="124">
        <f t="shared" si="18"/>
        <v>8</v>
      </c>
      <c r="CF29" s="173">
        <f t="shared" si="19"/>
        <v>57.14285714</v>
      </c>
      <c r="CG29" s="138">
        <v>1.0</v>
      </c>
      <c r="CH29" s="116"/>
      <c r="CI29" s="186"/>
      <c r="CJ29" s="116"/>
      <c r="CK29" s="116"/>
      <c r="CL29" s="186"/>
      <c r="CM29" s="223"/>
      <c r="CN29" s="116"/>
      <c r="CO29" s="223"/>
      <c r="CP29" s="166"/>
      <c r="CQ29" s="213"/>
      <c r="CR29" s="213"/>
      <c r="CS29" s="116"/>
      <c r="CT29" s="213"/>
      <c r="CU29" s="213"/>
      <c r="CV29" s="213"/>
      <c r="CW29" s="128">
        <f t="shared" si="20"/>
        <v>1</v>
      </c>
      <c r="CX29" s="214">
        <f t="shared" si="21"/>
        <v>33.33333333</v>
      </c>
      <c r="CY29" s="171"/>
      <c r="CZ29" s="171"/>
      <c r="DA29" s="171"/>
      <c r="DB29" s="171"/>
      <c r="DC29" s="171"/>
      <c r="DD29" s="171"/>
      <c r="DE29" s="171"/>
      <c r="DF29" s="171"/>
      <c r="DG29" s="171"/>
      <c r="DH29" s="171"/>
      <c r="DI29" s="171"/>
      <c r="DJ29" s="171"/>
      <c r="DK29" s="128">
        <f t="shared" si="22"/>
        <v>0</v>
      </c>
      <c r="DL29" s="158" t="str">
        <f t="shared" si="23"/>
        <v>#DIV/0!</v>
      </c>
    </row>
    <row r="30" ht="15.75" customHeight="1">
      <c r="A30" s="146">
        <v>21.0</v>
      </c>
      <c r="B30" s="111" t="s">
        <v>92</v>
      </c>
      <c r="C30" s="112" t="s">
        <v>93</v>
      </c>
      <c r="D30" s="98">
        <f t="shared" si="8"/>
        <v>1</v>
      </c>
      <c r="E30" s="130">
        <f t="shared" si="9"/>
        <v>2.631578947</v>
      </c>
      <c r="F30" s="114">
        <f t="shared" si="10"/>
        <v>2.631578947</v>
      </c>
      <c r="G30" s="226">
        <f t="shared" si="11"/>
        <v>2.631578947</v>
      </c>
      <c r="H30" s="180"/>
      <c r="I30" s="180"/>
      <c r="J30" s="180"/>
      <c r="K30" s="180"/>
      <c r="L30" s="204"/>
      <c r="M30" s="139">
        <f t="shared" si="12"/>
        <v>0</v>
      </c>
      <c r="N30" s="140" t="str">
        <f t="shared" si="13"/>
        <v>#DIV/0!</v>
      </c>
      <c r="O30" s="116"/>
      <c r="P30" s="116"/>
      <c r="Q30" s="180"/>
      <c r="R30" s="179"/>
      <c r="S30" s="179"/>
      <c r="T30" s="116"/>
      <c r="U30" s="116"/>
      <c r="V30" s="179"/>
      <c r="W30" s="116"/>
      <c r="X30" s="116"/>
      <c r="Y30" s="179"/>
      <c r="Z30" s="185"/>
      <c r="AA30" s="217"/>
      <c r="AB30" s="116"/>
      <c r="AC30" s="179"/>
      <c r="AD30" s="176"/>
      <c r="AE30" s="176"/>
      <c r="AF30" s="176"/>
      <c r="AG30" s="176"/>
      <c r="AH30" s="176"/>
      <c r="AI30" s="176"/>
      <c r="AJ30" s="139">
        <f t="shared" si="14"/>
        <v>0</v>
      </c>
      <c r="AK30" s="205">
        <f t="shared" si="15"/>
        <v>0</v>
      </c>
      <c r="AL30" s="222"/>
      <c r="AM30" s="179"/>
      <c r="AN30" s="179"/>
      <c r="AO30" s="179"/>
      <c r="AP30" s="179"/>
      <c r="AQ30" s="116"/>
      <c r="AR30" s="116"/>
      <c r="AS30" s="166"/>
      <c r="AT30" s="116"/>
      <c r="AU30" s="116"/>
      <c r="AV30" s="116"/>
      <c r="AW30" s="179"/>
      <c r="AX30" s="116"/>
      <c r="AY30" s="116"/>
      <c r="AZ30" s="180"/>
      <c r="BA30" s="180"/>
      <c r="BB30" s="204"/>
      <c r="BC30" s="218"/>
      <c r="BD30" s="181"/>
      <c r="BE30" s="181"/>
      <c r="BF30" s="181"/>
      <c r="BG30" s="139">
        <f t="shared" si="16"/>
        <v>0</v>
      </c>
      <c r="BH30" s="208">
        <f t="shared" si="17"/>
        <v>0</v>
      </c>
      <c r="BI30" s="116"/>
      <c r="BJ30" s="180"/>
      <c r="BK30" s="180"/>
      <c r="BL30" s="116"/>
      <c r="BM30" s="116"/>
      <c r="BN30" s="116"/>
      <c r="BO30" s="116"/>
      <c r="BP30" s="116"/>
      <c r="BQ30" s="211"/>
      <c r="BR30" s="166"/>
      <c r="BS30" s="165"/>
      <c r="BT30" s="185"/>
      <c r="BU30" s="43"/>
      <c r="BV30" s="43"/>
      <c r="BW30" s="198"/>
      <c r="BX30" s="43"/>
      <c r="BY30" s="138">
        <v>1.0</v>
      </c>
      <c r="BZ30" s="165"/>
      <c r="CA30" s="165"/>
      <c r="CB30" s="165"/>
      <c r="CC30" s="186"/>
      <c r="CD30" s="165"/>
      <c r="CE30" s="124">
        <f t="shared" si="18"/>
        <v>1</v>
      </c>
      <c r="CF30" s="173">
        <f t="shared" si="19"/>
        <v>7.142857143</v>
      </c>
      <c r="CG30" s="179"/>
      <c r="CH30" s="238"/>
      <c r="CI30" s="186"/>
      <c r="CJ30" s="186"/>
      <c r="CK30" s="231"/>
      <c r="CL30" s="186"/>
      <c r="CM30" s="223"/>
      <c r="CN30" s="223"/>
      <c r="CO30" s="223"/>
      <c r="CP30" s="166"/>
      <c r="CQ30" s="213"/>
      <c r="CR30" s="213"/>
      <c r="CS30" s="213"/>
      <c r="CT30" s="213"/>
      <c r="CU30" s="213"/>
      <c r="CV30" s="213"/>
      <c r="CW30" s="128">
        <f t="shared" si="20"/>
        <v>0</v>
      </c>
      <c r="CX30" s="214">
        <f t="shared" si="21"/>
        <v>0</v>
      </c>
      <c r="CY30" s="171"/>
      <c r="CZ30" s="171"/>
      <c r="DA30" s="171"/>
      <c r="DB30" s="171"/>
      <c r="DC30" s="171"/>
      <c r="DD30" s="171"/>
      <c r="DE30" s="171"/>
      <c r="DF30" s="171"/>
      <c r="DG30" s="171"/>
      <c r="DH30" s="171"/>
      <c r="DI30" s="171"/>
      <c r="DJ30" s="171"/>
      <c r="DK30" s="128">
        <f t="shared" si="22"/>
        <v>0</v>
      </c>
      <c r="DL30" s="158" t="str">
        <f t="shared" si="23"/>
        <v>#DIV/0!</v>
      </c>
    </row>
    <row r="31" ht="15.75" customHeight="1">
      <c r="A31" s="50">
        <v>22.0</v>
      </c>
      <c r="B31" s="111" t="s">
        <v>94</v>
      </c>
      <c r="C31" s="112" t="s">
        <v>95</v>
      </c>
      <c r="D31" s="98">
        <f t="shared" si="8"/>
        <v>15</v>
      </c>
      <c r="E31" s="130">
        <f t="shared" si="9"/>
        <v>39.47368421</v>
      </c>
      <c r="F31" s="114">
        <f t="shared" si="10"/>
        <v>39.47368421</v>
      </c>
      <c r="G31" s="149" t="str">
        <f t="shared" si="11"/>
        <v>  </v>
      </c>
      <c r="H31" s="180"/>
      <c r="I31" s="203"/>
      <c r="J31" s="203"/>
      <c r="K31" s="180"/>
      <c r="L31" s="204"/>
      <c r="M31" s="139">
        <f t="shared" si="12"/>
        <v>0</v>
      </c>
      <c r="N31" s="140" t="str">
        <f t="shared" si="13"/>
        <v>#DIV/0!</v>
      </c>
      <c r="O31" s="116"/>
      <c r="P31" s="116"/>
      <c r="Q31" s="180"/>
      <c r="R31" s="179"/>
      <c r="S31" s="179"/>
      <c r="T31" s="116"/>
      <c r="U31" s="116"/>
      <c r="V31" s="179"/>
      <c r="W31" s="116"/>
      <c r="X31" s="116"/>
      <c r="Y31" s="179"/>
      <c r="Z31" s="185"/>
      <c r="AA31" s="217"/>
      <c r="AB31" s="116"/>
      <c r="AC31" s="179"/>
      <c r="AD31" s="176"/>
      <c r="AE31" s="116"/>
      <c r="AF31" s="176"/>
      <c r="AG31" s="176"/>
      <c r="AH31" s="176"/>
      <c r="AI31" s="176"/>
      <c r="AJ31" s="139">
        <f t="shared" si="14"/>
        <v>0</v>
      </c>
      <c r="AK31" s="205">
        <f t="shared" si="15"/>
        <v>0</v>
      </c>
      <c r="AL31" s="116"/>
      <c r="AM31" s="116"/>
      <c r="AN31" s="184">
        <v>1.0</v>
      </c>
      <c r="AO31" s="179"/>
      <c r="AP31" s="179"/>
      <c r="AQ31" s="116"/>
      <c r="AR31" s="138">
        <v>1.0</v>
      </c>
      <c r="AS31" s="191">
        <v>1.0</v>
      </c>
      <c r="AT31" s="116"/>
      <c r="AU31" s="116"/>
      <c r="AV31" s="116"/>
      <c r="AW31" s="179"/>
      <c r="AX31" s="138">
        <v>1.0</v>
      </c>
      <c r="AY31" s="116"/>
      <c r="AZ31" s="180"/>
      <c r="BA31" s="215">
        <v>1.0</v>
      </c>
      <c r="BB31" s="116"/>
      <c r="BC31" s="116"/>
      <c r="BD31" s="194"/>
      <c r="BE31" s="194"/>
      <c r="BF31" s="188">
        <v>1.0</v>
      </c>
      <c r="BG31" s="139">
        <f t="shared" si="16"/>
        <v>6</v>
      </c>
      <c r="BH31" s="208">
        <f t="shared" si="17"/>
        <v>42.85714286</v>
      </c>
      <c r="BI31" s="116"/>
      <c r="BJ31" s="138">
        <v>1.0</v>
      </c>
      <c r="BK31" s="180"/>
      <c r="BL31" s="116"/>
      <c r="BM31" s="116"/>
      <c r="BN31" s="116"/>
      <c r="BO31" s="138">
        <v>1.0</v>
      </c>
      <c r="BP31" s="116"/>
      <c r="BQ31" s="116"/>
      <c r="BR31" s="166"/>
      <c r="BS31" s="116"/>
      <c r="BT31" s="138">
        <v>1.0</v>
      </c>
      <c r="BU31" s="43"/>
      <c r="BV31" s="43"/>
      <c r="BW31" s="216">
        <v>1.0</v>
      </c>
      <c r="BX31" s="138">
        <v>1.0</v>
      </c>
      <c r="BY31" s="116"/>
      <c r="BZ31" s="196">
        <v>1.0</v>
      </c>
      <c r="CA31" s="116"/>
      <c r="CB31" s="196">
        <v>1.0</v>
      </c>
      <c r="CC31" s="186"/>
      <c r="CD31" s="196">
        <v>1.0</v>
      </c>
      <c r="CE31" s="124">
        <f t="shared" si="18"/>
        <v>8</v>
      </c>
      <c r="CF31" s="173">
        <f t="shared" si="19"/>
        <v>57.14285714</v>
      </c>
      <c r="CG31" s="138">
        <v>1.0</v>
      </c>
      <c r="CH31" s="238"/>
      <c r="CI31" s="116"/>
      <c r="CJ31" s="116"/>
      <c r="CK31" s="231"/>
      <c r="CL31" s="186"/>
      <c r="CM31" s="116"/>
      <c r="CN31" s="223"/>
      <c r="CO31" s="116"/>
      <c r="CP31" s="166"/>
      <c r="CQ31" s="213"/>
      <c r="CR31" s="213"/>
      <c r="CS31" s="213"/>
      <c r="CT31" s="213"/>
      <c r="CU31" s="213"/>
      <c r="CV31" s="213"/>
      <c r="CW31" s="128">
        <f t="shared" si="20"/>
        <v>1</v>
      </c>
      <c r="CX31" s="214">
        <f t="shared" si="21"/>
        <v>33.33333333</v>
      </c>
      <c r="CY31" s="171"/>
      <c r="CZ31" s="171"/>
      <c r="DA31" s="171"/>
      <c r="DB31" s="171"/>
      <c r="DC31" s="171"/>
      <c r="DD31" s="171"/>
      <c r="DE31" s="171"/>
      <c r="DF31" s="171"/>
      <c r="DG31" s="171"/>
      <c r="DH31" s="171"/>
      <c r="DI31" s="171"/>
      <c r="DJ31" s="171"/>
      <c r="DK31" s="128">
        <f t="shared" si="22"/>
        <v>0</v>
      </c>
      <c r="DL31" s="158" t="str">
        <f t="shared" si="23"/>
        <v>#DIV/0!</v>
      </c>
    </row>
    <row r="32" ht="15.75" customHeight="1">
      <c r="A32" s="131">
        <v>23.0</v>
      </c>
      <c r="B32" s="111" t="s">
        <v>96</v>
      </c>
      <c r="C32" s="112" t="s">
        <v>97</v>
      </c>
      <c r="D32" s="98">
        <f t="shared" si="8"/>
        <v>19</v>
      </c>
      <c r="E32" s="130">
        <f t="shared" si="9"/>
        <v>50</v>
      </c>
      <c r="F32" s="92" t="str">
        <f t="shared" si="10"/>
        <v>  </v>
      </c>
      <c r="G32" s="149" t="str">
        <f t="shared" si="11"/>
        <v>  </v>
      </c>
      <c r="H32" s="180"/>
      <c r="I32" s="203"/>
      <c r="J32" s="180"/>
      <c r="K32" s="180"/>
      <c r="L32" s="204"/>
      <c r="M32" s="139">
        <f t="shared" si="12"/>
        <v>0</v>
      </c>
      <c r="N32" s="140" t="str">
        <f t="shared" si="13"/>
        <v>#DIV/0!</v>
      </c>
      <c r="O32" s="116"/>
      <c r="P32" s="116"/>
      <c r="Q32" s="180"/>
      <c r="R32" s="179"/>
      <c r="S32" s="116"/>
      <c r="T32" s="116"/>
      <c r="U32" s="116"/>
      <c r="V32" s="179"/>
      <c r="W32" s="138">
        <v>1.0</v>
      </c>
      <c r="X32" s="116"/>
      <c r="Y32" s="179"/>
      <c r="Z32" s="185"/>
      <c r="AA32" s="217"/>
      <c r="AB32" s="138">
        <v>1.0</v>
      </c>
      <c r="AC32" s="184">
        <v>1.0</v>
      </c>
      <c r="AD32" s="116"/>
      <c r="AE32" s="116"/>
      <c r="AF32" s="182">
        <v>1.0</v>
      </c>
      <c r="AG32" s="182">
        <v>1.0</v>
      </c>
      <c r="AH32" s="176"/>
      <c r="AI32" s="116"/>
      <c r="AJ32" s="139">
        <f t="shared" si="14"/>
        <v>5</v>
      </c>
      <c r="AK32" s="205">
        <f t="shared" si="15"/>
        <v>71.42857143</v>
      </c>
      <c r="AL32" s="116"/>
      <c r="AM32" s="184">
        <v>1.0</v>
      </c>
      <c r="AN32" s="179"/>
      <c r="AO32" s="116"/>
      <c r="AP32" s="138">
        <v>1.0</v>
      </c>
      <c r="AQ32" s="116"/>
      <c r="AR32" s="138">
        <v>1.0</v>
      </c>
      <c r="AS32" s="166"/>
      <c r="AT32" s="116"/>
      <c r="AU32" s="116"/>
      <c r="AV32" s="116"/>
      <c r="AW32" s="179"/>
      <c r="AX32" s="116"/>
      <c r="AY32" s="116"/>
      <c r="AZ32" s="116"/>
      <c r="BA32" s="215">
        <v>1.0</v>
      </c>
      <c r="BB32" s="116"/>
      <c r="BC32" s="204"/>
      <c r="BD32" s="219">
        <v>1.0</v>
      </c>
      <c r="BE32" s="181"/>
      <c r="BF32" s="181"/>
      <c r="BG32" s="139">
        <f t="shared" si="16"/>
        <v>5</v>
      </c>
      <c r="BH32" s="208">
        <f t="shared" si="17"/>
        <v>35.71428571</v>
      </c>
      <c r="BI32" s="138">
        <v>1.0</v>
      </c>
      <c r="BJ32" s="116"/>
      <c r="BK32" s="180"/>
      <c r="BL32" s="116"/>
      <c r="BM32" s="116"/>
      <c r="BN32" s="116"/>
      <c r="BO32" s="116"/>
      <c r="BP32" s="116"/>
      <c r="BQ32" s="116"/>
      <c r="BR32" s="166"/>
      <c r="BS32" s="138">
        <v>1.0</v>
      </c>
      <c r="BT32" s="116"/>
      <c r="BU32" s="43"/>
      <c r="BV32" s="43"/>
      <c r="BW32" s="216">
        <v>1.0</v>
      </c>
      <c r="BX32" s="145">
        <v>1.0</v>
      </c>
      <c r="BY32" s="116"/>
      <c r="BZ32" s="196">
        <v>1.0</v>
      </c>
      <c r="CA32" s="165"/>
      <c r="CB32" s="165"/>
      <c r="CC32" s="200">
        <v>1.0</v>
      </c>
      <c r="CD32" s="196">
        <v>1.0</v>
      </c>
      <c r="CE32" s="124">
        <f t="shared" si="18"/>
        <v>7</v>
      </c>
      <c r="CF32" s="173">
        <f t="shared" si="19"/>
        <v>50</v>
      </c>
      <c r="CG32" s="184">
        <v>1.0</v>
      </c>
      <c r="CH32" s="230">
        <v>1.0</v>
      </c>
      <c r="CI32" s="186"/>
      <c r="CJ32" s="186"/>
      <c r="CK32" s="116"/>
      <c r="CL32" s="186"/>
      <c r="CM32" s="223"/>
      <c r="CN32" s="116"/>
      <c r="CO32" s="223"/>
      <c r="CP32" s="166"/>
      <c r="CQ32" s="213"/>
      <c r="CR32" s="213"/>
      <c r="CS32" s="116"/>
      <c r="CT32" s="116"/>
      <c r="CU32" s="213"/>
      <c r="CV32" s="213"/>
      <c r="CW32" s="128">
        <f t="shared" si="20"/>
        <v>2</v>
      </c>
      <c r="CX32" s="214">
        <f t="shared" si="21"/>
        <v>66.66666667</v>
      </c>
      <c r="CY32" s="171"/>
      <c r="CZ32" s="171"/>
      <c r="DA32" s="171"/>
      <c r="DB32" s="171"/>
      <c r="DC32" s="171"/>
      <c r="DD32" s="171"/>
      <c r="DE32" s="171"/>
      <c r="DF32" s="171"/>
      <c r="DG32" s="171"/>
      <c r="DH32" s="171"/>
      <c r="DI32" s="171"/>
      <c r="DJ32" s="171"/>
      <c r="DK32" s="128">
        <f t="shared" si="22"/>
        <v>0</v>
      </c>
      <c r="DL32" s="158" t="str">
        <f t="shared" si="23"/>
        <v>#DIV/0!</v>
      </c>
    </row>
    <row r="33" ht="15.75" customHeight="1">
      <c r="A33" s="146">
        <v>24.0</v>
      </c>
      <c r="B33" s="111" t="s">
        <v>98</v>
      </c>
      <c r="C33" s="112" t="s">
        <v>99</v>
      </c>
      <c r="D33" s="98">
        <f t="shared" si="8"/>
        <v>16</v>
      </c>
      <c r="E33" s="130">
        <f t="shared" si="9"/>
        <v>42.10526316</v>
      </c>
      <c r="F33" s="114">
        <f t="shared" si="10"/>
        <v>42.10526316</v>
      </c>
      <c r="G33" s="149" t="str">
        <f t="shared" si="11"/>
        <v>  </v>
      </c>
      <c r="H33" s="180"/>
      <c r="I33" s="203"/>
      <c r="J33" s="180"/>
      <c r="K33" s="180"/>
      <c r="L33" s="204"/>
      <c r="M33" s="139">
        <f t="shared" si="12"/>
        <v>0</v>
      </c>
      <c r="N33" s="140" t="str">
        <f t="shared" si="13"/>
        <v>#DIV/0!</v>
      </c>
      <c r="O33" s="116"/>
      <c r="P33" s="116"/>
      <c r="Q33" s="116"/>
      <c r="R33" s="207"/>
      <c r="S33" s="207"/>
      <c r="T33" s="116"/>
      <c r="U33" s="116"/>
      <c r="V33" s="207"/>
      <c r="W33" s="116"/>
      <c r="X33" s="116"/>
      <c r="Y33" s="207"/>
      <c r="Z33" s="210">
        <v>1.0</v>
      </c>
      <c r="AA33" s="187">
        <v>1.0</v>
      </c>
      <c r="AB33" s="138">
        <v>1.0</v>
      </c>
      <c r="AC33" s="207"/>
      <c r="AD33" s="116"/>
      <c r="AE33" s="206"/>
      <c r="AF33" s="209">
        <v>1.0</v>
      </c>
      <c r="AG33" s="209">
        <v>1.0</v>
      </c>
      <c r="AH33" s="206"/>
      <c r="AI33" s="206"/>
      <c r="AJ33" s="139">
        <f t="shared" si="14"/>
        <v>5</v>
      </c>
      <c r="AK33" s="205">
        <f t="shared" si="15"/>
        <v>71.42857143</v>
      </c>
      <c r="AL33" s="116"/>
      <c r="AM33" s="138">
        <v>1.0</v>
      </c>
      <c r="AN33" s="234">
        <v>1.0</v>
      </c>
      <c r="AO33" s="138">
        <v>1.0</v>
      </c>
      <c r="AP33" s="138">
        <v>1.0</v>
      </c>
      <c r="AQ33" s="116"/>
      <c r="AR33" s="116"/>
      <c r="AS33" s="191">
        <v>1.0</v>
      </c>
      <c r="AT33" s="116"/>
      <c r="AU33" s="116"/>
      <c r="AV33" s="116"/>
      <c r="AW33" s="207"/>
      <c r="AX33" s="138">
        <v>1.0</v>
      </c>
      <c r="AY33" s="116"/>
      <c r="AZ33" s="180"/>
      <c r="BA33" s="215">
        <v>1.0</v>
      </c>
      <c r="BB33" s="204"/>
      <c r="BC33" s="204"/>
      <c r="BD33" s="181"/>
      <c r="BE33" s="181"/>
      <c r="BF33" s="181"/>
      <c r="BG33" s="139">
        <f t="shared" si="16"/>
        <v>7</v>
      </c>
      <c r="BH33" s="208">
        <f t="shared" si="17"/>
        <v>50</v>
      </c>
      <c r="BI33" s="116"/>
      <c r="BJ33" s="180"/>
      <c r="BK33" s="180"/>
      <c r="BL33" s="116"/>
      <c r="BM33" s="116"/>
      <c r="BN33" s="116"/>
      <c r="BO33" s="138">
        <v>1.0</v>
      </c>
      <c r="BP33" s="116"/>
      <c r="BQ33" s="211"/>
      <c r="BR33" s="166"/>
      <c r="BS33" s="138"/>
      <c r="BT33" s="138">
        <v>1.0</v>
      </c>
      <c r="BU33" s="43"/>
      <c r="BV33" s="43"/>
      <c r="BW33" s="198"/>
      <c r="BX33" s="116"/>
      <c r="BY33" s="138">
        <v>1.0</v>
      </c>
      <c r="BZ33" s="165"/>
      <c r="CA33" s="165"/>
      <c r="CB33" s="165"/>
      <c r="CC33" s="186"/>
      <c r="CD33" s="196">
        <v>1.0</v>
      </c>
      <c r="CE33" s="124">
        <f t="shared" si="18"/>
        <v>4</v>
      </c>
      <c r="CF33" s="173">
        <f t="shared" si="19"/>
        <v>28.57142857</v>
      </c>
      <c r="CG33" s="207"/>
      <c r="CH33" s="238"/>
      <c r="CI33" s="116"/>
      <c r="CJ33" s="116"/>
      <c r="CK33" s="116"/>
      <c r="CL33" s="186"/>
      <c r="CM33" s="223"/>
      <c r="CN33" s="116"/>
      <c r="CO33" s="116"/>
      <c r="CP33" s="166"/>
      <c r="CQ33" s="213"/>
      <c r="CR33" s="213"/>
      <c r="CS33" s="116"/>
      <c r="CT33" s="116"/>
      <c r="CU33" s="116"/>
      <c r="CV33" s="213"/>
      <c r="CW33" s="128">
        <f t="shared" si="20"/>
        <v>0</v>
      </c>
      <c r="CX33" s="214">
        <f t="shared" si="21"/>
        <v>0</v>
      </c>
      <c r="CY33" s="171"/>
      <c r="CZ33" s="171"/>
      <c r="DA33" s="171"/>
      <c r="DB33" s="171"/>
      <c r="DC33" s="171"/>
      <c r="DD33" s="171"/>
      <c r="DE33" s="171"/>
      <c r="DF33" s="171"/>
      <c r="DG33" s="171"/>
      <c r="DH33" s="171"/>
      <c r="DI33" s="171"/>
      <c r="DJ33" s="171"/>
      <c r="DK33" s="128">
        <f t="shared" si="22"/>
        <v>0</v>
      </c>
      <c r="DL33" s="158" t="str">
        <f t="shared" si="23"/>
        <v>#DIV/0!</v>
      </c>
    </row>
    <row r="34" ht="15.75" customHeight="1">
      <c r="A34" s="50">
        <v>25.0</v>
      </c>
      <c r="B34" s="111" t="s">
        <v>100</v>
      </c>
      <c r="C34" s="112" t="s">
        <v>101</v>
      </c>
      <c r="D34" s="98">
        <f t="shared" si="8"/>
        <v>23</v>
      </c>
      <c r="E34" s="130">
        <f t="shared" si="9"/>
        <v>60.52631579</v>
      </c>
      <c r="F34" s="92" t="str">
        <f t="shared" si="10"/>
        <v>  </v>
      </c>
      <c r="G34" s="149" t="str">
        <f t="shared" si="11"/>
        <v>  </v>
      </c>
      <c r="H34" s="180"/>
      <c r="I34" s="221"/>
      <c r="J34" s="221"/>
      <c r="K34" s="180"/>
      <c r="L34" s="204"/>
      <c r="M34" s="139">
        <f t="shared" si="12"/>
        <v>0</v>
      </c>
      <c r="N34" s="140" t="str">
        <f t="shared" si="13"/>
        <v>#DIV/0!</v>
      </c>
      <c r="O34" s="116"/>
      <c r="P34" s="116"/>
      <c r="Q34" s="180"/>
      <c r="R34" s="207"/>
      <c r="S34" s="207"/>
      <c r="T34" s="116"/>
      <c r="U34" s="116"/>
      <c r="V34" s="207"/>
      <c r="W34" s="138">
        <v>1.0</v>
      </c>
      <c r="X34" s="116"/>
      <c r="Y34" s="207"/>
      <c r="Z34" s="185"/>
      <c r="AA34" s="187">
        <v>1.0</v>
      </c>
      <c r="AB34" s="138">
        <v>1.0</v>
      </c>
      <c r="AC34" s="234">
        <v>1.0</v>
      </c>
      <c r="AD34" s="116"/>
      <c r="AE34" s="116"/>
      <c r="AF34" s="209">
        <v>1.0</v>
      </c>
      <c r="AG34" s="209">
        <v>1.0</v>
      </c>
      <c r="AH34" s="206"/>
      <c r="AI34" s="116"/>
      <c r="AJ34" s="139">
        <f t="shared" si="14"/>
        <v>6</v>
      </c>
      <c r="AK34" s="205">
        <f t="shared" si="15"/>
        <v>85.71428571</v>
      </c>
      <c r="AL34" s="116"/>
      <c r="AM34" s="138">
        <v>1.0</v>
      </c>
      <c r="AN34" s="234">
        <v>1.0</v>
      </c>
      <c r="AO34" s="138">
        <v>1.0</v>
      </c>
      <c r="AP34" s="138">
        <v>1.0</v>
      </c>
      <c r="AQ34" s="116"/>
      <c r="AR34" s="138">
        <v>1.0</v>
      </c>
      <c r="AS34" s="166"/>
      <c r="AT34" s="116"/>
      <c r="AU34" s="116"/>
      <c r="AV34" s="116"/>
      <c r="AW34" s="207"/>
      <c r="AX34" s="116"/>
      <c r="AY34" s="116"/>
      <c r="AZ34" s="116"/>
      <c r="BA34" s="215">
        <v>1.0</v>
      </c>
      <c r="BB34" s="138">
        <v>1.0</v>
      </c>
      <c r="BC34" s="218">
        <v>1.0</v>
      </c>
      <c r="BD34" s="181"/>
      <c r="BE34" s="181"/>
      <c r="BF34" s="219">
        <v>1.0</v>
      </c>
      <c r="BG34" s="139">
        <f t="shared" si="16"/>
        <v>9</v>
      </c>
      <c r="BH34" s="208">
        <f t="shared" si="17"/>
        <v>64.28571429</v>
      </c>
      <c r="BI34" s="138">
        <v>1.0</v>
      </c>
      <c r="BJ34" s="138">
        <v>1.0</v>
      </c>
      <c r="BK34" s="180"/>
      <c r="BL34" s="116"/>
      <c r="BM34" s="116"/>
      <c r="BN34" s="116"/>
      <c r="BO34" s="138">
        <v>1.0</v>
      </c>
      <c r="BP34" s="116"/>
      <c r="BQ34" s="211"/>
      <c r="BR34" s="116"/>
      <c r="BS34" s="138">
        <v>1.0</v>
      </c>
      <c r="BT34" s="138">
        <v>1.0</v>
      </c>
      <c r="BU34" s="43"/>
      <c r="BV34" s="43"/>
      <c r="BW34" s="198"/>
      <c r="BX34" s="43"/>
      <c r="BY34" s="138">
        <v>1.0</v>
      </c>
      <c r="BZ34" s="196">
        <v>1.0</v>
      </c>
      <c r="CA34" s="116"/>
      <c r="CB34" s="165"/>
      <c r="CC34" s="186"/>
      <c r="CD34" s="196">
        <v>1.0</v>
      </c>
      <c r="CE34" s="124">
        <f t="shared" si="18"/>
        <v>8</v>
      </c>
      <c r="CF34" s="173">
        <f t="shared" si="19"/>
        <v>57.14285714</v>
      </c>
      <c r="CG34" s="116"/>
      <c r="CH34" s="116"/>
      <c r="CI34" s="186"/>
      <c r="CJ34" s="116"/>
      <c r="CK34" s="116"/>
      <c r="CL34" s="186"/>
      <c r="CM34" s="116"/>
      <c r="CN34" s="116"/>
      <c r="CO34" s="116"/>
      <c r="CP34" s="166"/>
      <c r="CQ34" s="213"/>
      <c r="CR34" s="213"/>
      <c r="CS34" s="116"/>
      <c r="CT34" s="116"/>
      <c r="CU34" s="116"/>
      <c r="CV34" s="213"/>
      <c r="CW34" s="128">
        <f t="shared" si="20"/>
        <v>0</v>
      </c>
      <c r="CX34" s="214">
        <f t="shared" si="21"/>
        <v>0</v>
      </c>
      <c r="CY34" s="171"/>
      <c r="CZ34" s="171"/>
      <c r="DA34" s="171"/>
      <c r="DB34" s="171"/>
      <c r="DC34" s="171"/>
      <c r="DD34" s="171"/>
      <c r="DE34" s="171"/>
      <c r="DF34" s="171"/>
      <c r="DG34" s="171"/>
      <c r="DH34" s="171"/>
      <c r="DI34" s="171"/>
      <c r="DJ34" s="171"/>
      <c r="DK34" s="128">
        <f t="shared" si="22"/>
        <v>0</v>
      </c>
      <c r="DL34" s="158" t="str">
        <f t="shared" si="23"/>
        <v>#DIV/0!</v>
      </c>
    </row>
    <row r="35" ht="15.75" customHeight="1">
      <c r="A35" s="131">
        <v>26.0</v>
      </c>
      <c r="B35" s="111" t="s">
        <v>102</v>
      </c>
      <c r="C35" s="112" t="s">
        <v>103</v>
      </c>
      <c r="D35" s="98">
        <f t="shared" si="8"/>
        <v>17</v>
      </c>
      <c r="E35" s="130">
        <f t="shared" si="9"/>
        <v>44.73684211</v>
      </c>
      <c r="F35" s="114">
        <f t="shared" si="10"/>
        <v>44.73684211</v>
      </c>
      <c r="G35" s="149" t="str">
        <f t="shared" si="11"/>
        <v>  </v>
      </c>
      <c r="H35" s="203"/>
      <c r="I35" s="180"/>
      <c r="J35" s="180"/>
      <c r="K35" s="180"/>
      <c r="L35" s="204"/>
      <c r="M35" s="139">
        <f t="shared" si="12"/>
        <v>0</v>
      </c>
      <c r="N35" s="140" t="str">
        <f t="shared" si="13"/>
        <v>#DIV/0!</v>
      </c>
      <c r="O35" s="116"/>
      <c r="P35" s="116"/>
      <c r="Q35" s="180"/>
      <c r="R35" s="179"/>
      <c r="S35" s="116"/>
      <c r="T35" s="116"/>
      <c r="U35" s="116"/>
      <c r="V35" s="179"/>
      <c r="W35" s="138">
        <v>1.0</v>
      </c>
      <c r="X35" s="116"/>
      <c r="Y35" s="179"/>
      <c r="Z35" s="185"/>
      <c r="AA35" s="217"/>
      <c r="AB35" s="138">
        <v>1.0</v>
      </c>
      <c r="AC35" s="184">
        <v>1.0</v>
      </c>
      <c r="AD35" s="116"/>
      <c r="AE35" s="116"/>
      <c r="AF35" s="182">
        <v>1.0</v>
      </c>
      <c r="AG35" s="176"/>
      <c r="AH35" s="176"/>
      <c r="AI35" s="176"/>
      <c r="AJ35" s="139">
        <f t="shared" si="14"/>
        <v>4</v>
      </c>
      <c r="AK35" s="205">
        <f t="shared" si="15"/>
        <v>57.14285714</v>
      </c>
      <c r="AL35" s="222"/>
      <c r="AM35" s="179"/>
      <c r="AN35" s="179"/>
      <c r="AO35" s="116"/>
      <c r="AP35" s="116"/>
      <c r="AQ35" s="116"/>
      <c r="AR35" s="138">
        <v>1.0</v>
      </c>
      <c r="AS35" s="166"/>
      <c r="AT35" s="116"/>
      <c r="AU35" s="116"/>
      <c r="AV35" s="116"/>
      <c r="AW35" s="179"/>
      <c r="AX35" s="116"/>
      <c r="AY35" s="116"/>
      <c r="AZ35" s="116"/>
      <c r="BA35" s="215">
        <v>1.0</v>
      </c>
      <c r="BB35" s="116"/>
      <c r="BC35" s="204"/>
      <c r="BD35" s="219">
        <v>1.0</v>
      </c>
      <c r="BE35" s="181"/>
      <c r="BF35" s="181"/>
      <c r="BG35" s="139">
        <f t="shared" si="16"/>
        <v>3</v>
      </c>
      <c r="BH35" s="208">
        <f t="shared" si="17"/>
        <v>21.42857143</v>
      </c>
      <c r="BI35" s="138">
        <v>1.0</v>
      </c>
      <c r="BJ35" s="116"/>
      <c r="BK35" s="180"/>
      <c r="BL35" s="116"/>
      <c r="BM35" s="116"/>
      <c r="BN35" s="116"/>
      <c r="BO35" s="116"/>
      <c r="BP35" s="116"/>
      <c r="BQ35" s="116"/>
      <c r="BR35" s="166"/>
      <c r="BS35" s="116"/>
      <c r="BT35" s="116"/>
      <c r="BU35" s="145">
        <v>1.0</v>
      </c>
      <c r="BV35" s="43"/>
      <c r="BW35" s="216">
        <v>1.0</v>
      </c>
      <c r="BX35" s="145">
        <v>1.0</v>
      </c>
      <c r="BY35" s="116"/>
      <c r="BZ35" s="196">
        <v>1.0</v>
      </c>
      <c r="CA35" s="116"/>
      <c r="CB35" s="116"/>
      <c r="CC35" s="200">
        <v>1.0</v>
      </c>
      <c r="CD35" s="196">
        <v>1.0</v>
      </c>
      <c r="CE35" s="124">
        <f t="shared" si="18"/>
        <v>7</v>
      </c>
      <c r="CF35" s="173">
        <f t="shared" si="19"/>
        <v>50</v>
      </c>
      <c r="CG35" s="184">
        <v>1.0</v>
      </c>
      <c r="CH35" s="138">
        <v>1.0</v>
      </c>
      <c r="CI35" s="200">
        <v>1.0</v>
      </c>
      <c r="CJ35" s="116"/>
      <c r="CK35" s="116"/>
      <c r="CL35" s="186"/>
      <c r="CM35" s="223"/>
      <c r="CN35" s="223"/>
      <c r="CO35" s="223"/>
      <c r="CP35" s="166"/>
      <c r="CQ35" s="213"/>
      <c r="CR35" s="213"/>
      <c r="CS35" s="213"/>
      <c r="CT35" s="213"/>
      <c r="CU35" s="213"/>
      <c r="CV35" s="213"/>
      <c r="CW35" s="128">
        <f t="shared" si="20"/>
        <v>3</v>
      </c>
      <c r="CX35" s="214">
        <f t="shared" si="21"/>
        <v>100</v>
      </c>
      <c r="CY35" s="171"/>
      <c r="CZ35" s="171"/>
      <c r="DA35" s="171"/>
      <c r="DB35" s="171"/>
      <c r="DC35" s="171"/>
      <c r="DD35" s="171"/>
      <c r="DE35" s="171"/>
      <c r="DF35" s="171"/>
      <c r="DG35" s="171"/>
      <c r="DH35" s="171"/>
      <c r="DI35" s="171"/>
      <c r="DJ35" s="171"/>
      <c r="DK35" s="128">
        <f t="shared" si="22"/>
        <v>0</v>
      </c>
      <c r="DL35" s="158" t="str">
        <f t="shared" si="23"/>
        <v>#DIV/0!</v>
      </c>
    </row>
    <row r="36" ht="15.75" customHeight="1">
      <c r="A36" s="146">
        <v>27.0</v>
      </c>
      <c r="B36" s="111" t="s">
        <v>104</v>
      </c>
      <c r="C36" s="112" t="s">
        <v>105</v>
      </c>
      <c r="D36" s="98">
        <f t="shared" si="8"/>
        <v>25</v>
      </c>
      <c r="E36" s="130">
        <f t="shared" si="9"/>
        <v>65.78947368</v>
      </c>
      <c r="F36" s="92" t="str">
        <f t="shared" si="10"/>
        <v>  </v>
      </c>
      <c r="G36" s="149" t="str">
        <f t="shared" si="11"/>
        <v>  </v>
      </c>
      <c r="H36" s="180"/>
      <c r="I36" s="180"/>
      <c r="J36" s="180"/>
      <c r="K36" s="180"/>
      <c r="L36" s="204"/>
      <c r="M36" s="139">
        <f t="shared" si="12"/>
        <v>0</v>
      </c>
      <c r="N36" s="140" t="str">
        <f t="shared" si="13"/>
        <v>#DIV/0!</v>
      </c>
      <c r="O36" s="116"/>
      <c r="P36" s="116"/>
      <c r="Q36" s="180"/>
      <c r="R36" s="179"/>
      <c r="S36" s="179"/>
      <c r="T36" s="116"/>
      <c r="U36" s="116"/>
      <c r="V36" s="179"/>
      <c r="W36" s="116"/>
      <c r="X36" s="116"/>
      <c r="Y36" s="179"/>
      <c r="Z36" s="185"/>
      <c r="AA36" s="187">
        <v>1.0</v>
      </c>
      <c r="AB36" s="138">
        <v>1.0</v>
      </c>
      <c r="AC36" s="184">
        <v>1.0</v>
      </c>
      <c r="AD36" s="116"/>
      <c r="AE36" s="116"/>
      <c r="AF36" s="176"/>
      <c r="AG36" s="182">
        <v>1.0</v>
      </c>
      <c r="AH36" s="116"/>
      <c r="AI36" s="176"/>
      <c r="AJ36" s="139">
        <f t="shared" si="14"/>
        <v>4</v>
      </c>
      <c r="AK36" s="205">
        <f t="shared" si="15"/>
        <v>57.14285714</v>
      </c>
      <c r="AL36" s="222"/>
      <c r="AM36" s="184">
        <v>1.0</v>
      </c>
      <c r="AN36" s="184">
        <v>1.0</v>
      </c>
      <c r="AO36" s="138">
        <v>1.0</v>
      </c>
      <c r="AP36" s="138">
        <v>1.0</v>
      </c>
      <c r="AQ36" s="116"/>
      <c r="AR36" s="138">
        <v>1.0</v>
      </c>
      <c r="AS36" s="191">
        <v>1.0</v>
      </c>
      <c r="AT36" s="116"/>
      <c r="AU36" s="116"/>
      <c r="AV36" s="138">
        <v>1.0</v>
      </c>
      <c r="AW36" s="179"/>
      <c r="AX36" s="138">
        <v>1.0</v>
      </c>
      <c r="AY36" s="116"/>
      <c r="AZ36" s="116"/>
      <c r="BA36" s="215">
        <v>1.0</v>
      </c>
      <c r="BB36" s="138">
        <v>1.0</v>
      </c>
      <c r="BC36" s="138">
        <v>1.0</v>
      </c>
      <c r="BD36" s="188">
        <v>1.0</v>
      </c>
      <c r="BE36" s="194"/>
      <c r="BF36" s="194"/>
      <c r="BG36" s="139">
        <f t="shared" si="16"/>
        <v>12</v>
      </c>
      <c r="BH36" s="208">
        <f t="shared" si="17"/>
        <v>85.71428571</v>
      </c>
      <c r="BI36" s="138">
        <v>1.0</v>
      </c>
      <c r="BJ36" s="116"/>
      <c r="BK36" s="180"/>
      <c r="BL36" s="116"/>
      <c r="BM36" s="116"/>
      <c r="BN36" s="116"/>
      <c r="BO36" s="138">
        <v>1.0</v>
      </c>
      <c r="BP36" s="116"/>
      <c r="BQ36" s="211"/>
      <c r="BR36" s="191">
        <v>1.0</v>
      </c>
      <c r="BS36" s="138">
        <v>1.0</v>
      </c>
      <c r="BT36" s="138">
        <v>1.0</v>
      </c>
      <c r="BU36" s="145">
        <v>1.0</v>
      </c>
      <c r="BV36" s="43"/>
      <c r="BW36" s="198"/>
      <c r="BX36" s="138">
        <v>1.0</v>
      </c>
      <c r="BY36" s="138">
        <v>1.0</v>
      </c>
      <c r="BZ36" s="165"/>
      <c r="CA36" s="116"/>
      <c r="CB36" s="165"/>
      <c r="CC36" s="186"/>
      <c r="CD36" s="196">
        <v>1.0</v>
      </c>
      <c r="CE36" s="124">
        <f t="shared" si="18"/>
        <v>9</v>
      </c>
      <c r="CF36" s="173">
        <f t="shared" si="19"/>
        <v>64.28571429</v>
      </c>
      <c r="CG36" s="116"/>
      <c r="CH36" s="238"/>
      <c r="CI36" s="186"/>
      <c r="CJ36" s="116"/>
      <c r="CK36" s="116"/>
      <c r="CL36" s="186"/>
      <c r="CM36" s="116"/>
      <c r="CN36" s="223"/>
      <c r="CO36" s="116"/>
      <c r="CP36" s="166"/>
      <c r="CQ36" s="213"/>
      <c r="CR36" s="213"/>
      <c r="CS36" s="116"/>
      <c r="CT36" s="213"/>
      <c r="CU36" s="213"/>
      <c r="CV36" s="213"/>
      <c r="CW36" s="128">
        <f t="shared" si="20"/>
        <v>0</v>
      </c>
      <c r="CX36" s="214">
        <f t="shared" si="21"/>
        <v>0</v>
      </c>
      <c r="CY36" s="171"/>
      <c r="CZ36" s="171"/>
      <c r="DA36" s="171"/>
      <c r="DB36" s="171"/>
      <c r="DC36" s="171"/>
      <c r="DD36" s="171"/>
      <c r="DE36" s="171"/>
      <c r="DF36" s="171"/>
      <c r="DG36" s="171"/>
      <c r="DH36" s="171"/>
      <c r="DI36" s="171"/>
      <c r="DJ36" s="171"/>
      <c r="DK36" s="128">
        <f t="shared" si="22"/>
        <v>0</v>
      </c>
      <c r="DL36" s="158" t="str">
        <f t="shared" si="23"/>
        <v>#DIV/0!</v>
      </c>
    </row>
    <row r="37" ht="15.75" customHeight="1">
      <c r="A37" s="50">
        <v>28.0</v>
      </c>
      <c r="B37" s="111" t="s">
        <v>106</v>
      </c>
      <c r="C37" s="112" t="s">
        <v>107</v>
      </c>
      <c r="D37" s="98">
        <f t="shared" si="8"/>
        <v>9</v>
      </c>
      <c r="E37" s="130">
        <f t="shared" si="9"/>
        <v>23.68421053</v>
      </c>
      <c r="F37" s="114">
        <f t="shared" si="10"/>
        <v>23.68421053</v>
      </c>
      <c r="G37" s="226">
        <f t="shared" si="11"/>
        <v>23.68421053</v>
      </c>
      <c r="H37" s="180"/>
      <c r="I37" s="203"/>
      <c r="J37" s="203"/>
      <c r="K37" s="203"/>
      <c r="L37" s="239"/>
      <c r="M37" s="139">
        <f t="shared" si="12"/>
        <v>0</v>
      </c>
      <c r="N37" s="140" t="str">
        <f t="shared" si="13"/>
        <v>#DIV/0!</v>
      </c>
      <c r="O37" s="116"/>
      <c r="P37" s="116"/>
      <c r="Q37" s="180"/>
      <c r="R37" s="179"/>
      <c r="S37" s="179"/>
      <c r="T37" s="116"/>
      <c r="U37" s="116"/>
      <c r="V37" s="179"/>
      <c r="W37" s="116"/>
      <c r="X37" s="116"/>
      <c r="Y37" s="179"/>
      <c r="Z37" s="185"/>
      <c r="AA37" s="217"/>
      <c r="AB37" s="116"/>
      <c r="AC37" s="179"/>
      <c r="AD37" s="176"/>
      <c r="AE37" s="176"/>
      <c r="AF37" s="176"/>
      <c r="AG37" s="176"/>
      <c r="AH37" s="176"/>
      <c r="AI37" s="176"/>
      <c r="AJ37" s="139">
        <f t="shared" si="14"/>
        <v>0</v>
      </c>
      <c r="AK37" s="205">
        <f t="shared" si="15"/>
        <v>0</v>
      </c>
      <c r="AL37" s="222"/>
      <c r="AM37" s="179"/>
      <c r="AN37" s="184">
        <v>1.0</v>
      </c>
      <c r="AO37" s="184">
        <v>1.0</v>
      </c>
      <c r="AP37" s="184">
        <v>1.0</v>
      </c>
      <c r="AQ37" s="116"/>
      <c r="AR37" s="116"/>
      <c r="AS37" s="166"/>
      <c r="AT37" s="116"/>
      <c r="AU37" s="116"/>
      <c r="AV37" s="138">
        <v>1.0</v>
      </c>
      <c r="AW37" s="179"/>
      <c r="AX37" s="116"/>
      <c r="AY37" s="116"/>
      <c r="AZ37" s="116"/>
      <c r="BA37" s="215">
        <v>1.0</v>
      </c>
      <c r="BB37" s="116"/>
      <c r="BC37" s="218">
        <v>1.0</v>
      </c>
      <c r="BD37" s="219">
        <v>1.0</v>
      </c>
      <c r="BE37" s="181"/>
      <c r="BF37" s="181"/>
      <c r="BG37" s="139">
        <f t="shared" si="16"/>
        <v>7</v>
      </c>
      <c r="BH37" s="208">
        <f t="shared" si="17"/>
        <v>50</v>
      </c>
      <c r="BI37" s="116"/>
      <c r="BJ37" s="116"/>
      <c r="BK37" s="180"/>
      <c r="BL37" s="116"/>
      <c r="BM37" s="116"/>
      <c r="BN37" s="116"/>
      <c r="BO37" s="138">
        <v>1.0</v>
      </c>
      <c r="BP37" s="116"/>
      <c r="BQ37" s="116"/>
      <c r="BR37" s="166"/>
      <c r="BS37" s="116"/>
      <c r="BT37" s="116"/>
      <c r="BV37" s="116"/>
      <c r="BW37" s="216">
        <v>1.0</v>
      </c>
      <c r="BX37" s="43"/>
      <c r="BY37" s="116"/>
      <c r="BZ37" s="165"/>
      <c r="CA37" s="116"/>
      <c r="CB37" s="116"/>
      <c r="CC37" s="186"/>
      <c r="CD37" s="165"/>
      <c r="CE37" s="124">
        <f t="shared" si="18"/>
        <v>2</v>
      </c>
      <c r="CF37" s="173">
        <f t="shared" si="19"/>
        <v>14.28571429</v>
      </c>
      <c r="CG37" s="179"/>
      <c r="CH37" s="116"/>
      <c r="CI37" s="116"/>
      <c r="CJ37" s="186"/>
      <c r="CK37" s="231"/>
      <c r="CL37" s="186"/>
      <c r="CM37" s="116"/>
      <c r="CN37" s="223"/>
      <c r="CO37" s="116"/>
      <c r="CP37" s="166"/>
      <c r="CQ37" s="213"/>
      <c r="CR37" s="213"/>
      <c r="CS37" s="213"/>
      <c r="CT37" s="116"/>
      <c r="CU37" s="116"/>
      <c r="CV37" s="213"/>
      <c r="CW37" s="128">
        <f t="shared" si="20"/>
        <v>0</v>
      </c>
      <c r="CX37" s="214">
        <f t="shared" si="21"/>
        <v>0</v>
      </c>
      <c r="CY37" s="171"/>
      <c r="CZ37" s="171"/>
      <c r="DA37" s="171"/>
      <c r="DB37" s="171"/>
      <c r="DC37" s="171"/>
      <c r="DD37" s="171"/>
      <c r="DE37" s="171"/>
      <c r="DF37" s="171"/>
      <c r="DG37" s="171"/>
      <c r="DH37" s="171"/>
      <c r="DI37" s="171"/>
      <c r="DJ37" s="171"/>
      <c r="DK37" s="128">
        <f t="shared" si="22"/>
        <v>0</v>
      </c>
      <c r="DL37" s="158" t="str">
        <f t="shared" si="23"/>
        <v>#DIV/0!</v>
      </c>
    </row>
    <row r="38" ht="15.75" customHeight="1">
      <c r="A38" s="131">
        <v>29.0</v>
      </c>
      <c r="B38" s="111" t="s">
        <v>108</v>
      </c>
      <c r="C38" s="112" t="s">
        <v>109</v>
      </c>
      <c r="D38" s="98">
        <f t="shared" si="8"/>
        <v>18</v>
      </c>
      <c r="E38" s="130">
        <f t="shared" si="9"/>
        <v>47.36842105</v>
      </c>
      <c r="F38" s="114">
        <f t="shared" si="10"/>
        <v>47.36842105</v>
      </c>
      <c r="G38" s="149" t="str">
        <f t="shared" si="11"/>
        <v>  </v>
      </c>
      <c r="H38" s="180"/>
      <c r="I38" s="203"/>
      <c r="J38" s="203"/>
      <c r="K38" s="203"/>
      <c r="L38" s="239"/>
      <c r="M38" s="139">
        <f t="shared" si="12"/>
        <v>0</v>
      </c>
      <c r="N38" s="140" t="str">
        <f t="shared" si="13"/>
        <v>#DIV/0!</v>
      </c>
      <c r="O38" s="116"/>
      <c r="P38" s="116"/>
      <c r="Q38" s="180"/>
      <c r="R38" s="179"/>
      <c r="S38" s="116"/>
      <c r="T38" s="116"/>
      <c r="U38" s="116"/>
      <c r="V38" s="179"/>
      <c r="W38" s="116"/>
      <c r="X38" s="116"/>
      <c r="Y38" s="179"/>
      <c r="Z38" s="185"/>
      <c r="AA38" s="217"/>
      <c r="AB38" s="138">
        <v>1.0</v>
      </c>
      <c r="AC38" s="184">
        <v>1.0</v>
      </c>
      <c r="AD38" s="176"/>
      <c r="AE38" s="116"/>
      <c r="AF38" s="182">
        <v>1.0</v>
      </c>
      <c r="AG38" s="182">
        <v>1.0</v>
      </c>
      <c r="AH38" s="116"/>
      <c r="AI38" s="116"/>
      <c r="AJ38" s="139">
        <f t="shared" si="14"/>
        <v>4</v>
      </c>
      <c r="AK38" s="205">
        <f t="shared" si="15"/>
        <v>57.14285714</v>
      </c>
      <c r="AL38" s="222"/>
      <c r="AM38" s="184">
        <v>1.0</v>
      </c>
      <c r="AN38" s="184">
        <v>1.0</v>
      </c>
      <c r="AO38" s="184">
        <v>1.0</v>
      </c>
      <c r="AP38" s="184">
        <v>1.0</v>
      </c>
      <c r="AQ38" s="116"/>
      <c r="AR38" s="138">
        <v>1.0</v>
      </c>
      <c r="AS38" s="166"/>
      <c r="AT38" s="116"/>
      <c r="AU38" s="116"/>
      <c r="AV38" s="116"/>
      <c r="AW38" s="179"/>
      <c r="AX38" s="116"/>
      <c r="AY38" s="116"/>
      <c r="AZ38" s="180"/>
      <c r="BA38" s="180"/>
      <c r="BB38" s="204"/>
      <c r="BC38" s="204"/>
      <c r="BD38" s="181"/>
      <c r="BE38" s="181"/>
      <c r="BF38" s="181"/>
      <c r="BG38" s="139">
        <f t="shared" si="16"/>
        <v>5</v>
      </c>
      <c r="BH38" s="208">
        <f t="shared" si="17"/>
        <v>35.71428571</v>
      </c>
      <c r="BI38" s="116"/>
      <c r="BJ38" s="116"/>
      <c r="BK38" s="180"/>
      <c r="BL38" s="116"/>
      <c r="BM38" s="116"/>
      <c r="BN38" s="116"/>
      <c r="BO38" s="116"/>
      <c r="BP38" s="116"/>
      <c r="BQ38" s="211"/>
      <c r="BR38" s="116"/>
      <c r="BS38" s="138">
        <v>1.0</v>
      </c>
      <c r="BT38" s="138">
        <v>1.0</v>
      </c>
      <c r="BU38" s="145">
        <v>1.0</v>
      </c>
      <c r="BV38" s="43"/>
      <c r="BW38" s="216">
        <v>1.0</v>
      </c>
      <c r="BX38" s="116"/>
      <c r="BY38" s="138">
        <v>1.0</v>
      </c>
      <c r="BZ38" s="196">
        <v>1.0</v>
      </c>
      <c r="CA38" s="116"/>
      <c r="CB38" s="116"/>
      <c r="CC38" s="200">
        <v>1.0</v>
      </c>
      <c r="CD38" s="196">
        <v>1.0</v>
      </c>
      <c r="CE38" s="124">
        <f t="shared" si="18"/>
        <v>8</v>
      </c>
      <c r="CF38" s="173">
        <f t="shared" si="19"/>
        <v>57.14285714</v>
      </c>
      <c r="CG38" s="138">
        <v>1.0</v>
      </c>
      <c r="CH38" s="116"/>
      <c r="CI38" s="186"/>
      <c r="CJ38" s="116"/>
      <c r="CK38" s="116"/>
      <c r="CL38" s="186"/>
      <c r="CM38" s="223"/>
      <c r="CN38" s="223"/>
      <c r="CO38" s="116"/>
      <c r="CP38" s="166"/>
      <c r="CQ38" s="213"/>
      <c r="CR38" s="213"/>
      <c r="CS38" s="116"/>
      <c r="CT38" s="116"/>
      <c r="CU38" s="213"/>
      <c r="CV38" s="213"/>
      <c r="CW38" s="128">
        <f t="shared" si="20"/>
        <v>1</v>
      </c>
      <c r="CX38" s="214">
        <f t="shared" si="21"/>
        <v>33.33333333</v>
      </c>
      <c r="CY38" s="171"/>
      <c r="CZ38" s="171"/>
      <c r="DA38" s="171"/>
      <c r="DB38" s="171"/>
      <c r="DC38" s="171"/>
      <c r="DD38" s="171"/>
      <c r="DE38" s="171"/>
      <c r="DF38" s="171"/>
      <c r="DG38" s="171"/>
      <c r="DH38" s="171"/>
      <c r="DI38" s="171"/>
      <c r="DJ38" s="171"/>
      <c r="DK38" s="128">
        <f t="shared" si="22"/>
        <v>0</v>
      </c>
      <c r="DL38" s="158" t="str">
        <f t="shared" si="23"/>
        <v>#DIV/0!</v>
      </c>
    </row>
    <row r="39" ht="15.75" customHeight="1">
      <c r="A39" s="146">
        <v>30.0</v>
      </c>
      <c r="B39" s="111" t="s">
        <v>110</v>
      </c>
      <c r="C39" s="112" t="s">
        <v>111</v>
      </c>
      <c r="D39" s="98">
        <f t="shared" si="8"/>
        <v>23</v>
      </c>
      <c r="E39" s="130">
        <f t="shared" si="9"/>
        <v>60.52631579</v>
      </c>
      <c r="F39" s="92" t="str">
        <f t="shared" si="10"/>
        <v>  </v>
      </c>
      <c r="G39" s="149" t="str">
        <f t="shared" si="11"/>
        <v>  </v>
      </c>
      <c r="H39" s="180"/>
      <c r="I39" s="203"/>
      <c r="J39" s="203"/>
      <c r="K39" s="203"/>
      <c r="L39" s="239"/>
      <c r="M39" s="139">
        <f t="shared" si="12"/>
        <v>0</v>
      </c>
      <c r="N39" s="140" t="str">
        <f t="shared" si="13"/>
        <v>#DIV/0!</v>
      </c>
      <c r="O39" s="116"/>
      <c r="P39" s="116"/>
      <c r="Q39" s="180"/>
      <c r="R39" s="179"/>
      <c r="S39" s="116"/>
      <c r="T39" s="116"/>
      <c r="U39" s="116"/>
      <c r="V39" s="179"/>
      <c r="W39" s="116"/>
      <c r="X39" s="116"/>
      <c r="Y39" s="179"/>
      <c r="Z39" s="185"/>
      <c r="AA39" s="217"/>
      <c r="AB39" s="116"/>
      <c r="AC39" s="179"/>
      <c r="AD39" s="116"/>
      <c r="AE39" s="176"/>
      <c r="AF39" s="182">
        <v>1.0</v>
      </c>
      <c r="AG39" s="182">
        <v>1.0</v>
      </c>
      <c r="AH39" s="176"/>
      <c r="AI39" s="176"/>
      <c r="AJ39" s="139">
        <f t="shared" si="14"/>
        <v>2</v>
      </c>
      <c r="AK39" s="205">
        <f t="shared" si="15"/>
        <v>28.57142857</v>
      </c>
      <c r="AL39" s="116"/>
      <c r="AM39" s="138">
        <v>1.0</v>
      </c>
      <c r="AN39" s="184">
        <v>1.0</v>
      </c>
      <c r="AO39" s="138">
        <v>1.0</v>
      </c>
      <c r="AP39" s="138">
        <v>1.0</v>
      </c>
      <c r="AQ39" s="116"/>
      <c r="AR39" s="138">
        <v>1.0</v>
      </c>
      <c r="AS39" s="191">
        <v>1.0</v>
      </c>
      <c r="AT39" s="116"/>
      <c r="AU39" s="116"/>
      <c r="AV39" s="116"/>
      <c r="AW39" s="179"/>
      <c r="AX39" s="116"/>
      <c r="AY39" s="116"/>
      <c r="AZ39" s="116"/>
      <c r="BA39" s="215">
        <v>1.0</v>
      </c>
      <c r="BB39" s="138">
        <v>1.0</v>
      </c>
      <c r="BC39" s="116"/>
      <c r="BD39" s="188">
        <v>1.0</v>
      </c>
      <c r="BE39" s="194"/>
      <c r="BF39" s="194"/>
      <c r="BG39" s="139">
        <f t="shared" si="16"/>
        <v>9</v>
      </c>
      <c r="BH39" s="208">
        <f t="shared" si="17"/>
        <v>64.28571429</v>
      </c>
      <c r="BI39" s="138">
        <v>1.0</v>
      </c>
      <c r="BJ39" s="138">
        <v>1.0</v>
      </c>
      <c r="BK39" s="180"/>
      <c r="BL39" s="116"/>
      <c r="BM39" s="116"/>
      <c r="BN39" s="116"/>
      <c r="BO39" s="138">
        <v>1.0</v>
      </c>
      <c r="BP39" s="116"/>
      <c r="BQ39" s="116"/>
      <c r="BR39" s="166"/>
      <c r="BS39" s="138">
        <v>1.0</v>
      </c>
      <c r="BT39" s="138">
        <v>1.0</v>
      </c>
      <c r="BU39" s="145">
        <v>1.0</v>
      </c>
      <c r="BV39" s="43"/>
      <c r="BW39" s="198"/>
      <c r="BX39" s="116"/>
      <c r="BY39" s="138">
        <v>1.0</v>
      </c>
      <c r="BZ39" s="196">
        <v>1.0</v>
      </c>
      <c r="CA39" s="116"/>
      <c r="CB39" s="138">
        <v>1.0</v>
      </c>
      <c r="CC39" s="200">
        <v>1.0</v>
      </c>
      <c r="CD39" s="196">
        <v>1.0</v>
      </c>
      <c r="CE39" s="124">
        <f t="shared" si="18"/>
        <v>11</v>
      </c>
      <c r="CF39" s="173">
        <f t="shared" si="19"/>
        <v>78.57142857</v>
      </c>
      <c r="CG39" s="184">
        <v>1.0</v>
      </c>
      <c r="CH39" s="238"/>
      <c r="CI39" s="186"/>
      <c r="CJ39" s="186"/>
      <c r="CK39" s="116"/>
      <c r="CL39" s="186"/>
      <c r="CM39" s="223"/>
      <c r="CN39" s="223"/>
      <c r="CO39" s="116"/>
      <c r="CP39" s="166"/>
      <c r="CQ39" s="213"/>
      <c r="CR39" s="213"/>
      <c r="CS39" s="213"/>
      <c r="CT39" s="213"/>
      <c r="CU39" s="213"/>
      <c r="CV39" s="213"/>
      <c r="CW39" s="128">
        <f t="shared" si="20"/>
        <v>1</v>
      </c>
      <c r="CX39" s="214">
        <f t="shared" si="21"/>
        <v>33.33333333</v>
      </c>
      <c r="CY39" s="171"/>
      <c r="CZ39" s="171"/>
      <c r="DA39" s="171"/>
      <c r="DB39" s="171"/>
      <c r="DC39" s="171"/>
      <c r="DD39" s="171"/>
      <c r="DE39" s="171"/>
      <c r="DF39" s="171"/>
      <c r="DG39" s="171"/>
      <c r="DH39" s="171"/>
      <c r="DI39" s="171"/>
      <c r="DJ39" s="171"/>
      <c r="DK39" s="128">
        <f t="shared" si="22"/>
        <v>0</v>
      </c>
      <c r="DL39" s="158" t="str">
        <f t="shared" si="23"/>
        <v>#DIV/0!</v>
      </c>
    </row>
    <row r="40" ht="15.75" customHeight="1">
      <c r="A40" s="50">
        <v>31.0</v>
      </c>
      <c r="B40" s="111" t="s">
        <v>112</v>
      </c>
      <c r="C40" s="112" t="s">
        <v>113</v>
      </c>
      <c r="D40" s="98">
        <f t="shared" si="8"/>
        <v>20</v>
      </c>
      <c r="E40" s="130">
        <f t="shared" si="9"/>
        <v>52.63157895</v>
      </c>
      <c r="F40" s="114" t="str">
        <f t="shared" si="10"/>
        <v>  </v>
      </c>
      <c r="G40" s="149" t="str">
        <f t="shared" si="11"/>
        <v>  </v>
      </c>
      <c r="H40" s="180"/>
      <c r="I40" s="180"/>
      <c r="J40" s="180"/>
      <c r="K40" s="180"/>
      <c r="L40" s="204"/>
      <c r="M40" s="139">
        <f t="shared" si="12"/>
        <v>0</v>
      </c>
      <c r="N40" s="140" t="str">
        <f t="shared" si="13"/>
        <v>#DIV/0!</v>
      </c>
      <c r="O40" s="116"/>
      <c r="P40" s="116"/>
      <c r="Q40" s="116"/>
      <c r="R40" s="207"/>
      <c r="S40" s="116"/>
      <c r="T40" s="116"/>
      <c r="U40" s="116"/>
      <c r="V40" s="207"/>
      <c r="W40" s="138">
        <v>1.0</v>
      </c>
      <c r="X40" s="116"/>
      <c r="Y40" s="207"/>
      <c r="Z40" s="210">
        <v>1.0</v>
      </c>
      <c r="AA40" s="187">
        <v>1.0</v>
      </c>
      <c r="AB40" s="138">
        <v>1.0</v>
      </c>
      <c r="AC40" s="207"/>
      <c r="AD40" s="116"/>
      <c r="AE40" s="116"/>
      <c r="AF40" s="209">
        <v>1.0</v>
      </c>
      <c r="AG40" s="209">
        <v>1.0</v>
      </c>
      <c r="AH40" s="116"/>
      <c r="AI40" s="116"/>
      <c r="AJ40" s="139">
        <f t="shared" si="14"/>
        <v>6</v>
      </c>
      <c r="AK40" s="205">
        <f t="shared" si="15"/>
        <v>85.71428571</v>
      </c>
      <c r="AL40" s="236"/>
      <c r="AM40" s="138">
        <v>1.0</v>
      </c>
      <c r="AN40" s="207"/>
      <c r="AO40" s="116"/>
      <c r="AP40" s="116"/>
      <c r="AQ40" s="116"/>
      <c r="AR40" s="138">
        <v>1.0</v>
      </c>
      <c r="AS40" s="191">
        <v>1.0</v>
      </c>
      <c r="AT40" s="116"/>
      <c r="AU40" s="116"/>
      <c r="AV40" s="116"/>
      <c r="AW40" s="207"/>
      <c r="AX40" s="116"/>
      <c r="AY40" s="116"/>
      <c r="AZ40" s="116"/>
      <c r="BA40" s="215">
        <v>1.0</v>
      </c>
      <c r="BB40" s="116"/>
      <c r="BC40" s="116"/>
      <c r="BD40" s="194"/>
      <c r="BE40" s="194"/>
      <c r="BF40" s="188">
        <v>1.0</v>
      </c>
      <c r="BG40" s="139">
        <f t="shared" si="16"/>
        <v>5</v>
      </c>
      <c r="BH40" s="208">
        <f t="shared" si="17"/>
        <v>35.71428571</v>
      </c>
      <c r="BI40" s="138">
        <v>1.0</v>
      </c>
      <c r="BJ40" s="116"/>
      <c r="BK40" s="180"/>
      <c r="BL40" s="116"/>
      <c r="BM40" s="116"/>
      <c r="BN40" s="116"/>
      <c r="BO40" s="138">
        <v>1.0</v>
      </c>
      <c r="BP40" s="116"/>
      <c r="BQ40" s="116"/>
      <c r="BR40" s="191">
        <v>1.0</v>
      </c>
      <c r="BS40" s="196">
        <v>1.0</v>
      </c>
      <c r="BT40" s="116"/>
      <c r="BV40" s="116"/>
      <c r="BW40" s="216">
        <v>1.0</v>
      </c>
      <c r="BX40" s="116"/>
      <c r="BY40" s="116"/>
      <c r="BZ40" s="165"/>
      <c r="CA40" s="116"/>
      <c r="CB40" s="138">
        <v>1.0</v>
      </c>
      <c r="CC40" s="186"/>
      <c r="CD40" s="196">
        <v>1.0</v>
      </c>
      <c r="CE40" s="124">
        <f t="shared" si="18"/>
        <v>7</v>
      </c>
      <c r="CF40" s="173">
        <f t="shared" si="19"/>
        <v>50</v>
      </c>
      <c r="CG40" s="138">
        <v>1.0</v>
      </c>
      <c r="CH40" s="230">
        <v>1.0</v>
      </c>
      <c r="CI40" s="186"/>
      <c r="CJ40" s="116"/>
      <c r="CK40" s="116"/>
      <c r="CL40" s="186"/>
      <c r="CM40" s="223"/>
      <c r="CN40" s="116"/>
      <c r="CO40" s="116"/>
      <c r="CP40" s="166"/>
      <c r="CQ40" s="213"/>
      <c r="CR40" s="213"/>
      <c r="CS40" s="116"/>
      <c r="CT40" s="116"/>
      <c r="CU40" s="116"/>
      <c r="CV40" s="213"/>
      <c r="CW40" s="128">
        <f t="shared" si="20"/>
        <v>2</v>
      </c>
      <c r="CX40" s="214">
        <f t="shared" si="21"/>
        <v>66.66666667</v>
      </c>
      <c r="CY40" s="171"/>
      <c r="CZ40" s="171"/>
      <c r="DA40" s="171"/>
      <c r="DB40" s="171"/>
      <c r="DC40" s="171"/>
      <c r="DD40" s="171"/>
      <c r="DE40" s="171"/>
      <c r="DF40" s="171"/>
      <c r="DG40" s="171"/>
      <c r="DH40" s="171"/>
      <c r="DI40" s="171"/>
      <c r="DJ40" s="171"/>
      <c r="DK40" s="128">
        <f t="shared" si="22"/>
        <v>0</v>
      </c>
      <c r="DL40" s="158" t="str">
        <f t="shared" si="23"/>
        <v>#DIV/0!</v>
      </c>
    </row>
    <row r="41" ht="15.75" customHeight="1">
      <c r="A41" s="131">
        <v>32.0</v>
      </c>
      <c r="B41" s="111" t="s">
        <v>114</v>
      </c>
      <c r="C41" s="112" t="s">
        <v>115</v>
      </c>
      <c r="D41" s="98">
        <f t="shared" si="8"/>
        <v>25</v>
      </c>
      <c r="E41" s="130">
        <f t="shared" si="9"/>
        <v>65.78947368</v>
      </c>
      <c r="F41" s="92" t="str">
        <f t="shared" si="10"/>
        <v>  </v>
      </c>
      <c r="G41" s="149" t="str">
        <f t="shared" si="11"/>
        <v>  </v>
      </c>
      <c r="H41" s="180"/>
      <c r="I41" s="180"/>
      <c r="J41" s="180"/>
      <c r="K41" s="180"/>
      <c r="L41" s="204"/>
      <c r="M41" s="139">
        <f t="shared" si="12"/>
        <v>0</v>
      </c>
      <c r="N41" s="140" t="str">
        <f t="shared" si="13"/>
        <v>#DIV/0!</v>
      </c>
      <c r="O41" s="116"/>
      <c r="P41" s="116"/>
      <c r="Q41" s="180"/>
      <c r="R41" s="179"/>
      <c r="S41" s="179"/>
      <c r="T41" s="116"/>
      <c r="U41" s="116"/>
      <c r="V41" s="179"/>
      <c r="W41" s="138">
        <v>1.0</v>
      </c>
      <c r="X41" s="116"/>
      <c r="Y41" s="179"/>
      <c r="Z41" s="185"/>
      <c r="AA41" s="187">
        <v>1.0</v>
      </c>
      <c r="AB41" s="116"/>
      <c r="AC41" s="184">
        <v>1.0</v>
      </c>
      <c r="AD41" s="116"/>
      <c r="AE41" s="116"/>
      <c r="AF41" s="182">
        <v>1.0</v>
      </c>
      <c r="AG41" s="182">
        <v>1.0</v>
      </c>
      <c r="AH41" s="116"/>
      <c r="AI41" s="116"/>
      <c r="AJ41" s="139">
        <f t="shared" si="14"/>
        <v>5</v>
      </c>
      <c r="AK41" s="205">
        <f t="shared" si="15"/>
        <v>71.42857143</v>
      </c>
      <c r="AL41" s="116"/>
      <c r="AM41" s="138">
        <v>1.0</v>
      </c>
      <c r="AN41" s="184">
        <v>1.0</v>
      </c>
      <c r="AO41" s="138">
        <v>1.0</v>
      </c>
      <c r="AP41" s="138">
        <v>1.0</v>
      </c>
      <c r="AQ41" s="138">
        <v>1.0</v>
      </c>
      <c r="AR41" s="138">
        <v>1.0</v>
      </c>
      <c r="AS41" s="166"/>
      <c r="AT41" s="116"/>
      <c r="AU41" s="116"/>
      <c r="AV41" s="116"/>
      <c r="AW41" s="179"/>
      <c r="AX41" s="116"/>
      <c r="AY41" s="116"/>
      <c r="AZ41" s="116"/>
      <c r="BA41" s="215">
        <v>1.0</v>
      </c>
      <c r="BB41" s="116"/>
      <c r="BC41" s="138">
        <v>1.0</v>
      </c>
      <c r="BD41" s="194"/>
      <c r="BE41" s="194"/>
      <c r="BF41" s="188">
        <v>1.0</v>
      </c>
      <c r="BG41" s="139">
        <f t="shared" si="16"/>
        <v>9</v>
      </c>
      <c r="BH41" s="208">
        <f t="shared" si="17"/>
        <v>64.28571429</v>
      </c>
      <c r="BI41" s="138">
        <v>1.0</v>
      </c>
      <c r="BJ41" s="138">
        <v>1.0</v>
      </c>
      <c r="BK41" s="180"/>
      <c r="BL41" s="116"/>
      <c r="BM41" s="116"/>
      <c r="BN41" s="116"/>
      <c r="BO41" s="138">
        <v>1.0</v>
      </c>
      <c r="BP41" s="116"/>
      <c r="BQ41" s="116"/>
      <c r="BR41" s="116"/>
      <c r="BS41" s="138">
        <v>1.0</v>
      </c>
      <c r="BT41" s="210">
        <v>1.0</v>
      </c>
      <c r="BU41" s="43"/>
      <c r="BV41" s="43"/>
      <c r="BW41" s="216">
        <v>1.0</v>
      </c>
      <c r="BX41" s="138">
        <v>1.0</v>
      </c>
      <c r="BY41" s="138">
        <v>1.0</v>
      </c>
      <c r="BZ41" s="196">
        <v>1.0</v>
      </c>
      <c r="CA41" s="116"/>
      <c r="CB41" s="116"/>
      <c r="CC41" s="200">
        <v>1.0</v>
      </c>
      <c r="CD41" s="196">
        <v>1.0</v>
      </c>
      <c r="CE41" s="124">
        <f t="shared" si="18"/>
        <v>11</v>
      </c>
      <c r="CF41" s="173">
        <f t="shared" si="19"/>
        <v>78.57142857</v>
      </c>
      <c r="CG41" s="116"/>
      <c r="CH41" s="116"/>
      <c r="CI41" s="186"/>
      <c r="CJ41" s="116"/>
      <c r="CK41" s="116"/>
      <c r="CL41" s="186"/>
      <c r="CM41" s="223"/>
      <c r="CN41" s="116"/>
      <c r="CO41" s="116"/>
      <c r="CP41" s="166"/>
      <c r="CQ41" s="213"/>
      <c r="CR41" s="213"/>
      <c r="CS41" s="116"/>
      <c r="CT41" s="116"/>
      <c r="CU41" s="213"/>
      <c r="CV41" s="213"/>
      <c r="CW41" s="128">
        <f t="shared" si="20"/>
        <v>0</v>
      </c>
      <c r="CX41" s="214">
        <f t="shared" si="21"/>
        <v>0</v>
      </c>
      <c r="CY41" s="171"/>
      <c r="CZ41" s="171"/>
      <c r="DA41" s="171"/>
      <c r="DB41" s="171"/>
      <c r="DC41" s="171"/>
      <c r="DD41" s="171"/>
      <c r="DE41" s="171"/>
      <c r="DF41" s="171"/>
      <c r="DG41" s="171"/>
      <c r="DH41" s="171"/>
      <c r="DI41" s="171"/>
      <c r="DJ41" s="171"/>
      <c r="DK41" s="128">
        <f t="shared" si="22"/>
        <v>0</v>
      </c>
      <c r="DL41" s="158" t="str">
        <f t="shared" si="23"/>
        <v>#DIV/0!</v>
      </c>
    </row>
    <row r="42" ht="15.75" customHeight="1">
      <c r="A42" s="146">
        <v>33.0</v>
      </c>
      <c r="B42" s="111" t="s">
        <v>116</v>
      </c>
      <c r="C42" s="112" t="s">
        <v>117</v>
      </c>
      <c r="D42" s="98">
        <f t="shared" si="8"/>
        <v>12</v>
      </c>
      <c r="E42" s="130">
        <f t="shared" si="9"/>
        <v>31.57894737</v>
      </c>
      <c r="F42" s="114">
        <f t="shared" si="10"/>
        <v>31.57894737</v>
      </c>
      <c r="G42" s="226" t="str">
        <f t="shared" si="11"/>
        <v>  </v>
      </c>
      <c r="H42" s="203"/>
      <c r="I42" s="203"/>
      <c r="J42" s="203"/>
      <c r="K42" s="180"/>
      <c r="L42" s="204"/>
      <c r="M42" s="139">
        <f t="shared" si="12"/>
        <v>0</v>
      </c>
      <c r="N42" s="140" t="str">
        <f t="shared" si="13"/>
        <v>#DIV/0!</v>
      </c>
      <c r="O42" s="116"/>
      <c r="P42" s="116"/>
      <c r="Q42" s="180"/>
      <c r="R42" s="179"/>
      <c r="S42" s="179"/>
      <c r="T42" s="116"/>
      <c r="U42" s="116"/>
      <c r="V42" s="179"/>
      <c r="W42" s="116"/>
      <c r="X42" s="116"/>
      <c r="Y42" s="179"/>
      <c r="Z42" s="185"/>
      <c r="AA42" s="217"/>
      <c r="AB42" s="138">
        <v>1.0</v>
      </c>
      <c r="AC42" s="179"/>
      <c r="AD42" s="176"/>
      <c r="AE42" s="176"/>
      <c r="AF42" s="176"/>
      <c r="AG42" s="176"/>
      <c r="AH42" s="176"/>
      <c r="AI42" s="176"/>
      <c r="AJ42" s="139">
        <f t="shared" si="14"/>
        <v>1</v>
      </c>
      <c r="AK42" s="205">
        <f t="shared" si="15"/>
        <v>14.28571429</v>
      </c>
      <c r="AL42" s="222"/>
      <c r="AM42" s="116"/>
      <c r="AN42" s="184">
        <v>1.0</v>
      </c>
      <c r="AO42" s="179"/>
      <c r="AP42" s="179"/>
      <c r="AQ42" s="138">
        <v>1.0</v>
      </c>
      <c r="AR42" s="138">
        <v>1.0</v>
      </c>
      <c r="AS42" s="191">
        <v>1.0</v>
      </c>
      <c r="AT42" s="116"/>
      <c r="AU42" s="116"/>
      <c r="AV42" s="116"/>
      <c r="AW42" s="179"/>
      <c r="AX42" s="116"/>
      <c r="AY42" s="116"/>
      <c r="AZ42" s="180"/>
      <c r="BA42" s="215">
        <v>1.0</v>
      </c>
      <c r="BB42" s="204"/>
      <c r="BC42" s="204"/>
      <c r="BD42" s="181"/>
      <c r="BE42" s="181"/>
      <c r="BF42" s="181"/>
      <c r="BG42" s="139">
        <f t="shared" si="16"/>
        <v>5</v>
      </c>
      <c r="BH42" s="208">
        <f t="shared" si="17"/>
        <v>35.71428571</v>
      </c>
      <c r="BI42" s="116"/>
      <c r="BJ42" s="180"/>
      <c r="BK42" s="180"/>
      <c r="BL42" s="116"/>
      <c r="BM42" s="116"/>
      <c r="BN42" s="116"/>
      <c r="BO42" s="116"/>
      <c r="BP42" s="116"/>
      <c r="BQ42" s="211"/>
      <c r="BR42" s="166"/>
      <c r="BS42" s="196">
        <v>1.0</v>
      </c>
      <c r="BT42" s="210">
        <v>1.0</v>
      </c>
      <c r="BU42" s="43"/>
      <c r="BV42" s="43"/>
      <c r="BW42" s="216">
        <v>1.0</v>
      </c>
      <c r="BX42" s="145">
        <v>1.0</v>
      </c>
      <c r="BY42" s="138">
        <v>1.0</v>
      </c>
      <c r="BZ42" s="165"/>
      <c r="CA42" s="165"/>
      <c r="CB42" s="165"/>
      <c r="CC42" s="186"/>
      <c r="CD42" s="196">
        <v>1.0</v>
      </c>
      <c r="CE42" s="124">
        <f t="shared" si="18"/>
        <v>6</v>
      </c>
      <c r="CF42" s="173">
        <f t="shared" si="19"/>
        <v>42.85714286</v>
      </c>
      <c r="CG42" s="179"/>
      <c r="CH42" s="238"/>
      <c r="CI42" s="186"/>
      <c r="CJ42" s="186"/>
      <c r="CK42" s="116"/>
      <c r="CL42" s="186"/>
      <c r="CM42" s="223"/>
      <c r="CN42" s="223"/>
      <c r="CO42" s="223"/>
      <c r="CP42" s="166"/>
      <c r="CQ42" s="213"/>
      <c r="CR42" s="213"/>
      <c r="CS42" s="116"/>
      <c r="CT42" s="116"/>
      <c r="CU42" s="213"/>
      <c r="CV42" s="213"/>
      <c r="CW42" s="128">
        <f t="shared" si="20"/>
        <v>0</v>
      </c>
      <c r="CX42" s="214">
        <f t="shared" si="21"/>
        <v>0</v>
      </c>
      <c r="CY42" s="171"/>
      <c r="CZ42" s="171"/>
      <c r="DA42" s="171"/>
      <c r="DB42" s="171"/>
      <c r="DC42" s="171"/>
      <c r="DD42" s="171"/>
      <c r="DE42" s="171"/>
      <c r="DF42" s="171"/>
      <c r="DG42" s="171"/>
      <c r="DH42" s="171"/>
      <c r="DI42" s="171"/>
      <c r="DJ42" s="171"/>
      <c r="DK42" s="128">
        <f t="shared" si="22"/>
        <v>0</v>
      </c>
      <c r="DL42" s="158" t="str">
        <f t="shared" si="23"/>
        <v>#DIV/0!</v>
      </c>
    </row>
    <row r="43" ht="15.75" customHeight="1">
      <c r="A43" s="50">
        <v>34.0</v>
      </c>
      <c r="B43" s="111" t="s">
        <v>118</v>
      </c>
      <c r="C43" s="112" t="s">
        <v>119</v>
      </c>
      <c r="D43" s="98">
        <f t="shared" si="8"/>
        <v>1</v>
      </c>
      <c r="E43" s="130">
        <f t="shared" si="9"/>
        <v>2.631578947</v>
      </c>
      <c r="F43" s="114">
        <f t="shared" si="10"/>
        <v>2.631578947</v>
      </c>
      <c r="G43" s="226">
        <f t="shared" si="11"/>
        <v>2.631578947</v>
      </c>
      <c r="H43" s="180"/>
      <c r="I43" s="180"/>
      <c r="J43" s="180"/>
      <c r="K43" s="203"/>
      <c r="L43" s="239"/>
      <c r="M43" s="139">
        <f t="shared" si="12"/>
        <v>0</v>
      </c>
      <c r="N43" s="140" t="str">
        <f t="shared" si="13"/>
        <v>#DIV/0!</v>
      </c>
      <c r="O43" s="116"/>
      <c r="P43" s="116"/>
      <c r="Q43" s="180"/>
      <c r="R43" s="179"/>
      <c r="S43" s="116"/>
      <c r="T43" s="116"/>
      <c r="U43" s="116"/>
      <c r="V43" s="179"/>
      <c r="W43" s="116"/>
      <c r="X43" s="116"/>
      <c r="Y43" s="179"/>
      <c r="Z43" s="185"/>
      <c r="AA43" s="217"/>
      <c r="AB43" s="116"/>
      <c r="AC43" s="179"/>
      <c r="AD43" s="176"/>
      <c r="AE43" s="176"/>
      <c r="AF43" s="176"/>
      <c r="AG43" s="176"/>
      <c r="AH43" s="176"/>
      <c r="AI43" s="176"/>
      <c r="AJ43" s="139">
        <f t="shared" si="14"/>
        <v>0</v>
      </c>
      <c r="AK43" s="205">
        <f t="shared" si="15"/>
        <v>0</v>
      </c>
      <c r="AL43" s="222"/>
      <c r="AM43" s="179"/>
      <c r="AN43" s="184">
        <v>1.0</v>
      </c>
      <c r="AO43" s="179"/>
      <c r="AP43" s="179"/>
      <c r="AQ43" s="116"/>
      <c r="AR43" s="116"/>
      <c r="AS43" s="166"/>
      <c r="AT43" s="116"/>
      <c r="AU43" s="116"/>
      <c r="AV43" s="116"/>
      <c r="AW43" s="179"/>
      <c r="AX43" s="116"/>
      <c r="AY43" s="116"/>
      <c r="AZ43" s="180"/>
      <c r="BA43" s="180"/>
      <c r="BB43" s="204"/>
      <c r="BC43" s="204"/>
      <c r="BD43" s="181"/>
      <c r="BE43" s="181"/>
      <c r="BF43" s="181"/>
      <c r="BG43" s="139">
        <f t="shared" si="16"/>
        <v>1</v>
      </c>
      <c r="BH43" s="208">
        <f t="shared" si="17"/>
        <v>7.142857143</v>
      </c>
      <c r="BI43" s="116"/>
      <c r="BJ43" s="116"/>
      <c r="BK43" s="180"/>
      <c r="BL43" s="116"/>
      <c r="BM43" s="116"/>
      <c r="BN43" s="116"/>
      <c r="BO43" s="116"/>
      <c r="BP43" s="116"/>
      <c r="BQ43" s="116"/>
      <c r="BR43" s="166"/>
      <c r="BS43" s="165"/>
      <c r="BT43" s="116"/>
      <c r="BU43" s="43"/>
      <c r="BV43" s="43"/>
      <c r="BW43" s="198"/>
      <c r="BX43" s="43"/>
      <c r="BY43" s="116"/>
      <c r="BZ43" s="165"/>
      <c r="CA43" s="165"/>
      <c r="CB43" s="165"/>
      <c r="CC43" s="186"/>
      <c r="CD43" s="165"/>
      <c r="CE43" s="124">
        <f t="shared" si="18"/>
        <v>0</v>
      </c>
      <c r="CF43" s="173">
        <f t="shared" si="19"/>
        <v>0</v>
      </c>
      <c r="CG43" s="179"/>
      <c r="CH43" s="238"/>
      <c r="CI43" s="186"/>
      <c r="CJ43" s="116"/>
      <c r="CK43" s="231"/>
      <c r="CL43" s="186"/>
      <c r="CM43" s="223"/>
      <c r="CN43" s="223"/>
      <c r="CO43" s="116"/>
      <c r="CP43" s="166"/>
      <c r="CQ43" s="213"/>
      <c r="CR43" s="213"/>
      <c r="CS43" s="213"/>
      <c r="CT43" s="213"/>
      <c r="CU43" s="116"/>
      <c r="CV43" s="213"/>
      <c r="CW43" s="128">
        <f t="shared" si="20"/>
        <v>0</v>
      </c>
      <c r="CX43" s="214">
        <f t="shared" si="21"/>
        <v>0</v>
      </c>
      <c r="CY43" s="171"/>
      <c r="CZ43" s="171"/>
      <c r="DA43" s="171"/>
      <c r="DB43" s="171"/>
      <c r="DC43" s="171"/>
      <c r="DD43" s="171"/>
      <c r="DE43" s="171"/>
      <c r="DF43" s="171"/>
      <c r="DG43" s="171"/>
      <c r="DH43" s="171"/>
      <c r="DI43" s="171"/>
      <c r="DJ43" s="171"/>
      <c r="DK43" s="128">
        <f t="shared" si="22"/>
        <v>0</v>
      </c>
      <c r="DL43" s="158" t="str">
        <f t="shared" si="23"/>
        <v>#DIV/0!</v>
      </c>
    </row>
    <row r="44" ht="15.75" customHeight="1">
      <c r="A44" s="131">
        <v>35.0</v>
      </c>
      <c r="B44" s="111" t="s">
        <v>120</v>
      </c>
      <c r="C44" s="112" t="s">
        <v>121</v>
      </c>
      <c r="D44" s="98">
        <f t="shared" si="8"/>
        <v>14</v>
      </c>
      <c r="E44" s="130">
        <f t="shared" si="9"/>
        <v>36.84210526</v>
      </c>
      <c r="F44" s="114">
        <f t="shared" si="10"/>
        <v>36.84210526</v>
      </c>
      <c r="G44" s="149" t="str">
        <f t="shared" si="11"/>
        <v>  </v>
      </c>
      <c r="H44" s="180"/>
      <c r="I44" s="180"/>
      <c r="J44" s="221"/>
      <c r="K44" s="180"/>
      <c r="L44" s="204"/>
      <c r="M44" s="139">
        <f t="shared" si="12"/>
        <v>0</v>
      </c>
      <c r="N44" s="140" t="str">
        <f t="shared" si="13"/>
        <v>#DIV/0!</v>
      </c>
      <c r="O44" s="116"/>
      <c r="P44" s="116"/>
      <c r="Q44" s="116"/>
      <c r="R44" s="186"/>
      <c r="S44" s="186"/>
      <c r="T44" s="116"/>
      <c r="U44" s="116"/>
      <c r="V44" s="186"/>
      <c r="W44" s="116"/>
      <c r="X44" s="116"/>
      <c r="Y44" s="186"/>
      <c r="Z44" s="185"/>
      <c r="AA44" s="217"/>
      <c r="AB44" s="138">
        <v>1.0</v>
      </c>
      <c r="AC44" s="200">
        <v>1.0</v>
      </c>
      <c r="AD44" s="195"/>
      <c r="AE44" s="195"/>
      <c r="AF44" s="195"/>
      <c r="AG44" s="197">
        <v>1.0</v>
      </c>
      <c r="AH44" s="195"/>
      <c r="AI44" s="195"/>
      <c r="AJ44" s="139">
        <f t="shared" si="14"/>
        <v>3</v>
      </c>
      <c r="AK44" s="205">
        <f t="shared" si="15"/>
        <v>42.85714286</v>
      </c>
      <c r="AL44" s="225"/>
      <c r="AM44" s="186"/>
      <c r="AN44" s="186"/>
      <c r="AO44" s="200">
        <v>1.0</v>
      </c>
      <c r="AP44" s="200">
        <v>1.0</v>
      </c>
      <c r="AQ44" s="116"/>
      <c r="AR44" s="138">
        <v>1.0</v>
      </c>
      <c r="AS44" s="191">
        <v>1.0</v>
      </c>
      <c r="AT44" s="116"/>
      <c r="AU44" s="116"/>
      <c r="AV44" s="138">
        <v>1.0</v>
      </c>
      <c r="AW44" s="186"/>
      <c r="AX44" s="116"/>
      <c r="AY44" s="116"/>
      <c r="AZ44" s="180"/>
      <c r="BA44" s="215">
        <v>1.0</v>
      </c>
      <c r="BB44" s="218">
        <v>1.0</v>
      </c>
      <c r="BC44" s="218">
        <v>1.0</v>
      </c>
      <c r="BD44" s="219">
        <v>1.0</v>
      </c>
      <c r="BE44" s="181"/>
      <c r="BF44" s="181"/>
      <c r="BG44" s="139">
        <f t="shared" si="16"/>
        <v>9</v>
      </c>
      <c r="BH44" s="208">
        <f t="shared" si="17"/>
        <v>64.28571429</v>
      </c>
      <c r="BI44" s="138">
        <v>1.0</v>
      </c>
      <c r="BJ44" s="116"/>
      <c r="BK44" s="180"/>
      <c r="BL44" s="116"/>
      <c r="BM44" s="116"/>
      <c r="BN44" s="116"/>
      <c r="BO44" s="116"/>
      <c r="BP44" s="116"/>
      <c r="BQ44" s="211"/>
      <c r="BR44" s="166"/>
      <c r="BS44" s="165"/>
      <c r="BT44" s="210">
        <v>1.0</v>
      </c>
      <c r="BU44" s="43"/>
      <c r="BV44" s="43"/>
      <c r="BW44" s="198"/>
      <c r="BX44" s="43"/>
      <c r="BY44" s="116"/>
      <c r="BZ44" s="165"/>
      <c r="CA44" s="116"/>
      <c r="CB44" s="165"/>
      <c r="CC44" s="186"/>
      <c r="CD44" s="165"/>
      <c r="CE44" s="124">
        <f t="shared" si="18"/>
        <v>2</v>
      </c>
      <c r="CF44" s="173">
        <f t="shared" si="19"/>
        <v>14.28571429</v>
      </c>
      <c r="CG44" s="186"/>
      <c r="CH44" s="116"/>
      <c r="CI44" s="116"/>
      <c r="CJ44" s="186"/>
      <c r="CK44" s="231"/>
      <c r="CL44" s="186"/>
      <c r="CM44" s="223"/>
      <c r="CN44" s="223"/>
      <c r="CO44" s="223"/>
      <c r="CP44" s="166"/>
      <c r="CQ44" s="213"/>
      <c r="CR44" s="213"/>
      <c r="CS44" s="116"/>
      <c r="CT44" s="116"/>
      <c r="CU44" s="116"/>
      <c r="CV44" s="213"/>
      <c r="CW44" s="128">
        <f t="shared" si="20"/>
        <v>0</v>
      </c>
      <c r="CX44" s="214">
        <f t="shared" si="21"/>
        <v>0</v>
      </c>
      <c r="CY44" s="171"/>
      <c r="CZ44" s="171"/>
      <c r="DA44" s="171"/>
      <c r="DB44" s="171"/>
      <c r="DC44" s="171"/>
      <c r="DD44" s="171"/>
      <c r="DE44" s="171"/>
      <c r="DF44" s="171"/>
      <c r="DG44" s="171"/>
      <c r="DH44" s="171"/>
      <c r="DI44" s="171"/>
      <c r="DJ44" s="171"/>
      <c r="DK44" s="128">
        <f t="shared" si="22"/>
        <v>0</v>
      </c>
      <c r="DL44" s="158" t="str">
        <f t="shared" si="23"/>
        <v>#DIV/0!</v>
      </c>
    </row>
    <row r="45" ht="15.75" customHeight="1">
      <c r="A45" s="146">
        <v>36.0</v>
      </c>
      <c r="B45" s="111" t="s">
        <v>122</v>
      </c>
      <c r="C45" s="112" t="s">
        <v>123</v>
      </c>
      <c r="D45" s="98">
        <f t="shared" si="8"/>
        <v>21</v>
      </c>
      <c r="E45" s="130">
        <f t="shared" si="9"/>
        <v>55.26315789</v>
      </c>
      <c r="F45" s="92" t="str">
        <f t="shared" si="10"/>
        <v>  </v>
      </c>
      <c r="G45" s="149" t="str">
        <f t="shared" si="11"/>
        <v>  </v>
      </c>
      <c r="H45" s="180"/>
      <c r="I45" s="180"/>
      <c r="J45" s="180"/>
      <c r="K45" s="180"/>
      <c r="L45" s="204"/>
      <c r="M45" s="139">
        <f t="shared" si="12"/>
        <v>0</v>
      </c>
      <c r="N45" s="140" t="str">
        <f t="shared" si="13"/>
        <v>#DIV/0!</v>
      </c>
      <c r="O45" s="116"/>
      <c r="P45" s="116"/>
      <c r="Q45" s="180"/>
      <c r="R45" s="186"/>
      <c r="S45" s="116"/>
      <c r="T45" s="116"/>
      <c r="U45" s="116"/>
      <c r="V45" s="186"/>
      <c r="W45" s="138">
        <v>1.0</v>
      </c>
      <c r="X45" s="116"/>
      <c r="Y45" s="186"/>
      <c r="Z45" s="185"/>
      <c r="AA45" s="187">
        <v>1.0</v>
      </c>
      <c r="AB45" s="138">
        <v>1.0</v>
      </c>
      <c r="AC45" s="200">
        <v>1.0</v>
      </c>
      <c r="AD45" s="116"/>
      <c r="AE45" s="116"/>
      <c r="AF45" s="197">
        <v>1.0</v>
      </c>
      <c r="AG45" s="197">
        <v>1.0</v>
      </c>
      <c r="AH45" s="116"/>
      <c r="AI45" s="116"/>
      <c r="AJ45" s="139">
        <f t="shared" si="14"/>
        <v>6</v>
      </c>
      <c r="AK45" s="205">
        <f t="shared" si="15"/>
        <v>85.71428571</v>
      </c>
      <c r="AL45" s="225"/>
      <c r="AM45" s="186"/>
      <c r="AN45" s="186"/>
      <c r="AO45" s="184">
        <v>1.0</v>
      </c>
      <c r="AP45" s="184">
        <v>1.0</v>
      </c>
      <c r="AQ45" s="116"/>
      <c r="AR45" s="138">
        <v>1.0</v>
      </c>
      <c r="AS45" s="166"/>
      <c r="AT45" s="116"/>
      <c r="AU45" s="116"/>
      <c r="AV45" s="116"/>
      <c r="AW45" s="186"/>
      <c r="AX45" s="116"/>
      <c r="AY45" s="116"/>
      <c r="AZ45" s="116"/>
      <c r="BA45" s="215">
        <v>1.0</v>
      </c>
      <c r="BB45" s="138">
        <v>1.0</v>
      </c>
      <c r="BC45" s="138">
        <v>1.0</v>
      </c>
      <c r="BD45" s="194"/>
      <c r="BE45" s="194"/>
      <c r="BF45" s="188">
        <v>1.0</v>
      </c>
      <c r="BG45" s="139">
        <f t="shared" si="16"/>
        <v>7</v>
      </c>
      <c r="BH45" s="208">
        <f t="shared" si="17"/>
        <v>50</v>
      </c>
      <c r="BI45" s="116"/>
      <c r="BJ45" s="215">
        <v>1.0</v>
      </c>
      <c r="BK45" s="180"/>
      <c r="BL45" s="116"/>
      <c r="BM45" s="116"/>
      <c r="BN45" s="116"/>
      <c r="BO45" s="138">
        <v>1.0</v>
      </c>
      <c r="BP45" s="116"/>
      <c r="BQ45" s="211"/>
      <c r="BR45" s="116"/>
      <c r="BS45" s="138">
        <v>1.0</v>
      </c>
      <c r="BT45" s="138">
        <v>1.0</v>
      </c>
      <c r="BU45" s="145">
        <v>1.0</v>
      </c>
      <c r="BV45" s="43"/>
      <c r="BW45" s="198"/>
      <c r="BX45" s="116"/>
      <c r="BY45" s="138">
        <v>1.0</v>
      </c>
      <c r="BZ45" s="196">
        <v>1.0</v>
      </c>
      <c r="CA45" s="116"/>
      <c r="CB45" s="165"/>
      <c r="CC45" s="186"/>
      <c r="CD45" s="196">
        <v>1.0</v>
      </c>
      <c r="CE45" s="124">
        <f t="shared" si="18"/>
        <v>8</v>
      </c>
      <c r="CF45" s="173">
        <f t="shared" si="19"/>
        <v>57.14285714</v>
      </c>
      <c r="CG45" s="116"/>
      <c r="CH45" s="116"/>
      <c r="CI45" s="186"/>
      <c r="CJ45" s="116"/>
      <c r="CK45" s="116"/>
      <c r="CL45" s="186"/>
      <c r="CM45" s="116"/>
      <c r="CN45" s="116"/>
      <c r="CO45" s="116"/>
      <c r="CP45" s="166"/>
      <c r="CQ45" s="213"/>
      <c r="CR45" s="213"/>
      <c r="CS45" s="116"/>
      <c r="CT45" s="116"/>
      <c r="CU45" s="116"/>
      <c r="CV45" s="213"/>
      <c r="CW45" s="128">
        <f t="shared" si="20"/>
        <v>0</v>
      </c>
      <c r="CX45" s="214">
        <f t="shared" si="21"/>
        <v>0</v>
      </c>
      <c r="CY45" s="171"/>
      <c r="CZ45" s="171"/>
      <c r="DA45" s="171"/>
      <c r="DB45" s="171"/>
      <c r="DC45" s="171"/>
      <c r="DD45" s="171"/>
      <c r="DE45" s="171"/>
      <c r="DF45" s="171"/>
      <c r="DG45" s="171"/>
      <c r="DH45" s="171"/>
      <c r="DI45" s="171"/>
      <c r="DJ45" s="171"/>
      <c r="DK45" s="128">
        <f t="shared" si="22"/>
        <v>0</v>
      </c>
      <c r="DL45" s="158" t="str">
        <f t="shared" si="23"/>
        <v>#DIV/0!</v>
      </c>
    </row>
    <row r="46" ht="15.75" customHeight="1">
      <c r="A46" s="50">
        <v>37.0</v>
      </c>
      <c r="B46" s="111" t="s">
        <v>124</v>
      </c>
      <c r="C46" s="112" t="s">
        <v>125</v>
      </c>
      <c r="D46" s="98">
        <f t="shared" si="8"/>
        <v>18</v>
      </c>
      <c r="E46" s="130">
        <f t="shared" si="9"/>
        <v>47.36842105</v>
      </c>
      <c r="F46" s="114">
        <f t="shared" si="10"/>
        <v>47.36842105</v>
      </c>
      <c r="G46" s="226" t="str">
        <f t="shared" si="11"/>
        <v>  </v>
      </c>
      <c r="H46" s="180"/>
      <c r="I46" s="180"/>
      <c r="J46" s="221"/>
      <c r="K46" s="180"/>
      <c r="L46" s="204"/>
      <c r="M46" s="139">
        <f t="shared" si="12"/>
        <v>0</v>
      </c>
      <c r="N46" s="140" t="str">
        <f t="shared" si="13"/>
        <v>#DIV/0!</v>
      </c>
      <c r="O46" s="116"/>
      <c r="P46" s="116"/>
      <c r="Q46" s="180"/>
      <c r="R46" s="179"/>
      <c r="S46" s="179"/>
      <c r="T46" s="116"/>
      <c r="U46" s="116"/>
      <c r="V46" s="179"/>
      <c r="W46" s="116"/>
      <c r="X46" s="116"/>
      <c r="Y46" s="179"/>
      <c r="Z46" s="185"/>
      <c r="AA46" s="187">
        <v>1.0</v>
      </c>
      <c r="AB46" s="138">
        <v>1.0</v>
      </c>
      <c r="AC46" s="179"/>
      <c r="AD46" s="176"/>
      <c r="AE46" s="116"/>
      <c r="AF46" s="182">
        <v>1.0</v>
      </c>
      <c r="AG46" s="182">
        <v>1.0</v>
      </c>
      <c r="AH46" s="116"/>
      <c r="AI46" s="176"/>
      <c r="AJ46" s="139">
        <f t="shared" si="14"/>
        <v>4</v>
      </c>
      <c r="AK46" s="205">
        <f t="shared" si="15"/>
        <v>57.14285714</v>
      </c>
      <c r="AL46" s="116"/>
      <c r="AM46" s="138">
        <v>1.0</v>
      </c>
      <c r="AN46" s="184">
        <v>1.0</v>
      </c>
      <c r="AO46" s="116"/>
      <c r="AP46" s="116"/>
      <c r="AQ46" s="116"/>
      <c r="AR46" s="138">
        <v>1.0</v>
      </c>
      <c r="AS46" s="191">
        <v>1.0</v>
      </c>
      <c r="AT46" s="116"/>
      <c r="AU46" s="116"/>
      <c r="AV46" s="116"/>
      <c r="AW46" s="179"/>
      <c r="AX46" s="138">
        <v>1.0</v>
      </c>
      <c r="AY46" s="116"/>
      <c r="AZ46" s="116"/>
      <c r="BA46" s="215">
        <v>1.0</v>
      </c>
      <c r="BB46" s="116"/>
      <c r="BC46" s="116"/>
      <c r="BD46" s="194"/>
      <c r="BE46" s="194"/>
      <c r="BF46" s="188">
        <v>1.0</v>
      </c>
      <c r="BG46" s="139">
        <f t="shared" si="16"/>
        <v>7</v>
      </c>
      <c r="BH46" s="208">
        <f t="shared" si="17"/>
        <v>50</v>
      </c>
      <c r="BI46" s="138">
        <v>1.0</v>
      </c>
      <c r="BJ46" s="138">
        <v>1.0</v>
      </c>
      <c r="BK46" s="180"/>
      <c r="BL46" s="116"/>
      <c r="BM46" s="116"/>
      <c r="BN46" s="116"/>
      <c r="BO46" s="138">
        <v>1.0</v>
      </c>
      <c r="BP46" s="116"/>
      <c r="BQ46" s="116"/>
      <c r="BR46" s="166"/>
      <c r="BS46" s="138">
        <v>1.0</v>
      </c>
      <c r="BT46" s="210">
        <v>1.0</v>
      </c>
      <c r="BU46" s="43"/>
      <c r="BV46" s="43"/>
      <c r="BW46" s="198"/>
      <c r="BX46" s="116"/>
      <c r="BY46" s="116"/>
      <c r="BZ46" s="196">
        <v>1.0</v>
      </c>
      <c r="CA46" s="116"/>
      <c r="CB46" s="165"/>
      <c r="CC46" s="186"/>
      <c r="CD46" s="196">
        <v>1.0</v>
      </c>
      <c r="CE46" s="124">
        <f t="shared" si="18"/>
        <v>7</v>
      </c>
      <c r="CF46" s="173">
        <f t="shared" si="19"/>
        <v>50</v>
      </c>
      <c r="CG46" s="116"/>
      <c r="CH46" s="238"/>
      <c r="CI46" s="186"/>
      <c r="CJ46" s="186"/>
      <c r="CK46" s="116"/>
      <c r="CL46" s="186"/>
      <c r="CM46" s="116"/>
      <c r="CN46" s="223"/>
      <c r="CO46" s="116"/>
      <c r="CP46" s="166"/>
      <c r="CQ46" s="213"/>
      <c r="CR46" s="213"/>
      <c r="CS46" s="213"/>
      <c r="CT46" s="116"/>
      <c r="CU46" s="213"/>
      <c r="CV46" s="213"/>
      <c r="CW46" s="128">
        <f t="shared" si="20"/>
        <v>0</v>
      </c>
      <c r="CX46" s="214">
        <f t="shared" si="21"/>
        <v>0</v>
      </c>
      <c r="CY46" s="171"/>
      <c r="CZ46" s="171"/>
      <c r="DA46" s="171"/>
      <c r="DB46" s="171"/>
      <c r="DC46" s="171"/>
      <c r="DD46" s="171"/>
      <c r="DE46" s="171"/>
      <c r="DF46" s="171"/>
      <c r="DG46" s="171"/>
      <c r="DH46" s="171"/>
      <c r="DI46" s="171"/>
      <c r="DJ46" s="171"/>
      <c r="DK46" s="128">
        <f t="shared" si="22"/>
        <v>0</v>
      </c>
      <c r="DL46" s="158" t="str">
        <f t="shared" si="23"/>
        <v>#DIV/0!</v>
      </c>
    </row>
    <row r="47" ht="15.75" customHeight="1">
      <c r="A47" s="131">
        <v>38.0</v>
      </c>
      <c r="B47" s="111" t="s">
        <v>126</v>
      </c>
      <c r="C47" s="112" t="s">
        <v>127</v>
      </c>
      <c r="D47" s="98">
        <f t="shared" si="8"/>
        <v>17</v>
      </c>
      <c r="E47" s="130">
        <f t="shared" si="9"/>
        <v>44.73684211</v>
      </c>
      <c r="F47" s="114">
        <f t="shared" si="10"/>
        <v>44.73684211</v>
      </c>
      <c r="G47" s="226" t="str">
        <f t="shared" si="11"/>
        <v>  </v>
      </c>
      <c r="H47" s="180"/>
      <c r="I47" s="180"/>
      <c r="J47" s="180"/>
      <c r="K47" s="180"/>
      <c r="L47" s="204"/>
      <c r="M47" s="139">
        <f t="shared" si="12"/>
        <v>0</v>
      </c>
      <c r="N47" s="140" t="str">
        <f t="shared" si="13"/>
        <v>#DIV/0!</v>
      </c>
      <c r="O47" s="116"/>
      <c r="P47" s="116"/>
      <c r="Q47" s="180"/>
      <c r="R47" s="179"/>
      <c r="S47" s="116"/>
      <c r="T47" s="116"/>
      <c r="U47" s="116"/>
      <c r="V47" s="179"/>
      <c r="W47" s="138">
        <v>1.0</v>
      </c>
      <c r="X47" s="116"/>
      <c r="Y47" s="179"/>
      <c r="Z47" s="185"/>
      <c r="AA47" s="217"/>
      <c r="AB47" s="138">
        <v>1.0</v>
      </c>
      <c r="AC47" s="184">
        <v>1.0</v>
      </c>
      <c r="AD47" s="176"/>
      <c r="AE47" s="176"/>
      <c r="AF47" s="176"/>
      <c r="AG47" s="176"/>
      <c r="AH47" s="176"/>
      <c r="AI47" s="176"/>
      <c r="AJ47" s="139">
        <f t="shared" si="14"/>
        <v>3</v>
      </c>
      <c r="AK47" s="205">
        <f t="shared" si="15"/>
        <v>42.85714286</v>
      </c>
      <c r="AL47" s="116"/>
      <c r="AM47" s="184">
        <v>1.0</v>
      </c>
      <c r="AN47" s="179"/>
      <c r="AO47" s="184">
        <v>1.0</v>
      </c>
      <c r="AP47" s="184">
        <v>1.0</v>
      </c>
      <c r="AQ47" s="116"/>
      <c r="AR47" s="138">
        <v>1.0</v>
      </c>
      <c r="AS47" s="166"/>
      <c r="AT47" s="116"/>
      <c r="AU47" s="116"/>
      <c r="AV47" s="116"/>
      <c r="AW47" s="179"/>
      <c r="AX47" s="116"/>
      <c r="AY47" s="116"/>
      <c r="AZ47" s="180"/>
      <c r="BA47" s="215">
        <v>1.0</v>
      </c>
      <c r="BB47" s="204"/>
      <c r="BC47" s="204"/>
      <c r="BD47" s="219">
        <v>1.0</v>
      </c>
      <c r="BE47" s="181"/>
      <c r="BF47" s="181"/>
      <c r="BG47" s="139">
        <f t="shared" si="16"/>
        <v>6</v>
      </c>
      <c r="BH47" s="208">
        <f t="shared" si="17"/>
        <v>42.85714286</v>
      </c>
      <c r="BI47" s="138">
        <v>1.0</v>
      </c>
      <c r="BJ47" s="116"/>
      <c r="BK47" s="180"/>
      <c r="BL47" s="116"/>
      <c r="BM47" s="116"/>
      <c r="BN47" s="116"/>
      <c r="BO47" s="116"/>
      <c r="BP47" s="116"/>
      <c r="BQ47" s="211"/>
      <c r="BR47" s="166"/>
      <c r="BS47" s="116"/>
      <c r="BT47" s="185"/>
      <c r="BU47" s="43"/>
      <c r="BV47" s="43"/>
      <c r="BW47" s="216">
        <v>1.0</v>
      </c>
      <c r="BX47" s="43"/>
      <c r="BY47" s="138">
        <v>1.0</v>
      </c>
      <c r="BZ47" s="196">
        <v>1.0</v>
      </c>
      <c r="CA47" s="116"/>
      <c r="CB47" s="165"/>
      <c r="CC47" s="200">
        <v>1.0</v>
      </c>
      <c r="CD47" s="196">
        <v>1.0</v>
      </c>
      <c r="CE47" s="124">
        <f t="shared" si="18"/>
        <v>6</v>
      </c>
      <c r="CF47" s="173">
        <f t="shared" si="19"/>
        <v>42.85714286</v>
      </c>
      <c r="CG47" s="184">
        <v>1.0</v>
      </c>
      <c r="CH47" s="138">
        <v>1.0</v>
      </c>
      <c r="CI47" s="186"/>
      <c r="CJ47" s="186"/>
      <c r="CK47" s="231"/>
      <c r="CL47" s="186"/>
      <c r="CM47" s="223"/>
      <c r="CN47" s="223"/>
      <c r="CO47" s="223"/>
      <c r="CP47" s="166"/>
      <c r="CQ47" s="213"/>
      <c r="CR47" s="213"/>
      <c r="CS47" s="213"/>
      <c r="CT47" s="116"/>
      <c r="CU47" s="213"/>
      <c r="CV47" s="213"/>
      <c r="CW47" s="128">
        <f t="shared" si="20"/>
        <v>2</v>
      </c>
      <c r="CX47" s="214">
        <f t="shared" si="21"/>
        <v>66.66666667</v>
      </c>
      <c r="CY47" s="171"/>
      <c r="CZ47" s="171"/>
      <c r="DA47" s="171"/>
      <c r="DB47" s="171"/>
      <c r="DC47" s="171"/>
      <c r="DD47" s="171"/>
      <c r="DE47" s="171"/>
      <c r="DF47" s="171"/>
      <c r="DG47" s="171"/>
      <c r="DH47" s="171"/>
      <c r="DI47" s="171"/>
      <c r="DJ47" s="171"/>
      <c r="DK47" s="128">
        <f t="shared" si="22"/>
        <v>0</v>
      </c>
      <c r="DL47" s="158" t="str">
        <f t="shared" si="23"/>
        <v>#DIV/0!</v>
      </c>
    </row>
    <row r="48" ht="15.75" customHeight="1">
      <c r="A48" s="146">
        <v>39.0</v>
      </c>
      <c r="B48" s="111" t="s">
        <v>128</v>
      </c>
      <c r="C48" s="112" t="s">
        <v>129</v>
      </c>
      <c r="D48" s="98">
        <f t="shared" si="8"/>
        <v>26</v>
      </c>
      <c r="E48" s="130">
        <f t="shared" si="9"/>
        <v>68.42105263</v>
      </c>
      <c r="F48" s="92" t="str">
        <f t="shared" si="10"/>
        <v>  </v>
      </c>
      <c r="G48" s="149" t="str">
        <f t="shared" si="11"/>
        <v>  </v>
      </c>
      <c r="H48" s="203"/>
      <c r="I48" s="221"/>
      <c r="J48" s="221"/>
      <c r="K48" s="180"/>
      <c r="L48" s="204"/>
      <c r="M48" s="139">
        <f t="shared" si="12"/>
        <v>0</v>
      </c>
      <c r="N48" s="140" t="str">
        <f t="shared" si="13"/>
        <v>#DIV/0!</v>
      </c>
      <c r="O48" s="116"/>
      <c r="P48" s="116"/>
      <c r="Q48" s="116"/>
      <c r="R48" s="179"/>
      <c r="S48" s="179"/>
      <c r="T48" s="116"/>
      <c r="U48" s="116"/>
      <c r="V48" s="179"/>
      <c r="W48" s="138">
        <v>1.0</v>
      </c>
      <c r="X48" s="116"/>
      <c r="Y48" s="179"/>
      <c r="Z48" s="210">
        <v>1.0</v>
      </c>
      <c r="AA48" s="217"/>
      <c r="AB48" s="116"/>
      <c r="AC48" s="184">
        <v>1.0</v>
      </c>
      <c r="AD48" s="116"/>
      <c r="AE48" s="116"/>
      <c r="AF48" s="182">
        <v>1.0</v>
      </c>
      <c r="AG48" s="182">
        <v>1.0</v>
      </c>
      <c r="AH48" s="116"/>
      <c r="AI48" s="116"/>
      <c r="AJ48" s="139">
        <f t="shared" si="14"/>
        <v>5</v>
      </c>
      <c r="AK48" s="205">
        <f t="shared" si="15"/>
        <v>71.42857143</v>
      </c>
      <c r="AL48" s="116"/>
      <c r="AM48" s="138">
        <v>1.0</v>
      </c>
      <c r="AN48" s="184">
        <v>1.0</v>
      </c>
      <c r="AO48" s="138">
        <v>1.0</v>
      </c>
      <c r="AP48" s="138">
        <v>1.0</v>
      </c>
      <c r="AQ48" s="138">
        <v>1.0</v>
      </c>
      <c r="AR48" s="116"/>
      <c r="AS48" s="191">
        <v>1.0</v>
      </c>
      <c r="AT48" s="116"/>
      <c r="AU48" s="116"/>
      <c r="AV48" s="116"/>
      <c r="AW48" s="179"/>
      <c r="AX48" s="116"/>
      <c r="AY48" s="116"/>
      <c r="AZ48" s="116"/>
      <c r="BA48" s="215">
        <v>1.0</v>
      </c>
      <c r="BB48" s="116"/>
      <c r="BC48" s="138">
        <v>1.0</v>
      </c>
      <c r="BD48" s="188">
        <v>1.0</v>
      </c>
      <c r="BE48" s="194"/>
      <c r="BF48" s="188">
        <v>1.0</v>
      </c>
      <c r="BG48" s="139">
        <f t="shared" si="16"/>
        <v>10</v>
      </c>
      <c r="BH48" s="208">
        <f t="shared" si="17"/>
        <v>71.42857143</v>
      </c>
      <c r="BI48" s="116"/>
      <c r="BJ48" s="138">
        <v>1.0</v>
      </c>
      <c r="BK48" s="180"/>
      <c r="BL48" s="116"/>
      <c r="BM48" s="116"/>
      <c r="BN48" s="116"/>
      <c r="BO48" s="116"/>
      <c r="BP48" s="116"/>
      <c r="BQ48" s="116"/>
      <c r="BR48" s="138">
        <v>1.0</v>
      </c>
      <c r="BS48" s="138">
        <v>1.0</v>
      </c>
      <c r="BT48" s="138">
        <v>1.0</v>
      </c>
      <c r="BU48" s="145">
        <v>1.0</v>
      </c>
      <c r="BV48" s="43"/>
      <c r="BW48" s="198"/>
      <c r="BX48" s="116"/>
      <c r="BY48" s="138">
        <v>1.0</v>
      </c>
      <c r="BZ48" s="196">
        <v>1.0</v>
      </c>
      <c r="CA48" s="116"/>
      <c r="CB48" s="138">
        <v>1.0</v>
      </c>
      <c r="CC48" s="200">
        <v>1.0</v>
      </c>
      <c r="CD48" s="196">
        <v>1.0</v>
      </c>
      <c r="CE48" s="124">
        <f t="shared" si="18"/>
        <v>10</v>
      </c>
      <c r="CF48" s="173">
        <f t="shared" si="19"/>
        <v>71.42857143</v>
      </c>
      <c r="CG48" s="138">
        <v>1.0</v>
      </c>
      <c r="CH48" s="116"/>
      <c r="CI48" s="116"/>
      <c r="CJ48" s="116"/>
      <c r="CK48" s="116"/>
      <c r="CL48" s="186"/>
      <c r="CM48" s="223"/>
      <c r="CN48" s="116"/>
      <c r="CO48" s="223"/>
      <c r="CP48" s="166"/>
      <c r="CQ48" s="213"/>
      <c r="CR48" s="213"/>
      <c r="CS48" s="116"/>
      <c r="CT48" s="116"/>
      <c r="CU48" s="116"/>
      <c r="CV48" s="213"/>
      <c r="CW48" s="128">
        <f t="shared" si="20"/>
        <v>1</v>
      </c>
      <c r="CX48" s="214">
        <f t="shared" si="21"/>
        <v>33.33333333</v>
      </c>
      <c r="CY48" s="171"/>
      <c r="CZ48" s="171"/>
      <c r="DA48" s="171"/>
      <c r="DB48" s="171"/>
      <c r="DC48" s="171"/>
      <c r="DD48" s="171"/>
      <c r="DE48" s="171"/>
      <c r="DF48" s="171"/>
      <c r="DG48" s="171"/>
      <c r="DH48" s="171"/>
      <c r="DI48" s="171"/>
      <c r="DJ48" s="171"/>
      <c r="DK48" s="128">
        <f t="shared" si="22"/>
        <v>0</v>
      </c>
      <c r="DL48" s="158" t="str">
        <f t="shared" si="23"/>
        <v>#DIV/0!</v>
      </c>
    </row>
    <row r="49" ht="15.75" customHeight="1">
      <c r="A49" s="50">
        <v>40.0</v>
      </c>
      <c r="B49" s="111" t="s">
        <v>130</v>
      </c>
      <c r="C49" s="112" t="s">
        <v>131</v>
      </c>
      <c r="D49" s="98">
        <f t="shared" si="8"/>
        <v>0</v>
      </c>
      <c r="E49" s="130">
        <f t="shared" si="9"/>
        <v>0</v>
      </c>
      <c r="F49" s="114">
        <f t="shared" si="10"/>
        <v>0</v>
      </c>
      <c r="G49" s="226">
        <f t="shared" si="11"/>
        <v>0</v>
      </c>
      <c r="H49" s="254"/>
      <c r="I49" s="255"/>
      <c r="J49" s="256"/>
      <c r="K49" s="254"/>
      <c r="L49" s="257"/>
      <c r="M49" s="139">
        <f t="shared" si="12"/>
        <v>0</v>
      </c>
      <c r="N49" s="140" t="str">
        <f t="shared" si="13"/>
        <v>#DIV/0!</v>
      </c>
      <c r="O49" s="116"/>
      <c r="P49" s="116"/>
      <c r="Q49" s="180"/>
      <c r="R49" s="179"/>
      <c r="S49" s="179"/>
      <c r="T49" s="116"/>
      <c r="U49" s="116"/>
      <c r="V49" s="179"/>
      <c r="W49" s="116"/>
      <c r="X49" s="116"/>
      <c r="Y49" s="179"/>
      <c r="Z49" s="185"/>
      <c r="AA49" s="217"/>
      <c r="AB49" s="116"/>
      <c r="AC49" s="179"/>
      <c r="AD49" s="176"/>
      <c r="AE49" s="176"/>
      <c r="AF49" s="176"/>
      <c r="AG49" s="176"/>
      <c r="AH49" s="176"/>
      <c r="AI49" s="176"/>
      <c r="AJ49" s="139">
        <f t="shared" si="14"/>
        <v>0</v>
      </c>
      <c r="AK49" s="205">
        <f t="shared" si="15"/>
        <v>0</v>
      </c>
      <c r="AL49" s="222"/>
      <c r="AM49" s="179"/>
      <c r="AN49" s="179"/>
      <c r="AO49" s="186"/>
      <c r="AP49" s="186"/>
      <c r="AQ49" s="116"/>
      <c r="AR49" s="116"/>
      <c r="AS49" s="166"/>
      <c r="AT49" s="116"/>
      <c r="AU49" s="116"/>
      <c r="AV49" s="116"/>
      <c r="AW49" s="179"/>
      <c r="AX49" s="116"/>
      <c r="AY49" s="116"/>
      <c r="AZ49" s="180"/>
      <c r="BA49" s="180"/>
      <c r="BB49" s="204"/>
      <c r="BC49" s="204"/>
      <c r="BD49" s="219"/>
      <c r="BE49" s="181"/>
      <c r="BF49" s="181"/>
      <c r="BG49" s="139">
        <f t="shared" si="16"/>
        <v>0</v>
      </c>
      <c r="BH49" s="208">
        <f t="shared" si="17"/>
        <v>0</v>
      </c>
      <c r="BI49" s="116"/>
      <c r="BJ49" s="180"/>
      <c r="BK49" s="180"/>
      <c r="BL49" s="116"/>
      <c r="BM49" s="116"/>
      <c r="BN49" s="116"/>
      <c r="BO49" s="116"/>
      <c r="BP49" s="116"/>
      <c r="BQ49" s="116"/>
      <c r="BR49" s="166"/>
      <c r="BS49" s="165"/>
      <c r="BT49" s="185"/>
      <c r="BU49" s="43"/>
      <c r="BV49" s="43"/>
      <c r="BW49" s="198"/>
      <c r="BX49" s="43"/>
      <c r="BY49" s="116"/>
      <c r="BZ49" s="165"/>
      <c r="CA49" s="165"/>
      <c r="CB49" s="165"/>
      <c r="CC49" s="186"/>
      <c r="CD49" s="165"/>
      <c r="CE49" s="124">
        <f t="shared" si="18"/>
        <v>0</v>
      </c>
      <c r="CF49" s="173">
        <f t="shared" si="19"/>
        <v>0</v>
      </c>
      <c r="CG49" s="179"/>
      <c r="CH49" s="238"/>
      <c r="CI49" s="186"/>
      <c r="CJ49" s="186"/>
      <c r="CK49" s="116"/>
      <c r="CL49" s="186"/>
      <c r="CM49" s="223"/>
      <c r="CN49" s="223"/>
      <c r="CO49" s="223"/>
      <c r="CP49" s="166"/>
      <c r="CQ49" s="213"/>
      <c r="CR49" s="213"/>
      <c r="CS49" s="213"/>
      <c r="CT49" s="213"/>
      <c r="CU49" s="213"/>
      <c r="CV49" s="213"/>
      <c r="CW49" s="128">
        <f t="shared" si="20"/>
        <v>0</v>
      </c>
      <c r="CX49" s="214">
        <f t="shared" si="21"/>
        <v>0</v>
      </c>
      <c r="CY49" s="171"/>
      <c r="CZ49" s="171"/>
      <c r="DA49" s="171"/>
      <c r="DB49" s="171"/>
      <c r="DC49" s="171"/>
      <c r="DD49" s="171"/>
      <c r="DE49" s="171"/>
      <c r="DF49" s="171"/>
      <c r="DG49" s="171"/>
      <c r="DH49" s="171"/>
      <c r="DI49" s="171"/>
      <c r="DJ49" s="171"/>
      <c r="DK49" s="128">
        <f t="shared" si="22"/>
        <v>0</v>
      </c>
      <c r="DL49" s="158" t="str">
        <f t="shared" si="23"/>
        <v>#DIV/0!</v>
      </c>
    </row>
    <row r="50" ht="15.75" customHeight="1">
      <c r="A50" s="131">
        <v>41.0</v>
      </c>
      <c r="B50" s="111" t="s">
        <v>132</v>
      </c>
      <c r="C50" s="112" t="s">
        <v>133</v>
      </c>
      <c r="D50" s="98">
        <f t="shared" si="8"/>
        <v>20</v>
      </c>
      <c r="E50" s="130">
        <f t="shared" si="9"/>
        <v>52.63157895</v>
      </c>
      <c r="F50" s="92" t="str">
        <f t="shared" si="10"/>
        <v>  </v>
      </c>
      <c r="G50" s="149" t="str">
        <f t="shared" si="11"/>
        <v>  </v>
      </c>
      <c r="H50" s="254"/>
      <c r="I50" s="258"/>
      <c r="J50" s="254"/>
      <c r="K50" s="254"/>
      <c r="L50" s="257"/>
      <c r="M50" s="139">
        <f t="shared" si="12"/>
        <v>0</v>
      </c>
      <c r="N50" s="140" t="str">
        <f t="shared" si="13"/>
        <v>#DIV/0!</v>
      </c>
      <c r="O50" s="116"/>
      <c r="P50" s="116"/>
      <c r="Q50" s="180"/>
      <c r="R50" s="186"/>
      <c r="S50" s="186"/>
      <c r="T50" s="116"/>
      <c r="U50" s="116"/>
      <c r="V50" s="186"/>
      <c r="W50" s="116"/>
      <c r="X50" s="116"/>
      <c r="Y50" s="186"/>
      <c r="Z50" s="185"/>
      <c r="AA50" s="187">
        <v>1.0</v>
      </c>
      <c r="AB50" s="116"/>
      <c r="AC50" s="186"/>
      <c r="AD50" s="116"/>
      <c r="AE50" s="116"/>
      <c r="AF50" s="197">
        <v>1.0</v>
      </c>
      <c r="AG50" s="197">
        <v>1.0</v>
      </c>
      <c r="AH50" s="195"/>
      <c r="AI50" s="116"/>
      <c r="AJ50" s="139">
        <f t="shared" si="14"/>
        <v>3</v>
      </c>
      <c r="AK50" s="205">
        <f t="shared" si="15"/>
        <v>42.85714286</v>
      </c>
      <c r="AL50" s="225"/>
      <c r="AM50" s="138">
        <v>1.0</v>
      </c>
      <c r="AN50" s="186"/>
      <c r="AO50" s="138">
        <v>1.0</v>
      </c>
      <c r="AP50" s="138">
        <v>1.0</v>
      </c>
      <c r="AQ50" s="116"/>
      <c r="AR50" s="138">
        <v>1.0</v>
      </c>
      <c r="AS50" s="166"/>
      <c r="AT50" s="116"/>
      <c r="AU50" s="116"/>
      <c r="AV50" s="116"/>
      <c r="AW50" s="186"/>
      <c r="AX50" s="116"/>
      <c r="AY50" s="116"/>
      <c r="AZ50" s="180"/>
      <c r="BA50" s="215">
        <v>1.0</v>
      </c>
      <c r="BB50" s="116"/>
      <c r="BC50" s="218">
        <v>1.0</v>
      </c>
      <c r="BD50" s="181"/>
      <c r="BE50" s="181"/>
      <c r="BF50" s="219">
        <v>1.0</v>
      </c>
      <c r="BG50" s="139">
        <f t="shared" si="16"/>
        <v>7</v>
      </c>
      <c r="BH50" s="208">
        <f t="shared" si="17"/>
        <v>50</v>
      </c>
      <c r="BI50" s="138">
        <v>1.0</v>
      </c>
      <c r="BJ50" s="138">
        <v>1.0</v>
      </c>
      <c r="BK50" s="180"/>
      <c r="BL50" s="116"/>
      <c r="BM50" s="116"/>
      <c r="BN50" s="116"/>
      <c r="BO50" s="116"/>
      <c r="BP50" s="116"/>
      <c r="BQ50" s="211"/>
      <c r="BR50" s="166"/>
      <c r="BS50" s="138">
        <v>1.0</v>
      </c>
      <c r="BT50" s="138">
        <v>1.0</v>
      </c>
      <c r="BU50" s="145">
        <v>1.0</v>
      </c>
      <c r="BV50" s="43"/>
      <c r="BW50" s="216">
        <v>1.0</v>
      </c>
      <c r="BX50" s="138">
        <v>1.0</v>
      </c>
      <c r="BY50" s="138">
        <v>1.0</v>
      </c>
      <c r="BZ50" s="196">
        <v>1.0</v>
      </c>
      <c r="CA50" s="116"/>
      <c r="CB50" s="165"/>
      <c r="CC50" s="186"/>
      <c r="CD50" s="196">
        <v>1.0</v>
      </c>
      <c r="CE50" s="124">
        <f t="shared" si="18"/>
        <v>10</v>
      </c>
      <c r="CF50" s="173">
        <f t="shared" si="19"/>
        <v>71.42857143</v>
      </c>
      <c r="CG50" s="116"/>
      <c r="CH50" s="116"/>
      <c r="CI50" s="186"/>
      <c r="CJ50" s="116"/>
      <c r="CK50" s="231"/>
      <c r="CL50" s="186"/>
      <c r="CM50" s="223"/>
      <c r="CN50" s="116"/>
      <c r="CO50" s="116"/>
      <c r="CP50" s="166"/>
      <c r="CQ50" s="213"/>
      <c r="CR50" s="213"/>
      <c r="CS50" s="213"/>
      <c r="CT50" s="116"/>
      <c r="CU50" s="116"/>
      <c r="CV50" s="213"/>
      <c r="CW50" s="128">
        <f t="shared" si="20"/>
        <v>0</v>
      </c>
      <c r="CX50" s="214">
        <f t="shared" si="21"/>
        <v>0</v>
      </c>
      <c r="CY50" s="171"/>
      <c r="CZ50" s="171"/>
      <c r="DA50" s="171"/>
      <c r="DB50" s="171"/>
      <c r="DC50" s="171"/>
      <c r="DD50" s="171"/>
      <c r="DE50" s="171"/>
      <c r="DF50" s="171"/>
      <c r="DG50" s="171"/>
      <c r="DH50" s="171"/>
      <c r="DI50" s="171"/>
      <c r="DJ50" s="171"/>
      <c r="DK50" s="128">
        <f t="shared" si="22"/>
        <v>0</v>
      </c>
      <c r="DL50" s="158" t="str">
        <f t="shared" si="23"/>
        <v>#DIV/0!</v>
      </c>
    </row>
    <row r="51" ht="15.75" customHeight="1">
      <c r="A51" s="146">
        <v>42.0</v>
      </c>
      <c r="B51" s="111" t="s">
        <v>134</v>
      </c>
      <c r="C51" s="112" t="s">
        <v>135</v>
      </c>
      <c r="D51" s="98">
        <f t="shared" si="8"/>
        <v>17</v>
      </c>
      <c r="E51" s="130">
        <f t="shared" si="9"/>
        <v>44.73684211</v>
      </c>
      <c r="F51" s="114">
        <f t="shared" si="10"/>
        <v>44.73684211</v>
      </c>
      <c r="G51" s="149" t="str">
        <f t="shared" si="11"/>
        <v>  </v>
      </c>
      <c r="H51" s="254"/>
      <c r="I51" s="254"/>
      <c r="J51" s="254"/>
      <c r="K51" s="256"/>
      <c r="L51" s="259"/>
      <c r="M51" s="139">
        <f t="shared" si="12"/>
        <v>0</v>
      </c>
      <c r="N51" s="140" t="str">
        <f t="shared" si="13"/>
        <v>#DIV/0!</v>
      </c>
      <c r="O51" s="116"/>
      <c r="P51" s="116"/>
      <c r="Q51" s="116"/>
      <c r="R51" s="207"/>
      <c r="S51" s="116"/>
      <c r="T51" s="116"/>
      <c r="U51" s="116"/>
      <c r="V51" s="207"/>
      <c r="W51" s="116"/>
      <c r="X51" s="116"/>
      <c r="Y51" s="207"/>
      <c r="Z51" s="210">
        <v>1.0</v>
      </c>
      <c r="AA51" s="187">
        <v>1.0</v>
      </c>
      <c r="AB51" s="116"/>
      <c r="AC51" s="234">
        <v>1.0</v>
      </c>
      <c r="AD51" s="206"/>
      <c r="AE51" s="116"/>
      <c r="AF51" s="206"/>
      <c r="AG51" s="206"/>
      <c r="AH51" s="116"/>
      <c r="AI51" s="116"/>
      <c r="AJ51" s="139">
        <f t="shared" si="14"/>
        <v>3</v>
      </c>
      <c r="AK51" s="205">
        <f t="shared" si="15"/>
        <v>42.85714286</v>
      </c>
      <c r="AL51" s="116"/>
      <c r="AM51" s="116"/>
      <c r="AN51" s="234">
        <v>1.0</v>
      </c>
      <c r="AO51" s="116"/>
      <c r="AP51" s="138">
        <v>1.0</v>
      </c>
      <c r="AQ51" s="116"/>
      <c r="AR51" s="138">
        <v>1.0</v>
      </c>
      <c r="AS51" s="166"/>
      <c r="AT51" s="116"/>
      <c r="AU51" s="116"/>
      <c r="AV51" s="116"/>
      <c r="AW51" s="207"/>
      <c r="AX51" s="116"/>
      <c r="AY51" s="116"/>
      <c r="AZ51" s="116"/>
      <c r="BA51" s="180"/>
      <c r="BB51" s="138">
        <v>1.0</v>
      </c>
      <c r="BC51" s="138">
        <v>1.0</v>
      </c>
      <c r="BD51" s="188">
        <v>1.0</v>
      </c>
      <c r="BE51" s="194"/>
      <c r="BF51" s="188">
        <v>1.0</v>
      </c>
      <c r="BG51" s="139">
        <f t="shared" si="16"/>
        <v>7</v>
      </c>
      <c r="BH51" s="208">
        <f t="shared" si="17"/>
        <v>50</v>
      </c>
      <c r="BI51" s="116"/>
      <c r="BJ51" s="180"/>
      <c r="BK51" s="180"/>
      <c r="BL51" s="116"/>
      <c r="BM51" s="116"/>
      <c r="BN51" s="116"/>
      <c r="BO51" s="116"/>
      <c r="BP51" s="116"/>
      <c r="BQ51" s="116"/>
      <c r="BR51" s="191">
        <v>1.0</v>
      </c>
      <c r="BS51" s="116"/>
      <c r="BT51" s="138">
        <v>1.0</v>
      </c>
      <c r="BU51" s="145">
        <v>1.0</v>
      </c>
      <c r="BV51" s="43"/>
      <c r="BW51" s="198"/>
      <c r="BX51" s="116"/>
      <c r="BY51" s="116"/>
      <c r="BZ51" s="196">
        <v>1.0</v>
      </c>
      <c r="CA51" s="116"/>
      <c r="CB51" s="165"/>
      <c r="CC51" s="200">
        <v>1.0</v>
      </c>
      <c r="CD51" s="196">
        <v>1.0</v>
      </c>
      <c r="CE51" s="124">
        <f t="shared" si="18"/>
        <v>6</v>
      </c>
      <c r="CF51" s="173">
        <f t="shared" si="19"/>
        <v>42.85714286</v>
      </c>
      <c r="CG51" s="138">
        <v>1.0</v>
      </c>
      <c r="CH51" s="116"/>
      <c r="CI51" s="186"/>
      <c r="CJ51" s="116"/>
      <c r="CK51" s="116"/>
      <c r="CL51" s="186"/>
      <c r="CM51" s="116"/>
      <c r="CN51" s="223"/>
      <c r="CO51" s="116"/>
      <c r="CP51" s="166"/>
      <c r="CQ51" s="213"/>
      <c r="CR51" s="213"/>
      <c r="CS51" s="213"/>
      <c r="CT51" s="116"/>
      <c r="CU51" s="116"/>
      <c r="CV51" s="213"/>
      <c r="CW51" s="128">
        <f t="shared" si="20"/>
        <v>1</v>
      </c>
      <c r="CX51" s="214">
        <f t="shared" si="21"/>
        <v>33.33333333</v>
      </c>
      <c r="CY51" s="171"/>
      <c r="CZ51" s="171"/>
      <c r="DA51" s="171"/>
      <c r="DB51" s="171"/>
      <c r="DC51" s="171"/>
      <c r="DD51" s="171"/>
      <c r="DE51" s="171"/>
      <c r="DF51" s="171"/>
      <c r="DG51" s="171"/>
      <c r="DH51" s="171"/>
      <c r="DI51" s="171"/>
      <c r="DJ51" s="171"/>
      <c r="DK51" s="128">
        <f t="shared" si="22"/>
        <v>0</v>
      </c>
      <c r="DL51" s="158" t="str">
        <f t="shared" si="23"/>
        <v>#DIV/0!</v>
      </c>
    </row>
    <row r="52" ht="15.75" customHeight="1">
      <c r="A52" s="50">
        <v>43.0</v>
      </c>
      <c r="B52" s="111" t="s">
        <v>137</v>
      </c>
      <c r="C52" s="112" t="s">
        <v>138</v>
      </c>
      <c r="D52" s="98">
        <f t="shared" si="8"/>
        <v>13</v>
      </c>
      <c r="E52" s="130">
        <f t="shared" si="9"/>
        <v>34.21052632</v>
      </c>
      <c r="F52" s="114">
        <f t="shared" si="10"/>
        <v>34.21052632</v>
      </c>
      <c r="G52" s="149" t="str">
        <f t="shared" si="11"/>
        <v>  </v>
      </c>
      <c r="H52" s="254"/>
      <c r="I52" s="256"/>
      <c r="J52" s="254"/>
      <c r="K52" s="254"/>
      <c r="L52" s="257"/>
      <c r="M52" s="139">
        <f t="shared" si="12"/>
        <v>0</v>
      </c>
      <c r="N52" s="140" t="str">
        <f t="shared" si="13"/>
        <v>#DIV/0!</v>
      </c>
      <c r="O52" s="116"/>
      <c r="P52" s="116"/>
      <c r="Q52" s="180"/>
      <c r="R52" s="228"/>
      <c r="S52" s="116"/>
      <c r="T52" s="116"/>
      <c r="U52" s="116"/>
      <c r="V52" s="228"/>
      <c r="W52" s="116"/>
      <c r="X52" s="116"/>
      <c r="Y52" s="228"/>
      <c r="Z52" s="185"/>
      <c r="AA52" s="217"/>
      <c r="AB52" s="116"/>
      <c r="AC52" s="228"/>
      <c r="AD52" s="116"/>
      <c r="AE52" s="116"/>
      <c r="AF52" s="229">
        <v>1.0</v>
      </c>
      <c r="AG52" s="229">
        <v>1.0</v>
      </c>
      <c r="AH52" s="116"/>
      <c r="AI52" s="116"/>
      <c r="AJ52" s="139">
        <f t="shared" si="14"/>
        <v>2</v>
      </c>
      <c r="AK52" s="205">
        <f t="shared" si="15"/>
        <v>28.57142857</v>
      </c>
      <c r="AL52" s="261"/>
      <c r="AM52" s="116"/>
      <c r="AN52" s="233">
        <v>1.0</v>
      </c>
      <c r="AO52" s="138">
        <v>1.0</v>
      </c>
      <c r="AP52" s="138">
        <v>1.0</v>
      </c>
      <c r="AQ52" s="116"/>
      <c r="AR52" s="138">
        <v>1.0</v>
      </c>
      <c r="AS52" s="166"/>
      <c r="AT52" s="116"/>
      <c r="AU52" s="116"/>
      <c r="AV52" s="116"/>
      <c r="AW52" s="228"/>
      <c r="AX52" s="116"/>
      <c r="AY52" s="116"/>
      <c r="AZ52" s="180"/>
      <c r="BA52" s="215">
        <v>1.0</v>
      </c>
      <c r="BB52" s="116"/>
      <c r="BC52" s="204"/>
      <c r="BD52" s="181"/>
      <c r="BE52" s="181"/>
      <c r="BF52" s="181"/>
      <c r="BG52" s="139">
        <f t="shared" si="16"/>
        <v>5</v>
      </c>
      <c r="BH52" s="208">
        <f t="shared" si="17"/>
        <v>35.71428571</v>
      </c>
      <c r="BI52" s="116"/>
      <c r="BJ52" s="116"/>
      <c r="BK52" s="180"/>
      <c r="BL52" s="116"/>
      <c r="BM52" s="116"/>
      <c r="BN52" s="116"/>
      <c r="BO52" s="116"/>
      <c r="BP52" s="116"/>
      <c r="BQ52" s="116"/>
      <c r="BR52" s="166"/>
      <c r="BS52" s="138">
        <v>1.0</v>
      </c>
      <c r="BT52" s="210">
        <v>1.0</v>
      </c>
      <c r="BU52" s="145">
        <v>1.0</v>
      </c>
      <c r="BV52" s="43"/>
      <c r="BW52" s="216">
        <v>1.0</v>
      </c>
      <c r="BX52" s="43"/>
      <c r="BY52" s="138">
        <v>1.0</v>
      </c>
      <c r="BZ52" s="196">
        <v>1.0</v>
      </c>
      <c r="CA52" s="116"/>
      <c r="CB52" s="116"/>
      <c r="CC52" s="196"/>
      <c r="CD52" s="165"/>
      <c r="CE52" s="124">
        <f t="shared" si="18"/>
        <v>6</v>
      </c>
      <c r="CF52" s="173">
        <f t="shared" si="19"/>
        <v>42.85714286</v>
      </c>
      <c r="CG52" s="228"/>
      <c r="CH52" s="116"/>
      <c r="CI52" s="186"/>
      <c r="CJ52" s="116"/>
      <c r="CK52" s="116"/>
      <c r="CL52" s="186"/>
      <c r="CM52" s="223"/>
      <c r="CN52" s="223"/>
      <c r="CO52" s="223"/>
      <c r="CP52" s="166"/>
      <c r="CQ52" s="213"/>
      <c r="CR52" s="213"/>
      <c r="CS52" s="116"/>
      <c r="CT52" s="213"/>
      <c r="CU52" s="213"/>
      <c r="CV52" s="213"/>
      <c r="CW52" s="128">
        <f t="shared" si="20"/>
        <v>0</v>
      </c>
      <c r="CX52" s="214">
        <f t="shared" si="21"/>
        <v>0</v>
      </c>
      <c r="CY52" s="171"/>
      <c r="CZ52" s="171"/>
      <c r="DA52" s="171"/>
      <c r="DB52" s="171"/>
      <c r="DC52" s="171"/>
      <c r="DD52" s="171"/>
      <c r="DE52" s="171"/>
      <c r="DF52" s="171"/>
      <c r="DG52" s="171"/>
      <c r="DH52" s="171"/>
      <c r="DI52" s="171"/>
      <c r="DJ52" s="171"/>
      <c r="DK52" s="128">
        <f t="shared" si="22"/>
        <v>0</v>
      </c>
      <c r="DL52" s="158" t="str">
        <f t="shared" si="23"/>
        <v>#DIV/0!</v>
      </c>
    </row>
    <row r="53" ht="15.75" customHeight="1">
      <c r="A53" s="131">
        <v>44.0</v>
      </c>
      <c r="B53" s="111" t="s">
        <v>139</v>
      </c>
      <c r="C53" s="112" t="s">
        <v>140</v>
      </c>
      <c r="D53" s="98">
        <f t="shared" si="8"/>
        <v>20</v>
      </c>
      <c r="E53" s="130">
        <f t="shared" si="9"/>
        <v>52.63157895</v>
      </c>
      <c r="F53" s="92" t="str">
        <f t="shared" si="10"/>
        <v>  </v>
      </c>
      <c r="G53" s="149" t="str">
        <f t="shared" si="11"/>
        <v>  </v>
      </c>
      <c r="H53" s="254"/>
      <c r="I53" s="254"/>
      <c r="J53" s="254"/>
      <c r="K53" s="254"/>
      <c r="L53" s="257"/>
      <c r="M53" s="139">
        <f t="shared" si="12"/>
        <v>0</v>
      </c>
      <c r="N53" s="140" t="str">
        <f t="shared" si="13"/>
        <v>#DIV/0!</v>
      </c>
      <c r="O53" s="116"/>
      <c r="P53" s="116"/>
      <c r="Q53" s="180"/>
      <c r="R53" s="179"/>
      <c r="S53" s="179"/>
      <c r="T53" s="116"/>
      <c r="U53" s="116"/>
      <c r="V53" s="179"/>
      <c r="W53" s="138">
        <v>1.0</v>
      </c>
      <c r="X53" s="116"/>
      <c r="Y53" s="179"/>
      <c r="Z53" s="210">
        <v>1.0</v>
      </c>
      <c r="AA53" s="217"/>
      <c r="AB53" s="116"/>
      <c r="AC53" s="179"/>
      <c r="AD53" s="116"/>
      <c r="AE53" s="116"/>
      <c r="AF53" s="182">
        <v>1.0</v>
      </c>
      <c r="AG53" s="182">
        <v>1.0</v>
      </c>
      <c r="AH53" s="116"/>
      <c r="AI53" s="176"/>
      <c r="AJ53" s="139">
        <f t="shared" si="14"/>
        <v>4</v>
      </c>
      <c r="AK53" s="205">
        <f t="shared" si="15"/>
        <v>57.14285714</v>
      </c>
      <c r="AL53" s="116"/>
      <c r="AM53" s="116"/>
      <c r="AN53" s="184">
        <v>1.0</v>
      </c>
      <c r="AO53" s="116"/>
      <c r="AP53" s="116"/>
      <c r="AQ53" s="138">
        <v>1.0</v>
      </c>
      <c r="AR53" s="138">
        <v>1.0</v>
      </c>
      <c r="AS53" s="191">
        <v>1.0</v>
      </c>
      <c r="AT53" s="116"/>
      <c r="AU53" s="116"/>
      <c r="AV53" s="116"/>
      <c r="AW53" s="179"/>
      <c r="AX53" s="138">
        <v>1.0</v>
      </c>
      <c r="AY53" s="116"/>
      <c r="AZ53" s="180"/>
      <c r="BA53" s="215">
        <v>1.0</v>
      </c>
      <c r="BB53" s="116"/>
      <c r="BC53" s="218">
        <v>1.0</v>
      </c>
      <c r="BD53" s="219">
        <v>1.0</v>
      </c>
      <c r="BE53" s="181"/>
      <c r="BF53" s="181"/>
      <c r="BG53" s="139">
        <f t="shared" si="16"/>
        <v>8</v>
      </c>
      <c r="BH53" s="208">
        <f t="shared" si="17"/>
        <v>57.14285714</v>
      </c>
      <c r="BI53" s="138">
        <v>1.0</v>
      </c>
      <c r="BJ53" s="180"/>
      <c r="BK53" s="180"/>
      <c r="BL53" s="116"/>
      <c r="BM53" s="116"/>
      <c r="BN53" s="116"/>
      <c r="BO53" s="138">
        <v>1.0</v>
      </c>
      <c r="BP53" s="116"/>
      <c r="BQ53" s="116"/>
      <c r="BR53" s="166"/>
      <c r="BS53" s="138">
        <v>1.0</v>
      </c>
      <c r="BT53" s="210">
        <v>1.0</v>
      </c>
      <c r="BU53" s="43"/>
      <c r="BV53" s="43"/>
      <c r="BW53" s="198"/>
      <c r="BX53" s="116"/>
      <c r="BY53" s="138">
        <v>1.0</v>
      </c>
      <c r="BZ53" s="196">
        <v>1.0</v>
      </c>
      <c r="CA53" s="116"/>
      <c r="CB53" s="116"/>
      <c r="CC53" s="196">
        <v>1.0</v>
      </c>
      <c r="CD53" s="196">
        <v>1.0</v>
      </c>
      <c r="CE53" s="124">
        <f t="shared" si="18"/>
        <v>8</v>
      </c>
      <c r="CF53" s="173">
        <f t="shared" si="19"/>
        <v>57.14285714</v>
      </c>
      <c r="CG53" s="116"/>
      <c r="CH53" s="116"/>
      <c r="CI53" s="116"/>
      <c r="CJ53" s="116"/>
      <c r="CK53" s="231"/>
      <c r="CL53" s="186"/>
      <c r="CM53" s="116"/>
      <c r="CN53" s="116"/>
      <c r="CO53" s="116"/>
      <c r="CP53" s="166"/>
      <c r="CQ53" s="213"/>
      <c r="CR53" s="213"/>
      <c r="CS53" s="116"/>
      <c r="CT53" s="213"/>
      <c r="CU53" s="213"/>
      <c r="CV53" s="213"/>
      <c r="CW53" s="128">
        <f t="shared" si="20"/>
        <v>0</v>
      </c>
      <c r="CX53" s="214">
        <f t="shared" si="21"/>
        <v>0</v>
      </c>
      <c r="CY53" s="171"/>
      <c r="CZ53" s="171"/>
      <c r="DA53" s="171"/>
      <c r="DB53" s="171"/>
      <c r="DC53" s="171"/>
      <c r="DD53" s="171"/>
      <c r="DE53" s="171"/>
      <c r="DF53" s="171"/>
      <c r="DG53" s="171"/>
      <c r="DH53" s="171"/>
      <c r="DI53" s="171"/>
      <c r="DJ53" s="171"/>
      <c r="DK53" s="128">
        <f t="shared" si="22"/>
        <v>0</v>
      </c>
      <c r="DL53" s="158" t="str">
        <f t="shared" si="23"/>
        <v>#DIV/0!</v>
      </c>
    </row>
    <row r="54" ht="15.75" customHeight="1">
      <c r="A54" s="146">
        <v>45.0</v>
      </c>
      <c r="B54" s="111" t="s">
        <v>141</v>
      </c>
      <c r="C54" s="112" t="s">
        <v>142</v>
      </c>
      <c r="D54" s="98">
        <f t="shared" si="8"/>
        <v>19</v>
      </c>
      <c r="E54" s="130">
        <f t="shared" si="9"/>
        <v>50</v>
      </c>
      <c r="F54" s="92" t="str">
        <f t="shared" si="10"/>
        <v>  </v>
      </c>
      <c r="G54" s="149" t="str">
        <f t="shared" si="11"/>
        <v>  </v>
      </c>
      <c r="H54" s="254"/>
      <c r="I54" s="254"/>
      <c r="J54" s="254"/>
      <c r="K54" s="254"/>
      <c r="L54" s="257"/>
      <c r="M54" s="139">
        <f t="shared" si="12"/>
        <v>0</v>
      </c>
      <c r="N54" s="140" t="str">
        <f t="shared" si="13"/>
        <v>#DIV/0!</v>
      </c>
      <c r="O54" s="116"/>
      <c r="P54" s="116"/>
      <c r="Q54" s="116"/>
      <c r="R54" s="179"/>
      <c r="S54" s="179"/>
      <c r="T54" s="116"/>
      <c r="U54" s="116"/>
      <c r="V54" s="179"/>
      <c r="W54" s="138">
        <v>1.0</v>
      </c>
      <c r="X54" s="116"/>
      <c r="Y54" s="179"/>
      <c r="Z54" s="210">
        <v>1.0</v>
      </c>
      <c r="AA54" s="217"/>
      <c r="AB54" s="116"/>
      <c r="AC54" s="179"/>
      <c r="AD54" s="116"/>
      <c r="AE54" s="116"/>
      <c r="AF54" s="182">
        <v>1.0</v>
      </c>
      <c r="AG54" s="182">
        <v>1.0</v>
      </c>
      <c r="AH54" s="176"/>
      <c r="AI54" s="116"/>
      <c r="AJ54" s="139">
        <f t="shared" si="14"/>
        <v>4</v>
      </c>
      <c r="AK54" s="205">
        <f t="shared" si="15"/>
        <v>57.14285714</v>
      </c>
      <c r="AL54" s="116"/>
      <c r="AM54" s="116"/>
      <c r="AN54" s="179"/>
      <c r="AO54" s="116"/>
      <c r="AP54" s="116"/>
      <c r="AQ54" s="116"/>
      <c r="AR54" s="138">
        <v>1.0</v>
      </c>
      <c r="AS54" s="191">
        <v>1.0</v>
      </c>
      <c r="AT54" s="116"/>
      <c r="AU54" s="116"/>
      <c r="AV54" s="138">
        <v>1.0</v>
      </c>
      <c r="AW54" s="179"/>
      <c r="AX54" s="138">
        <v>1.0</v>
      </c>
      <c r="AY54" s="116"/>
      <c r="AZ54" s="180"/>
      <c r="BA54" s="215">
        <v>1.0</v>
      </c>
      <c r="BB54" s="116"/>
      <c r="BC54" s="204"/>
      <c r="BD54" s="219">
        <v>1.0</v>
      </c>
      <c r="BE54" s="181"/>
      <c r="BF54" s="219">
        <v>1.0</v>
      </c>
      <c r="BG54" s="139">
        <f t="shared" si="16"/>
        <v>7</v>
      </c>
      <c r="BH54" s="208">
        <f t="shared" si="17"/>
        <v>50</v>
      </c>
      <c r="BI54" s="116"/>
      <c r="BJ54" s="116"/>
      <c r="BK54" s="180"/>
      <c r="BL54" s="116"/>
      <c r="BM54" s="116"/>
      <c r="BN54" s="116"/>
      <c r="BO54" s="138">
        <v>1.0</v>
      </c>
      <c r="BP54" s="116"/>
      <c r="BQ54" s="116"/>
      <c r="BR54" s="166"/>
      <c r="BS54" s="138">
        <v>1.0</v>
      </c>
      <c r="BT54" s="138">
        <v>1.0</v>
      </c>
      <c r="BU54" s="145">
        <v>1.0</v>
      </c>
      <c r="BV54" s="43"/>
      <c r="BW54" s="198"/>
      <c r="BX54" s="116"/>
      <c r="BY54" s="116"/>
      <c r="BZ54" s="196">
        <v>1.0</v>
      </c>
      <c r="CA54" s="116"/>
      <c r="CB54" s="196">
        <v>1.0</v>
      </c>
      <c r="CC54" s="196">
        <v>1.0</v>
      </c>
      <c r="CD54" s="196">
        <v>1.0</v>
      </c>
      <c r="CE54" s="124">
        <f t="shared" si="18"/>
        <v>8</v>
      </c>
      <c r="CF54" s="173">
        <f t="shared" si="19"/>
        <v>57.14285714</v>
      </c>
      <c r="CG54" s="179"/>
      <c r="CH54" s="238"/>
      <c r="CI54" s="186"/>
      <c r="CJ54" s="116"/>
      <c r="CK54" s="116"/>
      <c r="CL54" s="186"/>
      <c r="CM54" s="116"/>
      <c r="CN54" s="116"/>
      <c r="CO54" s="116"/>
      <c r="CP54" s="166"/>
      <c r="CQ54" s="213"/>
      <c r="CR54" s="213"/>
      <c r="CS54" s="213"/>
      <c r="CT54" s="213"/>
      <c r="CU54" s="213"/>
      <c r="CV54" s="213"/>
      <c r="CW54" s="128">
        <f t="shared" si="20"/>
        <v>0</v>
      </c>
      <c r="CX54" s="214">
        <f t="shared" si="21"/>
        <v>0</v>
      </c>
      <c r="CY54" s="171"/>
      <c r="CZ54" s="171"/>
      <c r="DA54" s="171"/>
      <c r="DB54" s="171"/>
      <c r="DC54" s="171"/>
      <c r="DD54" s="171"/>
      <c r="DE54" s="171"/>
      <c r="DF54" s="171"/>
      <c r="DG54" s="171"/>
      <c r="DH54" s="171"/>
      <c r="DI54" s="171"/>
      <c r="DJ54" s="171"/>
      <c r="DK54" s="128">
        <f t="shared" si="22"/>
        <v>0</v>
      </c>
      <c r="DL54" s="158" t="str">
        <f t="shared" si="23"/>
        <v>#DIV/0!</v>
      </c>
    </row>
    <row r="55" ht="15.75" customHeight="1">
      <c r="A55" s="50">
        <v>46.0</v>
      </c>
      <c r="B55" s="111" t="s">
        <v>143</v>
      </c>
      <c r="C55" s="112" t="s">
        <v>144</v>
      </c>
      <c r="D55" s="98">
        <f t="shared" si="8"/>
        <v>21</v>
      </c>
      <c r="E55" s="130">
        <f t="shared" si="9"/>
        <v>55.26315789</v>
      </c>
      <c r="F55" s="114" t="str">
        <f t="shared" si="10"/>
        <v>  </v>
      </c>
      <c r="G55" s="149" t="str">
        <f t="shared" si="11"/>
        <v>  </v>
      </c>
      <c r="H55" s="256"/>
      <c r="I55" s="254"/>
      <c r="J55" s="256"/>
      <c r="K55" s="254"/>
      <c r="L55" s="257"/>
      <c r="M55" s="139">
        <f t="shared" si="12"/>
        <v>0</v>
      </c>
      <c r="N55" s="140" t="str">
        <f t="shared" si="13"/>
        <v>#DIV/0!</v>
      </c>
      <c r="O55" s="116"/>
      <c r="P55" s="116"/>
      <c r="Q55" s="116"/>
      <c r="R55" s="179"/>
      <c r="S55" s="179"/>
      <c r="T55" s="116"/>
      <c r="U55" s="116"/>
      <c r="V55" s="179"/>
      <c r="W55" s="116"/>
      <c r="X55" s="116"/>
      <c r="Y55" s="179"/>
      <c r="Z55" s="185"/>
      <c r="AA55" s="187">
        <v>1.0</v>
      </c>
      <c r="AB55" s="138">
        <v>1.0</v>
      </c>
      <c r="AC55" s="184">
        <v>1.0</v>
      </c>
      <c r="AD55" s="116"/>
      <c r="AE55" s="116"/>
      <c r="AF55" s="176"/>
      <c r="AG55" s="182">
        <v>1.0</v>
      </c>
      <c r="AH55" s="116"/>
      <c r="AI55" s="176"/>
      <c r="AJ55" s="139">
        <f t="shared" si="14"/>
        <v>4</v>
      </c>
      <c r="AK55" s="205">
        <f t="shared" si="15"/>
        <v>57.14285714</v>
      </c>
      <c r="AL55" s="222"/>
      <c r="AM55" s="179"/>
      <c r="AN55" s="184">
        <v>1.0</v>
      </c>
      <c r="AO55" s="138">
        <v>1.0</v>
      </c>
      <c r="AP55" s="138">
        <v>1.0</v>
      </c>
      <c r="AQ55" s="116"/>
      <c r="AR55" s="116"/>
      <c r="AS55" s="166"/>
      <c r="AT55" s="116"/>
      <c r="AU55" s="116"/>
      <c r="AV55" s="116"/>
      <c r="AW55" s="179"/>
      <c r="AX55" s="138">
        <v>1.0</v>
      </c>
      <c r="AY55" s="116"/>
      <c r="AZ55" s="116"/>
      <c r="BA55" s="215">
        <v>1.0</v>
      </c>
      <c r="BB55" s="138">
        <v>1.0</v>
      </c>
      <c r="BC55" s="138">
        <v>1.0</v>
      </c>
      <c r="BD55" s="188">
        <v>1.0</v>
      </c>
      <c r="BE55" s="194"/>
      <c r="BF55" s="194"/>
      <c r="BG55" s="139">
        <f t="shared" si="16"/>
        <v>8</v>
      </c>
      <c r="BH55" s="208">
        <f t="shared" si="17"/>
        <v>57.14285714</v>
      </c>
      <c r="BI55" s="138">
        <v>1.0</v>
      </c>
      <c r="BJ55" s="116"/>
      <c r="BK55" s="180"/>
      <c r="BL55" s="116"/>
      <c r="BM55" s="116"/>
      <c r="BN55" s="116"/>
      <c r="BO55" s="138">
        <v>1.0</v>
      </c>
      <c r="BP55" s="116"/>
      <c r="BQ55" s="211"/>
      <c r="BR55" s="191">
        <v>1.0</v>
      </c>
      <c r="BS55" s="138">
        <v>1.0</v>
      </c>
      <c r="BT55" s="138">
        <v>1.0</v>
      </c>
      <c r="BU55" s="43"/>
      <c r="BV55" s="43"/>
      <c r="BW55" s="198"/>
      <c r="BX55" s="138">
        <v>1.0</v>
      </c>
      <c r="BY55" s="138">
        <v>1.0</v>
      </c>
      <c r="BZ55" s="196">
        <v>1.0</v>
      </c>
      <c r="CA55" s="116"/>
      <c r="CB55" s="165"/>
      <c r="CC55" s="196">
        <v>1.0</v>
      </c>
      <c r="CD55" s="196"/>
      <c r="CE55" s="124">
        <f t="shared" si="18"/>
        <v>9</v>
      </c>
      <c r="CF55" s="173">
        <f t="shared" si="19"/>
        <v>64.28571429</v>
      </c>
      <c r="CG55" s="116"/>
      <c r="CH55" s="238"/>
      <c r="CI55" s="186"/>
      <c r="CJ55" s="116"/>
      <c r="CK55" s="116"/>
      <c r="CL55" s="186"/>
      <c r="CM55" s="116"/>
      <c r="CN55" s="223"/>
      <c r="CO55" s="116"/>
      <c r="CP55" s="166"/>
      <c r="CQ55" s="213"/>
      <c r="CR55" s="213"/>
      <c r="CS55" s="116"/>
      <c r="CT55" s="213"/>
      <c r="CU55" s="213"/>
      <c r="CV55" s="213"/>
      <c r="CW55" s="128">
        <f t="shared" si="20"/>
        <v>0</v>
      </c>
      <c r="CX55" s="214">
        <f t="shared" si="21"/>
        <v>0</v>
      </c>
      <c r="CY55" s="171"/>
      <c r="CZ55" s="171"/>
      <c r="DA55" s="171"/>
      <c r="DB55" s="171"/>
      <c r="DC55" s="171"/>
      <c r="DD55" s="171"/>
      <c r="DE55" s="171"/>
      <c r="DF55" s="171"/>
      <c r="DG55" s="171"/>
      <c r="DH55" s="171"/>
      <c r="DI55" s="171"/>
      <c r="DJ55" s="171"/>
      <c r="DK55" s="128">
        <f t="shared" si="22"/>
        <v>0</v>
      </c>
      <c r="DL55" s="158" t="str">
        <f t="shared" si="23"/>
        <v>#DIV/0!</v>
      </c>
    </row>
    <row r="56" ht="15.75" customHeight="1">
      <c r="A56" s="131">
        <v>47.0</v>
      </c>
      <c r="B56" s="111" t="s">
        <v>145</v>
      </c>
      <c r="C56" s="112" t="s">
        <v>146</v>
      </c>
      <c r="D56" s="98">
        <f t="shared" si="8"/>
        <v>20</v>
      </c>
      <c r="E56" s="130">
        <f t="shared" si="9"/>
        <v>52.63157895</v>
      </c>
      <c r="F56" s="92" t="str">
        <f t="shared" si="10"/>
        <v>  </v>
      </c>
      <c r="G56" s="149" t="str">
        <f t="shared" si="11"/>
        <v>  </v>
      </c>
      <c r="H56" s="254"/>
      <c r="I56" s="255"/>
      <c r="J56" s="254"/>
      <c r="K56" s="254"/>
      <c r="L56" s="257"/>
      <c r="M56" s="139">
        <f t="shared" si="12"/>
        <v>0</v>
      </c>
      <c r="N56" s="140" t="str">
        <f t="shared" si="13"/>
        <v>#DIV/0!</v>
      </c>
      <c r="O56" s="116"/>
      <c r="P56" s="116"/>
      <c r="Q56" s="116"/>
      <c r="R56" s="179"/>
      <c r="S56" s="116"/>
      <c r="T56" s="116"/>
      <c r="U56" s="116"/>
      <c r="V56" s="179"/>
      <c r="W56" s="138">
        <v>1.0</v>
      </c>
      <c r="X56" s="116"/>
      <c r="Y56" s="179"/>
      <c r="Z56" s="210">
        <v>1.0</v>
      </c>
      <c r="AA56" s="187">
        <v>1.0</v>
      </c>
      <c r="AB56" s="138">
        <v>1.0</v>
      </c>
      <c r="AC56" s="179"/>
      <c r="AD56" s="116"/>
      <c r="AE56" s="116"/>
      <c r="AF56" s="182">
        <v>1.0</v>
      </c>
      <c r="AG56" s="182">
        <v>1.0</v>
      </c>
      <c r="AH56" s="116"/>
      <c r="AI56" s="176"/>
      <c r="AJ56" s="139">
        <f t="shared" si="14"/>
        <v>6</v>
      </c>
      <c r="AK56" s="205">
        <f t="shared" si="15"/>
        <v>85.71428571</v>
      </c>
      <c r="AL56" s="116"/>
      <c r="AM56" s="138">
        <v>1.0</v>
      </c>
      <c r="AN56" s="179"/>
      <c r="AO56" s="184">
        <v>1.0</v>
      </c>
      <c r="AP56" s="184">
        <v>1.0</v>
      </c>
      <c r="AQ56" s="116"/>
      <c r="AR56" s="138">
        <v>1.0</v>
      </c>
      <c r="AS56" s="191">
        <v>1.0</v>
      </c>
      <c r="AT56" s="116"/>
      <c r="AU56" s="116"/>
      <c r="AV56" s="116"/>
      <c r="AW56" s="179"/>
      <c r="AX56" s="116"/>
      <c r="AY56" s="116"/>
      <c r="AZ56" s="116"/>
      <c r="BA56" s="215">
        <v>1.0</v>
      </c>
      <c r="BB56" s="116"/>
      <c r="BC56" s="116"/>
      <c r="BD56" s="194"/>
      <c r="BE56" s="194"/>
      <c r="BF56" s="188">
        <v>1.0</v>
      </c>
      <c r="BG56" s="139">
        <f t="shared" si="16"/>
        <v>7</v>
      </c>
      <c r="BH56" s="208">
        <f t="shared" si="17"/>
        <v>50</v>
      </c>
      <c r="BI56" s="116"/>
      <c r="BJ56" s="116"/>
      <c r="BK56" s="180"/>
      <c r="BL56" s="116"/>
      <c r="BM56" s="116"/>
      <c r="BN56" s="116"/>
      <c r="BO56" s="138">
        <v>1.0</v>
      </c>
      <c r="BP56" s="116"/>
      <c r="BQ56" s="116"/>
      <c r="BR56" s="116"/>
      <c r="BS56" s="116"/>
      <c r="BT56" s="116"/>
      <c r="BV56" s="116"/>
      <c r="BW56" s="216">
        <v>1.0</v>
      </c>
      <c r="BX56" s="116"/>
      <c r="BY56" s="116"/>
      <c r="BZ56" s="196">
        <v>1.0</v>
      </c>
      <c r="CA56" s="116"/>
      <c r="CB56" s="138">
        <v>1.0</v>
      </c>
      <c r="CC56" s="165"/>
      <c r="CD56" s="196">
        <v>1.0</v>
      </c>
      <c r="CE56" s="124">
        <f t="shared" si="18"/>
        <v>5</v>
      </c>
      <c r="CF56" s="173">
        <f t="shared" si="19"/>
        <v>35.71428571</v>
      </c>
      <c r="CG56" s="184">
        <v>1.0</v>
      </c>
      <c r="CH56" s="138">
        <v>1.0</v>
      </c>
      <c r="CI56" s="116"/>
      <c r="CJ56" s="116"/>
      <c r="CK56" s="116"/>
      <c r="CL56" s="186"/>
      <c r="CM56" s="116"/>
      <c r="CN56" s="116"/>
      <c r="CO56" s="116"/>
      <c r="CP56" s="166"/>
      <c r="CQ56" s="213"/>
      <c r="CR56" s="213"/>
      <c r="CS56" s="116"/>
      <c r="CT56" s="116"/>
      <c r="CU56" s="116"/>
      <c r="CV56" s="213"/>
      <c r="CW56" s="128">
        <f t="shared" si="20"/>
        <v>2</v>
      </c>
      <c r="CX56" s="214">
        <f t="shared" si="21"/>
        <v>66.66666667</v>
      </c>
      <c r="CY56" s="171"/>
      <c r="CZ56" s="171"/>
      <c r="DA56" s="171"/>
      <c r="DB56" s="171"/>
      <c r="DC56" s="171"/>
      <c r="DD56" s="171"/>
      <c r="DE56" s="171"/>
      <c r="DF56" s="171"/>
      <c r="DG56" s="171"/>
      <c r="DH56" s="171"/>
      <c r="DI56" s="171"/>
      <c r="DJ56" s="171"/>
      <c r="DK56" s="128">
        <f t="shared" si="22"/>
        <v>0</v>
      </c>
      <c r="DL56" s="158" t="str">
        <f t="shared" si="23"/>
        <v>#DIV/0!</v>
      </c>
    </row>
    <row r="57" ht="15.75" customHeight="1">
      <c r="A57" s="146">
        <v>48.0</v>
      </c>
      <c r="B57" s="111" t="s">
        <v>147</v>
      </c>
      <c r="C57" s="112" t="s">
        <v>148</v>
      </c>
      <c r="D57" s="98">
        <f t="shared" si="8"/>
        <v>16</v>
      </c>
      <c r="E57" s="130">
        <f t="shared" si="9"/>
        <v>42.10526316</v>
      </c>
      <c r="F57" s="114">
        <f t="shared" si="10"/>
        <v>42.10526316</v>
      </c>
      <c r="G57" s="226" t="str">
        <f t="shared" si="11"/>
        <v>  </v>
      </c>
      <c r="H57" s="254"/>
      <c r="I57" s="256"/>
      <c r="J57" s="256"/>
      <c r="K57" s="254"/>
      <c r="L57" s="257"/>
      <c r="M57" s="139">
        <f t="shared" si="12"/>
        <v>0</v>
      </c>
      <c r="N57" s="140" t="str">
        <f t="shared" si="13"/>
        <v>#DIV/0!</v>
      </c>
      <c r="O57" s="116"/>
      <c r="P57" s="116"/>
      <c r="Q57" s="180"/>
      <c r="R57" s="179"/>
      <c r="S57" s="179"/>
      <c r="T57" s="116"/>
      <c r="U57" s="116"/>
      <c r="V57" s="179"/>
      <c r="W57" s="138">
        <v>1.0</v>
      </c>
      <c r="X57" s="116"/>
      <c r="Y57" s="179"/>
      <c r="Z57" s="210">
        <v>1.0</v>
      </c>
      <c r="AA57" s="217"/>
      <c r="AB57" s="138">
        <v>1.0</v>
      </c>
      <c r="AC57" s="179"/>
      <c r="AD57" s="116"/>
      <c r="AE57" s="116"/>
      <c r="AF57" s="182">
        <v>1.0</v>
      </c>
      <c r="AG57" s="182">
        <v>1.0</v>
      </c>
      <c r="AH57" s="176"/>
      <c r="AI57" s="116"/>
      <c r="AJ57" s="139">
        <f t="shared" si="14"/>
        <v>5</v>
      </c>
      <c r="AK57" s="205">
        <f t="shared" si="15"/>
        <v>71.42857143</v>
      </c>
      <c r="AL57" s="116"/>
      <c r="AM57" s="116"/>
      <c r="AN57" s="179"/>
      <c r="AO57" s="116"/>
      <c r="AP57" s="116"/>
      <c r="AQ57" s="116"/>
      <c r="AR57" s="116"/>
      <c r="AS57" s="166"/>
      <c r="AT57" s="116"/>
      <c r="AU57" s="116"/>
      <c r="AV57" s="116"/>
      <c r="AW57" s="179"/>
      <c r="AX57" s="138">
        <v>1.0</v>
      </c>
      <c r="AY57" s="116"/>
      <c r="AZ57" s="180"/>
      <c r="BA57" s="215">
        <v>1.0</v>
      </c>
      <c r="BB57" s="116"/>
      <c r="BC57" s="218">
        <v>1.0</v>
      </c>
      <c r="BD57" s="181"/>
      <c r="BE57" s="181"/>
      <c r="BF57" s="219">
        <v>1.0</v>
      </c>
      <c r="BG57" s="139">
        <f t="shared" si="16"/>
        <v>4</v>
      </c>
      <c r="BH57" s="208">
        <f t="shared" si="17"/>
        <v>28.57142857</v>
      </c>
      <c r="BI57" s="138">
        <v>1.0</v>
      </c>
      <c r="BJ57" s="138">
        <v>1.0</v>
      </c>
      <c r="BK57" s="180"/>
      <c r="BL57" s="116"/>
      <c r="BM57" s="116"/>
      <c r="BN57" s="116"/>
      <c r="BO57" s="138">
        <v>1.0</v>
      </c>
      <c r="BP57" s="116"/>
      <c r="BQ57" s="116"/>
      <c r="BR57" s="166"/>
      <c r="BS57" s="138">
        <v>1.0</v>
      </c>
      <c r="BT57" s="138">
        <v>1.0</v>
      </c>
      <c r="BV57" s="43"/>
      <c r="BW57" s="198"/>
      <c r="BX57" s="138">
        <v>1.0</v>
      </c>
      <c r="BY57" s="138">
        <v>1.0</v>
      </c>
      <c r="BZ57" s="165"/>
      <c r="CA57" s="116"/>
      <c r="CB57" s="165"/>
      <c r="CC57" s="165"/>
      <c r="CD57" s="165"/>
      <c r="CE57" s="124">
        <f t="shared" si="18"/>
        <v>7</v>
      </c>
      <c r="CF57" s="173">
        <f t="shared" si="19"/>
        <v>50</v>
      </c>
      <c r="CG57" s="116"/>
      <c r="CH57" s="116"/>
      <c r="CI57" s="116"/>
      <c r="CJ57" s="116"/>
      <c r="CK57" s="116"/>
      <c r="CL57" s="186"/>
      <c r="CM57" s="116"/>
      <c r="CN57" s="116"/>
      <c r="CO57" s="116"/>
      <c r="CP57" s="166"/>
      <c r="CQ57" s="213"/>
      <c r="CR57" s="213"/>
      <c r="CS57" s="213"/>
      <c r="CT57" s="213"/>
      <c r="CU57" s="213"/>
      <c r="CV57" s="213"/>
      <c r="CW57" s="128">
        <f t="shared" si="20"/>
        <v>0</v>
      </c>
      <c r="CX57" s="214">
        <f t="shared" si="21"/>
        <v>0</v>
      </c>
      <c r="CY57" s="171"/>
      <c r="CZ57" s="171"/>
      <c r="DA57" s="171"/>
      <c r="DB57" s="171"/>
      <c r="DC57" s="171"/>
      <c r="DD57" s="171"/>
      <c r="DE57" s="171"/>
      <c r="DF57" s="171"/>
      <c r="DG57" s="171"/>
      <c r="DH57" s="171"/>
      <c r="DI57" s="171"/>
      <c r="DJ57" s="171"/>
      <c r="DK57" s="128">
        <f t="shared" si="22"/>
        <v>0</v>
      </c>
      <c r="DL57" s="158" t="str">
        <f t="shared" si="23"/>
        <v>#DIV/0!</v>
      </c>
    </row>
    <row r="58" ht="15.75" customHeight="1">
      <c r="A58" s="50">
        <v>49.0</v>
      </c>
      <c r="B58" s="111" t="s">
        <v>149</v>
      </c>
      <c r="C58" s="112" t="s">
        <v>150</v>
      </c>
      <c r="D58" s="98">
        <f t="shared" si="8"/>
        <v>20</v>
      </c>
      <c r="E58" s="130">
        <f t="shared" si="9"/>
        <v>52.63157895</v>
      </c>
      <c r="F58" s="114" t="str">
        <f t="shared" si="10"/>
        <v>  </v>
      </c>
      <c r="G58" s="149" t="str">
        <f t="shared" si="11"/>
        <v>  </v>
      </c>
      <c r="H58" s="254"/>
      <c r="I58" s="254"/>
      <c r="J58" s="254"/>
      <c r="K58" s="254"/>
      <c r="L58" s="257"/>
      <c r="M58" s="139">
        <f t="shared" si="12"/>
        <v>0</v>
      </c>
      <c r="N58" s="140" t="str">
        <f t="shared" si="13"/>
        <v>#DIV/0!</v>
      </c>
      <c r="O58" s="116"/>
      <c r="P58" s="116"/>
      <c r="Q58" s="180"/>
      <c r="R58" s="179"/>
      <c r="S58" s="179"/>
      <c r="T58" s="116"/>
      <c r="U58" s="116"/>
      <c r="V58" s="179"/>
      <c r="W58" s="116"/>
      <c r="X58" s="116"/>
      <c r="Y58" s="179"/>
      <c r="Z58" s="185"/>
      <c r="AA58" s="187">
        <v>1.0</v>
      </c>
      <c r="AB58" s="138">
        <v>1.0</v>
      </c>
      <c r="AC58" s="179"/>
      <c r="AD58" s="176"/>
      <c r="AE58" s="116"/>
      <c r="AF58" s="182">
        <v>1.0</v>
      </c>
      <c r="AG58" s="182">
        <v>1.0</v>
      </c>
      <c r="AH58" s="116"/>
      <c r="AI58" s="116"/>
      <c r="AJ58" s="139">
        <f t="shared" si="14"/>
        <v>4</v>
      </c>
      <c r="AK58" s="205">
        <f t="shared" si="15"/>
        <v>57.14285714</v>
      </c>
      <c r="AL58" s="116"/>
      <c r="AM58" s="138">
        <v>1.0</v>
      </c>
      <c r="AN58" s="184">
        <v>1.0</v>
      </c>
      <c r="AO58" s="116"/>
      <c r="AP58" s="116"/>
      <c r="AQ58" s="116"/>
      <c r="AR58" s="138">
        <v>1.0</v>
      </c>
      <c r="AS58" s="191">
        <v>1.0</v>
      </c>
      <c r="AT58" s="116"/>
      <c r="AU58" s="116"/>
      <c r="AV58" s="116"/>
      <c r="AW58" s="179"/>
      <c r="AX58" s="138">
        <v>1.0</v>
      </c>
      <c r="AY58" s="116"/>
      <c r="AZ58" s="116"/>
      <c r="BA58" s="215">
        <v>1.0</v>
      </c>
      <c r="BB58" s="116"/>
      <c r="BC58" s="218">
        <v>1.0</v>
      </c>
      <c r="BD58" s="181"/>
      <c r="BE58" s="181"/>
      <c r="BF58" s="219">
        <v>1.0</v>
      </c>
      <c r="BG58" s="139">
        <f t="shared" si="16"/>
        <v>8</v>
      </c>
      <c r="BH58" s="208">
        <f t="shared" si="17"/>
        <v>57.14285714</v>
      </c>
      <c r="BI58" s="138">
        <v>1.0</v>
      </c>
      <c r="BJ58" s="138">
        <v>1.0</v>
      </c>
      <c r="BK58" s="180"/>
      <c r="BL58" s="116"/>
      <c r="BM58" s="116"/>
      <c r="BN58" s="116"/>
      <c r="BO58" s="138">
        <v>1.0</v>
      </c>
      <c r="BP58" s="116"/>
      <c r="BQ58" s="116"/>
      <c r="BR58" s="166"/>
      <c r="BS58" s="138">
        <v>1.0</v>
      </c>
      <c r="BT58" s="138">
        <v>1.0</v>
      </c>
      <c r="BV58" s="43"/>
      <c r="BW58" s="198"/>
      <c r="BX58" s="43"/>
      <c r="BY58" s="116"/>
      <c r="BZ58" s="196">
        <v>1.0</v>
      </c>
      <c r="CA58" s="165"/>
      <c r="CB58" s="116"/>
      <c r="CC58" s="196">
        <v>1.0</v>
      </c>
      <c r="CD58" s="196">
        <v>1.0</v>
      </c>
      <c r="CE58" s="124">
        <f t="shared" si="18"/>
        <v>8</v>
      </c>
      <c r="CF58" s="173">
        <f t="shared" si="19"/>
        <v>57.14285714</v>
      </c>
      <c r="CG58" s="179"/>
      <c r="CH58" s="116"/>
      <c r="CI58" s="186"/>
      <c r="CJ58" s="116"/>
      <c r="CK58" s="116"/>
      <c r="CL58" s="186"/>
      <c r="CM58" s="223"/>
      <c r="CN58" s="223"/>
      <c r="CO58" s="116"/>
      <c r="CP58" s="166"/>
      <c r="CQ58" s="213"/>
      <c r="CR58" s="213"/>
      <c r="CS58" s="213"/>
      <c r="CT58" s="116"/>
      <c r="CU58" s="213"/>
      <c r="CV58" s="213"/>
      <c r="CW58" s="128">
        <f t="shared" si="20"/>
        <v>0</v>
      </c>
      <c r="CX58" s="214">
        <f t="shared" si="21"/>
        <v>0</v>
      </c>
      <c r="CY58" s="171"/>
      <c r="CZ58" s="171"/>
      <c r="DA58" s="171"/>
      <c r="DB58" s="171"/>
      <c r="DC58" s="171"/>
      <c r="DD58" s="171"/>
      <c r="DE58" s="171"/>
      <c r="DF58" s="171"/>
      <c r="DG58" s="171"/>
      <c r="DH58" s="171"/>
      <c r="DI58" s="171"/>
      <c r="DJ58" s="171"/>
      <c r="DK58" s="128">
        <f t="shared" si="22"/>
        <v>0</v>
      </c>
      <c r="DL58" s="158" t="str">
        <f t="shared" si="23"/>
        <v>#DIV/0!</v>
      </c>
    </row>
    <row r="59" ht="15.75" customHeight="1">
      <c r="A59" s="131">
        <v>50.0</v>
      </c>
      <c r="B59" s="111" t="s">
        <v>151</v>
      </c>
      <c r="C59" s="112" t="s">
        <v>152</v>
      </c>
      <c r="D59" s="98">
        <f t="shared" si="8"/>
        <v>28</v>
      </c>
      <c r="E59" s="130">
        <f t="shared" si="9"/>
        <v>73.68421053</v>
      </c>
      <c r="F59" s="92" t="str">
        <f t="shared" si="10"/>
        <v>  </v>
      </c>
      <c r="G59" s="149" t="str">
        <f t="shared" si="11"/>
        <v>  </v>
      </c>
      <c r="H59" s="254"/>
      <c r="I59" s="258"/>
      <c r="J59" s="256"/>
      <c r="K59" s="254"/>
      <c r="L59" s="257"/>
      <c r="M59" s="139">
        <f t="shared" si="12"/>
        <v>0</v>
      </c>
      <c r="N59" s="140" t="str">
        <f t="shared" si="13"/>
        <v>#DIV/0!</v>
      </c>
      <c r="O59" s="116"/>
      <c r="P59" s="116"/>
      <c r="Q59" s="116"/>
      <c r="R59" s="186"/>
      <c r="S59" s="186"/>
      <c r="T59" s="116"/>
      <c r="U59" s="116"/>
      <c r="V59" s="186"/>
      <c r="W59" s="138">
        <v>1.0</v>
      </c>
      <c r="X59" s="116"/>
      <c r="Y59" s="186"/>
      <c r="Z59" s="210">
        <v>1.0</v>
      </c>
      <c r="AA59" s="187"/>
      <c r="AB59" s="138">
        <v>1.0</v>
      </c>
      <c r="AC59" s="200">
        <v>1.0</v>
      </c>
      <c r="AD59" s="116"/>
      <c r="AE59" s="116"/>
      <c r="AF59" s="195"/>
      <c r="AG59" s="197">
        <v>1.0</v>
      </c>
      <c r="AH59" s="116"/>
      <c r="AI59" s="195"/>
      <c r="AJ59" s="139">
        <f t="shared" si="14"/>
        <v>5</v>
      </c>
      <c r="AK59" s="205">
        <f t="shared" si="15"/>
        <v>71.42857143</v>
      </c>
      <c r="AL59" s="116"/>
      <c r="AM59" s="116"/>
      <c r="AN59" s="186"/>
      <c r="AO59" s="138">
        <v>1.0</v>
      </c>
      <c r="AP59" s="138">
        <v>1.0</v>
      </c>
      <c r="AQ59" s="138">
        <v>1.0</v>
      </c>
      <c r="AR59" s="138">
        <v>1.0</v>
      </c>
      <c r="AS59" s="191">
        <v>1.0</v>
      </c>
      <c r="AT59" s="116"/>
      <c r="AU59" s="116"/>
      <c r="AV59" s="116"/>
      <c r="AW59" s="186"/>
      <c r="AX59" s="138">
        <v>1.0</v>
      </c>
      <c r="AY59" s="116"/>
      <c r="AZ59" s="116"/>
      <c r="BA59" s="215">
        <v>1.0</v>
      </c>
      <c r="BB59" s="138">
        <v>1.0</v>
      </c>
      <c r="BC59" s="138">
        <v>1.0</v>
      </c>
      <c r="BD59" s="188">
        <v>1.0</v>
      </c>
      <c r="BE59" s="194"/>
      <c r="BF59" s="194"/>
      <c r="BG59" s="139">
        <f t="shared" si="16"/>
        <v>10</v>
      </c>
      <c r="BH59" s="208">
        <f t="shared" si="17"/>
        <v>71.42857143</v>
      </c>
      <c r="BI59" s="116"/>
      <c r="BJ59" s="138">
        <v>1.0</v>
      </c>
      <c r="BK59" s="180"/>
      <c r="BL59" s="116"/>
      <c r="BM59" s="116"/>
      <c r="BN59" s="116"/>
      <c r="BO59" s="138">
        <v>1.0</v>
      </c>
      <c r="BP59" s="116"/>
      <c r="BQ59" s="116"/>
      <c r="BR59" s="191">
        <v>1.0</v>
      </c>
      <c r="BS59" s="116"/>
      <c r="BT59" s="138">
        <v>1.0</v>
      </c>
      <c r="BU59" s="241">
        <v>1.0</v>
      </c>
      <c r="BV59" s="116"/>
      <c r="BW59" s="216">
        <v>1.0</v>
      </c>
      <c r="BX59" s="138">
        <v>1.0</v>
      </c>
      <c r="BY59" s="138">
        <v>1.0</v>
      </c>
      <c r="BZ59" s="196">
        <v>1.0</v>
      </c>
      <c r="CA59" s="116"/>
      <c r="CB59" s="138">
        <v>1.0</v>
      </c>
      <c r="CC59" s="196">
        <v>1.0</v>
      </c>
      <c r="CD59" s="196">
        <v>1.0</v>
      </c>
      <c r="CE59" s="124">
        <f t="shared" si="18"/>
        <v>12</v>
      </c>
      <c r="CF59" s="173">
        <f t="shared" si="19"/>
        <v>85.71428571</v>
      </c>
      <c r="CG59" s="138">
        <v>1.0</v>
      </c>
      <c r="CH59" s="116"/>
      <c r="CI59" s="116"/>
      <c r="CJ59" s="116"/>
      <c r="CK59" s="116"/>
      <c r="CL59" s="186"/>
      <c r="CM59" s="116"/>
      <c r="CN59" s="116"/>
      <c r="CO59" s="116"/>
      <c r="CP59" s="166"/>
      <c r="CQ59" s="213"/>
      <c r="CR59" s="213"/>
      <c r="CS59" s="116"/>
      <c r="CT59" s="116"/>
      <c r="CU59" s="116"/>
      <c r="CV59" s="213"/>
      <c r="CW59" s="128">
        <f t="shared" si="20"/>
        <v>1</v>
      </c>
      <c r="CX59" s="214">
        <f t="shared" si="21"/>
        <v>33.33333333</v>
      </c>
      <c r="CY59" s="171"/>
      <c r="CZ59" s="171"/>
      <c r="DA59" s="171"/>
      <c r="DB59" s="171"/>
      <c r="DC59" s="171"/>
      <c r="DD59" s="171"/>
      <c r="DE59" s="171"/>
      <c r="DF59" s="171"/>
      <c r="DG59" s="171"/>
      <c r="DH59" s="171"/>
      <c r="DI59" s="171"/>
      <c r="DJ59" s="171"/>
      <c r="DK59" s="128">
        <f t="shared" si="22"/>
        <v>0</v>
      </c>
      <c r="DL59" s="158" t="str">
        <f t="shared" si="23"/>
        <v>#DIV/0!</v>
      </c>
    </row>
    <row r="60" ht="15.75" customHeight="1">
      <c r="A60" s="146">
        <v>51.0</v>
      </c>
      <c r="B60" s="111" t="s">
        <v>153</v>
      </c>
      <c r="C60" s="112" t="s">
        <v>154</v>
      </c>
      <c r="D60" s="98">
        <f t="shared" si="8"/>
        <v>16</v>
      </c>
      <c r="E60" s="130">
        <f t="shared" si="9"/>
        <v>42.10526316</v>
      </c>
      <c r="F60" s="114">
        <f t="shared" si="10"/>
        <v>42.10526316</v>
      </c>
      <c r="G60" s="226" t="str">
        <f t="shared" si="11"/>
        <v>  </v>
      </c>
      <c r="H60" s="254"/>
      <c r="I60" s="258"/>
      <c r="J60" s="258"/>
      <c r="K60" s="254"/>
      <c r="L60" s="257"/>
      <c r="M60" s="139">
        <f t="shared" si="12"/>
        <v>0</v>
      </c>
      <c r="N60" s="140" t="str">
        <f t="shared" si="13"/>
        <v>#DIV/0!</v>
      </c>
      <c r="O60" s="116"/>
      <c r="P60" s="116"/>
      <c r="Q60" s="180"/>
      <c r="R60" s="186"/>
      <c r="S60" s="186"/>
      <c r="T60" s="116"/>
      <c r="U60" s="116"/>
      <c r="V60" s="186"/>
      <c r="W60" s="116"/>
      <c r="X60" s="116"/>
      <c r="Y60" s="186"/>
      <c r="Z60" s="185"/>
      <c r="AA60" s="217"/>
      <c r="AB60" s="116"/>
      <c r="AC60" s="186"/>
      <c r="AD60" s="195"/>
      <c r="AE60" s="116"/>
      <c r="AF60" s="195"/>
      <c r="AG60" s="197">
        <v>1.0</v>
      </c>
      <c r="AH60" s="195"/>
      <c r="AI60" s="195"/>
      <c r="AJ60" s="139">
        <f t="shared" si="14"/>
        <v>1</v>
      </c>
      <c r="AK60" s="205">
        <f t="shared" si="15"/>
        <v>14.28571429</v>
      </c>
      <c r="AL60" s="225"/>
      <c r="AM60" s="116"/>
      <c r="AN60" s="200">
        <v>1.0</v>
      </c>
      <c r="AO60" s="138">
        <v>1.0</v>
      </c>
      <c r="AP60" s="138">
        <v>1.0</v>
      </c>
      <c r="AQ60" s="116"/>
      <c r="AR60" s="116"/>
      <c r="AS60" s="191">
        <v>1.0</v>
      </c>
      <c r="AT60" s="116"/>
      <c r="AU60" s="116"/>
      <c r="AV60" s="138">
        <v>1.0</v>
      </c>
      <c r="AW60" s="186"/>
      <c r="AX60" s="138">
        <v>1.0</v>
      </c>
      <c r="AY60" s="116"/>
      <c r="AZ60" s="180"/>
      <c r="BA60" s="215">
        <v>1.0</v>
      </c>
      <c r="BB60" s="204"/>
      <c r="BC60" s="204"/>
      <c r="BD60" s="181"/>
      <c r="BE60" s="181"/>
      <c r="BF60" s="181"/>
      <c r="BG60" s="139">
        <f t="shared" si="16"/>
        <v>7</v>
      </c>
      <c r="BH60" s="208">
        <f t="shared" si="17"/>
        <v>50</v>
      </c>
      <c r="BI60" s="138">
        <v>1.0</v>
      </c>
      <c r="BJ60" s="215">
        <v>1.0</v>
      </c>
      <c r="BK60" s="180"/>
      <c r="BL60" s="116"/>
      <c r="BM60" s="116"/>
      <c r="BN60" s="116"/>
      <c r="BO60" s="116"/>
      <c r="BP60" s="116"/>
      <c r="BQ60" s="211"/>
      <c r="BR60" s="166"/>
      <c r="BS60" s="165"/>
      <c r="BT60" s="185"/>
      <c r="BU60" s="43"/>
      <c r="BV60" s="43"/>
      <c r="BW60" s="216">
        <v>1.0</v>
      </c>
      <c r="BX60" s="145">
        <v>1.0</v>
      </c>
      <c r="BY60" s="116"/>
      <c r="BZ60" s="196">
        <v>1.0</v>
      </c>
      <c r="CA60" s="165"/>
      <c r="CB60" s="165"/>
      <c r="CC60" s="196">
        <v>1.0</v>
      </c>
      <c r="CD60" s="196">
        <v>1.0</v>
      </c>
      <c r="CE60" s="124">
        <f t="shared" si="18"/>
        <v>7</v>
      </c>
      <c r="CF60" s="173">
        <f t="shared" si="19"/>
        <v>50</v>
      </c>
      <c r="CG60" s="200">
        <v>1.0</v>
      </c>
      <c r="CH60" s="238"/>
      <c r="CI60" s="186"/>
      <c r="CJ60" s="186"/>
      <c r="CK60" s="231"/>
      <c r="CL60" s="186"/>
      <c r="CM60" s="223"/>
      <c r="CN60" s="223"/>
      <c r="CO60" s="223"/>
      <c r="CP60" s="166"/>
      <c r="CQ60" s="213"/>
      <c r="CR60" s="213"/>
      <c r="CS60" s="213"/>
      <c r="CT60" s="213"/>
      <c r="CU60" s="213"/>
      <c r="CV60" s="213"/>
      <c r="CW60" s="128">
        <f t="shared" si="20"/>
        <v>1</v>
      </c>
      <c r="CX60" s="214">
        <f t="shared" si="21"/>
        <v>33.33333333</v>
      </c>
      <c r="CY60" s="171"/>
      <c r="CZ60" s="171"/>
      <c r="DA60" s="171"/>
      <c r="DB60" s="171"/>
      <c r="DC60" s="171"/>
      <c r="DD60" s="171"/>
      <c r="DE60" s="171"/>
      <c r="DF60" s="171"/>
      <c r="DG60" s="171"/>
      <c r="DH60" s="171"/>
      <c r="DI60" s="171"/>
      <c r="DJ60" s="171"/>
      <c r="DK60" s="128">
        <f t="shared" si="22"/>
        <v>0</v>
      </c>
      <c r="DL60" s="158" t="str">
        <f t="shared" si="23"/>
        <v>#DIV/0!</v>
      </c>
    </row>
    <row r="61" ht="15.75" customHeight="1">
      <c r="A61" s="50">
        <v>52.0</v>
      </c>
      <c r="B61" s="111" t="s">
        <v>155</v>
      </c>
      <c r="C61" s="112" t="s">
        <v>156</v>
      </c>
      <c r="D61" s="98">
        <f t="shared" si="8"/>
        <v>14</v>
      </c>
      <c r="E61" s="130">
        <f t="shared" si="9"/>
        <v>36.84210526</v>
      </c>
      <c r="F61" s="114">
        <f t="shared" si="10"/>
        <v>36.84210526</v>
      </c>
      <c r="G61" s="149" t="str">
        <f t="shared" si="11"/>
        <v>  </v>
      </c>
      <c r="H61" s="254"/>
      <c r="I61" s="256"/>
      <c r="J61" s="256"/>
      <c r="K61" s="254"/>
      <c r="L61" s="257"/>
      <c r="M61" s="139">
        <f t="shared" si="12"/>
        <v>0</v>
      </c>
      <c r="N61" s="140" t="str">
        <f t="shared" si="13"/>
        <v>#DIV/0!</v>
      </c>
      <c r="O61" s="116"/>
      <c r="P61" s="116"/>
      <c r="Q61" s="116"/>
      <c r="R61" s="179"/>
      <c r="S61" s="116"/>
      <c r="T61" s="116"/>
      <c r="U61" s="116"/>
      <c r="V61" s="179"/>
      <c r="W61" s="116"/>
      <c r="X61" s="116"/>
      <c r="Y61" s="179"/>
      <c r="Z61" s="185"/>
      <c r="AA61" s="217"/>
      <c r="AB61" s="138">
        <v>1.0</v>
      </c>
      <c r="AC61" s="184">
        <v>1.0</v>
      </c>
      <c r="AD61" s="116"/>
      <c r="AE61" s="116"/>
      <c r="AF61" s="176"/>
      <c r="AG61" s="182">
        <v>1.0</v>
      </c>
      <c r="AH61" s="176"/>
      <c r="AI61" s="176"/>
      <c r="AJ61" s="139">
        <f t="shared" si="14"/>
        <v>3</v>
      </c>
      <c r="AK61" s="205">
        <f t="shared" si="15"/>
        <v>42.85714286</v>
      </c>
      <c r="AL61" s="116"/>
      <c r="AM61" s="138">
        <v>1.0</v>
      </c>
      <c r="AN61" s="184">
        <v>1.0</v>
      </c>
      <c r="AO61" s="116"/>
      <c r="AP61" s="116"/>
      <c r="AQ61" s="116"/>
      <c r="AR61" s="116"/>
      <c r="AS61" s="166"/>
      <c r="AT61" s="116"/>
      <c r="AU61" s="116"/>
      <c r="AV61" s="116"/>
      <c r="AW61" s="179"/>
      <c r="AX61" s="138">
        <v>1.0</v>
      </c>
      <c r="AY61" s="116"/>
      <c r="AZ61" s="180"/>
      <c r="BA61" s="215">
        <v>1.0</v>
      </c>
      <c r="BB61" s="116"/>
      <c r="BC61" s="116"/>
      <c r="BD61" s="194"/>
      <c r="BE61" s="194"/>
      <c r="BF61" s="188">
        <v>1.0</v>
      </c>
      <c r="BG61" s="139">
        <f t="shared" si="16"/>
        <v>5</v>
      </c>
      <c r="BH61" s="208">
        <f t="shared" si="17"/>
        <v>35.71428571</v>
      </c>
      <c r="BI61" s="116"/>
      <c r="BJ61" s="116"/>
      <c r="BK61" s="180"/>
      <c r="BL61" s="116"/>
      <c r="BM61" s="116"/>
      <c r="BN61" s="116"/>
      <c r="BO61" s="116"/>
      <c r="BP61" s="116"/>
      <c r="BQ61" s="211"/>
      <c r="BR61" s="166"/>
      <c r="BS61" s="116"/>
      <c r="BT61" s="138">
        <v>1.0</v>
      </c>
      <c r="BU61" s="145">
        <v>1.0</v>
      </c>
      <c r="BV61" s="43"/>
      <c r="BW61" s="198"/>
      <c r="BX61" s="116"/>
      <c r="BY61" s="116"/>
      <c r="BZ61" s="196">
        <v>1.0</v>
      </c>
      <c r="CA61" s="116"/>
      <c r="CB61" s="165"/>
      <c r="CC61" s="196">
        <v>1.0</v>
      </c>
      <c r="CD61" s="196">
        <v>1.0</v>
      </c>
      <c r="CE61" s="124">
        <f t="shared" si="18"/>
        <v>5</v>
      </c>
      <c r="CF61" s="173">
        <f t="shared" si="19"/>
        <v>35.71428571</v>
      </c>
      <c r="CG61" s="184">
        <v>1.0</v>
      </c>
      <c r="CH61" s="238"/>
      <c r="CI61" s="186"/>
      <c r="CJ61" s="116"/>
      <c r="CK61" s="116"/>
      <c r="CL61" s="186"/>
      <c r="CM61" s="223"/>
      <c r="CN61" s="223"/>
      <c r="CO61" s="116"/>
      <c r="CP61" s="166"/>
      <c r="CQ61" s="213"/>
      <c r="CR61" s="213"/>
      <c r="CS61" s="213"/>
      <c r="CT61" s="213"/>
      <c r="CU61" s="213"/>
      <c r="CV61" s="213"/>
      <c r="CW61" s="128">
        <f t="shared" si="20"/>
        <v>1</v>
      </c>
      <c r="CX61" s="214">
        <f t="shared" si="21"/>
        <v>33.33333333</v>
      </c>
      <c r="CY61" s="171"/>
      <c r="CZ61" s="171"/>
      <c r="DA61" s="171"/>
      <c r="DB61" s="171"/>
      <c r="DC61" s="171"/>
      <c r="DD61" s="171"/>
      <c r="DE61" s="171"/>
      <c r="DF61" s="171"/>
      <c r="DG61" s="171"/>
      <c r="DH61" s="171"/>
      <c r="DI61" s="171"/>
      <c r="DJ61" s="171"/>
      <c r="DK61" s="128">
        <f t="shared" si="22"/>
        <v>0</v>
      </c>
      <c r="DL61" s="158" t="str">
        <f t="shared" si="23"/>
        <v>#DIV/0!</v>
      </c>
    </row>
    <row r="62" ht="15.75" customHeight="1">
      <c r="A62" s="131">
        <v>53.0</v>
      </c>
      <c r="B62" s="111" t="s">
        <v>157</v>
      </c>
      <c r="C62" s="112" t="s">
        <v>158</v>
      </c>
      <c r="D62" s="98">
        <f t="shared" si="8"/>
        <v>22</v>
      </c>
      <c r="E62" s="130">
        <f t="shared" si="9"/>
        <v>57.89473684</v>
      </c>
      <c r="F62" s="92" t="str">
        <f t="shared" si="10"/>
        <v>  </v>
      </c>
      <c r="G62" s="149" t="str">
        <f t="shared" si="11"/>
        <v>  </v>
      </c>
      <c r="H62" s="256"/>
      <c r="I62" s="254"/>
      <c r="J62" s="254"/>
      <c r="K62" s="254"/>
      <c r="L62" s="257"/>
      <c r="M62" s="139">
        <f t="shared" si="12"/>
        <v>0</v>
      </c>
      <c r="N62" s="140" t="str">
        <f t="shared" si="13"/>
        <v>#DIV/0!</v>
      </c>
      <c r="O62" s="116"/>
      <c r="P62" s="116"/>
      <c r="Q62" s="116"/>
      <c r="R62" s="179"/>
      <c r="S62" s="179"/>
      <c r="T62" s="116"/>
      <c r="U62" s="116"/>
      <c r="V62" s="179"/>
      <c r="W62" s="116"/>
      <c r="X62" s="116"/>
      <c r="Y62" s="179"/>
      <c r="Z62" s="185"/>
      <c r="AA62" s="187">
        <v>1.0</v>
      </c>
      <c r="AB62" s="138">
        <v>1.0</v>
      </c>
      <c r="AC62" s="179"/>
      <c r="AD62" s="116"/>
      <c r="AE62" s="116"/>
      <c r="AF62" s="176"/>
      <c r="AG62" s="182"/>
      <c r="AH62" s="116"/>
      <c r="AI62" s="176"/>
      <c r="AJ62" s="139">
        <f t="shared" si="14"/>
        <v>2</v>
      </c>
      <c r="AK62" s="205">
        <f t="shared" si="15"/>
        <v>28.57142857</v>
      </c>
      <c r="AL62" s="116"/>
      <c r="AM62" s="138">
        <v>1.0</v>
      </c>
      <c r="AN62" s="184">
        <v>1.0</v>
      </c>
      <c r="AO62" s="207"/>
      <c r="AP62" s="207"/>
      <c r="AQ62" s="116"/>
      <c r="AR62" s="138">
        <v>1.0</v>
      </c>
      <c r="AS62" s="191">
        <v>1.0</v>
      </c>
      <c r="AT62" s="116"/>
      <c r="AU62" s="116"/>
      <c r="AV62" s="116"/>
      <c r="AW62" s="179"/>
      <c r="AX62" s="138">
        <v>1.0</v>
      </c>
      <c r="AY62" s="116"/>
      <c r="AZ62" s="116"/>
      <c r="BA62" s="215">
        <v>1.0</v>
      </c>
      <c r="BB62" s="116"/>
      <c r="BC62" s="138">
        <v>1.0</v>
      </c>
      <c r="BD62" s="194"/>
      <c r="BE62" s="194"/>
      <c r="BF62" s="188">
        <v>1.0</v>
      </c>
      <c r="BG62" s="139">
        <f t="shared" si="16"/>
        <v>8</v>
      </c>
      <c r="BH62" s="208">
        <f t="shared" si="17"/>
        <v>57.14285714</v>
      </c>
      <c r="BI62" s="138">
        <v>1.0</v>
      </c>
      <c r="BJ62" s="138">
        <v>1.0</v>
      </c>
      <c r="BK62" s="180"/>
      <c r="BL62" s="116"/>
      <c r="BM62" s="116"/>
      <c r="BN62" s="116"/>
      <c r="BO62" s="138">
        <v>1.0</v>
      </c>
      <c r="BP62" s="116"/>
      <c r="BQ62" s="211"/>
      <c r="BR62" s="166"/>
      <c r="BS62" s="196">
        <v>1.0</v>
      </c>
      <c r="BT62" s="210">
        <v>1.0</v>
      </c>
      <c r="BU62" s="145">
        <v>1.0</v>
      </c>
      <c r="BV62" s="43"/>
      <c r="BW62" s="216">
        <v>1.0</v>
      </c>
      <c r="BX62" s="138">
        <v>1.0</v>
      </c>
      <c r="BY62" s="138">
        <v>1.0</v>
      </c>
      <c r="BZ62" s="196">
        <v>1.0</v>
      </c>
      <c r="CA62" s="116"/>
      <c r="CB62" s="165"/>
      <c r="CC62" s="196">
        <v>1.0</v>
      </c>
      <c r="CD62" s="196">
        <v>1.0</v>
      </c>
      <c r="CE62" s="124">
        <f t="shared" si="18"/>
        <v>12</v>
      </c>
      <c r="CF62" s="173">
        <f t="shared" si="19"/>
        <v>85.71428571</v>
      </c>
      <c r="CG62" s="116"/>
      <c r="CH62" s="116"/>
      <c r="CI62" s="186"/>
      <c r="CJ62" s="116"/>
      <c r="CK62" s="116"/>
      <c r="CL62" s="186"/>
      <c r="CM62" s="116"/>
      <c r="CN62" s="223"/>
      <c r="CO62" s="116"/>
      <c r="CP62" s="166"/>
      <c r="CQ62" s="213"/>
      <c r="CR62" s="213"/>
      <c r="CS62" s="213"/>
      <c r="CT62" s="213"/>
      <c r="CU62" s="213"/>
      <c r="CV62" s="213"/>
      <c r="CW62" s="128">
        <f t="shared" si="20"/>
        <v>0</v>
      </c>
      <c r="CX62" s="214">
        <f t="shared" si="21"/>
        <v>0</v>
      </c>
      <c r="CY62" s="171"/>
      <c r="CZ62" s="171"/>
      <c r="DA62" s="171"/>
      <c r="DB62" s="171"/>
      <c r="DC62" s="171"/>
      <c r="DD62" s="171"/>
      <c r="DE62" s="171"/>
      <c r="DF62" s="171"/>
      <c r="DG62" s="171"/>
      <c r="DH62" s="171"/>
      <c r="DI62" s="171"/>
      <c r="DJ62" s="171"/>
      <c r="DK62" s="128">
        <f t="shared" si="22"/>
        <v>0</v>
      </c>
      <c r="DL62" s="158" t="str">
        <f t="shared" si="23"/>
        <v>#DIV/0!</v>
      </c>
    </row>
    <row r="63" ht="15.75" customHeight="1">
      <c r="A63" s="146">
        <v>54.0</v>
      </c>
      <c r="B63" s="111" t="s">
        <v>159</v>
      </c>
      <c r="C63" s="112" t="s">
        <v>160</v>
      </c>
      <c r="D63" s="98">
        <f t="shared" si="8"/>
        <v>12</v>
      </c>
      <c r="E63" s="130">
        <f t="shared" si="9"/>
        <v>31.57894737</v>
      </c>
      <c r="F63" s="114">
        <f t="shared" si="10"/>
        <v>31.57894737</v>
      </c>
      <c r="G63" s="149" t="str">
        <f t="shared" si="11"/>
        <v>  </v>
      </c>
      <c r="H63" s="254"/>
      <c r="I63" s="254"/>
      <c r="J63" s="254"/>
      <c r="K63" s="254"/>
      <c r="L63" s="257"/>
      <c r="M63" s="139">
        <f t="shared" si="12"/>
        <v>0</v>
      </c>
      <c r="N63" s="140" t="str">
        <f t="shared" si="13"/>
        <v>#DIV/0!</v>
      </c>
      <c r="O63" s="116"/>
      <c r="P63" s="116"/>
      <c r="Q63" s="180"/>
      <c r="R63" s="207"/>
      <c r="S63" s="207"/>
      <c r="T63" s="116"/>
      <c r="U63" s="116"/>
      <c r="V63" s="207"/>
      <c r="W63" s="116"/>
      <c r="X63" s="116"/>
      <c r="Y63" s="207"/>
      <c r="Z63" s="185"/>
      <c r="AA63" s="217"/>
      <c r="AB63" s="116"/>
      <c r="AC63" s="234">
        <v>1.0</v>
      </c>
      <c r="AD63" s="116"/>
      <c r="AE63" s="116"/>
      <c r="AF63" s="206"/>
      <c r="AG63" s="206"/>
      <c r="AH63" s="116"/>
      <c r="AI63" s="116"/>
      <c r="AJ63" s="139">
        <f t="shared" si="14"/>
        <v>1</v>
      </c>
      <c r="AK63" s="205">
        <f t="shared" si="15"/>
        <v>14.28571429</v>
      </c>
      <c r="AL63" s="116"/>
      <c r="AM63" s="116"/>
      <c r="AN63" s="234">
        <v>1.0</v>
      </c>
      <c r="AO63" s="116"/>
      <c r="AP63" s="116"/>
      <c r="AQ63" s="116"/>
      <c r="AR63" s="116"/>
      <c r="AS63" s="191">
        <v>1.0</v>
      </c>
      <c r="AT63" s="116"/>
      <c r="AU63" s="116"/>
      <c r="AV63" s="116"/>
      <c r="AW63" s="207"/>
      <c r="AX63" s="116"/>
      <c r="AY63" s="116"/>
      <c r="AZ63" s="116"/>
      <c r="BA63" s="180"/>
      <c r="BB63" s="116"/>
      <c r="BC63" s="138">
        <v>1.0</v>
      </c>
      <c r="BD63" s="194"/>
      <c r="BE63" s="194"/>
      <c r="BF63" s="194"/>
      <c r="BG63" s="139">
        <f t="shared" si="16"/>
        <v>3</v>
      </c>
      <c r="BH63" s="208">
        <f t="shared" si="17"/>
        <v>21.42857143</v>
      </c>
      <c r="BI63" s="116"/>
      <c r="BJ63" s="138">
        <v>1.0</v>
      </c>
      <c r="BK63" s="180"/>
      <c r="BL63" s="116"/>
      <c r="BM63" s="116"/>
      <c r="BN63" s="116"/>
      <c r="BO63" s="116"/>
      <c r="BP63" s="116"/>
      <c r="BQ63" s="116"/>
      <c r="BR63" s="166"/>
      <c r="BS63" s="116"/>
      <c r="BT63" s="138">
        <v>1.0</v>
      </c>
      <c r="BU63" s="241">
        <v>1.0</v>
      </c>
      <c r="BV63" s="116"/>
      <c r="BW63" s="198"/>
      <c r="BX63" s="138">
        <v>1.0</v>
      </c>
      <c r="BY63" s="138">
        <v>1.0</v>
      </c>
      <c r="BZ63" s="196">
        <v>1.0</v>
      </c>
      <c r="CA63" s="116"/>
      <c r="CB63" s="165"/>
      <c r="CC63" s="165"/>
      <c r="CD63" s="165"/>
      <c r="CE63" s="124">
        <f t="shared" si="18"/>
        <v>6</v>
      </c>
      <c r="CF63" s="173">
        <f t="shared" si="19"/>
        <v>42.85714286</v>
      </c>
      <c r="CG63" s="138">
        <v>1.0</v>
      </c>
      <c r="CH63" s="138">
        <v>1.0</v>
      </c>
      <c r="CI63" s="186"/>
      <c r="CJ63" s="116"/>
      <c r="CK63" s="116"/>
      <c r="CL63" s="186"/>
      <c r="CM63" s="223"/>
      <c r="CN63" s="223"/>
      <c r="CO63" s="116"/>
      <c r="CP63" s="166"/>
      <c r="CQ63" s="213"/>
      <c r="CR63" s="213"/>
      <c r="CS63" s="213"/>
      <c r="CT63" s="213"/>
      <c r="CU63" s="213"/>
      <c r="CV63" s="213"/>
      <c r="CW63" s="128">
        <f t="shared" si="20"/>
        <v>2</v>
      </c>
      <c r="CX63" s="214">
        <f t="shared" si="21"/>
        <v>66.66666667</v>
      </c>
      <c r="CY63" s="171"/>
      <c r="CZ63" s="171"/>
      <c r="DA63" s="171"/>
      <c r="DB63" s="171"/>
      <c r="DC63" s="171"/>
      <c r="DD63" s="171"/>
      <c r="DE63" s="171"/>
      <c r="DF63" s="171"/>
      <c r="DG63" s="171"/>
      <c r="DH63" s="171"/>
      <c r="DI63" s="171"/>
      <c r="DJ63" s="171"/>
      <c r="DK63" s="128">
        <f t="shared" si="22"/>
        <v>0</v>
      </c>
      <c r="DL63" s="158" t="str">
        <f t="shared" si="23"/>
        <v>#DIV/0!</v>
      </c>
    </row>
    <row r="64" ht="15.75" customHeight="1">
      <c r="A64" s="50">
        <v>55.0</v>
      </c>
      <c r="B64" s="111" t="s">
        <v>161</v>
      </c>
      <c r="C64" s="112" t="s">
        <v>162</v>
      </c>
      <c r="D64" s="98">
        <f t="shared" si="8"/>
        <v>17</v>
      </c>
      <c r="E64" s="130">
        <f t="shared" si="9"/>
        <v>44.73684211</v>
      </c>
      <c r="F64" s="114">
        <f t="shared" si="10"/>
        <v>44.73684211</v>
      </c>
      <c r="G64" s="149" t="str">
        <f t="shared" si="11"/>
        <v>  </v>
      </c>
      <c r="H64" s="254"/>
      <c r="I64" s="254"/>
      <c r="J64" s="254"/>
      <c r="K64" s="254"/>
      <c r="L64" s="257"/>
      <c r="M64" s="139">
        <f t="shared" si="12"/>
        <v>0</v>
      </c>
      <c r="N64" s="140" t="str">
        <f t="shared" si="13"/>
        <v>#DIV/0!</v>
      </c>
      <c r="O64" s="116"/>
      <c r="P64" s="116"/>
      <c r="Q64" s="180"/>
      <c r="R64" s="179"/>
      <c r="S64" s="179"/>
      <c r="T64" s="116"/>
      <c r="U64" s="116"/>
      <c r="V64" s="179"/>
      <c r="W64" s="116"/>
      <c r="X64" s="116"/>
      <c r="Y64" s="179"/>
      <c r="Z64" s="185"/>
      <c r="AA64" s="217"/>
      <c r="AB64" s="138">
        <v>1.0</v>
      </c>
      <c r="AC64" s="184">
        <v>1.0</v>
      </c>
      <c r="AD64" s="176"/>
      <c r="AE64" s="116"/>
      <c r="AF64" s="182">
        <v>1.0</v>
      </c>
      <c r="AG64" s="182">
        <v>1.0</v>
      </c>
      <c r="AH64" s="176"/>
      <c r="AI64" s="176"/>
      <c r="AJ64" s="139">
        <f t="shared" si="14"/>
        <v>4</v>
      </c>
      <c r="AK64" s="205">
        <f t="shared" si="15"/>
        <v>57.14285714</v>
      </c>
      <c r="AL64" s="116"/>
      <c r="AM64" s="116"/>
      <c r="AN64" s="179"/>
      <c r="AO64" s="179"/>
      <c r="AP64" s="179"/>
      <c r="AQ64" s="116"/>
      <c r="AR64" s="138">
        <v>1.0</v>
      </c>
      <c r="AS64" s="166"/>
      <c r="AT64" s="116"/>
      <c r="AU64" s="116"/>
      <c r="AV64" s="116"/>
      <c r="AW64" s="179"/>
      <c r="AX64" s="138">
        <v>1.0</v>
      </c>
      <c r="AY64" s="116"/>
      <c r="AZ64" s="116"/>
      <c r="BA64" s="215">
        <v>1.0</v>
      </c>
      <c r="BB64" s="138">
        <v>1.0</v>
      </c>
      <c r="BC64" s="138">
        <v>1.0</v>
      </c>
      <c r="BD64" s="194"/>
      <c r="BE64" s="194"/>
      <c r="BF64" s="188">
        <v>1.0</v>
      </c>
      <c r="BG64" s="139">
        <f t="shared" si="16"/>
        <v>6</v>
      </c>
      <c r="BH64" s="208">
        <f t="shared" si="17"/>
        <v>42.85714286</v>
      </c>
      <c r="BI64" s="116"/>
      <c r="BJ64" s="215">
        <v>1.0</v>
      </c>
      <c r="BK64" s="180"/>
      <c r="BL64" s="116"/>
      <c r="BM64" s="116"/>
      <c r="BN64" s="116"/>
      <c r="BO64" s="116"/>
      <c r="BP64" s="116"/>
      <c r="BQ64" s="116"/>
      <c r="BR64" s="166"/>
      <c r="BS64" s="138">
        <v>1.0</v>
      </c>
      <c r="BT64" s="138">
        <v>1.0</v>
      </c>
      <c r="BU64" s="43"/>
      <c r="BV64" s="43"/>
      <c r="BW64" s="216">
        <v>1.0</v>
      </c>
      <c r="BX64" s="138">
        <v>1.0</v>
      </c>
      <c r="BY64" s="116"/>
      <c r="BZ64" s="165"/>
      <c r="CA64" s="165"/>
      <c r="CB64" s="165"/>
      <c r="CC64" s="196">
        <v>1.0</v>
      </c>
      <c r="CD64" s="196">
        <v>1.0</v>
      </c>
      <c r="CE64" s="124">
        <f t="shared" si="18"/>
        <v>7</v>
      </c>
      <c r="CF64" s="173">
        <f t="shared" si="19"/>
        <v>50</v>
      </c>
      <c r="CG64" s="179"/>
      <c r="CH64" s="238"/>
      <c r="CI64" s="116"/>
      <c r="CJ64" s="116"/>
      <c r="CK64" s="116"/>
      <c r="CL64" s="186"/>
      <c r="CM64" s="116"/>
      <c r="CN64" s="223"/>
      <c r="CO64" s="223"/>
      <c r="CP64" s="166"/>
      <c r="CQ64" s="213"/>
      <c r="CR64" s="213"/>
      <c r="CS64" s="213"/>
      <c r="CT64" s="213"/>
      <c r="CU64" s="213"/>
      <c r="CV64" s="213"/>
      <c r="CW64" s="128">
        <f t="shared" si="20"/>
        <v>0</v>
      </c>
      <c r="CX64" s="214">
        <f t="shared" si="21"/>
        <v>0</v>
      </c>
      <c r="CY64" s="171"/>
      <c r="CZ64" s="171"/>
      <c r="DA64" s="171"/>
      <c r="DB64" s="171"/>
      <c r="DC64" s="171"/>
      <c r="DD64" s="171"/>
      <c r="DE64" s="171"/>
      <c r="DF64" s="171"/>
      <c r="DG64" s="171"/>
      <c r="DH64" s="171"/>
      <c r="DI64" s="171"/>
      <c r="DJ64" s="171"/>
      <c r="DK64" s="128">
        <f t="shared" si="22"/>
        <v>0</v>
      </c>
      <c r="DL64" s="158" t="str">
        <f t="shared" si="23"/>
        <v>#DIV/0!</v>
      </c>
    </row>
    <row r="65" ht="15.75" customHeight="1">
      <c r="A65" s="131">
        <v>56.0</v>
      </c>
      <c r="B65" s="111" t="s">
        <v>163</v>
      </c>
      <c r="C65" s="112" t="s">
        <v>164</v>
      </c>
      <c r="D65" s="98">
        <f t="shared" si="8"/>
        <v>18</v>
      </c>
      <c r="E65" s="130">
        <f t="shared" si="9"/>
        <v>47.36842105</v>
      </c>
      <c r="F65" s="114">
        <f t="shared" si="10"/>
        <v>47.36842105</v>
      </c>
      <c r="G65" s="149" t="str">
        <f t="shared" si="11"/>
        <v>  </v>
      </c>
      <c r="H65" s="254"/>
      <c r="I65" s="254"/>
      <c r="J65" s="258"/>
      <c r="K65" s="254"/>
      <c r="L65" s="257"/>
      <c r="M65" s="139">
        <f t="shared" si="12"/>
        <v>0</v>
      </c>
      <c r="N65" s="140" t="str">
        <f t="shared" si="13"/>
        <v>#DIV/0!</v>
      </c>
      <c r="O65" s="116"/>
      <c r="P65" s="116"/>
      <c r="Q65" s="116"/>
      <c r="R65" s="179"/>
      <c r="S65" s="116"/>
      <c r="T65" s="116"/>
      <c r="U65" s="116"/>
      <c r="V65" s="179"/>
      <c r="W65" s="138">
        <v>1.0</v>
      </c>
      <c r="X65" s="116"/>
      <c r="Y65" s="179"/>
      <c r="Z65" s="210">
        <v>1.0</v>
      </c>
      <c r="AA65" s="187">
        <v>1.0</v>
      </c>
      <c r="AB65" s="138">
        <v>1.0</v>
      </c>
      <c r="AC65" s="184">
        <v>1.0</v>
      </c>
      <c r="AD65" s="176"/>
      <c r="AE65" s="116"/>
      <c r="AF65" s="182">
        <v>1.0</v>
      </c>
      <c r="AG65" s="182">
        <v>1.0</v>
      </c>
      <c r="AH65" s="116"/>
      <c r="AI65" s="176"/>
      <c r="AJ65" s="139">
        <f t="shared" si="14"/>
        <v>7</v>
      </c>
      <c r="AK65" s="205">
        <f t="shared" si="15"/>
        <v>100</v>
      </c>
      <c r="AL65" s="116"/>
      <c r="AM65" s="184">
        <v>1.0</v>
      </c>
      <c r="AN65" s="179"/>
      <c r="AO65" s="116"/>
      <c r="AP65" s="116"/>
      <c r="AQ65" s="138">
        <v>1.0</v>
      </c>
      <c r="AR65" s="116"/>
      <c r="AS65" s="191">
        <v>1.0</v>
      </c>
      <c r="AT65" s="116"/>
      <c r="AU65" s="116"/>
      <c r="AV65" s="116"/>
      <c r="AW65" s="179"/>
      <c r="AX65" s="116"/>
      <c r="AY65" s="116"/>
      <c r="AZ65" s="180"/>
      <c r="BA65" s="215">
        <v>1.0</v>
      </c>
      <c r="BB65" s="204"/>
      <c r="BC65" s="204"/>
      <c r="BD65" s="181"/>
      <c r="BE65" s="181"/>
      <c r="BF65" s="181"/>
      <c r="BG65" s="139">
        <f t="shared" si="16"/>
        <v>4</v>
      </c>
      <c r="BH65" s="208">
        <f t="shared" si="17"/>
        <v>28.57142857</v>
      </c>
      <c r="BI65" s="116"/>
      <c r="BJ65" s="138">
        <v>1.0</v>
      </c>
      <c r="BK65" s="180"/>
      <c r="BL65" s="116"/>
      <c r="BM65" s="116"/>
      <c r="BN65" s="116"/>
      <c r="BO65" s="116"/>
      <c r="BP65" s="116"/>
      <c r="BQ65" s="211"/>
      <c r="BR65" s="138">
        <v>1.0</v>
      </c>
      <c r="BS65" s="116"/>
      <c r="BT65" s="138">
        <v>1.0</v>
      </c>
      <c r="BU65" s="43"/>
      <c r="BV65" s="43"/>
      <c r="BW65" s="216">
        <v>1.0</v>
      </c>
      <c r="BX65" s="116"/>
      <c r="BY65" s="138">
        <v>1.0</v>
      </c>
      <c r="BZ65" s="165"/>
      <c r="CA65" s="116"/>
      <c r="CB65" s="116"/>
      <c r="CC65" s="165"/>
      <c r="CD65" s="196">
        <v>1.0</v>
      </c>
      <c r="CE65" s="124">
        <f t="shared" si="18"/>
        <v>6</v>
      </c>
      <c r="CF65" s="173">
        <f t="shared" si="19"/>
        <v>42.85714286</v>
      </c>
      <c r="CG65" s="184">
        <v>1.0</v>
      </c>
      <c r="CH65" s="116"/>
      <c r="CI65" s="116"/>
      <c r="CJ65" s="186"/>
      <c r="CK65" s="116"/>
      <c r="CL65" s="186"/>
      <c r="CM65" s="223"/>
      <c r="CN65" s="116"/>
      <c r="CO65" s="116"/>
      <c r="CP65" s="116"/>
      <c r="CQ65" s="165"/>
      <c r="CR65" s="165"/>
      <c r="CS65" s="116"/>
      <c r="CT65" s="116"/>
      <c r="CU65" s="116"/>
      <c r="CV65" s="165"/>
      <c r="CW65" s="128">
        <f t="shared" si="20"/>
        <v>1</v>
      </c>
      <c r="CX65" s="214">
        <f t="shared" si="21"/>
        <v>33.33333333</v>
      </c>
      <c r="CY65" s="171"/>
      <c r="CZ65" s="171"/>
      <c r="DA65" s="171"/>
      <c r="DB65" s="171"/>
      <c r="DC65" s="171"/>
      <c r="DD65" s="171"/>
      <c r="DE65" s="171"/>
      <c r="DF65" s="171"/>
      <c r="DG65" s="171"/>
      <c r="DH65" s="171"/>
      <c r="DI65" s="171"/>
      <c r="DJ65" s="171"/>
      <c r="DK65" s="128">
        <f t="shared" si="22"/>
        <v>0</v>
      </c>
      <c r="DL65" s="158" t="str">
        <f t="shared" si="23"/>
        <v>#DIV/0!</v>
      </c>
    </row>
    <row r="66" ht="15.75" customHeight="1">
      <c r="A66" s="146">
        <v>57.0</v>
      </c>
      <c r="B66" s="111" t="s">
        <v>165</v>
      </c>
      <c r="C66" s="112" t="s">
        <v>166</v>
      </c>
      <c r="D66" s="98">
        <f t="shared" si="8"/>
        <v>27</v>
      </c>
      <c r="E66" s="130">
        <f t="shared" si="9"/>
        <v>71.05263158</v>
      </c>
      <c r="F66" s="114" t="str">
        <f t="shared" si="10"/>
        <v>  </v>
      </c>
      <c r="G66" s="226" t="str">
        <f t="shared" si="11"/>
        <v>  </v>
      </c>
      <c r="H66" s="254"/>
      <c r="I66" s="254"/>
      <c r="J66" s="254"/>
      <c r="K66" s="254"/>
      <c r="L66" s="257"/>
      <c r="M66" s="139">
        <f t="shared" si="12"/>
        <v>0</v>
      </c>
      <c r="N66" s="140" t="str">
        <f t="shared" si="13"/>
        <v>#DIV/0!</v>
      </c>
      <c r="O66" s="116"/>
      <c r="P66" s="116"/>
      <c r="Q66" s="116"/>
      <c r="R66" s="179"/>
      <c r="S66" s="116"/>
      <c r="T66" s="116"/>
      <c r="U66" s="116"/>
      <c r="V66" s="179"/>
      <c r="W66" s="138">
        <v>1.0</v>
      </c>
      <c r="X66" s="116"/>
      <c r="Y66" s="179"/>
      <c r="Z66" s="210">
        <v>1.0</v>
      </c>
      <c r="AA66" s="217"/>
      <c r="AB66" s="138">
        <v>1.0</v>
      </c>
      <c r="AC66" s="184">
        <v>1.0</v>
      </c>
      <c r="AD66" s="116"/>
      <c r="AE66" s="116"/>
      <c r="AF66" s="176"/>
      <c r="AG66" s="182">
        <v>1.0</v>
      </c>
      <c r="AH66" s="116"/>
      <c r="AI66" s="116"/>
      <c r="AJ66" s="139">
        <f t="shared" si="14"/>
        <v>5</v>
      </c>
      <c r="AK66" s="205">
        <f t="shared" si="15"/>
        <v>71.42857143</v>
      </c>
      <c r="AL66" s="116"/>
      <c r="AM66" s="116"/>
      <c r="AN66" s="179"/>
      <c r="AO66" s="138">
        <v>1.0</v>
      </c>
      <c r="AP66" s="138">
        <v>1.0</v>
      </c>
      <c r="AQ66" s="138">
        <v>1.0</v>
      </c>
      <c r="AR66" s="138">
        <v>1.0</v>
      </c>
      <c r="AS66" s="191">
        <v>1.0</v>
      </c>
      <c r="AT66" s="116"/>
      <c r="AU66" s="116"/>
      <c r="AV66" s="138">
        <v>1.0</v>
      </c>
      <c r="AW66" s="179"/>
      <c r="AX66" s="116"/>
      <c r="AY66" s="116"/>
      <c r="AZ66" s="116"/>
      <c r="BA66" s="215">
        <v>1.0</v>
      </c>
      <c r="BB66" s="138">
        <v>1.0</v>
      </c>
      <c r="BC66" s="138">
        <v>1.0</v>
      </c>
      <c r="BD66" s="188">
        <v>1.0</v>
      </c>
      <c r="BE66" s="194"/>
      <c r="BF66" s="194"/>
      <c r="BG66" s="139">
        <f t="shared" si="16"/>
        <v>10</v>
      </c>
      <c r="BH66" s="208">
        <f t="shared" si="17"/>
        <v>71.42857143</v>
      </c>
      <c r="BI66" s="116"/>
      <c r="BJ66" s="138">
        <v>1.0</v>
      </c>
      <c r="BK66" s="180"/>
      <c r="BL66" s="116"/>
      <c r="BM66" s="116"/>
      <c r="BN66" s="116"/>
      <c r="BO66" s="138">
        <v>1.0</v>
      </c>
      <c r="BP66" s="116"/>
      <c r="BQ66" s="116"/>
      <c r="BR66" s="138">
        <v>1.0</v>
      </c>
      <c r="BS66" s="116"/>
      <c r="BT66" s="210">
        <v>1.0</v>
      </c>
      <c r="BU66" s="43"/>
      <c r="BV66" s="43"/>
      <c r="BW66" s="216">
        <v>1.0</v>
      </c>
      <c r="BX66" s="138">
        <v>1.0</v>
      </c>
      <c r="BY66" s="138">
        <v>1.0</v>
      </c>
      <c r="BZ66" s="196">
        <v>1.0</v>
      </c>
      <c r="CA66" s="116"/>
      <c r="CB66" s="138">
        <v>1.0</v>
      </c>
      <c r="CC66" s="196">
        <v>1.0</v>
      </c>
      <c r="CD66" s="196">
        <v>1.0</v>
      </c>
      <c r="CE66" s="124">
        <f t="shared" si="18"/>
        <v>11</v>
      </c>
      <c r="CF66" s="173">
        <f t="shared" si="19"/>
        <v>78.57142857</v>
      </c>
      <c r="CG66" s="138">
        <v>1.0</v>
      </c>
      <c r="CH66" s="238"/>
      <c r="CI66" s="116"/>
      <c r="CJ66" s="116"/>
      <c r="CK66" s="116"/>
      <c r="CL66" s="186"/>
      <c r="CM66" s="116"/>
      <c r="CN66" s="116"/>
      <c r="CO66" s="223"/>
      <c r="CP66" s="166"/>
      <c r="CQ66" s="213"/>
      <c r="CR66" s="213"/>
      <c r="CS66" s="116"/>
      <c r="CT66" s="116"/>
      <c r="CU66" s="116"/>
      <c r="CV66" s="213"/>
      <c r="CW66" s="128">
        <f t="shared" si="20"/>
        <v>1</v>
      </c>
      <c r="CX66" s="214">
        <f t="shared" si="21"/>
        <v>33.33333333</v>
      </c>
      <c r="CY66" s="171"/>
      <c r="CZ66" s="171"/>
      <c r="DA66" s="171"/>
      <c r="DB66" s="171"/>
      <c r="DC66" s="171"/>
      <c r="DD66" s="171"/>
      <c r="DE66" s="171"/>
      <c r="DF66" s="171"/>
      <c r="DG66" s="171"/>
      <c r="DH66" s="171"/>
      <c r="DI66" s="171"/>
      <c r="DJ66" s="171"/>
      <c r="DK66" s="128">
        <f t="shared" si="22"/>
        <v>0</v>
      </c>
      <c r="DL66" s="158" t="str">
        <f t="shared" si="23"/>
        <v>#DIV/0!</v>
      </c>
    </row>
    <row r="67" ht="15.75" customHeight="1">
      <c r="A67" s="50">
        <v>58.0</v>
      </c>
      <c r="B67" s="111" t="s">
        <v>167</v>
      </c>
      <c r="C67" s="112" t="s">
        <v>168</v>
      </c>
      <c r="D67" s="98">
        <f t="shared" si="8"/>
        <v>26</v>
      </c>
      <c r="E67" s="130">
        <f t="shared" si="9"/>
        <v>68.42105263</v>
      </c>
      <c r="F67" s="92" t="str">
        <f t="shared" si="10"/>
        <v>  </v>
      </c>
      <c r="G67" s="149" t="str">
        <f t="shared" si="11"/>
        <v>  </v>
      </c>
      <c r="H67" s="254"/>
      <c r="I67" s="254"/>
      <c r="J67" s="254"/>
      <c r="K67" s="254"/>
      <c r="L67" s="257"/>
      <c r="M67" s="139">
        <f t="shared" si="12"/>
        <v>0</v>
      </c>
      <c r="N67" s="140" t="str">
        <f t="shared" si="13"/>
        <v>#DIV/0!</v>
      </c>
      <c r="O67" s="116"/>
      <c r="P67" s="116"/>
      <c r="Q67" s="180"/>
      <c r="R67" s="179"/>
      <c r="S67" s="116"/>
      <c r="T67" s="116"/>
      <c r="U67" s="116"/>
      <c r="V67" s="179"/>
      <c r="W67" s="116"/>
      <c r="X67" s="116"/>
      <c r="Y67" s="179"/>
      <c r="Z67" s="210">
        <v>1.0</v>
      </c>
      <c r="AA67" s="217"/>
      <c r="AB67" s="138">
        <v>1.0</v>
      </c>
      <c r="AC67" s="184">
        <v>1.0</v>
      </c>
      <c r="AD67" s="116"/>
      <c r="AE67" s="116"/>
      <c r="AF67" s="182">
        <v>1.0</v>
      </c>
      <c r="AG67" s="182">
        <v>1.0</v>
      </c>
      <c r="AH67" s="176"/>
      <c r="AI67" s="176"/>
      <c r="AJ67" s="139">
        <f t="shared" si="14"/>
        <v>5</v>
      </c>
      <c r="AK67" s="205">
        <f t="shared" si="15"/>
        <v>71.42857143</v>
      </c>
      <c r="AL67" s="116"/>
      <c r="AM67" s="138">
        <v>1.0</v>
      </c>
      <c r="AN67" s="184">
        <v>1.0</v>
      </c>
      <c r="AO67" s="138">
        <v>1.0</v>
      </c>
      <c r="AP67" s="138">
        <v>1.0</v>
      </c>
      <c r="AQ67" s="116"/>
      <c r="AR67" s="138">
        <v>1.0</v>
      </c>
      <c r="AS67" s="191">
        <v>1.0</v>
      </c>
      <c r="AT67" s="116"/>
      <c r="AU67" s="116"/>
      <c r="AV67" s="116"/>
      <c r="AW67" s="179"/>
      <c r="AX67" s="116"/>
      <c r="AY67" s="116"/>
      <c r="AZ67" s="116"/>
      <c r="BA67" s="215">
        <v>1.0</v>
      </c>
      <c r="BB67" s="138">
        <v>1.0</v>
      </c>
      <c r="BC67" s="116"/>
      <c r="BD67" s="188">
        <v>1.0</v>
      </c>
      <c r="BE67" s="194"/>
      <c r="BF67" s="194"/>
      <c r="BG67" s="139">
        <f t="shared" si="16"/>
        <v>9</v>
      </c>
      <c r="BH67" s="208">
        <f t="shared" si="17"/>
        <v>64.28571429</v>
      </c>
      <c r="BI67" s="138">
        <v>1.0</v>
      </c>
      <c r="BJ67" s="138">
        <v>1.0</v>
      </c>
      <c r="BK67" s="180"/>
      <c r="BL67" s="116"/>
      <c r="BM67" s="116"/>
      <c r="BN67" s="116"/>
      <c r="BO67" s="138">
        <v>1.0</v>
      </c>
      <c r="BP67" s="116"/>
      <c r="BQ67" s="116"/>
      <c r="BR67" s="166"/>
      <c r="BS67" s="138">
        <v>1.0</v>
      </c>
      <c r="BT67" s="138">
        <v>1.0</v>
      </c>
      <c r="BU67" s="145">
        <v>1.0</v>
      </c>
      <c r="BV67" s="43"/>
      <c r="BW67" s="198"/>
      <c r="BX67" s="116"/>
      <c r="BY67" s="138">
        <v>1.0</v>
      </c>
      <c r="BZ67" s="196">
        <v>1.0</v>
      </c>
      <c r="CA67" s="116"/>
      <c r="CB67" s="138">
        <v>1.0</v>
      </c>
      <c r="CC67" s="196">
        <v>1.0</v>
      </c>
      <c r="CD67" s="196">
        <v>1.0</v>
      </c>
      <c r="CE67" s="124">
        <f t="shared" si="18"/>
        <v>11</v>
      </c>
      <c r="CF67" s="173">
        <f t="shared" si="19"/>
        <v>78.57142857</v>
      </c>
      <c r="CG67" s="138">
        <v>1.0</v>
      </c>
      <c r="CH67" s="238"/>
      <c r="CI67" s="186"/>
      <c r="CJ67" s="186"/>
      <c r="CK67" s="116"/>
      <c r="CL67" s="186"/>
      <c r="CM67" s="223"/>
      <c r="CN67" s="223"/>
      <c r="CO67" s="116"/>
      <c r="CP67" s="166"/>
      <c r="CQ67" s="213"/>
      <c r="CR67" s="213"/>
      <c r="CS67" s="213"/>
      <c r="CT67" s="213"/>
      <c r="CU67" s="213"/>
      <c r="CV67" s="213"/>
      <c r="CW67" s="128">
        <f t="shared" si="20"/>
        <v>1</v>
      </c>
      <c r="CX67" s="214">
        <f t="shared" si="21"/>
        <v>33.33333333</v>
      </c>
      <c r="CY67" s="171"/>
      <c r="CZ67" s="171"/>
      <c r="DA67" s="171"/>
      <c r="DB67" s="171"/>
      <c r="DC67" s="171"/>
      <c r="DD67" s="171"/>
      <c r="DE67" s="171"/>
      <c r="DF67" s="171"/>
      <c r="DG67" s="171"/>
      <c r="DH67" s="171"/>
      <c r="DI67" s="171"/>
      <c r="DJ67" s="171"/>
      <c r="DK67" s="128">
        <f t="shared" si="22"/>
        <v>0</v>
      </c>
      <c r="DL67" s="158" t="str">
        <f t="shared" si="23"/>
        <v>#DIV/0!</v>
      </c>
    </row>
    <row r="68" ht="15.75" customHeight="1">
      <c r="A68" s="131">
        <v>59.0</v>
      </c>
      <c r="B68" s="111" t="s">
        <v>169</v>
      </c>
      <c r="C68" s="112" t="s">
        <v>170</v>
      </c>
      <c r="D68" s="98">
        <f t="shared" si="8"/>
        <v>21</v>
      </c>
      <c r="E68" s="130">
        <f t="shared" si="9"/>
        <v>55.26315789</v>
      </c>
      <c r="F68" s="114" t="str">
        <f t="shared" si="10"/>
        <v>  </v>
      </c>
      <c r="G68" s="149" t="str">
        <f t="shared" si="11"/>
        <v>  </v>
      </c>
      <c r="H68" s="256"/>
      <c r="I68" s="256"/>
      <c r="J68" s="256"/>
      <c r="K68" s="256"/>
      <c r="L68" s="259"/>
      <c r="M68" s="139">
        <f t="shared" si="12"/>
        <v>0</v>
      </c>
      <c r="N68" s="140" t="str">
        <f t="shared" si="13"/>
        <v>#DIV/0!</v>
      </c>
      <c r="O68" s="116"/>
      <c r="P68" s="116"/>
      <c r="Q68" s="116"/>
      <c r="R68" s="207"/>
      <c r="S68" s="116"/>
      <c r="T68" s="116"/>
      <c r="U68" s="116"/>
      <c r="V68" s="207"/>
      <c r="W68" s="116"/>
      <c r="X68" s="116"/>
      <c r="Y68" s="207"/>
      <c r="Z68" s="185"/>
      <c r="AA68" s="217"/>
      <c r="AB68" s="116"/>
      <c r="AC68" s="207"/>
      <c r="AD68" s="116"/>
      <c r="AE68" s="116"/>
      <c r="AF68" s="209">
        <v>1.0</v>
      </c>
      <c r="AG68" s="209">
        <v>1.0</v>
      </c>
      <c r="AH68" s="206"/>
      <c r="AI68" s="116"/>
      <c r="AJ68" s="139">
        <f t="shared" si="14"/>
        <v>2</v>
      </c>
      <c r="AK68" s="205">
        <f t="shared" si="15"/>
        <v>28.57142857</v>
      </c>
      <c r="AL68" s="116"/>
      <c r="AM68" s="138">
        <v>1.0</v>
      </c>
      <c r="AN68" s="207"/>
      <c r="AO68" s="138">
        <v>1.0</v>
      </c>
      <c r="AP68" s="138">
        <v>1.0</v>
      </c>
      <c r="AQ68" s="138">
        <v>1.0</v>
      </c>
      <c r="AR68" s="116"/>
      <c r="AS68" s="191">
        <v>1.0</v>
      </c>
      <c r="AT68" s="116"/>
      <c r="AU68" s="116"/>
      <c r="AV68" s="138">
        <v>1.0</v>
      </c>
      <c r="AW68" s="207"/>
      <c r="AX68" s="116"/>
      <c r="AY68" s="116"/>
      <c r="AZ68" s="116"/>
      <c r="BA68" s="215">
        <v>1.0</v>
      </c>
      <c r="BB68" s="138">
        <v>1.0</v>
      </c>
      <c r="BC68" s="138">
        <v>1.0</v>
      </c>
      <c r="BD68" s="188">
        <v>1.0</v>
      </c>
      <c r="BE68" s="194"/>
      <c r="BF68" s="188">
        <v>1.0</v>
      </c>
      <c r="BG68" s="139">
        <f t="shared" si="16"/>
        <v>11</v>
      </c>
      <c r="BH68" s="208">
        <f t="shared" si="17"/>
        <v>78.57142857</v>
      </c>
      <c r="BI68" s="116"/>
      <c r="BJ68" s="138">
        <v>1.0</v>
      </c>
      <c r="BK68" s="180"/>
      <c r="BL68" s="116"/>
      <c r="BM68" s="116"/>
      <c r="BN68" s="116"/>
      <c r="BO68" s="116"/>
      <c r="BP68" s="116"/>
      <c r="BQ68" s="211"/>
      <c r="BR68" s="138">
        <v>1.0</v>
      </c>
      <c r="BS68" s="138">
        <v>1.0</v>
      </c>
      <c r="BT68" s="116"/>
      <c r="BU68" s="43"/>
      <c r="BV68" s="43"/>
      <c r="BW68" s="198"/>
      <c r="BX68" s="43"/>
      <c r="BY68" s="138">
        <v>1.0</v>
      </c>
      <c r="BZ68" s="196">
        <v>1.0</v>
      </c>
      <c r="CA68" s="116"/>
      <c r="CB68" s="116"/>
      <c r="CC68" s="196">
        <v>1.0</v>
      </c>
      <c r="CD68" s="196">
        <v>1.0</v>
      </c>
      <c r="CE68" s="124">
        <f t="shared" si="18"/>
        <v>7</v>
      </c>
      <c r="CF68" s="173">
        <f t="shared" si="19"/>
        <v>50</v>
      </c>
      <c r="CG68" s="138">
        <v>1.0</v>
      </c>
      <c r="CH68" s="116"/>
      <c r="CI68" s="116"/>
      <c r="CJ68" s="116"/>
      <c r="CK68" s="116"/>
      <c r="CL68" s="186"/>
      <c r="CM68" s="223"/>
      <c r="CN68" s="116"/>
      <c r="CO68" s="223"/>
      <c r="CP68" s="166"/>
      <c r="CQ68" s="213"/>
      <c r="CR68" s="213"/>
      <c r="CS68" s="116"/>
      <c r="CT68" s="116"/>
      <c r="CU68" s="116"/>
      <c r="CV68" s="213"/>
      <c r="CW68" s="128">
        <f t="shared" si="20"/>
        <v>1</v>
      </c>
      <c r="CX68" s="214">
        <f t="shared" si="21"/>
        <v>33.33333333</v>
      </c>
      <c r="CY68" s="171"/>
      <c r="CZ68" s="171"/>
      <c r="DA68" s="171"/>
      <c r="DB68" s="171"/>
      <c r="DC68" s="171"/>
      <c r="DD68" s="171"/>
      <c r="DE68" s="171"/>
      <c r="DF68" s="171"/>
      <c r="DG68" s="171"/>
      <c r="DH68" s="171"/>
      <c r="DI68" s="171"/>
      <c r="DJ68" s="171"/>
      <c r="DK68" s="128">
        <f t="shared" si="22"/>
        <v>0</v>
      </c>
      <c r="DL68" s="158" t="str">
        <f t="shared" si="23"/>
        <v>#DIV/0!</v>
      </c>
    </row>
    <row r="69" ht="15.75" customHeight="1">
      <c r="A69" s="146">
        <v>60.0</v>
      </c>
      <c r="B69" s="111" t="s">
        <v>171</v>
      </c>
      <c r="C69" s="112" t="s">
        <v>172</v>
      </c>
      <c r="D69" s="98">
        <f t="shared" si="8"/>
        <v>18</v>
      </c>
      <c r="E69" s="130">
        <f t="shared" si="9"/>
        <v>47.36842105</v>
      </c>
      <c r="F69" s="114">
        <f t="shared" si="10"/>
        <v>47.36842105</v>
      </c>
      <c r="G69" s="226" t="str">
        <f t="shared" si="11"/>
        <v>  </v>
      </c>
      <c r="H69" s="254"/>
      <c r="I69" s="254"/>
      <c r="J69" s="254"/>
      <c r="K69" s="254"/>
      <c r="L69" s="257"/>
      <c r="M69" s="139">
        <f t="shared" si="12"/>
        <v>0</v>
      </c>
      <c r="N69" s="140" t="str">
        <f t="shared" si="13"/>
        <v>#DIV/0!</v>
      </c>
      <c r="O69" s="116"/>
      <c r="P69" s="116"/>
      <c r="Q69" s="116"/>
      <c r="R69" s="179"/>
      <c r="S69" s="179"/>
      <c r="T69" s="116"/>
      <c r="U69" s="116"/>
      <c r="V69" s="179"/>
      <c r="W69" s="138">
        <v>1.0</v>
      </c>
      <c r="X69" s="116"/>
      <c r="Y69" s="179"/>
      <c r="Z69" s="185"/>
      <c r="AA69" s="187">
        <v>1.0</v>
      </c>
      <c r="AB69" s="138">
        <v>1.0</v>
      </c>
      <c r="AC69" s="184">
        <v>1.0</v>
      </c>
      <c r="AD69" s="176"/>
      <c r="AE69" s="176"/>
      <c r="AF69" s="182">
        <v>1.0</v>
      </c>
      <c r="AG69" s="182">
        <v>1.0</v>
      </c>
      <c r="AH69" s="116"/>
      <c r="AI69" s="176"/>
      <c r="AJ69" s="139">
        <f t="shared" si="14"/>
        <v>6</v>
      </c>
      <c r="AK69" s="205">
        <f t="shared" si="15"/>
        <v>85.71428571</v>
      </c>
      <c r="AL69" s="222"/>
      <c r="AM69" s="179"/>
      <c r="AN69" s="179"/>
      <c r="AO69" s="179"/>
      <c r="AP69" s="179"/>
      <c r="AQ69" s="116"/>
      <c r="AR69" s="116"/>
      <c r="AS69" s="166"/>
      <c r="AT69" s="116"/>
      <c r="AU69" s="116"/>
      <c r="AV69" s="116"/>
      <c r="AW69" s="179"/>
      <c r="AX69" s="116"/>
      <c r="AY69" s="116"/>
      <c r="AZ69" s="180"/>
      <c r="BA69" s="215">
        <v>1.0</v>
      </c>
      <c r="BB69" s="204"/>
      <c r="BC69" s="204"/>
      <c r="BD69" s="181"/>
      <c r="BE69" s="181"/>
      <c r="BF69" s="181"/>
      <c r="BG69" s="139">
        <f t="shared" si="16"/>
        <v>1</v>
      </c>
      <c r="BH69" s="208">
        <f t="shared" si="17"/>
        <v>7.142857143</v>
      </c>
      <c r="BI69" s="116"/>
      <c r="BJ69" s="116"/>
      <c r="BK69" s="180"/>
      <c r="BL69" s="116"/>
      <c r="BM69" s="116"/>
      <c r="BN69" s="116"/>
      <c r="BO69" s="138">
        <v>1.0</v>
      </c>
      <c r="BP69" s="116"/>
      <c r="BQ69" s="211"/>
      <c r="BR69" s="138">
        <v>1.0</v>
      </c>
      <c r="BS69" s="196">
        <v>1.0</v>
      </c>
      <c r="BT69" s="210">
        <v>1.0</v>
      </c>
      <c r="BU69" s="145">
        <v>1.0</v>
      </c>
      <c r="BV69" s="43"/>
      <c r="BW69" s="216">
        <v>1.0</v>
      </c>
      <c r="BX69" s="116"/>
      <c r="BY69" s="138">
        <v>1.0</v>
      </c>
      <c r="BZ69" s="196">
        <v>1.0</v>
      </c>
      <c r="CA69" s="165"/>
      <c r="CB69" s="196">
        <v>1.0</v>
      </c>
      <c r="CC69" s="165"/>
      <c r="CD69" s="196">
        <v>1.0</v>
      </c>
      <c r="CE69" s="124">
        <f t="shared" si="18"/>
        <v>10</v>
      </c>
      <c r="CF69" s="173">
        <f t="shared" si="19"/>
        <v>71.42857143</v>
      </c>
      <c r="CG69" s="184">
        <v>1.0</v>
      </c>
      <c r="CH69" s="238"/>
      <c r="CI69" s="186"/>
      <c r="CJ69" s="186"/>
      <c r="CK69" s="231"/>
      <c r="CL69" s="186"/>
      <c r="CM69" s="223"/>
      <c r="CN69" s="116"/>
      <c r="CO69" s="223"/>
      <c r="CP69" s="166"/>
      <c r="CQ69" s="213"/>
      <c r="CR69" s="213"/>
      <c r="CS69" s="213"/>
      <c r="CT69" s="213"/>
      <c r="CU69" s="116"/>
      <c r="CV69" s="213"/>
      <c r="CW69" s="128">
        <f t="shared" si="20"/>
        <v>1</v>
      </c>
      <c r="CX69" s="214">
        <f t="shared" si="21"/>
        <v>33.33333333</v>
      </c>
      <c r="CY69" s="171"/>
      <c r="CZ69" s="171"/>
      <c r="DA69" s="171"/>
      <c r="DB69" s="171"/>
      <c r="DC69" s="171"/>
      <c r="DD69" s="171"/>
      <c r="DE69" s="171"/>
      <c r="DF69" s="171"/>
      <c r="DG69" s="171"/>
      <c r="DH69" s="171"/>
      <c r="DI69" s="171"/>
      <c r="DJ69" s="171"/>
      <c r="DK69" s="128">
        <f t="shared" si="22"/>
        <v>0</v>
      </c>
      <c r="DL69" s="158" t="str">
        <f t="shared" si="23"/>
        <v>#DIV/0!</v>
      </c>
    </row>
    <row r="70" ht="15.75" customHeight="1">
      <c r="A70" s="50">
        <v>61.0</v>
      </c>
      <c r="B70" s="111" t="s">
        <v>173</v>
      </c>
      <c r="C70" s="112" t="s">
        <v>174</v>
      </c>
      <c r="D70" s="98">
        <f t="shared" si="8"/>
        <v>13</v>
      </c>
      <c r="E70" s="130">
        <f t="shared" si="9"/>
        <v>34.21052632</v>
      </c>
      <c r="F70" s="114">
        <f t="shared" si="10"/>
        <v>34.21052632</v>
      </c>
      <c r="G70" s="149" t="str">
        <f t="shared" si="11"/>
        <v>  </v>
      </c>
      <c r="H70" s="254"/>
      <c r="I70" s="254"/>
      <c r="J70" s="254"/>
      <c r="K70" s="254"/>
      <c r="L70" s="257"/>
      <c r="M70" s="139">
        <f t="shared" si="12"/>
        <v>0</v>
      </c>
      <c r="N70" s="140" t="str">
        <f t="shared" si="13"/>
        <v>#DIV/0!</v>
      </c>
      <c r="O70" s="116"/>
      <c r="P70" s="116"/>
      <c r="Q70" s="180"/>
      <c r="R70" s="179"/>
      <c r="S70" s="179"/>
      <c r="T70" s="116"/>
      <c r="U70" s="116"/>
      <c r="V70" s="179"/>
      <c r="W70" s="116"/>
      <c r="X70" s="116"/>
      <c r="Y70" s="179"/>
      <c r="Z70" s="185"/>
      <c r="AA70" s="217"/>
      <c r="AB70" s="116"/>
      <c r="AC70" s="179"/>
      <c r="AD70" s="116"/>
      <c r="AE70" s="116"/>
      <c r="AF70" s="182">
        <v>1.0</v>
      </c>
      <c r="AG70" s="182">
        <v>1.0</v>
      </c>
      <c r="AH70" s="116"/>
      <c r="AI70" s="176"/>
      <c r="AJ70" s="139">
        <f t="shared" si="14"/>
        <v>2</v>
      </c>
      <c r="AK70" s="205">
        <f t="shared" si="15"/>
        <v>28.57142857</v>
      </c>
      <c r="AL70" s="222"/>
      <c r="AM70" s="116"/>
      <c r="AN70" s="184">
        <v>1.0</v>
      </c>
      <c r="AO70" s="116"/>
      <c r="AP70" s="116"/>
      <c r="AQ70" s="116"/>
      <c r="AR70" s="116"/>
      <c r="AS70" s="191">
        <v>1.0</v>
      </c>
      <c r="AT70" s="116"/>
      <c r="AU70" s="116"/>
      <c r="AV70" s="138">
        <v>1.0</v>
      </c>
      <c r="AW70" s="179"/>
      <c r="AX70" s="116"/>
      <c r="AY70" s="116"/>
      <c r="AZ70" s="180"/>
      <c r="BA70" s="180"/>
      <c r="BB70" s="204"/>
      <c r="BC70" s="218">
        <v>1.0</v>
      </c>
      <c r="BD70" s="181"/>
      <c r="BE70" s="181"/>
      <c r="BF70" s="181"/>
      <c r="BG70" s="139">
        <f t="shared" si="16"/>
        <v>4</v>
      </c>
      <c r="BH70" s="208">
        <f t="shared" si="17"/>
        <v>28.57142857</v>
      </c>
      <c r="BI70" s="116"/>
      <c r="BJ70" s="138">
        <v>1.0</v>
      </c>
      <c r="BK70" s="180"/>
      <c r="BL70" s="116"/>
      <c r="BM70" s="116"/>
      <c r="BN70" s="116"/>
      <c r="BO70" s="116"/>
      <c r="BP70" s="116"/>
      <c r="BQ70" s="116"/>
      <c r="BR70" s="166"/>
      <c r="BS70" s="165"/>
      <c r="BT70" s="138">
        <v>1.0</v>
      </c>
      <c r="BU70" s="145">
        <v>1.0</v>
      </c>
      <c r="BV70" s="43"/>
      <c r="BW70" s="198"/>
      <c r="BX70" s="138">
        <v>1.0</v>
      </c>
      <c r="BY70" s="116"/>
      <c r="BZ70" s="196">
        <v>1.0</v>
      </c>
      <c r="CA70" s="165"/>
      <c r="CB70" s="165"/>
      <c r="CC70" s="165"/>
      <c r="CD70" s="196">
        <v>1.0</v>
      </c>
      <c r="CE70" s="124">
        <f t="shared" si="18"/>
        <v>6</v>
      </c>
      <c r="CF70" s="173">
        <f t="shared" si="19"/>
        <v>42.85714286</v>
      </c>
      <c r="CG70" s="184">
        <v>1.0</v>
      </c>
      <c r="CH70" s="238"/>
      <c r="CI70" s="186"/>
      <c r="CJ70" s="116"/>
      <c r="CK70" s="231"/>
      <c r="CL70" s="186"/>
      <c r="CM70" s="223"/>
      <c r="CN70" s="223"/>
      <c r="CO70" s="116"/>
      <c r="CP70" s="166"/>
      <c r="CQ70" s="213"/>
      <c r="CR70" s="213"/>
      <c r="CS70" s="213"/>
      <c r="CT70" s="213"/>
      <c r="CU70" s="213"/>
      <c r="CV70" s="213"/>
      <c r="CW70" s="128">
        <f t="shared" si="20"/>
        <v>1</v>
      </c>
      <c r="CX70" s="214">
        <f t="shared" si="21"/>
        <v>33.33333333</v>
      </c>
      <c r="CY70" s="171"/>
      <c r="CZ70" s="171"/>
      <c r="DA70" s="171"/>
      <c r="DB70" s="171"/>
      <c r="DC70" s="171"/>
      <c r="DD70" s="171"/>
      <c r="DE70" s="171"/>
      <c r="DF70" s="171"/>
      <c r="DG70" s="171"/>
      <c r="DH70" s="171"/>
      <c r="DI70" s="171"/>
      <c r="DJ70" s="171"/>
      <c r="DK70" s="128">
        <f t="shared" si="22"/>
        <v>0</v>
      </c>
      <c r="DL70" s="158" t="str">
        <f t="shared" si="23"/>
        <v>#DIV/0!</v>
      </c>
    </row>
    <row r="71" ht="15.75" customHeight="1">
      <c r="A71" s="131">
        <v>62.0</v>
      </c>
      <c r="B71" s="111" t="s">
        <v>175</v>
      </c>
      <c r="C71" s="112" t="s">
        <v>176</v>
      </c>
      <c r="D71" s="98">
        <f t="shared" si="8"/>
        <v>3</v>
      </c>
      <c r="E71" s="130">
        <f t="shared" si="9"/>
        <v>7.894736842</v>
      </c>
      <c r="F71" s="114">
        <f t="shared" si="10"/>
        <v>7.894736842</v>
      </c>
      <c r="G71" s="226">
        <f t="shared" si="11"/>
        <v>7.894736842</v>
      </c>
      <c r="H71" s="254"/>
      <c r="I71" s="254"/>
      <c r="J71" s="254"/>
      <c r="K71" s="254"/>
      <c r="L71" s="257"/>
      <c r="M71" s="139">
        <f t="shared" si="12"/>
        <v>0</v>
      </c>
      <c r="N71" s="140" t="str">
        <f t="shared" si="13"/>
        <v>#DIV/0!</v>
      </c>
      <c r="O71" s="116"/>
      <c r="P71" s="116"/>
      <c r="Q71" s="180"/>
      <c r="R71" s="179"/>
      <c r="S71" s="179"/>
      <c r="T71" s="116"/>
      <c r="U71" s="116"/>
      <c r="V71" s="179"/>
      <c r="W71" s="116"/>
      <c r="X71" s="116"/>
      <c r="Y71" s="179"/>
      <c r="Z71" s="185"/>
      <c r="AA71" s="217"/>
      <c r="AB71" s="116"/>
      <c r="AC71" s="179"/>
      <c r="AD71" s="176"/>
      <c r="AE71" s="116"/>
      <c r="AF71" s="176"/>
      <c r="AG71" s="176"/>
      <c r="AH71" s="176"/>
      <c r="AI71" s="176"/>
      <c r="AJ71" s="139">
        <f t="shared" si="14"/>
        <v>0</v>
      </c>
      <c r="AK71" s="205">
        <f t="shared" si="15"/>
        <v>0</v>
      </c>
      <c r="AL71" s="222"/>
      <c r="AM71" s="179"/>
      <c r="AN71" s="179"/>
      <c r="AO71" s="179"/>
      <c r="AP71" s="179"/>
      <c r="AQ71" s="116"/>
      <c r="AR71" s="116"/>
      <c r="AS71" s="166"/>
      <c r="AT71" s="116"/>
      <c r="AU71" s="116"/>
      <c r="AV71" s="138">
        <v>1.0</v>
      </c>
      <c r="AW71" s="179"/>
      <c r="AX71" s="116"/>
      <c r="AY71" s="116"/>
      <c r="AZ71" s="180"/>
      <c r="BA71" s="180"/>
      <c r="BB71" s="204"/>
      <c r="BC71" s="204"/>
      <c r="BD71" s="181"/>
      <c r="BE71" s="181"/>
      <c r="BF71" s="181"/>
      <c r="BG71" s="139">
        <f t="shared" si="16"/>
        <v>1</v>
      </c>
      <c r="BH71" s="208">
        <f t="shared" si="17"/>
        <v>7.142857143</v>
      </c>
      <c r="BI71" s="116"/>
      <c r="BJ71" s="116"/>
      <c r="BK71" s="180"/>
      <c r="BL71" s="116"/>
      <c r="BM71" s="116"/>
      <c r="BN71" s="116"/>
      <c r="BO71" s="116"/>
      <c r="BP71" s="116"/>
      <c r="BQ71" s="211"/>
      <c r="BR71" s="166"/>
      <c r="BS71" s="196">
        <v>1.0</v>
      </c>
      <c r="BT71" s="116"/>
      <c r="BU71" s="43"/>
      <c r="BV71" s="43"/>
      <c r="BW71" s="198"/>
      <c r="BX71" s="43"/>
      <c r="BY71" s="116"/>
      <c r="BZ71" s="165"/>
      <c r="CA71" s="165"/>
      <c r="CB71" s="165"/>
      <c r="CC71" s="165"/>
      <c r="CD71" s="165"/>
      <c r="CE71" s="124">
        <f t="shared" si="18"/>
        <v>1</v>
      </c>
      <c r="CF71" s="173">
        <f t="shared" si="19"/>
        <v>7.142857143</v>
      </c>
      <c r="CG71" s="184">
        <v>1.0</v>
      </c>
      <c r="CH71" s="238"/>
      <c r="CI71" s="186"/>
      <c r="CJ71" s="186"/>
      <c r="CK71" s="116"/>
      <c r="CL71" s="186"/>
      <c r="CM71" s="223"/>
      <c r="CN71" s="223"/>
      <c r="CO71" s="223"/>
      <c r="CP71" s="116"/>
      <c r="CQ71" s="165"/>
      <c r="CR71" s="165"/>
      <c r="CS71" s="116"/>
      <c r="CT71" s="116"/>
      <c r="CU71" s="116"/>
      <c r="CV71" s="165"/>
      <c r="CW71" s="128">
        <f t="shared" si="20"/>
        <v>1</v>
      </c>
      <c r="CX71" s="214">
        <f t="shared" si="21"/>
        <v>33.33333333</v>
      </c>
      <c r="CY71" s="171"/>
      <c r="CZ71" s="171"/>
      <c r="DA71" s="171"/>
      <c r="DB71" s="171"/>
      <c r="DC71" s="171"/>
      <c r="DD71" s="171"/>
      <c r="DE71" s="171"/>
      <c r="DF71" s="171"/>
      <c r="DG71" s="171"/>
      <c r="DH71" s="171"/>
      <c r="DI71" s="171"/>
      <c r="DJ71" s="171"/>
      <c r="DK71" s="128">
        <f t="shared" si="22"/>
        <v>0</v>
      </c>
      <c r="DL71" s="158" t="str">
        <f t="shared" si="23"/>
        <v>#DIV/0!</v>
      </c>
    </row>
    <row r="72" ht="15.75" customHeight="1">
      <c r="A72" s="146">
        <v>63.0</v>
      </c>
      <c r="B72" s="111" t="s">
        <v>177</v>
      </c>
      <c r="C72" s="112" t="s">
        <v>178</v>
      </c>
      <c r="D72" s="98">
        <f t="shared" si="8"/>
        <v>12</v>
      </c>
      <c r="E72" s="130">
        <f t="shared" si="9"/>
        <v>31.57894737</v>
      </c>
      <c r="F72" s="114">
        <f t="shared" si="10"/>
        <v>31.57894737</v>
      </c>
      <c r="G72" s="149" t="str">
        <f t="shared" si="11"/>
        <v>  </v>
      </c>
      <c r="H72" s="254"/>
      <c r="I72" s="254"/>
      <c r="J72" s="254"/>
      <c r="K72" s="254"/>
      <c r="L72" s="257"/>
      <c r="M72" s="139">
        <f t="shared" si="12"/>
        <v>0</v>
      </c>
      <c r="N72" s="140" t="str">
        <f t="shared" si="13"/>
        <v>#DIV/0!</v>
      </c>
      <c r="O72" s="116"/>
      <c r="P72" s="116"/>
      <c r="Q72" s="180"/>
      <c r="R72" s="179"/>
      <c r="S72" s="179"/>
      <c r="T72" s="116"/>
      <c r="U72" s="116"/>
      <c r="V72" s="179"/>
      <c r="W72" s="116"/>
      <c r="X72" s="116"/>
      <c r="Y72" s="179"/>
      <c r="Z72" s="185"/>
      <c r="AA72" s="217"/>
      <c r="AB72" s="116"/>
      <c r="AC72" s="184">
        <v>1.0</v>
      </c>
      <c r="AD72" s="116"/>
      <c r="AE72" s="116"/>
      <c r="AF72" s="176"/>
      <c r="AG72" s="176"/>
      <c r="AH72" s="116"/>
      <c r="AI72" s="116"/>
      <c r="AJ72" s="139">
        <f t="shared" si="14"/>
        <v>1</v>
      </c>
      <c r="AK72" s="205">
        <f t="shared" si="15"/>
        <v>14.28571429</v>
      </c>
      <c r="AL72" s="116"/>
      <c r="AM72" s="116"/>
      <c r="AN72" s="184">
        <v>1.0</v>
      </c>
      <c r="AO72" s="179"/>
      <c r="AP72" s="179"/>
      <c r="AQ72" s="116"/>
      <c r="AR72" s="116"/>
      <c r="AS72" s="191">
        <v>1.0</v>
      </c>
      <c r="AT72" s="116"/>
      <c r="AU72" s="116"/>
      <c r="AV72" s="116"/>
      <c r="AW72" s="179"/>
      <c r="AX72" s="116"/>
      <c r="AY72" s="116"/>
      <c r="AZ72" s="180"/>
      <c r="BA72" s="180"/>
      <c r="BB72" s="116"/>
      <c r="BC72" s="138">
        <v>1.0</v>
      </c>
      <c r="BD72" s="194"/>
      <c r="BE72" s="194"/>
      <c r="BF72" s="194"/>
      <c r="BG72" s="139">
        <f t="shared" si="16"/>
        <v>3</v>
      </c>
      <c r="BH72" s="208">
        <f t="shared" si="17"/>
        <v>21.42857143</v>
      </c>
      <c r="BI72" s="116"/>
      <c r="BJ72" s="138">
        <v>1.0</v>
      </c>
      <c r="BK72" s="180"/>
      <c r="BL72" s="116"/>
      <c r="BM72" s="116"/>
      <c r="BN72" s="116"/>
      <c r="BO72" s="116"/>
      <c r="BP72" s="116"/>
      <c r="BQ72" s="116"/>
      <c r="BR72" s="166"/>
      <c r="BS72" s="116"/>
      <c r="BT72" s="138">
        <v>1.0</v>
      </c>
      <c r="BU72" s="241">
        <v>1.0</v>
      </c>
      <c r="BV72" s="116"/>
      <c r="BW72" s="198"/>
      <c r="BX72" s="138">
        <v>1.0</v>
      </c>
      <c r="BY72" s="116"/>
      <c r="BZ72" s="196">
        <v>1.0</v>
      </c>
      <c r="CA72" s="116"/>
      <c r="CB72" s="165"/>
      <c r="CC72" s="196">
        <v>1.0</v>
      </c>
      <c r="CD72" s="196">
        <v>1.0</v>
      </c>
      <c r="CE72" s="124">
        <f t="shared" si="18"/>
        <v>7</v>
      </c>
      <c r="CF72" s="173">
        <f t="shared" si="19"/>
        <v>50</v>
      </c>
      <c r="CG72" s="138">
        <v>1.0</v>
      </c>
      <c r="CH72" s="116"/>
      <c r="CI72" s="186"/>
      <c r="CJ72" s="116"/>
      <c r="CK72" s="116"/>
      <c r="CL72" s="186"/>
      <c r="CM72" s="223"/>
      <c r="CN72" s="223"/>
      <c r="CO72" s="116"/>
      <c r="CP72" s="166"/>
      <c r="CQ72" s="213"/>
      <c r="CR72" s="213"/>
      <c r="CS72" s="213"/>
      <c r="CT72" s="213"/>
      <c r="CU72" s="116"/>
      <c r="CV72" s="213"/>
      <c r="CW72" s="128">
        <f t="shared" si="20"/>
        <v>1</v>
      </c>
      <c r="CX72" s="214">
        <f t="shared" si="21"/>
        <v>33.33333333</v>
      </c>
      <c r="CY72" s="171"/>
      <c r="CZ72" s="171"/>
      <c r="DA72" s="171"/>
      <c r="DB72" s="171"/>
      <c r="DC72" s="171"/>
      <c r="DD72" s="171"/>
      <c r="DE72" s="171"/>
      <c r="DF72" s="171"/>
      <c r="DG72" s="171"/>
      <c r="DH72" s="171"/>
      <c r="DI72" s="171"/>
      <c r="DJ72" s="171"/>
      <c r="DK72" s="128">
        <f t="shared" si="22"/>
        <v>0</v>
      </c>
      <c r="DL72" s="158" t="str">
        <f t="shared" si="23"/>
        <v>#DIV/0!</v>
      </c>
    </row>
    <row r="73" ht="15.75" customHeight="1">
      <c r="A73" s="50">
        <v>64.0</v>
      </c>
      <c r="B73" s="111" t="s">
        <v>179</v>
      </c>
      <c r="C73" s="112" t="s">
        <v>180</v>
      </c>
      <c r="D73" s="98">
        <f t="shared" si="8"/>
        <v>19</v>
      </c>
      <c r="E73" s="130">
        <f t="shared" si="9"/>
        <v>50</v>
      </c>
      <c r="F73" s="92" t="str">
        <f t="shared" si="10"/>
        <v>  </v>
      </c>
      <c r="G73" s="149" t="str">
        <f t="shared" si="11"/>
        <v>  </v>
      </c>
      <c r="H73" s="254"/>
      <c r="I73" s="254"/>
      <c r="J73" s="254"/>
      <c r="K73" s="254"/>
      <c r="L73" s="257"/>
      <c r="M73" s="139">
        <f t="shared" si="12"/>
        <v>0</v>
      </c>
      <c r="N73" s="140" t="str">
        <f t="shared" si="13"/>
        <v>#DIV/0!</v>
      </c>
      <c r="O73" s="116"/>
      <c r="P73" s="116"/>
      <c r="Q73" s="116"/>
      <c r="R73" s="179"/>
      <c r="S73" s="116"/>
      <c r="T73" s="116"/>
      <c r="U73" s="116"/>
      <c r="V73" s="179"/>
      <c r="W73" s="138">
        <v>1.0</v>
      </c>
      <c r="X73" s="116"/>
      <c r="Y73" s="179"/>
      <c r="Z73" s="210">
        <v>1.0</v>
      </c>
      <c r="AA73" s="187">
        <v>1.0</v>
      </c>
      <c r="AB73" s="138">
        <v>1.0</v>
      </c>
      <c r="AC73" s="179"/>
      <c r="AD73" s="176"/>
      <c r="AE73" s="176"/>
      <c r="AF73" s="182">
        <v>1.0</v>
      </c>
      <c r="AG73" s="176"/>
      <c r="AH73" s="176"/>
      <c r="AI73" s="176"/>
      <c r="AJ73" s="139">
        <f t="shared" si="14"/>
        <v>5</v>
      </c>
      <c r="AK73" s="205">
        <f t="shared" si="15"/>
        <v>71.42857143</v>
      </c>
      <c r="AL73" s="222"/>
      <c r="AM73" s="138">
        <v>1.0</v>
      </c>
      <c r="AN73" s="179"/>
      <c r="AO73" s="116"/>
      <c r="AP73" s="116"/>
      <c r="AQ73" s="116"/>
      <c r="AR73" s="116"/>
      <c r="AS73" s="166"/>
      <c r="AT73" s="116"/>
      <c r="AU73" s="116"/>
      <c r="AV73" s="116"/>
      <c r="AW73" s="179"/>
      <c r="AX73" s="116"/>
      <c r="AY73" s="116"/>
      <c r="AZ73" s="116"/>
      <c r="BA73" s="215">
        <v>1.0</v>
      </c>
      <c r="BB73" s="138">
        <v>1.0</v>
      </c>
      <c r="BC73" s="138">
        <v>1.0</v>
      </c>
      <c r="BD73" s="188">
        <v>1.0</v>
      </c>
      <c r="BE73" s="194"/>
      <c r="BF73" s="188">
        <v>1.0</v>
      </c>
      <c r="BG73" s="139">
        <f t="shared" si="16"/>
        <v>6</v>
      </c>
      <c r="BH73" s="208">
        <f t="shared" si="17"/>
        <v>42.85714286</v>
      </c>
      <c r="BI73" s="138">
        <v>1.0</v>
      </c>
      <c r="BJ73" s="116"/>
      <c r="BK73" s="180"/>
      <c r="BL73" s="116"/>
      <c r="BM73" s="116"/>
      <c r="BN73" s="116"/>
      <c r="BO73" s="116"/>
      <c r="BP73" s="116"/>
      <c r="BQ73" s="116"/>
      <c r="BR73" s="138">
        <v>1.0</v>
      </c>
      <c r="BS73" s="196">
        <v>1.0</v>
      </c>
      <c r="BT73" s="116"/>
      <c r="BV73" s="116"/>
      <c r="BW73" s="216">
        <v>1.0</v>
      </c>
      <c r="BX73" s="116"/>
      <c r="BY73" s="116"/>
      <c r="BZ73" s="165"/>
      <c r="CA73" s="116"/>
      <c r="CB73" s="138">
        <v>1.0</v>
      </c>
      <c r="CC73" s="165"/>
      <c r="CD73" s="196">
        <v>1.0</v>
      </c>
      <c r="CE73" s="124">
        <f t="shared" si="18"/>
        <v>6</v>
      </c>
      <c r="CF73" s="173">
        <f t="shared" si="19"/>
        <v>42.85714286</v>
      </c>
      <c r="CG73" s="138">
        <v>1.0</v>
      </c>
      <c r="CH73" s="138">
        <v>1.0</v>
      </c>
      <c r="CI73" s="116"/>
      <c r="CJ73" s="116"/>
      <c r="CK73" s="116"/>
      <c r="CL73" s="186"/>
      <c r="CM73" s="116"/>
      <c r="CN73" s="116"/>
      <c r="CO73" s="116"/>
      <c r="CP73" s="166"/>
      <c r="CQ73" s="213"/>
      <c r="CR73" s="213"/>
      <c r="CS73" s="116"/>
      <c r="CT73" s="116"/>
      <c r="CU73" s="116"/>
      <c r="CV73" s="213"/>
      <c r="CW73" s="128">
        <f t="shared" si="20"/>
        <v>2</v>
      </c>
      <c r="CX73" s="214">
        <f t="shared" si="21"/>
        <v>66.66666667</v>
      </c>
      <c r="CY73" s="171"/>
      <c r="CZ73" s="171"/>
      <c r="DA73" s="171"/>
      <c r="DB73" s="171"/>
      <c r="DC73" s="171"/>
      <c r="DD73" s="171"/>
      <c r="DE73" s="171"/>
      <c r="DF73" s="171"/>
      <c r="DG73" s="171"/>
      <c r="DH73" s="171"/>
      <c r="DI73" s="171"/>
      <c r="DJ73" s="171"/>
      <c r="DK73" s="128">
        <f t="shared" si="22"/>
        <v>0</v>
      </c>
      <c r="DL73" s="158" t="str">
        <f t="shared" si="23"/>
        <v>#DIV/0!</v>
      </c>
    </row>
    <row r="74" ht="15.75" customHeight="1">
      <c r="A74" s="131">
        <v>65.0</v>
      </c>
      <c r="B74" s="111" t="s">
        <v>181</v>
      </c>
      <c r="C74" s="112" t="s">
        <v>182</v>
      </c>
      <c r="D74" s="98">
        <f t="shared" si="8"/>
        <v>19</v>
      </c>
      <c r="E74" s="130">
        <f t="shared" si="9"/>
        <v>50</v>
      </c>
      <c r="F74" s="114" t="str">
        <f t="shared" si="10"/>
        <v>  </v>
      </c>
      <c r="G74" s="149" t="str">
        <f t="shared" si="11"/>
        <v>  </v>
      </c>
      <c r="H74" s="254"/>
      <c r="I74" s="254"/>
      <c r="J74" s="254"/>
      <c r="K74" s="254"/>
      <c r="L74" s="257"/>
      <c r="M74" s="139">
        <f t="shared" si="12"/>
        <v>0</v>
      </c>
      <c r="N74" s="140" t="str">
        <f t="shared" si="13"/>
        <v>#DIV/0!</v>
      </c>
      <c r="O74" s="116"/>
      <c r="P74" s="116"/>
      <c r="Q74" s="116"/>
      <c r="R74" s="179"/>
      <c r="S74" s="116"/>
      <c r="T74" s="116"/>
      <c r="U74" s="116"/>
      <c r="V74" s="179"/>
      <c r="W74" s="116"/>
      <c r="X74" s="116"/>
      <c r="Y74" s="179"/>
      <c r="Z74" s="210">
        <v>1.0</v>
      </c>
      <c r="AA74" s="187">
        <v>1.0</v>
      </c>
      <c r="AB74" s="116"/>
      <c r="AC74" s="184">
        <v>1.0</v>
      </c>
      <c r="AD74" s="116"/>
      <c r="AE74" s="176"/>
      <c r="AF74" s="176"/>
      <c r="AG74" s="176"/>
      <c r="AH74" s="116"/>
      <c r="AI74" s="116"/>
      <c r="AJ74" s="139">
        <f t="shared" si="14"/>
        <v>3</v>
      </c>
      <c r="AK74" s="205">
        <f t="shared" si="15"/>
        <v>42.85714286</v>
      </c>
      <c r="AL74" s="116"/>
      <c r="AM74" s="138">
        <v>1.0</v>
      </c>
      <c r="AN74" s="179"/>
      <c r="AO74" s="116"/>
      <c r="AP74" s="116"/>
      <c r="AQ74" s="116"/>
      <c r="AR74" s="138">
        <v>1.0</v>
      </c>
      <c r="AS74" s="191">
        <v>1.0</v>
      </c>
      <c r="AT74" s="116"/>
      <c r="AU74" s="116"/>
      <c r="AV74" s="138">
        <v>1.0</v>
      </c>
      <c r="AW74" s="179"/>
      <c r="AX74" s="116"/>
      <c r="AY74" s="116"/>
      <c r="AZ74" s="116"/>
      <c r="BA74" s="180"/>
      <c r="BB74" s="138">
        <v>1.0</v>
      </c>
      <c r="BC74" s="138">
        <v>1.0</v>
      </c>
      <c r="BD74" s="188">
        <v>1.0</v>
      </c>
      <c r="BE74" s="194"/>
      <c r="BF74" s="188">
        <v>1.0</v>
      </c>
      <c r="BG74" s="139">
        <f t="shared" si="16"/>
        <v>8</v>
      </c>
      <c r="BH74" s="208">
        <f t="shared" si="17"/>
        <v>57.14285714</v>
      </c>
      <c r="BI74" s="116"/>
      <c r="BJ74" s="116"/>
      <c r="BK74" s="180"/>
      <c r="BL74" s="116"/>
      <c r="BM74" s="116"/>
      <c r="BN74" s="116"/>
      <c r="BO74" s="116"/>
      <c r="BP74" s="116"/>
      <c r="BQ74" s="116"/>
      <c r="BR74" s="191">
        <v>1.0</v>
      </c>
      <c r="BS74" s="116"/>
      <c r="BT74" s="138">
        <v>1.0</v>
      </c>
      <c r="BU74" s="241">
        <v>1.0</v>
      </c>
      <c r="BV74" s="116"/>
      <c r="BW74" s="198"/>
      <c r="BX74" s="138">
        <v>1.0</v>
      </c>
      <c r="BY74" s="116"/>
      <c r="BZ74" s="196">
        <v>1.0</v>
      </c>
      <c r="CA74" s="116"/>
      <c r="CB74" s="165"/>
      <c r="CC74" s="196">
        <v>1.0</v>
      </c>
      <c r="CD74" s="196">
        <v>1.0</v>
      </c>
      <c r="CE74" s="124">
        <f t="shared" si="18"/>
        <v>7</v>
      </c>
      <c r="CF74" s="173">
        <f t="shared" si="19"/>
        <v>50</v>
      </c>
      <c r="CG74" s="184">
        <v>1.0</v>
      </c>
      <c r="CH74" s="116"/>
      <c r="CI74" s="186"/>
      <c r="CJ74" s="116"/>
      <c r="CK74" s="116"/>
      <c r="CL74" s="186"/>
      <c r="CM74" s="116"/>
      <c r="CN74" s="223"/>
      <c r="CO74" s="116"/>
      <c r="CP74" s="166"/>
      <c r="CQ74" s="213"/>
      <c r="CR74" s="213"/>
      <c r="CS74" s="213"/>
      <c r="CT74" s="213"/>
      <c r="CU74" s="116"/>
      <c r="CV74" s="213"/>
      <c r="CW74" s="128">
        <f t="shared" si="20"/>
        <v>1</v>
      </c>
      <c r="CX74" s="214">
        <f t="shared" si="21"/>
        <v>33.33333333</v>
      </c>
      <c r="CY74" s="171"/>
      <c r="CZ74" s="171"/>
      <c r="DA74" s="171"/>
      <c r="DB74" s="171"/>
      <c r="DC74" s="171"/>
      <c r="DD74" s="171"/>
      <c r="DE74" s="171"/>
      <c r="DF74" s="171"/>
      <c r="DG74" s="171"/>
      <c r="DH74" s="171"/>
      <c r="DI74" s="171"/>
      <c r="DJ74" s="171"/>
      <c r="DK74" s="128">
        <f t="shared" si="22"/>
        <v>0</v>
      </c>
      <c r="DL74" s="158" t="str">
        <f t="shared" si="23"/>
        <v>#DIV/0!</v>
      </c>
    </row>
    <row r="75" ht="15.75" customHeight="1">
      <c r="A75" s="146">
        <v>66.0</v>
      </c>
      <c r="B75" s="111" t="s">
        <v>183</v>
      </c>
      <c r="C75" s="112" t="s">
        <v>184</v>
      </c>
      <c r="D75" s="98">
        <f t="shared" si="8"/>
        <v>0</v>
      </c>
      <c r="E75" s="130">
        <f t="shared" si="9"/>
        <v>0</v>
      </c>
      <c r="F75" s="114">
        <f t="shared" si="10"/>
        <v>0</v>
      </c>
      <c r="G75" s="226">
        <f t="shared" si="11"/>
        <v>0</v>
      </c>
      <c r="H75" s="254"/>
      <c r="I75" s="254"/>
      <c r="J75" s="254"/>
      <c r="K75" s="254"/>
      <c r="L75" s="257"/>
      <c r="M75" s="139">
        <f t="shared" si="12"/>
        <v>0</v>
      </c>
      <c r="N75" s="140" t="str">
        <f t="shared" si="13"/>
        <v>#DIV/0!</v>
      </c>
      <c r="O75" s="116"/>
      <c r="P75" s="116"/>
      <c r="Q75" s="180"/>
      <c r="R75" s="179"/>
      <c r="S75" s="179"/>
      <c r="T75" s="116"/>
      <c r="U75" s="116"/>
      <c r="V75" s="179"/>
      <c r="W75" s="116"/>
      <c r="X75" s="116"/>
      <c r="Y75" s="179"/>
      <c r="Z75" s="185"/>
      <c r="AA75" s="217"/>
      <c r="AB75" s="116"/>
      <c r="AC75" s="179"/>
      <c r="AD75" s="176"/>
      <c r="AE75" s="176"/>
      <c r="AF75" s="176"/>
      <c r="AG75" s="176"/>
      <c r="AH75" s="176"/>
      <c r="AI75" s="116"/>
      <c r="AJ75" s="139">
        <f t="shared" si="14"/>
        <v>0</v>
      </c>
      <c r="AK75" s="205">
        <f t="shared" si="15"/>
        <v>0</v>
      </c>
      <c r="AL75" s="222"/>
      <c r="AM75" s="116"/>
      <c r="AN75" s="179"/>
      <c r="AO75" s="179"/>
      <c r="AP75" s="179"/>
      <c r="AQ75" s="116"/>
      <c r="AR75" s="116"/>
      <c r="AS75" s="166"/>
      <c r="AT75" s="116"/>
      <c r="AU75" s="116"/>
      <c r="AV75" s="116"/>
      <c r="AW75" s="179"/>
      <c r="AX75" s="116"/>
      <c r="AY75" s="116"/>
      <c r="AZ75" s="180"/>
      <c r="BA75" s="180"/>
      <c r="BB75" s="204"/>
      <c r="BC75" s="204"/>
      <c r="BD75" s="181"/>
      <c r="BE75" s="181"/>
      <c r="BF75" s="181"/>
      <c r="BG75" s="139">
        <f t="shared" si="16"/>
        <v>0</v>
      </c>
      <c r="BH75" s="208">
        <f t="shared" si="17"/>
        <v>0</v>
      </c>
      <c r="BI75" s="116"/>
      <c r="BJ75" s="116"/>
      <c r="BK75" s="180"/>
      <c r="BL75" s="116"/>
      <c r="BM75" s="116"/>
      <c r="BN75" s="116"/>
      <c r="BO75" s="116"/>
      <c r="BP75" s="116"/>
      <c r="BQ75" s="116"/>
      <c r="BR75" s="166"/>
      <c r="BS75" s="165"/>
      <c r="BT75" s="185"/>
      <c r="BU75" s="43"/>
      <c r="BV75" s="43"/>
      <c r="BW75" s="198"/>
      <c r="BX75" s="43"/>
      <c r="BY75" s="116"/>
      <c r="BZ75" s="165"/>
      <c r="CA75" s="165"/>
      <c r="CB75" s="165"/>
      <c r="CC75" s="165"/>
      <c r="CD75" s="165"/>
      <c r="CE75" s="124">
        <f t="shared" si="18"/>
        <v>0</v>
      </c>
      <c r="CF75" s="173">
        <f t="shared" si="19"/>
        <v>0</v>
      </c>
      <c r="CG75" s="179"/>
      <c r="CH75" s="238"/>
      <c r="CI75" s="186"/>
      <c r="CJ75" s="116"/>
      <c r="CK75" s="231"/>
      <c r="CL75" s="186"/>
      <c r="CM75" s="223"/>
      <c r="CN75" s="223"/>
      <c r="CO75" s="223"/>
      <c r="CP75" s="166"/>
      <c r="CQ75" s="213"/>
      <c r="CR75" s="213"/>
      <c r="CS75" s="213"/>
      <c r="CT75" s="116"/>
      <c r="CU75" s="116"/>
      <c r="CV75" s="213"/>
      <c r="CW75" s="128">
        <f t="shared" si="20"/>
        <v>0</v>
      </c>
      <c r="CX75" s="214">
        <f t="shared" si="21"/>
        <v>0</v>
      </c>
      <c r="CY75" s="171"/>
      <c r="CZ75" s="171"/>
      <c r="DA75" s="171"/>
      <c r="DB75" s="171"/>
      <c r="DC75" s="171"/>
      <c r="DD75" s="171"/>
      <c r="DE75" s="171"/>
      <c r="DF75" s="171"/>
      <c r="DG75" s="171"/>
      <c r="DH75" s="171"/>
      <c r="DI75" s="171"/>
      <c r="DJ75" s="171"/>
      <c r="DK75" s="128">
        <f t="shared" si="22"/>
        <v>0</v>
      </c>
      <c r="DL75" s="158" t="str">
        <f t="shared" si="23"/>
        <v>#DIV/0!</v>
      </c>
    </row>
    <row r="76" ht="15.75" customHeight="1">
      <c r="A76" s="50">
        <v>67.0</v>
      </c>
      <c r="B76" s="111" t="s">
        <v>185</v>
      </c>
      <c r="C76" s="112" t="s">
        <v>186</v>
      </c>
      <c r="D76" s="98">
        <f t="shared" si="8"/>
        <v>21</v>
      </c>
      <c r="E76" s="130">
        <f t="shared" si="9"/>
        <v>55.26315789</v>
      </c>
      <c r="F76" s="114" t="str">
        <f t="shared" si="10"/>
        <v>  </v>
      </c>
      <c r="G76" s="226" t="str">
        <f t="shared" si="11"/>
        <v>  </v>
      </c>
      <c r="H76" s="265"/>
      <c r="I76" s="265"/>
      <c r="J76" s="265"/>
      <c r="K76" s="265"/>
      <c r="L76" s="266"/>
      <c r="M76" s="139">
        <f t="shared" si="12"/>
        <v>0</v>
      </c>
      <c r="N76" s="140" t="str">
        <f t="shared" si="13"/>
        <v>#DIV/0!</v>
      </c>
      <c r="O76" s="116"/>
      <c r="P76" s="116"/>
      <c r="Q76" s="180"/>
      <c r="R76" s="179"/>
      <c r="S76" s="116"/>
      <c r="T76" s="116"/>
      <c r="U76" s="116"/>
      <c r="V76" s="179"/>
      <c r="W76" s="138">
        <v>1.0</v>
      </c>
      <c r="X76" s="116"/>
      <c r="Y76" s="179"/>
      <c r="Z76" s="185"/>
      <c r="AA76" s="187">
        <v>1.0</v>
      </c>
      <c r="AB76" s="116"/>
      <c r="AC76" s="179"/>
      <c r="AD76" s="116"/>
      <c r="AE76" s="116"/>
      <c r="AF76" s="182">
        <v>1.0</v>
      </c>
      <c r="AG76" s="176"/>
      <c r="AH76" s="176"/>
      <c r="AI76" s="116"/>
      <c r="AJ76" s="139">
        <f t="shared" si="14"/>
        <v>3</v>
      </c>
      <c r="AK76" s="205">
        <f t="shared" si="15"/>
        <v>42.85714286</v>
      </c>
      <c r="AL76" s="222"/>
      <c r="AM76" s="138">
        <v>1.0</v>
      </c>
      <c r="AN76" s="184">
        <v>1.0</v>
      </c>
      <c r="AO76" s="138">
        <v>1.0</v>
      </c>
      <c r="AP76" s="138">
        <v>1.0</v>
      </c>
      <c r="AQ76" s="138">
        <v>1.0</v>
      </c>
      <c r="AR76" s="116"/>
      <c r="AS76" s="166"/>
      <c r="AT76" s="116"/>
      <c r="AU76" s="116"/>
      <c r="AV76" s="116"/>
      <c r="AW76" s="179"/>
      <c r="AX76" s="116"/>
      <c r="AY76" s="116"/>
      <c r="AZ76" s="180"/>
      <c r="BA76" s="215">
        <v>1.0</v>
      </c>
      <c r="BB76" s="116"/>
      <c r="BC76" s="218">
        <v>1.0</v>
      </c>
      <c r="BD76" s="181"/>
      <c r="BE76" s="181"/>
      <c r="BF76" s="219">
        <v>1.0</v>
      </c>
      <c r="BG76" s="139">
        <f t="shared" si="16"/>
        <v>8</v>
      </c>
      <c r="BH76" s="208">
        <f t="shared" si="17"/>
        <v>57.14285714</v>
      </c>
      <c r="BI76" s="138">
        <v>1.0</v>
      </c>
      <c r="BJ76" s="138">
        <v>1.0</v>
      </c>
      <c r="BK76" s="180"/>
      <c r="BL76" s="116"/>
      <c r="BM76" s="116"/>
      <c r="BN76" s="116"/>
      <c r="BO76" s="138">
        <v>1.0</v>
      </c>
      <c r="BP76" s="116"/>
      <c r="BQ76" s="211"/>
      <c r="BR76" s="166"/>
      <c r="BS76" s="196">
        <v>1.0</v>
      </c>
      <c r="BT76" s="138">
        <v>1.0</v>
      </c>
      <c r="BU76" s="145">
        <v>1.0</v>
      </c>
      <c r="BV76" s="43"/>
      <c r="BW76" s="216">
        <v>1.0</v>
      </c>
      <c r="BX76" s="116"/>
      <c r="BY76" s="138">
        <v>1.0</v>
      </c>
      <c r="BZ76" s="196">
        <v>1.0</v>
      </c>
      <c r="CA76" s="116"/>
      <c r="CB76" s="165"/>
      <c r="CC76" s="165"/>
      <c r="CD76" s="196">
        <v>1.0</v>
      </c>
      <c r="CE76" s="124">
        <f t="shared" si="18"/>
        <v>10</v>
      </c>
      <c r="CF76" s="173">
        <f t="shared" si="19"/>
        <v>71.42857143</v>
      </c>
      <c r="CG76" s="116"/>
      <c r="CH76" s="116"/>
      <c r="CI76" s="186"/>
      <c r="CJ76" s="116"/>
      <c r="CK76" s="116"/>
      <c r="CL76" s="186"/>
      <c r="CM76" s="223"/>
      <c r="CN76" s="116"/>
      <c r="CO76" s="116"/>
      <c r="CP76" s="166"/>
      <c r="CQ76" s="213"/>
      <c r="CR76" s="213"/>
      <c r="CS76" s="116"/>
      <c r="CT76" s="116"/>
      <c r="CU76" s="116"/>
      <c r="CV76" s="213"/>
      <c r="CW76" s="128">
        <f t="shared" si="20"/>
        <v>0</v>
      </c>
      <c r="CX76" s="214">
        <f t="shared" si="21"/>
        <v>0</v>
      </c>
      <c r="CY76" s="171"/>
      <c r="CZ76" s="171"/>
      <c r="DA76" s="171"/>
      <c r="DB76" s="171"/>
      <c r="DC76" s="171"/>
      <c r="DD76" s="171"/>
      <c r="DE76" s="171"/>
      <c r="DF76" s="171"/>
      <c r="DG76" s="171"/>
      <c r="DH76" s="171"/>
      <c r="DI76" s="171"/>
      <c r="DJ76" s="171"/>
      <c r="DK76" s="128">
        <f t="shared" si="22"/>
        <v>0</v>
      </c>
      <c r="DL76" s="158" t="str">
        <f t="shared" si="23"/>
        <v>#DIV/0!</v>
      </c>
    </row>
    <row r="77" ht="15.75" customHeight="1">
      <c r="A77" s="131">
        <v>68.0</v>
      </c>
      <c r="B77" s="161" t="s">
        <v>187</v>
      </c>
      <c r="C77" s="162" t="s">
        <v>188</v>
      </c>
      <c r="D77" s="98">
        <f t="shared" si="8"/>
        <v>13</v>
      </c>
      <c r="E77" s="130">
        <f t="shared" si="9"/>
        <v>34.21052632</v>
      </c>
      <c r="F77" s="114">
        <f t="shared" si="10"/>
        <v>34.21052632</v>
      </c>
      <c r="G77" s="149" t="str">
        <f t="shared" si="11"/>
        <v>  </v>
      </c>
      <c r="H77" s="265"/>
      <c r="I77" s="265"/>
      <c r="J77" s="267"/>
      <c r="K77" s="267"/>
      <c r="L77" s="268"/>
      <c r="M77" s="139">
        <f t="shared" si="12"/>
        <v>0</v>
      </c>
      <c r="N77" s="140" t="str">
        <f t="shared" si="13"/>
        <v>#DIV/0!</v>
      </c>
      <c r="O77" s="116"/>
      <c r="P77" s="116"/>
      <c r="Q77" s="180"/>
      <c r="R77" s="179"/>
      <c r="S77" s="179"/>
      <c r="T77" s="116"/>
      <c r="U77" s="116"/>
      <c r="V77" s="179"/>
      <c r="W77" s="116"/>
      <c r="X77" s="116"/>
      <c r="Y77" s="179"/>
      <c r="Z77" s="185"/>
      <c r="AA77" s="217"/>
      <c r="AB77" s="138">
        <v>1.0</v>
      </c>
      <c r="AC77" s="179"/>
      <c r="AD77" s="176"/>
      <c r="AE77" s="116"/>
      <c r="AF77" s="176"/>
      <c r="AG77" s="176"/>
      <c r="AH77" s="176"/>
      <c r="AI77" s="176"/>
      <c r="AJ77" s="139">
        <f t="shared" si="14"/>
        <v>1</v>
      </c>
      <c r="AK77" s="205">
        <f t="shared" si="15"/>
        <v>14.28571429</v>
      </c>
      <c r="AL77" s="222"/>
      <c r="AM77" s="116"/>
      <c r="AN77" s="179"/>
      <c r="AO77" s="116"/>
      <c r="AP77" s="116"/>
      <c r="AQ77" s="116"/>
      <c r="AR77" s="116"/>
      <c r="AS77" s="191">
        <v>1.0</v>
      </c>
      <c r="AT77" s="116"/>
      <c r="AU77" s="116"/>
      <c r="AV77" s="116"/>
      <c r="AW77" s="179"/>
      <c r="AX77" s="116"/>
      <c r="AY77" s="116"/>
      <c r="AZ77" s="180"/>
      <c r="BA77" s="215">
        <v>1.0</v>
      </c>
      <c r="BB77" s="204"/>
      <c r="BC77" s="204"/>
      <c r="BD77" s="181"/>
      <c r="BE77" s="181"/>
      <c r="BF77" s="181"/>
      <c r="BG77" s="139">
        <f t="shared" si="16"/>
        <v>2</v>
      </c>
      <c r="BH77" s="208">
        <f t="shared" si="17"/>
        <v>14.28571429</v>
      </c>
      <c r="BI77" s="116"/>
      <c r="BJ77" s="138">
        <v>1.0</v>
      </c>
      <c r="BK77" s="180"/>
      <c r="BL77" s="116"/>
      <c r="BM77" s="116"/>
      <c r="BN77" s="116"/>
      <c r="BO77" s="138">
        <v>1.0</v>
      </c>
      <c r="BP77" s="116"/>
      <c r="BQ77" s="211"/>
      <c r="BR77" s="191">
        <v>1.0</v>
      </c>
      <c r="BS77" s="116"/>
      <c r="BT77" s="116"/>
      <c r="BU77" s="145">
        <v>1.0</v>
      </c>
      <c r="BV77" s="43"/>
      <c r="BW77" s="198"/>
      <c r="BX77" s="43"/>
      <c r="BY77" s="138">
        <v>1.0</v>
      </c>
      <c r="BZ77" s="196">
        <v>1.0</v>
      </c>
      <c r="CA77" s="165"/>
      <c r="CB77" s="138">
        <v>1.0</v>
      </c>
      <c r="CC77" s="196">
        <v>1.0</v>
      </c>
      <c r="CD77" s="196">
        <v>1.0</v>
      </c>
      <c r="CE77" s="124">
        <f t="shared" si="18"/>
        <v>9</v>
      </c>
      <c r="CF77" s="173">
        <f t="shared" si="19"/>
        <v>64.28571429</v>
      </c>
      <c r="CG77" s="184">
        <v>1.0</v>
      </c>
      <c r="CH77" s="238"/>
      <c r="CI77" s="186"/>
      <c r="CJ77" s="186"/>
      <c r="CK77" s="116"/>
      <c r="CL77" s="186"/>
      <c r="CM77" s="223"/>
      <c r="CN77" s="223"/>
      <c r="CO77" s="116"/>
      <c r="CP77" s="116"/>
      <c r="CQ77" s="165"/>
      <c r="CR77" s="165"/>
      <c r="CS77" s="165"/>
      <c r="CT77" s="116"/>
      <c r="CU77" s="165"/>
      <c r="CV77" s="165"/>
      <c r="CW77" s="128">
        <f t="shared" si="20"/>
        <v>1</v>
      </c>
      <c r="CX77" s="214">
        <f t="shared" si="21"/>
        <v>33.33333333</v>
      </c>
      <c r="CY77" s="171"/>
      <c r="CZ77" s="171"/>
      <c r="DA77" s="171"/>
      <c r="DB77" s="171"/>
      <c r="DC77" s="171"/>
      <c r="DD77" s="171"/>
      <c r="DE77" s="171"/>
      <c r="DF77" s="171"/>
      <c r="DG77" s="171"/>
      <c r="DH77" s="171"/>
      <c r="DI77" s="171"/>
      <c r="DJ77" s="171"/>
      <c r="DK77" s="128">
        <f t="shared" si="22"/>
        <v>0</v>
      </c>
      <c r="DL77" s="158" t="str">
        <f t="shared" si="23"/>
        <v>#DIV/0!</v>
      </c>
    </row>
    <row r="78" ht="15.75" customHeight="1">
      <c r="A78" s="146">
        <v>69.0</v>
      </c>
      <c r="B78" s="161" t="s">
        <v>189</v>
      </c>
      <c r="C78" s="162" t="s">
        <v>190</v>
      </c>
      <c r="D78" s="98">
        <f t="shared" si="8"/>
        <v>6</v>
      </c>
      <c r="E78" s="130">
        <f t="shared" si="9"/>
        <v>15.78947368</v>
      </c>
      <c r="F78" s="114">
        <f t="shared" si="10"/>
        <v>15.78947368</v>
      </c>
      <c r="G78" s="226">
        <f t="shared" si="11"/>
        <v>15.78947368</v>
      </c>
      <c r="H78" s="265"/>
      <c r="I78" s="265"/>
      <c r="J78" s="265"/>
      <c r="K78" s="265"/>
      <c r="L78" s="266"/>
      <c r="M78" s="139">
        <f t="shared" si="12"/>
        <v>0</v>
      </c>
      <c r="N78" s="140" t="str">
        <f t="shared" si="13"/>
        <v>#DIV/0!</v>
      </c>
      <c r="O78" s="116"/>
      <c r="P78" s="116"/>
      <c r="Q78" s="180"/>
      <c r="R78" s="179"/>
      <c r="S78" s="116"/>
      <c r="T78" s="116"/>
      <c r="U78" s="116"/>
      <c r="V78" s="179"/>
      <c r="W78" s="116"/>
      <c r="X78" s="116"/>
      <c r="Y78" s="179"/>
      <c r="Z78" s="185"/>
      <c r="AA78" s="217"/>
      <c r="AB78" s="116"/>
      <c r="AC78" s="184">
        <v>1.0</v>
      </c>
      <c r="AD78" s="116"/>
      <c r="AE78" s="176"/>
      <c r="AF78" s="176"/>
      <c r="AG78" s="176"/>
      <c r="AH78" s="176"/>
      <c r="AI78" s="176"/>
      <c r="AJ78" s="139">
        <f t="shared" si="14"/>
        <v>1</v>
      </c>
      <c r="AK78" s="205">
        <f t="shared" si="15"/>
        <v>14.28571429</v>
      </c>
      <c r="AL78" s="222"/>
      <c r="AM78" s="116"/>
      <c r="AN78" s="179"/>
      <c r="AO78" s="116"/>
      <c r="AP78" s="116"/>
      <c r="AQ78" s="116"/>
      <c r="AR78" s="116"/>
      <c r="AS78" s="191">
        <v>1.0</v>
      </c>
      <c r="AT78" s="116"/>
      <c r="AU78" s="116"/>
      <c r="AV78" s="116"/>
      <c r="AW78" s="179"/>
      <c r="AX78" s="116"/>
      <c r="AY78" s="116"/>
      <c r="AZ78" s="180"/>
      <c r="BA78" s="180"/>
      <c r="BB78" s="116"/>
      <c r="BC78" s="138">
        <v>1.0</v>
      </c>
      <c r="BD78" s="194"/>
      <c r="BE78" s="194"/>
      <c r="BF78" s="194"/>
      <c r="BG78" s="139">
        <f t="shared" si="16"/>
        <v>2</v>
      </c>
      <c r="BH78" s="208">
        <f t="shared" si="17"/>
        <v>14.28571429</v>
      </c>
      <c r="BI78" s="116"/>
      <c r="BJ78" s="180"/>
      <c r="BK78" s="180"/>
      <c r="BL78" s="116"/>
      <c r="BM78" s="116"/>
      <c r="BN78" s="116"/>
      <c r="BO78" s="116"/>
      <c r="BP78" s="116"/>
      <c r="BQ78" s="211"/>
      <c r="BR78" s="166"/>
      <c r="BS78" s="116"/>
      <c r="BT78" s="116"/>
      <c r="BU78" s="145">
        <v>1.0</v>
      </c>
      <c r="BV78" s="43"/>
      <c r="BW78" s="198"/>
      <c r="BX78" s="145">
        <v>1.0</v>
      </c>
      <c r="BY78" s="116"/>
      <c r="BZ78" s="196">
        <v>1.0</v>
      </c>
      <c r="CA78" s="165"/>
      <c r="CB78" s="165"/>
      <c r="CC78" s="165"/>
      <c r="CD78" s="165"/>
      <c r="CE78" s="124">
        <f t="shared" si="18"/>
        <v>3</v>
      </c>
      <c r="CF78" s="173">
        <f t="shared" si="19"/>
        <v>21.42857143</v>
      </c>
      <c r="CG78" s="116"/>
      <c r="CH78" s="116"/>
      <c r="CI78" s="186"/>
      <c r="CJ78" s="116"/>
      <c r="CK78" s="231"/>
      <c r="CL78" s="186"/>
      <c r="CM78" s="223"/>
      <c r="CN78" s="223"/>
      <c r="CO78" s="223"/>
      <c r="CP78" s="166"/>
      <c r="CQ78" s="213"/>
      <c r="CR78" s="213"/>
      <c r="CS78" s="213"/>
      <c r="CT78" s="213"/>
      <c r="CU78" s="213"/>
      <c r="CV78" s="213"/>
      <c r="CW78" s="128">
        <f t="shared" si="20"/>
        <v>0</v>
      </c>
      <c r="CX78" s="214">
        <f t="shared" si="21"/>
        <v>0</v>
      </c>
      <c r="CY78" s="171"/>
      <c r="CZ78" s="171"/>
      <c r="DA78" s="171"/>
      <c r="DB78" s="171"/>
      <c r="DC78" s="171"/>
      <c r="DD78" s="171"/>
      <c r="DE78" s="171"/>
      <c r="DF78" s="171"/>
      <c r="DG78" s="171"/>
      <c r="DH78" s="171"/>
      <c r="DI78" s="171"/>
      <c r="DJ78" s="171"/>
      <c r="DK78" s="128">
        <f t="shared" si="22"/>
        <v>0</v>
      </c>
      <c r="DL78" s="158" t="str">
        <f t="shared" si="23"/>
        <v>#DIV/0!</v>
      </c>
    </row>
    <row r="79" ht="15.75" customHeight="1">
      <c r="A79" s="50">
        <v>70.0</v>
      </c>
      <c r="B79" s="111" t="s">
        <v>191</v>
      </c>
      <c r="C79" s="112" t="s">
        <v>192</v>
      </c>
      <c r="D79" s="98">
        <f t="shared" si="8"/>
        <v>25</v>
      </c>
      <c r="E79" s="130">
        <f t="shared" si="9"/>
        <v>65.78947368</v>
      </c>
      <c r="F79" s="92" t="str">
        <f t="shared" si="10"/>
        <v>  </v>
      </c>
      <c r="G79" s="149" t="str">
        <f t="shared" si="11"/>
        <v>  </v>
      </c>
      <c r="H79" s="265"/>
      <c r="I79" s="265"/>
      <c r="J79" s="269"/>
      <c r="K79" s="265"/>
      <c r="L79" s="266"/>
      <c r="M79" s="139">
        <f t="shared" si="12"/>
        <v>0</v>
      </c>
      <c r="N79" s="140" t="str">
        <f t="shared" si="13"/>
        <v>#DIV/0!</v>
      </c>
      <c r="O79" s="116"/>
      <c r="P79" s="116"/>
      <c r="Q79" s="116"/>
      <c r="R79" s="179"/>
      <c r="S79" s="179"/>
      <c r="T79" s="116"/>
      <c r="U79" s="116"/>
      <c r="V79" s="179"/>
      <c r="W79" s="138">
        <v>1.0</v>
      </c>
      <c r="X79" s="116"/>
      <c r="Y79" s="179"/>
      <c r="Z79" s="185"/>
      <c r="AA79" s="187">
        <v>1.0</v>
      </c>
      <c r="AB79" s="138">
        <v>1.0</v>
      </c>
      <c r="AC79" s="184">
        <v>1.0</v>
      </c>
      <c r="AD79" s="116"/>
      <c r="AE79" s="116"/>
      <c r="AF79" s="182">
        <v>1.0</v>
      </c>
      <c r="AG79" s="182">
        <v>1.0</v>
      </c>
      <c r="AH79" s="116"/>
      <c r="AI79" s="116"/>
      <c r="AJ79" s="139">
        <f t="shared" si="14"/>
        <v>6</v>
      </c>
      <c r="AK79" s="205">
        <f t="shared" si="15"/>
        <v>85.71428571</v>
      </c>
      <c r="AL79" s="116"/>
      <c r="AM79" s="138">
        <v>1.0</v>
      </c>
      <c r="AN79" s="184">
        <v>1.0</v>
      </c>
      <c r="AO79" s="138">
        <v>1.0</v>
      </c>
      <c r="AP79" s="138">
        <v>1.0</v>
      </c>
      <c r="AQ79" s="138">
        <v>1.0</v>
      </c>
      <c r="AR79" s="116"/>
      <c r="AS79" s="166"/>
      <c r="AT79" s="116"/>
      <c r="AU79" s="116"/>
      <c r="AV79" s="116"/>
      <c r="AW79" s="179"/>
      <c r="AX79" s="138">
        <v>1.0</v>
      </c>
      <c r="AY79" s="116"/>
      <c r="AZ79" s="116"/>
      <c r="BA79" s="215">
        <v>1.0</v>
      </c>
      <c r="BB79" s="218">
        <v>1.0</v>
      </c>
      <c r="BC79" s="204"/>
      <c r="BD79" s="181"/>
      <c r="BE79" s="181"/>
      <c r="BF79" s="181"/>
      <c r="BG79" s="139">
        <f t="shared" si="16"/>
        <v>8</v>
      </c>
      <c r="BH79" s="208">
        <f t="shared" si="17"/>
        <v>57.14285714</v>
      </c>
      <c r="BI79" s="138">
        <v>1.0</v>
      </c>
      <c r="BJ79" s="116"/>
      <c r="BK79" s="180"/>
      <c r="BL79" s="116"/>
      <c r="BM79" s="116"/>
      <c r="BN79" s="116"/>
      <c r="BO79" s="138">
        <v>1.0</v>
      </c>
      <c r="BP79" s="116"/>
      <c r="BQ79" s="116"/>
      <c r="BR79" s="166"/>
      <c r="BS79" s="138">
        <v>1.0</v>
      </c>
      <c r="BT79" s="210">
        <v>1.0</v>
      </c>
      <c r="BU79" s="241">
        <v>1.0</v>
      </c>
      <c r="BV79" s="116"/>
      <c r="BW79" s="216">
        <v>1.0</v>
      </c>
      <c r="BX79" s="138">
        <v>1.0</v>
      </c>
      <c r="BY79" s="138">
        <v>1.0</v>
      </c>
      <c r="BZ79" s="196">
        <v>1.0</v>
      </c>
      <c r="CA79" s="116"/>
      <c r="CB79" s="116"/>
      <c r="CC79" s="196">
        <v>1.0</v>
      </c>
      <c r="CD79" s="196">
        <v>1.0</v>
      </c>
      <c r="CE79" s="124">
        <f t="shared" si="18"/>
        <v>11</v>
      </c>
      <c r="CF79" s="173">
        <f t="shared" si="19"/>
        <v>78.57142857</v>
      </c>
      <c r="CG79" s="116"/>
      <c r="CH79" s="116"/>
      <c r="CI79" s="186"/>
      <c r="CJ79" s="186"/>
      <c r="CK79" s="116"/>
      <c r="CL79" s="186"/>
      <c r="CM79" s="116"/>
      <c r="CN79" s="223"/>
      <c r="CO79" s="116"/>
      <c r="CP79" s="166"/>
      <c r="CQ79" s="213"/>
      <c r="CR79" s="213"/>
      <c r="CS79" s="213"/>
      <c r="CT79" s="116"/>
      <c r="CU79" s="116"/>
      <c r="CV79" s="213"/>
      <c r="CW79" s="128">
        <f t="shared" si="20"/>
        <v>0</v>
      </c>
      <c r="CX79" s="214">
        <f t="shared" si="21"/>
        <v>0</v>
      </c>
      <c r="CY79" s="171"/>
      <c r="CZ79" s="171"/>
      <c r="DA79" s="171"/>
      <c r="DB79" s="171"/>
      <c r="DC79" s="171"/>
      <c r="DD79" s="171"/>
      <c r="DE79" s="171"/>
      <c r="DF79" s="171"/>
      <c r="DG79" s="171"/>
      <c r="DH79" s="171"/>
      <c r="DI79" s="171"/>
      <c r="DJ79" s="171"/>
      <c r="DK79" s="128">
        <f t="shared" si="22"/>
        <v>0</v>
      </c>
      <c r="DL79" s="158" t="str">
        <f t="shared" si="23"/>
        <v>#DIV/0!</v>
      </c>
    </row>
    <row r="80" ht="15.75" customHeight="1">
      <c r="A80" s="131">
        <v>71.0</v>
      </c>
      <c r="B80" s="111" t="s">
        <v>193</v>
      </c>
      <c r="C80" s="112" t="s">
        <v>194</v>
      </c>
      <c r="D80" s="98">
        <f t="shared" si="8"/>
        <v>20</v>
      </c>
      <c r="E80" s="130">
        <f t="shared" si="9"/>
        <v>52.63157895</v>
      </c>
      <c r="F80" s="114" t="str">
        <f t="shared" si="10"/>
        <v>  </v>
      </c>
      <c r="G80" s="149" t="str">
        <f t="shared" si="11"/>
        <v>  </v>
      </c>
      <c r="H80" s="265"/>
      <c r="I80" s="265"/>
      <c r="J80" s="265"/>
      <c r="K80" s="265"/>
      <c r="L80" s="266"/>
      <c r="M80" s="139">
        <f t="shared" si="12"/>
        <v>0</v>
      </c>
      <c r="N80" s="140" t="str">
        <f t="shared" si="13"/>
        <v>#DIV/0!</v>
      </c>
      <c r="O80" s="116"/>
      <c r="P80" s="116"/>
      <c r="Q80" s="116"/>
      <c r="R80" s="179"/>
      <c r="S80" s="179"/>
      <c r="T80" s="116"/>
      <c r="U80" s="116"/>
      <c r="V80" s="179"/>
      <c r="W80" s="116"/>
      <c r="X80" s="116"/>
      <c r="Y80" s="179"/>
      <c r="Z80" s="185"/>
      <c r="AA80" s="217"/>
      <c r="AB80" s="116"/>
      <c r="AC80" s="179"/>
      <c r="AD80" s="176"/>
      <c r="AE80" s="116"/>
      <c r="AF80" s="176"/>
      <c r="AG80" s="182">
        <v>1.0</v>
      </c>
      <c r="AH80" s="116"/>
      <c r="AI80" s="116"/>
      <c r="AJ80" s="139">
        <f t="shared" si="14"/>
        <v>1</v>
      </c>
      <c r="AK80" s="205">
        <f t="shared" si="15"/>
        <v>14.28571429</v>
      </c>
      <c r="AL80" s="116"/>
      <c r="AM80" s="138">
        <v>1.0</v>
      </c>
      <c r="AN80" s="179"/>
      <c r="AO80" s="116"/>
      <c r="AP80" s="116"/>
      <c r="AQ80" s="138">
        <v>1.0</v>
      </c>
      <c r="AR80" s="116"/>
      <c r="AS80" s="191">
        <v>1.0</v>
      </c>
      <c r="AT80" s="116"/>
      <c r="AU80" s="116"/>
      <c r="AV80" s="116"/>
      <c r="AW80" s="179"/>
      <c r="AX80" s="138">
        <v>1.0</v>
      </c>
      <c r="AY80" s="116"/>
      <c r="AZ80" s="116"/>
      <c r="BA80" s="215">
        <v>1.0</v>
      </c>
      <c r="BB80" s="204"/>
      <c r="BC80" s="218">
        <v>1.0</v>
      </c>
      <c r="BD80" s="219">
        <v>1.0</v>
      </c>
      <c r="BE80" s="181"/>
      <c r="BF80" s="219">
        <v>1.0</v>
      </c>
      <c r="BG80" s="139">
        <f t="shared" si="16"/>
        <v>8</v>
      </c>
      <c r="BH80" s="208">
        <f t="shared" si="17"/>
        <v>57.14285714</v>
      </c>
      <c r="BI80" s="138">
        <v>1.0</v>
      </c>
      <c r="BJ80" s="138">
        <v>1.0</v>
      </c>
      <c r="BK80" s="180"/>
      <c r="BL80" s="116"/>
      <c r="BM80" s="116"/>
      <c r="BN80" s="116"/>
      <c r="BO80" s="138">
        <v>1.0</v>
      </c>
      <c r="BP80" s="116"/>
      <c r="BQ80" s="116"/>
      <c r="BR80" s="138">
        <v>1.0</v>
      </c>
      <c r="BS80" s="138">
        <v>1.0</v>
      </c>
      <c r="BT80" s="138">
        <v>1.0</v>
      </c>
      <c r="BU80" s="241">
        <v>1.0</v>
      </c>
      <c r="BV80" s="116"/>
      <c r="BW80" s="198"/>
      <c r="BX80" s="138">
        <v>1.0</v>
      </c>
      <c r="BY80" s="138">
        <v>1.0</v>
      </c>
      <c r="BZ80" s="196">
        <v>1.0</v>
      </c>
      <c r="CA80" s="116"/>
      <c r="CB80" s="116"/>
      <c r="CC80" s="165"/>
      <c r="CD80" s="196">
        <v>1.0</v>
      </c>
      <c r="CE80" s="124">
        <f t="shared" si="18"/>
        <v>11</v>
      </c>
      <c r="CF80" s="173">
        <f t="shared" si="19"/>
        <v>78.57142857</v>
      </c>
      <c r="CG80" s="116"/>
      <c r="CH80" s="116"/>
      <c r="CI80" s="116"/>
      <c r="CJ80" s="186"/>
      <c r="CK80" s="116"/>
      <c r="CL80" s="186"/>
      <c r="CM80" s="116"/>
      <c r="CN80" s="116"/>
      <c r="CO80" s="116"/>
      <c r="CP80" s="166"/>
      <c r="CQ80" s="213"/>
      <c r="CR80" s="213"/>
      <c r="CS80" s="116"/>
      <c r="CT80" s="116"/>
      <c r="CU80" s="116"/>
      <c r="CV80" s="213"/>
      <c r="CW80" s="128">
        <f t="shared" si="20"/>
        <v>0</v>
      </c>
      <c r="CX80" s="214">
        <f t="shared" si="21"/>
        <v>0</v>
      </c>
      <c r="CY80" s="171"/>
      <c r="CZ80" s="171"/>
      <c r="DA80" s="171"/>
      <c r="DB80" s="171"/>
      <c r="DC80" s="171"/>
      <c r="DD80" s="171"/>
      <c r="DE80" s="171"/>
      <c r="DF80" s="171"/>
      <c r="DG80" s="171"/>
      <c r="DH80" s="171"/>
      <c r="DI80" s="171"/>
      <c r="DJ80" s="171"/>
      <c r="DK80" s="128">
        <f t="shared" si="22"/>
        <v>0</v>
      </c>
      <c r="DL80" s="158" t="str">
        <f t="shared" si="23"/>
        <v>#DIV/0!</v>
      </c>
    </row>
    <row r="81" ht="15.75" customHeight="1">
      <c r="A81" s="146">
        <v>72.0</v>
      </c>
      <c r="B81" s="111" t="s">
        <v>195</v>
      </c>
      <c r="C81" s="112" t="s">
        <v>196</v>
      </c>
      <c r="D81" s="98">
        <f t="shared" si="8"/>
        <v>0</v>
      </c>
      <c r="E81" s="130">
        <f t="shared" si="9"/>
        <v>0</v>
      </c>
      <c r="F81" s="114">
        <f t="shared" si="10"/>
        <v>0</v>
      </c>
      <c r="G81" s="226">
        <f t="shared" si="11"/>
        <v>0</v>
      </c>
      <c r="H81" s="265"/>
      <c r="I81" s="265"/>
      <c r="J81" s="270"/>
      <c r="K81" s="265"/>
      <c r="L81" s="266"/>
      <c r="M81" s="139">
        <f t="shared" si="12"/>
        <v>0</v>
      </c>
      <c r="N81" s="140" t="str">
        <f t="shared" si="13"/>
        <v>#DIV/0!</v>
      </c>
      <c r="O81" s="116"/>
      <c r="P81" s="116"/>
      <c r="Q81" s="180"/>
      <c r="R81" s="179"/>
      <c r="S81" s="116"/>
      <c r="T81" s="116"/>
      <c r="U81" s="116"/>
      <c r="V81" s="179"/>
      <c r="W81" s="116"/>
      <c r="X81" s="116"/>
      <c r="Y81" s="179"/>
      <c r="Z81" s="185"/>
      <c r="AA81" s="217"/>
      <c r="AB81" s="116"/>
      <c r="AC81" s="179"/>
      <c r="AD81" s="116"/>
      <c r="AE81" s="116"/>
      <c r="AF81" s="176"/>
      <c r="AG81" s="176"/>
      <c r="AH81" s="116"/>
      <c r="AI81" s="176"/>
      <c r="AJ81" s="139">
        <f t="shared" si="14"/>
        <v>0</v>
      </c>
      <c r="AK81" s="205">
        <f t="shared" si="15"/>
        <v>0</v>
      </c>
      <c r="AL81" s="116"/>
      <c r="AM81" s="116"/>
      <c r="AN81" s="179"/>
      <c r="AO81" s="116"/>
      <c r="AP81" s="116"/>
      <c r="AQ81" s="116"/>
      <c r="AR81" s="116"/>
      <c r="AS81" s="166"/>
      <c r="AT81" s="116"/>
      <c r="AU81" s="116"/>
      <c r="AV81" s="116"/>
      <c r="AW81" s="179"/>
      <c r="AX81" s="116"/>
      <c r="AY81" s="116"/>
      <c r="AZ81" s="180"/>
      <c r="BA81" s="180"/>
      <c r="BB81" s="116"/>
      <c r="BC81" s="204"/>
      <c r="BD81" s="181"/>
      <c r="BE81" s="181"/>
      <c r="BF81" s="181"/>
      <c r="BG81" s="139">
        <f t="shared" si="16"/>
        <v>0</v>
      </c>
      <c r="BH81" s="208">
        <f t="shared" si="17"/>
        <v>0</v>
      </c>
      <c r="BI81" s="116"/>
      <c r="BJ81" s="116"/>
      <c r="BK81" s="180"/>
      <c r="BL81" s="116"/>
      <c r="BM81" s="116"/>
      <c r="BN81" s="116"/>
      <c r="BO81" s="116"/>
      <c r="BP81" s="116"/>
      <c r="BQ81" s="116"/>
      <c r="BR81" s="166"/>
      <c r="BS81" s="116"/>
      <c r="BT81" s="185"/>
      <c r="BU81" s="43"/>
      <c r="BV81" s="43"/>
      <c r="BW81" s="198"/>
      <c r="BX81" s="43"/>
      <c r="BY81" s="116"/>
      <c r="BZ81" s="165"/>
      <c r="CA81" s="165"/>
      <c r="CB81" s="165"/>
      <c r="CC81" s="165"/>
      <c r="CD81" s="165"/>
      <c r="CE81" s="124">
        <f t="shared" si="18"/>
        <v>0</v>
      </c>
      <c r="CF81" s="173">
        <f t="shared" si="19"/>
        <v>0</v>
      </c>
      <c r="CG81" s="179"/>
      <c r="CH81" s="238"/>
      <c r="CI81" s="186"/>
      <c r="CJ81" s="186"/>
      <c r="CK81" s="116"/>
      <c r="CL81" s="186"/>
      <c r="CM81" s="223"/>
      <c r="CN81" s="223"/>
      <c r="CO81" s="223"/>
      <c r="CP81" s="166"/>
      <c r="CQ81" s="213"/>
      <c r="CR81" s="213"/>
      <c r="CS81" s="213"/>
      <c r="CT81" s="213"/>
      <c r="CU81" s="213"/>
      <c r="CV81" s="213"/>
      <c r="CW81" s="128">
        <f t="shared" si="20"/>
        <v>0</v>
      </c>
      <c r="CX81" s="214">
        <f t="shared" si="21"/>
        <v>0</v>
      </c>
      <c r="CY81" s="171"/>
      <c r="CZ81" s="171"/>
      <c r="DA81" s="171"/>
      <c r="DB81" s="171"/>
      <c r="DC81" s="171"/>
      <c r="DD81" s="171"/>
      <c r="DE81" s="171"/>
      <c r="DF81" s="171"/>
      <c r="DG81" s="171"/>
      <c r="DH81" s="171"/>
      <c r="DI81" s="171"/>
      <c r="DJ81" s="171"/>
      <c r="DK81" s="128">
        <f t="shared" si="22"/>
        <v>0</v>
      </c>
      <c r="DL81" s="158" t="str">
        <f t="shared" si="23"/>
        <v>#DIV/0!</v>
      </c>
    </row>
    <row r="82" ht="15.75" customHeight="1">
      <c r="A82" s="50">
        <v>73.0</v>
      </c>
      <c r="B82" s="111" t="s">
        <v>197</v>
      </c>
      <c r="C82" s="112" t="s">
        <v>198</v>
      </c>
      <c r="D82" s="98">
        <f t="shared" si="8"/>
        <v>0</v>
      </c>
      <c r="E82" s="130">
        <f t="shared" si="9"/>
        <v>0</v>
      </c>
      <c r="F82" s="114">
        <f t="shared" si="10"/>
        <v>0</v>
      </c>
      <c r="G82" s="226">
        <f t="shared" si="11"/>
        <v>0</v>
      </c>
      <c r="H82" s="265"/>
      <c r="I82" s="265"/>
      <c r="J82" s="265"/>
      <c r="K82" s="267"/>
      <c r="L82" s="268"/>
      <c r="M82" s="139">
        <f t="shared" si="12"/>
        <v>0</v>
      </c>
      <c r="N82" s="140" t="str">
        <f t="shared" si="13"/>
        <v>#DIV/0!</v>
      </c>
      <c r="O82" s="116"/>
      <c r="P82" s="116"/>
      <c r="Q82" s="116"/>
      <c r="R82" s="179"/>
      <c r="S82" s="179"/>
      <c r="T82" s="116"/>
      <c r="U82" s="116"/>
      <c r="V82" s="179"/>
      <c r="W82" s="116"/>
      <c r="X82" s="116"/>
      <c r="Y82" s="179"/>
      <c r="Z82" s="185"/>
      <c r="AA82" s="217"/>
      <c r="AB82" s="116"/>
      <c r="AC82" s="179"/>
      <c r="AD82" s="176"/>
      <c r="AE82" s="116"/>
      <c r="AF82" s="176"/>
      <c r="AG82" s="176"/>
      <c r="AH82" s="176"/>
      <c r="AI82" s="116"/>
      <c r="AJ82" s="139">
        <f t="shared" si="14"/>
        <v>0</v>
      </c>
      <c r="AK82" s="205">
        <f t="shared" si="15"/>
        <v>0</v>
      </c>
      <c r="AL82" s="116"/>
      <c r="AM82" s="116"/>
      <c r="AN82" s="179"/>
      <c r="AO82" s="116"/>
      <c r="AP82" s="116"/>
      <c r="AQ82" s="116"/>
      <c r="AR82" s="116"/>
      <c r="AS82" s="166"/>
      <c r="AT82" s="116"/>
      <c r="AU82" s="116"/>
      <c r="AV82" s="116"/>
      <c r="AW82" s="179"/>
      <c r="AX82" s="116"/>
      <c r="AY82" s="116"/>
      <c r="AZ82" s="180"/>
      <c r="BA82" s="180"/>
      <c r="BB82" s="204"/>
      <c r="BC82" s="204"/>
      <c r="BD82" s="181"/>
      <c r="BE82" s="181"/>
      <c r="BF82" s="181"/>
      <c r="BG82" s="139">
        <f t="shared" si="16"/>
        <v>0</v>
      </c>
      <c r="BH82" s="208">
        <f t="shared" si="17"/>
        <v>0</v>
      </c>
      <c r="BI82" s="116"/>
      <c r="BJ82" s="180"/>
      <c r="BK82" s="180"/>
      <c r="BL82" s="116"/>
      <c r="BM82" s="116"/>
      <c r="BN82" s="116"/>
      <c r="BO82" s="116"/>
      <c r="BP82" s="116"/>
      <c r="BQ82" s="211"/>
      <c r="BR82" s="166"/>
      <c r="BS82" s="165"/>
      <c r="BT82" s="116"/>
      <c r="BU82" s="43"/>
      <c r="BV82" s="43"/>
      <c r="BW82" s="198"/>
      <c r="BX82" s="116"/>
      <c r="BY82" s="116"/>
      <c r="BZ82" s="165"/>
      <c r="CA82" s="116"/>
      <c r="CB82" s="116"/>
      <c r="CC82" s="165"/>
      <c r="CD82" s="165"/>
      <c r="CE82" s="124">
        <f t="shared" si="18"/>
        <v>0</v>
      </c>
      <c r="CF82" s="173">
        <f t="shared" si="19"/>
        <v>0</v>
      </c>
      <c r="CG82" s="179"/>
      <c r="CH82" s="116"/>
      <c r="CI82" s="186"/>
      <c r="CJ82" s="186"/>
      <c r="CK82" s="116"/>
      <c r="CL82" s="186"/>
      <c r="CM82" s="223"/>
      <c r="CN82" s="223"/>
      <c r="CO82" s="116"/>
      <c r="CP82" s="166"/>
      <c r="CQ82" s="213"/>
      <c r="CR82" s="213"/>
      <c r="CS82" s="116"/>
      <c r="CT82" s="213"/>
      <c r="CU82" s="213"/>
      <c r="CV82" s="213"/>
      <c r="CW82" s="128">
        <f t="shared" si="20"/>
        <v>0</v>
      </c>
      <c r="CX82" s="214">
        <f t="shared" si="21"/>
        <v>0</v>
      </c>
      <c r="CY82" s="171"/>
      <c r="CZ82" s="171"/>
      <c r="DA82" s="171"/>
      <c r="DB82" s="171"/>
      <c r="DC82" s="171"/>
      <c r="DD82" s="171"/>
      <c r="DE82" s="171"/>
      <c r="DF82" s="171"/>
      <c r="DG82" s="171"/>
      <c r="DH82" s="171"/>
      <c r="DI82" s="171"/>
      <c r="DJ82" s="171"/>
      <c r="DK82" s="128">
        <f t="shared" si="22"/>
        <v>0</v>
      </c>
      <c r="DL82" s="158" t="str">
        <f t="shared" si="23"/>
        <v>#DIV/0!</v>
      </c>
    </row>
    <row r="83" ht="15.75" customHeight="1">
      <c r="A83" s="131">
        <v>74.0</v>
      </c>
      <c r="B83" s="111" t="s">
        <v>199</v>
      </c>
      <c r="C83" s="112" t="s">
        <v>200</v>
      </c>
      <c r="D83" s="98">
        <f t="shared" si="8"/>
        <v>6</v>
      </c>
      <c r="E83" s="130">
        <f t="shared" si="9"/>
        <v>15.78947368</v>
      </c>
      <c r="F83" s="114">
        <f t="shared" si="10"/>
        <v>15.78947368</v>
      </c>
      <c r="G83" s="226">
        <f t="shared" si="11"/>
        <v>15.78947368</v>
      </c>
      <c r="H83" s="265"/>
      <c r="I83" s="265"/>
      <c r="J83" s="267"/>
      <c r="K83" s="267"/>
      <c r="L83" s="268"/>
      <c r="M83" s="139">
        <f t="shared" si="12"/>
        <v>0</v>
      </c>
      <c r="N83" s="140" t="str">
        <f t="shared" si="13"/>
        <v>#DIV/0!</v>
      </c>
      <c r="O83" s="116"/>
      <c r="P83" s="116"/>
      <c r="Q83" s="116"/>
      <c r="R83" s="179"/>
      <c r="S83" s="179"/>
      <c r="T83" s="116"/>
      <c r="U83" s="116"/>
      <c r="V83" s="179"/>
      <c r="W83" s="116"/>
      <c r="X83" s="116"/>
      <c r="Y83" s="179"/>
      <c r="Z83" s="185"/>
      <c r="AA83" s="217"/>
      <c r="AB83" s="116"/>
      <c r="AC83" s="184">
        <v>1.0</v>
      </c>
      <c r="AD83" s="176"/>
      <c r="AE83" s="116"/>
      <c r="AF83" s="176"/>
      <c r="AG83" s="182">
        <v>1.0</v>
      </c>
      <c r="AH83" s="176"/>
      <c r="AI83" s="176"/>
      <c r="AJ83" s="139">
        <f t="shared" si="14"/>
        <v>2</v>
      </c>
      <c r="AK83" s="205">
        <f t="shared" si="15"/>
        <v>28.57142857</v>
      </c>
      <c r="AL83" s="116"/>
      <c r="AM83" s="116"/>
      <c r="AN83" s="179"/>
      <c r="AO83" s="116"/>
      <c r="AP83" s="116"/>
      <c r="AQ83" s="116"/>
      <c r="AR83" s="138">
        <v>1.0</v>
      </c>
      <c r="AS83" s="191">
        <v>1.0</v>
      </c>
      <c r="AT83" s="116"/>
      <c r="AU83" s="116"/>
      <c r="AV83" s="138">
        <v>1.0</v>
      </c>
      <c r="AW83" s="179"/>
      <c r="AX83" s="116"/>
      <c r="AY83" s="116"/>
      <c r="AZ83" s="180"/>
      <c r="BA83" s="180"/>
      <c r="BB83" s="204"/>
      <c r="BC83" s="204"/>
      <c r="BD83" s="181"/>
      <c r="BE83" s="181"/>
      <c r="BF83" s="181"/>
      <c r="BG83" s="139">
        <f t="shared" si="16"/>
        <v>3</v>
      </c>
      <c r="BH83" s="208">
        <f t="shared" si="17"/>
        <v>21.42857143</v>
      </c>
      <c r="BI83" s="116"/>
      <c r="BJ83" s="138">
        <v>1.0</v>
      </c>
      <c r="BK83" s="180"/>
      <c r="BL83" s="116"/>
      <c r="BM83" s="116"/>
      <c r="BN83" s="116"/>
      <c r="BO83" s="116"/>
      <c r="BP83" s="116"/>
      <c r="BQ83" s="211"/>
      <c r="BR83" s="166"/>
      <c r="BS83" s="165"/>
      <c r="BT83" s="116"/>
      <c r="BU83" s="43"/>
      <c r="BV83" s="43"/>
      <c r="BW83" s="198"/>
      <c r="BX83" s="116"/>
      <c r="BY83" s="116"/>
      <c r="BZ83" s="165"/>
      <c r="CA83" s="116"/>
      <c r="CB83" s="116"/>
      <c r="CC83" s="165"/>
      <c r="CD83" s="165"/>
      <c r="CE83" s="124">
        <f t="shared" si="18"/>
        <v>1</v>
      </c>
      <c r="CF83" s="173">
        <f t="shared" si="19"/>
        <v>7.142857143</v>
      </c>
      <c r="CG83" s="179"/>
      <c r="CH83" s="116"/>
      <c r="CI83" s="186"/>
      <c r="CJ83" s="116"/>
      <c r="CK83" s="231"/>
      <c r="CL83" s="186"/>
      <c r="CM83" s="116"/>
      <c r="CN83" s="223"/>
      <c r="CO83" s="223"/>
      <c r="CP83" s="166"/>
      <c r="CQ83" s="213"/>
      <c r="CR83" s="213"/>
      <c r="CS83" s="213"/>
      <c r="CT83" s="213"/>
      <c r="CU83" s="213"/>
      <c r="CV83" s="213"/>
      <c r="CW83" s="128">
        <f t="shared" si="20"/>
        <v>0</v>
      </c>
      <c r="CX83" s="214">
        <f t="shared" si="21"/>
        <v>0</v>
      </c>
      <c r="CY83" s="171"/>
      <c r="CZ83" s="171"/>
      <c r="DA83" s="171"/>
      <c r="DB83" s="171"/>
      <c r="DC83" s="171"/>
      <c r="DD83" s="171"/>
      <c r="DE83" s="171"/>
      <c r="DF83" s="171"/>
      <c r="DG83" s="171"/>
      <c r="DH83" s="171"/>
      <c r="DI83" s="171"/>
      <c r="DJ83" s="171"/>
      <c r="DK83" s="128">
        <f t="shared" si="22"/>
        <v>0</v>
      </c>
      <c r="DL83" s="158" t="str">
        <f t="shared" si="23"/>
        <v>#DIV/0!</v>
      </c>
    </row>
    <row r="84" ht="15.75" customHeight="1">
      <c r="A84" s="146">
        <v>75.0</v>
      </c>
      <c r="B84" s="111" t="s">
        <v>201</v>
      </c>
      <c r="C84" s="112" t="s">
        <v>202</v>
      </c>
      <c r="D84" s="98">
        <f t="shared" si="8"/>
        <v>6</v>
      </c>
      <c r="E84" s="130">
        <f t="shared" si="9"/>
        <v>15.78947368</v>
      </c>
      <c r="F84" s="114">
        <f t="shared" si="10"/>
        <v>15.78947368</v>
      </c>
      <c r="G84" s="226">
        <f t="shared" si="11"/>
        <v>15.78947368</v>
      </c>
      <c r="H84" s="265"/>
      <c r="I84" s="265"/>
      <c r="J84" s="265"/>
      <c r="K84" s="265"/>
      <c r="L84" s="266"/>
      <c r="M84" s="139">
        <f t="shared" si="12"/>
        <v>0</v>
      </c>
      <c r="N84" s="140" t="str">
        <f t="shared" si="13"/>
        <v>#DIV/0!</v>
      </c>
      <c r="O84" s="116"/>
      <c r="P84" s="116"/>
      <c r="Q84" s="116"/>
      <c r="R84" s="163"/>
      <c r="S84" s="163"/>
      <c r="T84" s="116"/>
      <c r="U84" s="116"/>
      <c r="V84" s="163"/>
      <c r="W84" s="116"/>
      <c r="X84" s="116"/>
      <c r="Y84" s="163"/>
      <c r="Z84" s="210">
        <v>1.0</v>
      </c>
      <c r="AA84" s="217"/>
      <c r="AB84" s="116"/>
      <c r="AC84" s="163"/>
      <c r="AD84" s="163"/>
      <c r="AE84" s="116"/>
      <c r="AF84" s="163"/>
      <c r="AG84" s="163"/>
      <c r="AH84" s="163"/>
      <c r="AI84" s="163"/>
      <c r="AJ84" s="139">
        <f t="shared" si="14"/>
        <v>1</v>
      </c>
      <c r="AK84" s="119">
        <f t="shared" si="15"/>
        <v>14.28571429</v>
      </c>
      <c r="AL84" s="163"/>
      <c r="AM84" s="163"/>
      <c r="AN84" s="179"/>
      <c r="AO84" s="116"/>
      <c r="AP84" s="116"/>
      <c r="AQ84" s="116"/>
      <c r="AR84" s="138">
        <v>1.0</v>
      </c>
      <c r="AS84" s="166"/>
      <c r="AT84" s="116"/>
      <c r="AU84" s="116"/>
      <c r="AV84" s="116"/>
      <c r="AW84" s="163"/>
      <c r="AX84" s="116"/>
      <c r="AY84" s="116"/>
      <c r="AZ84" s="180"/>
      <c r="BA84" s="180"/>
      <c r="BB84" s="116"/>
      <c r="BC84" s="180"/>
      <c r="BD84" s="181"/>
      <c r="BE84" s="181"/>
      <c r="BF84" s="181"/>
      <c r="BG84" s="139">
        <f t="shared" si="16"/>
        <v>1</v>
      </c>
      <c r="BH84" s="272">
        <f t="shared" si="17"/>
        <v>7.142857143</v>
      </c>
      <c r="BI84" s="116"/>
      <c r="BJ84" s="215">
        <v>1.0</v>
      </c>
      <c r="BK84" s="180"/>
      <c r="BL84" s="116"/>
      <c r="BM84" s="116"/>
      <c r="BN84" s="116"/>
      <c r="BO84" s="138">
        <v>1.0</v>
      </c>
      <c r="BP84" s="116"/>
      <c r="BQ84" s="211"/>
      <c r="BR84" s="166"/>
      <c r="BS84" s="165"/>
      <c r="BT84" s="116"/>
      <c r="BU84" s="241">
        <v>1.0</v>
      </c>
      <c r="BV84" s="116"/>
      <c r="BW84" s="273">
        <v>1.0</v>
      </c>
      <c r="BX84" s="116"/>
      <c r="BY84" s="116"/>
      <c r="BZ84" s="116"/>
      <c r="CA84" s="116"/>
      <c r="CB84" s="116"/>
      <c r="CC84" s="116"/>
      <c r="CD84" s="116"/>
      <c r="CE84" s="124">
        <f t="shared" si="18"/>
        <v>4</v>
      </c>
      <c r="CF84" s="44">
        <f t="shared" si="19"/>
        <v>28.57142857</v>
      </c>
      <c r="CG84" s="116"/>
      <c r="CH84" s="116"/>
      <c r="CI84" s="116"/>
      <c r="CJ84" s="163"/>
      <c r="CK84" s="163"/>
      <c r="CL84" s="163"/>
      <c r="CM84" s="163"/>
      <c r="CN84" s="163"/>
      <c r="CO84" s="163"/>
      <c r="CP84" s="166"/>
      <c r="CQ84" s="166"/>
      <c r="CR84" s="166"/>
      <c r="CS84" s="166"/>
      <c r="CT84" s="116"/>
      <c r="CU84" s="166"/>
      <c r="CV84" s="166"/>
      <c r="CW84" s="128">
        <f t="shared" si="20"/>
        <v>0</v>
      </c>
      <c r="CX84" s="214">
        <f t="shared" si="21"/>
        <v>0</v>
      </c>
      <c r="CY84" s="171"/>
      <c r="CZ84" s="171"/>
      <c r="DA84" s="171"/>
      <c r="DB84" s="171"/>
      <c r="DC84" s="171"/>
      <c r="DD84" s="171"/>
      <c r="DE84" s="171"/>
      <c r="DF84" s="171"/>
      <c r="DG84" s="171"/>
      <c r="DH84" s="171"/>
      <c r="DI84" s="171"/>
      <c r="DJ84" s="171"/>
      <c r="DK84" s="128">
        <f t="shared" si="22"/>
        <v>0</v>
      </c>
      <c r="DL84" s="158" t="str">
        <f t="shared" si="23"/>
        <v>#DIV/0!</v>
      </c>
    </row>
    <row r="85" ht="15.75" customHeight="1">
      <c r="A85" s="50">
        <v>76.0</v>
      </c>
      <c r="B85" s="111" t="s">
        <v>203</v>
      </c>
      <c r="C85" s="112" t="s">
        <v>204</v>
      </c>
      <c r="D85" s="98">
        <f t="shared" si="8"/>
        <v>9</v>
      </c>
      <c r="E85" s="130">
        <f t="shared" si="9"/>
        <v>23.68421053</v>
      </c>
      <c r="F85" s="114">
        <f t="shared" si="10"/>
        <v>23.68421053</v>
      </c>
      <c r="G85" s="226">
        <f t="shared" si="11"/>
        <v>23.68421053</v>
      </c>
      <c r="H85" s="265"/>
      <c r="I85" s="265"/>
      <c r="J85" s="269"/>
      <c r="K85" s="265"/>
      <c r="L85" s="266"/>
      <c r="M85" s="139">
        <f t="shared" si="12"/>
        <v>0</v>
      </c>
      <c r="N85" s="140" t="str">
        <f t="shared" si="13"/>
        <v>#DIV/0!</v>
      </c>
      <c r="O85" s="116"/>
      <c r="P85" s="116"/>
      <c r="Q85" s="116"/>
      <c r="R85" s="163"/>
      <c r="S85" s="163"/>
      <c r="T85" s="116"/>
      <c r="U85" s="116"/>
      <c r="V85" s="163"/>
      <c r="W85" s="116"/>
      <c r="X85" s="116"/>
      <c r="Y85" s="163"/>
      <c r="Z85" s="210">
        <v>1.0</v>
      </c>
      <c r="AA85" s="187"/>
      <c r="AB85" s="116"/>
      <c r="AC85" s="262">
        <v>1.0</v>
      </c>
      <c r="AD85" s="163"/>
      <c r="AE85" s="116"/>
      <c r="AF85" s="163"/>
      <c r="AG85" s="262">
        <v>1.0</v>
      </c>
      <c r="AH85" s="163"/>
      <c r="AI85" s="116"/>
      <c r="AJ85" s="139">
        <f t="shared" si="14"/>
        <v>3</v>
      </c>
      <c r="AK85" s="119">
        <f t="shared" si="15"/>
        <v>42.85714286</v>
      </c>
      <c r="AL85" s="116"/>
      <c r="AM85" s="116"/>
      <c r="AN85" s="179"/>
      <c r="AO85" s="116"/>
      <c r="AP85" s="116"/>
      <c r="AQ85" s="116"/>
      <c r="AR85" s="138">
        <v>1.0</v>
      </c>
      <c r="AS85" s="191">
        <v>1.0</v>
      </c>
      <c r="AT85" s="116"/>
      <c r="AU85" s="116"/>
      <c r="AV85" s="116"/>
      <c r="AW85" s="163"/>
      <c r="AX85" s="116"/>
      <c r="AY85" s="116"/>
      <c r="AZ85" s="180"/>
      <c r="BA85" s="180"/>
      <c r="BB85" s="116"/>
      <c r="BC85" s="180"/>
      <c r="BD85" s="181"/>
      <c r="BE85" s="181"/>
      <c r="BF85" s="181"/>
      <c r="BG85" s="139">
        <f t="shared" si="16"/>
        <v>2</v>
      </c>
      <c r="BH85" s="272">
        <f t="shared" si="17"/>
        <v>14.28571429</v>
      </c>
      <c r="BI85" s="116"/>
      <c r="BJ85" s="138">
        <v>1.0</v>
      </c>
      <c r="BK85" s="180"/>
      <c r="BL85" s="116"/>
      <c r="BM85" s="116"/>
      <c r="BN85" s="116"/>
      <c r="BO85" s="138">
        <v>1.0</v>
      </c>
      <c r="BP85" s="116"/>
      <c r="BQ85" s="211"/>
      <c r="BR85" s="166"/>
      <c r="BS85" s="165"/>
      <c r="BT85" s="116"/>
      <c r="BU85" s="145">
        <v>1.0</v>
      </c>
      <c r="BV85" s="43"/>
      <c r="BW85" s="273">
        <v>1.0</v>
      </c>
      <c r="BX85" s="116"/>
      <c r="BY85" s="116"/>
      <c r="BZ85" s="116"/>
      <c r="CA85" s="116"/>
      <c r="CB85" s="116"/>
      <c r="CC85" s="116"/>
      <c r="CD85" s="116"/>
      <c r="CE85" s="124">
        <f t="shared" si="18"/>
        <v>4</v>
      </c>
      <c r="CF85" s="44">
        <f t="shared" si="19"/>
        <v>28.57142857</v>
      </c>
      <c r="CG85" s="116"/>
      <c r="CH85" s="116"/>
      <c r="CI85" s="163"/>
      <c r="CJ85" s="163"/>
      <c r="CK85" s="163"/>
      <c r="CL85" s="163"/>
      <c r="CM85" s="116"/>
      <c r="CN85" s="163"/>
      <c r="CO85" s="163"/>
      <c r="CP85" s="166"/>
      <c r="CQ85" s="166"/>
      <c r="CR85" s="166"/>
      <c r="CS85" s="166"/>
      <c r="CT85" s="116"/>
      <c r="CU85" s="116"/>
      <c r="CV85" s="166"/>
      <c r="CW85" s="128">
        <f t="shared" si="20"/>
        <v>0</v>
      </c>
      <c r="CX85" s="214">
        <f t="shared" si="21"/>
        <v>0</v>
      </c>
      <c r="CY85" s="171"/>
      <c r="CZ85" s="171"/>
      <c r="DA85" s="171"/>
      <c r="DB85" s="171"/>
      <c r="DC85" s="171"/>
      <c r="DD85" s="171"/>
      <c r="DE85" s="171"/>
      <c r="DF85" s="171"/>
      <c r="DG85" s="171"/>
      <c r="DH85" s="171"/>
      <c r="DI85" s="171"/>
      <c r="DJ85" s="171"/>
      <c r="DK85" s="128">
        <f t="shared" si="22"/>
        <v>0</v>
      </c>
      <c r="DL85" s="158" t="str">
        <f t="shared" si="23"/>
        <v>#DIV/0!</v>
      </c>
    </row>
    <row r="86" ht="15.75" customHeight="1">
      <c r="A86" s="131">
        <v>77.0</v>
      </c>
      <c r="B86" s="126" t="s">
        <v>205</v>
      </c>
      <c r="C86" s="260" t="s">
        <v>206</v>
      </c>
      <c r="D86" s="98">
        <f t="shared" si="8"/>
        <v>0</v>
      </c>
      <c r="E86" s="130">
        <f t="shared" si="9"/>
        <v>0</v>
      </c>
      <c r="F86" s="114">
        <f t="shared" si="10"/>
        <v>0</v>
      </c>
      <c r="G86" s="226">
        <f t="shared" si="11"/>
        <v>0</v>
      </c>
      <c r="H86" s="265"/>
      <c r="I86" s="265"/>
      <c r="J86" s="265"/>
      <c r="K86" s="265"/>
      <c r="L86" s="266"/>
      <c r="M86" s="139">
        <f t="shared" si="12"/>
        <v>0</v>
      </c>
      <c r="N86" s="140" t="str">
        <f t="shared" si="13"/>
        <v>#DIV/0!</v>
      </c>
      <c r="O86" s="116"/>
      <c r="P86" s="116"/>
      <c r="Q86" s="116"/>
      <c r="R86" s="163"/>
      <c r="S86" s="116"/>
      <c r="T86" s="116"/>
      <c r="U86" s="116"/>
      <c r="V86" s="163"/>
      <c r="W86" s="116"/>
      <c r="X86" s="116"/>
      <c r="Y86" s="163"/>
      <c r="Z86" s="185"/>
      <c r="AA86" s="187"/>
      <c r="AB86" s="116"/>
      <c r="AC86" s="163"/>
      <c r="AD86" s="116"/>
      <c r="AE86" s="116"/>
      <c r="AF86" s="163"/>
      <c r="AG86" s="163"/>
      <c r="AH86" s="116"/>
      <c r="AI86" s="116"/>
      <c r="AJ86" s="139">
        <f t="shared" si="14"/>
        <v>0</v>
      </c>
      <c r="AK86" s="119">
        <f t="shared" si="15"/>
        <v>0</v>
      </c>
      <c r="AL86" s="116"/>
      <c r="AM86" s="116"/>
      <c r="AN86" s="163"/>
      <c r="AO86" s="116"/>
      <c r="AP86" s="116"/>
      <c r="AQ86" s="116"/>
      <c r="AR86" s="116"/>
      <c r="AS86" s="166"/>
      <c r="AT86" s="116"/>
      <c r="AU86" s="116"/>
      <c r="AV86" s="116"/>
      <c r="AW86" s="163"/>
      <c r="AX86" s="116"/>
      <c r="AY86" s="116"/>
      <c r="AZ86" s="180"/>
      <c r="BA86" s="180"/>
      <c r="BB86" s="116"/>
      <c r="BC86" s="180"/>
      <c r="BD86" s="181"/>
      <c r="BE86" s="181"/>
      <c r="BF86" s="181"/>
      <c r="BG86" s="139">
        <f t="shared" si="16"/>
        <v>0</v>
      </c>
      <c r="BH86" s="272">
        <f t="shared" si="17"/>
        <v>0</v>
      </c>
      <c r="BI86" s="116"/>
      <c r="BJ86" s="180"/>
      <c r="BK86" s="180"/>
      <c r="BL86" s="116"/>
      <c r="BM86" s="116"/>
      <c r="BN86" s="116"/>
      <c r="BO86" s="116"/>
      <c r="BP86" s="116"/>
      <c r="BQ86" s="116"/>
      <c r="BR86" s="166"/>
      <c r="BS86" s="116"/>
      <c r="BT86" s="116"/>
      <c r="BU86" s="43"/>
      <c r="BV86" s="43"/>
      <c r="BW86" s="171"/>
      <c r="BX86" s="43"/>
      <c r="BY86" s="116"/>
      <c r="BZ86" s="116"/>
      <c r="CA86" s="116"/>
      <c r="CB86" s="116"/>
      <c r="CC86" s="116"/>
      <c r="CD86" s="116"/>
      <c r="CE86" s="124">
        <f t="shared" si="18"/>
        <v>0</v>
      </c>
      <c r="CF86" s="44">
        <f t="shared" si="19"/>
        <v>0</v>
      </c>
      <c r="CG86" s="116"/>
      <c r="CH86" s="116"/>
      <c r="CI86" s="163"/>
      <c r="CJ86" s="163"/>
      <c r="CK86" s="116"/>
      <c r="CL86" s="163"/>
      <c r="CM86" s="163"/>
      <c r="CN86" s="163"/>
      <c r="CO86" s="116"/>
      <c r="CP86" s="163"/>
      <c r="CQ86" s="163"/>
      <c r="CR86" s="163"/>
      <c r="CS86" s="163"/>
      <c r="CT86" s="163"/>
      <c r="CU86" s="163"/>
      <c r="CV86" s="163"/>
      <c r="CW86" s="128">
        <f t="shared" si="20"/>
        <v>0</v>
      </c>
      <c r="CX86" s="214">
        <f t="shared" si="21"/>
        <v>0</v>
      </c>
      <c r="CY86" s="171"/>
      <c r="CZ86" s="171"/>
      <c r="DA86" s="171"/>
      <c r="DB86" s="171"/>
      <c r="DC86" s="171"/>
      <c r="DD86" s="171"/>
      <c r="DE86" s="171"/>
      <c r="DF86" s="171"/>
      <c r="DG86" s="171"/>
      <c r="DH86" s="171"/>
      <c r="DI86" s="171"/>
      <c r="DJ86" s="171"/>
      <c r="DK86" s="128">
        <f t="shared" si="22"/>
        <v>0</v>
      </c>
      <c r="DL86" s="158" t="str">
        <f t="shared" si="23"/>
        <v>#DIV/0!</v>
      </c>
    </row>
    <row r="87" ht="15.75" customHeight="1">
      <c r="A87" s="146">
        <v>78.0</v>
      </c>
      <c r="B87" s="111" t="s">
        <v>207</v>
      </c>
      <c r="C87" s="112" t="s">
        <v>208</v>
      </c>
      <c r="D87" s="98">
        <f t="shared" si="8"/>
        <v>19</v>
      </c>
      <c r="E87" s="130">
        <f t="shared" si="9"/>
        <v>50</v>
      </c>
      <c r="F87" s="92" t="str">
        <f t="shared" si="10"/>
        <v>  </v>
      </c>
      <c r="G87" s="92" t="str">
        <f t="shared" si="11"/>
        <v>  </v>
      </c>
      <c r="H87" s="265"/>
      <c r="I87" s="265"/>
      <c r="J87" s="267"/>
      <c r="K87" s="267"/>
      <c r="L87" s="268"/>
      <c r="M87" s="139">
        <f t="shared" si="12"/>
        <v>0</v>
      </c>
      <c r="N87" s="140" t="str">
        <f t="shared" si="13"/>
        <v>#DIV/0!</v>
      </c>
      <c r="O87" s="116"/>
      <c r="P87" s="116"/>
      <c r="Q87" s="180"/>
      <c r="R87" s="163"/>
      <c r="S87" s="116"/>
      <c r="T87" s="116"/>
      <c r="U87" s="116"/>
      <c r="V87" s="163"/>
      <c r="W87" s="116"/>
      <c r="X87" s="116"/>
      <c r="Y87" s="163"/>
      <c r="Z87" s="210">
        <v>1.0</v>
      </c>
      <c r="AA87" s="187"/>
      <c r="AB87" s="116"/>
      <c r="AC87" s="163"/>
      <c r="AD87" s="116"/>
      <c r="AE87" s="163"/>
      <c r="AF87" s="163"/>
      <c r="AG87" s="262">
        <v>1.0</v>
      </c>
      <c r="AH87" s="116"/>
      <c r="AI87" s="163"/>
      <c r="AJ87" s="139">
        <f t="shared" si="14"/>
        <v>2</v>
      </c>
      <c r="AK87" s="119">
        <f t="shared" si="15"/>
        <v>28.57142857</v>
      </c>
      <c r="AL87" s="116"/>
      <c r="AM87" s="163"/>
      <c r="AN87" s="163"/>
      <c r="AO87" s="262">
        <v>1.0</v>
      </c>
      <c r="AP87" s="262">
        <v>1.0</v>
      </c>
      <c r="AQ87" s="138">
        <v>1.0</v>
      </c>
      <c r="AR87" s="116"/>
      <c r="AS87" s="166"/>
      <c r="AT87" s="116"/>
      <c r="AU87" s="116"/>
      <c r="AV87" s="116"/>
      <c r="AW87" s="163"/>
      <c r="AX87" s="116"/>
      <c r="AY87" s="116"/>
      <c r="AZ87" s="116"/>
      <c r="BA87" s="138">
        <v>1.0</v>
      </c>
      <c r="BB87" s="180"/>
      <c r="BC87" s="138">
        <v>1.0</v>
      </c>
      <c r="BD87" s="188">
        <v>1.0</v>
      </c>
      <c r="BE87" s="194"/>
      <c r="BF87" s="188">
        <v>1.0</v>
      </c>
      <c r="BG87" s="139">
        <f t="shared" si="16"/>
        <v>7</v>
      </c>
      <c r="BH87" s="272">
        <f t="shared" si="17"/>
        <v>50</v>
      </c>
      <c r="BI87" s="138">
        <v>1.0</v>
      </c>
      <c r="BJ87" s="138">
        <v>1.0</v>
      </c>
      <c r="BK87" s="180"/>
      <c r="BL87" s="116"/>
      <c r="BM87" s="116"/>
      <c r="BN87" s="116"/>
      <c r="BO87" s="138">
        <v>1.0</v>
      </c>
      <c r="BP87" s="116"/>
      <c r="BQ87" s="116"/>
      <c r="BR87" s="166"/>
      <c r="BS87" s="138">
        <v>1.0</v>
      </c>
      <c r="BT87" s="138">
        <v>1.0</v>
      </c>
      <c r="BV87" s="116"/>
      <c r="BW87" s="171"/>
      <c r="BX87" s="116"/>
      <c r="BY87" s="116"/>
      <c r="BZ87" s="138">
        <v>1.0</v>
      </c>
      <c r="CA87" s="116"/>
      <c r="CB87" s="138">
        <v>1.0</v>
      </c>
      <c r="CC87" s="116"/>
      <c r="CD87" s="138">
        <v>1.0</v>
      </c>
      <c r="CE87" s="124">
        <f t="shared" si="18"/>
        <v>8</v>
      </c>
      <c r="CF87" s="44">
        <f t="shared" si="19"/>
        <v>57.14285714</v>
      </c>
      <c r="CG87" s="262">
        <v>1.0</v>
      </c>
      <c r="CH87" s="230">
        <v>1.0</v>
      </c>
      <c r="CI87" s="116"/>
      <c r="CJ87" s="163"/>
      <c r="CK87" s="163"/>
      <c r="CL87" s="163"/>
      <c r="CM87" s="116"/>
      <c r="CN87" s="116"/>
      <c r="CO87" s="116"/>
      <c r="CP87" s="163"/>
      <c r="CQ87" s="163"/>
      <c r="CR87" s="163"/>
      <c r="CS87" s="163"/>
      <c r="CT87" s="116"/>
      <c r="CU87" s="163"/>
      <c r="CV87" s="163"/>
      <c r="CW87" s="128">
        <f t="shared" si="20"/>
        <v>2</v>
      </c>
      <c r="CX87" s="214">
        <f t="shared" si="21"/>
        <v>66.66666667</v>
      </c>
      <c r="CY87" s="171"/>
      <c r="CZ87" s="171"/>
      <c r="DA87" s="171"/>
      <c r="DB87" s="171"/>
      <c r="DC87" s="171"/>
      <c r="DD87" s="171"/>
      <c r="DE87" s="171"/>
      <c r="DF87" s="171"/>
      <c r="DG87" s="171"/>
      <c r="DH87" s="171"/>
      <c r="DI87" s="171"/>
      <c r="DJ87" s="171"/>
      <c r="DK87" s="128">
        <f t="shared" si="22"/>
        <v>0</v>
      </c>
      <c r="DL87" s="158" t="str">
        <f t="shared" si="23"/>
        <v>#DIV/0!</v>
      </c>
    </row>
    <row r="88" ht="15.75" customHeight="1">
      <c r="A88" s="50">
        <v>79.0</v>
      </c>
      <c r="B88" s="111" t="s">
        <v>209</v>
      </c>
      <c r="C88" s="112" t="s">
        <v>210</v>
      </c>
      <c r="D88" s="98">
        <f t="shared" si="8"/>
        <v>14</v>
      </c>
      <c r="E88" s="130">
        <f t="shared" si="9"/>
        <v>36.84210526</v>
      </c>
      <c r="F88" s="114">
        <f t="shared" si="10"/>
        <v>36.84210526</v>
      </c>
      <c r="G88" s="92" t="str">
        <f t="shared" si="11"/>
        <v>  </v>
      </c>
      <c r="H88" s="265"/>
      <c r="I88" s="265"/>
      <c r="J88" s="267"/>
      <c r="K88" s="267"/>
      <c r="L88" s="268"/>
      <c r="M88" s="139">
        <f t="shared" si="12"/>
        <v>0</v>
      </c>
      <c r="N88" s="140" t="str">
        <f t="shared" si="13"/>
        <v>#DIV/0!</v>
      </c>
      <c r="O88" s="116"/>
      <c r="P88" s="116"/>
      <c r="Q88" s="180"/>
      <c r="R88" s="163"/>
      <c r="S88" s="116"/>
      <c r="T88" s="116"/>
      <c r="U88" s="116"/>
      <c r="V88" s="163"/>
      <c r="W88" s="138">
        <v>1.0</v>
      </c>
      <c r="X88" s="116"/>
      <c r="Y88" s="163"/>
      <c r="Z88" s="185"/>
      <c r="AA88" s="187">
        <v>1.0</v>
      </c>
      <c r="AB88" s="116"/>
      <c r="AC88" s="163"/>
      <c r="AD88" s="116"/>
      <c r="AE88" s="163"/>
      <c r="AF88" s="163"/>
      <c r="AG88" s="262">
        <v>1.0</v>
      </c>
      <c r="AH88" s="163"/>
      <c r="AI88" s="163"/>
      <c r="AJ88" s="139">
        <f t="shared" si="14"/>
        <v>3</v>
      </c>
      <c r="AK88" s="119">
        <f t="shared" si="15"/>
        <v>42.85714286</v>
      </c>
      <c r="AL88" s="116"/>
      <c r="AM88" s="116"/>
      <c r="AN88" s="163"/>
      <c r="AO88" s="116"/>
      <c r="AP88" s="116"/>
      <c r="AQ88" s="116"/>
      <c r="AR88" s="116"/>
      <c r="AS88" s="166"/>
      <c r="AT88" s="116"/>
      <c r="AU88" s="116"/>
      <c r="AV88" s="138">
        <v>1.0</v>
      </c>
      <c r="AW88" s="163"/>
      <c r="AX88" s="116"/>
      <c r="AY88" s="116"/>
      <c r="AZ88" s="180"/>
      <c r="BA88" s="215">
        <v>1.0</v>
      </c>
      <c r="BB88" s="138">
        <v>1.0</v>
      </c>
      <c r="BC88" s="138">
        <v>1.0</v>
      </c>
      <c r="BD88" s="194"/>
      <c r="BE88" s="194"/>
      <c r="BF88" s="188">
        <v>1.0</v>
      </c>
      <c r="BG88" s="139">
        <f t="shared" si="16"/>
        <v>5</v>
      </c>
      <c r="BH88" s="272">
        <f t="shared" si="17"/>
        <v>35.71428571</v>
      </c>
      <c r="BI88" s="116"/>
      <c r="BJ88" s="138">
        <v>1.0</v>
      </c>
      <c r="BK88" s="180"/>
      <c r="BL88" s="116"/>
      <c r="BM88" s="116"/>
      <c r="BN88" s="116"/>
      <c r="BO88" s="138">
        <v>1.0</v>
      </c>
      <c r="BP88" s="116"/>
      <c r="BQ88" s="116"/>
      <c r="BR88" s="166"/>
      <c r="BS88" s="116"/>
      <c r="BT88" s="210">
        <v>1.0</v>
      </c>
      <c r="BU88" s="145">
        <v>1.0</v>
      </c>
      <c r="BV88" s="43"/>
      <c r="BW88" s="171"/>
      <c r="BX88" s="116"/>
      <c r="BY88" s="116"/>
      <c r="BZ88" s="138">
        <v>1.0</v>
      </c>
      <c r="CA88" s="116"/>
      <c r="CB88" s="116"/>
      <c r="CC88" s="138">
        <v>1.0</v>
      </c>
      <c r="CD88" s="116"/>
      <c r="CE88" s="124">
        <f t="shared" si="18"/>
        <v>6</v>
      </c>
      <c r="CF88" s="44">
        <f t="shared" si="19"/>
        <v>42.85714286</v>
      </c>
      <c r="CG88" s="163"/>
      <c r="CH88" s="116"/>
      <c r="CI88" s="116"/>
      <c r="CJ88" s="163"/>
      <c r="CK88" s="163"/>
      <c r="CL88" s="163"/>
      <c r="CM88" s="163"/>
      <c r="CN88" s="116"/>
      <c r="CO88" s="116"/>
      <c r="CP88" s="163"/>
      <c r="CQ88" s="163"/>
      <c r="CR88" s="163"/>
      <c r="CS88" s="163"/>
      <c r="CT88" s="116"/>
      <c r="CU88" s="163"/>
      <c r="CV88" s="163"/>
      <c r="CW88" s="128">
        <f t="shared" si="20"/>
        <v>0</v>
      </c>
      <c r="CX88" s="214">
        <f t="shared" si="21"/>
        <v>0</v>
      </c>
      <c r="CY88" s="171"/>
      <c r="CZ88" s="171"/>
      <c r="DA88" s="171"/>
      <c r="DB88" s="171"/>
      <c r="DC88" s="171"/>
      <c r="DD88" s="171"/>
      <c r="DE88" s="171"/>
      <c r="DF88" s="171"/>
      <c r="DG88" s="171"/>
      <c r="DH88" s="171"/>
      <c r="DI88" s="171"/>
      <c r="DJ88" s="171"/>
      <c r="DK88" s="128">
        <f t="shared" si="22"/>
        <v>0</v>
      </c>
      <c r="DL88" s="158" t="str">
        <f t="shared" si="23"/>
        <v>#DIV/0!</v>
      </c>
    </row>
    <row r="89" ht="15.75" customHeight="1">
      <c r="A89" s="131">
        <v>80.0</v>
      </c>
      <c r="B89" s="111" t="s">
        <v>211</v>
      </c>
      <c r="C89" s="112" t="s">
        <v>212</v>
      </c>
      <c r="D89" s="98">
        <f t="shared" si="8"/>
        <v>16</v>
      </c>
      <c r="E89" s="130">
        <f t="shared" si="9"/>
        <v>42.10526316</v>
      </c>
      <c r="F89" s="114">
        <f t="shared" si="10"/>
        <v>42.10526316</v>
      </c>
      <c r="G89" s="92" t="str">
        <f t="shared" si="11"/>
        <v>  </v>
      </c>
      <c r="H89" s="274"/>
      <c r="I89" s="274"/>
      <c r="J89" s="274"/>
      <c r="K89" s="274"/>
      <c r="L89" s="275"/>
      <c r="M89" s="139">
        <f t="shared" si="12"/>
        <v>0</v>
      </c>
      <c r="N89" s="140" t="str">
        <f t="shared" si="13"/>
        <v>#DIV/0!</v>
      </c>
      <c r="O89" s="116"/>
      <c r="P89" s="116"/>
      <c r="Q89" s="180"/>
      <c r="R89" s="163"/>
      <c r="S89" s="116"/>
      <c r="T89" s="116"/>
      <c r="U89" s="116"/>
      <c r="V89" s="163"/>
      <c r="W89" s="138">
        <v>1.0</v>
      </c>
      <c r="X89" s="116"/>
      <c r="Y89" s="163"/>
      <c r="Z89" s="171"/>
      <c r="AA89" s="217"/>
      <c r="AB89" s="116"/>
      <c r="AC89" s="262">
        <v>1.0</v>
      </c>
      <c r="AD89" s="116"/>
      <c r="AE89" s="163"/>
      <c r="AF89" s="262">
        <v>1.0</v>
      </c>
      <c r="AG89" s="163"/>
      <c r="AH89" s="163"/>
      <c r="AI89" s="116"/>
      <c r="AJ89" s="139">
        <f t="shared" si="14"/>
        <v>3</v>
      </c>
      <c r="AK89" s="119">
        <f t="shared" si="15"/>
        <v>42.85714286</v>
      </c>
      <c r="AL89" s="116"/>
      <c r="AM89" s="138">
        <v>1.0</v>
      </c>
      <c r="AN89" s="262">
        <v>1.0</v>
      </c>
      <c r="AO89" s="262">
        <v>1.0</v>
      </c>
      <c r="AP89" s="262">
        <v>1.0</v>
      </c>
      <c r="AQ89" s="116"/>
      <c r="AR89" s="116"/>
      <c r="AS89" s="166"/>
      <c r="AT89" s="116"/>
      <c r="AU89" s="116"/>
      <c r="AV89" s="138">
        <v>1.0</v>
      </c>
      <c r="AW89" s="163"/>
      <c r="AX89" s="116"/>
      <c r="AY89" s="116"/>
      <c r="AZ89" s="180"/>
      <c r="BA89" s="215">
        <v>1.0</v>
      </c>
      <c r="BB89" s="180"/>
      <c r="BC89" s="116"/>
      <c r="BD89" s="194"/>
      <c r="BE89" s="194"/>
      <c r="BF89" s="188"/>
      <c r="BG89" s="139">
        <f t="shared" si="16"/>
        <v>6</v>
      </c>
      <c r="BH89" s="272">
        <f t="shared" si="17"/>
        <v>42.85714286</v>
      </c>
      <c r="BI89" s="138">
        <v>1.0</v>
      </c>
      <c r="BJ89" s="138">
        <v>1.0</v>
      </c>
      <c r="BK89" s="180"/>
      <c r="BL89" s="116"/>
      <c r="BM89" s="116"/>
      <c r="BN89" s="116"/>
      <c r="BO89" s="116"/>
      <c r="BP89" s="116"/>
      <c r="BQ89" s="116"/>
      <c r="BR89" s="166"/>
      <c r="BS89" s="196">
        <v>1.0</v>
      </c>
      <c r="BT89" s="138">
        <v>1.0</v>
      </c>
      <c r="BU89" s="43"/>
      <c r="BV89" s="43"/>
      <c r="BW89" s="273">
        <v>1.0</v>
      </c>
      <c r="BX89" s="116"/>
      <c r="BY89" s="116"/>
      <c r="BZ89" s="138">
        <v>1.0</v>
      </c>
      <c r="CA89" s="116"/>
      <c r="CB89" s="116"/>
      <c r="CC89" s="116"/>
      <c r="CD89" s="116"/>
      <c r="CE89" s="124">
        <f t="shared" si="18"/>
        <v>6</v>
      </c>
      <c r="CF89" s="44">
        <f t="shared" si="19"/>
        <v>42.85714286</v>
      </c>
      <c r="CG89" s="163"/>
      <c r="CH89" s="116"/>
      <c r="CI89" s="262">
        <v>1.0</v>
      </c>
      <c r="CJ89" s="163"/>
      <c r="CK89" s="116"/>
      <c r="CL89" s="163"/>
      <c r="CM89" s="116"/>
      <c r="CN89" s="163"/>
      <c r="CO89" s="116"/>
      <c r="CP89" s="163"/>
      <c r="CQ89" s="163"/>
      <c r="CR89" s="163"/>
      <c r="CS89" s="163"/>
      <c r="CT89" s="116"/>
      <c r="CU89" s="163"/>
      <c r="CV89" s="163"/>
      <c r="CW89" s="128">
        <f t="shared" si="20"/>
        <v>1</v>
      </c>
      <c r="CX89" s="214">
        <f t="shared" si="21"/>
        <v>33.33333333</v>
      </c>
      <c r="CY89" s="171"/>
      <c r="CZ89" s="171"/>
      <c r="DA89" s="171"/>
      <c r="DB89" s="171"/>
      <c r="DC89" s="171"/>
      <c r="DD89" s="171"/>
      <c r="DE89" s="171"/>
      <c r="DF89" s="171"/>
      <c r="DG89" s="171"/>
      <c r="DH89" s="171"/>
      <c r="DI89" s="171"/>
      <c r="DJ89" s="171"/>
      <c r="DK89" s="128">
        <f t="shared" si="22"/>
        <v>0</v>
      </c>
      <c r="DL89" s="158" t="str">
        <f t="shared" si="23"/>
        <v>#DIV/0!</v>
      </c>
    </row>
    <row r="90" ht="15.75" customHeight="1">
      <c r="A90" s="146">
        <v>81.0</v>
      </c>
      <c r="B90" s="111" t="s">
        <v>213</v>
      </c>
      <c r="C90" s="112" t="s">
        <v>214</v>
      </c>
      <c r="D90" s="98">
        <f t="shared" si="8"/>
        <v>27</v>
      </c>
      <c r="E90" s="130">
        <f t="shared" si="9"/>
        <v>71.05263158</v>
      </c>
      <c r="F90" s="114" t="str">
        <f t="shared" si="10"/>
        <v>  </v>
      </c>
      <c r="G90" s="92" t="str">
        <f t="shared" si="11"/>
        <v>  </v>
      </c>
      <c r="H90" s="274"/>
      <c r="I90" s="274"/>
      <c r="J90" s="274"/>
      <c r="K90" s="274"/>
      <c r="L90" s="275"/>
      <c r="M90" s="139">
        <f t="shared" si="12"/>
        <v>0</v>
      </c>
      <c r="N90" s="140" t="str">
        <f t="shared" si="13"/>
        <v>#DIV/0!</v>
      </c>
      <c r="O90" s="116"/>
      <c r="P90" s="116"/>
      <c r="Q90" s="116"/>
      <c r="R90" s="163"/>
      <c r="S90" s="116"/>
      <c r="T90" s="116"/>
      <c r="U90" s="116"/>
      <c r="V90" s="163"/>
      <c r="W90" s="116"/>
      <c r="X90" s="116"/>
      <c r="Y90" s="163"/>
      <c r="Z90" s="273">
        <v>1.0</v>
      </c>
      <c r="AA90" s="217"/>
      <c r="AB90" s="138">
        <v>1.0</v>
      </c>
      <c r="AC90" s="262">
        <v>1.0</v>
      </c>
      <c r="AD90" s="163"/>
      <c r="AE90" s="116"/>
      <c r="AF90" s="163"/>
      <c r="AG90" s="262">
        <v>1.0</v>
      </c>
      <c r="AH90" s="116"/>
      <c r="AI90" s="116"/>
      <c r="AJ90" s="139">
        <f t="shared" si="14"/>
        <v>4</v>
      </c>
      <c r="AK90" s="119">
        <f t="shared" si="15"/>
        <v>57.14285714</v>
      </c>
      <c r="AL90" s="116"/>
      <c r="AM90" s="138">
        <v>1.0</v>
      </c>
      <c r="AN90" s="262">
        <v>1.0</v>
      </c>
      <c r="AO90" s="116"/>
      <c r="AP90" s="116"/>
      <c r="AQ90" s="138">
        <v>1.0</v>
      </c>
      <c r="AR90" s="116"/>
      <c r="AS90" s="191">
        <v>1.0</v>
      </c>
      <c r="AT90" s="116"/>
      <c r="AU90" s="116"/>
      <c r="AV90" s="138">
        <v>1.0</v>
      </c>
      <c r="AW90" s="163"/>
      <c r="AX90" s="116"/>
      <c r="AY90" s="116"/>
      <c r="AZ90" s="116"/>
      <c r="BA90" s="138">
        <v>1.0</v>
      </c>
      <c r="BB90" s="215">
        <v>1.0</v>
      </c>
      <c r="BC90" s="215">
        <v>1.0</v>
      </c>
      <c r="BD90" s="219">
        <v>1.0</v>
      </c>
      <c r="BE90" s="181"/>
      <c r="BF90" s="219">
        <v>1.0</v>
      </c>
      <c r="BG90" s="139">
        <f t="shared" si="16"/>
        <v>10</v>
      </c>
      <c r="BH90" s="272">
        <f t="shared" si="17"/>
        <v>71.42857143</v>
      </c>
      <c r="BI90" s="138">
        <v>1.0</v>
      </c>
      <c r="BJ90" s="215">
        <v>1.0</v>
      </c>
      <c r="BK90" s="180"/>
      <c r="BL90" s="116"/>
      <c r="BM90" s="116"/>
      <c r="BN90" s="116"/>
      <c r="BO90" s="138">
        <v>1.0</v>
      </c>
      <c r="BP90" s="116"/>
      <c r="BQ90" s="116"/>
      <c r="BR90" s="138">
        <v>1.0</v>
      </c>
      <c r="BS90" s="196">
        <v>1.0</v>
      </c>
      <c r="BT90" s="138">
        <v>1.0</v>
      </c>
      <c r="BU90" s="241">
        <v>1.0</v>
      </c>
      <c r="BV90" s="116"/>
      <c r="BW90" s="171"/>
      <c r="BX90" s="138">
        <v>1.0</v>
      </c>
      <c r="BY90" s="116"/>
      <c r="BZ90" s="138">
        <v>1.0</v>
      </c>
      <c r="CA90" s="116"/>
      <c r="CB90" s="138">
        <v>1.0</v>
      </c>
      <c r="CC90" s="116"/>
      <c r="CD90" s="138">
        <v>1.0</v>
      </c>
      <c r="CE90" s="124">
        <f t="shared" si="18"/>
        <v>11</v>
      </c>
      <c r="CF90" s="44">
        <f t="shared" si="19"/>
        <v>78.57142857</v>
      </c>
      <c r="CG90" s="138">
        <v>1.0</v>
      </c>
      <c r="CH90" s="138">
        <v>1.0</v>
      </c>
      <c r="CI90" s="116"/>
      <c r="CJ90" s="163"/>
      <c r="CK90" s="116"/>
      <c r="CL90" s="163"/>
      <c r="CM90" s="116"/>
      <c r="CN90" s="116"/>
      <c r="CO90" s="116"/>
      <c r="CP90" s="163"/>
      <c r="CQ90" s="163"/>
      <c r="CR90" s="163"/>
      <c r="CS90" s="116"/>
      <c r="CT90" s="116"/>
      <c r="CU90" s="116"/>
      <c r="CV90" s="163"/>
      <c r="CW90" s="128">
        <f t="shared" si="20"/>
        <v>2</v>
      </c>
      <c r="CX90" s="214">
        <f t="shared" si="21"/>
        <v>66.66666667</v>
      </c>
      <c r="CY90" s="171"/>
      <c r="CZ90" s="171"/>
      <c r="DA90" s="171"/>
      <c r="DB90" s="171"/>
      <c r="DC90" s="171"/>
      <c r="DD90" s="171"/>
      <c r="DE90" s="171"/>
      <c r="DF90" s="171"/>
      <c r="DG90" s="171"/>
      <c r="DH90" s="171"/>
      <c r="DI90" s="171"/>
      <c r="DJ90" s="171"/>
      <c r="DK90" s="128">
        <f t="shared" si="22"/>
        <v>0</v>
      </c>
      <c r="DL90" s="158" t="str">
        <f t="shared" si="23"/>
        <v>#DIV/0!</v>
      </c>
    </row>
    <row r="91" ht="15.75" customHeight="1">
      <c r="A91" s="50">
        <v>82.0</v>
      </c>
      <c r="B91" s="111" t="s">
        <v>215</v>
      </c>
      <c r="C91" s="112" t="s">
        <v>216</v>
      </c>
      <c r="D91" s="98">
        <f t="shared" si="8"/>
        <v>26</v>
      </c>
      <c r="E91" s="130">
        <f t="shared" si="9"/>
        <v>68.42105263</v>
      </c>
      <c r="F91" s="114" t="str">
        <f t="shared" si="10"/>
        <v>  </v>
      </c>
      <c r="G91" s="92" t="str">
        <f t="shared" si="11"/>
        <v>  </v>
      </c>
      <c r="H91" s="274"/>
      <c r="I91" s="274"/>
      <c r="J91" s="274"/>
      <c r="K91" s="274"/>
      <c r="L91" s="275"/>
      <c r="M91" s="139">
        <f t="shared" si="12"/>
        <v>0</v>
      </c>
      <c r="N91" s="140" t="str">
        <f t="shared" si="13"/>
        <v>#DIV/0!</v>
      </c>
      <c r="O91" s="116"/>
      <c r="P91" s="116"/>
      <c r="Q91" s="116"/>
      <c r="R91" s="163"/>
      <c r="S91" s="116"/>
      <c r="T91" s="116"/>
      <c r="U91" s="116"/>
      <c r="V91" s="163"/>
      <c r="W91" s="116"/>
      <c r="X91" s="116"/>
      <c r="Y91" s="163"/>
      <c r="Z91" s="273">
        <v>1.0</v>
      </c>
      <c r="AA91" s="217"/>
      <c r="AB91" s="138">
        <v>1.0</v>
      </c>
      <c r="AC91" s="262">
        <v>1.0</v>
      </c>
      <c r="AD91" s="116"/>
      <c r="AE91" s="116"/>
      <c r="AF91" s="163"/>
      <c r="AG91" s="163"/>
      <c r="AH91" s="116"/>
      <c r="AI91" s="116"/>
      <c r="AJ91" s="139">
        <f t="shared" si="14"/>
        <v>3</v>
      </c>
      <c r="AK91" s="119">
        <f t="shared" si="15"/>
        <v>42.85714286</v>
      </c>
      <c r="AL91" s="163"/>
      <c r="AM91" s="138">
        <v>1.0</v>
      </c>
      <c r="AN91" s="262">
        <v>1.0</v>
      </c>
      <c r="AO91" s="138">
        <v>1.0</v>
      </c>
      <c r="AP91" s="138">
        <v>1.0</v>
      </c>
      <c r="AQ91" s="138">
        <v>1.0</v>
      </c>
      <c r="AR91" s="138">
        <v>1.0</v>
      </c>
      <c r="AS91" s="191">
        <v>1.0</v>
      </c>
      <c r="AT91" s="116"/>
      <c r="AU91" s="116"/>
      <c r="AV91" s="138">
        <v>1.0</v>
      </c>
      <c r="AW91" s="163"/>
      <c r="AX91" s="116"/>
      <c r="AY91" s="116"/>
      <c r="AZ91" s="116"/>
      <c r="BA91" s="138">
        <v>1.0</v>
      </c>
      <c r="BB91" s="138">
        <v>1.0</v>
      </c>
      <c r="BC91" s="138">
        <v>1.0</v>
      </c>
      <c r="BD91" s="194"/>
      <c r="BE91" s="194"/>
      <c r="BF91" s="188">
        <v>1.0</v>
      </c>
      <c r="BG91" s="139">
        <f t="shared" si="16"/>
        <v>12</v>
      </c>
      <c r="BH91" s="272">
        <f t="shared" si="17"/>
        <v>85.71428571</v>
      </c>
      <c r="BI91" s="138">
        <v>1.0</v>
      </c>
      <c r="BJ91" s="138">
        <v>1.0</v>
      </c>
      <c r="BK91" s="180"/>
      <c r="BL91" s="116"/>
      <c r="BM91" s="116"/>
      <c r="BN91" s="116"/>
      <c r="BO91" s="116"/>
      <c r="BP91" s="116"/>
      <c r="BQ91" s="116"/>
      <c r="BR91" s="138">
        <v>1.0</v>
      </c>
      <c r="BS91" s="138">
        <v>1.0</v>
      </c>
      <c r="BT91" s="138">
        <v>1.0</v>
      </c>
      <c r="BU91" s="241">
        <v>1.0</v>
      </c>
      <c r="BV91" s="116"/>
      <c r="BW91" s="171"/>
      <c r="BX91" s="138">
        <v>1.0</v>
      </c>
      <c r="BY91" s="116"/>
      <c r="BZ91" s="138">
        <v>1.0</v>
      </c>
      <c r="CA91" s="116"/>
      <c r="CB91" s="116"/>
      <c r="CC91" s="116"/>
      <c r="CD91" s="138">
        <v>1.0</v>
      </c>
      <c r="CE91" s="124">
        <f t="shared" si="18"/>
        <v>9</v>
      </c>
      <c r="CF91" s="44">
        <f t="shared" si="19"/>
        <v>64.28571429</v>
      </c>
      <c r="CG91" s="138">
        <v>1.0</v>
      </c>
      <c r="CH91" s="138">
        <v>1.0</v>
      </c>
      <c r="CI91" s="116"/>
      <c r="CJ91" s="116"/>
      <c r="CK91" s="116"/>
      <c r="CL91" s="163"/>
      <c r="CM91" s="116"/>
      <c r="CN91" s="116"/>
      <c r="CO91" s="163"/>
      <c r="CP91" s="163"/>
      <c r="CQ91" s="163"/>
      <c r="CR91" s="163"/>
      <c r="CS91" s="116"/>
      <c r="CT91" s="116"/>
      <c r="CU91" s="116"/>
      <c r="CV91" s="163"/>
      <c r="CW91" s="128">
        <f t="shared" si="20"/>
        <v>2</v>
      </c>
      <c r="CX91" s="214">
        <f t="shared" si="21"/>
        <v>66.66666667</v>
      </c>
      <c r="CY91" s="171"/>
      <c r="CZ91" s="171"/>
      <c r="DA91" s="171"/>
      <c r="DB91" s="171"/>
      <c r="DC91" s="171"/>
      <c r="DD91" s="171"/>
      <c r="DE91" s="171"/>
      <c r="DF91" s="171"/>
      <c r="DG91" s="171"/>
      <c r="DH91" s="171"/>
      <c r="DI91" s="171"/>
      <c r="DJ91" s="171"/>
      <c r="DK91" s="128">
        <f t="shared" si="22"/>
        <v>0</v>
      </c>
      <c r="DL91" s="158" t="str">
        <f t="shared" si="23"/>
        <v>#DIV/0!</v>
      </c>
    </row>
    <row r="92" ht="15.75" customHeight="1">
      <c r="A92" s="131">
        <v>83.0</v>
      </c>
      <c r="B92" s="111" t="s">
        <v>217</v>
      </c>
      <c r="C92" s="112" t="s">
        <v>218</v>
      </c>
      <c r="D92" s="98">
        <f t="shared" si="8"/>
        <v>0</v>
      </c>
      <c r="E92" s="130">
        <f t="shared" si="9"/>
        <v>0</v>
      </c>
      <c r="F92" s="114">
        <f t="shared" si="10"/>
        <v>0</v>
      </c>
      <c r="G92" s="114">
        <f t="shared" si="11"/>
        <v>0</v>
      </c>
      <c r="H92" s="274"/>
      <c r="I92" s="274"/>
      <c r="J92" s="274"/>
      <c r="K92" s="274"/>
      <c r="L92" s="275"/>
      <c r="M92" s="139">
        <f t="shared" si="12"/>
        <v>0</v>
      </c>
      <c r="N92" s="140" t="str">
        <f t="shared" si="13"/>
        <v>#DIV/0!</v>
      </c>
      <c r="O92" s="163"/>
      <c r="P92" s="163"/>
      <c r="Q92" s="180"/>
      <c r="R92" s="163"/>
      <c r="S92" s="163"/>
      <c r="T92" s="116"/>
      <c r="U92" s="116"/>
      <c r="V92" s="163"/>
      <c r="W92" s="116"/>
      <c r="X92" s="116"/>
      <c r="Y92" s="163"/>
      <c r="Z92" s="171"/>
      <c r="AA92" s="217"/>
      <c r="AB92" s="116"/>
      <c r="AC92" s="163"/>
      <c r="AD92" s="163"/>
      <c r="AE92" s="163"/>
      <c r="AF92" s="163"/>
      <c r="AG92" s="163"/>
      <c r="AH92" s="163"/>
      <c r="AI92" s="163"/>
      <c r="AJ92" s="139">
        <f t="shared" si="14"/>
        <v>0</v>
      </c>
      <c r="AK92" s="119">
        <f t="shared" si="15"/>
        <v>0</v>
      </c>
      <c r="AL92" s="163"/>
      <c r="AM92" s="163"/>
      <c r="AN92" s="163"/>
      <c r="AO92" s="163"/>
      <c r="AP92" s="163"/>
      <c r="AQ92" s="116"/>
      <c r="AR92" s="116"/>
      <c r="AS92" s="191"/>
      <c r="AT92" s="116"/>
      <c r="AU92" s="116"/>
      <c r="AV92" s="116"/>
      <c r="AW92" s="163"/>
      <c r="AX92" s="116"/>
      <c r="AY92" s="116"/>
      <c r="AZ92" s="180"/>
      <c r="BA92" s="180"/>
      <c r="BB92" s="180"/>
      <c r="BC92" s="180"/>
      <c r="BD92" s="181"/>
      <c r="BE92" s="181"/>
      <c r="BF92" s="181"/>
      <c r="BG92" s="139">
        <f t="shared" si="16"/>
        <v>0</v>
      </c>
      <c r="BH92" s="272">
        <f t="shared" si="17"/>
        <v>0</v>
      </c>
      <c r="BI92" s="116"/>
      <c r="BJ92" s="180"/>
      <c r="BK92" s="180"/>
      <c r="BL92" s="116"/>
      <c r="BM92" s="116"/>
      <c r="BN92" s="116"/>
      <c r="BO92" s="116"/>
      <c r="BP92" s="116"/>
      <c r="BQ92" s="211"/>
      <c r="BR92" s="166"/>
      <c r="BS92" s="165"/>
      <c r="BT92" s="185"/>
      <c r="BU92" s="43"/>
      <c r="BV92" s="43"/>
      <c r="BW92" s="171"/>
      <c r="BX92" s="43"/>
      <c r="BY92" s="116"/>
      <c r="BZ92" s="116"/>
      <c r="CA92" s="116"/>
      <c r="CB92" s="116"/>
      <c r="CC92" s="116"/>
      <c r="CD92" s="116"/>
      <c r="CE92" s="124">
        <f t="shared" si="18"/>
        <v>0</v>
      </c>
      <c r="CF92" s="44">
        <f t="shared" si="19"/>
        <v>0</v>
      </c>
      <c r="CG92" s="163"/>
      <c r="CH92" s="238"/>
      <c r="CI92" s="163"/>
      <c r="CJ92" s="163"/>
      <c r="CK92" s="163"/>
      <c r="CL92" s="163"/>
      <c r="CM92" s="163"/>
      <c r="CN92" s="163"/>
      <c r="CO92" s="163"/>
      <c r="CP92" s="163"/>
      <c r="CQ92" s="163"/>
      <c r="CR92" s="163"/>
      <c r="CS92" s="163"/>
      <c r="CT92" s="163"/>
      <c r="CU92" s="163"/>
      <c r="CV92" s="163"/>
      <c r="CW92" s="128">
        <f t="shared" si="20"/>
        <v>0</v>
      </c>
      <c r="CX92" s="214">
        <f t="shared" si="21"/>
        <v>0</v>
      </c>
      <c r="CY92" s="171"/>
      <c r="CZ92" s="171"/>
      <c r="DA92" s="171"/>
      <c r="DB92" s="171"/>
      <c r="DC92" s="171"/>
      <c r="DD92" s="171"/>
      <c r="DE92" s="171"/>
      <c r="DF92" s="171"/>
      <c r="DG92" s="171"/>
      <c r="DH92" s="171"/>
      <c r="DI92" s="171"/>
      <c r="DJ92" s="171"/>
      <c r="DK92" s="128">
        <f t="shared" si="22"/>
        <v>0</v>
      </c>
      <c r="DL92" s="158" t="str">
        <f t="shared" si="23"/>
        <v>#DIV/0!</v>
      </c>
    </row>
    <row r="93" ht="15.75" customHeight="1"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9"/>
      <c r="AK93" s="12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9"/>
      <c r="BH93" s="14"/>
      <c r="BI93" s="11"/>
      <c r="BJ93" s="11"/>
      <c r="BK93" s="11"/>
      <c r="BL93" s="11"/>
      <c r="BM93" s="11"/>
      <c r="BN93" s="11"/>
      <c r="BO93" s="11"/>
      <c r="BP93" s="11"/>
      <c r="BQ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9"/>
      <c r="CF93" s="9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</row>
    <row r="94" ht="15.75" customHeight="1"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9"/>
      <c r="AK94" s="12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9"/>
      <c r="BH94" s="14"/>
      <c r="BI94" s="11"/>
      <c r="BJ94" s="11"/>
      <c r="BK94" s="11"/>
      <c r="BL94" s="11"/>
      <c r="BM94" s="11"/>
      <c r="BN94" s="11"/>
      <c r="BO94" s="11"/>
      <c r="BP94" s="11"/>
      <c r="BQ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9"/>
      <c r="CF94" s="9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</row>
    <row r="95" ht="15.75" customHeight="1"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9"/>
      <c r="AK95" s="12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9"/>
      <c r="BH95" s="14"/>
      <c r="BI95" s="11"/>
      <c r="BJ95" s="11"/>
      <c r="BK95" s="11"/>
      <c r="BL95" s="11"/>
      <c r="BM95" s="11"/>
      <c r="BN95" s="11"/>
      <c r="BO95" s="11"/>
      <c r="BP95" s="11"/>
      <c r="BQ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9"/>
      <c r="CF95" s="9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</row>
    <row r="96" ht="15.75" customHeight="1"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9"/>
      <c r="AK96" s="12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9"/>
      <c r="BH96" s="14"/>
      <c r="BI96" s="11"/>
      <c r="BJ96" s="11"/>
      <c r="BK96" s="11"/>
      <c r="BL96" s="11"/>
      <c r="BM96" s="11"/>
      <c r="BN96" s="11"/>
      <c r="BO96" s="11"/>
      <c r="BP96" s="11"/>
      <c r="BQ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9"/>
      <c r="CF96" s="9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</row>
    <row r="97" ht="15.75" customHeight="1"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9"/>
      <c r="AK97" s="12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9"/>
      <c r="BH97" s="14"/>
      <c r="BI97" s="11"/>
      <c r="BJ97" s="11"/>
      <c r="BK97" s="11"/>
      <c r="BL97" s="11"/>
      <c r="BM97" s="11"/>
      <c r="BN97" s="11"/>
      <c r="BO97" s="11"/>
      <c r="BP97" s="11"/>
      <c r="BQ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9"/>
      <c r="CF97" s="9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</row>
    <row r="98" ht="15.75" customHeight="1"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9"/>
      <c r="AK98" s="12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9"/>
      <c r="BH98" s="14"/>
      <c r="BI98" s="11"/>
      <c r="BJ98" s="11"/>
      <c r="BK98" s="11"/>
      <c r="BL98" s="11"/>
      <c r="BM98" s="11"/>
      <c r="BN98" s="11"/>
      <c r="BO98" s="11"/>
      <c r="BP98" s="11"/>
      <c r="BQ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9"/>
      <c r="CF98" s="9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</row>
    <row r="99" ht="15.75" customHeight="1"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9"/>
      <c r="AK99" s="12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9"/>
      <c r="BH99" s="14"/>
      <c r="BI99" s="11"/>
      <c r="BJ99" s="11"/>
      <c r="BK99" s="11"/>
      <c r="BL99" s="11"/>
      <c r="BM99" s="11"/>
      <c r="BN99" s="11"/>
      <c r="BO99" s="11"/>
      <c r="BP99" s="11"/>
      <c r="BQ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9"/>
      <c r="CF99" s="9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</row>
    <row r="100" ht="15.75" customHeight="1"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9"/>
      <c r="AK100" s="12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9"/>
      <c r="BH100" s="14"/>
      <c r="BI100" s="11"/>
      <c r="BJ100" s="11"/>
      <c r="BK100" s="11"/>
      <c r="BL100" s="11"/>
      <c r="BM100" s="11"/>
      <c r="BN100" s="11"/>
      <c r="BO100" s="11"/>
      <c r="BP100" s="11"/>
      <c r="BQ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9"/>
      <c r="CF100" s="9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</row>
    <row r="101" ht="15.75" customHeight="1"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9"/>
      <c r="AK101" s="12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9"/>
      <c r="BH101" s="14"/>
      <c r="BI101" s="11"/>
      <c r="BJ101" s="11"/>
      <c r="BK101" s="11"/>
      <c r="BL101" s="11"/>
      <c r="BM101" s="11"/>
      <c r="BN101" s="11"/>
      <c r="BO101" s="11"/>
      <c r="BP101" s="11"/>
      <c r="BQ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9"/>
      <c r="CF101" s="9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</row>
    <row r="102" ht="15.75" customHeight="1"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9"/>
      <c r="AK102" s="12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9"/>
      <c r="BH102" s="14"/>
      <c r="BI102" s="11"/>
      <c r="BJ102" s="11"/>
      <c r="BK102" s="11"/>
      <c r="BL102" s="11"/>
      <c r="BM102" s="11"/>
      <c r="BN102" s="11"/>
      <c r="BO102" s="11"/>
      <c r="BP102" s="11"/>
      <c r="BQ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9"/>
      <c r="CF102" s="9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</row>
    <row r="103" ht="15.75" customHeight="1"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9"/>
      <c r="AK103" s="12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9"/>
      <c r="BH103" s="14"/>
      <c r="BI103" s="11"/>
      <c r="BJ103" s="11"/>
      <c r="BK103" s="11"/>
      <c r="BL103" s="11"/>
      <c r="BM103" s="11"/>
      <c r="BN103" s="11"/>
      <c r="BO103" s="11"/>
      <c r="BP103" s="11"/>
      <c r="BQ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9"/>
      <c r="CF103" s="9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</row>
    <row r="104" ht="15.75" customHeight="1"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9"/>
      <c r="AK104" s="12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9"/>
      <c r="BH104" s="14"/>
      <c r="BI104" s="11"/>
      <c r="BJ104" s="11"/>
      <c r="BK104" s="11"/>
      <c r="BL104" s="11"/>
      <c r="BM104" s="11"/>
      <c r="BN104" s="11"/>
      <c r="BO104" s="11"/>
      <c r="BP104" s="11"/>
      <c r="BQ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9"/>
      <c r="CF104" s="9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</row>
    <row r="105" ht="15.75" customHeight="1"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9"/>
      <c r="AK105" s="12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9"/>
      <c r="BH105" s="14"/>
      <c r="BI105" s="11"/>
      <c r="BJ105" s="11"/>
      <c r="BK105" s="11"/>
      <c r="BL105" s="11"/>
      <c r="BM105" s="11"/>
      <c r="BN105" s="11"/>
      <c r="BO105" s="11"/>
      <c r="BP105" s="11"/>
      <c r="BQ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9"/>
      <c r="CF105" s="9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  <c r="DK105" s="16"/>
      <c r="DL105" s="16"/>
    </row>
    <row r="106" ht="15.75" customHeight="1"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9"/>
      <c r="AK106" s="12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9"/>
      <c r="BH106" s="14"/>
      <c r="BI106" s="11"/>
      <c r="BJ106" s="11"/>
      <c r="BK106" s="11"/>
      <c r="BL106" s="11"/>
      <c r="BM106" s="11"/>
      <c r="BN106" s="11"/>
      <c r="BO106" s="11"/>
      <c r="BP106" s="11"/>
      <c r="BQ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9"/>
      <c r="CF106" s="9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  <c r="DJ106" s="16"/>
      <c r="DK106" s="16"/>
      <c r="DL106" s="16"/>
    </row>
    <row r="107" ht="15.75" customHeight="1"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9"/>
      <c r="AK107" s="12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9"/>
      <c r="BH107" s="14"/>
      <c r="BI107" s="11"/>
      <c r="BJ107" s="11"/>
      <c r="BK107" s="11"/>
      <c r="BL107" s="11"/>
      <c r="BM107" s="11"/>
      <c r="BN107" s="11"/>
      <c r="BO107" s="11"/>
      <c r="BP107" s="11"/>
      <c r="BQ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9"/>
      <c r="CF107" s="9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</row>
    <row r="108" ht="15.75" customHeight="1"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9"/>
      <c r="AK108" s="12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9"/>
      <c r="BH108" s="14"/>
      <c r="BI108" s="11"/>
      <c r="BJ108" s="11"/>
      <c r="BK108" s="11"/>
      <c r="BL108" s="11"/>
      <c r="BM108" s="11"/>
      <c r="BN108" s="11"/>
      <c r="BO108" s="11"/>
      <c r="BP108" s="11"/>
      <c r="BQ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9"/>
      <c r="CF108" s="9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</row>
    <row r="109" ht="15.75" customHeight="1"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9"/>
      <c r="AK109" s="12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9"/>
      <c r="BH109" s="14"/>
      <c r="BI109" s="11"/>
      <c r="BJ109" s="11"/>
      <c r="BK109" s="11"/>
      <c r="BL109" s="11"/>
      <c r="BM109" s="11"/>
      <c r="BN109" s="11"/>
      <c r="BO109" s="11"/>
      <c r="BP109" s="11"/>
      <c r="BQ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9"/>
      <c r="CF109" s="9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</row>
    <row r="110" ht="15.75" customHeight="1"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9"/>
      <c r="AK110" s="12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9"/>
      <c r="BH110" s="14"/>
      <c r="BI110" s="11"/>
      <c r="BJ110" s="11"/>
      <c r="BK110" s="11"/>
      <c r="BL110" s="11"/>
      <c r="BM110" s="11"/>
      <c r="BN110" s="11"/>
      <c r="BO110" s="11"/>
      <c r="BP110" s="11"/>
      <c r="BQ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9"/>
      <c r="CF110" s="9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</row>
    <row r="111" ht="15.75" customHeight="1"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9"/>
      <c r="AK111" s="12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9"/>
      <c r="BH111" s="14"/>
      <c r="BI111" s="11"/>
      <c r="BJ111" s="11"/>
      <c r="BK111" s="11"/>
      <c r="BL111" s="11"/>
      <c r="BM111" s="11"/>
      <c r="BN111" s="11"/>
      <c r="BO111" s="11"/>
      <c r="BP111" s="11"/>
      <c r="BQ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9"/>
      <c r="CF111" s="9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  <c r="DJ111" s="16"/>
      <c r="DK111" s="16"/>
      <c r="DL111" s="16"/>
    </row>
    <row r="112" ht="15.75" customHeight="1"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9"/>
      <c r="AK112" s="12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9"/>
      <c r="BH112" s="14"/>
      <c r="BI112" s="11"/>
      <c r="BJ112" s="11"/>
      <c r="BK112" s="11"/>
      <c r="BL112" s="11"/>
      <c r="BM112" s="11"/>
      <c r="BN112" s="11"/>
      <c r="BO112" s="11"/>
      <c r="BP112" s="11"/>
      <c r="BQ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9"/>
      <c r="CF112" s="9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  <c r="DK112" s="16"/>
      <c r="DL112" s="16"/>
    </row>
    <row r="113" ht="15.75" customHeight="1"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9"/>
      <c r="AK113" s="12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9"/>
      <c r="BH113" s="14"/>
      <c r="BI113" s="11"/>
      <c r="BJ113" s="11"/>
      <c r="BK113" s="11"/>
      <c r="BL113" s="11"/>
      <c r="BM113" s="11"/>
      <c r="BN113" s="11"/>
      <c r="BO113" s="11"/>
      <c r="BP113" s="11"/>
      <c r="BQ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9"/>
      <c r="CF113" s="9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  <c r="DJ113" s="16"/>
      <c r="DK113" s="16"/>
      <c r="DL113" s="16"/>
    </row>
    <row r="114" ht="15.75" customHeight="1"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9"/>
      <c r="AK114" s="12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9"/>
      <c r="BH114" s="14"/>
      <c r="BI114" s="11"/>
      <c r="BJ114" s="11"/>
      <c r="BK114" s="11"/>
      <c r="BL114" s="11"/>
      <c r="BM114" s="11"/>
      <c r="BN114" s="11"/>
      <c r="BO114" s="11"/>
      <c r="BP114" s="11"/>
      <c r="BQ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9"/>
      <c r="CF114" s="9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</row>
    <row r="115" ht="15.75" customHeight="1"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9"/>
      <c r="AK115" s="12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9"/>
      <c r="BH115" s="14"/>
      <c r="BI115" s="11"/>
      <c r="BJ115" s="11"/>
      <c r="BK115" s="11"/>
      <c r="BL115" s="11"/>
      <c r="BM115" s="11"/>
      <c r="BN115" s="11"/>
      <c r="BO115" s="11"/>
      <c r="BP115" s="11"/>
      <c r="BQ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9"/>
      <c r="CF115" s="9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  <c r="DJ115" s="16"/>
      <c r="DK115" s="16"/>
      <c r="DL115" s="16"/>
    </row>
    <row r="116" ht="15.75" customHeight="1"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9"/>
      <c r="AK116" s="12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9"/>
      <c r="BH116" s="14"/>
      <c r="BI116" s="11"/>
      <c r="BJ116" s="11"/>
      <c r="BK116" s="11"/>
      <c r="BL116" s="11"/>
      <c r="BM116" s="11"/>
      <c r="BN116" s="11"/>
      <c r="BO116" s="11"/>
      <c r="BP116" s="11"/>
      <c r="BQ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9"/>
      <c r="CF116" s="9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  <c r="DJ116" s="16"/>
      <c r="DK116" s="16"/>
      <c r="DL116" s="16"/>
    </row>
    <row r="117" ht="15.75" customHeight="1"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9"/>
      <c r="AK117" s="12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9"/>
      <c r="BH117" s="14"/>
      <c r="BI117" s="11"/>
      <c r="BJ117" s="11"/>
      <c r="BK117" s="11"/>
      <c r="BL117" s="11"/>
      <c r="BM117" s="11"/>
      <c r="BN117" s="11"/>
      <c r="BO117" s="11"/>
      <c r="BP117" s="11"/>
      <c r="BQ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9"/>
      <c r="CF117" s="9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</row>
    <row r="118" ht="15.75" customHeight="1"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9"/>
      <c r="AK118" s="12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9"/>
      <c r="BH118" s="14"/>
      <c r="BI118" s="11"/>
      <c r="BJ118" s="11"/>
      <c r="BK118" s="11"/>
      <c r="BL118" s="11"/>
      <c r="BM118" s="11"/>
      <c r="BN118" s="11"/>
      <c r="BO118" s="11"/>
      <c r="BP118" s="11"/>
      <c r="BQ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9"/>
      <c r="CF118" s="9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  <c r="DJ118" s="16"/>
      <c r="DK118" s="16"/>
      <c r="DL118" s="16"/>
    </row>
    <row r="119" ht="15.75" customHeight="1"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9"/>
      <c r="AK119" s="12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9"/>
      <c r="BH119" s="14"/>
      <c r="BI119" s="11"/>
      <c r="BJ119" s="11"/>
      <c r="BK119" s="11"/>
      <c r="BL119" s="11"/>
      <c r="BM119" s="11"/>
      <c r="BN119" s="11"/>
      <c r="BO119" s="11"/>
      <c r="BP119" s="11"/>
      <c r="BQ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9"/>
      <c r="CF119" s="9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  <c r="DJ119" s="16"/>
      <c r="DK119" s="16"/>
      <c r="DL119" s="16"/>
    </row>
    <row r="120" ht="15.75" customHeight="1"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9"/>
      <c r="AK120" s="12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9"/>
      <c r="BH120" s="14"/>
      <c r="BI120" s="11"/>
      <c r="BJ120" s="11"/>
      <c r="BK120" s="11"/>
      <c r="BL120" s="11"/>
      <c r="BM120" s="11"/>
      <c r="BN120" s="11"/>
      <c r="BO120" s="11"/>
      <c r="BP120" s="11"/>
      <c r="BQ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9"/>
      <c r="CF120" s="9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  <c r="DJ120" s="16"/>
      <c r="DK120" s="16"/>
      <c r="DL120" s="16"/>
    </row>
    <row r="121" ht="15.75" customHeight="1"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9"/>
      <c r="AK121" s="12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9"/>
      <c r="BH121" s="14"/>
      <c r="BI121" s="11"/>
      <c r="BJ121" s="11"/>
      <c r="BK121" s="11"/>
      <c r="BL121" s="11"/>
      <c r="BM121" s="11"/>
      <c r="BN121" s="11"/>
      <c r="BO121" s="11"/>
      <c r="BP121" s="11"/>
      <c r="BQ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9"/>
      <c r="CF121" s="9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  <c r="DJ121" s="16"/>
      <c r="DK121" s="16"/>
      <c r="DL121" s="16"/>
    </row>
    <row r="122" ht="15.75" customHeight="1"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9"/>
      <c r="AK122" s="12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9"/>
      <c r="BH122" s="14"/>
      <c r="BI122" s="11"/>
      <c r="BJ122" s="11"/>
      <c r="BK122" s="11"/>
      <c r="BL122" s="11"/>
      <c r="BM122" s="11"/>
      <c r="BN122" s="11"/>
      <c r="BO122" s="11"/>
      <c r="BP122" s="11"/>
      <c r="BQ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9"/>
      <c r="CF122" s="9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  <c r="DJ122" s="16"/>
      <c r="DK122" s="16"/>
      <c r="DL122" s="16"/>
    </row>
    <row r="123" ht="15.75" customHeight="1"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9"/>
      <c r="AK123" s="12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9"/>
      <c r="BH123" s="14"/>
      <c r="BI123" s="11"/>
      <c r="BJ123" s="11"/>
      <c r="BK123" s="11"/>
      <c r="BL123" s="11"/>
      <c r="BM123" s="11"/>
      <c r="BN123" s="11"/>
      <c r="BO123" s="11"/>
      <c r="BP123" s="11"/>
      <c r="BQ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9"/>
      <c r="CF123" s="9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  <c r="DJ123" s="16"/>
      <c r="DK123" s="16"/>
      <c r="DL123" s="16"/>
    </row>
    <row r="124" ht="15.75" customHeight="1"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9"/>
      <c r="AK124" s="12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9"/>
      <c r="BH124" s="14"/>
      <c r="BI124" s="11"/>
      <c r="BJ124" s="11"/>
      <c r="BK124" s="11"/>
      <c r="BL124" s="11"/>
      <c r="BM124" s="11"/>
      <c r="BN124" s="11"/>
      <c r="BO124" s="11"/>
      <c r="BP124" s="11"/>
      <c r="BQ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9"/>
      <c r="CF124" s="9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</row>
    <row r="125" ht="15.75" customHeight="1"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9"/>
      <c r="AK125" s="12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9"/>
      <c r="BH125" s="14"/>
      <c r="BI125" s="11"/>
      <c r="BJ125" s="11"/>
      <c r="BK125" s="11"/>
      <c r="BL125" s="11"/>
      <c r="BM125" s="11"/>
      <c r="BN125" s="11"/>
      <c r="BO125" s="11"/>
      <c r="BP125" s="11"/>
      <c r="BQ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9"/>
      <c r="CF125" s="9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  <c r="DJ125" s="16"/>
      <c r="DK125" s="16"/>
      <c r="DL125" s="16"/>
    </row>
    <row r="126" ht="15.75" customHeight="1"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9"/>
      <c r="AK126" s="12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9"/>
      <c r="BH126" s="14"/>
      <c r="BI126" s="11"/>
      <c r="BJ126" s="11"/>
      <c r="BK126" s="11"/>
      <c r="BL126" s="11"/>
      <c r="BM126" s="11"/>
      <c r="BN126" s="11"/>
      <c r="BO126" s="11"/>
      <c r="BP126" s="11"/>
      <c r="BQ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9"/>
      <c r="CF126" s="9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  <c r="DJ126" s="16"/>
      <c r="DK126" s="16"/>
      <c r="DL126" s="16"/>
    </row>
    <row r="127" ht="15.75" customHeight="1"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9"/>
      <c r="AK127" s="12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9"/>
      <c r="BH127" s="14"/>
      <c r="BI127" s="11"/>
      <c r="BJ127" s="11"/>
      <c r="BK127" s="11"/>
      <c r="BL127" s="11"/>
      <c r="BM127" s="11"/>
      <c r="BN127" s="11"/>
      <c r="BO127" s="11"/>
      <c r="BP127" s="11"/>
      <c r="BQ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9"/>
      <c r="CF127" s="9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/>
      <c r="DI127" s="16"/>
      <c r="DJ127" s="16"/>
      <c r="DK127" s="16"/>
      <c r="DL127" s="16"/>
    </row>
    <row r="128" ht="15.75" customHeight="1"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9"/>
      <c r="AK128" s="12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9"/>
      <c r="BH128" s="14"/>
      <c r="BI128" s="11"/>
      <c r="BJ128" s="11"/>
      <c r="BK128" s="11"/>
      <c r="BL128" s="11"/>
      <c r="BM128" s="11"/>
      <c r="BN128" s="11"/>
      <c r="BO128" s="11"/>
      <c r="BP128" s="11"/>
      <c r="BQ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9"/>
      <c r="CF128" s="9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  <c r="DJ128" s="16"/>
      <c r="DK128" s="16"/>
      <c r="DL128" s="16"/>
    </row>
    <row r="129" ht="15.75" customHeight="1"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9"/>
      <c r="AK129" s="12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9"/>
      <c r="BH129" s="14"/>
      <c r="BI129" s="11"/>
      <c r="BJ129" s="11"/>
      <c r="BK129" s="11"/>
      <c r="BL129" s="11"/>
      <c r="BM129" s="11"/>
      <c r="BN129" s="11"/>
      <c r="BO129" s="11"/>
      <c r="BP129" s="11"/>
      <c r="BQ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9"/>
      <c r="CF129" s="9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  <c r="DJ129" s="16"/>
      <c r="DK129" s="16"/>
      <c r="DL129" s="16"/>
    </row>
    <row r="130" ht="15.75" customHeight="1"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9"/>
      <c r="AK130" s="12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9"/>
      <c r="BH130" s="14"/>
      <c r="BI130" s="11"/>
      <c r="BJ130" s="11"/>
      <c r="BK130" s="11"/>
      <c r="BL130" s="11"/>
      <c r="BM130" s="11"/>
      <c r="BN130" s="11"/>
      <c r="BO130" s="11"/>
      <c r="BP130" s="11"/>
      <c r="BQ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9"/>
      <c r="CF130" s="9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  <c r="DK130" s="16"/>
      <c r="DL130" s="16"/>
    </row>
    <row r="131" ht="15.75" customHeight="1"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9"/>
      <c r="AK131" s="12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9"/>
      <c r="BH131" s="14"/>
      <c r="BI131" s="11"/>
      <c r="BJ131" s="11"/>
      <c r="BK131" s="11"/>
      <c r="BL131" s="11"/>
      <c r="BM131" s="11"/>
      <c r="BN131" s="11"/>
      <c r="BO131" s="11"/>
      <c r="BP131" s="11"/>
      <c r="BQ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9"/>
      <c r="CF131" s="9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</row>
    <row r="132" ht="15.75" customHeight="1"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9"/>
      <c r="AK132" s="12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9"/>
      <c r="BH132" s="14"/>
      <c r="BI132" s="11"/>
      <c r="BJ132" s="11"/>
      <c r="BK132" s="11"/>
      <c r="BL132" s="11"/>
      <c r="BM132" s="11"/>
      <c r="BN132" s="11"/>
      <c r="BO132" s="11"/>
      <c r="BP132" s="11"/>
      <c r="BQ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9"/>
      <c r="CF132" s="9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  <c r="DK132" s="16"/>
      <c r="DL132" s="16"/>
    </row>
    <row r="133" ht="15.75" customHeight="1"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9"/>
      <c r="AK133" s="12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9"/>
      <c r="BH133" s="14"/>
      <c r="BI133" s="11"/>
      <c r="BJ133" s="11"/>
      <c r="BK133" s="11"/>
      <c r="BL133" s="11"/>
      <c r="BM133" s="11"/>
      <c r="BN133" s="11"/>
      <c r="BO133" s="11"/>
      <c r="BP133" s="11"/>
      <c r="BQ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9"/>
      <c r="CF133" s="9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  <c r="DJ133" s="16"/>
      <c r="DK133" s="16"/>
      <c r="DL133" s="16"/>
    </row>
    <row r="134" ht="15.75" customHeight="1"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9"/>
      <c r="AK134" s="12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9"/>
      <c r="BH134" s="14"/>
      <c r="BI134" s="11"/>
      <c r="BJ134" s="11"/>
      <c r="BK134" s="11"/>
      <c r="BL134" s="11"/>
      <c r="BM134" s="11"/>
      <c r="BN134" s="11"/>
      <c r="BO134" s="11"/>
      <c r="BP134" s="11"/>
      <c r="BQ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9"/>
      <c r="CF134" s="9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</row>
    <row r="135" ht="15.75" customHeight="1"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9"/>
      <c r="AK135" s="12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9"/>
      <c r="BH135" s="14"/>
      <c r="BI135" s="11"/>
      <c r="BJ135" s="11"/>
      <c r="BK135" s="11"/>
      <c r="BL135" s="11"/>
      <c r="BM135" s="11"/>
      <c r="BN135" s="11"/>
      <c r="BO135" s="11"/>
      <c r="BP135" s="11"/>
      <c r="BQ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9"/>
      <c r="CF135" s="9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  <c r="DJ135" s="16"/>
      <c r="DK135" s="16"/>
      <c r="DL135" s="16"/>
    </row>
    <row r="136" ht="15.75" customHeight="1"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9"/>
      <c r="AK136" s="12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9"/>
      <c r="BH136" s="14"/>
      <c r="BI136" s="11"/>
      <c r="BJ136" s="11"/>
      <c r="BK136" s="11"/>
      <c r="BL136" s="11"/>
      <c r="BM136" s="11"/>
      <c r="BN136" s="11"/>
      <c r="BO136" s="11"/>
      <c r="BP136" s="11"/>
      <c r="BQ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9"/>
      <c r="CF136" s="9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</row>
    <row r="137" ht="15.75" customHeight="1"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9"/>
      <c r="AK137" s="12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9"/>
      <c r="BH137" s="14"/>
      <c r="BI137" s="11"/>
      <c r="BJ137" s="11"/>
      <c r="BK137" s="11"/>
      <c r="BL137" s="11"/>
      <c r="BM137" s="11"/>
      <c r="BN137" s="11"/>
      <c r="BO137" s="11"/>
      <c r="BP137" s="11"/>
      <c r="BQ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9"/>
      <c r="CF137" s="9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  <c r="DJ137" s="16"/>
      <c r="DK137" s="16"/>
      <c r="DL137" s="16"/>
    </row>
    <row r="138" ht="15.75" customHeight="1"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9"/>
      <c r="AK138" s="12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9"/>
      <c r="BH138" s="14"/>
      <c r="BI138" s="11"/>
      <c r="BJ138" s="11"/>
      <c r="BK138" s="11"/>
      <c r="BL138" s="11"/>
      <c r="BM138" s="11"/>
      <c r="BN138" s="11"/>
      <c r="BO138" s="11"/>
      <c r="BP138" s="11"/>
      <c r="BQ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9"/>
      <c r="CF138" s="9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</row>
    <row r="139" ht="15.75" customHeight="1"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9"/>
      <c r="AK139" s="12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9"/>
      <c r="BH139" s="14"/>
      <c r="BI139" s="11"/>
      <c r="BJ139" s="11"/>
      <c r="BK139" s="11"/>
      <c r="BL139" s="11"/>
      <c r="BM139" s="11"/>
      <c r="BN139" s="11"/>
      <c r="BO139" s="11"/>
      <c r="BP139" s="11"/>
      <c r="BQ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9"/>
      <c r="CF139" s="9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  <c r="DJ139" s="16"/>
      <c r="DK139" s="16"/>
      <c r="DL139" s="16"/>
    </row>
    <row r="140" ht="15.75" customHeight="1"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9"/>
      <c r="AK140" s="12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9"/>
      <c r="BH140" s="14"/>
      <c r="BI140" s="11"/>
      <c r="BJ140" s="11"/>
      <c r="BK140" s="11"/>
      <c r="BL140" s="11"/>
      <c r="BM140" s="11"/>
      <c r="BN140" s="11"/>
      <c r="BO140" s="11"/>
      <c r="BP140" s="11"/>
      <c r="BQ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9"/>
      <c r="CF140" s="9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  <c r="DJ140" s="16"/>
      <c r="DK140" s="16"/>
      <c r="DL140" s="16"/>
    </row>
    <row r="141" ht="15.75" customHeight="1"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9"/>
      <c r="AK141" s="12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9"/>
      <c r="BH141" s="14"/>
      <c r="BI141" s="11"/>
      <c r="BJ141" s="11"/>
      <c r="BK141" s="11"/>
      <c r="BL141" s="11"/>
      <c r="BM141" s="11"/>
      <c r="BN141" s="11"/>
      <c r="BO141" s="11"/>
      <c r="BP141" s="11"/>
      <c r="BQ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9"/>
      <c r="CF141" s="9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/>
      <c r="DI141" s="16"/>
      <c r="DJ141" s="16"/>
      <c r="DK141" s="16"/>
      <c r="DL141" s="16"/>
    </row>
    <row r="142" ht="15.75" customHeight="1"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9"/>
      <c r="AK142" s="12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9"/>
      <c r="BH142" s="14"/>
      <c r="BI142" s="11"/>
      <c r="BJ142" s="11"/>
      <c r="BK142" s="11"/>
      <c r="BL142" s="11"/>
      <c r="BM142" s="11"/>
      <c r="BN142" s="11"/>
      <c r="BO142" s="11"/>
      <c r="BP142" s="11"/>
      <c r="BQ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9"/>
      <c r="CF142" s="9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/>
      <c r="DI142" s="16"/>
      <c r="DJ142" s="16"/>
      <c r="DK142" s="16"/>
      <c r="DL142" s="16"/>
    </row>
    <row r="143" ht="15.75" customHeight="1"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9"/>
      <c r="AK143" s="12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9"/>
      <c r="BH143" s="14"/>
      <c r="BI143" s="11"/>
      <c r="BJ143" s="11"/>
      <c r="BK143" s="11"/>
      <c r="BL143" s="11"/>
      <c r="BM143" s="11"/>
      <c r="BN143" s="11"/>
      <c r="BO143" s="11"/>
      <c r="BP143" s="11"/>
      <c r="BQ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9"/>
      <c r="CF143" s="9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  <c r="DJ143" s="16"/>
      <c r="DK143" s="16"/>
      <c r="DL143" s="16"/>
    </row>
    <row r="144" ht="15.75" customHeight="1"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9"/>
      <c r="AK144" s="12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9"/>
      <c r="BH144" s="14"/>
      <c r="BI144" s="11"/>
      <c r="BJ144" s="11"/>
      <c r="BK144" s="11"/>
      <c r="BL144" s="11"/>
      <c r="BM144" s="11"/>
      <c r="BN144" s="11"/>
      <c r="BO144" s="11"/>
      <c r="BP144" s="11"/>
      <c r="BQ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9"/>
      <c r="CF144" s="9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  <c r="DJ144" s="16"/>
      <c r="DK144" s="16"/>
      <c r="DL144" s="16"/>
    </row>
    <row r="145" ht="15.75" customHeight="1"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9"/>
      <c r="AK145" s="12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9"/>
      <c r="BH145" s="14"/>
      <c r="BI145" s="11"/>
      <c r="BJ145" s="11"/>
      <c r="BK145" s="11"/>
      <c r="BL145" s="11"/>
      <c r="BM145" s="11"/>
      <c r="BN145" s="11"/>
      <c r="BO145" s="11"/>
      <c r="BP145" s="11"/>
      <c r="BQ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9"/>
      <c r="CF145" s="9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</row>
    <row r="146" ht="15.75" customHeight="1"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9"/>
      <c r="AK146" s="12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9"/>
      <c r="BH146" s="14"/>
      <c r="BI146" s="11"/>
      <c r="BJ146" s="11"/>
      <c r="BK146" s="11"/>
      <c r="BL146" s="11"/>
      <c r="BM146" s="11"/>
      <c r="BN146" s="11"/>
      <c r="BO146" s="11"/>
      <c r="BP146" s="11"/>
      <c r="BQ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9"/>
      <c r="CF146" s="9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  <c r="DJ146" s="16"/>
      <c r="DK146" s="16"/>
      <c r="DL146" s="16"/>
    </row>
    <row r="147" ht="15.75" customHeight="1"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9"/>
      <c r="AK147" s="12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9"/>
      <c r="BH147" s="14"/>
      <c r="BI147" s="11"/>
      <c r="BJ147" s="11"/>
      <c r="BK147" s="11"/>
      <c r="BL147" s="11"/>
      <c r="BM147" s="11"/>
      <c r="BN147" s="11"/>
      <c r="BO147" s="11"/>
      <c r="BP147" s="11"/>
      <c r="BQ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9"/>
      <c r="CF147" s="9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/>
      <c r="DI147" s="16"/>
      <c r="DJ147" s="16"/>
      <c r="DK147" s="16"/>
      <c r="DL147" s="16"/>
    </row>
    <row r="148" ht="15.75" customHeight="1"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9"/>
      <c r="AK148" s="12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9"/>
      <c r="BH148" s="14"/>
      <c r="BI148" s="11"/>
      <c r="BJ148" s="11"/>
      <c r="BK148" s="11"/>
      <c r="BL148" s="11"/>
      <c r="BM148" s="11"/>
      <c r="BN148" s="11"/>
      <c r="BO148" s="11"/>
      <c r="BP148" s="11"/>
      <c r="BQ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9"/>
      <c r="CF148" s="9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  <c r="CU148" s="11"/>
      <c r="CV148" s="11"/>
      <c r="CW148" s="11"/>
      <c r="CX148" s="11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  <c r="DJ148" s="16"/>
      <c r="DK148" s="16"/>
      <c r="DL148" s="16"/>
    </row>
    <row r="149" ht="15.75" customHeight="1"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9"/>
      <c r="AK149" s="12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9"/>
      <c r="BH149" s="14"/>
      <c r="BI149" s="11"/>
      <c r="BJ149" s="11"/>
      <c r="BK149" s="11"/>
      <c r="BL149" s="11"/>
      <c r="BM149" s="11"/>
      <c r="BN149" s="11"/>
      <c r="BO149" s="11"/>
      <c r="BP149" s="11"/>
      <c r="BQ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9"/>
      <c r="CF149" s="9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  <c r="DJ149" s="16"/>
      <c r="DK149" s="16"/>
      <c r="DL149" s="16"/>
    </row>
    <row r="150" ht="15.75" customHeight="1"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9"/>
      <c r="AK150" s="12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9"/>
      <c r="BH150" s="14"/>
      <c r="BI150" s="11"/>
      <c r="BJ150" s="11"/>
      <c r="BK150" s="11"/>
      <c r="BL150" s="11"/>
      <c r="BM150" s="11"/>
      <c r="BN150" s="11"/>
      <c r="BO150" s="11"/>
      <c r="BP150" s="11"/>
      <c r="BQ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9"/>
      <c r="CF150" s="9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  <c r="DJ150" s="16"/>
      <c r="DK150" s="16"/>
      <c r="DL150" s="16"/>
    </row>
    <row r="151" ht="15.75" customHeight="1"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9"/>
      <c r="AK151" s="12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9"/>
      <c r="BH151" s="14"/>
      <c r="BI151" s="11"/>
      <c r="BJ151" s="11"/>
      <c r="BK151" s="11"/>
      <c r="BL151" s="11"/>
      <c r="BM151" s="11"/>
      <c r="BN151" s="11"/>
      <c r="BO151" s="11"/>
      <c r="BP151" s="11"/>
      <c r="BQ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9"/>
      <c r="CF151" s="9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  <c r="DJ151" s="16"/>
      <c r="DK151" s="16"/>
      <c r="DL151" s="16"/>
    </row>
    <row r="152" ht="15.75" customHeight="1"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9"/>
      <c r="AK152" s="12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9"/>
      <c r="BH152" s="14"/>
      <c r="BI152" s="11"/>
      <c r="BJ152" s="11"/>
      <c r="BK152" s="11"/>
      <c r="BL152" s="11"/>
      <c r="BM152" s="11"/>
      <c r="BN152" s="11"/>
      <c r="BO152" s="11"/>
      <c r="BP152" s="11"/>
      <c r="BQ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9"/>
      <c r="CF152" s="9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  <c r="DK152" s="16"/>
      <c r="DL152" s="16"/>
    </row>
    <row r="153" ht="15.75" customHeight="1"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9"/>
      <c r="AK153" s="12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9"/>
      <c r="BH153" s="14"/>
      <c r="BI153" s="11"/>
      <c r="BJ153" s="11"/>
      <c r="BK153" s="11"/>
      <c r="BL153" s="11"/>
      <c r="BM153" s="11"/>
      <c r="BN153" s="11"/>
      <c r="BO153" s="11"/>
      <c r="BP153" s="11"/>
      <c r="BQ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9"/>
      <c r="CF153" s="9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  <c r="DJ153" s="16"/>
      <c r="DK153" s="16"/>
      <c r="DL153" s="16"/>
    </row>
    <row r="154" ht="15.75" customHeight="1"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9"/>
      <c r="AK154" s="12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9"/>
      <c r="BH154" s="14"/>
      <c r="BI154" s="11"/>
      <c r="BJ154" s="11"/>
      <c r="BK154" s="11"/>
      <c r="BL154" s="11"/>
      <c r="BM154" s="11"/>
      <c r="BN154" s="11"/>
      <c r="BO154" s="11"/>
      <c r="BP154" s="11"/>
      <c r="BQ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9"/>
      <c r="CF154" s="9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  <c r="CU154" s="11"/>
      <c r="CV154" s="11"/>
      <c r="CW154" s="11"/>
      <c r="CX154" s="11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  <c r="DJ154" s="16"/>
      <c r="DK154" s="16"/>
      <c r="DL154" s="16"/>
    </row>
    <row r="155" ht="15.75" customHeight="1"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9"/>
      <c r="AK155" s="12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9"/>
      <c r="BH155" s="14"/>
      <c r="BI155" s="11"/>
      <c r="BJ155" s="11"/>
      <c r="BK155" s="11"/>
      <c r="BL155" s="11"/>
      <c r="BM155" s="11"/>
      <c r="BN155" s="11"/>
      <c r="BO155" s="11"/>
      <c r="BP155" s="11"/>
      <c r="BQ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9"/>
      <c r="CF155" s="9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  <c r="DJ155" s="16"/>
      <c r="DK155" s="16"/>
      <c r="DL155" s="16"/>
    </row>
    <row r="156" ht="15.75" customHeight="1"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9"/>
      <c r="AK156" s="12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9"/>
      <c r="BH156" s="14"/>
      <c r="BI156" s="11"/>
      <c r="BJ156" s="11"/>
      <c r="BK156" s="11"/>
      <c r="BL156" s="11"/>
      <c r="BM156" s="11"/>
      <c r="BN156" s="11"/>
      <c r="BO156" s="11"/>
      <c r="BP156" s="11"/>
      <c r="BQ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9"/>
      <c r="CF156" s="9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/>
      <c r="CW156" s="11"/>
      <c r="CX156" s="11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  <c r="DJ156" s="16"/>
      <c r="DK156" s="16"/>
      <c r="DL156" s="16"/>
    </row>
    <row r="157" ht="15.75" customHeight="1"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9"/>
      <c r="AK157" s="12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9"/>
      <c r="BH157" s="14"/>
      <c r="BI157" s="11"/>
      <c r="BJ157" s="11"/>
      <c r="BK157" s="11"/>
      <c r="BL157" s="11"/>
      <c r="BM157" s="11"/>
      <c r="BN157" s="11"/>
      <c r="BO157" s="11"/>
      <c r="BP157" s="11"/>
      <c r="BQ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9"/>
      <c r="CF157" s="9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/>
      <c r="DI157" s="16"/>
      <c r="DJ157" s="16"/>
      <c r="DK157" s="16"/>
      <c r="DL157" s="16"/>
    </row>
    <row r="158" ht="15.75" customHeight="1"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9"/>
      <c r="AK158" s="12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9"/>
      <c r="BH158" s="14"/>
      <c r="BI158" s="11"/>
      <c r="BJ158" s="11"/>
      <c r="BK158" s="11"/>
      <c r="BL158" s="11"/>
      <c r="BM158" s="11"/>
      <c r="BN158" s="11"/>
      <c r="BO158" s="11"/>
      <c r="BP158" s="11"/>
      <c r="BQ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9"/>
      <c r="CF158" s="9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  <c r="CU158" s="11"/>
      <c r="CV158" s="11"/>
      <c r="CW158" s="11"/>
      <c r="CX158" s="11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  <c r="DJ158" s="16"/>
      <c r="DK158" s="16"/>
      <c r="DL158" s="16"/>
    </row>
    <row r="159" ht="15.75" customHeight="1"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9"/>
      <c r="AK159" s="12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9"/>
      <c r="BH159" s="14"/>
      <c r="BI159" s="11"/>
      <c r="BJ159" s="11"/>
      <c r="BK159" s="11"/>
      <c r="BL159" s="11"/>
      <c r="BM159" s="11"/>
      <c r="BN159" s="11"/>
      <c r="BO159" s="11"/>
      <c r="BP159" s="11"/>
      <c r="BQ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9"/>
      <c r="CF159" s="9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  <c r="DK159" s="16"/>
      <c r="DL159" s="16"/>
    </row>
    <row r="160" ht="15.75" customHeight="1"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9"/>
      <c r="AK160" s="12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9"/>
      <c r="BH160" s="14"/>
      <c r="BI160" s="11"/>
      <c r="BJ160" s="11"/>
      <c r="BK160" s="11"/>
      <c r="BL160" s="11"/>
      <c r="BM160" s="11"/>
      <c r="BN160" s="11"/>
      <c r="BO160" s="11"/>
      <c r="BP160" s="11"/>
      <c r="BQ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9"/>
      <c r="CF160" s="9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  <c r="CS160" s="11"/>
      <c r="CT160" s="11"/>
      <c r="CU160" s="11"/>
      <c r="CV160" s="11"/>
      <c r="CW160" s="11"/>
      <c r="CX160" s="11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/>
      <c r="DI160" s="16"/>
      <c r="DJ160" s="16"/>
      <c r="DK160" s="16"/>
      <c r="DL160" s="16"/>
    </row>
    <row r="161" ht="15.75" customHeight="1"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9"/>
      <c r="AK161" s="12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9"/>
      <c r="BH161" s="14"/>
      <c r="BI161" s="11"/>
      <c r="BJ161" s="11"/>
      <c r="BK161" s="11"/>
      <c r="BL161" s="11"/>
      <c r="BM161" s="11"/>
      <c r="BN161" s="11"/>
      <c r="BO161" s="11"/>
      <c r="BP161" s="11"/>
      <c r="BQ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9"/>
      <c r="CF161" s="9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/>
      <c r="DI161" s="16"/>
      <c r="DJ161" s="16"/>
      <c r="DK161" s="16"/>
      <c r="DL161" s="16"/>
    </row>
    <row r="162" ht="15.75" customHeight="1"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9"/>
      <c r="AK162" s="12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9"/>
      <c r="BH162" s="14"/>
      <c r="BI162" s="11"/>
      <c r="BJ162" s="11"/>
      <c r="BK162" s="11"/>
      <c r="BL162" s="11"/>
      <c r="BM162" s="11"/>
      <c r="BN162" s="11"/>
      <c r="BO162" s="11"/>
      <c r="BP162" s="11"/>
      <c r="BQ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9"/>
      <c r="CF162" s="9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  <c r="CU162" s="11"/>
      <c r="CV162" s="11"/>
      <c r="CW162" s="11"/>
      <c r="CX162" s="11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  <c r="DJ162" s="16"/>
      <c r="DK162" s="16"/>
      <c r="DL162" s="16"/>
    </row>
    <row r="163" ht="15.75" customHeight="1"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9"/>
      <c r="AK163" s="12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9"/>
      <c r="BH163" s="14"/>
      <c r="BI163" s="11"/>
      <c r="BJ163" s="11"/>
      <c r="BK163" s="11"/>
      <c r="BL163" s="11"/>
      <c r="BM163" s="11"/>
      <c r="BN163" s="11"/>
      <c r="BO163" s="11"/>
      <c r="BP163" s="11"/>
      <c r="BQ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9"/>
      <c r="CF163" s="9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/>
      <c r="DI163" s="16"/>
      <c r="DJ163" s="16"/>
      <c r="DK163" s="16"/>
      <c r="DL163" s="16"/>
    </row>
    <row r="164" ht="15.75" customHeight="1"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9"/>
      <c r="AK164" s="12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9"/>
      <c r="BH164" s="14"/>
      <c r="BI164" s="11"/>
      <c r="BJ164" s="11"/>
      <c r="BK164" s="11"/>
      <c r="BL164" s="11"/>
      <c r="BM164" s="11"/>
      <c r="BN164" s="11"/>
      <c r="BO164" s="11"/>
      <c r="BP164" s="11"/>
      <c r="BQ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9"/>
      <c r="CF164" s="9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  <c r="CU164" s="11"/>
      <c r="CV164" s="11"/>
      <c r="CW164" s="11"/>
      <c r="CX164" s="11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/>
      <c r="DI164" s="16"/>
      <c r="DJ164" s="16"/>
      <c r="DK164" s="16"/>
      <c r="DL164" s="16"/>
    </row>
    <row r="165" ht="15.75" customHeight="1"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9"/>
      <c r="AK165" s="12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9"/>
      <c r="BH165" s="14"/>
      <c r="BI165" s="11"/>
      <c r="BJ165" s="11"/>
      <c r="BK165" s="11"/>
      <c r="BL165" s="11"/>
      <c r="BM165" s="11"/>
      <c r="BN165" s="11"/>
      <c r="BO165" s="11"/>
      <c r="BP165" s="11"/>
      <c r="BQ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9"/>
      <c r="CF165" s="9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  <c r="CV165" s="11"/>
      <c r="CW165" s="11"/>
      <c r="CX165" s="11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/>
      <c r="DI165" s="16"/>
      <c r="DJ165" s="16"/>
      <c r="DK165" s="16"/>
      <c r="DL165" s="16"/>
    </row>
    <row r="166" ht="15.75" customHeight="1"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9"/>
      <c r="AK166" s="12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9"/>
      <c r="BH166" s="14"/>
      <c r="BI166" s="11"/>
      <c r="BJ166" s="11"/>
      <c r="BK166" s="11"/>
      <c r="BL166" s="11"/>
      <c r="BM166" s="11"/>
      <c r="BN166" s="11"/>
      <c r="BO166" s="11"/>
      <c r="BP166" s="11"/>
      <c r="BQ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9"/>
      <c r="CF166" s="9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  <c r="CU166" s="11"/>
      <c r="CV166" s="11"/>
      <c r="CW166" s="11"/>
      <c r="CX166" s="11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</row>
    <row r="167" ht="15.75" customHeight="1"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9"/>
      <c r="AK167" s="12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9"/>
      <c r="BH167" s="14"/>
      <c r="BI167" s="11"/>
      <c r="BJ167" s="11"/>
      <c r="BK167" s="11"/>
      <c r="BL167" s="11"/>
      <c r="BM167" s="11"/>
      <c r="BN167" s="11"/>
      <c r="BO167" s="11"/>
      <c r="BP167" s="11"/>
      <c r="BQ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9"/>
      <c r="CF167" s="9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6"/>
      <c r="CZ167" s="16"/>
      <c r="DA167" s="16"/>
      <c r="DB167" s="16"/>
      <c r="DC167" s="16"/>
      <c r="DD167" s="16"/>
      <c r="DE167" s="16"/>
      <c r="DF167" s="16"/>
      <c r="DG167" s="16"/>
      <c r="DH167" s="16"/>
      <c r="DI167" s="16"/>
      <c r="DJ167" s="16"/>
      <c r="DK167" s="16"/>
      <c r="DL167" s="16"/>
    </row>
    <row r="168" ht="15.75" customHeight="1"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9"/>
      <c r="AK168" s="12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9"/>
      <c r="BH168" s="14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9"/>
      <c r="CF168" s="9"/>
      <c r="CG168" s="11"/>
      <c r="CH168" s="11"/>
      <c r="CI168" s="11"/>
      <c r="CJ168" s="11"/>
      <c r="CK168" s="11"/>
      <c r="CL168" s="11"/>
      <c r="CM168" s="11"/>
      <c r="CN168" s="11"/>
      <c r="CO168" s="11"/>
      <c r="CP168" s="11"/>
      <c r="CQ168" s="11"/>
      <c r="CR168" s="11"/>
      <c r="CS168" s="11"/>
      <c r="CT168" s="11"/>
      <c r="CU168" s="11"/>
      <c r="CV168" s="11"/>
      <c r="CW168" s="11"/>
      <c r="CX168" s="11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/>
      <c r="DI168" s="16"/>
      <c r="DJ168" s="16"/>
      <c r="DK168" s="16"/>
      <c r="DL168" s="16"/>
    </row>
    <row r="169" ht="15.75" customHeight="1"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9"/>
      <c r="AK169" s="12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9"/>
      <c r="BH169" s="14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9"/>
      <c r="CF169" s="9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/>
      <c r="DI169" s="16"/>
      <c r="DJ169" s="16"/>
      <c r="DK169" s="16"/>
      <c r="DL169" s="16"/>
    </row>
    <row r="170" ht="15.75" customHeight="1"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9"/>
      <c r="AK170" s="12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9"/>
      <c r="BH170" s="14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9"/>
      <c r="CF170" s="9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/>
      <c r="DI170" s="16"/>
      <c r="DJ170" s="16"/>
      <c r="DK170" s="16"/>
      <c r="DL170" s="16"/>
    </row>
    <row r="171" ht="15.75" customHeight="1"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9"/>
      <c r="AK171" s="12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9"/>
      <c r="BH171" s="14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9"/>
      <c r="CF171" s="9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  <c r="CW171" s="11"/>
      <c r="CX171" s="11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/>
      <c r="DI171" s="16"/>
      <c r="DJ171" s="16"/>
      <c r="DK171" s="16"/>
      <c r="DL171" s="16"/>
    </row>
    <row r="172" ht="15.75" customHeight="1"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9"/>
      <c r="AK172" s="12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9"/>
      <c r="BH172" s="14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9"/>
      <c r="CF172" s="9"/>
      <c r="CG172" s="11"/>
      <c r="CH172" s="11"/>
      <c r="CI172" s="11"/>
      <c r="CJ172" s="11"/>
      <c r="CK172" s="11"/>
      <c r="CL172" s="11"/>
      <c r="CM172" s="11"/>
      <c r="CN172" s="11"/>
      <c r="CO172" s="11"/>
      <c r="CP172" s="11"/>
      <c r="CQ172" s="11"/>
      <c r="CR172" s="11"/>
      <c r="CS172" s="11"/>
      <c r="CT172" s="11"/>
      <c r="CU172" s="11"/>
      <c r="CV172" s="11"/>
      <c r="CW172" s="11"/>
      <c r="CX172" s="11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/>
      <c r="DI172" s="16"/>
      <c r="DJ172" s="16"/>
      <c r="DK172" s="16"/>
      <c r="DL172" s="16"/>
    </row>
    <row r="173" ht="15.75" customHeight="1"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9"/>
      <c r="AK173" s="12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9"/>
      <c r="BH173" s="14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9"/>
      <c r="CF173" s="9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</row>
    <row r="174" ht="15.75" customHeight="1"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9"/>
      <c r="AK174" s="12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9"/>
      <c r="BH174" s="14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9"/>
      <c r="CF174" s="9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/>
      <c r="CQ174" s="11"/>
      <c r="CR174" s="11"/>
      <c r="CS174" s="11"/>
      <c r="CT174" s="11"/>
      <c r="CU174" s="11"/>
      <c r="CV174" s="11"/>
      <c r="CW174" s="11"/>
      <c r="CX174" s="11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  <c r="DJ174" s="16"/>
      <c r="DK174" s="16"/>
      <c r="DL174" s="16"/>
    </row>
    <row r="175" ht="15.75" customHeight="1"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9"/>
      <c r="AK175" s="12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9"/>
      <c r="BH175" s="14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9"/>
      <c r="CF175" s="9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  <c r="CU175" s="11"/>
      <c r="CV175" s="11"/>
      <c r="CW175" s="11"/>
      <c r="CX175" s="11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/>
      <c r="DI175" s="16"/>
      <c r="DJ175" s="16"/>
      <c r="DK175" s="16"/>
      <c r="DL175" s="16"/>
    </row>
    <row r="176" ht="15.75" customHeight="1"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9"/>
      <c r="AK176" s="12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9"/>
      <c r="BH176" s="14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9"/>
      <c r="CF176" s="9"/>
      <c r="CG176" s="11"/>
      <c r="CH176" s="11"/>
      <c r="CI176" s="11"/>
      <c r="CJ176" s="11"/>
      <c r="CK176" s="11"/>
      <c r="CL176" s="11"/>
      <c r="CM176" s="11"/>
      <c r="CN176" s="11"/>
      <c r="CO176" s="11"/>
      <c r="CP176" s="11"/>
      <c r="CQ176" s="11"/>
      <c r="CR176" s="11"/>
      <c r="CS176" s="11"/>
      <c r="CT176" s="11"/>
      <c r="CU176" s="11"/>
      <c r="CV176" s="11"/>
      <c r="CW176" s="11"/>
      <c r="CX176" s="11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/>
      <c r="DI176" s="16"/>
      <c r="DJ176" s="16"/>
      <c r="DK176" s="16"/>
      <c r="DL176" s="16"/>
    </row>
    <row r="177" ht="15.75" customHeight="1">
      <c r="A177" s="9"/>
      <c r="B177" s="11"/>
      <c r="C177" s="11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9"/>
      <c r="AK177" s="12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9"/>
      <c r="BH177" s="14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9"/>
      <c r="CF177" s="9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6"/>
      <c r="CZ177" s="16"/>
      <c r="DA177" s="16"/>
      <c r="DB177" s="16"/>
      <c r="DC177" s="16"/>
      <c r="DD177" s="16"/>
      <c r="DE177" s="16"/>
      <c r="DF177" s="16"/>
      <c r="DG177" s="16"/>
      <c r="DH177" s="16"/>
      <c r="DI177" s="16"/>
      <c r="DJ177" s="16"/>
      <c r="DK177" s="16"/>
      <c r="DL177" s="16"/>
    </row>
    <row r="178" ht="15.75" customHeight="1">
      <c r="A178" s="9"/>
      <c r="B178" s="11"/>
      <c r="C178" s="11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9"/>
      <c r="AK178" s="12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9"/>
      <c r="BH178" s="14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9"/>
      <c r="CF178" s="9"/>
      <c r="CG178" s="11"/>
      <c r="CH178" s="11"/>
      <c r="CI178" s="11"/>
      <c r="CJ178" s="11"/>
      <c r="CK178" s="11"/>
      <c r="CL178" s="11"/>
      <c r="CM178" s="11"/>
      <c r="CN178" s="11"/>
      <c r="CO178" s="11"/>
      <c r="CP178" s="11"/>
      <c r="CQ178" s="11"/>
      <c r="CR178" s="11"/>
      <c r="CS178" s="11"/>
      <c r="CT178" s="11"/>
      <c r="CU178" s="11"/>
      <c r="CV178" s="11"/>
      <c r="CW178" s="11"/>
      <c r="CX178" s="11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  <c r="DJ178" s="16"/>
      <c r="DK178" s="16"/>
      <c r="DL178" s="16"/>
    </row>
    <row r="179" ht="15.75" customHeight="1">
      <c r="A179" s="9"/>
      <c r="B179" s="11"/>
      <c r="C179" s="11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9"/>
      <c r="AK179" s="12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9"/>
      <c r="BH179" s="14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9"/>
      <c r="CF179" s="9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  <c r="CU179" s="11"/>
      <c r="CV179" s="11"/>
      <c r="CW179" s="11"/>
      <c r="CX179" s="11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  <c r="DJ179" s="16"/>
      <c r="DK179" s="16"/>
      <c r="DL179" s="16"/>
    </row>
    <row r="180" ht="15.75" customHeight="1">
      <c r="A180" s="9"/>
      <c r="B180" s="11"/>
      <c r="C180" s="11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9"/>
      <c r="AK180" s="12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9"/>
      <c r="BH180" s="14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9"/>
      <c r="CF180" s="9"/>
      <c r="CG180" s="11"/>
      <c r="CH180" s="11"/>
      <c r="CI180" s="11"/>
      <c r="CJ180" s="11"/>
      <c r="CK180" s="11"/>
      <c r="CL180" s="11"/>
      <c r="CM180" s="11"/>
      <c r="CN180" s="11"/>
      <c r="CO180" s="11"/>
      <c r="CP180" s="11"/>
      <c r="CQ180" s="11"/>
      <c r="CR180" s="11"/>
      <c r="CS180" s="11"/>
      <c r="CT180" s="11"/>
      <c r="CU180" s="11"/>
      <c r="CV180" s="11"/>
      <c r="CW180" s="11"/>
      <c r="CX180" s="11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  <c r="DJ180" s="16"/>
      <c r="DK180" s="16"/>
      <c r="DL180" s="16"/>
    </row>
    <row r="181" ht="15.75" customHeight="1">
      <c r="A181" s="9"/>
      <c r="B181" s="11"/>
      <c r="C181" s="11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9"/>
      <c r="AK181" s="12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9"/>
      <c r="BH181" s="14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9"/>
      <c r="CF181" s="9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/>
      <c r="DI181" s="16"/>
      <c r="DJ181" s="16"/>
      <c r="DK181" s="16"/>
      <c r="DL181" s="16"/>
    </row>
    <row r="182" ht="15.75" customHeight="1">
      <c r="A182" s="9"/>
      <c r="B182" s="11"/>
      <c r="C182" s="11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9"/>
      <c r="AK182" s="12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9"/>
      <c r="BH182" s="14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9"/>
      <c r="CF182" s="9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  <c r="CU182" s="11"/>
      <c r="CV182" s="11"/>
      <c r="CW182" s="11"/>
      <c r="CX182" s="11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6"/>
      <c r="DJ182" s="16"/>
      <c r="DK182" s="16"/>
      <c r="DL182" s="16"/>
    </row>
    <row r="183" ht="15.75" customHeight="1">
      <c r="A183" s="9"/>
      <c r="B183" s="11"/>
      <c r="C183" s="11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9"/>
      <c r="AK183" s="12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9"/>
      <c r="BH183" s="14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9"/>
      <c r="CF183" s="9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/>
      <c r="DI183" s="16"/>
      <c r="DJ183" s="16"/>
      <c r="DK183" s="16"/>
      <c r="DL183" s="16"/>
    </row>
    <row r="184" ht="15.75" customHeight="1">
      <c r="A184" s="9"/>
      <c r="B184" s="11"/>
      <c r="C184" s="11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9"/>
      <c r="AK184" s="12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9"/>
      <c r="BH184" s="14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9"/>
      <c r="CF184" s="9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6"/>
      <c r="DJ184" s="16"/>
      <c r="DK184" s="16"/>
      <c r="DL184" s="16"/>
    </row>
    <row r="185" ht="15.75" customHeight="1">
      <c r="A185" s="9"/>
      <c r="B185" s="11"/>
      <c r="C185" s="11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9"/>
      <c r="AK185" s="12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9"/>
      <c r="BH185" s="14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9"/>
      <c r="CF185" s="9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/>
      <c r="DI185" s="16"/>
      <c r="DJ185" s="16"/>
      <c r="DK185" s="16"/>
      <c r="DL185" s="16"/>
    </row>
    <row r="186" ht="15.75" customHeight="1">
      <c r="A186" s="9"/>
      <c r="B186" s="11"/>
      <c r="C186" s="11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9"/>
      <c r="AK186" s="12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9"/>
      <c r="BH186" s="14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9"/>
      <c r="CF186" s="9"/>
      <c r="CG186" s="11"/>
      <c r="CH186" s="11"/>
      <c r="CI186" s="11"/>
      <c r="CJ186" s="11"/>
      <c r="CK186" s="11"/>
      <c r="CL186" s="11"/>
      <c r="CM186" s="11"/>
      <c r="CN186" s="11"/>
      <c r="CO186" s="11"/>
      <c r="CP186" s="11"/>
      <c r="CQ186" s="11"/>
      <c r="CR186" s="11"/>
      <c r="CS186" s="11"/>
      <c r="CT186" s="11"/>
      <c r="CU186" s="11"/>
      <c r="CV186" s="11"/>
      <c r="CW186" s="11"/>
      <c r="CX186" s="11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/>
      <c r="DI186" s="16"/>
      <c r="DJ186" s="16"/>
      <c r="DK186" s="16"/>
      <c r="DL186" s="16"/>
    </row>
    <row r="187" ht="15.75" customHeight="1">
      <c r="A187" s="9"/>
      <c r="B187" s="11"/>
      <c r="C187" s="11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9"/>
      <c r="AK187" s="12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9"/>
      <c r="BH187" s="14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9"/>
      <c r="CF187" s="9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  <c r="CU187" s="11"/>
      <c r="CV187" s="11"/>
      <c r="CW187" s="11"/>
      <c r="CX187" s="11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/>
      <c r="DI187" s="16"/>
      <c r="DJ187" s="16"/>
      <c r="DK187" s="16"/>
      <c r="DL187" s="16"/>
    </row>
    <row r="188" ht="15.75" customHeight="1">
      <c r="A188" s="9"/>
      <c r="B188" s="11"/>
      <c r="C188" s="11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9"/>
      <c r="AK188" s="12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9"/>
      <c r="BH188" s="14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9"/>
      <c r="CF188" s="9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  <c r="CT188" s="11"/>
      <c r="CU188" s="11"/>
      <c r="CV188" s="11"/>
      <c r="CW188" s="11"/>
      <c r="CX188" s="11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/>
      <c r="DI188" s="16"/>
      <c r="DJ188" s="16"/>
      <c r="DK188" s="16"/>
      <c r="DL188" s="16"/>
    </row>
    <row r="189" ht="15.75" customHeight="1">
      <c r="A189" s="9"/>
      <c r="B189" s="11"/>
      <c r="C189" s="11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9"/>
      <c r="AK189" s="12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9"/>
      <c r="BH189" s="14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9"/>
      <c r="CF189" s="9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  <c r="CV189" s="11"/>
      <c r="CW189" s="11"/>
      <c r="CX189" s="11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/>
      <c r="DI189" s="16"/>
      <c r="DJ189" s="16"/>
      <c r="DK189" s="16"/>
      <c r="DL189" s="16"/>
    </row>
    <row r="190" ht="15.75" customHeight="1">
      <c r="A190" s="9"/>
      <c r="B190" s="11"/>
      <c r="C190" s="11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9"/>
      <c r="AK190" s="12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9"/>
      <c r="BH190" s="14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9"/>
      <c r="CF190" s="9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/>
      <c r="DI190" s="16"/>
      <c r="DJ190" s="16"/>
      <c r="DK190" s="16"/>
      <c r="DL190" s="16"/>
    </row>
    <row r="191" ht="15.75" customHeight="1">
      <c r="A191" s="9"/>
      <c r="B191" s="11"/>
      <c r="C191" s="11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9"/>
      <c r="AK191" s="12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9"/>
      <c r="BH191" s="14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9"/>
      <c r="CF191" s="9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  <c r="CV191" s="11"/>
      <c r="CW191" s="11"/>
      <c r="CX191" s="11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/>
      <c r="DI191" s="16"/>
      <c r="DJ191" s="16"/>
      <c r="DK191" s="16"/>
      <c r="DL191" s="16"/>
    </row>
    <row r="192" ht="15.75" customHeight="1">
      <c r="A192" s="9"/>
      <c r="B192" s="11"/>
      <c r="C192" s="11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9"/>
      <c r="AK192" s="12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9"/>
      <c r="BH192" s="14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9"/>
      <c r="CF192" s="9"/>
      <c r="CG192" s="11"/>
      <c r="CH192" s="11"/>
      <c r="CI192" s="11"/>
      <c r="CJ192" s="11"/>
      <c r="CK192" s="11"/>
      <c r="CL192" s="11"/>
      <c r="CM192" s="11"/>
      <c r="CN192" s="11"/>
      <c r="CO192" s="11"/>
      <c r="CP192" s="11"/>
      <c r="CQ192" s="11"/>
      <c r="CR192" s="11"/>
      <c r="CS192" s="11"/>
      <c r="CT192" s="11"/>
      <c r="CU192" s="11"/>
      <c r="CV192" s="11"/>
      <c r="CW192" s="11"/>
      <c r="CX192" s="11"/>
      <c r="CY192" s="16"/>
      <c r="CZ192" s="16"/>
      <c r="DA192" s="16"/>
      <c r="DB192" s="16"/>
      <c r="DC192" s="16"/>
      <c r="DD192" s="16"/>
      <c r="DE192" s="16"/>
      <c r="DF192" s="16"/>
      <c r="DG192" s="16"/>
      <c r="DH192" s="16"/>
      <c r="DI192" s="16"/>
      <c r="DJ192" s="16"/>
      <c r="DK192" s="16"/>
      <c r="DL192" s="16"/>
    </row>
    <row r="193" ht="15.75" customHeight="1">
      <c r="A193" s="9"/>
      <c r="B193" s="11"/>
      <c r="C193" s="11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9"/>
      <c r="AK193" s="12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9"/>
      <c r="BH193" s="14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9"/>
      <c r="CF193" s="9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  <c r="CV193" s="11"/>
      <c r="CW193" s="11"/>
      <c r="CX193" s="11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/>
      <c r="DI193" s="16"/>
      <c r="DJ193" s="16"/>
      <c r="DK193" s="16"/>
      <c r="DL193" s="16"/>
    </row>
    <row r="194" ht="15.75" customHeight="1">
      <c r="A194" s="9"/>
      <c r="B194" s="11"/>
      <c r="C194" s="11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9"/>
      <c r="AK194" s="12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9"/>
      <c r="BH194" s="14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9"/>
      <c r="CF194" s="9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  <c r="CU194" s="11"/>
      <c r="CV194" s="11"/>
      <c r="CW194" s="11"/>
      <c r="CX194" s="11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  <c r="DJ194" s="16"/>
      <c r="DK194" s="16"/>
      <c r="DL194" s="16"/>
    </row>
    <row r="195" ht="15.75" customHeight="1">
      <c r="A195" s="9"/>
      <c r="B195" s="11"/>
      <c r="C195" s="11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9"/>
      <c r="AK195" s="12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9"/>
      <c r="BH195" s="14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9"/>
      <c r="CF195" s="9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/>
      <c r="DI195" s="16"/>
      <c r="DJ195" s="16"/>
      <c r="DK195" s="16"/>
      <c r="DL195" s="16"/>
    </row>
    <row r="196" ht="15.75" customHeight="1">
      <c r="A196" s="9"/>
      <c r="B196" s="11"/>
      <c r="C196" s="11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9"/>
      <c r="AK196" s="12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9"/>
      <c r="BH196" s="14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9"/>
      <c r="CF196" s="9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  <c r="CU196" s="11"/>
      <c r="CV196" s="11"/>
      <c r="CW196" s="11"/>
      <c r="CX196" s="11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/>
      <c r="DI196" s="16"/>
      <c r="DJ196" s="16"/>
      <c r="DK196" s="16"/>
      <c r="DL196" s="16"/>
    </row>
    <row r="197" ht="15.75" customHeight="1">
      <c r="A197" s="9"/>
      <c r="B197" s="11"/>
      <c r="C197" s="11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9"/>
      <c r="AK197" s="12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9"/>
      <c r="BH197" s="14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9"/>
      <c r="CF197" s="9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6"/>
      <c r="CZ197" s="16"/>
      <c r="DA197" s="16"/>
      <c r="DB197" s="16"/>
      <c r="DC197" s="16"/>
      <c r="DD197" s="16"/>
      <c r="DE197" s="16"/>
      <c r="DF197" s="16"/>
      <c r="DG197" s="16"/>
      <c r="DH197" s="16"/>
      <c r="DI197" s="16"/>
      <c r="DJ197" s="16"/>
      <c r="DK197" s="16"/>
      <c r="DL197" s="16"/>
    </row>
    <row r="198" ht="15.75" customHeight="1">
      <c r="A198" s="9"/>
      <c r="B198" s="11"/>
      <c r="C198" s="11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9"/>
      <c r="AK198" s="12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9"/>
      <c r="BH198" s="14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9"/>
      <c r="CF198" s="9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6"/>
      <c r="CZ198" s="16"/>
      <c r="DA198" s="16"/>
      <c r="DB198" s="16"/>
      <c r="DC198" s="16"/>
      <c r="DD198" s="16"/>
      <c r="DE198" s="16"/>
      <c r="DF198" s="16"/>
      <c r="DG198" s="16"/>
      <c r="DH198" s="16"/>
      <c r="DI198" s="16"/>
      <c r="DJ198" s="16"/>
      <c r="DK198" s="16"/>
      <c r="DL198" s="16"/>
    </row>
    <row r="199" ht="15.75" customHeight="1">
      <c r="A199" s="9"/>
      <c r="B199" s="11"/>
      <c r="C199" s="11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9"/>
      <c r="AK199" s="12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9"/>
      <c r="BH199" s="14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9"/>
      <c r="CF199" s="9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6"/>
      <c r="CZ199" s="16"/>
      <c r="DA199" s="16"/>
      <c r="DB199" s="16"/>
      <c r="DC199" s="16"/>
      <c r="DD199" s="16"/>
      <c r="DE199" s="16"/>
      <c r="DF199" s="16"/>
      <c r="DG199" s="16"/>
      <c r="DH199" s="16"/>
      <c r="DI199" s="16"/>
      <c r="DJ199" s="16"/>
      <c r="DK199" s="16"/>
      <c r="DL199" s="16"/>
    </row>
    <row r="200" ht="15.75" customHeight="1">
      <c r="A200" s="9"/>
      <c r="B200" s="11"/>
      <c r="C200" s="11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9"/>
      <c r="AK200" s="12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9"/>
      <c r="BH200" s="14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9"/>
      <c r="CF200" s="9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/>
      <c r="DI200" s="16"/>
      <c r="DJ200" s="16"/>
      <c r="DK200" s="16"/>
      <c r="DL200" s="16"/>
    </row>
    <row r="201" ht="15.75" customHeight="1">
      <c r="A201" s="9"/>
      <c r="B201" s="11"/>
      <c r="C201" s="11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9"/>
      <c r="AK201" s="12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9"/>
      <c r="BH201" s="14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9"/>
      <c r="CF201" s="9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/>
      <c r="DI201" s="16"/>
      <c r="DJ201" s="16"/>
      <c r="DK201" s="16"/>
      <c r="DL201" s="16"/>
    </row>
    <row r="202" ht="15.75" customHeight="1">
      <c r="A202" s="9"/>
      <c r="B202" s="11"/>
      <c r="C202" s="11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9"/>
      <c r="AK202" s="12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9"/>
      <c r="BH202" s="14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9"/>
      <c r="CF202" s="9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  <c r="CV202" s="11"/>
      <c r="CW202" s="11"/>
      <c r="CX202" s="11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/>
      <c r="DI202" s="16"/>
      <c r="DJ202" s="16"/>
      <c r="DK202" s="16"/>
      <c r="DL202" s="16"/>
    </row>
    <row r="203" ht="15.75" customHeight="1">
      <c r="A203" s="9"/>
      <c r="B203" s="11"/>
      <c r="C203" s="11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9"/>
      <c r="AK203" s="12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9"/>
      <c r="BH203" s="14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9"/>
      <c r="CF203" s="9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/>
      <c r="DI203" s="16"/>
      <c r="DJ203" s="16"/>
      <c r="DK203" s="16"/>
      <c r="DL203" s="16"/>
    </row>
    <row r="204" ht="15.75" customHeight="1">
      <c r="A204" s="9"/>
      <c r="B204" s="11"/>
      <c r="C204" s="11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9"/>
      <c r="AK204" s="12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9"/>
      <c r="BH204" s="14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9"/>
      <c r="CF204" s="9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  <c r="CV204" s="11"/>
      <c r="CW204" s="11"/>
      <c r="CX204" s="11"/>
      <c r="CY204" s="16"/>
      <c r="CZ204" s="16"/>
      <c r="DA204" s="16"/>
      <c r="DB204" s="16"/>
      <c r="DC204" s="16"/>
      <c r="DD204" s="16"/>
      <c r="DE204" s="16"/>
      <c r="DF204" s="16"/>
      <c r="DG204" s="16"/>
      <c r="DH204" s="16"/>
      <c r="DI204" s="16"/>
      <c r="DJ204" s="16"/>
      <c r="DK204" s="16"/>
      <c r="DL204" s="16"/>
    </row>
    <row r="205" ht="15.75" customHeight="1">
      <c r="A205" s="9"/>
      <c r="B205" s="11"/>
      <c r="C205" s="11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9"/>
      <c r="AK205" s="12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9"/>
      <c r="BH205" s="14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9"/>
      <c r="CF205" s="9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/>
      <c r="DI205" s="16"/>
      <c r="DJ205" s="16"/>
      <c r="DK205" s="16"/>
      <c r="DL205" s="16"/>
    </row>
    <row r="206" ht="15.75" customHeight="1">
      <c r="A206" s="9"/>
      <c r="B206" s="11"/>
      <c r="C206" s="11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9"/>
      <c r="AK206" s="12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9"/>
      <c r="BH206" s="14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9"/>
      <c r="CF206" s="9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/>
      <c r="DI206" s="16"/>
      <c r="DJ206" s="16"/>
      <c r="DK206" s="16"/>
      <c r="DL206" s="16"/>
    </row>
    <row r="207" ht="15.75" customHeight="1">
      <c r="A207" s="9"/>
      <c r="B207" s="11"/>
      <c r="C207" s="11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9"/>
      <c r="AK207" s="12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9"/>
      <c r="BH207" s="14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9"/>
      <c r="CF207" s="9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/>
      <c r="DI207" s="16"/>
      <c r="DJ207" s="16"/>
      <c r="DK207" s="16"/>
      <c r="DL207" s="16"/>
    </row>
    <row r="208" ht="15.75" customHeight="1">
      <c r="A208" s="9"/>
      <c r="B208" s="11"/>
      <c r="C208" s="11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9"/>
      <c r="AK208" s="12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9"/>
      <c r="BH208" s="14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9"/>
      <c r="CF208" s="9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  <c r="CU208" s="11"/>
      <c r="CV208" s="11"/>
      <c r="CW208" s="11"/>
      <c r="CX208" s="11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/>
      <c r="DI208" s="16"/>
      <c r="DJ208" s="16"/>
      <c r="DK208" s="16"/>
      <c r="DL208" s="16"/>
    </row>
    <row r="209" ht="15.75" customHeight="1">
      <c r="A209" s="9"/>
      <c r="B209" s="11"/>
      <c r="C209" s="11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9"/>
      <c r="AK209" s="12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9"/>
      <c r="BH209" s="14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9"/>
      <c r="CF209" s="9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/>
      <c r="DI209" s="16"/>
      <c r="DJ209" s="16"/>
      <c r="DK209" s="16"/>
      <c r="DL209" s="16"/>
    </row>
    <row r="210" ht="15.75" customHeight="1">
      <c r="A210" s="9"/>
      <c r="B210" s="11"/>
      <c r="C210" s="11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9"/>
      <c r="AK210" s="12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9"/>
      <c r="BH210" s="14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9"/>
      <c r="CF210" s="9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  <c r="CU210" s="11"/>
      <c r="CV210" s="11"/>
      <c r="CW210" s="11"/>
      <c r="CX210" s="11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/>
      <c r="DI210" s="16"/>
      <c r="DJ210" s="16"/>
      <c r="DK210" s="16"/>
      <c r="DL210" s="16"/>
    </row>
    <row r="211" ht="15.75" customHeight="1">
      <c r="A211" s="9"/>
      <c r="B211" s="11"/>
      <c r="C211" s="11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9"/>
      <c r="AK211" s="12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9"/>
      <c r="BH211" s="14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9"/>
      <c r="CF211" s="9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/>
      <c r="CY211" s="16"/>
      <c r="CZ211" s="16"/>
      <c r="DA211" s="16"/>
      <c r="DB211" s="16"/>
      <c r="DC211" s="16"/>
      <c r="DD211" s="16"/>
      <c r="DE211" s="16"/>
      <c r="DF211" s="16"/>
      <c r="DG211" s="16"/>
      <c r="DH211" s="16"/>
      <c r="DI211" s="16"/>
      <c r="DJ211" s="16"/>
      <c r="DK211" s="16"/>
      <c r="DL211" s="16"/>
    </row>
    <row r="212" ht="15.75" customHeight="1">
      <c r="A212" s="9"/>
      <c r="B212" s="11"/>
      <c r="C212" s="11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9"/>
      <c r="AK212" s="12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9"/>
      <c r="BH212" s="14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9"/>
      <c r="CF212" s="9"/>
      <c r="CG212" s="11"/>
      <c r="CH212" s="11"/>
      <c r="CI212" s="11"/>
      <c r="CJ212" s="11"/>
      <c r="CK212" s="11"/>
      <c r="CL212" s="11"/>
      <c r="CM212" s="11"/>
      <c r="CN212" s="11"/>
      <c r="CO212" s="11"/>
      <c r="CP212" s="11"/>
      <c r="CQ212" s="11"/>
      <c r="CR212" s="11"/>
      <c r="CS212" s="11"/>
      <c r="CT212" s="11"/>
      <c r="CU212" s="11"/>
      <c r="CV212" s="11"/>
      <c r="CW212" s="11"/>
      <c r="CX212" s="11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/>
      <c r="DI212" s="16"/>
      <c r="DJ212" s="16"/>
      <c r="DK212" s="16"/>
      <c r="DL212" s="16"/>
    </row>
    <row r="213" ht="15.75" customHeight="1">
      <c r="A213" s="9"/>
      <c r="B213" s="11"/>
      <c r="C213" s="11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9"/>
      <c r="AK213" s="12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9"/>
      <c r="BH213" s="14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9"/>
      <c r="CF213" s="9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/>
      <c r="DI213" s="16"/>
      <c r="DJ213" s="16"/>
      <c r="DK213" s="16"/>
      <c r="DL213" s="16"/>
    </row>
    <row r="214" ht="15.75" customHeight="1">
      <c r="A214" s="9"/>
      <c r="B214" s="11"/>
      <c r="C214" s="11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9"/>
      <c r="AK214" s="12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9"/>
      <c r="BH214" s="14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9"/>
      <c r="CF214" s="9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  <c r="CT214" s="11"/>
      <c r="CU214" s="11"/>
      <c r="CV214" s="11"/>
      <c r="CW214" s="11"/>
      <c r="CX214" s="11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/>
      <c r="DI214" s="16"/>
      <c r="DJ214" s="16"/>
      <c r="DK214" s="16"/>
      <c r="DL214" s="16"/>
    </row>
    <row r="215" ht="15.75" customHeight="1">
      <c r="A215" s="9"/>
      <c r="B215" s="11"/>
      <c r="C215" s="11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9"/>
      <c r="AK215" s="12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9"/>
      <c r="BH215" s="14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9"/>
      <c r="CF215" s="9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6"/>
      <c r="CZ215" s="16"/>
      <c r="DA215" s="16"/>
      <c r="DB215" s="16"/>
      <c r="DC215" s="16"/>
      <c r="DD215" s="16"/>
      <c r="DE215" s="16"/>
      <c r="DF215" s="16"/>
      <c r="DG215" s="16"/>
      <c r="DH215" s="16"/>
      <c r="DI215" s="16"/>
      <c r="DJ215" s="16"/>
      <c r="DK215" s="16"/>
      <c r="DL215" s="16"/>
    </row>
    <row r="216" ht="15.75" customHeight="1">
      <c r="A216" s="9"/>
      <c r="B216" s="11"/>
      <c r="C216" s="11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9"/>
      <c r="AK216" s="12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9"/>
      <c r="BH216" s="14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9"/>
      <c r="CF216" s="9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  <c r="CU216" s="11"/>
      <c r="CV216" s="11"/>
      <c r="CW216" s="11"/>
      <c r="CX216" s="11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/>
      <c r="DI216" s="16"/>
      <c r="DJ216" s="16"/>
      <c r="DK216" s="16"/>
      <c r="DL216" s="16"/>
    </row>
    <row r="217" ht="15.75" customHeight="1">
      <c r="A217" s="9"/>
      <c r="B217" s="11"/>
      <c r="C217" s="11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9"/>
      <c r="AK217" s="12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9"/>
      <c r="BH217" s="14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9"/>
      <c r="CF217" s="9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6"/>
      <c r="DJ217" s="16"/>
      <c r="DK217" s="16"/>
      <c r="DL217" s="16"/>
    </row>
    <row r="218" ht="15.75" customHeight="1">
      <c r="A218" s="9"/>
      <c r="B218" s="11"/>
      <c r="C218" s="11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9"/>
      <c r="AK218" s="12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9"/>
      <c r="BH218" s="14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9"/>
      <c r="CF218" s="9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/>
      <c r="DI218" s="16"/>
      <c r="DJ218" s="16"/>
      <c r="DK218" s="16"/>
      <c r="DL218" s="16"/>
    </row>
    <row r="219" ht="15.75" customHeight="1">
      <c r="A219" s="9"/>
      <c r="B219" s="11"/>
      <c r="C219" s="11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9"/>
      <c r="AK219" s="12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9"/>
      <c r="BH219" s="14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9"/>
      <c r="CF219" s="9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  <c r="DJ219" s="16"/>
      <c r="DK219" s="16"/>
      <c r="DL219" s="16"/>
    </row>
    <row r="220" ht="15.75" customHeight="1">
      <c r="A220" s="9"/>
      <c r="B220" s="11"/>
      <c r="C220" s="11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9"/>
      <c r="AK220" s="12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9"/>
      <c r="BH220" s="14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9"/>
      <c r="CF220" s="9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  <c r="CU220" s="11"/>
      <c r="CV220" s="11"/>
      <c r="CW220" s="11"/>
      <c r="CX220" s="11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/>
      <c r="DI220" s="16"/>
      <c r="DJ220" s="16"/>
      <c r="DK220" s="16"/>
      <c r="DL220" s="16"/>
    </row>
    <row r="221" ht="15.75" customHeight="1">
      <c r="A221" s="9"/>
      <c r="B221" s="11"/>
      <c r="C221" s="11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9"/>
      <c r="AK221" s="12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9"/>
      <c r="BH221" s="14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9"/>
      <c r="CF221" s="9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  <c r="CV221" s="11"/>
      <c r="CW221" s="11"/>
      <c r="CX221" s="11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/>
      <c r="DI221" s="16"/>
      <c r="DJ221" s="16"/>
      <c r="DK221" s="16"/>
      <c r="DL221" s="16"/>
    </row>
    <row r="222" ht="15.75" customHeight="1">
      <c r="A222" s="9"/>
      <c r="B222" s="11"/>
      <c r="C222" s="11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9"/>
      <c r="AK222" s="12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9"/>
      <c r="BH222" s="14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9"/>
      <c r="CF222" s="9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  <c r="CU222" s="11"/>
      <c r="CV222" s="11"/>
      <c r="CW222" s="11"/>
      <c r="CX222" s="11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/>
      <c r="DI222" s="16"/>
      <c r="DJ222" s="16"/>
      <c r="DK222" s="16"/>
      <c r="DL222" s="16"/>
    </row>
    <row r="223" ht="15.75" customHeight="1">
      <c r="A223" s="9"/>
      <c r="B223" s="11"/>
      <c r="C223" s="11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9"/>
      <c r="AK223" s="12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9"/>
      <c r="BH223" s="14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9"/>
      <c r="CF223" s="9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  <c r="CV223" s="11"/>
      <c r="CW223" s="11"/>
      <c r="CX223" s="11"/>
      <c r="CY223" s="16"/>
      <c r="CZ223" s="16"/>
      <c r="DA223" s="16"/>
      <c r="DB223" s="16"/>
      <c r="DC223" s="16"/>
      <c r="DD223" s="16"/>
      <c r="DE223" s="16"/>
      <c r="DF223" s="16"/>
      <c r="DG223" s="16"/>
      <c r="DH223" s="16"/>
      <c r="DI223" s="16"/>
      <c r="DJ223" s="16"/>
      <c r="DK223" s="16"/>
      <c r="DL223" s="16"/>
    </row>
    <row r="224" ht="15.75" customHeight="1">
      <c r="A224" s="9"/>
      <c r="B224" s="11"/>
      <c r="C224" s="11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9"/>
      <c r="AK224" s="12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9"/>
      <c r="BH224" s="14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9"/>
      <c r="CF224" s="9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/>
      <c r="DI224" s="16"/>
      <c r="DJ224" s="16"/>
      <c r="DK224" s="16"/>
      <c r="DL224" s="16"/>
    </row>
    <row r="225" ht="15.75" customHeight="1">
      <c r="A225" s="9"/>
      <c r="B225" s="11"/>
      <c r="C225" s="11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9"/>
      <c r="AK225" s="12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9"/>
      <c r="BH225" s="14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9"/>
      <c r="CF225" s="9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6"/>
      <c r="CZ225" s="16"/>
      <c r="DA225" s="16"/>
      <c r="DB225" s="16"/>
      <c r="DC225" s="16"/>
      <c r="DD225" s="16"/>
      <c r="DE225" s="16"/>
      <c r="DF225" s="16"/>
      <c r="DG225" s="16"/>
      <c r="DH225" s="16"/>
      <c r="DI225" s="16"/>
      <c r="DJ225" s="16"/>
      <c r="DK225" s="16"/>
      <c r="DL225" s="16"/>
    </row>
    <row r="226" ht="15.75" customHeight="1">
      <c r="A226" s="9"/>
      <c r="B226" s="11"/>
      <c r="C226" s="11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9"/>
      <c r="AK226" s="12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9"/>
      <c r="BH226" s="14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9"/>
      <c r="CF226" s="9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  <c r="CU226" s="11"/>
      <c r="CV226" s="11"/>
      <c r="CW226" s="11"/>
      <c r="CX226" s="11"/>
      <c r="CY226" s="16"/>
      <c r="CZ226" s="16"/>
      <c r="DA226" s="16"/>
      <c r="DB226" s="16"/>
      <c r="DC226" s="16"/>
      <c r="DD226" s="16"/>
      <c r="DE226" s="16"/>
      <c r="DF226" s="16"/>
      <c r="DG226" s="16"/>
      <c r="DH226" s="16"/>
      <c r="DI226" s="16"/>
      <c r="DJ226" s="16"/>
      <c r="DK226" s="16"/>
      <c r="DL226" s="16"/>
    </row>
    <row r="227" ht="15.75" customHeight="1">
      <c r="A227" s="9"/>
      <c r="B227" s="11"/>
      <c r="C227" s="11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9"/>
      <c r="AK227" s="12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9"/>
      <c r="BH227" s="14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9"/>
      <c r="CF227" s="9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6"/>
      <c r="CZ227" s="16"/>
      <c r="DA227" s="16"/>
      <c r="DB227" s="16"/>
      <c r="DC227" s="16"/>
      <c r="DD227" s="16"/>
      <c r="DE227" s="16"/>
      <c r="DF227" s="16"/>
      <c r="DG227" s="16"/>
      <c r="DH227" s="16"/>
      <c r="DI227" s="16"/>
      <c r="DJ227" s="16"/>
      <c r="DK227" s="16"/>
      <c r="DL227" s="16"/>
    </row>
    <row r="228" ht="15.75" customHeight="1">
      <c r="A228" s="9"/>
      <c r="B228" s="11"/>
      <c r="C228" s="11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9"/>
      <c r="AK228" s="12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9"/>
      <c r="BH228" s="14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9"/>
      <c r="CF228" s="9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  <c r="CU228" s="11"/>
      <c r="CV228" s="11"/>
      <c r="CW228" s="11"/>
      <c r="CX228" s="11"/>
      <c r="CY228" s="16"/>
      <c r="CZ228" s="16"/>
      <c r="DA228" s="16"/>
      <c r="DB228" s="16"/>
      <c r="DC228" s="16"/>
      <c r="DD228" s="16"/>
      <c r="DE228" s="16"/>
      <c r="DF228" s="16"/>
      <c r="DG228" s="16"/>
      <c r="DH228" s="16"/>
      <c r="DI228" s="16"/>
      <c r="DJ228" s="16"/>
      <c r="DK228" s="16"/>
      <c r="DL228" s="16"/>
    </row>
    <row r="229" ht="15.75" customHeight="1">
      <c r="A229" s="9"/>
      <c r="B229" s="11"/>
      <c r="C229" s="11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9"/>
      <c r="AK229" s="12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9"/>
      <c r="BH229" s="14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9"/>
      <c r="CF229" s="9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/>
      <c r="DI229" s="16"/>
      <c r="DJ229" s="16"/>
      <c r="DK229" s="16"/>
      <c r="DL229" s="16"/>
    </row>
    <row r="230" ht="15.75" customHeight="1">
      <c r="A230" s="9"/>
      <c r="B230" s="11"/>
      <c r="C230" s="11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9"/>
      <c r="AK230" s="12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9"/>
      <c r="BH230" s="14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9"/>
      <c r="CF230" s="9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6"/>
      <c r="CZ230" s="16"/>
      <c r="DA230" s="16"/>
      <c r="DB230" s="16"/>
      <c r="DC230" s="16"/>
      <c r="DD230" s="16"/>
      <c r="DE230" s="16"/>
      <c r="DF230" s="16"/>
      <c r="DG230" s="16"/>
      <c r="DH230" s="16"/>
      <c r="DI230" s="16"/>
      <c r="DJ230" s="16"/>
      <c r="DK230" s="16"/>
      <c r="DL230" s="16"/>
    </row>
    <row r="231" ht="15.75" customHeight="1">
      <c r="A231" s="9"/>
      <c r="B231" s="11"/>
      <c r="C231" s="11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9"/>
      <c r="AK231" s="12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9"/>
      <c r="BH231" s="14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9"/>
      <c r="CF231" s="9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6"/>
      <c r="CZ231" s="16"/>
      <c r="DA231" s="16"/>
      <c r="DB231" s="16"/>
      <c r="DC231" s="16"/>
      <c r="DD231" s="16"/>
      <c r="DE231" s="16"/>
      <c r="DF231" s="16"/>
      <c r="DG231" s="16"/>
      <c r="DH231" s="16"/>
      <c r="DI231" s="16"/>
      <c r="DJ231" s="16"/>
      <c r="DK231" s="16"/>
      <c r="DL231" s="16"/>
    </row>
    <row r="232" ht="15.75" customHeight="1">
      <c r="A232" s="9"/>
      <c r="B232" s="11"/>
      <c r="C232" s="11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9"/>
      <c r="AK232" s="12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9"/>
      <c r="BH232" s="14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9"/>
      <c r="CF232" s="9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  <c r="CV232" s="11"/>
      <c r="CW232" s="11"/>
      <c r="CX232" s="11"/>
      <c r="CY232" s="16"/>
      <c r="CZ232" s="16"/>
      <c r="DA232" s="16"/>
      <c r="DB232" s="16"/>
      <c r="DC232" s="16"/>
      <c r="DD232" s="16"/>
      <c r="DE232" s="16"/>
      <c r="DF232" s="16"/>
      <c r="DG232" s="16"/>
      <c r="DH232" s="16"/>
      <c r="DI232" s="16"/>
      <c r="DJ232" s="16"/>
      <c r="DK232" s="16"/>
      <c r="DL232" s="16"/>
    </row>
    <row r="233" ht="15.75" customHeight="1">
      <c r="A233" s="9"/>
      <c r="B233" s="11"/>
      <c r="C233" s="11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9"/>
      <c r="AK233" s="12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9"/>
      <c r="BH233" s="14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9"/>
      <c r="CF233" s="9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6"/>
      <c r="CZ233" s="16"/>
      <c r="DA233" s="16"/>
      <c r="DB233" s="16"/>
      <c r="DC233" s="16"/>
      <c r="DD233" s="16"/>
      <c r="DE233" s="16"/>
      <c r="DF233" s="16"/>
      <c r="DG233" s="16"/>
      <c r="DH233" s="16"/>
      <c r="DI233" s="16"/>
      <c r="DJ233" s="16"/>
      <c r="DK233" s="16"/>
      <c r="DL233" s="16"/>
    </row>
    <row r="234" ht="15.75" customHeight="1">
      <c r="A234" s="9"/>
      <c r="B234" s="11"/>
      <c r="C234" s="11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9"/>
      <c r="AK234" s="12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9"/>
      <c r="BH234" s="14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9"/>
      <c r="CF234" s="9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  <c r="CU234" s="11"/>
      <c r="CV234" s="11"/>
      <c r="CW234" s="11"/>
      <c r="CX234" s="11"/>
      <c r="CY234" s="16"/>
      <c r="CZ234" s="16"/>
      <c r="DA234" s="16"/>
      <c r="DB234" s="16"/>
      <c r="DC234" s="16"/>
      <c r="DD234" s="16"/>
      <c r="DE234" s="16"/>
      <c r="DF234" s="16"/>
      <c r="DG234" s="16"/>
      <c r="DH234" s="16"/>
      <c r="DI234" s="16"/>
      <c r="DJ234" s="16"/>
      <c r="DK234" s="16"/>
      <c r="DL234" s="16"/>
    </row>
    <row r="235" ht="15.75" customHeight="1">
      <c r="A235" s="9"/>
      <c r="B235" s="11"/>
      <c r="C235" s="11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9"/>
      <c r="AK235" s="12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9"/>
      <c r="BH235" s="14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9"/>
      <c r="CF235" s="9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6"/>
      <c r="CZ235" s="16"/>
      <c r="DA235" s="16"/>
      <c r="DB235" s="16"/>
      <c r="DC235" s="16"/>
      <c r="DD235" s="16"/>
      <c r="DE235" s="16"/>
      <c r="DF235" s="16"/>
      <c r="DG235" s="16"/>
      <c r="DH235" s="16"/>
      <c r="DI235" s="16"/>
      <c r="DJ235" s="16"/>
      <c r="DK235" s="16"/>
      <c r="DL235" s="16"/>
    </row>
    <row r="236" ht="15.75" customHeight="1">
      <c r="A236" s="9"/>
      <c r="B236" s="11"/>
      <c r="C236" s="11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9"/>
      <c r="AK236" s="12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9"/>
      <c r="BH236" s="14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9"/>
      <c r="CF236" s="9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  <c r="CU236" s="11"/>
      <c r="CV236" s="11"/>
      <c r="CW236" s="11"/>
      <c r="CX236" s="11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/>
      <c r="DI236" s="16"/>
      <c r="DJ236" s="16"/>
      <c r="DK236" s="16"/>
      <c r="DL236" s="16"/>
    </row>
    <row r="237" ht="15.75" customHeight="1">
      <c r="A237" s="9"/>
      <c r="B237" s="11"/>
      <c r="C237" s="11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9"/>
      <c r="AK237" s="12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9"/>
      <c r="BH237" s="14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9"/>
      <c r="CF237" s="9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  <c r="CV237" s="11"/>
      <c r="CW237" s="11"/>
      <c r="CX237" s="11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/>
      <c r="DI237" s="16"/>
      <c r="DJ237" s="16"/>
      <c r="DK237" s="16"/>
      <c r="DL237" s="16"/>
    </row>
    <row r="238" ht="15.75" customHeight="1">
      <c r="A238" s="9"/>
      <c r="B238" s="11"/>
      <c r="C238" s="11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9"/>
      <c r="AK238" s="12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9"/>
      <c r="BH238" s="14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9"/>
      <c r="CF238" s="9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  <c r="CU238" s="11"/>
      <c r="CV238" s="11"/>
      <c r="CW238" s="11"/>
      <c r="CX238" s="11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/>
      <c r="DI238" s="16"/>
      <c r="DJ238" s="16"/>
      <c r="DK238" s="16"/>
      <c r="DL238" s="16"/>
    </row>
    <row r="239" ht="15.75" customHeight="1">
      <c r="A239" s="9"/>
      <c r="B239" s="11"/>
      <c r="C239" s="11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9"/>
      <c r="AK239" s="12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9"/>
      <c r="BH239" s="14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9"/>
      <c r="CF239" s="9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6"/>
      <c r="CZ239" s="16"/>
      <c r="DA239" s="16"/>
      <c r="DB239" s="16"/>
      <c r="DC239" s="16"/>
      <c r="DD239" s="16"/>
      <c r="DE239" s="16"/>
      <c r="DF239" s="16"/>
      <c r="DG239" s="16"/>
      <c r="DH239" s="16"/>
      <c r="DI239" s="16"/>
      <c r="DJ239" s="16"/>
      <c r="DK239" s="16"/>
      <c r="DL239" s="16"/>
    </row>
    <row r="240" ht="15.75" customHeight="1">
      <c r="A240" s="9"/>
      <c r="B240" s="11"/>
      <c r="C240" s="11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9"/>
      <c r="AK240" s="12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9"/>
      <c r="BH240" s="14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9"/>
      <c r="CF240" s="9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  <c r="CV240" s="11"/>
      <c r="CW240" s="11"/>
      <c r="CX240" s="11"/>
      <c r="CY240" s="16"/>
      <c r="CZ240" s="16"/>
      <c r="DA240" s="16"/>
      <c r="DB240" s="16"/>
      <c r="DC240" s="16"/>
      <c r="DD240" s="16"/>
      <c r="DE240" s="16"/>
      <c r="DF240" s="16"/>
      <c r="DG240" s="16"/>
      <c r="DH240" s="16"/>
      <c r="DI240" s="16"/>
      <c r="DJ240" s="16"/>
      <c r="DK240" s="16"/>
      <c r="DL240" s="16"/>
    </row>
    <row r="241" ht="15.75" customHeight="1">
      <c r="A241" s="9"/>
      <c r="B241" s="11"/>
      <c r="C241" s="11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9"/>
      <c r="AK241" s="12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9"/>
      <c r="BH241" s="14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9"/>
      <c r="CF241" s="9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6"/>
      <c r="CZ241" s="16"/>
      <c r="DA241" s="16"/>
      <c r="DB241" s="16"/>
      <c r="DC241" s="16"/>
      <c r="DD241" s="16"/>
      <c r="DE241" s="16"/>
      <c r="DF241" s="16"/>
      <c r="DG241" s="16"/>
      <c r="DH241" s="16"/>
      <c r="DI241" s="16"/>
      <c r="DJ241" s="16"/>
      <c r="DK241" s="16"/>
      <c r="DL241" s="16"/>
    </row>
    <row r="242" ht="15.75" customHeight="1">
      <c r="A242" s="9"/>
      <c r="B242" s="11"/>
      <c r="C242" s="11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9"/>
      <c r="AK242" s="12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9"/>
      <c r="BH242" s="14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9"/>
      <c r="CF242" s="9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  <c r="CU242" s="11"/>
      <c r="CV242" s="11"/>
      <c r="CW242" s="11"/>
      <c r="CX242" s="11"/>
      <c r="CY242" s="16"/>
      <c r="CZ242" s="16"/>
      <c r="DA242" s="16"/>
      <c r="DB242" s="16"/>
      <c r="DC242" s="16"/>
      <c r="DD242" s="16"/>
      <c r="DE242" s="16"/>
      <c r="DF242" s="16"/>
      <c r="DG242" s="16"/>
      <c r="DH242" s="16"/>
      <c r="DI242" s="16"/>
      <c r="DJ242" s="16"/>
      <c r="DK242" s="16"/>
      <c r="DL242" s="16"/>
    </row>
    <row r="243" ht="15.75" customHeight="1">
      <c r="A243" s="9"/>
      <c r="B243" s="11"/>
      <c r="C243" s="11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9"/>
      <c r="AK243" s="12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9"/>
      <c r="BH243" s="14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9"/>
      <c r="CF243" s="9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6"/>
      <c r="CZ243" s="16"/>
      <c r="DA243" s="16"/>
      <c r="DB243" s="16"/>
      <c r="DC243" s="16"/>
      <c r="DD243" s="16"/>
      <c r="DE243" s="16"/>
      <c r="DF243" s="16"/>
      <c r="DG243" s="16"/>
      <c r="DH243" s="16"/>
      <c r="DI243" s="16"/>
      <c r="DJ243" s="16"/>
      <c r="DK243" s="16"/>
      <c r="DL243" s="16"/>
    </row>
    <row r="244" ht="15.75" customHeight="1">
      <c r="A244" s="9"/>
      <c r="B244" s="11"/>
      <c r="C244" s="11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9"/>
      <c r="AK244" s="12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9"/>
      <c r="BH244" s="14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9"/>
      <c r="CF244" s="9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1"/>
      <c r="CU244" s="11"/>
      <c r="CV244" s="11"/>
      <c r="CW244" s="11"/>
      <c r="CX244" s="11"/>
      <c r="CY244" s="16"/>
      <c r="CZ244" s="16"/>
      <c r="DA244" s="16"/>
      <c r="DB244" s="16"/>
      <c r="DC244" s="16"/>
      <c r="DD244" s="16"/>
      <c r="DE244" s="16"/>
      <c r="DF244" s="16"/>
      <c r="DG244" s="16"/>
      <c r="DH244" s="16"/>
      <c r="DI244" s="16"/>
      <c r="DJ244" s="16"/>
      <c r="DK244" s="16"/>
      <c r="DL244" s="16"/>
    </row>
    <row r="245" ht="15.75" customHeight="1">
      <c r="A245" s="9"/>
      <c r="B245" s="11"/>
      <c r="C245" s="11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9"/>
      <c r="AK245" s="12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9"/>
      <c r="BH245" s="14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9"/>
      <c r="CF245" s="9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  <c r="CV245" s="11"/>
      <c r="CW245" s="11"/>
      <c r="CX245" s="11"/>
      <c r="CY245" s="16"/>
      <c r="CZ245" s="16"/>
      <c r="DA245" s="16"/>
      <c r="DB245" s="16"/>
      <c r="DC245" s="16"/>
      <c r="DD245" s="16"/>
      <c r="DE245" s="16"/>
      <c r="DF245" s="16"/>
      <c r="DG245" s="16"/>
      <c r="DH245" s="16"/>
      <c r="DI245" s="16"/>
      <c r="DJ245" s="16"/>
      <c r="DK245" s="16"/>
      <c r="DL245" s="16"/>
    </row>
    <row r="246" ht="15.75" customHeight="1">
      <c r="A246" s="9"/>
      <c r="B246" s="11"/>
      <c r="C246" s="11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9"/>
      <c r="AK246" s="12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9"/>
      <c r="BH246" s="14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9"/>
      <c r="CF246" s="9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  <c r="CU246" s="11"/>
      <c r="CV246" s="11"/>
      <c r="CW246" s="11"/>
      <c r="CX246" s="11"/>
      <c r="CY246" s="16"/>
      <c r="CZ246" s="16"/>
      <c r="DA246" s="16"/>
      <c r="DB246" s="16"/>
      <c r="DC246" s="16"/>
      <c r="DD246" s="16"/>
      <c r="DE246" s="16"/>
      <c r="DF246" s="16"/>
      <c r="DG246" s="16"/>
      <c r="DH246" s="16"/>
      <c r="DI246" s="16"/>
      <c r="DJ246" s="16"/>
      <c r="DK246" s="16"/>
      <c r="DL246" s="16"/>
    </row>
    <row r="247" ht="15.75" customHeight="1">
      <c r="A247" s="9"/>
      <c r="B247" s="11"/>
      <c r="C247" s="11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9"/>
      <c r="AK247" s="12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9"/>
      <c r="BH247" s="14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9"/>
      <c r="CF247" s="9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  <c r="CV247" s="11"/>
      <c r="CW247" s="11"/>
      <c r="CX247" s="11"/>
      <c r="CY247" s="16"/>
      <c r="CZ247" s="16"/>
      <c r="DA247" s="16"/>
      <c r="DB247" s="16"/>
      <c r="DC247" s="16"/>
      <c r="DD247" s="16"/>
      <c r="DE247" s="16"/>
      <c r="DF247" s="16"/>
      <c r="DG247" s="16"/>
      <c r="DH247" s="16"/>
      <c r="DI247" s="16"/>
      <c r="DJ247" s="16"/>
      <c r="DK247" s="16"/>
      <c r="DL247" s="16"/>
    </row>
    <row r="248" ht="15.75" customHeight="1">
      <c r="A248" s="9"/>
      <c r="B248" s="11"/>
      <c r="C248" s="11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9"/>
      <c r="AK248" s="12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9"/>
      <c r="BH248" s="14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9"/>
      <c r="CF248" s="9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  <c r="CU248" s="11"/>
      <c r="CV248" s="11"/>
      <c r="CW248" s="11"/>
      <c r="CX248" s="11"/>
      <c r="CY248" s="16"/>
      <c r="CZ248" s="16"/>
      <c r="DA248" s="16"/>
      <c r="DB248" s="16"/>
      <c r="DC248" s="16"/>
      <c r="DD248" s="16"/>
      <c r="DE248" s="16"/>
      <c r="DF248" s="16"/>
      <c r="DG248" s="16"/>
      <c r="DH248" s="16"/>
      <c r="DI248" s="16"/>
      <c r="DJ248" s="16"/>
      <c r="DK248" s="16"/>
      <c r="DL248" s="16"/>
    </row>
    <row r="249" ht="15.75" customHeight="1">
      <c r="A249" s="9"/>
      <c r="B249" s="11"/>
      <c r="C249" s="11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9"/>
      <c r="AK249" s="12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9"/>
      <c r="BH249" s="14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9"/>
      <c r="CF249" s="9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6"/>
      <c r="CZ249" s="16"/>
      <c r="DA249" s="16"/>
      <c r="DB249" s="16"/>
      <c r="DC249" s="16"/>
      <c r="DD249" s="16"/>
      <c r="DE249" s="16"/>
      <c r="DF249" s="16"/>
      <c r="DG249" s="16"/>
      <c r="DH249" s="16"/>
      <c r="DI249" s="16"/>
      <c r="DJ249" s="16"/>
      <c r="DK249" s="16"/>
      <c r="DL249" s="16"/>
    </row>
    <row r="250" ht="15.75" customHeight="1">
      <c r="A250" s="9"/>
      <c r="B250" s="11"/>
      <c r="C250" s="11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9"/>
      <c r="AK250" s="12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9"/>
      <c r="BH250" s="14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9"/>
      <c r="CF250" s="9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  <c r="CU250" s="11"/>
      <c r="CV250" s="11"/>
      <c r="CW250" s="11"/>
      <c r="CX250" s="11"/>
      <c r="CY250" s="16"/>
      <c r="CZ250" s="16"/>
      <c r="DA250" s="16"/>
      <c r="DB250" s="16"/>
      <c r="DC250" s="16"/>
      <c r="DD250" s="16"/>
      <c r="DE250" s="16"/>
      <c r="DF250" s="16"/>
      <c r="DG250" s="16"/>
      <c r="DH250" s="16"/>
      <c r="DI250" s="16"/>
      <c r="DJ250" s="16"/>
      <c r="DK250" s="16"/>
      <c r="DL250" s="16"/>
    </row>
    <row r="251" ht="15.75" customHeight="1">
      <c r="A251" s="9"/>
      <c r="B251" s="11"/>
      <c r="C251" s="11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9"/>
      <c r="AK251" s="12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9"/>
      <c r="BH251" s="14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9"/>
      <c r="CF251" s="9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  <c r="CV251" s="11"/>
      <c r="CW251" s="11"/>
      <c r="CX251" s="11"/>
      <c r="CY251" s="16"/>
      <c r="CZ251" s="16"/>
      <c r="DA251" s="16"/>
      <c r="DB251" s="16"/>
      <c r="DC251" s="16"/>
      <c r="DD251" s="16"/>
      <c r="DE251" s="16"/>
      <c r="DF251" s="16"/>
      <c r="DG251" s="16"/>
      <c r="DH251" s="16"/>
      <c r="DI251" s="16"/>
      <c r="DJ251" s="16"/>
      <c r="DK251" s="16"/>
      <c r="DL251" s="16"/>
    </row>
    <row r="252" ht="15.75" customHeight="1">
      <c r="A252" s="9"/>
      <c r="B252" s="11"/>
      <c r="C252" s="11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9"/>
      <c r="AK252" s="12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9"/>
      <c r="BH252" s="14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9"/>
      <c r="CF252" s="9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  <c r="CU252" s="11"/>
      <c r="CV252" s="11"/>
      <c r="CW252" s="11"/>
      <c r="CX252" s="11"/>
      <c r="CY252" s="16"/>
      <c r="CZ252" s="16"/>
      <c r="DA252" s="16"/>
      <c r="DB252" s="16"/>
      <c r="DC252" s="16"/>
      <c r="DD252" s="16"/>
      <c r="DE252" s="16"/>
      <c r="DF252" s="16"/>
      <c r="DG252" s="16"/>
      <c r="DH252" s="16"/>
      <c r="DI252" s="16"/>
      <c r="DJ252" s="16"/>
      <c r="DK252" s="16"/>
      <c r="DL252" s="16"/>
    </row>
    <row r="253" ht="15.75" customHeight="1">
      <c r="A253" s="9"/>
      <c r="B253" s="11"/>
      <c r="C253" s="11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9"/>
      <c r="AK253" s="12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9"/>
      <c r="BH253" s="14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9"/>
      <c r="CF253" s="9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6"/>
      <c r="CZ253" s="16"/>
      <c r="DA253" s="16"/>
      <c r="DB253" s="16"/>
      <c r="DC253" s="16"/>
      <c r="DD253" s="16"/>
      <c r="DE253" s="16"/>
      <c r="DF253" s="16"/>
      <c r="DG253" s="16"/>
      <c r="DH253" s="16"/>
      <c r="DI253" s="16"/>
      <c r="DJ253" s="16"/>
      <c r="DK253" s="16"/>
      <c r="DL253" s="16"/>
    </row>
    <row r="254" ht="15.75" customHeight="1">
      <c r="A254" s="9"/>
      <c r="B254" s="11"/>
      <c r="C254" s="11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9"/>
      <c r="AK254" s="12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9"/>
      <c r="BH254" s="14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9"/>
      <c r="CF254" s="9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  <c r="CU254" s="11"/>
      <c r="CV254" s="11"/>
      <c r="CW254" s="11"/>
      <c r="CX254" s="11"/>
      <c r="CY254" s="16"/>
      <c r="CZ254" s="16"/>
      <c r="DA254" s="16"/>
      <c r="DB254" s="16"/>
      <c r="DC254" s="16"/>
      <c r="DD254" s="16"/>
      <c r="DE254" s="16"/>
      <c r="DF254" s="16"/>
      <c r="DG254" s="16"/>
      <c r="DH254" s="16"/>
      <c r="DI254" s="16"/>
      <c r="DJ254" s="16"/>
      <c r="DK254" s="16"/>
      <c r="DL254" s="16"/>
    </row>
    <row r="255" ht="15.75" customHeight="1">
      <c r="A255" s="9"/>
      <c r="B255" s="11"/>
      <c r="C255" s="11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9"/>
      <c r="AK255" s="12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9"/>
      <c r="BH255" s="14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9"/>
      <c r="CF255" s="9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6"/>
      <c r="CZ255" s="16"/>
      <c r="DA255" s="16"/>
      <c r="DB255" s="16"/>
      <c r="DC255" s="16"/>
      <c r="DD255" s="16"/>
      <c r="DE255" s="16"/>
      <c r="DF255" s="16"/>
      <c r="DG255" s="16"/>
      <c r="DH255" s="16"/>
      <c r="DI255" s="16"/>
      <c r="DJ255" s="16"/>
      <c r="DK255" s="16"/>
      <c r="DL255" s="16"/>
    </row>
    <row r="256" ht="15.75" customHeight="1">
      <c r="A256" s="9"/>
      <c r="B256" s="11"/>
      <c r="C256" s="11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9"/>
      <c r="AK256" s="12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9"/>
      <c r="BH256" s="14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9"/>
      <c r="CF256" s="9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6"/>
      <c r="CZ256" s="16"/>
      <c r="DA256" s="16"/>
      <c r="DB256" s="16"/>
      <c r="DC256" s="16"/>
      <c r="DD256" s="16"/>
      <c r="DE256" s="16"/>
      <c r="DF256" s="16"/>
      <c r="DG256" s="16"/>
      <c r="DH256" s="16"/>
      <c r="DI256" s="16"/>
      <c r="DJ256" s="16"/>
      <c r="DK256" s="16"/>
      <c r="DL256" s="16"/>
    </row>
    <row r="257" ht="15.75" customHeight="1">
      <c r="A257" s="9"/>
      <c r="B257" s="11"/>
      <c r="C257" s="11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9"/>
      <c r="AK257" s="12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9"/>
      <c r="BH257" s="14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9"/>
      <c r="CF257" s="9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/>
      <c r="CY257" s="16"/>
      <c r="CZ257" s="16"/>
      <c r="DA257" s="16"/>
      <c r="DB257" s="16"/>
      <c r="DC257" s="16"/>
      <c r="DD257" s="16"/>
      <c r="DE257" s="16"/>
      <c r="DF257" s="16"/>
      <c r="DG257" s="16"/>
      <c r="DH257" s="16"/>
      <c r="DI257" s="16"/>
      <c r="DJ257" s="16"/>
      <c r="DK257" s="16"/>
      <c r="DL257" s="16"/>
    </row>
    <row r="258" ht="15.75" customHeight="1">
      <c r="A258" s="9"/>
      <c r="B258" s="11"/>
      <c r="C258" s="11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9"/>
      <c r="AK258" s="12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9"/>
      <c r="BH258" s="14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9"/>
      <c r="CF258" s="9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  <c r="CU258" s="11"/>
      <c r="CV258" s="11"/>
      <c r="CW258" s="11"/>
      <c r="CX258" s="11"/>
      <c r="CY258" s="16"/>
      <c r="CZ258" s="16"/>
      <c r="DA258" s="16"/>
      <c r="DB258" s="16"/>
      <c r="DC258" s="16"/>
      <c r="DD258" s="16"/>
      <c r="DE258" s="16"/>
      <c r="DF258" s="16"/>
      <c r="DG258" s="16"/>
      <c r="DH258" s="16"/>
      <c r="DI258" s="16"/>
      <c r="DJ258" s="16"/>
      <c r="DK258" s="16"/>
      <c r="DL258" s="16"/>
    </row>
    <row r="259" ht="15.75" customHeight="1">
      <c r="A259" s="9"/>
      <c r="B259" s="11"/>
      <c r="C259" s="11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9"/>
      <c r="AK259" s="12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9"/>
      <c r="BH259" s="14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9"/>
      <c r="CF259" s="9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6"/>
      <c r="CZ259" s="16"/>
      <c r="DA259" s="16"/>
      <c r="DB259" s="16"/>
      <c r="DC259" s="16"/>
      <c r="DD259" s="16"/>
      <c r="DE259" s="16"/>
      <c r="DF259" s="16"/>
      <c r="DG259" s="16"/>
      <c r="DH259" s="16"/>
      <c r="DI259" s="16"/>
      <c r="DJ259" s="16"/>
      <c r="DK259" s="16"/>
      <c r="DL259" s="16"/>
    </row>
    <row r="260" ht="15.75" customHeight="1">
      <c r="A260" s="9"/>
      <c r="B260" s="11"/>
      <c r="C260" s="11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9"/>
      <c r="AK260" s="12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9"/>
      <c r="BH260" s="14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9"/>
      <c r="CF260" s="9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  <c r="CU260" s="11"/>
      <c r="CV260" s="11"/>
      <c r="CW260" s="11"/>
      <c r="CX260" s="11"/>
      <c r="CY260" s="16"/>
      <c r="CZ260" s="16"/>
      <c r="DA260" s="16"/>
      <c r="DB260" s="16"/>
      <c r="DC260" s="16"/>
      <c r="DD260" s="16"/>
      <c r="DE260" s="16"/>
      <c r="DF260" s="16"/>
      <c r="DG260" s="16"/>
      <c r="DH260" s="16"/>
      <c r="DI260" s="16"/>
      <c r="DJ260" s="16"/>
      <c r="DK260" s="16"/>
      <c r="DL260" s="16"/>
    </row>
    <row r="261" ht="15.75" customHeight="1">
      <c r="A261" s="9"/>
      <c r="B261" s="11"/>
      <c r="C261" s="11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9"/>
      <c r="AK261" s="12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9"/>
      <c r="BH261" s="14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9"/>
      <c r="CF261" s="9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6"/>
      <c r="CZ261" s="16"/>
      <c r="DA261" s="16"/>
      <c r="DB261" s="16"/>
      <c r="DC261" s="16"/>
      <c r="DD261" s="16"/>
      <c r="DE261" s="16"/>
      <c r="DF261" s="16"/>
      <c r="DG261" s="16"/>
      <c r="DH261" s="16"/>
      <c r="DI261" s="16"/>
      <c r="DJ261" s="16"/>
      <c r="DK261" s="16"/>
      <c r="DL261" s="16"/>
    </row>
    <row r="262" ht="15.75" customHeight="1">
      <c r="A262" s="9"/>
      <c r="B262" s="11"/>
      <c r="C262" s="11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9"/>
      <c r="AK262" s="12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9"/>
      <c r="BH262" s="14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9"/>
      <c r="CF262" s="9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  <c r="CV262" s="11"/>
      <c r="CW262" s="11"/>
      <c r="CX262" s="11"/>
      <c r="CY262" s="16"/>
      <c r="CZ262" s="16"/>
      <c r="DA262" s="16"/>
      <c r="DB262" s="16"/>
      <c r="DC262" s="16"/>
      <c r="DD262" s="16"/>
      <c r="DE262" s="16"/>
      <c r="DF262" s="16"/>
      <c r="DG262" s="16"/>
      <c r="DH262" s="16"/>
      <c r="DI262" s="16"/>
      <c r="DJ262" s="16"/>
      <c r="DK262" s="16"/>
      <c r="DL262" s="16"/>
    </row>
    <row r="263" ht="15.75" customHeight="1">
      <c r="A263" s="9"/>
      <c r="B263" s="11"/>
      <c r="C263" s="11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9"/>
      <c r="AK263" s="12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9"/>
      <c r="BH263" s="14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9"/>
      <c r="CF263" s="9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6"/>
      <c r="CZ263" s="16"/>
      <c r="DA263" s="16"/>
      <c r="DB263" s="16"/>
      <c r="DC263" s="16"/>
      <c r="DD263" s="16"/>
      <c r="DE263" s="16"/>
      <c r="DF263" s="16"/>
      <c r="DG263" s="16"/>
      <c r="DH263" s="16"/>
      <c r="DI263" s="16"/>
      <c r="DJ263" s="16"/>
      <c r="DK263" s="16"/>
      <c r="DL263" s="16"/>
    </row>
    <row r="264" ht="15.75" customHeight="1">
      <c r="A264" s="9"/>
      <c r="B264" s="11"/>
      <c r="C264" s="11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9"/>
      <c r="AK264" s="12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9"/>
      <c r="BH264" s="14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9"/>
      <c r="CF264" s="9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6"/>
      <c r="CZ264" s="16"/>
      <c r="DA264" s="16"/>
      <c r="DB264" s="16"/>
      <c r="DC264" s="16"/>
      <c r="DD264" s="16"/>
      <c r="DE264" s="16"/>
      <c r="DF264" s="16"/>
      <c r="DG264" s="16"/>
      <c r="DH264" s="16"/>
      <c r="DI264" s="16"/>
      <c r="DJ264" s="16"/>
      <c r="DK264" s="16"/>
      <c r="DL264" s="16"/>
    </row>
    <row r="265" ht="15.75" customHeight="1">
      <c r="A265" s="9"/>
      <c r="B265" s="11"/>
      <c r="C265" s="11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9"/>
      <c r="AK265" s="12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9"/>
      <c r="BH265" s="14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9"/>
      <c r="CF265" s="9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6"/>
      <c r="CZ265" s="16"/>
      <c r="DA265" s="16"/>
      <c r="DB265" s="16"/>
      <c r="DC265" s="16"/>
      <c r="DD265" s="16"/>
      <c r="DE265" s="16"/>
      <c r="DF265" s="16"/>
      <c r="DG265" s="16"/>
      <c r="DH265" s="16"/>
      <c r="DI265" s="16"/>
      <c r="DJ265" s="16"/>
      <c r="DK265" s="16"/>
      <c r="DL265" s="16"/>
    </row>
    <row r="266" ht="15.75" customHeight="1">
      <c r="A266" s="9"/>
      <c r="B266" s="11"/>
      <c r="C266" s="11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9"/>
      <c r="AK266" s="12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9"/>
      <c r="BH266" s="14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9"/>
      <c r="CF266" s="9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  <c r="CV266" s="11"/>
      <c r="CW266" s="11"/>
      <c r="CX266" s="11"/>
      <c r="CY266" s="16"/>
      <c r="CZ266" s="16"/>
      <c r="DA266" s="16"/>
      <c r="DB266" s="16"/>
      <c r="DC266" s="16"/>
      <c r="DD266" s="16"/>
      <c r="DE266" s="16"/>
      <c r="DF266" s="16"/>
      <c r="DG266" s="16"/>
      <c r="DH266" s="16"/>
      <c r="DI266" s="16"/>
      <c r="DJ266" s="16"/>
      <c r="DK266" s="16"/>
      <c r="DL266" s="16"/>
    </row>
    <row r="267" ht="15.75" customHeight="1">
      <c r="A267" s="9"/>
      <c r="B267" s="11"/>
      <c r="C267" s="11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9"/>
      <c r="AK267" s="12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9"/>
      <c r="BH267" s="14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9"/>
      <c r="CF267" s="9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6"/>
      <c r="CZ267" s="16"/>
      <c r="DA267" s="16"/>
      <c r="DB267" s="16"/>
      <c r="DC267" s="16"/>
      <c r="DD267" s="16"/>
      <c r="DE267" s="16"/>
      <c r="DF267" s="16"/>
      <c r="DG267" s="16"/>
      <c r="DH267" s="16"/>
      <c r="DI267" s="16"/>
      <c r="DJ267" s="16"/>
      <c r="DK267" s="16"/>
      <c r="DL267" s="16"/>
    </row>
    <row r="268" ht="15.75" customHeight="1">
      <c r="A268" s="9"/>
      <c r="B268" s="11"/>
      <c r="C268" s="11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9"/>
      <c r="AK268" s="12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9"/>
      <c r="BH268" s="14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9"/>
      <c r="CF268" s="9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  <c r="CV268" s="11"/>
      <c r="CW268" s="11"/>
      <c r="CX268" s="11"/>
      <c r="CY268" s="16"/>
      <c r="CZ268" s="16"/>
      <c r="DA268" s="16"/>
      <c r="DB268" s="16"/>
      <c r="DC268" s="16"/>
      <c r="DD268" s="16"/>
      <c r="DE268" s="16"/>
      <c r="DF268" s="16"/>
      <c r="DG268" s="16"/>
      <c r="DH268" s="16"/>
      <c r="DI268" s="16"/>
      <c r="DJ268" s="16"/>
      <c r="DK268" s="16"/>
      <c r="DL268" s="16"/>
    </row>
    <row r="269" ht="15.75" customHeight="1">
      <c r="A269" s="9"/>
      <c r="B269" s="11"/>
      <c r="C269" s="11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9"/>
      <c r="AK269" s="12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9"/>
      <c r="BH269" s="14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9"/>
      <c r="CF269" s="9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6"/>
      <c r="CZ269" s="16"/>
      <c r="DA269" s="16"/>
      <c r="DB269" s="16"/>
      <c r="DC269" s="16"/>
      <c r="DD269" s="16"/>
      <c r="DE269" s="16"/>
      <c r="DF269" s="16"/>
      <c r="DG269" s="16"/>
      <c r="DH269" s="16"/>
      <c r="DI269" s="16"/>
      <c r="DJ269" s="16"/>
      <c r="DK269" s="16"/>
      <c r="DL269" s="16"/>
    </row>
    <row r="270" ht="15.75" customHeight="1">
      <c r="A270" s="9"/>
      <c r="B270" s="11"/>
      <c r="C270" s="11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9"/>
      <c r="AK270" s="12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9"/>
      <c r="BH270" s="14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9"/>
      <c r="CF270" s="9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6"/>
      <c r="CZ270" s="16"/>
      <c r="DA270" s="16"/>
      <c r="DB270" s="16"/>
      <c r="DC270" s="16"/>
      <c r="DD270" s="16"/>
      <c r="DE270" s="16"/>
      <c r="DF270" s="16"/>
      <c r="DG270" s="16"/>
      <c r="DH270" s="16"/>
      <c r="DI270" s="16"/>
      <c r="DJ270" s="16"/>
      <c r="DK270" s="16"/>
      <c r="DL270" s="16"/>
    </row>
    <row r="271" ht="15.75" customHeight="1">
      <c r="A271" s="9"/>
      <c r="B271" s="11"/>
      <c r="C271" s="11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9"/>
      <c r="AK271" s="12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9"/>
      <c r="BH271" s="14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9"/>
      <c r="CF271" s="9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6"/>
      <c r="CZ271" s="16"/>
      <c r="DA271" s="16"/>
      <c r="DB271" s="16"/>
      <c r="DC271" s="16"/>
      <c r="DD271" s="16"/>
      <c r="DE271" s="16"/>
      <c r="DF271" s="16"/>
      <c r="DG271" s="16"/>
      <c r="DH271" s="16"/>
      <c r="DI271" s="16"/>
      <c r="DJ271" s="16"/>
      <c r="DK271" s="16"/>
      <c r="DL271" s="16"/>
    </row>
    <row r="272" ht="15.75" customHeight="1">
      <c r="A272" s="9"/>
      <c r="B272" s="11"/>
      <c r="C272" s="11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9"/>
      <c r="AK272" s="12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9"/>
      <c r="BH272" s="14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9"/>
      <c r="CF272" s="9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  <c r="CU272" s="11"/>
      <c r="CV272" s="11"/>
      <c r="CW272" s="11"/>
      <c r="CX272" s="11"/>
      <c r="CY272" s="16"/>
      <c r="CZ272" s="16"/>
      <c r="DA272" s="16"/>
      <c r="DB272" s="16"/>
      <c r="DC272" s="16"/>
      <c r="DD272" s="16"/>
      <c r="DE272" s="16"/>
      <c r="DF272" s="16"/>
      <c r="DG272" s="16"/>
      <c r="DH272" s="16"/>
      <c r="DI272" s="16"/>
      <c r="DJ272" s="16"/>
      <c r="DK272" s="16"/>
      <c r="DL272" s="16"/>
    </row>
    <row r="273" ht="15.75" customHeight="1">
      <c r="A273" s="9"/>
      <c r="B273" s="11"/>
      <c r="C273" s="11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9"/>
      <c r="AK273" s="12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9"/>
      <c r="BH273" s="14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9"/>
      <c r="CF273" s="9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6"/>
      <c r="CZ273" s="16"/>
      <c r="DA273" s="16"/>
      <c r="DB273" s="16"/>
      <c r="DC273" s="16"/>
      <c r="DD273" s="16"/>
      <c r="DE273" s="16"/>
      <c r="DF273" s="16"/>
      <c r="DG273" s="16"/>
      <c r="DH273" s="16"/>
      <c r="DI273" s="16"/>
      <c r="DJ273" s="16"/>
      <c r="DK273" s="16"/>
      <c r="DL273" s="16"/>
    </row>
    <row r="274" ht="15.75" customHeight="1">
      <c r="A274" s="9"/>
      <c r="B274" s="11"/>
      <c r="C274" s="11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9"/>
      <c r="AK274" s="12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9"/>
      <c r="BH274" s="14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9"/>
      <c r="CF274" s="9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  <c r="CU274" s="11"/>
      <c r="CV274" s="11"/>
      <c r="CW274" s="11"/>
      <c r="CX274" s="11"/>
      <c r="CY274" s="16"/>
      <c r="CZ274" s="16"/>
      <c r="DA274" s="16"/>
      <c r="DB274" s="16"/>
      <c r="DC274" s="16"/>
      <c r="DD274" s="16"/>
      <c r="DE274" s="16"/>
      <c r="DF274" s="16"/>
      <c r="DG274" s="16"/>
      <c r="DH274" s="16"/>
      <c r="DI274" s="16"/>
      <c r="DJ274" s="16"/>
      <c r="DK274" s="16"/>
      <c r="DL274" s="16"/>
    </row>
    <row r="275" ht="15.75" customHeight="1">
      <c r="A275" s="9"/>
      <c r="B275" s="11"/>
      <c r="C275" s="11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9"/>
      <c r="AK275" s="12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9"/>
      <c r="BH275" s="14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9"/>
      <c r="CF275" s="9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  <c r="CV275" s="11"/>
      <c r="CW275" s="11"/>
      <c r="CX275" s="11"/>
      <c r="CY275" s="16"/>
      <c r="CZ275" s="16"/>
      <c r="DA275" s="16"/>
      <c r="DB275" s="16"/>
      <c r="DC275" s="16"/>
      <c r="DD275" s="16"/>
      <c r="DE275" s="16"/>
      <c r="DF275" s="16"/>
      <c r="DG275" s="16"/>
      <c r="DH275" s="16"/>
      <c r="DI275" s="16"/>
      <c r="DJ275" s="16"/>
      <c r="DK275" s="16"/>
      <c r="DL275" s="16"/>
    </row>
    <row r="276" ht="15.75" customHeight="1">
      <c r="A276" s="9"/>
      <c r="B276" s="11"/>
      <c r="C276" s="11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9"/>
      <c r="AK276" s="12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9"/>
      <c r="BH276" s="14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9"/>
      <c r="CF276" s="9"/>
      <c r="CG276" s="11"/>
      <c r="CH276" s="11"/>
      <c r="CI276" s="11"/>
      <c r="CJ276" s="11"/>
      <c r="CK276" s="11"/>
      <c r="CL276" s="11"/>
      <c r="CM276" s="11"/>
      <c r="CN276" s="11"/>
      <c r="CO276" s="11"/>
      <c r="CP276" s="11"/>
      <c r="CQ276" s="11"/>
      <c r="CR276" s="11"/>
      <c r="CS276" s="11"/>
      <c r="CT276" s="11"/>
      <c r="CU276" s="11"/>
      <c r="CV276" s="11"/>
      <c r="CW276" s="11"/>
      <c r="CX276" s="11"/>
      <c r="CY276" s="16"/>
      <c r="CZ276" s="16"/>
      <c r="DA276" s="16"/>
      <c r="DB276" s="16"/>
      <c r="DC276" s="16"/>
      <c r="DD276" s="16"/>
      <c r="DE276" s="16"/>
      <c r="DF276" s="16"/>
      <c r="DG276" s="16"/>
      <c r="DH276" s="16"/>
      <c r="DI276" s="16"/>
      <c r="DJ276" s="16"/>
      <c r="DK276" s="16"/>
      <c r="DL276" s="16"/>
    </row>
    <row r="277" ht="15.75" customHeight="1">
      <c r="A277" s="9"/>
      <c r="B277" s="11"/>
      <c r="C277" s="11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9"/>
      <c r="AK277" s="12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9"/>
      <c r="BH277" s="14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9"/>
      <c r="CF277" s="9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  <c r="CV277" s="11"/>
      <c r="CW277" s="11"/>
      <c r="CX277" s="11"/>
      <c r="CY277" s="16"/>
      <c r="CZ277" s="16"/>
      <c r="DA277" s="16"/>
      <c r="DB277" s="16"/>
      <c r="DC277" s="16"/>
      <c r="DD277" s="16"/>
      <c r="DE277" s="16"/>
      <c r="DF277" s="16"/>
      <c r="DG277" s="16"/>
      <c r="DH277" s="16"/>
      <c r="DI277" s="16"/>
      <c r="DJ277" s="16"/>
      <c r="DK277" s="16"/>
      <c r="DL277" s="16"/>
    </row>
    <row r="278" ht="15.75" customHeight="1">
      <c r="A278" s="9"/>
      <c r="B278" s="11"/>
      <c r="C278" s="11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9"/>
      <c r="AK278" s="12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9"/>
      <c r="BH278" s="14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9"/>
      <c r="CF278" s="9"/>
      <c r="CG278" s="11"/>
      <c r="CH278" s="11"/>
      <c r="CI278" s="11"/>
      <c r="CJ278" s="11"/>
      <c r="CK278" s="11"/>
      <c r="CL278" s="11"/>
      <c r="CM278" s="11"/>
      <c r="CN278" s="11"/>
      <c r="CO278" s="11"/>
      <c r="CP278" s="11"/>
      <c r="CQ278" s="11"/>
      <c r="CR278" s="11"/>
      <c r="CS278" s="11"/>
      <c r="CT278" s="11"/>
      <c r="CU278" s="11"/>
      <c r="CV278" s="11"/>
      <c r="CW278" s="11"/>
      <c r="CX278" s="11"/>
      <c r="CY278" s="16"/>
      <c r="CZ278" s="16"/>
      <c r="DA278" s="16"/>
      <c r="DB278" s="16"/>
      <c r="DC278" s="16"/>
      <c r="DD278" s="16"/>
      <c r="DE278" s="16"/>
      <c r="DF278" s="16"/>
      <c r="DG278" s="16"/>
      <c r="DH278" s="16"/>
      <c r="DI278" s="16"/>
      <c r="DJ278" s="16"/>
      <c r="DK278" s="16"/>
      <c r="DL278" s="16"/>
    </row>
    <row r="279" ht="15.75" customHeight="1">
      <c r="A279" s="9"/>
      <c r="B279" s="11"/>
      <c r="C279" s="11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9"/>
      <c r="AK279" s="12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9"/>
      <c r="BH279" s="14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9"/>
      <c r="CF279" s="9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  <c r="CV279" s="11"/>
      <c r="CW279" s="11"/>
      <c r="CX279" s="11"/>
      <c r="CY279" s="16"/>
      <c r="CZ279" s="16"/>
      <c r="DA279" s="16"/>
      <c r="DB279" s="16"/>
      <c r="DC279" s="16"/>
      <c r="DD279" s="16"/>
      <c r="DE279" s="16"/>
      <c r="DF279" s="16"/>
      <c r="DG279" s="16"/>
      <c r="DH279" s="16"/>
      <c r="DI279" s="16"/>
      <c r="DJ279" s="16"/>
      <c r="DK279" s="16"/>
      <c r="DL279" s="16"/>
    </row>
    <row r="280" ht="15.75" customHeight="1">
      <c r="A280" s="9"/>
      <c r="B280" s="11"/>
      <c r="C280" s="11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9"/>
      <c r="AK280" s="12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9"/>
      <c r="BH280" s="14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9"/>
      <c r="CF280" s="9"/>
      <c r="CG280" s="11"/>
      <c r="CH280" s="11"/>
      <c r="CI280" s="11"/>
      <c r="CJ280" s="11"/>
      <c r="CK280" s="11"/>
      <c r="CL280" s="11"/>
      <c r="CM280" s="11"/>
      <c r="CN280" s="11"/>
      <c r="CO280" s="11"/>
      <c r="CP280" s="11"/>
      <c r="CQ280" s="11"/>
      <c r="CR280" s="11"/>
      <c r="CS280" s="11"/>
      <c r="CT280" s="11"/>
      <c r="CU280" s="11"/>
      <c r="CV280" s="11"/>
      <c r="CW280" s="11"/>
      <c r="CX280" s="11"/>
      <c r="CY280" s="16"/>
      <c r="CZ280" s="16"/>
      <c r="DA280" s="16"/>
      <c r="DB280" s="16"/>
      <c r="DC280" s="16"/>
      <c r="DD280" s="16"/>
      <c r="DE280" s="16"/>
      <c r="DF280" s="16"/>
      <c r="DG280" s="16"/>
      <c r="DH280" s="16"/>
      <c r="DI280" s="16"/>
      <c r="DJ280" s="16"/>
      <c r="DK280" s="16"/>
      <c r="DL280" s="16"/>
    </row>
    <row r="281" ht="15.75" customHeight="1">
      <c r="A281" s="9"/>
      <c r="B281" s="11"/>
      <c r="C281" s="11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9"/>
      <c r="AK281" s="12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9"/>
      <c r="BH281" s="14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9"/>
      <c r="CF281" s="9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  <c r="CV281" s="11"/>
      <c r="CW281" s="11"/>
      <c r="CX281" s="11"/>
      <c r="CY281" s="16"/>
      <c r="CZ281" s="16"/>
      <c r="DA281" s="16"/>
      <c r="DB281" s="16"/>
      <c r="DC281" s="16"/>
      <c r="DD281" s="16"/>
      <c r="DE281" s="16"/>
      <c r="DF281" s="16"/>
      <c r="DG281" s="16"/>
      <c r="DH281" s="16"/>
      <c r="DI281" s="16"/>
      <c r="DJ281" s="16"/>
      <c r="DK281" s="16"/>
      <c r="DL281" s="16"/>
    </row>
    <row r="282" ht="15.75" customHeight="1">
      <c r="A282" s="9"/>
      <c r="B282" s="11"/>
      <c r="C282" s="11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9"/>
      <c r="AK282" s="12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9"/>
      <c r="BH282" s="14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9"/>
      <c r="CF282" s="9"/>
      <c r="CG282" s="11"/>
      <c r="CH282" s="11"/>
      <c r="CI282" s="11"/>
      <c r="CJ282" s="11"/>
      <c r="CK282" s="11"/>
      <c r="CL282" s="11"/>
      <c r="CM282" s="11"/>
      <c r="CN282" s="11"/>
      <c r="CO282" s="11"/>
      <c r="CP282" s="11"/>
      <c r="CQ282" s="11"/>
      <c r="CR282" s="11"/>
      <c r="CS282" s="11"/>
      <c r="CT282" s="11"/>
      <c r="CU282" s="11"/>
      <c r="CV282" s="11"/>
      <c r="CW282" s="11"/>
      <c r="CX282" s="11"/>
      <c r="CY282" s="16"/>
      <c r="CZ282" s="16"/>
      <c r="DA282" s="16"/>
      <c r="DB282" s="16"/>
      <c r="DC282" s="16"/>
      <c r="DD282" s="16"/>
      <c r="DE282" s="16"/>
      <c r="DF282" s="16"/>
      <c r="DG282" s="16"/>
      <c r="DH282" s="16"/>
      <c r="DI282" s="16"/>
      <c r="DJ282" s="16"/>
      <c r="DK282" s="16"/>
      <c r="DL282" s="16"/>
    </row>
    <row r="283" ht="15.75" customHeight="1">
      <c r="A283" s="9"/>
      <c r="B283" s="11"/>
      <c r="C283" s="11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9"/>
      <c r="AK283" s="12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9"/>
      <c r="BH283" s="14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9"/>
      <c r="CF283" s="9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6"/>
      <c r="CZ283" s="16"/>
      <c r="DA283" s="16"/>
      <c r="DB283" s="16"/>
      <c r="DC283" s="16"/>
      <c r="DD283" s="16"/>
      <c r="DE283" s="16"/>
      <c r="DF283" s="16"/>
      <c r="DG283" s="16"/>
      <c r="DH283" s="16"/>
      <c r="DI283" s="16"/>
      <c r="DJ283" s="16"/>
      <c r="DK283" s="16"/>
      <c r="DL283" s="16"/>
    </row>
    <row r="284" ht="15.75" customHeight="1">
      <c r="A284" s="9"/>
      <c r="B284" s="11"/>
      <c r="C284" s="11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9"/>
      <c r="AK284" s="12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9"/>
      <c r="BH284" s="14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9"/>
      <c r="CF284" s="9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1"/>
      <c r="CU284" s="11"/>
      <c r="CV284" s="11"/>
      <c r="CW284" s="11"/>
      <c r="CX284" s="11"/>
      <c r="CY284" s="16"/>
      <c r="CZ284" s="16"/>
      <c r="DA284" s="16"/>
      <c r="DB284" s="16"/>
      <c r="DC284" s="16"/>
      <c r="DD284" s="16"/>
      <c r="DE284" s="16"/>
      <c r="DF284" s="16"/>
      <c r="DG284" s="16"/>
      <c r="DH284" s="16"/>
      <c r="DI284" s="16"/>
      <c r="DJ284" s="16"/>
      <c r="DK284" s="16"/>
      <c r="DL284" s="16"/>
    </row>
    <row r="285" ht="15.75" customHeight="1">
      <c r="A285" s="9"/>
      <c r="B285" s="11"/>
      <c r="C285" s="11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9"/>
      <c r="AK285" s="12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9"/>
      <c r="BH285" s="14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9"/>
      <c r="CF285" s="9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6"/>
      <c r="CZ285" s="16"/>
      <c r="DA285" s="16"/>
      <c r="DB285" s="16"/>
      <c r="DC285" s="16"/>
      <c r="DD285" s="16"/>
      <c r="DE285" s="16"/>
      <c r="DF285" s="16"/>
      <c r="DG285" s="16"/>
      <c r="DH285" s="16"/>
      <c r="DI285" s="16"/>
      <c r="DJ285" s="16"/>
      <c r="DK285" s="16"/>
      <c r="DL285" s="16"/>
    </row>
    <row r="286" ht="15.75" customHeight="1">
      <c r="A286" s="9"/>
      <c r="B286" s="11"/>
      <c r="C286" s="11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9"/>
      <c r="AK286" s="12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9"/>
      <c r="BH286" s="14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9"/>
      <c r="CF286" s="9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  <c r="CS286" s="11"/>
      <c r="CT286" s="11"/>
      <c r="CU286" s="11"/>
      <c r="CV286" s="11"/>
      <c r="CW286" s="11"/>
      <c r="CX286" s="11"/>
      <c r="CY286" s="16"/>
      <c r="CZ286" s="16"/>
      <c r="DA286" s="16"/>
      <c r="DB286" s="16"/>
      <c r="DC286" s="16"/>
      <c r="DD286" s="16"/>
      <c r="DE286" s="16"/>
      <c r="DF286" s="16"/>
      <c r="DG286" s="16"/>
      <c r="DH286" s="16"/>
      <c r="DI286" s="16"/>
      <c r="DJ286" s="16"/>
      <c r="DK286" s="16"/>
      <c r="DL286" s="16"/>
    </row>
  </sheetData>
  <mergeCells count="6">
    <mergeCell ref="A1:B1"/>
    <mergeCell ref="A2:B2"/>
    <mergeCell ref="A3:B3"/>
    <mergeCell ref="A4:B4"/>
    <mergeCell ref="A5:B5"/>
    <mergeCell ref="A6:B6"/>
  </mergeCells>
  <conditionalFormatting sqref="H9:CV9 CY9:DJ9 R49:S49">
    <cfRule type="cellIs" dxfId="0" priority="1" operator="lessThan">
      <formula>1</formula>
    </cfRule>
  </conditionalFormatting>
  <hyperlinks>
    <hyperlink r:id="rId1" ref="A9"/>
  </hyperlinks>
  <printOptions/>
  <pageMargins bottom="0.2" footer="0.0" header="0.0" left="0.7" right="0.16" top="0.28"/>
  <pageSetup paperSize="9" scale="45"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4.29"/>
    <col customWidth="1" min="2" max="2" width="15.86"/>
    <col customWidth="1" min="3" max="3" width="27.0"/>
    <col customWidth="1" min="4" max="4" width="8.14"/>
    <col customWidth="1" min="5" max="5" width="8.0"/>
    <col customWidth="1" min="6" max="6" width="6.71"/>
    <col customWidth="1" min="7" max="7" width="6.57"/>
    <col customWidth="1" min="8" max="8" width="4.0"/>
    <col customWidth="1" min="9" max="12" width="3.71"/>
    <col customWidth="1" min="13" max="13" width="4.71"/>
    <col customWidth="1" min="14" max="14" width="6.57"/>
    <col customWidth="1" min="15" max="36" width="3.71"/>
    <col customWidth="1" min="37" max="37" width="5.86"/>
    <col customWidth="1" min="38" max="58" width="3.71"/>
    <col customWidth="1" min="59" max="59" width="4.0"/>
    <col customWidth="1" min="60" max="60" width="5.71"/>
    <col customWidth="1" min="61" max="69" width="3.71"/>
    <col customWidth="1" min="70" max="70" width="3.29"/>
    <col customWidth="1" min="71" max="82" width="3.71"/>
    <col customWidth="1" min="83" max="83" width="4.0"/>
    <col customWidth="1" min="84" max="84" width="5.57"/>
    <col customWidth="1" min="85" max="96" width="3.71"/>
    <col customWidth="1" min="97" max="97" width="5.29"/>
    <col customWidth="1" min="98" max="98" width="6.29"/>
  </cols>
  <sheetData>
    <row r="1">
      <c r="A1" s="3" t="s">
        <v>2</v>
      </c>
      <c r="B1" s="5"/>
      <c r="C1" s="4"/>
      <c r="D1" s="7"/>
      <c r="E1" s="7"/>
      <c r="F1" s="10"/>
      <c r="G1" s="9"/>
      <c r="H1" s="11"/>
      <c r="I1" s="11"/>
      <c r="J1" s="11"/>
      <c r="K1" s="11"/>
      <c r="L1" s="11"/>
      <c r="M1" s="9"/>
      <c r="N1" s="9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9"/>
      <c r="AK1" s="13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9"/>
      <c r="BH1" s="15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9"/>
      <c r="CF1" s="9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</row>
    <row r="2">
      <c r="A2" s="17" t="s">
        <v>5</v>
      </c>
      <c r="B2" s="18"/>
      <c r="C2" s="19" t="s">
        <v>6</v>
      </c>
      <c r="D2" s="20"/>
      <c r="E2" s="20"/>
      <c r="F2" s="21"/>
      <c r="G2" s="9"/>
      <c r="H2" s="11"/>
      <c r="I2" s="11"/>
      <c r="J2" s="11"/>
      <c r="K2" s="11"/>
      <c r="L2" s="11"/>
      <c r="M2" s="9"/>
      <c r="N2" s="9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9"/>
      <c r="AK2" s="13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9"/>
      <c r="BH2" s="15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9"/>
      <c r="CF2" s="9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</row>
    <row r="3">
      <c r="A3" s="17" t="s">
        <v>9</v>
      </c>
      <c r="B3" s="18"/>
      <c r="C3" s="19" t="s">
        <v>10</v>
      </c>
      <c r="D3" s="20"/>
      <c r="E3" s="20"/>
      <c r="F3" s="21"/>
      <c r="G3" s="9"/>
      <c r="H3" s="11"/>
      <c r="I3" s="11"/>
      <c r="J3" s="11"/>
      <c r="K3" s="11"/>
      <c r="L3" s="11"/>
      <c r="M3" s="9"/>
      <c r="N3" s="9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9"/>
      <c r="AK3" s="13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9"/>
      <c r="BH3" s="15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9"/>
      <c r="CF3" s="9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</row>
    <row r="4">
      <c r="A4" s="17" t="s">
        <v>12</v>
      </c>
      <c r="B4" s="18"/>
      <c r="C4" s="24" t="s">
        <v>1</v>
      </c>
      <c r="D4" s="25"/>
      <c r="E4" s="25"/>
      <c r="F4" s="26"/>
      <c r="G4" s="9"/>
      <c r="H4" s="11"/>
      <c r="I4" s="11"/>
      <c r="J4" s="11"/>
      <c r="K4" s="11"/>
      <c r="L4" s="11"/>
      <c r="M4" s="9"/>
      <c r="N4" s="9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9"/>
      <c r="AK4" s="13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9"/>
      <c r="BH4" s="15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9"/>
      <c r="CF4" s="9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</row>
    <row r="5">
      <c r="A5" s="17" t="s">
        <v>14</v>
      </c>
      <c r="B5" s="18"/>
      <c r="C5" s="28">
        <v>46104.0</v>
      </c>
      <c r="D5" s="29"/>
      <c r="E5" s="29"/>
      <c r="F5" s="30"/>
      <c r="G5" s="31"/>
      <c r="H5" s="11"/>
      <c r="I5" s="11"/>
      <c r="J5" s="11"/>
      <c r="K5" s="11"/>
      <c r="L5" s="11"/>
      <c r="M5" s="9"/>
      <c r="N5" s="9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9"/>
      <c r="AK5" s="13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9"/>
      <c r="BH5" s="15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9"/>
      <c r="CF5" s="9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</row>
    <row r="6">
      <c r="A6" s="32" t="s">
        <v>15</v>
      </c>
      <c r="B6" s="33"/>
      <c r="C6" s="34"/>
      <c r="D6" s="35"/>
      <c r="E6" s="35"/>
      <c r="F6" s="36"/>
      <c r="G6" s="37"/>
      <c r="H6" s="11"/>
      <c r="I6" s="11"/>
      <c r="J6" s="11"/>
      <c r="K6" s="11"/>
      <c r="L6" s="11"/>
      <c r="M6" s="9"/>
      <c r="N6" s="9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9"/>
      <c r="AK6" s="13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9"/>
      <c r="BH6" s="15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9"/>
      <c r="CF6" s="9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</row>
    <row r="7">
      <c r="A7" s="31"/>
      <c r="B7" s="40"/>
      <c r="C7" s="41"/>
      <c r="D7" s="31"/>
      <c r="E7" s="31"/>
      <c r="F7" s="42"/>
      <c r="G7" s="37"/>
      <c r="H7" s="43">
        <v>1.0</v>
      </c>
      <c r="I7" s="43">
        <v>2.0</v>
      </c>
      <c r="J7" s="43">
        <v>3.0</v>
      </c>
      <c r="K7" s="43">
        <v>4.0</v>
      </c>
      <c r="L7" s="43">
        <v>5.0</v>
      </c>
      <c r="M7" s="44"/>
      <c r="N7" s="44"/>
      <c r="O7" s="43">
        <v>1.0</v>
      </c>
      <c r="P7" s="45">
        <v>2.0</v>
      </c>
      <c r="Q7" s="45">
        <v>3.0</v>
      </c>
      <c r="R7" s="46">
        <v>4.0</v>
      </c>
      <c r="S7" s="45">
        <v>5.0</v>
      </c>
      <c r="T7" s="45">
        <v>6.0</v>
      </c>
      <c r="U7" s="46">
        <v>7.0</v>
      </c>
      <c r="V7" s="45">
        <v>8.0</v>
      </c>
      <c r="W7" s="45">
        <v>9.0</v>
      </c>
      <c r="X7" s="46">
        <v>10.0</v>
      </c>
      <c r="Y7" s="45">
        <v>11.0</v>
      </c>
      <c r="Z7" s="45">
        <v>12.0</v>
      </c>
      <c r="AA7" s="46">
        <v>13.0</v>
      </c>
      <c r="AB7" s="45">
        <v>14.0</v>
      </c>
      <c r="AC7" s="45">
        <v>15.0</v>
      </c>
      <c r="AD7" s="46">
        <v>16.0</v>
      </c>
      <c r="AE7" s="45">
        <v>17.0</v>
      </c>
      <c r="AF7" s="45">
        <v>18.0</v>
      </c>
      <c r="AG7" s="46">
        <v>19.0</v>
      </c>
      <c r="AH7" s="45">
        <v>20.0</v>
      </c>
      <c r="AI7" s="45">
        <v>21.0</v>
      </c>
      <c r="AJ7" s="47"/>
      <c r="AK7" s="48"/>
      <c r="AL7" s="49">
        <v>1.0</v>
      </c>
      <c r="AM7" s="49">
        <v>2.0</v>
      </c>
      <c r="AN7" s="49">
        <v>3.0</v>
      </c>
      <c r="AO7" s="49">
        <v>4.0</v>
      </c>
      <c r="AP7" s="49">
        <v>5.0</v>
      </c>
      <c r="AQ7" s="49">
        <v>6.0</v>
      </c>
      <c r="AR7" s="49">
        <v>7.0</v>
      </c>
      <c r="AS7" s="49">
        <v>8.0</v>
      </c>
      <c r="AT7" s="49">
        <v>9.0</v>
      </c>
      <c r="AU7" s="49">
        <v>10.0</v>
      </c>
      <c r="AV7" s="49">
        <v>11.0</v>
      </c>
      <c r="AW7" s="49">
        <v>12.0</v>
      </c>
      <c r="AX7" s="49">
        <v>13.0</v>
      </c>
      <c r="AY7" s="49">
        <v>14.0</v>
      </c>
      <c r="AZ7" s="49">
        <v>15.0</v>
      </c>
      <c r="BA7" s="49">
        <v>16.0</v>
      </c>
      <c r="BB7" s="49">
        <v>17.0</v>
      </c>
      <c r="BC7" s="49">
        <v>18.0</v>
      </c>
      <c r="BD7" s="49">
        <v>19.0</v>
      </c>
      <c r="BE7" s="49">
        <v>20.0</v>
      </c>
      <c r="BF7" s="49">
        <v>21.0</v>
      </c>
      <c r="BG7" s="47"/>
      <c r="BH7" s="52"/>
      <c r="BI7" s="49">
        <v>1.0</v>
      </c>
      <c r="BJ7" s="49">
        <v>2.0</v>
      </c>
      <c r="BK7" s="49">
        <v>3.0</v>
      </c>
      <c r="BL7" s="49">
        <v>4.0</v>
      </c>
      <c r="BM7" s="49">
        <v>5.0</v>
      </c>
      <c r="BN7" s="49">
        <v>6.0</v>
      </c>
      <c r="BO7" s="49">
        <v>7.0</v>
      </c>
      <c r="BP7" s="49">
        <v>8.0</v>
      </c>
      <c r="BQ7" s="49">
        <v>9.0</v>
      </c>
      <c r="BR7" s="49">
        <v>10.0</v>
      </c>
      <c r="BS7" s="49">
        <v>11.0</v>
      </c>
      <c r="BT7" s="49">
        <v>12.0</v>
      </c>
      <c r="BU7" s="49">
        <v>13.0</v>
      </c>
      <c r="BV7" s="49">
        <v>14.0</v>
      </c>
      <c r="BW7" s="49">
        <v>15.0</v>
      </c>
      <c r="BX7" s="49">
        <v>16.0</v>
      </c>
      <c r="BY7" s="49">
        <v>17.0</v>
      </c>
      <c r="BZ7" s="49">
        <v>18.0</v>
      </c>
      <c r="CA7" s="49">
        <v>19.0</v>
      </c>
      <c r="CB7" s="49">
        <v>20.0</v>
      </c>
      <c r="CC7" s="49"/>
      <c r="CD7" s="49">
        <v>21.0</v>
      </c>
      <c r="CE7" s="47"/>
      <c r="CF7" s="47"/>
      <c r="CG7" s="49">
        <v>1.0</v>
      </c>
      <c r="CH7" s="49">
        <v>2.0</v>
      </c>
      <c r="CI7" s="49">
        <v>3.0</v>
      </c>
      <c r="CJ7" s="49">
        <v>4.0</v>
      </c>
      <c r="CK7" s="49">
        <v>5.0</v>
      </c>
      <c r="CL7" s="49">
        <v>6.0</v>
      </c>
      <c r="CM7" s="49">
        <v>7.0</v>
      </c>
      <c r="CN7" s="49">
        <v>8.0</v>
      </c>
      <c r="CO7" s="49">
        <v>9.0</v>
      </c>
      <c r="CP7" s="49">
        <v>10.0</v>
      </c>
      <c r="CQ7" s="49">
        <v>11.0</v>
      </c>
      <c r="CR7" s="49">
        <v>12.0</v>
      </c>
      <c r="CS7" s="55"/>
      <c r="CT7" s="55"/>
    </row>
    <row r="8" ht="78.75" customHeight="1">
      <c r="A8" s="56"/>
      <c r="B8" s="45"/>
      <c r="C8" s="45"/>
      <c r="D8" s="58" t="s">
        <v>17</v>
      </c>
      <c r="E8" s="59" t="s">
        <v>18</v>
      </c>
      <c r="F8" s="60" t="s">
        <v>19</v>
      </c>
      <c r="G8" s="61" t="s">
        <v>20</v>
      </c>
      <c r="H8" s="62">
        <v>46104.0</v>
      </c>
      <c r="I8" s="62">
        <v>46105.0</v>
      </c>
      <c r="J8" s="62">
        <v>46106.0</v>
      </c>
      <c r="K8" s="62">
        <v>46107.0</v>
      </c>
      <c r="L8" s="64">
        <v>46111.0</v>
      </c>
      <c r="M8" s="65" t="s">
        <v>21</v>
      </c>
      <c r="N8" s="66" t="s">
        <v>22</v>
      </c>
      <c r="O8" s="62">
        <v>46113.0</v>
      </c>
      <c r="P8" s="62">
        <v>46114.0</v>
      </c>
      <c r="Q8" s="62">
        <v>46115.0</v>
      </c>
      <c r="R8" s="62">
        <v>46118.0</v>
      </c>
      <c r="S8" s="62">
        <v>46119.0</v>
      </c>
      <c r="T8" s="62">
        <v>46120.0</v>
      </c>
      <c r="U8" s="62">
        <v>46121.0</v>
      </c>
      <c r="V8" s="62">
        <v>46122.0</v>
      </c>
      <c r="W8" s="62">
        <v>46125.0</v>
      </c>
      <c r="X8" s="62">
        <v>46127.0</v>
      </c>
      <c r="Y8" s="62">
        <v>46128.0</v>
      </c>
      <c r="Z8" s="62">
        <v>46129.0</v>
      </c>
      <c r="AA8" s="62">
        <v>46132.0</v>
      </c>
      <c r="AB8" s="62">
        <v>46133.0</v>
      </c>
      <c r="AC8" s="62">
        <v>46134.0</v>
      </c>
      <c r="AD8" s="62">
        <v>46135.0</v>
      </c>
      <c r="AE8" s="62">
        <v>46136.0</v>
      </c>
      <c r="AF8" s="62">
        <v>46139.0</v>
      </c>
      <c r="AG8" s="62">
        <v>46140.0</v>
      </c>
      <c r="AH8" s="62">
        <v>46141.0</v>
      </c>
      <c r="AI8" s="62">
        <v>46142.0</v>
      </c>
      <c r="AJ8" s="67" t="s">
        <v>23</v>
      </c>
      <c r="AK8" s="68" t="s">
        <v>24</v>
      </c>
      <c r="AL8" s="62">
        <v>46143.0</v>
      </c>
      <c r="AM8" s="62">
        <v>46146.0</v>
      </c>
      <c r="AN8" s="62">
        <v>46147.0</v>
      </c>
      <c r="AO8" s="62">
        <v>46148.0</v>
      </c>
      <c r="AP8" s="62">
        <v>46149.0</v>
      </c>
      <c r="AQ8" s="62">
        <v>46150.0</v>
      </c>
      <c r="AR8" s="62">
        <v>46153.0</v>
      </c>
      <c r="AS8" s="62">
        <v>46154.0</v>
      </c>
      <c r="AT8" s="62">
        <v>46155.0</v>
      </c>
      <c r="AU8" s="62">
        <v>46156.0</v>
      </c>
      <c r="AV8" s="62">
        <v>46157.0</v>
      </c>
      <c r="AW8" s="62">
        <v>46160.0</v>
      </c>
      <c r="AX8" s="62">
        <v>46161.0</v>
      </c>
      <c r="AY8" s="62">
        <v>46162.0</v>
      </c>
      <c r="AZ8" s="62">
        <v>46163.0</v>
      </c>
      <c r="BA8" s="62">
        <v>46164.0</v>
      </c>
      <c r="BB8" s="62">
        <v>46167.0</v>
      </c>
      <c r="BC8" s="62">
        <v>46168.0</v>
      </c>
      <c r="BD8" s="62">
        <v>46169.0</v>
      </c>
      <c r="BE8" s="62">
        <v>46170.0</v>
      </c>
      <c r="BF8" s="62">
        <v>46171.0</v>
      </c>
      <c r="BG8" s="70" t="s">
        <v>25</v>
      </c>
      <c r="BH8" s="71" t="s">
        <v>26</v>
      </c>
      <c r="BI8" s="62">
        <v>46174.0</v>
      </c>
      <c r="BJ8" s="62">
        <v>46175.0</v>
      </c>
      <c r="BK8" s="62">
        <v>46176.0</v>
      </c>
      <c r="BL8" s="62">
        <v>46177.0</v>
      </c>
      <c r="BM8" s="62">
        <v>46178.0</v>
      </c>
      <c r="BN8" s="62">
        <v>46181.0</v>
      </c>
      <c r="BO8" s="62">
        <v>46182.0</v>
      </c>
      <c r="BP8" s="62">
        <v>46183.0</v>
      </c>
      <c r="BQ8" s="62">
        <v>46184.0</v>
      </c>
      <c r="BR8" s="62">
        <v>46185.0</v>
      </c>
      <c r="BS8" s="64">
        <v>46188.0</v>
      </c>
      <c r="BT8" s="64">
        <v>46189.0</v>
      </c>
      <c r="BU8" s="64">
        <v>46190.0</v>
      </c>
      <c r="BV8" s="64">
        <v>46191.0</v>
      </c>
      <c r="BW8" s="64">
        <v>46192.0</v>
      </c>
      <c r="BX8" s="64">
        <v>46195.0</v>
      </c>
      <c r="BY8" s="64">
        <v>46196.0</v>
      </c>
      <c r="BZ8" s="64">
        <v>46197.0</v>
      </c>
      <c r="CA8" s="64">
        <v>46198.0</v>
      </c>
      <c r="CB8" s="64">
        <v>46199.0</v>
      </c>
      <c r="CC8" s="64">
        <v>46202.0</v>
      </c>
      <c r="CD8" s="64">
        <v>46203.0</v>
      </c>
      <c r="CE8" s="74" t="s">
        <v>27</v>
      </c>
      <c r="CF8" s="75" t="s">
        <v>28</v>
      </c>
      <c r="CG8" s="77">
        <v>46204.0</v>
      </c>
      <c r="CH8" s="79"/>
      <c r="CI8" s="79"/>
      <c r="CJ8" s="79"/>
      <c r="CK8" s="79"/>
      <c r="CL8" s="79"/>
      <c r="CM8" s="79"/>
      <c r="CN8" s="79"/>
      <c r="CO8" s="79"/>
      <c r="CP8" s="79"/>
      <c r="CQ8" s="79"/>
      <c r="CR8" s="79"/>
      <c r="CS8" s="80" t="s">
        <v>31</v>
      </c>
      <c r="CT8" s="81" t="s">
        <v>32</v>
      </c>
    </row>
    <row r="9">
      <c r="A9" s="84" t="s">
        <v>33</v>
      </c>
      <c r="B9" s="85" t="s">
        <v>40</v>
      </c>
      <c r="C9" s="85" t="s">
        <v>42</v>
      </c>
      <c r="D9" s="91">
        <f t="shared" ref="D9:D93" si="6">SUM(M9+AJ9+BG9+CE9+CS9)</f>
        <v>7</v>
      </c>
      <c r="E9" s="91"/>
      <c r="F9" s="92"/>
      <c r="G9" s="92"/>
      <c r="H9" s="93">
        <f t="shared" ref="H9:L9" si="1">SUM(H10:H51)</f>
        <v>0</v>
      </c>
      <c r="I9" s="93">
        <f t="shared" si="1"/>
        <v>0</v>
      </c>
      <c r="J9" s="93">
        <f t="shared" si="1"/>
        <v>0</v>
      </c>
      <c r="K9" s="93">
        <f t="shared" si="1"/>
        <v>0</v>
      </c>
      <c r="L9" s="93">
        <f t="shared" si="1"/>
        <v>0</v>
      </c>
      <c r="M9" s="94">
        <f>COUNTIF(H9:L9,"&gt;0")</f>
        <v>0</v>
      </c>
      <c r="N9" s="96">
        <f>COUNTIF(H9:L9,"&gt;0")</f>
        <v>0</v>
      </c>
      <c r="O9" s="93">
        <f t="shared" ref="O9:AI9" si="2">SUM(O10:O51)</f>
        <v>0</v>
      </c>
      <c r="P9" s="93">
        <f t="shared" si="2"/>
        <v>0</v>
      </c>
      <c r="Q9" s="93">
        <f t="shared" si="2"/>
        <v>0</v>
      </c>
      <c r="R9" s="93">
        <f t="shared" si="2"/>
        <v>0</v>
      </c>
      <c r="S9" s="93">
        <f t="shared" si="2"/>
        <v>0</v>
      </c>
      <c r="T9" s="93">
        <f t="shared" si="2"/>
        <v>0</v>
      </c>
      <c r="U9" s="93">
        <f t="shared" si="2"/>
        <v>0</v>
      </c>
      <c r="V9" s="93">
        <f t="shared" si="2"/>
        <v>0</v>
      </c>
      <c r="W9" s="93">
        <f t="shared" si="2"/>
        <v>0</v>
      </c>
      <c r="X9" s="93">
        <f t="shared" si="2"/>
        <v>0</v>
      </c>
      <c r="Y9" s="93">
        <f t="shared" si="2"/>
        <v>0</v>
      </c>
      <c r="Z9" s="93">
        <f t="shared" si="2"/>
        <v>0</v>
      </c>
      <c r="AA9" s="93">
        <f t="shared" si="2"/>
        <v>0</v>
      </c>
      <c r="AB9" s="93">
        <f t="shared" si="2"/>
        <v>0</v>
      </c>
      <c r="AC9" s="93">
        <f t="shared" si="2"/>
        <v>0</v>
      </c>
      <c r="AD9" s="93">
        <f t="shared" si="2"/>
        <v>0</v>
      </c>
      <c r="AE9" s="93">
        <f t="shared" si="2"/>
        <v>0</v>
      </c>
      <c r="AF9" s="93">
        <f t="shared" si="2"/>
        <v>0</v>
      </c>
      <c r="AG9" s="93">
        <f t="shared" si="2"/>
        <v>0</v>
      </c>
      <c r="AH9" s="93">
        <f t="shared" si="2"/>
        <v>0</v>
      </c>
      <c r="AI9" s="93">
        <f t="shared" si="2"/>
        <v>24</v>
      </c>
      <c r="AJ9" s="44">
        <f>COUNTIF(O9:AI9,"&gt;0")</f>
        <v>1</v>
      </c>
      <c r="AK9" s="102">
        <f>SUM(M9+AJ9)</f>
        <v>1</v>
      </c>
      <c r="AL9" s="103">
        <f t="shared" ref="AL9:BF9" si="3">SUM(AL10:AL51)</f>
        <v>0</v>
      </c>
      <c r="AM9" s="103">
        <f t="shared" si="3"/>
        <v>0</v>
      </c>
      <c r="AN9" s="103">
        <f t="shared" si="3"/>
        <v>0</v>
      </c>
      <c r="AO9" s="103">
        <f t="shared" si="3"/>
        <v>0</v>
      </c>
      <c r="AP9" s="103">
        <f t="shared" si="3"/>
        <v>27</v>
      </c>
      <c r="AQ9" s="103">
        <f t="shared" si="3"/>
        <v>0</v>
      </c>
      <c r="AR9" s="103">
        <f t="shared" si="3"/>
        <v>0</v>
      </c>
      <c r="AS9" s="103">
        <f t="shared" si="3"/>
        <v>0</v>
      </c>
      <c r="AT9" s="103">
        <f t="shared" si="3"/>
        <v>0</v>
      </c>
      <c r="AU9" s="103">
        <f t="shared" si="3"/>
        <v>24</v>
      </c>
      <c r="AV9" s="103">
        <f t="shared" si="3"/>
        <v>0</v>
      </c>
      <c r="AW9" s="103">
        <f t="shared" si="3"/>
        <v>0</v>
      </c>
      <c r="AX9" s="103">
        <f t="shared" si="3"/>
        <v>0</v>
      </c>
      <c r="AY9" s="103">
        <f t="shared" si="3"/>
        <v>0</v>
      </c>
      <c r="AZ9" s="103">
        <f t="shared" si="3"/>
        <v>0</v>
      </c>
      <c r="BA9" s="103">
        <f t="shared" si="3"/>
        <v>0</v>
      </c>
      <c r="BB9" s="103">
        <f t="shared" si="3"/>
        <v>6</v>
      </c>
      <c r="BC9" s="103">
        <f t="shared" si="3"/>
        <v>0</v>
      </c>
      <c r="BD9" s="103">
        <f t="shared" si="3"/>
        <v>0</v>
      </c>
      <c r="BE9" s="103">
        <f t="shared" si="3"/>
        <v>0</v>
      </c>
      <c r="BF9" s="103">
        <f t="shared" si="3"/>
        <v>0</v>
      </c>
      <c r="BG9" s="54">
        <f>COUNTIF(AL9:BF9,"&gt;0")</f>
        <v>3</v>
      </c>
      <c r="BH9" s="106">
        <f>SUM(AK9+BG9)</f>
        <v>4</v>
      </c>
      <c r="BI9" s="107">
        <f t="shared" ref="BI9:CB9" si="4">SUM(BI10:BI51)</f>
        <v>0</v>
      </c>
      <c r="BJ9" s="107">
        <f t="shared" si="4"/>
        <v>0</v>
      </c>
      <c r="BK9" s="107">
        <f t="shared" si="4"/>
        <v>0</v>
      </c>
      <c r="BL9" s="107">
        <f t="shared" si="4"/>
        <v>22</v>
      </c>
      <c r="BM9" s="107">
        <f t="shared" si="4"/>
        <v>0</v>
      </c>
      <c r="BN9" s="107">
        <f t="shared" si="4"/>
        <v>0</v>
      </c>
      <c r="BO9" s="107">
        <f t="shared" si="4"/>
        <v>0</v>
      </c>
      <c r="BP9" s="107">
        <f t="shared" si="4"/>
        <v>0</v>
      </c>
      <c r="BQ9" s="107">
        <f t="shared" si="4"/>
        <v>0</v>
      </c>
      <c r="BR9" s="107">
        <f t="shared" si="4"/>
        <v>0</v>
      </c>
      <c r="BS9" s="107">
        <f t="shared" si="4"/>
        <v>0</v>
      </c>
      <c r="BT9" s="107">
        <f t="shared" si="4"/>
        <v>0</v>
      </c>
      <c r="BU9" s="107">
        <f t="shared" si="4"/>
        <v>0</v>
      </c>
      <c r="BV9" s="107">
        <f t="shared" si="4"/>
        <v>0</v>
      </c>
      <c r="BW9" s="107">
        <f t="shared" si="4"/>
        <v>0</v>
      </c>
      <c r="BX9" s="107">
        <f t="shared" si="4"/>
        <v>0</v>
      </c>
      <c r="BY9" s="107">
        <f t="shared" si="4"/>
        <v>0</v>
      </c>
      <c r="BZ9" s="107">
        <f t="shared" si="4"/>
        <v>0</v>
      </c>
      <c r="CA9" s="107">
        <f t="shared" si="4"/>
        <v>0</v>
      </c>
      <c r="CB9" s="107">
        <f t="shared" si="4"/>
        <v>0</v>
      </c>
      <c r="CC9" s="107">
        <f>SUM('402'!CC10:CC51)</f>
        <v>13</v>
      </c>
      <c r="CD9" s="107">
        <f>SUM(CD10:CD51)</f>
        <v>0</v>
      </c>
      <c r="CE9" s="47">
        <f>COUNTIF(BI9:CD9,"&gt;0")</f>
        <v>2</v>
      </c>
      <c r="CF9" s="52">
        <f>SUM(BH9+CE9)</f>
        <v>6</v>
      </c>
      <c r="CG9" s="107">
        <f t="shared" ref="CG9:CR9" si="5">SUM(CG11:CG51)</f>
        <v>32</v>
      </c>
      <c r="CH9" s="107">
        <f t="shared" si="5"/>
        <v>0</v>
      </c>
      <c r="CI9" s="107">
        <f t="shared" si="5"/>
        <v>0</v>
      </c>
      <c r="CJ9" s="107">
        <f t="shared" si="5"/>
        <v>0</v>
      </c>
      <c r="CK9" s="107">
        <f t="shared" si="5"/>
        <v>0</v>
      </c>
      <c r="CL9" s="107">
        <f t="shared" si="5"/>
        <v>0</v>
      </c>
      <c r="CM9" s="107">
        <f t="shared" si="5"/>
        <v>0</v>
      </c>
      <c r="CN9" s="107">
        <f t="shared" si="5"/>
        <v>0</v>
      </c>
      <c r="CO9" s="107">
        <f t="shared" si="5"/>
        <v>0</v>
      </c>
      <c r="CP9" s="107">
        <f t="shared" si="5"/>
        <v>0</v>
      </c>
      <c r="CQ9" s="107">
        <f t="shared" si="5"/>
        <v>0</v>
      </c>
      <c r="CR9" s="107">
        <f t="shared" si="5"/>
        <v>0</v>
      </c>
      <c r="CS9" s="109">
        <f>COUNTIF(CG9:CR9,"&gt;0")</f>
        <v>1</v>
      </c>
      <c r="CT9" s="110">
        <f>SUM(CF9+CS9)</f>
        <v>7</v>
      </c>
    </row>
    <row r="10">
      <c r="A10" s="50">
        <v>1.0</v>
      </c>
      <c r="B10" s="111" t="s">
        <v>51</v>
      </c>
      <c r="C10" s="112" t="s">
        <v>52</v>
      </c>
      <c r="D10" s="91">
        <f t="shared" si="6"/>
        <v>0</v>
      </c>
      <c r="E10" s="113">
        <f t="shared" ref="E10:E51" si="7">(D10)/D$9*100</f>
        <v>0</v>
      </c>
      <c r="F10" s="114">
        <f t="shared" ref="F10:F51" si="8">IF(E10&lt;50,E10, "  ")</f>
        <v>0</v>
      </c>
      <c r="G10" s="114">
        <f t="shared" ref="G10:G51" si="9">IF(E10&lt;30,E10, "  ")</f>
        <v>0</v>
      </c>
      <c r="H10" s="116"/>
      <c r="I10" s="116"/>
      <c r="J10" s="116"/>
      <c r="K10" s="116"/>
      <c r="L10" s="116"/>
      <c r="M10" s="118">
        <f t="shared" ref="M10:M51" si="10">SUM(H10:L10)</f>
        <v>0</v>
      </c>
      <c r="N10" s="119" t="str">
        <f t="shared" ref="N10:N50" si="11">M10/M$9*100</f>
        <v>#DIV/0!</v>
      </c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20">
        <f t="shared" ref="AJ10:AJ51" si="12">SUM(O10:AI10)</f>
        <v>0</v>
      </c>
      <c r="AK10" s="121">
        <f t="shared" ref="AK10:AK51" si="13">AJ10/AJ$9*100</f>
        <v>0</v>
      </c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6"/>
      <c r="BF10" s="116"/>
      <c r="BG10" s="118">
        <f t="shared" ref="BG10:BG51" si="14">SUM(AL10:BF10)</f>
        <v>0</v>
      </c>
      <c r="BH10" s="122">
        <f t="shared" ref="BH10:BH51" si="15">BG10/BG$9*100</f>
        <v>0</v>
      </c>
      <c r="BI10" s="116"/>
      <c r="BJ10" s="116"/>
      <c r="BK10" s="116"/>
      <c r="BL10" s="116"/>
      <c r="BM10" s="116"/>
      <c r="BN10" s="116"/>
      <c r="BO10" s="116"/>
      <c r="BP10" s="116"/>
      <c r="BQ10" s="116"/>
      <c r="BR10" s="116"/>
      <c r="BS10" s="116"/>
      <c r="BT10" s="116"/>
      <c r="BU10" s="116"/>
      <c r="BV10" s="116"/>
      <c r="BW10" s="43"/>
      <c r="BX10" s="43"/>
      <c r="BY10" s="43"/>
      <c r="BZ10" s="43"/>
      <c r="CA10" s="43"/>
      <c r="CB10" s="43"/>
      <c r="CD10" s="43"/>
      <c r="CE10" s="124">
        <f t="shared" ref="CE10:CE51" si="16">SUM(BI10:CD10)</f>
        <v>0</v>
      </c>
      <c r="CF10" s="125">
        <f t="shared" ref="CF10:CF51" si="17">CE10/CE$9*100</f>
        <v>0</v>
      </c>
      <c r="CG10" s="43"/>
      <c r="CH10" s="43"/>
      <c r="CI10" s="43"/>
      <c r="CJ10" s="43"/>
      <c r="CK10" s="43"/>
      <c r="CL10" s="43"/>
      <c r="CM10" s="43"/>
      <c r="CN10" s="43"/>
      <c r="CO10" s="43"/>
      <c r="CP10" s="43"/>
      <c r="CQ10" s="43"/>
      <c r="CR10" s="43"/>
      <c r="CS10" s="128">
        <f t="shared" ref="CS10:CS47" si="18">SUM(CG10:CR10)</f>
        <v>0</v>
      </c>
      <c r="CT10" s="129">
        <f t="shared" ref="CT10:CT47" si="19">CS10/CS$9*100</f>
        <v>0</v>
      </c>
    </row>
    <row r="11">
      <c r="A11" s="131">
        <v>2.0</v>
      </c>
      <c r="B11" s="111" t="s">
        <v>53</v>
      </c>
      <c r="C11" s="112" t="s">
        <v>54</v>
      </c>
      <c r="D11" s="91">
        <f t="shared" si="6"/>
        <v>5</v>
      </c>
      <c r="E11" s="113">
        <f t="shared" si="7"/>
        <v>71.42857143</v>
      </c>
      <c r="F11" s="133" t="str">
        <f t="shared" si="8"/>
        <v>  </v>
      </c>
      <c r="G11" s="135" t="str">
        <f t="shared" si="9"/>
        <v>  </v>
      </c>
      <c r="H11" s="116"/>
      <c r="I11" s="116"/>
      <c r="J11" s="116"/>
      <c r="K11" s="116"/>
      <c r="L11" s="116"/>
      <c r="M11" s="118">
        <f t="shared" si="10"/>
        <v>0</v>
      </c>
      <c r="N11" s="119" t="str">
        <f t="shared" si="11"/>
        <v>#DIV/0!</v>
      </c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38">
        <v>1.0</v>
      </c>
      <c r="AJ11" s="120">
        <f t="shared" si="12"/>
        <v>1</v>
      </c>
      <c r="AK11" s="121">
        <f t="shared" si="13"/>
        <v>100</v>
      </c>
      <c r="AL11" s="116"/>
      <c r="AM11" s="116"/>
      <c r="AN11" s="116"/>
      <c r="AO11" s="116"/>
      <c r="AP11" s="138">
        <v>1.0</v>
      </c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38">
        <v>1.0</v>
      </c>
      <c r="BC11" s="116"/>
      <c r="BD11" s="116"/>
      <c r="BE11" s="116"/>
      <c r="BF11" s="116"/>
      <c r="BG11" s="118">
        <f t="shared" si="14"/>
        <v>2</v>
      </c>
      <c r="BH11" s="122">
        <f t="shared" si="15"/>
        <v>66.66666667</v>
      </c>
      <c r="BI11" s="116"/>
      <c r="BJ11" s="116"/>
      <c r="BK11" s="116"/>
      <c r="BL11" s="138">
        <v>1.0</v>
      </c>
      <c r="BM11" s="116"/>
      <c r="BN11" s="116"/>
      <c r="BO11" s="116"/>
      <c r="BP11" s="116"/>
      <c r="BQ11" s="116"/>
      <c r="BR11" s="116"/>
      <c r="BS11" s="116"/>
      <c r="BT11" s="116"/>
      <c r="BU11" s="116"/>
      <c r="BV11" s="116"/>
      <c r="BW11" s="43"/>
      <c r="BX11" s="43"/>
      <c r="BY11" s="43"/>
      <c r="BZ11" s="43"/>
      <c r="CA11" s="43"/>
      <c r="CB11" s="43"/>
      <c r="CD11" s="43"/>
      <c r="CE11" s="124">
        <f t="shared" si="16"/>
        <v>1</v>
      </c>
      <c r="CF11" s="125">
        <f t="shared" si="17"/>
        <v>50</v>
      </c>
      <c r="CG11" s="145">
        <v>1.0</v>
      </c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128">
        <f t="shared" si="18"/>
        <v>1</v>
      </c>
      <c r="CT11" s="129">
        <f t="shared" si="19"/>
        <v>100</v>
      </c>
    </row>
    <row r="12" ht="18.0" customHeight="1">
      <c r="A12" s="146">
        <v>3.0</v>
      </c>
      <c r="B12" s="111" t="s">
        <v>55</v>
      </c>
      <c r="C12" s="112" t="s">
        <v>56</v>
      </c>
      <c r="D12" s="91">
        <f t="shared" si="6"/>
        <v>4</v>
      </c>
      <c r="E12" s="113">
        <f t="shared" si="7"/>
        <v>57.14285714</v>
      </c>
      <c r="F12" s="92" t="str">
        <f t="shared" si="8"/>
        <v>  </v>
      </c>
      <c r="G12" s="149" t="str">
        <f t="shared" si="9"/>
        <v>  </v>
      </c>
      <c r="H12" s="116"/>
      <c r="I12" s="150"/>
      <c r="J12" s="116"/>
      <c r="K12" s="116"/>
      <c r="L12" s="116"/>
      <c r="M12" s="118">
        <f t="shared" si="10"/>
        <v>0</v>
      </c>
      <c r="N12" s="119" t="str">
        <f t="shared" si="11"/>
        <v>#DIV/0!</v>
      </c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20">
        <f t="shared" si="12"/>
        <v>0</v>
      </c>
      <c r="AK12" s="151">
        <f t="shared" si="13"/>
        <v>0</v>
      </c>
      <c r="AL12" s="116"/>
      <c r="AM12" s="116"/>
      <c r="AN12" s="116"/>
      <c r="AO12" s="116"/>
      <c r="AP12" s="138">
        <v>1.0</v>
      </c>
      <c r="AQ12" s="116"/>
      <c r="AR12" s="116"/>
      <c r="AS12" s="116"/>
      <c r="AT12" s="116"/>
      <c r="AU12" s="138">
        <v>1.0</v>
      </c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8">
        <f t="shared" si="14"/>
        <v>2</v>
      </c>
      <c r="BH12" s="122">
        <f t="shared" si="15"/>
        <v>66.66666667</v>
      </c>
      <c r="BI12" s="116"/>
      <c r="BJ12" s="116"/>
      <c r="BK12" s="116"/>
      <c r="BL12" s="138">
        <v>1.0</v>
      </c>
      <c r="BM12" s="116"/>
      <c r="BN12" s="116"/>
      <c r="BO12" s="116"/>
      <c r="BP12" s="116"/>
      <c r="BQ12" s="116"/>
      <c r="BR12" s="116"/>
      <c r="BS12" s="116"/>
      <c r="BT12" s="116"/>
      <c r="BU12" s="116"/>
      <c r="BV12" s="116"/>
      <c r="BW12" s="43"/>
      <c r="BX12" s="43"/>
      <c r="BY12" s="43"/>
      <c r="BZ12" s="43"/>
      <c r="CA12" s="43"/>
      <c r="CB12" s="43"/>
      <c r="CD12" s="43"/>
      <c r="CE12" s="155">
        <f t="shared" si="16"/>
        <v>1</v>
      </c>
      <c r="CF12" s="156">
        <f t="shared" si="17"/>
        <v>50</v>
      </c>
      <c r="CG12" s="145">
        <v>1.0</v>
      </c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157">
        <f t="shared" si="18"/>
        <v>1</v>
      </c>
      <c r="CT12" s="158">
        <f t="shared" si="19"/>
        <v>100</v>
      </c>
    </row>
    <row r="13">
      <c r="A13" s="50">
        <v>4.0</v>
      </c>
      <c r="B13" s="161" t="s">
        <v>57</v>
      </c>
      <c r="C13" s="162" t="s">
        <v>58</v>
      </c>
      <c r="D13" s="91">
        <f t="shared" si="6"/>
        <v>4</v>
      </c>
      <c r="E13" s="113">
        <f t="shared" si="7"/>
        <v>57.14285714</v>
      </c>
      <c r="F13" s="114" t="str">
        <f t="shared" si="8"/>
        <v>  </v>
      </c>
      <c r="G13" s="164" t="str">
        <f t="shared" si="9"/>
        <v>  </v>
      </c>
      <c r="H13" s="165"/>
      <c r="I13" s="116"/>
      <c r="J13" s="116"/>
      <c r="K13" s="116"/>
      <c r="L13" s="116"/>
      <c r="M13" s="118">
        <f t="shared" si="10"/>
        <v>0</v>
      </c>
      <c r="N13" s="119" t="str">
        <f t="shared" si="11"/>
        <v>#DIV/0!</v>
      </c>
      <c r="O13" s="165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65"/>
      <c r="AG13" s="165"/>
      <c r="AH13" s="165"/>
      <c r="AI13" s="165"/>
      <c r="AJ13" s="168">
        <f t="shared" si="12"/>
        <v>0</v>
      </c>
      <c r="AK13" s="169">
        <f t="shared" si="13"/>
        <v>0</v>
      </c>
      <c r="AL13" s="165"/>
      <c r="AM13" s="116"/>
      <c r="AN13" s="116"/>
      <c r="AO13" s="116"/>
      <c r="AP13" s="138">
        <v>1.0</v>
      </c>
      <c r="AQ13" s="116"/>
      <c r="AR13" s="116"/>
      <c r="AS13" s="116"/>
      <c r="AT13" s="116"/>
      <c r="AU13" s="138">
        <v>1.0</v>
      </c>
      <c r="AV13" s="116"/>
      <c r="AW13" s="116"/>
      <c r="AX13" s="116"/>
      <c r="AY13" s="116"/>
      <c r="AZ13" s="116"/>
      <c r="BA13" s="116"/>
      <c r="BB13" s="116"/>
      <c r="BC13" s="116"/>
      <c r="BD13" s="116"/>
      <c r="BE13" s="116"/>
      <c r="BF13" s="116"/>
      <c r="BG13" s="118">
        <f t="shared" si="14"/>
        <v>2</v>
      </c>
      <c r="BH13" s="122">
        <f t="shared" si="15"/>
        <v>66.66666667</v>
      </c>
      <c r="BI13" s="165"/>
      <c r="BJ13" s="116"/>
      <c r="BK13" s="116"/>
      <c r="BL13" s="138">
        <v>1.0</v>
      </c>
      <c r="BM13" s="116"/>
      <c r="BN13" s="116"/>
      <c r="BO13" s="116"/>
      <c r="BP13" s="116"/>
      <c r="BQ13" s="116"/>
      <c r="BR13" s="116"/>
      <c r="BS13" s="116"/>
      <c r="BT13" s="116"/>
      <c r="BU13" s="116"/>
      <c r="BV13" s="116"/>
      <c r="BW13" s="43"/>
      <c r="BX13" s="43"/>
      <c r="BY13" s="43"/>
      <c r="BZ13" s="43"/>
      <c r="CA13" s="43"/>
      <c r="CB13" s="43"/>
      <c r="CD13" s="43"/>
      <c r="CE13" s="172">
        <f t="shared" si="16"/>
        <v>1</v>
      </c>
      <c r="CF13" s="173">
        <f t="shared" si="17"/>
        <v>50</v>
      </c>
      <c r="CG13" s="174">
        <v>1.0</v>
      </c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175">
        <f t="shared" si="18"/>
        <v>1</v>
      </c>
      <c r="CT13" s="158">
        <f t="shared" si="19"/>
        <v>100</v>
      </c>
    </row>
    <row r="14">
      <c r="A14" s="131">
        <v>5.0</v>
      </c>
      <c r="B14" s="111" t="s">
        <v>59</v>
      </c>
      <c r="C14" s="112" t="s">
        <v>60</v>
      </c>
      <c r="D14" s="91">
        <f t="shared" si="6"/>
        <v>5</v>
      </c>
      <c r="E14" s="113">
        <f t="shared" si="7"/>
        <v>71.42857143</v>
      </c>
      <c r="F14" s="92" t="str">
        <f t="shared" si="8"/>
        <v>  </v>
      </c>
      <c r="G14" s="164" t="str">
        <f t="shared" si="9"/>
        <v>  </v>
      </c>
      <c r="H14" s="165"/>
      <c r="I14" s="116"/>
      <c r="J14" s="43"/>
      <c r="K14" s="116"/>
      <c r="L14" s="116"/>
      <c r="M14" s="118">
        <f t="shared" si="10"/>
        <v>0</v>
      </c>
      <c r="N14" s="119" t="str">
        <f t="shared" si="11"/>
        <v>#DIV/0!</v>
      </c>
      <c r="O14" s="176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  <c r="AA14" s="179"/>
      <c r="AB14" s="179"/>
      <c r="AC14" s="179"/>
      <c r="AD14" s="179"/>
      <c r="AE14" s="179"/>
      <c r="AF14" s="176"/>
      <c r="AG14" s="176"/>
      <c r="AH14" s="176"/>
      <c r="AI14" s="182">
        <v>1.0</v>
      </c>
      <c r="AJ14" s="168">
        <f t="shared" si="12"/>
        <v>1</v>
      </c>
      <c r="AK14" s="169">
        <f t="shared" si="13"/>
        <v>100</v>
      </c>
      <c r="AL14" s="183"/>
      <c r="AM14" s="179"/>
      <c r="AN14" s="179"/>
      <c r="AO14" s="179"/>
      <c r="AP14" s="179"/>
      <c r="AQ14" s="179"/>
      <c r="AR14" s="179"/>
      <c r="AS14" s="179"/>
      <c r="AT14" s="179"/>
      <c r="AU14" s="184">
        <v>1.0</v>
      </c>
      <c r="AV14" s="179"/>
      <c r="AW14" s="179"/>
      <c r="AX14" s="179"/>
      <c r="AY14" s="179"/>
      <c r="AZ14" s="179"/>
      <c r="BA14" s="179"/>
      <c r="BB14" s="184">
        <v>1.0</v>
      </c>
      <c r="BC14" s="179"/>
      <c r="BD14" s="179"/>
      <c r="BE14" s="179"/>
      <c r="BF14" s="179"/>
      <c r="BG14" s="118">
        <f t="shared" si="14"/>
        <v>2</v>
      </c>
      <c r="BH14" s="122">
        <f t="shared" si="15"/>
        <v>66.66666667</v>
      </c>
      <c r="BI14" s="176"/>
      <c r="BJ14" s="179"/>
      <c r="BK14" s="179"/>
      <c r="BL14" s="184">
        <v>1.0</v>
      </c>
      <c r="BM14" s="179"/>
      <c r="BN14" s="179"/>
      <c r="BO14" s="179"/>
      <c r="BP14" s="179"/>
      <c r="BQ14" s="179"/>
      <c r="BR14" s="179"/>
      <c r="BS14" s="179"/>
      <c r="BT14" s="179"/>
      <c r="BU14" s="179"/>
      <c r="BV14" s="179"/>
      <c r="BW14" s="186"/>
      <c r="BX14" s="186"/>
      <c r="BY14" s="186"/>
      <c r="BZ14" s="186"/>
      <c r="CA14" s="186"/>
      <c r="CB14" s="186"/>
      <c r="CD14" s="186"/>
      <c r="CE14" s="172">
        <f t="shared" si="16"/>
        <v>1</v>
      </c>
      <c r="CF14" s="173">
        <f t="shared" si="17"/>
        <v>50</v>
      </c>
      <c r="CG14" s="189">
        <v>1.0</v>
      </c>
      <c r="CH14" s="186"/>
      <c r="CI14" s="186"/>
      <c r="CJ14" s="186"/>
      <c r="CK14" s="186"/>
      <c r="CL14" s="186"/>
      <c r="CM14" s="186"/>
      <c r="CN14" s="186"/>
      <c r="CO14" s="186"/>
      <c r="CP14" s="186"/>
      <c r="CQ14" s="186"/>
      <c r="CR14" s="186"/>
      <c r="CS14" s="175">
        <f t="shared" si="18"/>
        <v>1</v>
      </c>
      <c r="CT14" s="158">
        <f t="shared" si="19"/>
        <v>100</v>
      </c>
    </row>
    <row r="15">
      <c r="A15" s="146">
        <v>6.0</v>
      </c>
      <c r="B15" s="111" t="s">
        <v>62</v>
      </c>
      <c r="C15" s="112" t="s">
        <v>63</v>
      </c>
      <c r="D15" s="91">
        <f t="shared" si="6"/>
        <v>5</v>
      </c>
      <c r="E15" s="113">
        <f t="shared" si="7"/>
        <v>71.42857143</v>
      </c>
      <c r="F15" s="92" t="str">
        <f t="shared" si="8"/>
        <v>  </v>
      </c>
      <c r="G15" s="164" t="str">
        <f t="shared" si="9"/>
        <v>  </v>
      </c>
      <c r="H15" s="192"/>
      <c r="I15" s="193"/>
      <c r="J15" s="116"/>
      <c r="K15" s="116"/>
      <c r="L15" s="116"/>
      <c r="M15" s="118">
        <f t="shared" si="10"/>
        <v>0</v>
      </c>
      <c r="N15" s="119" t="str">
        <f t="shared" si="11"/>
        <v>#DIV/0!</v>
      </c>
      <c r="O15" s="195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  <c r="AB15" s="186"/>
      <c r="AC15" s="186"/>
      <c r="AD15" s="186"/>
      <c r="AE15" s="186"/>
      <c r="AF15" s="195"/>
      <c r="AG15" s="195"/>
      <c r="AH15" s="195"/>
      <c r="AI15" s="197">
        <v>1.0</v>
      </c>
      <c r="AJ15" s="168">
        <f t="shared" si="12"/>
        <v>1</v>
      </c>
      <c r="AK15" s="169">
        <f t="shared" si="13"/>
        <v>100</v>
      </c>
      <c r="AL15" s="199"/>
      <c r="AM15" s="186"/>
      <c r="AN15" s="186"/>
      <c r="AO15" s="186"/>
      <c r="AP15" s="200">
        <v>1.0</v>
      </c>
      <c r="AQ15" s="186"/>
      <c r="AR15" s="186"/>
      <c r="AS15" s="186"/>
      <c r="AT15" s="186"/>
      <c r="AU15" s="200">
        <v>1.0</v>
      </c>
      <c r="AV15" s="186"/>
      <c r="AW15" s="186"/>
      <c r="AX15" s="186"/>
      <c r="AY15" s="186"/>
      <c r="AZ15" s="186"/>
      <c r="BA15" s="186"/>
      <c r="BB15" s="186"/>
      <c r="BC15" s="186"/>
      <c r="BD15" s="186"/>
      <c r="BE15" s="186"/>
      <c r="BF15" s="186"/>
      <c r="BG15" s="118">
        <f t="shared" si="14"/>
        <v>2</v>
      </c>
      <c r="BH15" s="122">
        <f t="shared" si="15"/>
        <v>66.66666667</v>
      </c>
      <c r="BI15" s="195"/>
      <c r="BJ15" s="186"/>
      <c r="BK15" s="186"/>
      <c r="BL15" s="200">
        <v>1.0</v>
      </c>
      <c r="BM15" s="186"/>
      <c r="BN15" s="186"/>
      <c r="BO15" s="186"/>
      <c r="BP15" s="186"/>
      <c r="BQ15" s="186"/>
      <c r="BR15" s="186"/>
      <c r="BS15" s="186"/>
      <c r="BT15" s="186"/>
      <c r="BU15" s="186"/>
      <c r="BV15" s="186"/>
      <c r="BW15" s="186"/>
      <c r="BX15" s="186"/>
      <c r="BY15" s="186"/>
      <c r="BZ15" s="186"/>
      <c r="CA15" s="186"/>
      <c r="CB15" s="186"/>
      <c r="CD15" s="186"/>
      <c r="CE15" s="172">
        <f t="shared" si="16"/>
        <v>1</v>
      </c>
      <c r="CF15" s="173">
        <f t="shared" si="17"/>
        <v>50</v>
      </c>
      <c r="CG15" s="189">
        <v>1.0</v>
      </c>
      <c r="CH15" s="186"/>
      <c r="CI15" s="186"/>
      <c r="CJ15" s="186"/>
      <c r="CK15" s="186"/>
      <c r="CL15" s="186"/>
      <c r="CM15" s="186"/>
      <c r="CN15" s="186"/>
      <c r="CO15" s="186"/>
      <c r="CP15" s="186"/>
      <c r="CQ15" s="186"/>
      <c r="CR15" s="186"/>
      <c r="CS15" s="175">
        <f t="shared" si="18"/>
        <v>1</v>
      </c>
      <c r="CT15" s="158">
        <f t="shared" si="19"/>
        <v>100</v>
      </c>
    </row>
    <row r="16">
      <c r="A16" s="50">
        <v>7.0</v>
      </c>
      <c r="B16" s="111" t="s">
        <v>64</v>
      </c>
      <c r="C16" s="112" t="s">
        <v>65</v>
      </c>
      <c r="D16" s="91">
        <f t="shared" si="6"/>
        <v>0</v>
      </c>
      <c r="E16" s="113">
        <f t="shared" si="7"/>
        <v>0</v>
      </c>
      <c r="F16" s="114">
        <f t="shared" si="8"/>
        <v>0</v>
      </c>
      <c r="G16" s="202">
        <f t="shared" si="9"/>
        <v>0</v>
      </c>
      <c r="H16" s="165"/>
      <c r="I16" s="43"/>
      <c r="J16" s="150"/>
      <c r="K16" s="116"/>
      <c r="L16" s="116"/>
      <c r="M16" s="118">
        <f t="shared" si="10"/>
        <v>0</v>
      </c>
      <c r="N16" s="119" t="str">
        <f t="shared" si="11"/>
        <v>#DIV/0!</v>
      </c>
      <c r="O16" s="176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  <c r="AA16" s="179"/>
      <c r="AB16" s="179"/>
      <c r="AC16" s="179"/>
      <c r="AD16" s="179"/>
      <c r="AE16" s="179"/>
      <c r="AF16" s="176"/>
      <c r="AG16" s="176"/>
      <c r="AH16" s="176"/>
      <c r="AI16" s="176"/>
      <c r="AJ16" s="168">
        <f t="shared" si="12"/>
        <v>0</v>
      </c>
      <c r="AK16" s="169">
        <f t="shared" si="13"/>
        <v>0</v>
      </c>
      <c r="AL16" s="183"/>
      <c r="AM16" s="179"/>
      <c r="AN16" s="179"/>
      <c r="AO16" s="179"/>
      <c r="AP16" s="179"/>
      <c r="AQ16" s="179"/>
      <c r="AR16" s="179"/>
      <c r="AS16" s="179"/>
      <c r="AT16" s="179"/>
      <c r="AU16" s="179"/>
      <c r="AV16" s="179"/>
      <c r="AW16" s="179"/>
      <c r="AX16" s="179"/>
      <c r="AY16" s="179"/>
      <c r="AZ16" s="179"/>
      <c r="BA16" s="179"/>
      <c r="BB16" s="179"/>
      <c r="BC16" s="179"/>
      <c r="BD16" s="179"/>
      <c r="BE16" s="179"/>
      <c r="BF16" s="179"/>
      <c r="BG16" s="118">
        <f t="shared" si="14"/>
        <v>0</v>
      </c>
      <c r="BH16" s="122">
        <f t="shared" si="15"/>
        <v>0</v>
      </c>
      <c r="BI16" s="176"/>
      <c r="BJ16" s="179"/>
      <c r="BK16" s="179"/>
      <c r="BL16" s="179"/>
      <c r="BM16" s="179"/>
      <c r="BN16" s="179"/>
      <c r="BO16" s="179"/>
      <c r="BP16" s="179"/>
      <c r="BQ16" s="179"/>
      <c r="BR16" s="179"/>
      <c r="BS16" s="179"/>
      <c r="BT16" s="179"/>
      <c r="BU16" s="179"/>
      <c r="BV16" s="179"/>
      <c r="BW16" s="186"/>
      <c r="BX16" s="186"/>
      <c r="BY16" s="186"/>
      <c r="BZ16" s="186"/>
      <c r="CA16" s="186"/>
      <c r="CB16" s="186"/>
      <c r="CD16" s="186"/>
      <c r="CE16" s="172">
        <f t="shared" si="16"/>
        <v>0</v>
      </c>
      <c r="CF16" s="173">
        <f t="shared" si="17"/>
        <v>0</v>
      </c>
      <c r="CG16" s="199"/>
      <c r="CH16" s="186"/>
      <c r="CI16" s="186"/>
      <c r="CJ16" s="186"/>
      <c r="CK16" s="186"/>
      <c r="CL16" s="186"/>
      <c r="CM16" s="186"/>
      <c r="CN16" s="186"/>
      <c r="CO16" s="186"/>
      <c r="CP16" s="186"/>
      <c r="CQ16" s="186"/>
      <c r="CR16" s="186"/>
      <c r="CS16" s="175">
        <f t="shared" si="18"/>
        <v>0</v>
      </c>
      <c r="CT16" s="158">
        <f t="shared" si="19"/>
        <v>0</v>
      </c>
    </row>
    <row r="17">
      <c r="A17" s="131">
        <v>8.0</v>
      </c>
      <c r="B17" s="111" t="s">
        <v>66</v>
      </c>
      <c r="C17" s="112" t="s">
        <v>67</v>
      </c>
      <c r="D17" s="91">
        <f t="shared" si="6"/>
        <v>2</v>
      </c>
      <c r="E17" s="113">
        <f t="shared" si="7"/>
        <v>28.57142857</v>
      </c>
      <c r="F17" s="114">
        <f t="shared" si="8"/>
        <v>28.57142857</v>
      </c>
      <c r="G17" s="202">
        <f t="shared" si="9"/>
        <v>28.57142857</v>
      </c>
      <c r="H17" s="165"/>
      <c r="I17" s="150"/>
      <c r="J17" s="150"/>
      <c r="K17" s="116"/>
      <c r="L17" s="116"/>
      <c r="M17" s="118">
        <f t="shared" si="10"/>
        <v>0</v>
      </c>
      <c r="N17" s="119" t="str">
        <f t="shared" si="11"/>
        <v>#DIV/0!</v>
      </c>
      <c r="O17" s="206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  <c r="AC17" s="207"/>
      <c r="AD17" s="207"/>
      <c r="AE17" s="207"/>
      <c r="AF17" s="206"/>
      <c r="AG17" s="206"/>
      <c r="AH17" s="206"/>
      <c r="AI17" s="209">
        <v>1.0</v>
      </c>
      <c r="AJ17" s="168">
        <f t="shared" si="12"/>
        <v>1</v>
      </c>
      <c r="AK17" s="169">
        <f t="shared" si="13"/>
        <v>100</v>
      </c>
      <c r="AL17" s="212"/>
      <c r="AM17" s="207"/>
      <c r="AN17" s="207"/>
      <c r="AO17" s="207"/>
      <c r="AP17" s="207"/>
      <c r="AQ17" s="207"/>
      <c r="AR17" s="207"/>
      <c r="AS17" s="207"/>
      <c r="AT17" s="207"/>
      <c r="AU17" s="207"/>
      <c r="AV17" s="207"/>
      <c r="AW17" s="207"/>
      <c r="AX17" s="207"/>
      <c r="AY17" s="207"/>
      <c r="AZ17" s="207"/>
      <c r="BA17" s="207"/>
      <c r="BB17" s="207"/>
      <c r="BC17" s="207"/>
      <c r="BD17" s="207"/>
      <c r="BE17" s="207"/>
      <c r="BF17" s="207"/>
      <c r="BG17" s="118">
        <f t="shared" si="14"/>
        <v>0</v>
      </c>
      <c r="BH17" s="122">
        <f t="shared" si="15"/>
        <v>0</v>
      </c>
      <c r="BI17" s="206"/>
      <c r="BJ17" s="207"/>
      <c r="BK17" s="207"/>
      <c r="BL17" s="207"/>
      <c r="BM17" s="207"/>
      <c r="BN17" s="207"/>
      <c r="BO17" s="207"/>
      <c r="BP17" s="207"/>
      <c r="BQ17" s="207"/>
      <c r="BR17" s="207"/>
      <c r="BS17" s="207"/>
      <c r="BT17" s="207"/>
      <c r="BU17" s="207"/>
      <c r="BV17" s="207"/>
      <c r="BW17" s="186"/>
      <c r="BX17" s="186"/>
      <c r="BY17" s="186"/>
      <c r="BZ17" s="186"/>
      <c r="CA17" s="186"/>
      <c r="CB17" s="186"/>
      <c r="CD17" s="186"/>
      <c r="CE17" s="172">
        <f t="shared" si="16"/>
        <v>0</v>
      </c>
      <c r="CF17" s="173">
        <f t="shared" si="17"/>
        <v>0</v>
      </c>
      <c r="CG17" s="189">
        <v>1.0</v>
      </c>
      <c r="CH17" s="186"/>
      <c r="CI17" s="186"/>
      <c r="CJ17" s="186"/>
      <c r="CK17" s="186"/>
      <c r="CL17" s="186"/>
      <c r="CM17" s="186"/>
      <c r="CN17" s="186"/>
      <c r="CO17" s="186"/>
      <c r="CP17" s="186"/>
      <c r="CQ17" s="186"/>
      <c r="CR17" s="186"/>
      <c r="CS17" s="175">
        <f t="shared" si="18"/>
        <v>1</v>
      </c>
      <c r="CT17" s="158">
        <f t="shared" si="19"/>
        <v>100</v>
      </c>
    </row>
    <row r="18" ht="15.0" customHeight="1">
      <c r="A18" s="146">
        <v>9.0</v>
      </c>
      <c r="B18" s="111" t="s">
        <v>68</v>
      </c>
      <c r="C18" s="112" t="s">
        <v>69</v>
      </c>
      <c r="D18" s="91">
        <f t="shared" si="6"/>
        <v>5</v>
      </c>
      <c r="E18" s="113">
        <f t="shared" si="7"/>
        <v>71.42857143</v>
      </c>
      <c r="F18" s="114" t="str">
        <f t="shared" si="8"/>
        <v>  </v>
      </c>
      <c r="G18" s="164" t="str">
        <f t="shared" si="9"/>
        <v>  </v>
      </c>
      <c r="H18" s="165"/>
      <c r="I18" s="150"/>
      <c r="J18" s="116"/>
      <c r="K18" s="116"/>
      <c r="L18" s="116"/>
      <c r="M18" s="118">
        <f t="shared" si="10"/>
        <v>0</v>
      </c>
      <c r="N18" s="119" t="str">
        <f t="shared" si="11"/>
        <v>#DIV/0!</v>
      </c>
      <c r="O18" s="195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86"/>
      <c r="AD18" s="186"/>
      <c r="AE18" s="186"/>
      <c r="AF18" s="195"/>
      <c r="AG18" s="195"/>
      <c r="AH18" s="195"/>
      <c r="AI18" s="197">
        <v>1.0</v>
      </c>
      <c r="AJ18" s="168">
        <f t="shared" si="12"/>
        <v>1</v>
      </c>
      <c r="AK18" s="169">
        <f t="shared" si="13"/>
        <v>100</v>
      </c>
      <c r="AL18" s="199"/>
      <c r="AM18" s="186"/>
      <c r="AN18" s="186"/>
      <c r="AO18" s="186"/>
      <c r="AP18" s="200">
        <v>1.0</v>
      </c>
      <c r="AQ18" s="186"/>
      <c r="AR18" s="186"/>
      <c r="AS18" s="186"/>
      <c r="AT18" s="186"/>
      <c r="AU18" s="200">
        <v>1.0</v>
      </c>
      <c r="AV18" s="186"/>
      <c r="AW18" s="186"/>
      <c r="AX18" s="186"/>
      <c r="AY18" s="186"/>
      <c r="AZ18" s="186"/>
      <c r="BA18" s="186"/>
      <c r="BB18" s="186"/>
      <c r="BC18" s="186"/>
      <c r="BD18" s="186"/>
      <c r="BE18" s="186"/>
      <c r="BF18" s="186"/>
      <c r="BG18" s="118">
        <f t="shared" si="14"/>
        <v>2</v>
      </c>
      <c r="BH18" s="122">
        <f t="shared" si="15"/>
        <v>66.66666667</v>
      </c>
      <c r="BI18" s="195"/>
      <c r="BJ18" s="186"/>
      <c r="BK18" s="186"/>
      <c r="BL18" s="200">
        <v>1.0</v>
      </c>
      <c r="BM18" s="186"/>
      <c r="BN18" s="186"/>
      <c r="BO18" s="186"/>
      <c r="BP18" s="186"/>
      <c r="BQ18" s="186"/>
      <c r="BR18" s="186"/>
      <c r="BS18" s="186"/>
      <c r="BT18" s="186"/>
      <c r="BU18" s="186"/>
      <c r="BV18" s="186"/>
      <c r="BW18" s="186"/>
      <c r="BX18" s="186"/>
      <c r="BY18" s="186"/>
      <c r="BZ18" s="186"/>
      <c r="CA18" s="186"/>
      <c r="CB18" s="186"/>
      <c r="CD18" s="186"/>
      <c r="CE18" s="172">
        <f t="shared" si="16"/>
        <v>1</v>
      </c>
      <c r="CF18" s="173">
        <f t="shared" si="17"/>
        <v>50</v>
      </c>
      <c r="CG18" s="189">
        <v>1.0</v>
      </c>
      <c r="CH18" s="186"/>
      <c r="CI18" s="186"/>
      <c r="CJ18" s="186"/>
      <c r="CK18" s="186"/>
      <c r="CL18" s="186"/>
      <c r="CM18" s="186"/>
      <c r="CN18" s="186"/>
      <c r="CO18" s="186"/>
      <c r="CP18" s="186"/>
      <c r="CQ18" s="186"/>
      <c r="CR18" s="186"/>
      <c r="CS18" s="175">
        <f t="shared" si="18"/>
        <v>1</v>
      </c>
      <c r="CT18" s="158">
        <f t="shared" si="19"/>
        <v>100</v>
      </c>
    </row>
    <row r="19">
      <c r="A19" s="50">
        <v>10.0</v>
      </c>
      <c r="B19" s="111" t="s">
        <v>70</v>
      </c>
      <c r="C19" s="112" t="s">
        <v>71</v>
      </c>
      <c r="D19" s="91">
        <f t="shared" si="6"/>
        <v>3</v>
      </c>
      <c r="E19" s="113">
        <f t="shared" si="7"/>
        <v>42.85714286</v>
      </c>
      <c r="F19" s="114">
        <f t="shared" si="8"/>
        <v>42.85714286</v>
      </c>
      <c r="G19" s="164" t="str">
        <f t="shared" si="9"/>
        <v>  </v>
      </c>
      <c r="H19" s="165"/>
      <c r="I19" s="116"/>
      <c r="J19" s="116"/>
      <c r="K19" s="116"/>
      <c r="L19" s="116"/>
      <c r="M19" s="118">
        <f t="shared" si="10"/>
        <v>0</v>
      </c>
      <c r="N19" s="119" t="str">
        <f t="shared" si="11"/>
        <v>#DIV/0!</v>
      </c>
      <c r="O19" s="176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Z19" s="179"/>
      <c r="AA19" s="179"/>
      <c r="AB19" s="179"/>
      <c r="AC19" s="179"/>
      <c r="AD19" s="179"/>
      <c r="AE19" s="179"/>
      <c r="AF19" s="176"/>
      <c r="AG19" s="176"/>
      <c r="AH19" s="176"/>
      <c r="AI19" s="182">
        <v>1.0</v>
      </c>
      <c r="AJ19" s="168">
        <f t="shared" si="12"/>
        <v>1</v>
      </c>
      <c r="AK19" s="169">
        <f t="shared" si="13"/>
        <v>100</v>
      </c>
      <c r="AL19" s="183"/>
      <c r="AM19" s="179"/>
      <c r="AN19" s="179"/>
      <c r="AO19" s="179"/>
      <c r="AP19" s="184">
        <v>1.0</v>
      </c>
      <c r="AQ19" s="179"/>
      <c r="AR19" s="179"/>
      <c r="AS19" s="179"/>
      <c r="AT19" s="179"/>
      <c r="AU19" s="179"/>
      <c r="AV19" s="179"/>
      <c r="AW19" s="179"/>
      <c r="AX19" s="179"/>
      <c r="AY19" s="179"/>
      <c r="AZ19" s="179"/>
      <c r="BA19" s="179"/>
      <c r="BB19" s="179"/>
      <c r="BC19" s="179"/>
      <c r="BD19" s="179"/>
      <c r="BE19" s="179"/>
      <c r="BF19" s="179"/>
      <c r="BG19" s="118">
        <f t="shared" si="14"/>
        <v>1</v>
      </c>
      <c r="BH19" s="122">
        <f t="shared" si="15"/>
        <v>33.33333333</v>
      </c>
      <c r="BI19" s="176"/>
      <c r="BJ19" s="179"/>
      <c r="BK19" s="179"/>
      <c r="BL19" s="179"/>
      <c r="BM19" s="179"/>
      <c r="BN19" s="179"/>
      <c r="BO19" s="179"/>
      <c r="BP19" s="179"/>
      <c r="BQ19" s="179"/>
      <c r="BR19" s="179"/>
      <c r="BS19" s="179"/>
      <c r="BT19" s="179"/>
      <c r="BU19" s="179"/>
      <c r="BV19" s="179"/>
      <c r="BW19" s="186"/>
      <c r="BX19" s="186"/>
      <c r="BY19" s="186"/>
      <c r="BZ19" s="186"/>
      <c r="CA19" s="186"/>
      <c r="CB19" s="186"/>
      <c r="CD19" s="186"/>
      <c r="CE19" s="172">
        <f t="shared" si="16"/>
        <v>0</v>
      </c>
      <c r="CF19" s="173">
        <f t="shared" si="17"/>
        <v>0</v>
      </c>
      <c r="CG19" s="189">
        <v>1.0</v>
      </c>
      <c r="CH19" s="186"/>
      <c r="CI19" s="186"/>
      <c r="CJ19" s="186"/>
      <c r="CK19" s="186"/>
      <c r="CL19" s="186"/>
      <c r="CM19" s="186"/>
      <c r="CN19" s="186"/>
      <c r="CO19" s="186"/>
      <c r="CP19" s="186"/>
      <c r="CQ19" s="186"/>
      <c r="CR19" s="186"/>
      <c r="CS19" s="175">
        <f t="shared" si="18"/>
        <v>1</v>
      </c>
      <c r="CT19" s="158">
        <f t="shared" si="19"/>
        <v>100</v>
      </c>
    </row>
    <row r="20">
      <c r="A20" s="131">
        <v>11.0</v>
      </c>
      <c r="B20" s="111" t="s">
        <v>72</v>
      </c>
      <c r="C20" s="112" t="s">
        <v>73</v>
      </c>
      <c r="D20" s="91">
        <f t="shared" si="6"/>
        <v>5</v>
      </c>
      <c r="E20" s="113">
        <f t="shared" si="7"/>
        <v>71.42857143</v>
      </c>
      <c r="F20" s="92" t="str">
        <f t="shared" si="8"/>
        <v>  </v>
      </c>
      <c r="G20" s="164" t="str">
        <f t="shared" si="9"/>
        <v>  </v>
      </c>
      <c r="H20" s="165"/>
      <c r="I20" s="116"/>
      <c r="J20" s="43"/>
      <c r="K20" s="116"/>
      <c r="L20" s="116"/>
      <c r="M20" s="118">
        <f t="shared" si="10"/>
        <v>0</v>
      </c>
      <c r="N20" s="119" t="str">
        <f t="shared" si="11"/>
        <v>#DIV/0!</v>
      </c>
      <c r="O20" s="195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86"/>
      <c r="AA20" s="186"/>
      <c r="AB20" s="186"/>
      <c r="AC20" s="186"/>
      <c r="AD20" s="186"/>
      <c r="AE20" s="186"/>
      <c r="AF20" s="195"/>
      <c r="AG20" s="195"/>
      <c r="AH20" s="195"/>
      <c r="AI20" s="197">
        <v>1.0</v>
      </c>
      <c r="AJ20" s="168">
        <f t="shared" si="12"/>
        <v>1</v>
      </c>
      <c r="AK20" s="169">
        <f t="shared" si="13"/>
        <v>100</v>
      </c>
      <c r="AL20" s="199"/>
      <c r="AM20" s="186"/>
      <c r="AN20" s="186"/>
      <c r="AO20" s="186"/>
      <c r="AP20" s="200">
        <v>1.0</v>
      </c>
      <c r="AQ20" s="186"/>
      <c r="AR20" s="186"/>
      <c r="AS20" s="186"/>
      <c r="AT20" s="186"/>
      <c r="AU20" s="200">
        <v>1.0</v>
      </c>
      <c r="AV20" s="186"/>
      <c r="AW20" s="186"/>
      <c r="AX20" s="186"/>
      <c r="AY20" s="186"/>
      <c r="AZ20" s="186"/>
      <c r="BA20" s="186"/>
      <c r="BB20" s="186"/>
      <c r="BC20" s="186"/>
      <c r="BD20" s="186"/>
      <c r="BE20" s="186"/>
      <c r="BF20" s="186"/>
      <c r="BG20" s="118">
        <f t="shared" si="14"/>
        <v>2</v>
      </c>
      <c r="BH20" s="122">
        <f t="shared" si="15"/>
        <v>66.66666667</v>
      </c>
      <c r="BI20" s="195"/>
      <c r="BJ20" s="186"/>
      <c r="BK20" s="186"/>
      <c r="BL20" s="200">
        <v>1.0</v>
      </c>
      <c r="BM20" s="186"/>
      <c r="BN20" s="186"/>
      <c r="BO20" s="186"/>
      <c r="BP20" s="186"/>
      <c r="BQ20" s="186"/>
      <c r="BR20" s="186"/>
      <c r="BS20" s="186"/>
      <c r="BT20" s="186"/>
      <c r="BU20" s="186"/>
      <c r="BV20" s="186"/>
      <c r="BW20" s="186"/>
      <c r="BX20" s="186"/>
      <c r="BY20" s="186"/>
      <c r="BZ20" s="186"/>
      <c r="CA20" s="186"/>
      <c r="CB20" s="186"/>
      <c r="CD20" s="186"/>
      <c r="CE20" s="172">
        <f t="shared" si="16"/>
        <v>1</v>
      </c>
      <c r="CF20" s="173">
        <f t="shared" si="17"/>
        <v>50</v>
      </c>
      <c r="CG20" s="189">
        <v>1.0</v>
      </c>
      <c r="CH20" s="186"/>
      <c r="CI20" s="186"/>
      <c r="CJ20" s="186"/>
      <c r="CK20" s="186"/>
      <c r="CL20" s="186"/>
      <c r="CM20" s="186"/>
      <c r="CN20" s="186"/>
      <c r="CO20" s="186"/>
      <c r="CP20" s="186"/>
      <c r="CQ20" s="186"/>
      <c r="CR20" s="186"/>
      <c r="CS20" s="175">
        <f t="shared" si="18"/>
        <v>1</v>
      </c>
      <c r="CT20" s="158">
        <f t="shared" si="19"/>
        <v>100</v>
      </c>
    </row>
    <row r="21" ht="15.75" customHeight="1">
      <c r="A21" s="146">
        <v>12.0</v>
      </c>
      <c r="B21" s="111" t="s">
        <v>74</v>
      </c>
      <c r="C21" s="112" t="s">
        <v>75</v>
      </c>
      <c r="D21" s="91">
        <f t="shared" si="6"/>
        <v>2</v>
      </c>
      <c r="E21" s="113">
        <f t="shared" si="7"/>
        <v>28.57142857</v>
      </c>
      <c r="F21" s="114">
        <f t="shared" si="8"/>
        <v>28.57142857</v>
      </c>
      <c r="G21" s="202">
        <f t="shared" si="9"/>
        <v>28.57142857</v>
      </c>
      <c r="H21" s="165"/>
      <c r="I21" s="116"/>
      <c r="J21" s="116"/>
      <c r="K21" s="150"/>
      <c r="L21" s="150"/>
      <c r="M21" s="118">
        <f t="shared" si="10"/>
        <v>0</v>
      </c>
      <c r="N21" s="119" t="str">
        <f t="shared" si="11"/>
        <v>#DIV/0!</v>
      </c>
      <c r="O21" s="176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  <c r="AA21" s="179"/>
      <c r="AB21" s="179"/>
      <c r="AC21" s="179"/>
      <c r="AD21" s="179"/>
      <c r="AE21" s="179"/>
      <c r="AF21" s="176"/>
      <c r="AG21" s="176"/>
      <c r="AH21" s="176"/>
      <c r="AI21" s="176"/>
      <c r="AJ21" s="168">
        <f t="shared" si="12"/>
        <v>0</v>
      </c>
      <c r="AK21" s="169">
        <f t="shared" si="13"/>
        <v>0</v>
      </c>
      <c r="AL21" s="183"/>
      <c r="AM21" s="179"/>
      <c r="AN21" s="179"/>
      <c r="AO21" s="179"/>
      <c r="AP21" s="184">
        <v>1.0</v>
      </c>
      <c r="AQ21" s="179"/>
      <c r="AR21" s="179"/>
      <c r="AS21" s="179"/>
      <c r="AT21" s="179"/>
      <c r="AU21" s="184">
        <v>1.0</v>
      </c>
      <c r="AV21" s="179"/>
      <c r="AW21" s="179"/>
      <c r="AX21" s="179"/>
      <c r="AY21" s="179"/>
      <c r="AZ21" s="179"/>
      <c r="BA21" s="179"/>
      <c r="BB21" s="179"/>
      <c r="BC21" s="179"/>
      <c r="BD21" s="179"/>
      <c r="BE21" s="179"/>
      <c r="BF21" s="179"/>
      <c r="BG21" s="118">
        <f t="shared" si="14"/>
        <v>2</v>
      </c>
      <c r="BH21" s="122">
        <f t="shared" si="15"/>
        <v>66.66666667</v>
      </c>
      <c r="BI21" s="176"/>
      <c r="BJ21" s="179"/>
      <c r="BK21" s="179"/>
      <c r="BL21" s="179"/>
      <c r="BM21" s="179"/>
      <c r="BN21" s="179"/>
      <c r="BO21" s="179"/>
      <c r="BP21" s="179"/>
      <c r="BQ21" s="179"/>
      <c r="BR21" s="179"/>
      <c r="BS21" s="179"/>
      <c r="BT21" s="179"/>
      <c r="BU21" s="179"/>
      <c r="BV21" s="179"/>
      <c r="BW21" s="186"/>
      <c r="BX21" s="186"/>
      <c r="BY21" s="186"/>
      <c r="BZ21" s="186"/>
      <c r="CA21" s="186"/>
      <c r="CB21" s="186"/>
      <c r="CD21" s="186"/>
      <c r="CE21" s="172">
        <f t="shared" si="16"/>
        <v>0</v>
      </c>
      <c r="CF21" s="173">
        <f t="shared" si="17"/>
        <v>0</v>
      </c>
      <c r="CG21" s="189"/>
      <c r="CH21" s="186"/>
      <c r="CI21" s="186"/>
      <c r="CJ21" s="186"/>
      <c r="CK21" s="186"/>
      <c r="CL21" s="186"/>
      <c r="CM21" s="186"/>
      <c r="CN21" s="186"/>
      <c r="CO21" s="186"/>
      <c r="CP21" s="186"/>
      <c r="CQ21" s="186"/>
      <c r="CR21" s="186"/>
      <c r="CS21" s="175">
        <f t="shared" si="18"/>
        <v>0</v>
      </c>
      <c r="CT21" s="158">
        <f t="shared" si="19"/>
        <v>0</v>
      </c>
    </row>
    <row r="22" ht="15.75" customHeight="1">
      <c r="A22" s="50">
        <v>13.0</v>
      </c>
      <c r="B22" s="111" t="s">
        <v>76</v>
      </c>
      <c r="C22" s="112" t="s">
        <v>77</v>
      </c>
      <c r="D22" s="91">
        <f t="shared" si="6"/>
        <v>5</v>
      </c>
      <c r="E22" s="113">
        <f t="shared" si="7"/>
        <v>71.42857143</v>
      </c>
      <c r="F22" s="114" t="str">
        <f t="shared" si="8"/>
        <v>  </v>
      </c>
      <c r="G22" s="164" t="str">
        <f t="shared" si="9"/>
        <v>  </v>
      </c>
      <c r="H22" s="192"/>
      <c r="I22" s="116"/>
      <c r="J22" s="116"/>
      <c r="K22" s="116"/>
      <c r="L22" s="116"/>
      <c r="M22" s="118">
        <f t="shared" si="10"/>
        <v>0</v>
      </c>
      <c r="N22" s="119" t="str">
        <f t="shared" si="11"/>
        <v>#DIV/0!</v>
      </c>
      <c r="O22" s="176"/>
      <c r="P22" s="179"/>
      <c r="Q22" s="179"/>
      <c r="R22" s="179"/>
      <c r="S22" s="179"/>
      <c r="T22" s="179"/>
      <c r="U22" s="179"/>
      <c r="V22" s="179"/>
      <c r="W22" s="179"/>
      <c r="X22" s="179"/>
      <c r="Y22" s="179"/>
      <c r="Z22" s="179"/>
      <c r="AA22" s="179"/>
      <c r="AB22" s="179"/>
      <c r="AC22" s="179"/>
      <c r="AD22" s="179"/>
      <c r="AE22" s="179"/>
      <c r="AF22" s="176"/>
      <c r="AG22" s="176"/>
      <c r="AH22" s="176"/>
      <c r="AI22" s="182">
        <v>1.0</v>
      </c>
      <c r="AJ22" s="168">
        <f t="shared" si="12"/>
        <v>1</v>
      </c>
      <c r="AK22" s="169">
        <f t="shared" si="13"/>
        <v>100</v>
      </c>
      <c r="AL22" s="183"/>
      <c r="AM22" s="179"/>
      <c r="AN22" s="179"/>
      <c r="AO22" s="179"/>
      <c r="AP22" s="184">
        <v>1.0</v>
      </c>
      <c r="AQ22" s="179"/>
      <c r="AR22" s="179"/>
      <c r="AS22" s="179"/>
      <c r="AT22" s="179"/>
      <c r="AU22" s="184">
        <v>1.0</v>
      </c>
      <c r="AV22" s="179"/>
      <c r="AW22" s="179"/>
      <c r="AX22" s="179"/>
      <c r="AY22" s="179"/>
      <c r="AZ22" s="179"/>
      <c r="BA22" s="179"/>
      <c r="BB22" s="179"/>
      <c r="BC22" s="179"/>
      <c r="BD22" s="179"/>
      <c r="BE22" s="179"/>
      <c r="BF22" s="179"/>
      <c r="BG22" s="118">
        <f t="shared" si="14"/>
        <v>2</v>
      </c>
      <c r="BH22" s="122">
        <f t="shared" si="15"/>
        <v>66.66666667</v>
      </c>
      <c r="BI22" s="176"/>
      <c r="BJ22" s="179"/>
      <c r="BK22" s="179"/>
      <c r="BL22" s="184">
        <v>1.0</v>
      </c>
      <c r="BM22" s="179"/>
      <c r="BN22" s="179"/>
      <c r="BO22" s="179"/>
      <c r="BP22" s="179"/>
      <c r="BQ22" s="179"/>
      <c r="BR22" s="179"/>
      <c r="BS22" s="179"/>
      <c r="BT22" s="179"/>
      <c r="BU22" s="179"/>
      <c r="BV22" s="179"/>
      <c r="BW22" s="186"/>
      <c r="BX22" s="186"/>
      <c r="BY22" s="186"/>
      <c r="BZ22" s="186"/>
      <c r="CA22" s="186"/>
      <c r="CB22" s="186"/>
      <c r="CD22" s="186"/>
      <c r="CE22" s="172">
        <f t="shared" si="16"/>
        <v>1</v>
      </c>
      <c r="CF22" s="173">
        <f t="shared" si="17"/>
        <v>50</v>
      </c>
      <c r="CG22" s="189">
        <v>1.0</v>
      </c>
      <c r="CH22" s="186"/>
      <c r="CI22" s="186"/>
      <c r="CJ22" s="186"/>
      <c r="CK22" s="186"/>
      <c r="CL22" s="186"/>
      <c r="CM22" s="186"/>
      <c r="CN22" s="186"/>
      <c r="CO22" s="186"/>
      <c r="CP22" s="186"/>
      <c r="CQ22" s="186"/>
      <c r="CR22" s="186"/>
      <c r="CS22" s="175">
        <f t="shared" si="18"/>
        <v>1</v>
      </c>
      <c r="CT22" s="158">
        <f t="shared" si="19"/>
        <v>100</v>
      </c>
    </row>
    <row r="23" ht="15.75" customHeight="1">
      <c r="A23" s="131">
        <v>14.0</v>
      </c>
      <c r="B23" s="111" t="s">
        <v>78</v>
      </c>
      <c r="C23" s="112" t="s">
        <v>79</v>
      </c>
      <c r="D23" s="91">
        <f t="shared" si="6"/>
        <v>5</v>
      </c>
      <c r="E23" s="113">
        <f t="shared" si="7"/>
        <v>71.42857143</v>
      </c>
      <c r="F23" s="114" t="str">
        <f t="shared" si="8"/>
        <v>  </v>
      </c>
      <c r="G23" s="202" t="str">
        <f t="shared" si="9"/>
        <v>  </v>
      </c>
      <c r="H23" s="165"/>
      <c r="I23" s="150"/>
      <c r="J23" s="116"/>
      <c r="K23" s="116"/>
      <c r="L23" s="116"/>
      <c r="M23" s="118">
        <f t="shared" si="10"/>
        <v>0</v>
      </c>
      <c r="N23" s="119" t="str">
        <f t="shared" si="11"/>
        <v>#DIV/0!</v>
      </c>
      <c r="O23" s="176"/>
      <c r="P23" s="179"/>
      <c r="Q23" s="179"/>
      <c r="R23" s="179"/>
      <c r="S23" s="179"/>
      <c r="T23" s="179"/>
      <c r="U23" s="179"/>
      <c r="V23" s="179"/>
      <c r="W23" s="179"/>
      <c r="X23" s="179"/>
      <c r="Y23" s="179"/>
      <c r="Z23" s="179"/>
      <c r="AA23" s="179"/>
      <c r="AB23" s="179"/>
      <c r="AC23" s="179"/>
      <c r="AD23" s="179"/>
      <c r="AE23" s="179"/>
      <c r="AF23" s="176"/>
      <c r="AG23" s="176"/>
      <c r="AH23" s="176"/>
      <c r="AI23" s="182">
        <v>1.0</v>
      </c>
      <c r="AJ23" s="168">
        <f t="shared" si="12"/>
        <v>1</v>
      </c>
      <c r="AK23" s="169">
        <f t="shared" si="13"/>
        <v>100</v>
      </c>
      <c r="AL23" s="183"/>
      <c r="AM23" s="179"/>
      <c r="AN23" s="179"/>
      <c r="AO23" s="179"/>
      <c r="AP23" s="184">
        <v>1.0</v>
      </c>
      <c r="AQ23" s="179"/>
      <c r="AR23" s="179"/>
      <c r="AS23" s="179"/>
      <c r="AT23" s="179"/>
      <c r="AU23" s="184">
        <v>1.0</v>
      </c>
      <c r="AV23" s="179"/>
      <c r="AW23" s="179"/>
      <c r="AX23" s="179"/>
      <c r="AY23" s="179"/>
      <c r="AZ23" s="179"/>
      <c r="BA23" s="179"/>
      <c r="BB23" s="179"/>
      <c r="BC23" s="179"/>
      <c r="BD23" s="179"/>
      <c r="BE23" s="179"/>
      <c r="BF23" s="179"/>
      <c r="BG23" s="118">
        <f t="shared" si="14"/>
        <v>2</v>
      </c>
      <c r="BH23" s="122">
        <f t="shared" si="15"/>
        <v>66.66666667</v>
      </c>
      <c r="BI23" s="176"/>
      <c r="BJ23" s="179"/>
      <c r="BK23" s="179"/>
      <c r="BL23" s="184">
        <v>1.0</v>
      </c>
      <c r="BM23" s="179"/>
      <c r="BN23" s="179"/>
      <c r="BO23" s="179"/>
      <c r="BP23" s="179"/>
      <c r="BQ23" s="179"/>
      <c r="BR23" s="179"/>
      <c r="BS23" s="179"/>
      <c r="BT23" s="179"/>
      <c r="BU23" s="179"/>
      <c r="BV23" s="179"/>
      <c r="BW23" s="186"/>
      <c r="BX23" s="186"/>
      <c r="BY23" s="186"/>
      <c r="BZ23" s="186"/>
      <c r="CA23" s="186"/>
      <c r="CB23" s="186"/>
      <c r="CD23" s="186"/>
      <c r="CE23" s="172">
        <f t="shared" si="16"/>
        <v>1</v>
      </c>
      <c r="CF23" s="173">
        <f t="shared" si="17"/>
        <v>50</v>
      </c>
      <c r="CG23" s="189">
        <v>1.0</v>
      </c>
      <c r="CH23" s="186"/>
      <c r="CI23" s="186"/>
      <c r="CJ23" s="186"/>
      <c r="CK23" s="186"/>
      <c r="CL23" s="186"/>
      <c r="CM23" s="186"/>
      <c r="CN23" s="186"/>
      <c r="CO23" s="186"/>
      <c r="CP23" s="186"/>
      <c r="CQ23" s="186"/>
      <c r="CR23" s="186"/>
      <c r="CS23" s="175">
        <f t="shared" si="18"/>
        <v>1</v>
      </c>
      <c r="CT23" s="158">
        <f t="shared" si="19"/>
        <v>100</v>
      </c>
    </row>
    <row r="24" ht="15.75" customHeight="1">
      <c r="A24" s="146">
        <v>15.0</v>
      </c>
      <c r="B24" s="111" t="s">
        <v>80</v>
      </c>
      <c r="C24" s="112" t="s">
        <v>81</v>
      </c>
      <c r="D24" s="91">
        <f t="shared" si="6"/>
        <v>2</v>
      </c>
      <c r="E24" s="113">
        <f t="shared" si="7"/>
        <v>28.57142857</v>
      </c>
      <c r="F24" s="114">
        <f t="shared" si="8"/>
        <v>28.57142857</v>
      </c>
      <c r="G24" s="202">
        <f t="shared" si="9"/>
        <v>28.57142857</v>
      </c>
      <c r="H24" s="165"/>
      <c r="I24" s="116"/>
      <c r="J24" s="116"/>
      <c r="K24" s="150"/>
      <c r="L24" s="150"/>
      <c r="M24" s="118">
        <f t="shared" si="10"/>
        <v>0</v>
      </c>
      <c r="N24" s="119" t="str">
        <f t="shared" si="11"/>
        <v>#DIV/0!</v>
      </c>
      <c r="O24" s="176"/>
      <c r="P24" s="179"/>
      <c r="Q24" s="179"/>
      <c r="R24" s="179"/>
      <c r="S24" s="179"/>
      <c r="T24" s="179"/>
      <c r="U24" s="179"/>
      <c r="V24" s="179"/>
      <c r="W24" s="179"/>
      <c r="X24" s="179"/>
      <c r="Y24" s="179"/>
      <c r="Z24" s="179"/>
      <c r="AA24" s="179"/>
      <c r="AB24" s="179"/>
      <c r="AC24" s="179"/>
      <c r="AD24" s="179"/>
      <c r="AE24" s="179"/>
      <c r="AF24" s="176"/>
      <c r="AG24" s="176"/>
      <c r="AH24" s="176"/>
      <c r="AI24" s="176"/>
      <c r="AJ24" s="168">
        <f t="shared" si="12"/>
        <v>0</v>
      </c>
      <c r="AK24" s="169">
        <f t="shared" si="13"/>
        <v>0</v>
      </c>
      <c r="AL24" s="183"/>
      <c r="AM24" s="179"/>
      <c r="AN24" s="179"/>
      <c r="AO24" s="179"/>
      <c r="AP24" s="179"/>
      <c r="AQ24" s="179"/>
      <c r="AR24" s="179"/>
      <c r="AS24" s="179"/>
      <c r="AT24" s="179"/>
      <c r="AU24" s="184">
        <v>1.0</v>
      </c>
      <c r="AV24" s="179"/>
      <c r="AW24" s="179"/>
      <c r="AX24" s="179"/>
      <c r="AY24" s="179"/>
      <c r="AZ24" s="179"/>
      <c r="BA24" s="179"/>
      <c r="BB24" s="179"/>
      <c r="BC24" s="179"/>
      <c r="BD24" s="179"/>
      <c r="BE24" s="179"/>
      <c r="BF24" s="179"/>
      <c r="BG24" s="118">
        <f t="shared" si="14"/>
        <v>1</v>
      </c>
      <c r="BH24" s="122">
        <f t="shared" si="15"/>
        <v>33.33333333</v>
      </c>
      <c r="BI24" s="176"/>
      <c r="BJ24" s="179"/>
      <c r="BK24" s="179"/>
      <c r="BL24" s="179"/>
      <c r="BM24" s="179"/>
      <c r="BN24" s="179"/>
      <c r="BO24" s="179"/>
      <c r="BP24" s="179"/>
      <c r="BQ24" s="179"/>
      <c r="BR24" s="179"/>
      <c r="BS24" s="179"/>
      <c r="BT24" s="179"/>
      <c r="BU24" s="179"/>
      <c r="BV24" s="179"/>
      <c r="BW24" s="186"/>
      <c r="BX24" s="186"/>
      <c r="BY24" s="186"/>
      <c r="BZ24" s="186"/>
      <c r="CA24" s="186"/>
      <c r="CB24" s="186"/>
      <c r="CD24" s="186"/>
      <c r="CE24" s="172">
        <f t="shared" si="16"/>
        <v>0</v>
      </c>
      <c r="CF24" s="173">
        <f t="shared" si="17"/>
        <v>0</v>
      </c>
      <c r="CG24" s="189">
        <v>1.0</v>
      </c>
      <c r="CH24" s="186"/>
      <c r="CI24" s="186"/>
      <c r="CJ24" s="186"/>
      <c r="CK24" s="186"/>
      <c r="CL24" s="186"/>
      <c r="CM24" s="186"/>
      <c r="CN24" s="186"/>
      <c r="CO24" s="186"/>
      <c r="CP24" s="186"/>
      <c r="CQ24" s="186"/>
      <c r="CR24" s="186"/>
      <c r="CS24" s="175">
        <f t="shared" si="18"/>
        <v>1</v>
      </c>
      <c r="CT24" s="158">
        <f t="shared" si="19"/>
        <v>100</v>
      </c>
    </row>
    <row r="25" ht="15.75" customHeight="1">
      <c r="A25" s="50">
        <v>16.0</v>
      </c>
      <c r="B25" s="111" t="s">
        <v>82</v>
      </c>
      <c r="C25" s="112" t="s">
        <v>83</v>
      </c>
      <c r="D25" s="91">
        <f t="shared" si="6"/>
        <v>4</v>
      </c>
      <c r="E25" s="113">
        <f t="shared" si="7"/>
        <v>57.14285714</v>
      </c>
      <c r="F25" s="114" t="str">
        <f t="shared" si="8"/>
        <v>  </v>
      </c>
      <c r="G25" s="164" t="str">
        <f t="shared" si="9"/>
        <v>  </v>
      </c>
      <c r="H25" s="165"/>
      <c r="I25" s="150"/>
      <c r="J25" s="150"/>
      <c r="K25" s="116"/>
      <c r="L25" s="116"/>
      <c r="M25" s="118">
        <f t="shared" si="10"/>
        <v>0</v>
      </c>
      <c r="N25" s="119" t="str">
        <f t="shared" si="11"/>
        <v>#DIV/0!</v>
      </c>
      <c r="O25" s="176"/>
      <c r="P25" s="179"/>
      <c r="Q25" s="179"/>
      <c r="R25" s="179"/>
      <c r="S25" s="179"/>
      <c r="T25" s="179"/>
      <c r="U25" s="179"/>
      <c r="V25" s="179"/>
      <c r="W25" s="179"/>
      <c r="X25" s="179"/>
      <c r="Y25" s="179"/>
      <c r="Z25" s="179"/>
      <c r="AA25" s="179"/>
      <c r="AB25" s="179"/>
      <c r="AC25" s="179"/>
      <c r="AD25" s="179"/>
      <c r="AE25" s="179"/>
      <c r="AF25" s="176"/>
      <c r="AG25" s="176"/>
      <c r="AH25" s="176"/>
      <c r="AI25" s="176"/>
      <c r="AJ25" s="168">
        <f t="shared" si="12"/>
        <v>0</v>
      </c>
      <c r="AK25" s="169">
        <f t="shared" si="13"/>
        <v>0</v>
      </c>
      <c r="AL25" s="183"/>
      <c r="AM25" s="179"/>
      <c r="AN25" s="179"/>
      <c r="AO25" s="179"/>
      <c r="AP25" s="184">
        <v>1.0</v>
      </c>
      <c r="AQ25" s="179"/>
      <c r="AR25" s="179"/>
      <c r="AS25" s="179"/>
      <c r="AT25" s="179"/>
      <c r="AU25" s="184">
        <v>1.0</v>
      </c>
      <c r="AV25" s="179"/>
      <c r="AW25" s="179"/>
      <c r="AX25" s="179"/>
      <c r="AY25" s="179"/>
      <c r="AZ25" s="179"/>
      <c r="BA25" s="179"/>
      <c r="BB25" s="179"/>
      <c r="BC25" s="179"/>
      <c r="BD25" s="179"/>
      <c r="BE25" s="179"/>
      <c r="BF25" s="179"/>
      <c r="BG25" s="118">
        <f t="shared" si="14"/>
        <v>2</v>
      </c>
      <c r="BH25" s="122">
        <f t="shared" si="15"/>
        <v>66.66666667</v>
      </c>
      <c r="BI25" s="176"/>
      <c r="BJ25" s="179"/>
      <c r="BK25" s="179"/>
      <c r="BL25" s="184">
        <v>1.0</v>
      </c>
      <c r="BM25" s="179"/>
      <c r="BN25" s="179"/>
      <c r="BO25" s="179"/>
      <c r="BP25" s="179"/>
      <c r="BQ25" s="179"/>
      <c r="BR25" s="179"/>
      <c r="BS25" s="179"/>
      <c r="BT25" s="179"/>
      <c r="BU25" s="179"/>
      <c r="BV25" s="179"/>
      <c r="BW25" s="186"/>
      <c r="BX25" s="186"/>
      <c r="BY25" s="186"/>
      <c r="BZ25" s="186"/>
      <c r="CA25" s="186"/>
      <c r="CB25" s="186"/>
      <c r="CD25" s="186"/>
      <c r="CE25" s="172">
        <f t="shared" si="16"/>
        <v>1</v>
      </c>
      <c r="CF25" s="173">
        <f t="shared" si="17"/>
        <v>50</v>
      </c>
      <c r="CG25" s="189">
        <v>1.0</v>
      </c>
      <c r="CH25" s="186"/>
      <c r="CI25" s="186"/>
      <c r="CJ25" s="186"/>
      <c r="CK25" s="186"/>
      <c r="CL25" s="186"/>
      <c r="CM25" s="186"/>
      <c r="CN25" s="186"/>
      <c r="CO25" s="186"/>
      <c r="CP25" s="186"/>
      <c r="CQ25" s="186"/>
      <c r="CR25" s="186"/>
      <c r="CS25" s="175">
        <f t="shared" si="18"/>
        <v>1</v>
      </c>
      <c r="CT25" s="158">
        <f t="shared" si="19"/>
        <v>100</v>
      </c>
    </row>
    <row r="26" ht="15.75" customHeight="1">
      <c r="A26" s="131">
        <v>17.0</v>
      </c>
      <c r="B26" s="111" t="s">
        <v>84</v>
      </c>
      <c r="C26" s="112" t="s">
        <v>85</v>
      </c>
      <c r="D26" s="91">
        <f t="shared" si="6"/>
        <v>3</v>
      </c>
      <c r="E26" s="113">
        <f t="shared" si="7"/>
        <v>42.85714286</v>
      </c>
      <c r="F26" s="114">
        <f t="shared" si="8"/>
        <v>42.85714286</v>
      </c>
      <c r="G26" s="164" t="str">
        <f t="shared" si="9"/>
        <v>  </v>
      </c>
      <c r="H26" s="165"/>
      <c r="I26" s="150"/>
      <c r="J26" s="116"/>
      <c r="K26" s="116"/>
      <c r="L26" s="116"/>
      <c r="M26" s="118">
        <f t="shared" si="10"/>
        <v>0</v>
      </c>
      <c r="N26" s="119" t="str">
        <f t="shared" si="11"/>
        <v>#DIV/0!</v>
      </c>
      <c r="O26" s="227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  <c r="AB26" s="228"/>
      <c r="AC26" s="228"/>
      <c r="AD26" s="228"/>
      <c r="AE26" s="228"/>
      <c r="AF26" s="227"/>
      <c r="AG26" s="227"/>
      <c r="AH26" s="227"/>
      <c r="AI26" s="229">
        <v>1.0</v>
      </c>
      <c r="AJ26" s="168">
        <f t="shared" si="12"/>
        <v>1</v>
      </c>
      <c r="AK26" s="169">
        <f t="shared" si="13"/>
        <v>100</v>
      </c>
      <c r="AL26" s="232"/>
      <c r="AM26" s="228"/>
      <c r="AN26" s="228"/>
      <c r="AO26" s="228"/>
      <c r="AP26" s="228"/>
      <c r="AQ26" s="228"/>
      <c r="AR26" s="228"/>
      <c r="AS26" s="228"/>
      <c r="AT26" s="228"/>
      <c r="AU26" s="233">
        <v>1.0</v>
      </c>
      <c r="AV26" s="228"/>
      <c r="AW26" s="228"/>
      <c r="AX26" s="228"/>
      <c r="AY26" s="228"/>
      <c r="AZ26" s="228"/>
      <c r="BA26" s="228"/>
      <c r="BB26" s="228"/>
      <c r="BC26" s="228"/>
      <c r="BD26" s="228"/>
      <c r="BE26" s="228"/>
      <c r="BF26" s="228"/>
      <c r="BG26" s="118">
        <f t="shared" si="14"/>
        <v>1</v>
      </c>
      <c r="BH26" s="122">
        <f t="shared" si="15"/>
        <v>33.33333333</v>
      </c>
      <c r="BI26" s="227"/>
      <c r="BJ26" s="228"/>
      <c r="BK26" s="228"/>
      <c r="BL26" s="228"/>
      <c r="BM26" s="228"/>
      <c r="BN26" s="228"/>
      <c r="BO26" s="228"/>
      <c r="BP26" s="228"/>
      <c r="BQ26" s="228"/>
      <c r="BR26" s="228"/>
      <c r="BS26" s="228"/>
      <c r="BT26" s="228"/>
      <c r="BU26" s="228"/>
      <c r="BV26" s="228"/>
      <c r="BW26" s="186"/>
      <c r="BX26" s="186"/>
      <c r="BY26" s="186"/>
      <c r="BZ26" s="186"/>
      <c r="CA26" s="186"/>
      <c r="CB26" s="186"/>
      <c r="CD26" s="186"/>
      <c r="CE26" s="172">
        <f t="shared" si="16"/>
        <v>0</v>
      </c>
      <c r="CF26" s="173">
        <f t="shared" si="17"/>
        <v>0</v>
      </c>
      <c r="CG26" s="189">
        <v>1.0</v>
      </c>
      <c r="CH26" s="186"/>
      <c r="CI26" s="186"/>
      <c r="CJ26" s="186"/>
      <c r="CK26" s="186"/>
      <c r="CL26" s="186"/>
      <c r="CM26" s="186"/>
      <c r="CN26" s="186"/>
      <c r="CO26" s="186"/>
      <c r="CP26" s="186"/>
      <c r="CQ26" s="186"/>
      <c r="CR26" s="186"/>
      <c r="CS26" s="175">
        <f t="shared" si="18"/>
        <v>1</v>
      </c>
      <c r="CT26" s="158">
        <f t="shared" si="19"/>
        <v>100</v>
      </c>
    </row>
    <row r="27" ht="15.75" customHeight="1">
      <c r="A27" s="146">
        <v>18.0</v>
      </c>
      <c r="B27" s="111" t="s">
        <v>86</v>
      </c>
      <c r="C27" s="112" t="s">
        <v>87</v>
      </c>
      <c r="D27" s="91">
        <f t="shared" si="6"/>
        <v>1</v>
      </c>
      <c r="E27" s="113">
        <f t="shared" si="7"/>
        <v>14.28571429</v>
      </c>
      <c r="F27" s="114">
        <f t="shared" si="8"/>
        <v>14.28571429</v>
      </c>
      <c r="G27" s="202">
        <f t="shared" si="9"/>
        <v>14.28571429</v>
      </c>
      <c r="H27" s="165"/>
      <c r="I27" s="116"/>
      <c r="J27" s="150"/>
      <c r="K27" s="116"/>
      <c r="L27" s="116"/>
      <c r="M27" s="118">
        <f t="shared" si="10"/>
        <v>0</v>
      </c>
      <c r="N27" s="119" t="str">
        <f t="shared" si="11"/>
        <v>#DIV/0!</v>
      </c>
      <c r="O27" s="176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6"/>
      <c r="AG27" s="176"/>
      <c r="AH27" s="176"/>
      <c r="AI27" s="176"/>
      <c r="AJ27" s="168">
        <f t="shared" si="12"/>
        <v>0</v>
      </c>
      <c r="AK27" s="169">
        <f t="shared" si="13"/>
        <v>0</v>
      </c>
      <c r="AL27" s="183"/>
      <c r="AM27" s="179"/>
      <c r="AN27" s="179"/>
      <c r="AO27" s="179"/>
      <c r="AP27" s="179"/>
      <c r="AQ27" s="179"/>
      <c r="AR27" s="179"/>
      <c r="AS27" s="179"/>
      <c r="AT27" s="179"/>
      <c r="AU27" s="179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79"/>
      <c r="BG27" s="118">
        <f t="shared" si="14"/>
        <v>0</v>
      </c>
      <c r="BH27" s="122">
        <f t="shared" si="15"/>
        <v>0</v>
      </c>
      <c r="BI27" s="176"/>
      <c r="BJ27" s="179"/>
      <c r="BK27" s="179"/>
      <c r="BL27" s="184">
        <v>1.0</v>
      </c>
      <c r="BM27" s="179"/>
      <c r="BN27" s="179"/>
      <c r="BO27" s="179"/>
      <c r="BP27" s="179"/>
      <c r="BQ27" s="179"/>
      <c r="BR27" s="179"/>
      <c r="BS27" s="179"/>
      <c r="BT27" s="179"/>
      <c r="BU27" s="179"/>
      <c r="BV27" s="179"/>
      <c r="BW27" s="186"/>
      <c r="BX27" s="186"/>
      <c r="BY27" s="186"/>
      <c r="BZ27" s="186"/>
      <c r="CA27" s="186"/>
      <c r="CB27" s="186"/>
      <c r="CD27" s="186"/>
      <c r="CE27" s="172">
        <f t="shared" si="16"/>
        <v>1</v>
      </c>
      <c r="CF27" s="173">
        <f t="shared" si="17"/>
        <v>50</v>
      </c>
      <c r="CG27" s="189"/>
      <c r="CH27" s="186"/>
      <c r="CI27" s="186"/>
      <c r="CJ27" s="186"/>
      <c r="CK27" s="186"/>
      <c r="CL27" s="186"/>
      <c r="CM27" s="186"/>
      <c r="CN27" s="186"/>
      <c r="CO27" s="186"/>
      <c r="CP27" s="186"/>
      <c r="CQ27" s="186"/>
      <c r="CR27" s="186"/>
      <c r="CS27" s="175">
        <f t="shared" si="18"/>
        <v>0</v>
      </c>
      <c r="CT27" s="158">
        <f t="shared" si="19"/>
        <v>0</v>
      </c>
    </row>
    <row r="28" ht="15.75" customHeight="1">
      <c r="A28" s="50">
        <v>19.0</v>
      </c>
      <c r="B28" s="111" t="s">
        <v>88</v>
      </c>
      <c r="C28" s="112" t="s">
        <v>89</v>
      </c>
      <c r="D28" s="91">
        <f t="shared" si="6"/>
        <v>5</v>
      </c>
      <c r="E28" s="113">
        <f t="shared" si="7"/>
        <v>71.42857143</v>
      </c>
      <c r="F28" s="114" t="str">
        <f t="shared" si="8"/>
        <v>  </v>
      </c>
      <c r="G28" s="202" t="str">
        <f t="shared" si="9"/>
        <v>  </v>
      </c>
      <c r="H28" s="165"/>
      <c r="I28" s="116"/>
      <c r="J28" s="116"/>
      <c r="K28" s="116"/>
      <c r="L28" s="116"/>
      <c r="M28" s="118">
        <f t="shared" si="10"/>
        <v>0</v>
      </c>
      <c r="N28" s="119" t="str">
        <f t="shared" si="11"/>
        <v>#DIV/0!</v>
      </c>
      <c r="O28" s="176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  <c r="AA28" s="179"/>
      <c r="AB28" s="179"/>
      <c r="AC28" s="179"/>
      <c r="AD28" s="179"/>
      <c r="AE28" s="179"/>
      <c r="AF28" s="176"/>
      <c r="AG28" s="176"/>
      <c r="AH28" s="176"/>
      <c r="AI28" s="182">
        <v>1.0</v>
      </c>
      <c r="AJ28" s="168">
        <f t="shared" si="12"/>
        <v>1</v>
      </c>
      <c r="AK28" s="169">
        <f t="shared" si="13"/>
        <v>100</v>
      </c>
      <c r="AL28" s="183"/>
      <c r="AM28" s="179"/>
      <c r="AN28" s="179"/>
      <c r="AO28" s="179"/>
      <c r="AP28" s="184">
        <v>1.0</v>
      </c>
      <c r="AQ28" s="179"/>
      <c r="AR28" s="179"/>
      <c r="AS28" s="179"/>
      <c r="AT28" s="179"/>
      <c r="AU28" s="184">
        <v>1.0</v>
      </c>
      <c r="AV28" s="179"/>
      <c r="AW28" s="179"/>
      <c r="AX28" s="179"/>
      <c r="AY28" s="179"/>
      <c r="AZ28" s="179"/>
      <c r="BA28" s="179"/>
      <c r="BB28" s="179"/>
      <c r="BC28" s="179"/>
      <c r="BD28" s="179"/>
      <c r="BE28" s="179"/>
      <c r="BF28" s="179"/>
      <c r="BG28" s="118">
        <f t="shared" si="14"/>
        <v>2</v>
      </c>
      <c r="BH28" s="122">
        <f t="shared" si="15"/>
        <v>66.66666667</v>
      </c>
      <c r="BI28" s="176"/>
      <c r="BJ28" s="179"/>
      <c r="BK28" s="179"/>
      <c r="BL28" s="184">
        <v>1.0</v>
      </c>
      <c r="BM28" s="179"/>
      <c r="BN28" s="179"/>
      <c r="BO28" s="179"/>
      <c r="BP28" s="179"/>
      <c r="BQ28" s="179"/>
      <c r="BR28" s="179"/>
      <c r="BS28" s="179"/>
      <c r="BT28" s="179"/>
      <c r="BU28" s="179"/>
      <c r="BV28" s="179"/>
      <c r="BW28" s="186"/>
      <c r="BX28" s="186"/>
      <c r="BY28" s="186"/>
      <c r="BZ28" s="186"/>
      <c r="CA28" s="186"/>
      <c r="CB28" s="186"/>
      <c r="CD28" s="186"/>
      <c r="CE28" s="172">
        <f t="shared" si="16"/>
        <v>1</v>
      </c>
      <c r="CF28" s="173">
        <f t="shared" si="17"/>
        <v>50</v>
      </c>
      <c r="CG28" s="189">
        <v>1.0</v>
      </c>
      <c r="CH28" s="186"/>
      <c r="CI28" s="186"/>
      <c r="CJ28" s="186"/>
      <c r="CK28" s="186"/>
      <c r="CL28" s="186"/>
      <c r="CM28" s="186"/>
      <c r="CN28" s="186"/>
      <c r="CO28" s="186"/>
      <c r="CP28" s="186"/>
      <c r="CQ28" s="186"/>
      <c r="CR28" s="186"/>
      <c r="CS28" s="175">
        <f t="shared" si="18"/>
        <v>1</v>
      </c>
      <c r="CT28" s="158">
        <f t="shared" si="19"/>
        <v>100</v>
      </c>
    </row>
    <row r="29" ht="15.75" customHeight="1">
      <c r="A29" s="131">
        <v>20.0</v>
      </c>
      <c r="B29" s="111" t="s">
        <v>90</v>
      </c>
      <c r="C29" s="112" t="s">
        <v>91</v>
      </c>
      <c r="D29" s="91">
        <f t="shared" si="6"/>
        <v>4</v>
      </c>
      <c r="E29" s="113">
        <f t="shared" si="7"/>
        <v>57.14285714</v>
      </c>
      <c r="F29" s="114" t="str">
        <f t="shared" si="8"/>
        <v>  </v>
      </c>
      <c r="G29" s="164" t="str">
        <f t="shared" si="9"/>
        <v>  </v>
      </c>
      <c r="H29" s="165"/>
      <c r="I29" s="116"/>
      <c r="J29" s="116"/>
      <c r="K29" s="116"/>
      <c r="L29" s="116"/>
      <c r="M29" s="118">
        <f t="shared" si="10"/>
        <v>0</v>
      </c>
      <c r="N29" s="119" t="str">
        <f t="shared" si="11"/>
        <v>#DIV/0!</v>
      </c>
      <c r="O29" s="176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  <c r="AA29" s="179"/>
      <c r="AB29" s="179"/>
      <c r="AC29" s="179"/>
      <c r="AD29" s="179"/>
      <c r="AE29" s="179"/>
      <c r="AF29" s="176"/>
      <c r="AG29" s="176"/>
      <c r="AH29" s="176"/>
      <c r="AI29" s="182">
        <v>1.0</v>
      </c>
      <c r="AJ29" s="168">
        <f t="shared" si="12"/>
        <v>1</v>
      </c>
      <c r="AK29" s="169">
        <f t="shared" si="13"/>
        <v>100</v>
      </c>
      <c r="AL29" s="183"/>
      <c r="AM29" s="179"/>
      <c r="AN29" s="179"/>
      <c r="AO29" s="179"/>
      <c r="AP29" s="184">
        <v>1.0</v>
      </c>
      <c r="AQ29" s="179"/>
      <c r="AR29" s="179"/>
      <c r="AS29" s="179"/>
      <c r="AT29" s="179"/>
      <c r="AU29" s="184">
        <v>1.0</v>
      </c>
      <c r="AV29" s="179"/>
      <c r="AW29" s="179"/>
      <c r="AX29" s="179"/>
      <c r="AY29" s="179"/>
      <c r="AZ29" s="179"/>
      <c r="BA29" s="179"/>
      <c r="BB29" s="179"/>
      <c r="BC29" s="179"/>
      <c r="BD29" s="179"/>
      <c r="BE29" s="179"/>
      <c r="BF29" s="179"/>
      <c r="BG29" s="118">
        <f t="shared" si="14"/>
        <v>2</v>
      </c>
      <c r="BH29" s="122">
        <f t="shared" si="15"/>
        <v>66.66666667</v>
      </c>
      <c r="BI29" s="176"/>
      <c r="BJ29" s="179"/>
      <c r="BK29" s="179"/>
      <c r="BL29" s="179"/>
      <c r="BM29" s="179"/>
      <c r="BN29" s="179"/>
      <c r="BO29" s="179"/>
      <c r="BP29" s="179"/>
      <c r="BQ29" s="179"/>
      <c r="BR29" s="179"/>
      <c r="BS29" s="179"/>
      <c r="BT29" s="179"/>
      <c r="BU29" s="179"/>
      <c r="BV29" s="179"/>
      <c r="BW29" s="186"/>
      <c r="BX29" s="186"/>
      <c r="BY29" s="186"/>
      <c r="BZ29" s="186"/>
      <c r="CA29" s="186"/>
      <c r="CB29" s="186"/>
      <c r="CD29" s="186"/>
      <c r="CE29" s="172">
        <f t="shared" si="16"/>
        <v>0</v>
      </c>
      <c r="CF29" s="173">
        <f t="shared" si="17"/>
        <v>0</v>
      </c>
      <c r="CG29" s="189">
        <v>1.0</v>
      </c>
      <c r="CH29" s="186"/>
      <c r="CI29" s="186"/>
      <c r="CJ29" s="186"/>
      <c r="CK29" s="186"/>
      <c r="CL29" s="186"/>
      <c r="CM29" s="186"/>
      <c r="CN29" s="186"/>
      <c r="CO29" s="186"/>
      <c r="CP29" s="186"/>
      <c r="CQ29" s="186"/>
      <c r="CR29" s="186"/>
      <c r="CS29" s="175">
        <f t="shared" si="18"/>
        <v>1</v>
      </c>
      <c r="CT29" s="158">
        <f t="shared" si="19"/>
        <v>100</v>
      </c>
    </row>
    <row r="30" ht="15.75" customHeight="1">
      <c r="A30" s="146">
        <v>21.0</v>
      </c>
      <c r="B30" s="111" t="s">
        <v>92</v>
      </c>
      <c r="C30" s="112" t="s">
        <v>93</v>
      </c>
      <c r="D30" s="91">
        <f t="shared" si="6"/>
        <v>0</v>
      </c>
      <c r="E30" s="113">
        <f t="shared" si="7"/>
        <v>0</v>
      </c>
      <c r="F30" s="114">
        <f t="shared" si="8"/>
        <v>0</v>
      </c>
      <c r="G30" s="202">
        <f t="shared" si="9"/>
        <v>0</v>
      </c>
      <c r="H30" s="165"/>
      <c r="I30" s="116"/>
      <c r="J30" s="116"/>
      <c r="K30" s="116"/>
      <c r="L30" s="116"/>
      <c r="M30" s="118">
        <f t="shared" si="10"/>
        <v>0</v>
      </c>
      <c r="N30" s="119" t="str">
        <f t="shared" si="11"/>
        <v>#DIV/0!</v>
      </c>
      <c r="O30" s="176"/>
      <c r="P30" s="179"/>
      <c r="Q30" s="179"/>
      <c r="R30" s="179"/>
      <c r="S30" s="179"/>
      <c r="T30" s="179"/>
      <c r="U30" s="179"/>
      <c r="V30" s="179"/>
      <c r="W30" s="179"/>
      <c r="X30" s="179"/>
      <c r="Y30" s="179"/>
      <c r="Z30" s="179"/>
      <c r="AA30" s="179"/>
      <c r="AB30" s="179"/>
      <c r="AC30" s="179"/>
      <c r="AD30" s="179"/>
      <c r="AE30" s="179"/>
      <c r="AF30" s="176"/>
      <c r="AG30" s="176"/>
      <c r="AH30" s="176"/>
      <c r="AI30" s="176"/>
      <c r="AJ30" s="168">
        <f t="shared" si="12"/>
        <v>0</v>
      </c>
      <c r="AK30" s="169">
        <f t="shared" si="13"/>
        <v>0</v>
      </c>
      <c r="AL30" s="183"/>
      <c r="AM30" s="179"/>
      <c r="AN30" s="179"/>
      <c r="AO30" s="179"/>
      <c r="AP30" s="179"/>
      <c r="AQ30" s="179"/>
      <c r="AR30" s="179"/>
      <c r="AS30" s="179"/>
      <c r="AT30" s="179"/>
      <c r="AU30" s="179"/>
      <c r="AV30" s="179"/>
      <c r="AW30" s="179"/>
      <c r="AX30" s="179"/>
      <c r="AY30" s="179"/>
      <c r="AZ30" s="179"/>
      <c r="BA30" s="179"/>
      <c r="BB30" s="179"/>
      <c r="BC30" s="179"/>
      <c r="BD30" s="179"/>
      <c r="BE30" s="179"/>
      <c r="BF30" s="179"/>
      <c r="BG30" s="118">
        <f t="shared" si="14"/>
        <v>0</v>
      </c>
      <c r="BH30" s="122">
        <f t="shared" si="15"/>
        <v>0</v>
      </c>
      <c r="BI30" s="176"/>
      <c r="BJ30" s="179"/>
      <c r="BK30" s="179"/>
      <c r="BL30" s="184"/>
      <c r="BM30" s="179"/>
      <c r="BN30" s="179"/>
      <c r="BO30" s="179"/>
      <c r="BP30" s="179"/>
      <c r="BQ30" s="179"/>
      <c r="BR30" s="179"/>
      <c r="BS30" s="179"/>
      <c r="BT30" s="179"/>
      <c r="BU30" s="179"/>
      <c r="BV30" s="179"/>
      <c r="BW30" s="186"/>
      <c r="BX30" s="186"/>
      <c r="BY30" s="186"/>
      <c r="BZ30" s="186"/>
      <c r="CA30" s="186"/>
      <c r="CB30" s="186"/>
      <c r="CD30" s="186"/>
      <c r="CE30" s="172">
        <f t="shared" si="16"/>
        <v>0</v>
      </c>
      <c r="CF30" s="173">
        <f t="shared" si="17"/>
        <v>0</v>
      </c>
      <c r="CG30" s="189"/>
      <c r="CH30" s="186"/>
      <c r="CI30" s="186"/>
      <c r="CJ30" s="186"/>
      <c r="CK30" s="186"/>
      <c r="CL30" s="186"/>
      <c r="CM30" s="186"/>
      <c r="CN30" s="186"/>
      <c r="CO30" s="186"/>
      <c r="CP30" s="186"/>
      <c r="CQ30" s="186"/>
      <c r="CR30" s="186"/>
      <c r="CS30" s="175">
        <f t="shared" si="18"/>
        <v>0</v>
      </c>
      <c r="CT30" s="158">
        <f t="shared" si="19"/>
        <v>0</v>
      </c>
    </row>
    <row r="31" ht="15.75" customHeight="1">
      <c r="A31" s="50">
        <v>22.0</v>
      </c>
      <c r="B31" s="111" t="s">
        <v>94</v>
      </c>
      <c r="C31" s="112" t="s">
        <v>95</v>
      </c>
      <c r="D31" s="91">
        <f t="shared" si="6"/>
        <v>5</v>
      </c>
      <c r="E31" s="113">
        <f t="shared" si="7"/>
        <v>71.42857143</v>
      </c>
      <c r="F31" s="114" t="str">
        <f t="shared" si="8"/>
        <v>  </v>
      </c>
      <c r="G31" s="202" t="str">
        <f t="shared" si="9"/>
        <v>  </v>
      </c>
      <c r="H31" s="165"/>
      <c r="I31" s="150"/>
      <c r="J31" s="150"/>
      <c r="K31" s="116"/>
      <c r="L31" s="116"/>
      <c r="M31" s="118">
        <f t="shared" si="10"/>
        <v>0</v>
      </c>
      <c r="N31" s="119" t="str">
        <f t="shared" si="11"/>
        <v>#DIV/0!</v>
      </c>
      <c r="O31" s="176"/>
      <c r="P31" s="179"/>
      <c r="Q31" s="179"/>
      <c r="R31" s="179"/>
      <c r="S31" s="179"/>
      <c r="T31" s="179"/>
      <c r="U31" s="179"/>
      <c r="V31" s="179"/>
      <c r="W31" s="179"/>
      <c r="X31" s="179"/>
      <c r="Y31" s="179"/>
      <c r="Z31" s="179"/>
      <c r="AA31" s="179"/>
      <c r="AB31" s="179"/>
      <c r="AC31" s="179"/>
      <c r="AD31" s="179"/>
      <c r="AE31" s="179"/>
      <c r="AF31" s="176"/>
      <c r="AG31" s="176"/>
      <c r="AH31" s="176"/>
      <c r="AI31" s="182">
        <v>1.0</v>
      </c>
      <c r="AJ31" s="168">
        <f t="shared" si="12"/>
        <v>1</v>
      </c>
      <c r="AK31" s="169">
        <f t="shared" si="13"/>
        <v>100</v>
      </c>
      <c r="AL31" s="183"/>
      <c r="AM31" s="179"/>
      <c r="AN31" s="179"/>
      <c r="AO31" s="179"/>
      <c r="AP31" s="184">
        <v>1.0</v>
      </c>
      <c r="AQ31" s="179"/>
      <c r="AR31" s="179"/>
      <c r="AS31" s="179"/>
      <c r="AT31" s="179"/>
      <c r="AU31" s="184">
        <v>1.0</v>
      </c>
      <c r="AV31" s="179"/>
      <c r="AW31" s="179"/>
      <c r="AX31" s="179"/>
      <c r="AY31" s="179"/>
      <c r="AZ31" s="179"/>
      <c r="BA31" s="179"/>
      <c r="BB31" s="179"/>
      <c r="BC31" s="179"/>
      <c r="BD31" s="179"/>
      <c r="BE31" s="179"/>
      <c r="BF31" s="179"/>
      <c r="BG31" s="118">
        <f t="shared" si="14"/>
        <v>2</v>
      </c>
      <c r="BH31" s="122">
        <f t="shared" si="15"/>
        <v>66.66666667</v>
      </c>
      <c r="BI31" s="176"/>
      <c r="BJ31" s="179"/>
      <c r="BK31" s="179"/>
      <c r="BL31" s="184">
        <v>1.0</v>
      </c>
      <c r="BM31" s="179"/>
      <c r="BN31" s="179"/>
      <c r="BO31" s="179"/>
      <c r="BP31" s="179"/>
      <c r="BQ31" s="179"/>
      <c r="BR31" s="179"/>
      <c r="BS31" s="179"/>
      <c r="BT31" s="179"/>
      <c r="BU31" s="179"/>
      <c r="BV31" s="179"/>
      <c r="BW31" s="186"/>
      <c r="BX31" s="186"/>
      <c r="BY31" s="186"/>
      <c r="BZ31" s="186"/>
      <c r="CA31" s="186"/>
      <c r="CB31" s="186"/>
      <c r="CD31" s="186"/>
      <c r="CE31" s="172">
        <f t="shared" si="16"/>
        <v>1</v>
      </c>
      <c r="CF31" s="173">
        <f t="shared" si="17"/>
        <v>50</v>
      </c>
      <c r="CG31" s="189">
        <v>1.0</v>
      </c>
      <c r="CH31" s="186"/>
      <c r="CI31" s="186"/>
      <c r="CJ31" s="186"/>
      <c r="CK31" s="186"/>
      <c r="CL31" s="186"/>
      <c r="CM31" s="186"/>
      <c r="CN31" s="186"/>
      <c r="CO31" s="186"/>
      <c r="CP31" s="186"/>
      <c r="CQ31" s="186"/>
      <c r="CR31" s="186"/>
      <c r="CS31" s="175">
        <f t="shared" si="18"/>
        <v>1</v>
      </c>
      <c r="CT31" s="158">
        <f t="shared" si="19"/>
        <v>100</v>
      </c>
    </row>
    <row r="32" ht="15.75" customHeight="1">
      <c r="A32" s="131">
        <v>23.0</v>
      </c>
      <c r="B32" s="111" t="s">
        <v>96</v>
      </c>
      <c r="C32" s="112" t="s">
        <v>97</v>
      </c>
      <c r="D32" s="91">
        <f t="shared" si="6"/>
        <v>2</v>
      </c>
      <c r="E32" s="113">
        <f t="shared" si="7"/>
        <v>28.57142857</v>
      </c>
      <c r="F32" s="114">
        <f t="shared" si="8"/>
        <v>28.57142857</v>
      </c>
      <c r="G32" s="202">
        <f t="shared" si="9"/>
        <v>28.57142857</v>
      </c>
      <c r="H32" s="165"/>
      <c r="I32" s="150"/>
      <c r="J32" s="116"/>
      <c r="K32" s="116"/>
      <c r="L32" s="116"/>
      <c r="M32" s="118">
        <f t="shared" si="10"/>
        <v>0</v>
      </c>
      <c r="N32" s="119" t="str">
        <f t="shared" si="11"/>
        <v>#DIV/0!</v>
      </c>
      <c r="O32" s="176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  <c r="AA32" s="179"/>
      <c r="AB32" s="179"/>
      <c r="AC32" s="179"/>
      <c r="AD32" s="179"/>
      <c r="AE32" s="179"/>
      <c r="AF32" s="176"/>
      <c r="AG32" s="176"/>
      <c r="AH32" s="176"/>
      <c r="AI32" s="176"/>
      <c r="AJ32" s="168">
        <f t="shared" si="12"/>
        <v>0</v>
      </c>
      <c r="AK32" s="169">
        <f t="shared" si="13"/>
        <v>0</v>
      </c>
      <c r="AL32" s="183"/>
      <c r="AM32" s="179"/>
      <c r="AN32" s="179"/>
      <c r="AO32" s="179"/>
      <c r="AP32" s="184">
        <v>1.0</v>
      </c>
      <c r="AQ32" s="179"/>
      <c r="AR32" s="179"/>
      <c r="AS32" s="179"/>
      <c r="AT32" s="179"/>
      <c r="AU32" s="179"/>
      <c r="AV32" s="179"/>
      <c r="AW32" s="179"/>
      <c r="AX32" s="179"/>
      <c r="AY32" s="179"/>
      <c r="AZ32" s="179"/>
      <c r="BA32" s="179"/>
      <c r="BB32" s="179"/>
      <c r="BC32" s="179"/>
      <c r="BD32" s="179"/>
      <c r="BE32" s="179"/>
      <c r="BF32" s="179"/>
      <c r="BG32" s="118">
        <f t="shared" si="14"/>
        <v>1</v>
      </c>
      <c r="BH32" s="122">
        <f t="shared" si="15"/>
        <v>33.33333333</v>
      </c>
      <c r="BI32" s="176"/>
      <c r="BJ32" s="179"/>
      <c r="BK32" s="179"/>
      <c r="BL32" s="179"/>
      <c r="BM32" s="179"/>
      <c r="BN32" s="179"/>
      <c r="BO32" s="179"/>
      <c r="BP32" s="179"/>
      <c r="BQ32" s="179"/>
      <c r="BR32" s="179"/>
      <c r="BS32" s="179"/>
      <c r="BT32" s="179"/>
      <c r="BU32" s="179"/>
      <c r="BV32" s="179"/>
      <c r="BW32" s="186"/>
      <c r="BX32" s="186"/>
      <c r="BY32" s="186"/>
      <c r="BZ32" s="186"/>
      <c r="CA32" s="186"/>
      <c r="CB32" s="186"/>
      <c r="CD32" s="186"/>
      <c r="CE32" s="172">
        <f t="shared" si="16"/>
        <v>0</v>
      </c>
      <c r="CF32" s="173">
        <f t="shared" si="17"/>
        <v>0</v>
      </c>
      <c r="CG32" s="189">
        <v>1.0</v>
      </c>
      <c r="CH32" s="186"/>
      <c r="CI32" s="186"/>
      <c r="CJ32" s="186"/>
      <c r="CK32" s="186"/>
      <c r="CL32" s="186"/>
      <c r="CM32" s="186"/>
      <c r="CN32" s="186"/>
      <c r="CO32" s="186"/>
      <c r="CP32" s="186"/>
      <c r="CQ32" s="186"/>
      <c r="CR32" s="186"/>
      <c r="CS32" s="175">
        <f t="shared" si="18"/>
        <v>1</v>
      </c>
      <c r="CT32" s="158">
        <f t="shared" si="19"/>
        <v>100</v>
      </c>
    </row>
    <row r="33" ht="15.75" customHeight="1">
      <c r="A33" s="146">
        <v>24.0</v>
      </c>
      <c r="B33" s="111" t="s">
        <v>98</v>
      </c>
      <c r="C33" s="112" t="s">
        <v>99</v>
      </c>
      <c r="D33" s="91">
        <f t="shared" si="6"/>
        <v>4</v>
      </c>
      <c r="E33" s="113">
        <f t="shared" si="7"/>
        <v>57.14285714</v>
      </c>
      <c r="F33" s="114" t="str">
        <f t="shared" si="8"/>
        <v>  </v>
      </c>
      <c r="G33" s="164" t="str">
        <f t="shared" si="9"/>
        <v>  </v>
      </c>
      <c r="H33" s="165"/>
      <c r="I33" s="150"/>
      <c r="J33" s="116"/>
      <c r="K33" s="116"/>
      <c r="L33" s="116"/>
      <c r="M33" s="118">
        <f t="shared" si="10"/>
        <v>0</v>
      </c>
      <c r="N33" s="119" t="str">
        <f t="shared" si="11"/>
        <v>#DIV/0!</v>
      </c>
      <c r="O33" s="206"/>
      <c r="P33" s="207"/>
      <c r="Q33" s="207"/>
      <c r="R33" s="207"/>
      <c r="S33" s="207"/>
      <c r="T33" s="207"/>
      <c r="U33" s="207"/>
      <c r="V33" s="207"/>
      <c r="W33" s="207"/>
      <c r="X33" s="207"/>
      <c r="Y33" s="207"/>
      <c r="Z33" s="207"/>
      <c r="AA33" s="207"/>
      <c r="AB33" s="207"/>
      <c r="AC33" s="207"/>
      <c r="AD33" s="207"/>
      <c r="AE33" s="207"/>
      <c r="AF33" s="206"/>
      <c r="AG33" s="206"/>
      <c r="AH33" s="206"/>
      <c r="AI33" s="206"/>
      <c r="AJ33" s="168">
        <f t="shared" si="12"/>
        <v>0</v>
      </c>
      <c r="AK33" s="169">
        <f t="shared" si="13"/>
        <v>0</v>
      </c>
      <c r="AL33" s="212"/>
      <c r="AM33" s="207"/>
      <c r="AN33" s="207"/>
      <c r="AO33" s="207"/>
      <c r="AP33" s="234">
        <v>1.0</v>
      </c>
      <c r="AQ33" s="207"/>
      <c r="AR33" s="207"/>
      <c r="AS33" s="207"/>
      <c r="AT33" s="207"/>
      <c r="AU33" s="234">
        <v>1.0</v>
      </c>
      <c r="AV33" s="207"/>
      <c r="AW33" s="207"/>
      <c r="AX33" s="207"/>
      <c r="AY33" s="207"/>
      <c r="AZ33" s="207"/>
      <c r="BA33" s="207"/>
      <c r="BB33" s="207"/>
      <c r="BC33" s="207"/>
      <c r="BD33" s="207"/>
      <c r="BE33" s="207"/>
      <c r="BF33" s="207"/>
      <c r="BG33" s="118">
        <f t="shared" si="14"/>
        <v>2</v>
      </c>
      <c r="BH33" s="122">
        <f t="shared" si="15"/>
        <v>66.66666667</v>
      </c>
      <c r="BI33" s="206"/>
      <c r="BJ33" s="207"/>
      <c r="BK33" s="207"/>
      <c r="BL33" s="234">
        <v>1.0</v>
      </c>
      <c r="BM33" s="207"/>
      <c r="BN33" s="207"/>
      <c r="BO33" s="207"/>
      <c r="BP33" s="207"/>
      <c r="BQ33" s="207"/>
      <c r="BR33" s="207"/>
      <c r="BS33" s="207"/>
      <c r="BT33" s="207"/>
      <c r="BU33" s="207"/>
      <c r="BV33" s="207"/>
      <c r="BW33" s="186"/>
      <c r="BX33" s="186"/>
      <c r="BY33" s="186"/>
      <c r="BZ33" s="186"/>
      <c r="CA33" s="186"/>
      <c r="CB33" s="186"/>
      <c r="CD33" s="186"/>
      <c r="CE33" s="172">
        <f t="shared" si="16"/>
        <v>1</v>
      </c>
      <c r="CF33" s="173">
        <f t="shared" si="17"/>
        <v>50</v>
      </c>
      <c r="CG33" s="189">
        <v>1.0</v>
      </c>
      <c r="CH33" s="186"/>
      <c r="CI33" s="186"/>
      <c r="CJ33" s="186"/>
      <c r="CK33" s="186"/>
      <c r="CL33" s="186"/>
      <c r="CM33" s="186"/>
      <c r="CN33" s="186"/>
      <c r="CO33" s="186"/>
      <c r="CP33" s="186"/>
      <c r="CQ33" s="186"/>
      <c r="CR33" s="186"/>
      <c r="CS33" s="175">
        <f t="shared" si="18"/>
        <v>1</v>
      </c>
      <c r="CT33" s="158">
        <f t="shared" si="19"/>
        <v>100</v>
      </c>
    </row>
    <row r="34" ht="15.75" customHeight="1">
      <c r="A34" s="50">
        <v>25.0</v>
      </c>
      <c r="B34" s="111" t="s">
        <v>100</v>
      </c>
      <c r="C34" s="112" t="s">
        <v>101</v>
      </c>
      <c r="D34" s="91">
        <f t="shared" si="6"/>
        <v>6</v>
      </c>
      <c r="E34" s="113">
        <f t="shared" si="7"/>
        <v>85.71428571</v>
      </c>
      <c r="F34" s="92" t="str">
        <f t="shared" si="8"/>
        <v>  </v>
      </c>
      <c r="G34" s="164" t="str">
        <f t="shared" si="9"/>
        <v>  </v>
      </c>
      <c r="H34" s="165"/>
      <c r="I34" s="43"/>
      <c r="J34" s="43"/>
      <c r="K34" s="116"/>
      <c r="L34" s="116"/>
      <c r="M34" s="118">
        <f t="shared" si="10"/>
        <v>0</v>
      </c>
      <c r="N34" s="119" t="str">
        <f t="shared" si="11"/>
        <v>#DIV/0!</v>
      </c>
      <c r="O34" s="206"/>
      <c r="P34" s="207"/>
      <c r="Q34" s="207"/>
      <c r="R34" s="207"/>
      <c r="S34" s="207"/>
      <c r="T34" s="207"/>
      <c r="U34" s="207"/>
      <c r="V34" s="207"/>
      <c r="W34" s="207"/>
      <c r="X34" s="207"/>
      <c r="Y34" s="207"/>
      <c r="Z34" s="207"/>
      <c r="AA34" s="207"/>
      <c r="AB34" s="207"/>
      <c r="AC34" s="207"/>
      <c r="AD34" s="207"/>
      <c r="AE34" s="207"/>
      <c r="AF34" s="206"/>
      <c r="AG34" s="206"/>
      <c r="AH34" s="206"/>
      <c r="AI34" s="209">
        <v>1.0</v>
      </c>
      <c r="AJ34" s="168">
        <f t="shared" si="12"/>
        <v>1</v>
      </c>
      <c r="AK34" s="169">
        <f t="shared" si="13"/>
        <v>100</v>
      </c>
      <c r="AL34" s="212"/>
      <c r="AM34" s="207"/>
      <c r="AN34" s="207"/>
      <c r="AO34" s="207"/>
      <c r="AP34" s="234">
        <v>1.0</v>
      </c>
      <c r="AQ34" s="207"/>
      <c r="AR34" s="207"/>
      <c r="AS34" s="207"/>
      <c r="AT34" s="207"/>
      <c r="AU34" s="234">
        <v>1.0</v>
      </c>
      <c r="AV34" s="207"/>
      <c r="AW34" s="207"/>
      <c r="AX34" s="207"/>
      <c r="AY34" s="207"/>
      <c r="AZ34" s="207"/>
      <c r="BA34" s="207"/>
      <c r="BB34" s="234">
        <v>1.0</v>
      </c>
      <c r="BC34" s="207"/>
      <c r="BD34" s="207"/>
      <c r="BE34" s="207"/>
      <c r="BF34" s="207"/>
      <c r="BG34" s="118">
        <f t="shared" si="14"/>
        <v>3</v>
      </c>
      <c r="BH34" s="122">
        <f t="shared" si="15"/>
        <v>100</v>
      </c>
      <c r="BI34" s="206"/>
      <c r="BJ34" s="207"/>
      <c r="BK34" s="207"/>
      <c r="BL34" s="234">
        <v>1.0</v>
      </c>
      <c r="BM34" s="207"/>
      <c r="BN34" s="207"/>
      <c r="BO34" s="207"/>
      <c r="BP34" s="207"/>
      <c r="BQ34" s="207"/>
      <c r="BR34" s="207"/>
      <c r="BS34" s="207"/>
      <c r="BT34" s="207"/>
      <c r="BU34" s="207"/>
      <c r="BV34" s="207"/>
      <c r="BW34" s="186"/>
      <c r="BX34" s="186"/>
      <c r="BY34" s="186"/>
      <c r="BZ34" s="186"/>
      <c r="CA34" s="186"/>
      <c r="CB34" s="186"/>
      <c r="CD34" s="186"/>
      <c r="CE34" s="172">
        <f t="shared" si="16"/>
        <v>1</v>
      </c>
      <c r="CF34" s="173">
        <f t="shared" si="17"/>
        <v>50</v>
      </c>
      <c r="CG34" s="189">
        <v>1.0</v>
      </c>
      <c r="CH34" s="186"/>
      <c r="CI34" s="186"/>
      <c r="CJ34" s="186"/>
      <c r="CK34" s="186"/>
      <c r="CL34" s="186"/>
      <c r="CM34" s="186"/>
      <c r="CN34" s="186"/>
      <c r="CO34" s="186"/>
      <c r="CP34" s="186"/>
      <c r="CQ34" s="186"/>
      <c r="CR34" s="186"/>
      <c r="CS34" s="175">
        <f t="shared" si="18"/>
        <v>1</v>
      </c>
      <c r="CT34" s="158">
        <f t="shared" si="19"/>
        <v>100</v>
      </c>
    </row>
    <row r="35" ht="15.75" customHeight="1">
      <c r="A35" s="131">
        <v>26.0</v>
      </c>
      <c r="B35" s="111" t="s">
        <v>102</v>
      </c>
      <c r="C35" s="112" t="s">
        <v>103</v>
      </c>
      <c r="D35" s="91">
        <f t="shared" si="6"/>
        <v>2</v>
      </c>
      <c r="E35" s="113">
        <f t="shared" si="7"/>
        <v>28.57142857</v>
      </c>
      <c r="F35" s="114">
        <f t="shared" si="8"/>
        <v>28.57142857</v>
      </c>
      <c r="G35" s="202">
        <f t="shared" si="9"/>
        <v>28.57142857</v>
      </c>
      <c r="H35" s="192"/>
      <c r="I35" s="116"/>
      <c r="J35" s="116"/>
      <c r="K35" s="116"/>
      <c r="L35" s="116"/>
      <c r="M35" s="118">
        <f t="shared" si="10"/>
        <v>0</v>
      </c>
      <c r="N35" s="119" t="str">
        <f t="shared" si="11"/>
        <v>#DIV/0!</v>
      </c>
      <c r="O35" s="176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Z35" s="179"/>
      <c r="AA35" s="179"/>
      <c r="AB35" s="179"/>
      <c r="AC35" s="179"/>
      <c r="AD35" s="179"/>
      <c r="AE35" s="179"/>
      <c r="AF35" s="176"/>
      <c r="AG35" s="176"/>
      <c r="AH35" s="176"/>
      <c r="AI35" s="176"/>
      <c r="AJ35" s="168">
        <f t="shared" si="12"/>
        <v>0</v>
      </c>
      <c r="AK35" s="169">
        <f t="shared" si="13"/>
        <v>0</v>
      </c>
      <c r="AL35" s="183"/>
      <c r="AM35" s="179"/>
      <c r="AN35" s="179"/>
      <c r="AO35" s="179"/>
      <c r="AP35" s="179"/>
      <c r="AQ35" s="179"/>
      <c r="AR35" s="179"/>
      <c r="AS35" s="179"/>
      <c r="AT35" s="179"/>
      <c r="AU35" s="179"/>
      <c r="AV35" s="179"/>
      <c r="AW35" s="179"/>
      <c r="AX35" s="179"/>
      <c r="AY35" s="179"/>
      <c r="AZ35" s="179"/>
      <c r="BA35" s="179"/>
      <c r="BB35" s="179"/>
      <c r="BC35" s="179"/>
      <c r="BD35" s="179"/>
      <c r="BE35" s="179"/>
      <c r="BF35" s="179"/>
      <c r="BG35" s="118">
        <f t="shared" si="14"/>
        <v>0</v>
      </c>
      <c r="BH35" s="122">
        <f t="shared" si="15"/>
        <v>0</v>
      </c>
      <c r="BI35" s="176"/>
      <c r="BJ35" s="179"/>
      <c r="BK35" s="179"/>
      <c r="BL35" s="184">
        <v>1.0</v>
      </c>
      <c r="BM35" s="179"/>
      <c r="BN35" s="179"/>
      <c r="BO35" s="179"/>
      <c r="BP35" s="179"/>
      <c r="BQ35" s="179"/>
      <c r="BR35" s="179"/>
      <c r="BS35" s="179"/>
      <c r="BT35" s="179"/>
      <c r="BU35" s="179"/>
      <c r="BV35" s="179"/>
      <c r="BW35" s="186"/>
      <c r="BX35" s="186"/>
      <c r="BY35" s="186"/>
      <c r="BZ35" s="186"/>
      <c r="CA35" s="186"/>
      <c r="CB35" s="186"/>
      <c r="CD35" s="186"/>
      <c r="CE35" s="172">
        <f t="shared" si="16"/>
        <v>1</v>
      </c>
      <c r="CF35" s="173">
        <f t="shared" si="17"/>
        <v>50</v>
      </c>
      <c r="CG35" s="189">
        <v>1.0</v>
      </c>
      <c r="CH35" s="186"/>
      <c r="CI35" s="186"/>
      <c r="CJ35" s="186"/>
      <c r="CK35" s="186"/>
      <c r="CL35" s="186"/>
      <c r="CM35" s="186"/>
      <c r="CN35" s="186"/>
      <c r="CO35" s="186"/>
      <c r="CP35" s="186"/>
      <c r="CQ35" s="186"/>
      <c r="CR35" s="186"/>
      <c r="CS35" s="175">
        <f t="shared" si="18"/>
        <v>1</v>
      </c>
      <c r="CT35" s="158">
        <f t="shared" si="19"/>
        <v>100</v>
      </c>
    </row>
    <row r="36" ht="15.75" customHeight="1">
      <c r="A36" s="146">
        <v>27.0</v>
      </c>
      <c r="B36" s="111" t="s">
        <v>104</v>
      </c>
      <c r="C36" s="112" t="s">
        <v>105</v>
      </c>
      <c r="D36" s="91">
        <f t="shared" si="6"/>
        <v>3</v>
      </c>
      <c r="E36" s="113">
        <f t="shared" si="7"/>
        <v>42.85714286</v>
      </c>
      <c r="F36" s="114">
        <f t="shared" si="8"/>
        <v>42.85714286</v>
      </c>
      <c r="G36" s="164" t="str">
        <f t="shared" si="9"/>
        <v>  </v>
      </c>
      <c r="H36" s="165"/>
      <c r="I36" s="116"/>
      <c r="J36" s="116"/>
      <c r="K36" s="116"/>
      <c r="L36" s="116"/>
      <c r="M36" s="118">
        <f t="shared" si="10"/>
        <v>0</v>
      </c>
      <c r="N36" s="119" t="str">
        <f t="shared" si="11"/>
        <v>#DIV/0!</v>
      </c>
      <c r="O36" s="176"/>
      <c r="P36" s="179"/>
      <c r="Q36" s="179"/>
      <c r="R36" s="179"/>
      <c r="S36" s="179"/>
      <c r="T36" s="179"/>
      <c r="U36" s="179"/>
      <c r="V36" s="179"/>
      <c r="W36" s="179"/>
      <c r="X36" s="179"/>
      <c r="Y36" s="179"/>
      <c r="Z36" s="179"/>
      <c r="AA36" s="179"/>
      <c r="AB36" s="179"/>
      <c r="AC36" s="179"/>
      <c r="AD36" s="179"/>
      <c r="AE36" s="179"/>
      <c r="AF36" s="176"/>
      <c r="AG36" s="176"/>
      <c r="AH36" s="176"/>
      <c r="AI36" s="182">
        <v>1.0</v>
      </c>
      <c r="AJ36" s="168">
        <f t="shared" si="12"/>
        <v>1</v>
      </c>
      <c r="AK36" s="169">
        <f t="shared" si="13"/>
        <v>100</v>
      </c>
      <c r="AL36" s="183"/>
      <c r="AM36" s="179"/>
      <c r="AN36" s="179"/>
      <c r="AO36" s="179"/>
      <c r="AP36" s="184">
        <v>1.0</v>
      </c>
      <c r="AQ36" s="179"/>
      <c r="AR36" s="179"/>
      <c r="AS36" s="179"/>
      <c r="AT36" s="179"/>
      <c r="AU36" s="179"/>
      <c r="AV36" s="179"/>
      <c r="AW36" s="179"/>
      <c r="AX36" s="179"/>
      <c r="AY36" s="179"/>
      <c r="AZ36" s="179"/>
      <c r="BA36" s="179"/>
      <c r="BB36" s="179"/>
      <c r="BC36" s="179"/>
      <c r="BD36" s="179"/>
      <c r="BE36" s="179"/>
      <c r="BF36" s="179"/>
      <c r="BG36" s="118">
        <f t="shared" si="14"/>
        <v>1</v>
      </c>
      <c r="BH36" s="122">
        <f t="shared" si="15"/>
        <v>33.33333333</v>
      </c>
      <c r="BI36" s="176"/>
      <c r="BJ36" s="179"/>
      <c r="BK36" s="179"/>
      <c r="BL36" s="179"/>
      <c r="BM36" s="179"/>
      <c r="BN36" s="179"/>
      <c r="BO36" s="179"/>
      <c r="BP36" s="179"/>
      <c r="BQ36" s="179"/>
      <c r="BR36" s="179"/>
      <c r="BS36" s="179"/>
      <c r="BT36" s="179"/>
      <c r="BU36" s="179"/>
      <c r="BV36" s="179"/>
      <c r="BW36" s="186"/>
      <c r="BX36" s="186"/>
      <c r="BY36" s="186"/>
      <c r="BZ36" s="186"/>
      <c r="CA36" s="186"/>
      <c r="CB36" s="186"/>
      <c r="CD36" s="186"/>
      <c r="CE36" s="172">
        <f t="shared" si="16"/>
        <v>0</v>
      </c>
      <c r="CF36" s="173">
        <f t="shared" si="17"/>
        <v>0</v>
      </c>
      <c r="CG36" s="189">
        <v>1.0</v>
      </c>
      <c r="CH36" s="186"/>
      <c r="CI36" s="186"/>
      <c r="CJ36" s="186"/>
      <c r="CK36" s="186"/>
      <c r="CL36" s="186"/>
      <c r="CM36" s="186"/>
      <c r="CN36" s="186"/>
      <c r="CO36" s="186"/>
      <c r="CP36" s="186"/>
      <c r="CQ36" s="186"/>
      <c r="CR36" s="186"/>
      <c r="CS36" s="175">
        <f t="shared" si="18"/>
        <v>1</v>
      </c>
      <c r="CT36" s="158">
        <f t="shared" si="19"/>
        <v>100</v>
      </c>
    </row>
    <row r="37" ht="15.75" customHeight="1">
      <c r="A37" s="50">
        <v>28.0</v>
      </c>
      <c r="B37" s="111" t="s">
        <v>106</v>
      </c>
      <c r="C37" s="112" t="s">
        <v>107</v>
      </c>
      <c r="D37" s="91">
        <f t="shared" si="6"/>
        <v>4</v>
      </c>
      <c r="E37" s="113">
        <f t="shared" si="7"/>
        <v>57.14285714</v>
      </c>
      <c r="F37" s="114" t="str">
        <f t="shared" si="8"/>
        <v>  </v>
      </c>
      <c r="G37" s="202" t="str">
        <f t="shared" si="9"/>
        <v>  </v>
      </c>
      <c r="H37" s="165"/>
      <c r="I37" s="150"/>
      <c r="J37" s="150"/>
      <c r="K37" s="150"/>
      <c r="L37" s="150"/>
      <c r="M37" s="118">
        <f t="shared" si="10"/>
        <v>0</v>
      </c>
      <c r="N37" s="119" t="str">
        <f t="shared" si="11"/>
        <v>#DIV/0!</v>
      </c>
      <c r="O37" s="176"/>
      <c r="P37" s="179"/>
      <c r="Q37" s="179"/>
      <c r="R37" s="179"/>
      <c r="S37" s="179"/>
      <c r="T37" s="179"/>
      <c r="U37" s="179"/>
      <c r="V37" s="179"/>
      <c r="W37" s="179"/>
      <c r="X37" s="179"/>
      <c r="Y37" s="179"/>
      <c r="Z37" s="179"/>
      <c r="AA37" s="179"/>
      <c r="AB37" s="179"/>
      <c r="AC37" s="179"/>
      <c r="AD37" s="179"/>
      <c r="AE37" s="179"/>
      <c r="AF37" s="176"/>
      <c r="AG37" s="176"/>
      <c r="AH37" s="176"/>
      <c r="AI37" s="182">
        <v>1.0</v>
      </c>
      <c r="AJ37" s="168">
        <f t="shared" si="12"/>
        <v>1</v>
      </c>
      <c r="AK37" s="169">
        <f t="shared" si="13"/>
        <v>100</v>
      </c>
      <c r="AL37" s="183"/>
      <c r="AM37" s="179"/>
      <c r="AN37" s="179"/>
      <c r="AO37" s="179"/>
      <c r="AP37" s="184">
        <v>1.0</v>
      </c>
      <c r="AQ37" s="179"/>
      <c r="AR37" s="179"/>
      <c r="AS37" s="179"/>
      <c r="AT37" s="179"/>
      <c r="AU37" s="184">
        <v>1.0</v>
      </c>
      <c r="AV37" s="179"/>
      <c r="AW37" s="179"/>
      <c r="AX37" s="179"/>
      <c r="AY37" s="179"/>
      <c r="AZ37" s="179"/>
      <c r="BA37" s="179"/>
      <c r="BB37" s="179"/>
      <c r="BC37" s="179"/>
      <c r="BD37" s="179"/>
      <c r="BE37" s="179"/>
      <c r="BF37" s="179"/>
      <c r="BG37" s="118">
        <f t="shared" si="14"/>
        <v>2</v>
      </c>
      <c r="BH37" s="122">
        <f t="shared" si="15"/>
        <v>66.66666667</v>
      </c>
      <c r="BI37" s="176"/>
      <c r="BJ37" s="179"/>
      <c r="BK37" s="179"/>
      <c r="BL37" s="184">
        <v>1.0</v>
      </c>
      <c r="BM37" s="179"/>
      <c r="BN37" s="179"/>
      <c r="BO37" s="179"/>
      <c r="BP37" s="179"/>
      <c r="BQ37" s="179"/>
      <c r="BR37" s="179"/>
      <c r="BS37" s="179"/>
      <c r="BT37" s="179"/>
      <c r="BU37" s="179"/>
      <c r="BV37" s="179"/>
      <c r="BW37" s="186"/>
      <c r="BX37" s="186"/>
      <c r="BY37" s="186"/>
      <c r="BZ37" s="186"/>
      <c r="CA37" s="186"/>
      <c r="CB37" s="186"/>
      <c r="CD37" s="186"/>
      <c r="CE37" s="172">
        <f t="shared" si="16"/>
        <v>1</v>
      </c>
      <c r="CF37" s="173">
        <f t="shared" si="17"/>
        <v>50</v>
      </c>
      <c r="CG37" s="199"/>
      <c r="CH37" s="186"/>
      <c r="CI37" s="186"/>
      <c r="CJ37" s="186"/>
      <c r="CK37" s="186"/>
      <c r="CL37" s="186"/>
      <c r="CM37" s="186"/>
      <c r="CN37" s="186"/>
      <c r="CO37" s="186"/>
      <c r="CP37" s="186"/>
      <c r="CQ37" s="186"/>
      <c r="CR37" s="186"/>
      <c r="CS37" s="175">
        <f t="shared" si="18"/>
        <v>0</v>
      </c>
      <c r="CT37" s="158">
        <f t="shared" si="19"/>
        <v>0</v>
      </c>
    </row>
    <row r="38" ht="15.75" customHeight="1">
      <c r="A38" s="131">
        <v>29.0</v>
      </c>
      <c r="B38" s="111" t="s">
        <v>108</v>
      </c>
      <c r="C38" s="112" t="s">
        <v>109</v>
      </c>
      <c r="D38" s="91">
        <f t="shared" si="6"/>
        <v>4</v>
      </c>
      <c r="E38" s="113">
        <f t="shared" si="7"/>
        <v>57.14285714</v>
      </c>
      <c r="F38" s="114" t="str">
        <f t="shared" si="8"/>
        <v>  </v>
      </c>
      <c r="G38" s="164" t="str">
        <f t="shared" si="9"/>
        <v>  </v>
      </c>
      <c r="H38" s="165"/>
      <c r="I38" s="150"/>
      <c r="J38" s="150"/>
      <c r="K38" s="150"/>
      <c r="L38" s="150"/>
      <c r="M38" s="118">
        <f t="shared" si="10"/>
        <v>0</v>
      </c>
      <c r="N38" s="119" t="str">
        <f t="shared" si="11"/>
        <v>#DIV/0!</v>
      </c>
      <c r="O38" s="176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  <c r="AC38" s="179"/>
      <c r="AD38" s="179"/>
      <c r="AE38" s="179"/>
      <c r="AF38" s="176"/>
      <c r="AG38" s="176"/>
      <c r="AH38" s="176"/>
      <c r="AI38" s="182">
        <v>1.0</v>
      </c>
      <c r="AJ38" s="168">
        <f t="shared" si="12"/>
        <v>1</v>
      </c>
      <c r="AK38" s="169">
        <f t="shared" si="13"/>
        <v>100</v>
      </c>
      <c r="AL38" s="183"/>
      <c r="AM38" s="179"/>
      <c r="AN38" s="179"/>
      <c r="AO38" s="179"/>
      <c r="AP38" s="184">
        <v>1.0</v>
      </c>
      <c r="AQ38" s="179"/>
      <c r="AR38" s="179"/>
      <c r="AS38" s="179"/>
      <c r="AT38" s="179"/>
      <c r="AU38" s="184">
        <v>1.0</v>
      </c>
      <c r="AV38" s="179"/>
      <c r="AW38" s="179"/>
      <c r="AX38" s="179"/>
      <c r="AY38" s="179"/>
      <c r="AZ38" s="179"/>
      <c r="BA38" s="179"/>
      <c r="BB38" s="179"/>
      <c r="BC38" s="179"/>
      <c r="BD38" s="179"/>
      <c r="BE38" s="179"/>
      <c r="BF38" s="179"/>
      <c r="BG38" s="118">
        <f t="shared" si="14"/>
        <v>2</v>
      </c>
      <c r="BH38" s="122">
        <f t="shared" si="15"/>
        <v>66.66666667</v>
      </c>
      <c r="BI38" s="176"/>
      <c r="BJ38" s="179"/>
      <c r="BK38" s="179"/>
      <c r="BL38" s="179"/>
      <c r="BM38" s="179"/>
      <c r="BN38" s="179"/>
      <c r="BO38" s="179"/>
      <c r="BP38" s="179"/>
      <c r="BQ38" s="179"/>
      <c r="BR38" s="179"/>
      <c r="BS38" s="179"/>
      <c r="BT38" s="179"/>
      <c r="BU38" s="179"/>
      <c r="BV38" s="179"/>
      <c r="BW38" s="186"/>
      <c r="BX38" s="186"/>
      <c r="BY38" s="186"/>
      <c r="BZ38" s="186"/>
      <c r="CA38" s="186"/>
      <c r="CB38" s="186"/>
      <c r="CD38" s="186"/>
      <c r="CE38" s="172">
        <f t="shared" si="16"/>
        <v>0</v>
      </c>
      <c r="CF38" s="173">
        <f t="shared" si="17"/>
        <v>0</v>
      </c>
      <c r="CG38" s="189">
        <v>1.0</v>
      </c>
      <c r="CH38" s="186"/>
      <c r="CI38" s="186"/>
      <c r="CJ38" s="186"/>
      <c r="CK38" s="186"/>
      <c r="CL38" s="186"/>
      <c r="CM38" s="186"/>
      <c r="CN38" s="186"/>
      <c r="CO38" s="186"/>
      <c r="CP38" s="186"/>
      <c r="CQ38" s="186"/>
      <c r="CR38" s="186"/>
      <c r="CS38" s="175">
        <f t="shared" si="18"/>
        <v>1</v>
      </c>
      <c r="CT38" s="158">
        <f t="shared" si="19"/>
        <v>100</v>
      </c>
    </row>
    <row r="39" ht="15.75" customHeight="1">
      <c r="A39" s="146">
        <v>30.0</v>
      </c>
      <c r="B39" s="111" t="s">
        <v>110</v>
      </c>
      <c r="C39" s="112" t="s">
        <v>111</v>
      </c>
      <c r="D39" s="91">
        <f t="shared" si="6"/>
        <v>6</v>
      </c>
      <c r="E39" s="113">
        <f t="shared" si="7"/>
        <v>85.71428571</v>
      </c>
      <c r="F39" s="114" t="str">
        <f t="shared" si="8"/>
        <v>  </v>
      </c>
      <c r="G39" s="164" t="str">
        <f t="shared" si="9"/>
        <v>  </v>
      </c>
      <c r="H39" s="165"/>
      <c r="I39" s="150"/>
      <c r="J39" s="150"/>
      <c r="K39" s="150"/>
      <c r="L39" s="150"/>
      <c r="M39" s="118">
        <f t="shared" si="10"/>
        <v>0</v>
      </c>
      <c r="N39" s="119" t="str">
        <f t="shared" si="11"/>
        <v>#DIV/0!</v>
      </c>
      <c r="O39" s="176"/>
      <c r="P39" s="179"/>
      <c r="Q39" s="179"/>
      <c r="R39" s="179"/>
      <c r="S39" s="179"/>
      <c r="T39" s="179"/>
      <c r="U39" s="179"/>
      <c r="V39" s="179"/>
      <c r="W39" s="179"/>
      <c r="X39" s="179"/>
      <c r="Y39" s="179"/>
      <c r="Z39" s="179"/>
      <c r="AA39" s="179"/>
      <c r="AB39" s="179"/>
      <c r="AC39" s="179"/>
      <c r="AD39" s="179"/>
      <c r="AE39" s="179"/>
      <c r="AF39" s="176"/>
      <c r="AG39" s="176"/>
      <c r="AH39" s="176"/>
      <c r="AI39" s="182">
        <v>1.0</v>
      </c>
      <c r="AJ39" s="168">
        <f t="shared" si="12"/>
        <v>1</v>
      </c>
      <c r="AK39" s="169">
        <f t="shared" si="13"/>
        <v>100</v>
      </c>
      <c r="AL39" s="183"/>
      <c r="AM39" s="179"/>
      <c r="AN39" s="179"/>
      <c r="AO39" s="179"/>
      <c r="AP39" s="184">
        <v>1.0</v>
      </c>
      <c r="AQ39" s="179"/>
      <c r="AR39" s="179"/>
      <c r="AS39" s="179"/>
      <c r="AT39" s="179"/>
      <c r="AU39" s="184">
        <v>1.0</v>
      </c>
      <c r="AV39" s="179"/>
      <c r="AW39" s="179"/>
      <c r="AX39" s="179"/>
      <c r="AY39" s="179"/>
      <c r="AZ39" s="179"/>
      <c r="BA39" s="179"/>
      <c r="BB39" s="184">
        <v>1.0</v>
      </c>
      <c r="BC39" s="179"/>
      <c r="BD39" s="179"/>
      <c r="BE39" s="179"/>
      <c r="BF39" s="179"/>
      <c r="BG39" s="118">
        <f t="shared" si="14"/>
        <v>3</v>
      </c>
      <c r="BH39" s="122">
        <f t="shared" si="15"/>
        <v>100</v>
      </c>
      <c r="BI39" s="176"/>
      <c r="BJ39" s="179"/>
      <c r="BK39" s="179"/>
      <c r="BL39" s="184">
        <v>1.0</v>
      </c>
      <c r="BM39" s="179"/>
      <c r="BN39" s="179"/>
      <c r="BO39" s="179"/>
      <c r="BP39" s="179"/>
      <c r="BQ39" s="179"/>
      <c r="BR39" s="179"/>
      <c r="BS39" s="179"/>
      <c r="BT39" s="179"/>
      <c r="BU39" s="179"/>
      <c r="BV39" s="179"/>
      <c r="BW39" s="186"/>
      <c r="BX39" s="186"/>
      <c r="BY39" s="186"/>
      <c r="BZ39" s="186"/>
      <c r="CA39" s="186"/>
      <c r="CB39" s="186"/>
      <c r="CD39" s="186"/>
      <c r="CE39" s="172">
        <f t="shared" si="16"/>
        <v>1</v>
      </c>
      <c r="CF39" s="173">
        <f t="shared" si="17"/>
        <v>50</v>
      </c>
      <c r="CG39" s="189">
        <v>1.0</v>
      </c>
      <c r="CH39" s="186"/>
      <c r="CI39" s="186"/>
      <c r="CJ39" s="186"/>
      <c r="CK39" s="186"/>
      <c r="CL39" s="186"/>
      <c r="CM39" s="186"/>
      <c r="CN39" s="186"/>
      <c r="CO39" s="186"/>
      <c r="CP39" s="186"/>
      <c r="CQ39" s="186"/>
      <c r="CR39" s="186"/>
      <c r="CS39" s="175">
        <f t="shared" si="18"/>
        <v>1</v>
      </c>
      <c r="CT39" s="158">
        <f t="shared" si="19"/>
        <v>100</v>
      </c>
    </row>
    <row r="40" ht="15.75" customHeight="1">
      <c r="A40" s="50">
        <v>31.0</v>
      </c>
      <c r="B40" s="111" t="s">
        <v>112</v>
      </c>
      <c r="C40" s="112" t="s">
        <v>113</v>
      </c>
      <c r="D40" s="91">
        <f t="shared" si="6"/>
        <v>3</v>
      </c>
      <c r="E40" s="113">
        <f t="shared" si="7"/>
        <v>42.85714286</v>
      </c>
      <c r="F40" s="114">
        <f t="shared" si="8"/>
        <v>42.85714286</v>
      </c>
      <c r="G40" s="164" t="str">
        <f t="shared" si="9"/>
        <v>  </v>
      </c>
      <c r="H40" s="165"/>
      <c r="I40" s="116"/>
      <c r="J40" s="116"/>
      <c r="K40" s="116"/>
      <c r="L40" s="116"/>
      <c r="M40" s="118">
        <f t="shared" si="10"/>
        <v>0</v>
      </c>
      <c r="N40" s="119" t="str">
        <f t="shared" si="11"/>
        <v>#DIV/0!</v>
      </c>
      <c r="O40" s="206"/>
      <c r="P40" s="207"/>
      <c r="Q40" s="207"/>
      <c r="R40" s="207"/>
      <c r="S40" s="207"/>
      <c r="T40" s="207"/>
      <c r="U40" s="207"/>
      <c r="V40" s="207"/>
      <c r="W40" s="207"/>
      <c r="X40" s="207"/>
      <c r="Y40" s="207"/>
      <c r="Z40" s="207"/>
      <c r="AA40" s="207"/>
      <c r="AB40" s="207"/>
      <c r="AC40" s="207"/>
      <c r="AD40" s="207"/>
      <c r="AE40" s="207"/>
      <c r="AF40" s="206"/>
      <c r="AG40" s="206"/>
      <c r="AH40" s="206"/>
      <c r="AI40" s="209">
        <v>1.0</v>
      </c>
      <c r="AJ40" s="168">
        <f t="shared" si="12"/>
        <v>1</v>
      </c>
      <c r="AK40" s="169">
        <f t="shared" si="13"/>
        <v>100</v>
      </c>
      <c r="AL40" s="212"/>
      <c r="AM40" s="207"/>
      <c r="AN40" s="207"/>
      <c r="AO40" s="207"/>
      <c r="AP40" s="207"/>
      <c r="AQ40" s="207"/>
      <c r="AR40" s="207"/>
      <c r="AS40" s="207"/>
      <c r="AT40" s="207"/>
      <c r="AU40" s="207"/>
      <c r="AV40" s="207"/>
      <c r="AW40" s="207"/>
      <c r="AX40" s="207"/>
      <c r="AY40" s="207"/>
      <c r="AZ40" s="207"/>
      <c r="BA40" s="207"/>
      <c r="BB40" s="207"/>
      <c r="BC40" s="207"/>
      <c r="BD40" s="207"/>
      <c r="BE40" s="207"/>
      <c r="BF40" s="207"/>
      <c r="BG40" s="118">
        <f t="shared" si="14"/>
        <v>0</v>
      </c>
      <c r="BH40" s="122">
        <f t="shared" si="15"/>
        <v>0</v>
      </c>
      <c r="BI40" s="206"/>
      <c r="BJ40" s="207"/>
      <c r="BK40" s="207"/>
      <c r="BL40" s="234">
        <v>1.0</v>
      </c>
      <c r="BM40" s="207"/>
      <c r="BN40" s="207"/>
      <c r="BO40" s="207"/>
      <c r="BP40" s="207"/>
      <c r="BQ40" s="207"/>
      <c r="BR40" s="207"/>
      <c r="BS40" s="207"/>
      <c r="BT40" s="207"/>
      <c r="BU40" s="207"/>
      <c r="BV40" s="207"/>
      <c r="BW40" s="186"/>
      <c r="BX40" s="186"/>
      <c r="BY40" s="186"/>
      <c r="BZ40" s="186"/>
      <c r="CA40" s="186"/>
      <c r="CB40" s="186"/>
      <c r="CD40" s="186"/>
      <c r="CE40" s="172">
        <f t="shared" si="16"/>
        <v>1</v>
      </c>
      <c r="CF40" s="173">
        <f t="shared" si="17"/>
        <v>50</v>
      </c>
      <c r="CG40" s="189">
        <v>1.0</v>
      </c>
      <c r="CH40" s="186"/>
      <c r="CI40" s="186"/>
      <c r="CJ40" s="186"/>
      <c r="CK40" s="186"/>
      <c r="CL40" s="186"/>
      <c r="CM40" s="186"/>
      <c r="CN40" s="186"/>
      <c r="CO40" s="186"/>
      <c r="CP40" s="186"/>
      <c r="CQ40" s="186"/>
      <c r="CR40" s="186"/>
      <c r="CS40" s="175">
        <f t="shared" si="18"/>
        <v>1</v>
      </c>
      <c r="CT40" s="158">
        <f t="shared" si="19"/>
        <v>100</v>
      </c>
    </row>
    <row r="41" ht="15.75" customHeight="1">
      <c r="A41" s="131">
        <v>32.0</v>
      </c>
      <c r="B41" s="111" t="s">
        <v>114</v>
      </c>
      <c r="C41" s="112" t="s">
        <v>115</v>
      </c>
      <c r="D41" s="91">
        <f t="shared" si="6"/>
        <v>2</v>
      </c>
      <c r="E41" s="113">
        <f t="shared" si="7"/>
        <v>28.57142857</v>
      </c>
      <c r="F41" s="114">
        <f t="shared" si="8"/>
        <v>28.57142857</v>
      </c>
      <c r="G41" s="202">
        <f t="shared" si="9"/>
        <v>28.57142857</v>
      </c>
      <c r="H41" s="165"/>
      <c r="I41" s="116"/>
      <c r="J41" s="116"/>
      <c r="K41" s="116"/>
      <c r="L41" s="116"/>
      <c r="M41" s="118">
        <f t="shared" si="10"/>
        <v>0</v>
      </c>
      <c r="N41" s="119" t="str">
        <f t="shared" si="11"/>
        <v>#DIV/0!</v>
      </c>
      <c r="O41" s="176"/>
      <c r="P41" s="179"/>
      <c r="Q41" s="179"/>
      <c r="R41" s="179"/>
      <c r="S41" s="179"/>
      <c r="T41" s="179"/>
      <c r="U41" s="179"/>
      <c r="V41" s="179"/>
      <c r="W41" s="179"/>
      <c r="X41" s="179"/>
      <c r="Y41" s="179"/>
      <c r="Z41" s="179"/>
      <c r="AA41" s="179"/>
      <c r="AB41" s="179"/>
      <c r="AC41" s="179"/>
      <c r="AD41" s="179"/>
      <c r="AE41" s="179"/>
      <c r="AF41" s="176"/>
      <c r="AG41" s="176"/>
      <c r="AH41" s="176"/>
      <c r="AI41" s="176"/>
      <c r="AJ41" s="168">
        <f t="shared" si="12"/>
        <v>0</v>
      </c>
      <c r="AK41" s="169">
        <f t="shared" si="13"/>
        <v>0</v>
      </c>
      <c r="AL41" s="183"/>
      <c r="AM41" s="179"/>
      <c r="AN41" s="179"/>
      <c r="AO41" s="179"/>
      <c r="AP41" s="179"/>
      <c r="AQ41" s="179"/>
      <c r="AR41" s="179"/>
      <c r="AS41" s="179"/>
      <c r="AT41" s="179"/>
      <c r="AU41" s="184">
        <v>1.0</v>
      </c>
      <c r="AV41" s="179"/>
      <c r="AW41" s="179"/>
      <c r="AX41" s="179"/>
      <c r="AY41" s="179"/>
      <c r="AZ41" s="179"/>
      <c r="BA41" s="179"/>
      <c r="BB41" s="179"/>
      <c r="BC41" s="179"/>
      <c r="BD41" s="179"/>
      <c r="BE41" s="179"/>
      <c r="BF41" s="179"/>
      <c r="BG41" s="118">
        <f t="shared" si="14"/>
        <v>1</v>
      </c>
      <c r="BH41" s="122">
        <f t="shared" si="15"/>
        <v>33.33333333</v>
      </c>
      <c r="BI41" s="176"/>
      <c r="BJ41" s="179"/>
      <c r="BK41" s="179"/>
      <c r="BL41" s="179"/>
      <c r="BM41" s="179"/>
      <c r="BN41" s="179"/>
      <c r="BO41" s="179"/>
      <c r="BP41" s="179"/>
      <c r="BQ41" s="179"/>
      <c r="BR41" s="179"/>
      <c r="BS41" s="179"/>
      <c r="BT41" s="179"/>
      <c r="BU41" s="179"/>
      <c r="BV41" s="179"/>
      <c r="BW41" s="186"/>
      <c r="BX41" s="186"/>
      <c r="BY41" s="186"/>
      <c r="BZ41" s="186"/>
      <c r="CA41" s="186"/>
      <c r="CB41" s="186"/>
      <c r="CD41" s="186"/>
      <c r="CE41" s="172">
        <f t="shared" si="16"/>
        <v>0</v>
      </c>
      <c r="CF41" s="173">
        <f t="shared" si="17"/>
        <v>0</v>
      </c>
      <c r="CG41" s="189">
        <v>1.0</v>
      </c>
      <c r="CH41" s="186"/>
      <c r="CI41" s="186"/>
      <c r="CJ41" s="186"/>
      <c r="CK41" s="186"/>
      <c r="CL41" s="186"/>
      <c r="CM41" s="186"/>
      <c r="CN41" s="186"/>
      <c r="CO41" s="186"/>
      <c r="CP41" s="186"/>
      <c r="CQ41" s="186"/>
      <c r="CR41" s="186"/>
      <c r="CS41" s="175">
        <f t="shared" si="18"/>
        <v>1</v>
      </c>
      <c r="CT41" s="158">
        <f t="shared" si="19"/>
        <v>100</v>
      </c>
    </row>
    <row r="42" ht="15.75" customHeight="1">
      <c r="A42" s="146">
        <v>33.0</v>
      </c>
      <c r="B42" s="111" t="s">
        <v>116</v>
      </c>
      <c r="C42" s="112" t="s">
        <v>117</v>
      </c>
      <c r="D42" s="91">
        <f t="shared" si="6"/>
        <v>2</v>
      </c>
      <c r="E42" s="113">
        <f t="shared" si="7"/>
        <v>28.57142857</v>
      </c>
      <c r="F42" s="114">
        <f t="shared" si="8"/>
        <v>28.57142857</v>
      </c>
      <c r="G42" s="202">
        <f t="shared" si="9"/>
        <v>28.57142857</v>
      </c>
      <c r="H42" s="192"/>
      <c r="I42" s="150"/>
      <c r="J42" s="150"/>
      <c r="K42" s="116"/>
      <c r="L42" s="116"/>
      <c r="M42" s="118">
        <f t="shared" si="10"/>
        <v>0</v>
      </c>
      <c r="N42" s="119" t="str">
        <f t="shared" si="11"/>
        <v>#DIV/0!</v>
      </c>
      <c r="O42" s="176"/>
      <c r="P42" s="179"/>
      <c r="Q42" s="179"/>
      <c r="R42" s="179"/>
      <c r="S42" s="179"/>
      <c r="T42" s="179"/>
      <c r="U42" s="179"/>
      <c r="V42" s="179"/>
      <c r="W42" s="179"/>
      <c r="X42" s="179"/>
      <c r="Y42" s="179"/>
      <c r="Z42" s="179"/>
      <c r="AA42" s="179"/>
      <c r="AB42" s="179"/>
      <c r="AC42" s="179"/>
      <c r="AD42" s="179"/>
      <c r="AE42" s="179"/>
      <c r="AF42" s="176"/>
      <c r="AG42" s="176"/>
      <c r="AH42" s="176"/>
      <c r="AI42" s="176"/>
      <c r="AJ42" s="168">
        <f t="shared" si="12"/>
        <v>0</v>
      </c>
      <c r="AK42" s="169">
        <f t="shared" si="13"/>
        <v>0</v>
      </c>
      <c r="AL42" s="183"/>
      <c r="AM42" s="179"/>
      <c r="AN42" s="179"/>
      <c r="AO42" s="179"/>
      <c r="AP42" s="184">
        <v>1.0</v>
      </c>
      <c r="AQ42" s="179"/>
      <c r="AR42" s="179"/>
      <c r="AS42" s="179"/>
      <c r="AT42" s="179"/>
      <c r="AU42" s="184"/>
      <c r="AV42" s="179"/>
      <c r="AW42" s="179"/>
      <c r="AX42" s="179"/>
      <c r="AY42" s="179"/>
      <c r="AZ42" s="179"/>
      <c r="BA42" s="179"/>
      <c r="BB42" s="179"/>
      <c r="BC42" s="179"/>
      <c r="BD42" s="179"/>
      <c r="BE42" s="179"/>
      <c r="BF42" s="179"/>
      <c r="BG42" s="118">
        <f t="shared" si="14"/>
        <v>1</v>
      </c>
      <c r="BH42" s="122">
        <f t="shared" si="15"/>
        <v>33.33333333</v>
      </c>
      <c r="BI42" s="176"/>
      <c r="BJ42" s="179"/>
      <c r="BK42" s="179"/>
      <c r="BL42" s="179"/>
      <c r="BM42" s="179"/>
      <c r="BN42" s="179"/>
      <c r="BO42" s="179"/>
      <c r="BP42" s="179"/>
      <c r="BQ42" s="179"/>
      <c r="BR42" s="179"/>
      <c r="BS42" s="179"/>
      <c r="BT42" s="179"/>
      <c r="BU42" s="179"/>
      <c r="BV42" s="179"/>
      <c r="BW42" s="186"/>
      <c r="BX42" s="186"/>
      <c r="BY42" s="186"/>
      <c r="BZ42" s="186"/>
      <c r="CA42" s="186"/>
      <c r="CB42" s="186"/>
      <c r="CD42" s="186"/>
      <c r="CE42" s="172">
        <f t="shared" si="16"/>
        <v>0</v>
      </c>
      <c r="CF42" s="173">
        <f t="shared" si="17"/>
        <v>0</v>
      </c>
      <c r="CG42" s="189">
        <v>1.0</v>
      </c>
      <c r="CH42" s="186"/>
      <c r="CI42" s="186"/>
      <c r="CJ42" s="186"/>
      <c r="CK42" s="186"/>
      <c r="CL42" s="186"/>
      <c r="CM42" s="186"/>
      <c r="CN42" s="186"/>
      <c r="CO42" s="186"/>
      <c r="CP42" s="186"/>
      <c r="CQ42" s="186"/>
      <c r="CR42" s="186"/>
      <c r="CS42" s="175">
        <f t="shared" si="18"/>
        <v>1</v>
      </c>
      <c r="CT42" s="158">
        <f t="shared" si="19"/>
        <v>100</v>
      </c>
    </row>
    <row r="43" ht="15.75" customHeight="1">
      <c r="A43" s="50">
        <v>34.0</v>
      </c>
      <c r="B43" s="111" t="s">
        <v>118</v>
      </c>
      <c r="C43" s="112" t="s">
        <v>119</v>
      </c>
      <c r="D43" s="91">
        <f t="shared" si="6"/>
        <v>0</v>
      </c>
      <c r="E43" s="113">
        <f t="shared" si="7"/>
        <v>0</v>
      </c>
      <c r="F43" s="114">
        <f t="shared" si="8"/>
        <v>0</v>
      </c>
      <c r="G43" s="202">
        <f t="shared" si="9"/>
        <v>0</v>
      </c>
      <c r="H43" s="165"/>
      <c r="I43" s="116"/>
      <c r="J43" s="116"/>
      <c r="K43" s="150"/>
      <c r="L43" s="150"/>
      <c r="M43" s="118">
        <f t="shared" si="10"/>
        <v>0</v>
      </c>
      <c r="N43" s="119" t="str">
        <f t="shared" si="11"/>
        <v>#DIV/0!</v>
      </c>
      <c r="O43" s="176"/>
      <c r="P43" s="179"/>
      <c r="Q43" s="179"/>
      <c r="R43" s="179"/>
      <c r="S43" s="179"/>
      <c r="T43" s="179"/>
      <c r="U43" s="179"/>
      <c r="V43" s="179"/>
      <c r="W43" s="179"/>
      <c r="X43" s="179"/>
      <c r="Y43" s="179"/>
      <c r="Z43" s="179"/>
      <c r="AA43" s="179"/>
      <c r="AB43" s="179"/>
      <c r="AC43" s="179"/>
      <c r="AD43" s="179"/>
      <c r="AE43" s="179"/>
      <c r="AF43" s="176"/>
      <c r="AG43" s="176"/>
      <c r="AH43" s="176"/>
      <c r="AI43" s="176"/>
      <c r="AJ43" s="168">
        <f t="shared" si="12"/>
        <v>0</v>
      </c>
      <c r="AK43" s="169">
        <f t="shared" si="13"/>
        <v>0</v>
      </c>
      <c r="AL43" s="183"/>
      <c r="AM43" s="179"/>
      <c r="AN43" s="179"/>
      <c r="AO43" s="179"/>
      <c r="AP43" s="179"/>
      <c r="AQ43" s="179"/>
      <c r="AR43" s="179"/>
      <c r="AS43" s="179"/>
      <c r="AT43" s="179"/>
      <c r="AU43" s="179"/>
      <c r="AV43" s="179"/>
      <c r="AW43" s="179"/>
      <c r="AX43" s="179"/>
      <c r="AY43" s="179"/>
      <c r="AZ43" s="179"/>
      <c r="BA43" s="179"/>
      <c r="BB43" s="179"/>
      <c r="BC43" s="179"/>
      <c r="BD43" s="179"/>
      <c r="BE43" s="179"/>
      <c r="BF43" s="179"/>
      <c r="BG43" s="118">
        <f t="shared" si="14"/>
        <v>0</v>
      </c>
      <c r="BH43" s="122">
        <f t="shared" si="15"/>
        <v>0</v>
      </c>
      <c r="BI43" s="176"/>
      <c r="BJ43" s="179"/>
      <c r="BK43" s="179"/>
      <c r="BL43" s="179"/>
      <c r="BM43" s="179"/>
      <c r="BN43" s="179"/>
      <c r="BO43" s="179"/>
      <c r="BP43" s="179"/>
      <c r="BQ43" s="179"/>
      <c r="BR43" s="179"/>
      <c r="BS43" s="179"/>
      <c r="BT43" s="179"/>
      <c r="BU43" s="179"/>
      <c r="BV43" s="179"/>
      <c r="BW43" s="186"/>
      <c r="BX43" s="186"/>
      <c r="BY43" s="186"/>
      <c r="BZ43" s="186"/>
      <c r="CA43" s="186"/>
      <c r="CB43" s="186"/>
      <c r="CD43" s="186"/>
      <c r="CE43" s="172">
        <f t="shared" si="16"/>
        <v>0</v>
      </c>
      <c r="CF43" s="173">
        <f t="shared" si="17"/>
        <v>0</v>
      </c>
      <c r="CG43" s="199"/>
      <c r="CH43" s="186"/>
      <c r="CI43" s="186"/>
      <c r="CJ43" s="186"/>
      <c r="CK43" s="186"/>
      <c r="CL43" s="186"/>
      <c r="CM43" s="186"/>
      <c r="CN43" s="186"/>
      <c r="CO43" s="186"/>
      <c r="CP43" s="186"/>
      <c r="CQ43" s="186"/>
      <c r="CR43" s="186"/>
      <c r="CS43" s="175">
        <f t="shared" si="18"/>
        <v>0</v>
      </c>
      <c r="CT43" s="158">
        <f t="shared" si="19"/>
        <v>0</v>
      </c>
    </row>
    <row r="44" ht="15.75" customHeight="1">
      <c r="A44" s="131">
        <v>35.0</v>
      </c>
      <c r="B44" s="111" t="s">
        <v>120</v>
      </c>
      <c r="C44" s="112" t="s">
        <v>121</v>
      </c>
      <c r="D44" s="91">
        <f t="shared" si="6"/>
        <v>2</v>
      </c>
      <c r="E44" s="113">
        <f t="shared" si="7"/>
        <v>28.57142857</v>
      </c>
      <c r="F44" s="114">
        <f t="shared" si="8"/>
        <v>28.57142857</v>
      </c>
      <c r="G44" s="202">
        <f t="shared" si="9"/>
        <v>28.57142857</v>
      </c>
      <c r="H44" s="165"/>
      <c r="I44" s="116"/>
      <c r="J44" s="43"/>
      <c r="K44" s="116"/>
      <c r="L44" s="116"/>
      <c r="M44" s="118">
        <f t="shared" si="10"/>
        <v>0</v>
      </c>
      <c r="N44" s="119" t="str">
        <f t="shared" si="11"/>
        <v>#DIV/0!</v>
      </c>
      <c r="O44" s="195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  <c r="AA44" s="186"/>
      <c r="AB44" s="186"/>
      <c r="AC44" s="186"/>
      <c r="AD44" s="186"/>
      <c r="AE44" s="186"/>
      <c r="AF44" s="195"/>
      <c r="AG44" s="195"/>
      <c r="AH44" s="195"/>
      <c r="AI44" s="197">
        <v>1.0</v>
      </c>
      <c r="AJ44" s="168">
        <f t="shared" si="12"/>
        <v>1</v>
      </c>
      <c r="AK44" s="169">
        <f t="shared" si="13"/>
        <v>100</v>
      </c>
      <c r="AL44" s="199"/>
      <c r="AM44" s="186"/>
      <c r="AN44" s="186"/>
      <c r="AO44" s="186"/>
      <c r="AP44" s="200">
        <v>1.0</v>
      </c>
      <c r="AQ44" s="186"/>
      <c r="AR44" s="186"/>
      <c r="AS44" s="186"/>
      <c r="AT44" s="186"/>
      <c r="AU44" s="186"/>
      <c r="AV44" s="186"/>
      <c r="AW44" s="186"/>
      <c r="AX44" s="186"/>
      <c r="AY44" s="186"/>
      <c r="AZ44" s="186"/>
      <c r="BA44" s="186"/>
      <c r="BB44" s="186"/>
      <c r="BC44" s="186"/>
      <c r="BD44" s="186"/>
      <c r="BE44" s="186"/>
      <c r="BF44" s="186"/>
      <c r="BG44" s="118">
        <f t="shared" si="14"/>
        <v>1</v>
      </c>
      <c r="BH44" s="122">
        <f t="shared" si="15"/>
        <v>33.33333333</v>
      </c>
      <c r="BI44" s="195"/>
      <c r="BJ44" s="186"/>
      <c r="BK44" s="186"/>
      <c r="BL44" s="186"/>
      <c r="BM44" s="186"/>
      <c r="BN44" s="186"/>
      <c r="BO44" s="186"/>
      <c r="BP44" s="186"/>
      <c r="BQ44" s="186"/>
      <c r="BR44" s="186"/>
      <c r="BS44" s="186"/>
      <c r="BT44" s="186"/>
      <c r="BU44" s="186"/>
      <c r="BV44" s="186"/>
      <c r="BW44" s="186"/>
      <c r="BX44" s="186"/>
      <c r="BY44" s="186"/>
      <c r="BZ44" s="186"/>
      <c r="CA44" s="186"/>
      <c r="CB44" s="186"/>
      <c r="CD44" s="186"/>
      <c r="CE44" s="172">
        <f t="shared" si="16"/>
        <v>0</v>
      </c>
      <c r="CF44" s="173">
        <f t="shared" si="17"/>
        <v>0</v>
      </c>
      <c r="CG44" s="199"/>
      <c r="CH44" s="186"/>
      <c r="CI44" s="186"/>
      <c r="CJ44" s="186"/>
      <c r="CK44" s="186"/>
      <c r="CL44" s="186"/>
      <c r="CM44" s="186"/>
      <c r="CN44" s="186"/>
      <c r="CO44" s="186"/>
      <c r="CP44" s="186"/>
      <c r="CQ44" s="186"/>
      <c r="CR44" s="186"/>
      <c r="CS44" s="175">
        <f t="shared" si="18"/>
        <v>0</v>
      </c>
      <c r="CT44" s="158">
        <f t="shared" si="19"/>
        <v>0</v>
      </c>
    </row>
    <row r="45" ht="15.75" customHeight="1">
      <c r="A45" s="146">
        <v>36.0</v>
      </c>
      <c r="B45" s="111" t="s">
        <v>122</v>
      </c>
      <c r="C45" s="112" t="s">
        <v>123</v>
      </c>
      <c r="D45" s="91">
        <f t="shared" si="6"/>
        <v>5</v>
      </c>
      <c r="E45" s="113">
        <f t="shared" si="7"/>
        <v>71.42857143</v>
      </c>
      <c r="F45" s="114" t="str">
        <f t="shared" si="8"/>
        <v>  </v>
      </c>
      <c r="G45" s="164" t="str">
        <f t="shared" si="9"/>
        <v>  </v>
      </c>
      <c r="H45" s="165"/>
      <c r="I45" s="116"/>
      <c r="J45" s="116"/>
      <c r="K45" s="116"/>
      <c r="L45" s="116"/>
      <c r="M45" s="118">
        <f t="shared" si="10"/>
        <v>0</v>
      </c>
      <c r="N45" s="119" t="str">
        <f t="shared" si="11"/>
        <v>#DIV/0!</v>
      </c>
      <c r="O45" s="195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  <c r="AA45" s="186"/>
      <c r="AB45" s="186"/>
      <c r="AC45" s="186"/>
      <c r="AD45" s="186"/>
      <c r="AE45" s="186"/>
      <c r="AF45" s="195"/>
      <c r="AG45" s="195"/>
      <c r="AH45" s="195"/>
      <c r="AI45" s="195"/>
      <c r="AJ45" s="168">
        <f t="shared" si="12"/>
        <v>0</v>
      </c>
      <c r="AK45" s="169">
        <f t="shared" si="13"/>
        <v>0</v>
      </c>
      <c r="AL45" s="199"/>
      <c r="AM45" s="186"/>
      <c r="AN45" s="186"/>
      <c r="AO45" s="186"/>
      <c r="AP45" s="200">
        <v>1.0</v>
      </c>
      <c r="AQ45" s="186"/>
      <c r="AR45" s="186"/>
      <c r="AS45" s="186"/>
      <c r="AT45" s="186"/>
      <c r="AU45" s="200">
        <v>1.0</v>
      </c>
      <c r="AV45" s="186"/>
      <c r="AW45" s="186"/>
      <c r="AX45" s="186"/>
      <c r="AY45" s="186"/>
      <c r="AZ45" s="186"/>
      <c r="BA45" s="186"/>
      <c r="BB45" s="200">
        <v>1.0</v>
      </c>
      <c r="BC45" s="186"/>
      <c r="BD45" s="186"/>
      <c r="BE45" s="186"/>
      <c r="BF45" s="186"/>
      <c r="BG45" s="118">
        <f t="shared" si="14"/>
        <v>3</v>
      </c>
      <c r="BH45" s="122">
        <f t="shared" si="15"/>
        <v>100</v>
      </c>
      <c r="BI45" s="195"/>
      <c r="BJ45" s="186"/>
      <c r="BK45" s="186"/>
      <c r="BL45" s="200">
        <v>1.0</v>
      </c>
      <c r="BM45" s="186"/>
      <c r="BN45" s="186"/>
      <c r="BO45" s="186"/>
      <c r="BP45" s="186"/>
      <c r="BQ45" s="186"/>
      <c r="BR45" s="186"/>
      <c r="BS45" s="186"/>
      <c r="BT45" s="186"/>
      <c r="BU45" s="186"/>
      <c r="BV45" s="186"/>
      <c r="BW45" s="186"/>
      <c r="BX45" s="186"/>
      <c r="BY45" s="186"/>
      <c r="BZ45" s="186"/>
      <c r="CA45" s="186"/>
      <c r="CB45" s="186"/>
      <c r="CD45" s="186"/>
      <c r="CE45" s="172">
        <f t="shared" si="16"/>
        <v>1</v>
      </c>
      <c r="CF45" s="173">
        <f t="shared" si="17"/>
        <v>50</v>
      </c>
      <c r="CG45" s="189">
        <v>1.0</v>
      </c>
      <c r="CH45" s="186"/>
      <c r="CI45" s="186"/>
      <c r="CJ45" s="186"/>
      <c r="CK45" s="186"/>
      <c r="CL45" s="186"/>
      <c r="CM45" s="186"/>
      <c r="CN45" s="186"/>
      <c r="CO45" s="186"/>
      <c r="CP45" s="186"/>
      <c r="CQ45" s="186"/>
      <c r="CR45" s="186"/>
      <c r="CS45" s="175">
        <f t="shared" si="18"/>
        <v>1</v>
      </c>
      <c r="CT45" s="158">
        <f t="shared" si="19"/>
        <v>100</v>
      </c>
    </row>
    <row r="46" ht="15.75" customHeight="1">
      <c r="A46" s="50">
        <v>37.0</v>
      </c>
      <c r="B46" s="111" t="s">
        <v>124</v>
      </c>
      <c r="C46" s="112" t="s">
        <v>125</v>
      </c>
      <c r="D46" s="91">
        <f t="shared" si="6"/>
        <v>4</v>
      </c>
      <c r="E46" s="113">
        <f t="shared" si="7"/>
        <v>57.14285714</v>
      </c>
      <c r="F46" s="114" t="str">
        <f t="shared" si="8"/>
        <v>  </v>
      </c>
      <c r="G46" s="202" t="str">
        <f t="shared" si="9"/>
        <v>  </v>
      </c>
      <c r="H46" s="165"/>
      <c r="I46" s="116"/>
      <c r="J46" s="43"/>
      <c r="K46" s="116"/>
      <c r="L46" s="116"/>
      <c r="M46" s="118">
        <f t="shared" si="10"/>
        <v>0</v>
      </c>
      <c r="N46" s="119" t="str">
        <f t="shared" si="11"/>
        <v>#DIV/0!</v>
      </c>
      <c r="O46" s="176"/>
      <c r="P46" s="179"/>
      <c r="Q46" s="179"/>
      <c r="R46" s="179"/>
      <c r="S46" s="179"/>
      <c r="T46" s="179"/>
      <c r="U46" s="179"/>
      <c r="V46" s="179"/>
      <c r="W46" s="179"/>
      <c r="X46" s="179"/>
      <c r="Y46" s="179"/>
      <c r="Z46" s="179"/>
      <c r="AA46" s="179"/>
      <c r="AB46" s="179"/>
      <c r="AC46" s="179"/>
      <c r="AD46" s="179"/>
      <c r="AE46" s="179"/>
      <c r="AF46" s="176"/>
      <c r="AG46" s="176"/>
      <c r="AH46" s="176"/>
      <c r="AI46" s="182">
        <v>1.0</v>
      </c>
      <c r="AJ46" s="168">
        <f t="shared" si="12"/>
        <v>1</v>
      </c>
      <c r="AK46" s="169">
        <f t="shared" si="13"/>
        <v>100</v>
      </c>
      <c r="AL46" s="183"/>
      <c r="AM46" s="179"/>
      <c r="AN46" s="179"/>
      <c r="AO46" s="179"/>
      <c r="AP46" s="184">
        <v>1.0</v>
      </c>
      <c r="AQ46" s="179"/>
      <c r="AR46" s="179"/>
      <c r="AS46" s="179"/>
      <c r="AT46" s="179"/>
      <c r="AU46" s="184">
        <v>1.0</v>
      </c>
      <c r="AV46" s="179"/>
      <c r="AW46" s="179"/>
      <c r="AX46" s="179"/>
      <c r="AY46" s="179"/>
      <c r="AZ46" s="179"/>
      <c r="BA46" s="179"/>
      <c r="BB46" s="179"/>
      <c r="BC46" s="179"/>
      <c r="BD46" s="179"/>
      <c r="BE46" s="179"/>
      <c r="BF46" s="179"/>
      <c r="BG46" s="118">
        <f t="shared" si="14"/>
        <v>2</v>
      </c>
      <c r="BH46" s="122">
        <f t="shared" si="15"/>
        <v>66.66666667</v>
      </c>
      <c r="BI46" s="176"/>
      <c r="BJ46" s="179"/>
      <c r="BK46" s="179"/>
      <c r="BL46" s="179"/>
      <c r="BM46" s="179"/>
      <c r="BN46" s="179"/>
      <c r="BO46" s="179"/>
      <c r="BP46" s="179"/>
      <c r="BQ46" s="179"/>
      <c r="BR46" s="179"/>
      <c r="BS46" s="179"/>
      <c r="BT46" s="179"/>
      <c r="BU46" s="179"/>
      <c r="BV46" s="179"/>
      <c r="BW46" s="186"/>
      <c r="BX46" s="186"/>
      <c r="BY46" s="186"/>
      <c r="BZ46" s="186"/>
      <c r="CA46" s="186"/>
      <c r="CB46" s="186"/>
      <c r="CD46" s="186"/>
      <c r="CE46" s="172">
        <f t="shared" si="16"/>
        <v>0</v>
      </c>
      <c r="CF46" s="173">
        <f t="shared" si="17"/>
        <v>0</v>
      </c>
      <c r="CG46" s="189">
        <v>1.0</v>
      </c>
      <c r="CH46" s="186"/>
      <c r="CI46" s="186"/>
      <c r="CJ46" s="186"/>
      <c r="CK46" s="186"/>
      <c r="CL46" s="186"/>
      <c r="CM46" s="186"/>
      <c r="CN46" s="186"/>
      <c r="CO46" s="186"/>
      <c r="CP46" s="186"/>
      <c r="CQ46" s="186"/>
      <c r="CR46" s="186"/>
      <c r="CS46" s="175">
        <f t="shared" si="18"/>
        <v>1</v>
      </c>
      <c r="CT46" s="158">
        <f t="shared" si="19"/>
        <v>100</v>
      </c>
    </row>
    <row r="47" ht="15.75" customHeight="1">
      <c r="A47" s="131">
        <v>38.0</v>
      </c>
      <c r="B47" s="111" t="s">
        <v>126</v>
      </c>
      <c r="C47" s="112" t="s">
        <v>127</v>
      </c>
      <c r="D47" s="91">
        <f t="shared" si="6"/>
        <v>0</v>
      </c>
      <c r="E47" s="113">
        <f t="shared" si="7"/>
        <v>0</v>
      </c>
      <c r="F47" s="114">
        <f t="shared" si="8"/>
        <v>0</v>
      </c>
      <c r="G47" s="202">
        <f t="shared" si="9"/>
        <v>0</v>
      </c>
      <c r="H47" s="165"/>
      <c r="I47" s="116"/>
      <c r="J47" s="43"/>
      <c r="K47" s="116"/>
      <c r="L47" s="116"/>
      <c r="M47" s="118">
        <f t="shared" si="10"/>
        <v>0</v>
      </c>
      <c r="N47" s="119" t="str">
        <f t="shared" si="11"/>
        <v>#DIV/0!</v>
      </c>
      <c r="O47" s="176"/>
      <c r="P47" s="179"/>
      <c r="Q47" s="179"/>
      <c r="R47" s="179"/>
      <c r="S47" s="179"/>
      <c r="T47" s="179"/>
      <c r="U47" s="179"/>
      <c r="V47" s="179"/>
      <c r="W47" s="179"/>
      <c r="X47" s="179"/>
      <c r="Y47" s="179"/>
      <c r="Z47" s="179"/>
      <c r="AA47" s="179"/>
      <c r="AB47" s="179"/>
      <c r="AC47" s="179"/>
      <c r="AD47" s="179"/>
      <c r="AE47" s="179"/>
      <c r="AF47" s="176"/>
      <c r="AG47" s="176"/>
      <c r="AH47" s="176"/>
      <c r="AI47" s="176"/>
      <c r="AJ47" s="168">
        <f t="shared" si="12"/>
        <v>0</v>
      </c>
      <c r="AK47" s="169">
        <f t="shared" si="13"/>
        <v>0</v>
      </c>
      <c r="AL47" s="183"/>
      <c r="AM47" s="179"/>
      <c r="AN47" s="179"/>
      <c r="AO47" s="179"/>
      <c r="AP47" s="179"/>
      <c r="AQ47" s="179"/>
      <c r="AR47" s="179"/>
      <c r="AS47" s="179"/>
      <c r="AT47" s="179"/>
      <c r="AU47" s="179"/>
      <c r="AV47" s="179"/>
      <c r="AW47" s="179"/>
      <c r="AX47" s="179"/>
      <c r="AY47" s="179"/>
      <c r="AZ47" s="179"/>
      <c r="BA47" s="179"/>
      <c r="BB47" s="179"/>
      <c r="BC47" s="179"/>
      <c r="BD47" s="179"/>
      <c r="BE47" s="179"/>
      <c r="BF47" s="179"/>
      <c r="BG47" s="118">
        <f t="shared" si="14"/>
        <v>0</v>
      </c>
      <c r="BH47" s="122">
        <f t="shared" si="15"/>
        <v>0</v>
      </c>
      <c r="BI47" s="176"/>
      <c r="BJ47" s="179"/>
      <c r="BK47" s="179"/>
      <c r="BL47" s="179"/>
      <c r="BM47" s="179"/>
      <c r="BN47" s="179"/>
      <c r="BO47" s="179"/>
      <c r="BP47" s="179"/>
      <c r="BQ47" s="179"/>
      <c r="BR47" s="179"/>
      <c r="BS47" s="179"/>
      <c r="BT47" s="179"/>
      <c r="BU47" s="179"/>
      <c r="BV47" s="179"/>
      <c r="BW47" s="186"/>
      <c r="BX47" s="186"/>
      <c r="BY47" s="186"/>
      <c r="BZ47" s="186"/>
      <c r="CA47" s="186"/>
      <c r="CB47" s="186"/>
      <c r="CD47" s="186"/>
      <c r="CE47" s="172">
        <f t="shared" si="16"/>
        <v>0</v>
      </c>
      <c r="CF47" s="173">
        <f t="shared" si="17"/>
        <v>0</v>
      </c>
      <c r="CG47" s="199"/>
      <c r="CH47" s="186"/>
      <c r="CI47" s="186"/>
      <c r="CJ47" s="186"/>
      <c r="CK47" s="186"/>
      <c r="CL47" s="186"/>
      <c r="CM47" s="186"/>
      <c r="CN47" s="186"/>
      <c r="CO47" s="186"/>
      <c r="CP47" s="186"/>
      <c r="CQ47" s="186"/>
      <c r="CR47" s="186"/>
      <c r="CS47" s="175">
        <f t="shared" si="18"/>
        <v>0</v>
      </c>
      <c r="CT47" s="158">
        <f t="shared" si="19"/>
        <v>0</v>
      </c>
    </row>
    <row r="48" ht="15.75" customHeight="1">
      <c r="A48" s="146">
        <v>39.0</v>
      </c>
      <c r="B48" s="111" t="s">
        <v>128</v>
      </c>
      <c r="C48" s="112" t="s">
        <v>129</v>
      </c>
      <c r="D48" s="91">
        <f t="shared" si="6"/>
        <v>2</v>
      </c>
      <c r="E48" s="113">
        <f t="shared" si="7"/>
        <v>28.57142857</v>
      </c>
      <c r="F48" s="114">
        <f t="shared" si="8"/>
        <v>28.57142857</v>
      </c>
      <c r="G48" s="202">
        <f t="shared" si="9"/>
        <v>28.57142857</v>
      </c>
      <c r="H48" s="165"/>
      <c r="I48" s="116"/>
      <c r="J48" s="43"/>
      <c r="K48" s="116"/>
      <c r="L48" s="116"/>
      <c r="M48" s="118">
        <f t="shared" si="10"/>
        <v>0</v>
      </c>
      <c r="N48" s="119" t="str">
        <f t="shared" si="11"/>
        <v>#DIV/0!</v>
      </c>
      <c r="O48" s="176"/>
      <c r="P48" s="179"/>
      <c r="Q48" s="179"/>
      <c r="R48" s="179"/>
      <c r="S48" s="179"/>
      <c r="T48" s="179"/>
      <c r="U48" s="179"/>
      <c r="V48" s="179"/>
      <c r="W48" s="179"/>
      <c r="X48" s="179"/>
      <c r="Y48" s="179"/>
      <c r="Z48" s="179"/>
      <c r="AA48" s="179"/>
      <c r="AB48" s="179"/>
      <c r="AC48" s="179"/>
      <c r="AD48" s="179"/>
      <c r="AE48" s="179"/>
      <c r="AF48" s="176"/>
      <c r="AG48" s="176"/>
      <c r="AH48" s="176"/>
      <c r="AI48" s="182">
        <v>1.0</v>
      </c>
      <c r="AJ48" s="168">
        <f t="shared" si="12"/>
        <v>1</v>
      </c>
      <c r="AK48" s="169">
        <f t="shared" si="13"/>
        <v>100</v>
      </c>
      <c r="AL48" s="183"/>
      <c r="AM48" s="179"/>
      <c r="AN48" s="179"/>
      <c r="AO48" s="179"/>
      <c r="AP48" s="184">
        <v>1.0</v>
      </c>
      <c r="AQ48" s="179"/>
      <c r="AR48" s="179"/>
      <c r="AS48" s="179"/>
      <c r="AT48" s="179"/>
      <c r="AU48" s="179"/>
      <c r="AV48" s="179"/>
      <c r="AW48" s="179"/>
      <c r="AX48" s="179"/>
      <c r="AY48" s="179"/>
      <c r="AZ48" s="179"/>
      <c r="BA48" s="179"/>
      <c r="BB48" s="179"/>
      <c r="BC48" s="179"/>
      <c r="BD48" s="179"/>
      <c r="BE48" s="179"/>
      <c r="BF48" s="179"/>
      <c r="BG48" s="118">
        <f t="shared" si="14"/>
        <v>1</v>
      </c>
      <c r="BH48" s="122">
        <f t="shared" si="15"/>
        <v>33.33333333</v>
      </c>
      <c r="BI48" s="176"/>
      <c r="BJ48" s="179"/>
      <c r="BK48" s="179"/>
      <c r="BL48" s="179"/>
      <c r="BM48" s="179"/>
      <c r="BN48" s="179"/>
      <c r="BO48" s="179"/>
      <c r="BP48" s="179"/>
      <c r="BQ48" s="179"/>
      <c r="BR48" s="179"/>
      <c r="BS48" s="179"/>
      <c r="BT48" s="179"/>
      <c r="BU48" s="179"/>
      <c r="BV48" s="179"/>
      <c r="BW48" s="186"/>
      <c r="BX48" s="186"/>
      <c r="BY48" s="186"/>
      <c r="BZ48" s="186"/>
      <c r="CA48" s="186"/>
      <c r="CB48" s="186"/>
      <c r="CD48" s="186"/>
      <c r="CE48" s="172">
        <f t="shared" si="16"/>
        <v>0</v>
      </c>
      <c r="CF48" s="173">
        <f t="shared" si="17"/>
        <v>0</v>
      </c>
      <c r="CG48" s="189">
        <v>1.0</v>
      </c>
      <c r="CH48" s="186"/>
      <c r="CI48" s="186"/>
      <c r="CJ48" s="186"/>
      <c r="CK48" s="186"/>
      <c r="CL48" s="186"/>
      <c r="CM48" s="186"/>
      <c r="CN48" s="186"/>
      <c r="CO48" s="186"/>
      <c r="CP48" s="186"/>
      <c r="CQ48" s="186"/>
      <c r="CR48" s="186"/>
      <c r="CS48" s="175"/>
      <c r="CT48" s="158"/>
    </row>
    <row r="49" ht="15.75" customHeight="1">
      <c r="A49" s="50">
        <v>40.0</v>
      </c>
      <c r="B49" s="111" t="s">
        <v>130</v>
      </c>
      <c r="C49" s="112" t="s">
        <v>131</v>
      </c>
      <c r="D49" s="91">
        <f t="shared" si="6"/>
        <v>0</v>
      </c>
      <c r="E49" s="113">
        <f t="shared" si="7"/>
        <v>0</v>
      </c>
      <c r="F49" s="114">
        <f t="shared" si="8"/>
        <v>0</v>
      </c>
      <c r="G49" s="202">
        <f t="shared" si="9"/>
        <v>0</v>
      </c>
      <c r="H49" s="165"/>
      <c r="I49" s="116"/>
      <c r="J49" s="43"/>
      <c r="K49" s="116"/>
      <c r="L49" s="116"/>
      <c r="M49" s="118">
        <f t="shared" si="10"/>
        <v>0</v>
      </c>
      <c r="N49" s="119" t="str">
        <f t="shared" si="11"/>
        <v>#DIV/0!</v>
      </c>
      <c r="O49" s="176"/>
      <c r="P49" s="179"/>
      <c r="Q49" s="179"/>
      <c r="R49" s="179"/>
      <c r="S49" s="179"/>
      <c r="T49" s="179"/>
      <c r="U49" s="179"/>
      <c r="V49" s="179"/>
      <c r="W49" s="179"/>
      <c r="X49" s="179"/>
      <c r="Y49" s="179"/>
      <c r="Z49" s="179"/>
      <c r="AA49" s="179"/>
      <c r="AB49" s="179"/>
      <c r="AC49" s="179"/>
      <c r="AD49" s="179"/>
      <c r="AE49" s="179"/>
      <c r="AF49" s="176"/>
      <c r="AG49" s="176"/>
      <c r="AH49" s="176"/>
      <c r="AI49" s="176"/>
      <c r="AJ49" s="168">
        <f t="shared" si="12"/>
        <v>0</v>
      </c>
      <c r="AK49" s="169">
        <f t="shared" si="13"/>
        <v>0</v>
      </c>
      <c r="AL49" s="183"/>
      <c r="AM49" s="179"/>
      <c r="AN49" s="179"/>
      <c r="AO49" s="179"/>
      <c r="AP49" s="179"/>
      <c r="AQ49" s="179"/>
      <c r="AR49" s="179"/>
      <c r="AS49" s="179"/>
      <c r="AT49" s="179"/>
      <c r="AU49" s="179"/>
      <c r="AV49" s="179"/>
      <c r="AW49" s="179"/>
      <c r="AX49" s="179"/>
      <c r="AY49" s="179"/>
      <c r="AZ49" s="179"/>
      <c r="BA49" s="179"/>
      <c r="BB49" s="179"/>
      <c r="BC49" s="179"/>
      <c r="BD49" s="179"/>
      <c r="BE49" s="179"/>
      <c r="BF49" s="179"/>
      <c r="BG49" s="118">
        <f t="shared" si="14"/>
        <v>0</v>
      </c>
      <c r="BH49" s="122">
        <f t="shared" si="15"/>
        <v>0</v>
      </c>
      <c r="BI49" s="176"/>
      <c r="BJ49" s="179"/>
      <c r="BK49" s="179"/>
      <c r="BL49" s="179"/>
      <c r="BM49" s="179"/>
      <c r="BN49" s="179"/>
      <c r="BO49" s="179"/>
      <c r="BP49" s="179"/>
      <c r="BQ49" s="179"/>
      <c r="BR49" s="179"/>
      <c r="BS49" s="179"/>
      <c r="BT49" s="179"/>
      <c r="BU49" s="179"/>
      <c r="BV49" s="179"/>
      <c r="BW49" s="186"/>
      <c r="BX49" s="186"/>
      <c r="BY49" s="186"/>
      <c r="BZ49" s="186"/>
      <c r="CA49" s="186"/>
      <c r="CB49" s="186"/>
      <c r="CD49" s="186"/>
      <c r="CE49" s="172">
        <f t="shared" si="16"/>
        <v>0</v>
      </c>
      <c r="CF49" s="173">
        <f t="shared" si="17"/>
        <v>0</v>
      </c>
      <c r="CG49" s="199"/>
      <c r="CH49" s="186"/>
      <c r="CI49" s="186"/>
      <c r="CJ49" s="186"/>
      <c r="CK49" s="186"/>
      <c r="CL49" s="186"/>
      <c r="CM49" s="186"/>
      <c r="CN49" s="186"/>
      <c r="CO49" s="186"/>
      <c r="CP49" s="186"/>
      <c r="CQ49" s="186"/>
      <c r="CR49" s="186"/>
      <c r="CS49" s="175"/>
      <c r="CT49" s="158"/>
    </row>
    <row r="50" ht="15.75" customHeight="1">
      <c r="A50" s="131">
        <v>41.0</v>
      </c>
      <c r="B50" s="111" t="s">
        <v>132</v>
      </c>
      <c r="C50" s="112" t="s">
        <v>133</v>
      </c>
      <c r="D50" s="91">
        <f t="shared" si="6"/>
        <v>4</v>
      </c>
      <c r="E50" s="113">
        <f t="shared" si="7"/>
        <v>57.14285714</v>
      </c>
      <c r="F50" s="114" t="str">
        <f t="shared" si="8"/>
        <v>  </v>
      </c>
      <c r="G50" s="164" t="str">
        <f t="shared" si="9"/>
        <v>  </v>
      </c>
      <c r="H50" s="165"/>
      <c r="I50" s="116"/>
      <c r="J50" s="43"/>
      <c r="K50" s="116"/>
      <c r="L50" s="116"/>
      <c r="M50" s="118">
        <f t="shared" si="10"/>
        <v>0</v>
      </c>
      <c r="N50" s="119" t="str">
        <f t="shared" si="11"/>
        <v>#DIV/0!</v>
      </c>
      <c r="O50" s="176"/>
      <c r="P50" s="179"/>
      <c r="Q50" s="179"/>
      <c r="R50" s="179"/>
      <c r="S50" s="179"/>
      <c r="T50" s="179"/>
      <c r="U50" s="179"/>
      <c r="V50" s="179"/>
      <c r="W50" s="179"/>
      <c r="X50" s="179"/>
      <c r="Y50" s="179"/>
      <c r="Z50" s="179"/>
      <c r="AA50" s="179"/>
      <c r="AB50" s="179"/>
      <c r="AC50" s="179"/>
      <c r="AD50" s="179"/>
      <c r="AE50" s="179"/>
      <c r="AF50" s="176"/>
      <c r="AG50" s="176"/>
      <c r="AH50" s="176"/>
      <c r="AI50" s="182">
        <v>1.0</v>
      </c>
      <c r="AJ50" s="168">
        <f t="shared" si="12"/>
        <v>1</v>
      </c>
      <c r="AK50" s="169">
        <f t="shared" si="13"/>
        <v>100</v>
      </c>
      <c r="AL50" s="183"/>
      <c r="AM50" s="179"/>
      <c r="AN50" s="179"/>
      <c r="AO50" s="179"/>
      <c r="AP50" s="179"/>
      <c r="AQ50" s="179"/>
      <c r="AR50" s="179"/>
      <c r="AS50" s="179"/>
      <c r="AT50" s="179"/>
      <c r="AU50" s="184">
        <v>1.0</v>
      </c>
      <c r="AV50" s="179"/>
      <c r="AW50" s="179"/>
      <c r="AX50" s="179"/>
      <c r="AY50" s="179"/>
      <c r="AZ50" s="179"/>
      <c r="BA50" s="179"/>
      <c r="BB50" s="179"/>
      <c r="BC50" s="179"/>
      <c r="BD50" s="179"/>
      <c r="BE50" s="179"/>
      <c r="BF50" s="179"/>
      <c r="BG50" s="118">
        <f t="shared" si="14"/>
        <v>1</v>
      </c>
      <c r="BH50" s="122">
        <f t="shared" si="15"/>
        <v>33.33333333</v>
      </c>
      <c r="BI50" s="176"/>
      <c r="BJ50" s="179"/>
      <c r="BK50" s="179"/>
      <c r="BL50" s="184">
        <v>1.0</v>
      </c>
      <c r="BM50" s="179"/>
      <c r="BN50" s="179"/>
      <c r="BO50" s="179"/>
      <c r="BP50" s="179"/>
      <c r="BQ50" s="179"/>
      <c r="BR50" s="179"/>
      <c r="BS50" s="179"/>
      <c r="BT50" s="179"/>
      <c r="BU50" s="179"/>
      <c r="BV50" s="179"/>
      <c r="BW50" s="186"/>
      <c r="BX50" s="186"/>
      <c r="BY50" s="186"/>
      <c r="BZ50" s="186"/>
      <c r="CA50" s="186"/>
      <c r="CB50" s="186"/>
      <c r="CD50" s="186"/>
      <c r="CE50" s="172">
        <f t="shared" si="16"/>
        <v>1</v>
      </c>
      <c r="CF50" s="173">
        <f t="shared" si="17"/>
        <v>50</v>
      </c>
      <c r="CG50" s="189">
        <v>1.0</v>
      </c>
      <c r="CH50" s="186"/>
      <c r="CI50" s="186"/>
      <c r="CJ50" s="186"/>
      <c r="CK50" s="186"/>
      <c r="CL50" s="186"/>
      <c r="CM50" s="186"/>
      <c r="CN50" s="186"/>
      <c r="CO50" s="186"/>
      <c r="CP50" s="186"/>
      <c r="CQ50" s="186"/>
      <c r="CR50" s="186"/>
      <c r="CS50" s="175">
        <f t="shared" ref="CS50:CS51" si="20">SUM(CG50:CR50)</f>
        <v>1</v>
      </c>
      <c r="CT50" s="158">
        <f t="shared" ref="CT50:CT51" si="21">CS50/CS$9*100</f>
        <v>100</v>
      </c>
    </row>
    <row r="51" ht="15.75" customHeight="1">
      <c r="A51" s="146">
        <v>42.0</v>
      </c>
      <c r="B51" s="111" t="s">
        <v>134</v>
      </c>
      <c r="C51" s="112" t="s">
        <v>135</v>
      </c>
      <c r="D51" s="91">
        <f t="shared" si="6"/>
        <v>5</v>
      </c>
      <c r="E51" s="113">
        <f t="shared" si="7"/>
        <v>71.42857143</v>
      </c>
      <c r="F51" s="114" t="str">
        <f t="shared" si="8"/>
        <v>  </v>
      </c>
      <c r="G51" s="202" t="str">
        <f t="shared" si="9"/>
        <v>  </v>
      </c>
      <c r="H51" s="165"/>
      <c r="I51" s="116"/>
      <c r="J51" s="116"/>
      <c r="K51" s="116"/>
      <c r="L51" s="116"/>
      <c r="M51" s="118">
        <f t="shared" si="10"/>
        <v>0</v>
      </c>
      <c r="N51" s="119" t="str">
        <f>M51/M$51*100</f>
        <v>#DIV/0!</v>
      </c>
      <c r="O51" s="176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Z51" s="179"/>
      <c r="AA51" s="179"/>
      <c r="AB51" s="179"/>
      <c r="AC51" s="179"/>
      <c r="AD51" s="179"/>
      <c r="AE51" s="179"/>
      <c r="AF51" s="176"/>
      <c r="AG51" s="176"/>
      <c r="AH51" s="176"/>
      <c r="AI51" s="182">
        <v>1.0</v>
      </c>
      <c r="AJ51" s="168">
        <f t="shared" si="12"/>
        <v>1</v>
      </c>
      <c r="AK51" s="169">
        <f t="shared" si="13"/>
        <v>100</v>
      </c>
      <c r="AL51" s="183"/>
      <c r="AM51" s="179"/>
      <c r="AN51" s="179"/>
      <c r="AO51" s="179"/>
      <c r="AP51" s="184">
        <v>1.0</v>
      </c>
      <c r="AQ51" s="179"/>
      <c r="AR51" s="179"/>
      <c r="AS51" s="179"/>
      <c r="AT51" s="179"/>
      <c r="AU51" s="179"/>
      <c r="AV51" s="179"/>
      <c r="AW51" s="179"/>
      <c r="AX51" s="179"/>
      <c r="AY51" s="179"/>
      <c r="AZ51" s="179"/>
      <c r="BA51" s="179"/>
      <c r="BB51" s="184">
        <v>1.0</v>
      </c>
      <c r="BC51" s="179"/>
      <c r="BD51" s="179"/>
      <c r="BE51" s="179"/>
      <c r="BF51" s="179"/>
      <c r="BG51" s="118">
        <f t="shared" si="14"/>
        <v>2</v>
      </c>
      <c r="BH51" s="122">
        <f t="shared" si="15"/>
        <v>66.66666667</v>
      </c>
      <c r="BI51" s="176"/>
      <c r="BJ51" s="179"/>
      <c r="BK51" s="179"/>
      <c r="BL51" s="184">
        <v>1.0</v>
      </c>
      <c r="BM51" s="179"/>
      <c r="BN51" s="179"/>
      <c r="BO51" s="179"/>
      <c r="BP51" s="179"/>
      <c r="BQ51" s="179"/>
      <c r="BR51" s="179"/>
      <c r="BS51" s="179"/>
      <c r="BT51" s="179"/>
      <c r="BU51" s="179"/>
      <c r="BV51" s="179"/>
      <c r="BW51" s="186"/>
      <c r="BX51" s="186"/>
      <c r="BY51" s="186"/>
      <c r="BZ51" s="186"/>
      <c r="CA51" s="186"/>
      <c r="CB51" s="186"/>
      <c r="CD51" s="186"/>
      <c r="CE51" s="172">
        <f t="shared" si="16"/>
        <v>1</v>
      </c>
      <c r="CF51" s="173">
        <f t="shared" si="17"/>
        <v>50</v>
      </c>
      <c r="CG51" s="189">
        <v>1.0</v>
      </c>
      <c r="CH51" s="186"/>
      <c r="CI51" s="186"/>
      <c r="CJ51" s="186"/>
      <c r="CK51" s="186"/>
      <c r="CL51" s="186"/>
      <c r="CM51" s="186"/>
      <c r="CN51" s="186"/>
      <c r="CO51" s="186"/>
      <c r="CP51" s="186"/>
      <c r="CQ51" s="186"/>
      <c r="CR51" s="186"/>
      <c r="CS51" s="175">
        <f t="shared" si="20"/>
        <v>1</v>
      </c>
      <c r="CT51" s="158">
        <f t="shared" si="21"/>
        <v>100</v>
      </c>
    </row>
    <row r="52" ht="15.75" customHeight="1">
      <c r="A52" s="242" t="s">
        <v>136</v>
      </c>
      <c r="B52" s="243"/>
      <c r="C52" s="244"/>
      <c r="D52" s="245">
        <f t="shared" si="6"/>
        <v>10</v>
      </c>
      <c r="E52" s="246"/>
      <c r="F52" s="44"/>
      <c r="G52" s="156"/>
      <c r="H52" s="93">
        <f t="shared" ref="H52:L52" si="22">SUM(H53:H93)</f>
        <v>0</v>
      </c>
      <c r="I52" s="93">
        <f t="shared" si="22"/>
        <v>0</v>
      </c>
      <c r="J52" s="93">
        <f t="shared" si="22"/>
        <v>0</v>
      </c>
      <c r="K52" s="93">
        <f t="shared" si="22"/>
        <v>0</v>
      </c>
      <c r="L52" s="93">
        <f t="shared" si="22"/>
        <v>0</v>
      </c>
      <c r="M52" s="94">
        <f>COUNTIF(H52:L52,"&gt;0")</f>
        <v>0</v>
      </c>
      <c r="N52" s="96">
        <f>COUNTIF(H52:L52,"&gt;0")</f>
        <v>0</v>
      </c>
      <c r="O52" s="93">
        <f t="shared" ref="O52:AI52" si="23">SUM(O53:O93)</f>
        <v>0</v>
      </c>
      <c r="P52" s="93">
        <f t="shared" si="23"/>
        <v>0</v>
      </c>
      <c r="Q52" s="93">
        <f t="shared" si="23"/>
        <v>0</v>
      </c>
      <c r="R52" s="93">
        <f t="shared" si="23"/>
        <v>0</v>
      </c>
      <c r="S52" s="93">
        <f t="shared" si="23"/>
        <v>0</v>
      </c>
      <c r="T52" s="93">
        <f t="shared" si="23"/>
        <v>0</v>
      </c>
      <c r="U52" s="93">
        <f t="shared" si="23"/>
        <v>0</v>
      </c>
      <c r="V52" s="93">
        <f t="shared" si="23"/>
        <v>0</v>
      </c>
      <c r="W52" s="93">
        <f t="shared" si="23"/>
        <v>17</v>
      </c>
      <c r="X52" s="93">
        <f t="shared" si="23"/>
        <v>0</v>
      </c>
      <c r="Y52" s="93">
        <f t="shared" si="23"/>
        <v>0</v>
      </c>
      <c r="Z52" s="93">
        <f t="shared" si="23"/>
        <v>0</v>
      </c>
      <c r="AA52" s="93">
        <f t="shared" si="23"/>
        <v>22</v>
      </c>
      <c r="AB52" s="93">
        <f t="shared" si="23"/>
        <v>0</v>
      </c>
      <c r="AC52" s="93">
        <f t="shared" si="23"/>
        <v>0</v>
      </c>
      <c r="AD52" s="93">
        <f t="shared" si="23"/>
        <v>0</v>
      </c>
      <c r="AE52" s="93">
        <f t="shared" si="23"/>
        <v>0</v>
      </c>
      <c r="AF52" s="93">
        <f t="shared" si="23"/>
        <v>26</v>
      </c>
      <c r="AG52" s="93">
        <f t="shared" si="23"/>
        <v>0</v>
      </c>
      <c r="AH52" s="93">
        <f t="shared" si="23"/>
        <v>0</v>
      </c>
      <c r="AI52" s="93">
        <f t="shared" si="23"/>
        <v>0</v>
      </c>
      <c r="AJ52" s="247">
        <f>COUNTIF(O52:AI52,"&gt;0")</f>
        <v>3</v>
      </c>
      <c r="AK52" s="248">
        <f>SUM(M52+AJ52)</f>
        <v>3</v>
      </c>
      <c r="AL52" s="117">
        <f t="shared" ref="AL52:BF52" si="24">SUM(AL53:AL93)</f>
        <v>0</v>
      </c>
      <c r="AM52" s="117">
        <f t="shared" si="24"/>
        <v>20</v>
      </c>
      <c r="AN52" s="117">
        <f t="shared" si="24"/>
        <v>0</v>
      </c>
      <c r="AO52" s="117">
        <f t="shared" si="24"/>
        <v>0</v>
      </c>
      <c r="AP52" s="117">
        <f t="shared" si="24"/>
        <v>0</v>
      </c>
      <c r="AQ52" s="117">
        <f t="shared" si="24"/>
        <v>0</v>
      </c>
      <c r="AR52" s="117">
        <f t="shared" si="24"/>
        <v>16</v>
      </c>
      <c r="AS52" s="117">
        <f t="shared" si="24"/>
        <v>0</v>
      </c>
      <c r="AT52" s="117">
        <f t="shared" si="24"/>
        <v>0</v>
      </c>
      <c r="AU52" s="117">
        <f t="shared" si="24"/>
        <v>0</v>
      </c>
      <c r="AV52" s="117">
        <f t="shared" si="24"/>
        <v>0</v>
      </c>
      <c r="AW52" s="117">
        <f t="shared" si="24"/>
        <v>0</v>
      </c>
      <c r="AX52" s="117">
        <f t="shared" si="24"/>
        <v>0</v>
      </c>
      <c r="AY52" s="117">
        <f t="shared" si="24"/>
        <v>0</v>
      </c>
      <c r="AZ52" s="117">
        <f t="shared" si="24"/>
        <v>0</v>
      </c>
      <c r="BA52" s="117">
        <f t="shared" si="24"/>
        <v>0</v>
      </c>
      <c r="BB52" s="117">
        <f t="shared" si="24"/>
        <v>18</v>
      </c>
      <c r="BC52" s="117">
        <f t="shared" si="24"/>
        <v>0</v>
      </c>
      <c r="BD52" s="117">
        <f t="shared" si="24"/>
        <v>0</v>
      </c>
      <c r="BE52" s="117">
        <f t="shared" si="24"/>
        <v>0</v>
      </c>
      <c r="BF52" s="117">
        <f t="shared" si="24"/>
        <v>0</v>
      </c>
      <c r="BG52" s="44">
        <f>COUNTIF(AL52:BF52,"&gt;0")</f>
        <v>3</v>
      </c>
      <c r="BH52" s="249">
        <f>SUM(AK52+BG52)</f>
        <v>6</v>
      </c>
      <c r="BI52" s="117">
        <f t="shared" ref="BI52:CD52" si="25">SUM(BI53:BI93)</f>
        <v>20</v>
      </c>
      <c r="BJ52" s="117">
        <f t="shared" si="25"/>
        <v>0</v>
      </c>
      <c r="BK52" s="117">
        <f t="shared" si="25"/>
        <v>0</v>
      </c>
      <c r="BL52" s="117">
        <f t="shared" si="25"/>
        <v>0</v>
      </c>
      <c r="BM52" s="117">
        <f t="shared" si="25"/>
        <v>0</v>
      </c>
      <c r="BN52" s="117">
        <f t="shared" si="25"/>
        <v>0</v>
      </c>
      <c r="BO52" s="117">
        <f t="shared" si="25"/>
        <v>0</v>
      </c>
      <c r="BP52" s="117">
        <f t="shared" si="25"/>
        <v>0</v>
      </c>
      <c r="BQ52" s="117">
        <f t="shared" si="25"/>
        <v>0</v>
      </c>
      <c r="BR52" s="117">
        <f t="shared" si="25"/>
        <v>0</v>
      </c>
      <c r="BS52" s="117">
        <f t="shared" si="25"/>
        <v>26</v>
      </c>
      <c r="BT52" s="117">
        <f t="shared" si="25"/>
        <v>0</v>
      </c>
      <c r="BU52" s="117">
        <f t="shared" si="25"/>
        <v>0</v>
      </c>
      <c r="BV52" s="117">
        <f t="shared" si="25"/>
        <v>0</v>
      </c>
      <c r="BW52" s="117">
        <f t="shared" si="25"/>
        <v>0</v>
      </c>
      <c r="BX52" s="117">
        <f t="shared" si="25"/>
        <v>23</v>
      </c>
      <c r="BY52" s="117">
        <f t="shared" si="25"/>
        <v>0</v>
      </c>
      <c r="BZ52" s="117">
        <f t="shared" si="25"/>
        <v>0</v>
      </c>
      <c r="CA52" s="117">
        <f t="shared" si="25"/>
        <v>0</v>
      </c>
      <c r="CB52" s="117">
        <f t="shared" si="25"/>
        <v>0</v>
      </c>
      <c r="CC52" s="117">
        <f t="shared" si="25"/>
        <v>32</v>
      </c>
      <c r="CD52" s="117">
        <f t="shared" si="25"/>
        <v>0</v>
      </c>
      <c r="CE52" s="47">
        <f>COUNTIF(BI52:CD52,"&gt;0")</f>
        <v>4</v>
      </c>
      <c r="CF52" s="52">
        <f>SUM(BH52+CE52)</f>
        <v>10</v>
      </c>
      <c r="CG52" s="117">
        <f t="shared" ref="CG52:CR52" si="26">SUM(CG53:CG91)</f>
        <v>0</v>
      </c>
      <c r="CH52" s="117">
        <f t="shared" si="26"/>
        <v>0</v>
      </c>
      <c r="CI52" s="117">
        <f t="shared" si="26"/>
        <v>0</v>
      </c>
      <c r="CJ52" s="117">
        <f t="shared" si="26"/>
        <v>0</v>
      </c>
      <c r="CK52" s="117">
        <f t="shared" si="26"/>
        <v>0</v>
      </c>
      <c r="CL52" s="117">
        <f t="shared" si="26"/>
        <v>0</v>
      </c>
      <c r="CM52" s="117">
        <f t="shared" si="26"/>
        <v>0</v>
      </c>
      <c r="CN52" s="117">
        <f t="shared" si="26"/>
        <v>0</v>
      </c>
      <c r="CO52" s="117">
        <f t="shared" si="26"/>
        <v>0</v>
      </c>
      <c r="CP52" s="117">
        <f t="shared" si="26"/>
        <v>0</v>
      </c>
      <c r="CQ52" s="117">
        <f t="shared" si="26"/>
        <v>0</v>
      </c>
      <c r="CR52" s="117">
        <f t="shared" si="26"/>
        <v>0</v>
      </c>
      <c r="CS52" s="109">
        <f>COUNTIF(CG52:CR52,"&gt;0")</f>
        <v>0</v>
      </c>
      <c r="CT52" s="110">
        <f>SUM(CF52+CS52)</f>
        <v>10</v>
      </c>
    </row>
    <row r="53" ht="15.75" customHeight="1">
      <c r="A53" s="146">
        <v>43.0</v>
      </c>
      <c r="B53" s="111" t="s">
        <v>137</v>
      </c>
      <c r="C53" s="112" t="s">
        <v>138</v>
      </c>
      <c r="D53" s="250">
        <f t="shared" si="6"/>
        <v>4</v>
      </c>
      <c r="E53" s="113">
        <f t="shared" ref="E53:E93" si="27">(D53)/D$52*100</f>
        <v>40</v>
      </c>
      <c r="F53" s="114">
        <f t="shared" ref="F53:F93" si="28">IF(E53&lt;50,E53, "  ")</f>
        <v>40</v>
      </c>
      <c r="G53" s="202" t="str">
        <f t="shared" ref="G53:G93" si="29">IF(E53&lt;30,E53, "  ")</f>
        <v>  </v>
      </c>
      <c r="H53" s="192"/>
      <c r="I53" s="43"/>
      <c r="J53" s="43"/>
      <c r="K53" s="116"/>
      <c r="L53" s="116"/>
      <c r="M53" s="118">
        <f t="shared" ref="M53:M93" si="30">SUM(H53:L53)</f>
        <v>0</v>
      </c>
      <c r="N53" s="119" t="str">
        <f t="shared" ref="N53:N93" si="31">M53/M$52*100</f>
        <v>#DIV/0!</v>
      </c>
      <c r="O53" s="176"/>
      <c r="P53" s="179"/>
      <c r="Q53" s="179"/>
      <c r="R53" s="179"/>
      <c r="S53" s="179"/>
      <c r="T53" s="179"/>
      <c r="U53" s="179"/>
      <c r="V53" s="179"/>
      <c r="W53" s="179"/>
      <c r="X53" s="179"/>
      <c r="Y53" s="179"/>
      <c r="Z53" s="179"/>
      <c r="AA53" s="179"/>
      <c r="AB53" s="179"/>
      <c r="AC53" s="179"/>
      <c r="AD53" s="179"/>
      <c r="AE53" s="179"/>
      <c r="AF53" s="182">
        <v>1.0</v>
      </c>
      <c r="AG53" s="176"/>
      <c r="AH53" s="176"/>
      <c r="AI53" s="176"/>
      <c r="AJ53" s="251">
        <f t="shared" ref="AJ53:AJ93" si="32">SUM(O53:AI53)</f>
        <v>1</v>
      </c>
      <c r="AK53" s="169">
        <f t="shared" ref="AK53:AK93" si="33">AJ53/AJ$52*100</f>
        <v>33.33333333</v>
      </c>
      <c r="AL53" s="183"/>
      <c r="AM53" s="179"/>
      <c r="AN53" s="179"/>
      <c r="AO53" s="179"/>
      <c r="AP53" s="179"/>
      <c r="AQ53" s="179"/>
      <c r="AR53" s="184">
        <v>1.0</v>
      </c>
      <c r="AS53" s="179"/>
      <c r="AT53" s="179"/>
      <c r="AU53" s="179"/>
      <c r="AV53" s="179"/>
      <c r="AW53" s="179"/>
      <c r="AX53" s="179"/>
      <c r="AY53" s="179"/>
      <c r="AZ53" s="179"/>
      <c r="BA53" s="179"/>
      <c r="BB53" s="179"/>
      <c r="BC53" s="179"/>
      <c r="BD53" s="179"/>
      <c r="BE53" s="179"/>
      <c r="BF53" s="179"/>
      <c r="BG53" s="118">
        <f t="shared" ref="BG53:BG93" si="34">SUM(AL53:BF53)</f>
        <v>1</v>
      </c>
      <c r="BH53" s="122">
        <f t="shared" ref="BH53:BH93" si="35">BG53/BG$52*100</f>
        <v>33.33333333</v>
      </c>
      <c r="BI53" s="176"/>
      <c r="BJ53" s="179"/>
      <c r="BK53" s="179"/>
      <c r="BL53" s="179"/>
      <c r="BM53" s="179"/>
      <c r="BN53" s="179"/>
      <c r="BO53" s="179"/>
      <c r="BP53" s="179"/>
      <c r="BQ53" s="179"/>
      <c r="BR53" s="179"/>
      <c r="BS53" s="184">
        <v>1.0</v>
      </c>
      <c r="BT53" s="179"/>
      <c r="BU53" s="185"/>
      <c r="BV53" s="179"/>
      <c r="BW53" s="186"/>
      <c r="BX53" s="186"/>
      <c r="BY53" s="186"/>
      <c r="BZ53" s="186"/>
      <c r="CA53" s="186"/>
      <c r="CB53" s="186"/>
      <c r="CC53" s="200">
        <v>1.0</v>
      </c>
      <c r="CD53" s="186"/>
      <c r="CE53" s="172">
        <f t="shared" ref="CE53:CE93" si="36">SUM(BI53:CD53)</f>
        <v>2</v>
      </c>
      <c r="CF53" s="173">
        <f t="shared" ref="CF53:CF93" si="37">CE53/CE$9*100</f>
        <v>100</v>
      </c>
      <c r="CG53" s="199"/>
      <c r="CH53" s="186"/>
      <c r="CI53" s="186"/>
      <c r="CJ53" s="186"/>
      <c r="CK53" s="186"/>
      <c r="CL53" s="186"/>
      <c r="CM53" s="186"/>
      <c r="CN53" s="186"/>
      <c r="CO53" s="186"/>
      <c r="CP53" s="186"/>
      <c r="CQ53" s="186"/>
      <c r="CR53" s="186"/>
      <c r="CS53" s="175">
        <f t="shared" ref="CS53:CS93" si="38">SUM(CG53:CR53)</f>
        <v>0</v>
      </c>
      <c r="CT53" s="158">
        <f t="shared" ref="CT53:CT93" si="39">CS53/CS$9*100</f>
        <v>0</v>
      </c>
    </row>
    <row r="54" ht="15.75" customHeight="1">
      <c r="A54" s="131">
        <v>44.0</v>
      </c>
      <c r="B54" s="111" t="s">
        <v>139</v>
      </c>
      <c r="C54" s="112" t="s">
        <v>140</v>
      </c>
      <c r="D54" s="250">
        <f t="shared" si="6"/>
        <v>6</v>
      </c>
      <c r="E54" s="113">
        <f t="shared" si="27"/>
        <v>60</v>
      </c>
      <c r="F54" s="114" t="str">
        <f t="shared" si="28"/>
        <v>  </v>
      </c>
      <c r="G54" s="164" t="str">
        <f t="shared" si="29"/>
        <v>  </v>
      </c>
      <c r="H54" s="183"/>
      <c r="I54" s="228"/>
      <c r="J54" s="207"/>
      <c r="K54" s="179"/>
      <c r="L54" s="179"/>
      <c r="M54" s="118">
        <f t="shared" si="30"/>
        <v>0</v>
      </c>
      <c r="N54" s="119" t="str">
        <f t="shared" si="31"/>
        <v>#DIV/0!</v>
      </c>
      <c r="O54" s="176"/>
      <c r="P54" s="179"/>
      <c r="Q54" s="179"/>
      <c r="R54" s="179"/>
      <c r="S54" s="179"/>
      <c r="T54" s="179"/>
      <c r="U54" s="179"/>
      <c r="V54" s="179"/>
      <c r="W54" s="184">
        <v>1.0</v>
      </c>
      <c r="X54" s="179"/>
      <c r="Y54" s="179"/>
      <c r="Z54" s="179"/>
      <c r="AA54" s="179"/>
      <c r="AB54" s="179"/>
      <c r="AC54" s="179"/>
      <c r="AD54" s="179"/>
      <c r="AE54" s="179"/>
      <c r="AF54" s="182">
        <v>1.0</v>
      </c>
      <c r="AG54" s="176"/>
      <c r="AH54" s="176"/>
      <c r="AI54" s="176"/>
      <c r="AJ54" s="251">
        <f t="shared" si="32"/>
        <v>2</v>
      </c>
      <c r="AK54" s="169">
        <f t="shared" si="33"/>
        <v>66.66666667</v>
      </c>
      <c r="AL54" s="183"/>
      <c r="AM54" s="179"/>
      <c r="AN54" s="179"/>
      <c r="AO54" s="179"/>
      <c r="AP54" s="179"/>
      <c r="AQ54" s="179"/>
      <c r="AR54" s="184">
        <v>1.0</v>
      </c>
      <c r="AS54" s="179"/>
      <c r="AT54" s="179"/>
      <c r="AU54" s="179"/>
      <c r="AV54" s="179"/>
      <c r="AW54" s="179"/>
      <c r="AX54" s="179"/>
      <c r="AY54" s="179"/>
      <c r="AZ54" s="179"/>
      <c r="BA54" s="179"/>
      <c r="BB54" s="179"/>
      <c r="BC54" s="179"/>
      <c r="BD54" s="179"/>
      <c r="BE54" s="179"/>
      <c r="BF54" s="179"/>
      <c r="BG54" s="118">
        <f t="shared" si="34"/>
        <v>1</v>
      </c>
      <c r="BH54" s="122">
        <f t="shared" si="35"/>
        <v>33.33333333</v>
      </c>
      <c r="BI54" s="182">
        <v>1.0</v>
      </c>
      <c r="BJ54" s="179"/>
      <c r="BK54" s="179"/>
      <c r="BL54" s="179"/>
      <c r="BM54" s="179"/>
      <c r="BN54" s="179"/>
      <c r="BO54" s="179"/>
      <c r="BP54" s="179"/>
      <c r="BQ54" s="179"/>
      <c r="BR54" s="179"/>
      <c r="BS54" s="184">
        <v>1.0</v>
      </c>
      <c r="BT54" s="179"/>
      <c r="BU54" s="198"/>
      <c r="BV54" s="179"/>
      <c r="BW54" s="186"/>
      <c r="BX54" s="186"/>
      <c r="BY54" s="186"/>
      <c r="BZ54" s="186"/>
      <c r="CA54" s="186"/>
      <c r="CB54" s="186"/>
      <c r="CC54" s="200">
        <v>1.0</v>
      </c>
      <c r="CD54" s="186"/>
      <c r="CE54" s="172">
        <f t="shared" si="36"/>
        <v>3</v>
      </c>
      <c r="CF54" s="173">
        <f t="shared" si="37"/>
        <v>150</v>
      </c>
      <c r="CG54" s="199"/>
      <c r="CH54" s="186"/>
      <c r="CI54" s="186"/>
      <c r="CJ54" s="186"/>
      <c r="CK54" s="186"/>
      <c r="CL54" s="186"/>
      <c r="CM54" s="186"/>
      <c r="CN54" s="186"/>
      <c r="CO54" s="186"/>
      <c r="CP54" s="186"/>
      <c r="CQ54" s="186"/>
      <c r="CR54" s="186"/>
      <c r="CS54" s="175">
        <f t="shared" si="38"/>
        <v>0</v>
      </c>
      <c r="CT54" s="158">
        <f t="shared" si="39"/>
        <v>0</v>
      </c>
    </row>
    <row r="55" ht="15.75" customHeight="1">
      <c r="A55" s="146">
        <v>45.0</v>
      </c>
      <c r="B55" s="111" t="s">
        <v>141</v>
      </c>
      <c r="C55" s="112" t="s">
        <v>142</v>
      </c>
      <c r="D55" s="250">
        <f t="shared" si="6"/>
        <v>5</v>
      </c>
      <c r="E55" s="113">
        <f t="shared" si="27"/>
        <v>50</v>
      </c>
      <c r="F55" s="114" t="str">
        <f t="shared" si="28"/>
        <v>  </v>
      </c>
      <c r="G55" s="164" t="str">
        <f t="shared" si="29"/>
        <v>  </v>
      </c>
      <c r="H55" s="183"/>
      <c r="I55" s="186"/>
      <c r="J55" s="179"/>
      <c r="K55" s="179"/>
      <c r="L55" s="179"/>
      <c r="M55" s="118">
        <f t="shared" si="30"/>
        <v>0</v>
      </c>
      <c r="N55" s="119" t="str">
        <f t="shared" si="31"/>
        <v>#DIV/0!</v>
      </c>
      <c r="O55" s="195"/>
      <c r="P55" s="186"/>
      <c r="Q55" s="186"/>
      <c r="R55" s="186"/>
      <c r="S55" s="186"/>
      <c r="T55" s="186"/>
      <c r="U55" s="186"/>
      <c r="V55" s="186"/>
      <c r="W55" s="200">
        <v>1.0</v>
      </c>
      <c r="X55" s="186"/>
      <c r="Y55" s="186"/>
      <c r="Z55" s="186"/>
      <c r="AA55" s="186"/>
      <c r="AB55" s="186"/>
      <c r="AC55" s="186"/>
      <c r="AD55" s="186"/>
      <c r="AE55" s="186"/>
      <c r="AF55" s="197">
        <v>1.0</v>
      </c>
      <c r="AG55" s="195"/>
      <c r="AH55" s="195"/>
      <c r="AI55" s="195"/>
      <c r="AJ55" s="251">
        <f t="shared" si="32"/>
        <v>2</v>
      </c>
      <c r="AK55" s="169">
        <f t="shared" si="33"/>
        <v>66.66666667</v>
      </c>
      <c r="AL55" s="199"/>
      <c r="AM55" s="186"/>
      <c r="AN55" s="186"/>
      <c r="AO55" s="186"/>
      <c r="AP55" s="186"/>
      <c r="AQ55" s="186"/>
      <c r="AR55" s="200">
        <v>1.0</v>
      </c>
      <c r="AS55" s="186"/>
      <c r="AT55" s="186"/>
      <c r="AU55" s="186"/>
      <c r="AV55" s="186"/>
      <c r="AW55" s="186"/>
      <c r="AX55" s="186"/>
      <c r="AY55" s="186"/>
      <c r="AZ55" s="186"/>
      <c r="BA55" s="186"/>
      <c r="BB55" s="186"/>
      <c r="BC55" s="186"/>
      <c r="BD55" s="186"/>
      <c r="BE55" s="186"/>
      <c r="BF55" s="186"/>
      <c r="BG55" s="118">
        <f t="shared" si="34"/>
        <v>1</v>
      </c>
      <c r="BH55" s="122">
        <f t="shared" si="35"/>
        <v>33.33333333</v>
      </c>
      <c r="BI55" s="195"/>
      <c r="BJ55" s="186"/>
      <c r="BK55" s="186"/>
      <c r="BL55" s="186"/>
      <c r="BM55" s="186"/>
      <c r="BN55" s="186"/>
      <c r="BO55" s="186"/>
      <c r="BP55" s="186"/>
      <c r="BQ55" s="186"/>
      <c r="BR55" s="186"/>
      <c r="BS55" s="200">
        <v>1.0</v>
      </c>
      <c r="BT55" s="186"/>
      <c r="BU55" s="252"/>
      <c r="BV55" s="186"/>
      <c r="BW55" s="186"/>
      <c r="BX55" s="186"/>
      <c r="BY55" s="186"/>
      <c r="BZ55" s="186"/>
      <c r="CA55" s="186"/>
      <c r="CB55" s="186"/>
      <c r="CC55" s="200">
        <v>1.0</v>
      </c>
      <c r="CD55" s="186"/>
      <c r="CE55" s="172">
        <f t="shared" si="36"/>
        <v>2</v>
      </c>
      <c r="CF55" s="173">
        <f t="shared" si="37"/>
        <v>100</v>
      </c>
      <c r="CG55" s="199"/>
      <c r="CH55" s="186"/>
      <c r="CI55" s="186"/>
      <c r="CJ55" s="186"/>
      <c r="CK55" s="186"/>
      <c r="CL55" s="186"/>
      <c r="CM55" s="186"/>
      <c r="CN55" s="186"/>
      <c r="CO55" s="186"/>
      <c r="CP55" s="186"/>
      <c r="CQ55" s="186"/>
      <c r="CR55" s="186"/>
      <c r="CS55" s="175">
        <f t="shared" si="38"/>
        <v>0</v>
      </c>
      <c r="CT55" s="158">
        <f t="shared" si="39"/>
        <v>0</v>
      </c>
    </row>
    <row r="56" ht="15.75" customHeight="1">
      <c r="A56" s="146">
        <v>46.0</v>
      </c>
      <c r="B56" s="111" t="s">
        <v>143</v>
      </c>
      <c r="C56" s="112" t="s">
        <v>144</v>
      </c>
      <c r="D56" s="250">
        <f t="shared" si="6"/>
        <v>6</v>
      </c>
      <c r="E56" s="113">
        <f t="shared" si="27"/>
        <v>60</v>
      </c>
      <c r="F56" s="114" t="str">
        <f t="shared" si="28"/>
        <v>  </v>
      </c>
      <c r="G56" s="164" t="str">
        <f t="shared" si="29"/>
        <v>  </v>
      </c>
      <c r="H56" s="183"/>
      <c r="I56" s="179"/>
      <c r="J56" s="179"/>
      <c r="K56" s="207"/>
      <c r="L56" s="207"/>
      <c r="M56" s="118">
        <f t="shared" si="30"/>
        <v>0</v>
      </c>
      <c r="N56" s="119" t="str">
        <f t="shared" si="31"/>
        <v>#DIV/0!</v>
      </c>
      <c r="O56" s="206"/>
      <c r="P56" s="207"/>
      <c r="Q56" s="207"/>
      <c r="R56" s="207"/>
      <c r="S56" s="207"/>
      <c r="T56" s="207"/>
      <c r="U56" s="207"/>
      <c r="V56" s="207"/>
      <c r="W56" s="207"/>
      <c r="X56" s="207"/>
      <c r="Y56" s="207"/>
      <c r="Z56" s="207"/>
      <c r="AA56" s="234">
        <v>1.0</v>
      </c>
      <c r="AB56" s="207"/>
      <c r="AC56" s="207"/>
      <c r="AD56" s="207"/>
      <c r="AE56" s="207"/>
      <c r="AF56" s="206"/>
      <c r="AG56" s="206"/>
      <c r="AH56" s="206"/>
      <c r="AI56" s="206"/>
      <c r="AJ56" s="251">
        <f t="shared" si="32"/>
        <v>1</v>
      </c>
      <c r="AK56" s="169">
        <f t="shared" si="33"/>
        <v>33.33333333</v>
      </c>
      <c r="AL56" s="212"/>
      <c r="AM56" s="234">
        <v>1.0</v>
      </c>
      <c r="AN56" s="207"/>
      <c r="AO56" s="207"/>
      <c r="AP56" s="207"/>
      <c r="AQ56" s="207"/>
      <c r="AR56" s="207"/>
      <c r="AS56" s="207"/>
      <c r="AT56" s="207"/>
      <c r="AU56" s="207"/>
      <c r="AV56" s="207"/>
      <c r="AW56" s="207"/>
      <c r="AX56" s="207"/>
      <c r="AY56" s="207"/>
      <c r="AZ56" s="207"/>
      <c r="BA56" s="207"/>
      <c r="BB56" s="207"/>
      <c r="BC56" s="207"/>
      <c r="BD56" s="207"/>
      <c r="BE56" s="207"/>
      <c r="BF56" s="207"/>
      <c r="BG56" s="118">
        <f t="shared" si="34"/>
        <v>1</v>
      </c>
      <c r="BH56" s="122">
        <f t="shared" si="35"/>
        <v>33.33333333</v>
      </c>
      <c r="BI56" s="209">
        <v>1.0</v>
      </c>
      <c r="BJ56" s="207"/>
      <c r="BK56" s="207"/>
      <c r="BL56" s="207"/>
      <c r="BM56" s="207"/>
      <c r="BN56" s="207"/>
      <c r="BO56" s="207"/>
      <c r="BP56" s="207"/>
      <c r="BQ56" s="207"/>
      <c r="BR56" s="207"/>
      <c r="BS56" s="234">
        <v>1.0</v>
      </c>
      <c r="BT56" s="207"/>
      <c r="BU56" s="253"/>
      <c r="BV56" s="207"/>
      <c r="BW56" s="186"/>
      <c r="BX56" s="200">
        <v>1.0</v>
      </c>
      <c r="BY56" s="186"/>
      <c r="BZ56" s="186"/>
      <c r="CA56" s="186"/>
      <c r="CB56" s="186"/>
      <c r="CC56" s="200">
        <v>1.0</v>
      </c>
      <c r="CD56" s="186"/>
      <c r="CE56" s="172">
        <f t="shared" si="36"/>
        <v>4</v>
      </c>
      <c r="CF56" s="173">
        <f t="shared" si="37"/>
        <v>200</v>
      </c>
      <c r="CG56" s="199"/>
      <c r="CH56" s="186"/>
      <c r="CI56" s="186"/>
      <c r="CJ56" s="186"/>
      <c r="CK56" s="186"/>
      <c r="CL56" s="186"/>
      <c r="CM56" s="186"/>
      <c r="CN56" s="186"/>
      <c r="CO56" s="186"/>
      <c r="CP56" s="186"/>
      <c r="CQ56" s="186"/>
      <c r="CR56" s="186"/>
      <c r="CS56" s="175">
        <f t="shared" si="38"/>
        <v>0</v>
      </c>
      <c r="CT56" s="158">
        <f t="shared" si="39"/>
        <v>0</v>
      </c>
    </row>
    <row r="57" ht="15.75" customHeight="1">
      <c r="A57" s="131">
        <v>47.0</v>
      </c>
      <c r="B57" s="111" t="s">
        <v>145</v>
      </c>
      <c r="C57" s="112" t="s">
        <v>146</v>
      </c>
      <c r="D57" s="250">
        <f t="shared" si="6"/>
        <v>7</v>
      </c>
      <c r="E57" s="113">
        <f t="shared" si="27"/>
        <v>70</v>
      </c>
      <c r="F57" s="114" t="str">
        <f t="shared" si="28"/>
        <v>  </v>
      </c>
      <c r="G57" s="164" t="str">
        <f t="shared" si="29"/>
        <v>  </v>
      </c>
      <c r="H57" s="183"/>
      <c r="I57" s="207"/>
      <c r="J57" s="179"/>
      <c r="K57" s="179"/>
      <c r="L57" s="179"/>
      <c r="M57" s="118">
        <f t="shared" si="30"/>
        <v>0</v>
      </c>
      <c r="N57" s="119" t="str">
        <f t="shared" si="31"/>
        <v>#DIV/0!</v>
      </c>
      <c r="O57" s="227"/>
      <c r="P57" s="228"/>
      <c r="Q57" s="228"/>
      <c r="R57" s="228"/>
      <c r="S57" s="228"/>
      <c r="T57" s="228"/>
      <c r="U57" s="228"/>
      <c r="V57" s="228"/>
      <c r="W57" s="233">
        <v>1.0</v>
      </c>
      <c r="X57" s="228"/>
      <c r="Y57" s="228"/>
      <c r="Z57" s="228"/>
      <c r="AA57" s="233">
        <v>1.0</v>
      </c>
      <c r="AB57" s="228"/>
      <c r="AC57" s="228"/>
      <c r="AD57" s="228"/>
      <c r="AE57" s="228"/>
      <c r="AF57" s="229">
        <v>1.0</v>
      </c>
      <c r="AG57" s="227"/>
      <c r="AH57" s="227"/>
      <c r="AI57" s="227"/>
      <c r="AJ57" s="251">
        <f t="shared" si="32"/>
        <v>3</v>
      </c>
      <c r="AK57" s="169">
        <f t="shared" si="33"/>
        <v>100</v>
      </c>
      <c r="AL57" s="232"/>
      <c r="AM57" s="233">
        <v>1.0</v>
      </c>
      <c r="AN57" s="228"/>
      <c r="AO57" s="228"/>
      <c r="AP57" s="228"/>
      <c r="AQ57" s="228"/>
      <c r="AR57" s="233">
        <v>1.0</v>
      </c>
      <c r="AS57" s="228"/>
      <c r="AT57" s="228"/>
      <c r="AU57" s="228"/>
      <c r="AV57" s="228"/>
      <c r="AW57" s="228"/>
      <c r="AX57" s="228"/>
      <c r="AY57" s="228"/>
      <c r="AZ57" s="228"/>
      <c r="BA57" s="228"/>
      <c r="BB57" s="228"/>
      <c r="BC57" s="228"/>
      <c r="BD57" s="228"/>
      <c r="BE57" s="228"/>
      <c r="BF57" s="228"/>
      <c r="BG57" s="118">
        <f t="shared" si="34"/>
        <v>2</v>
      </c>
      <c r="BH57" s="122">
        <f t="shared" si="35"/>
        <v>66.66666667</v>
      </c>
      <c r="BI57" s="227"/>
      <c r="BJ57" s="228"/>
      <c r="BK57" s="228"/>
      <c r="BL57" s="228"/>
      <c r="BM57" s="228"/>
      <c r="BN57" s="228"/>
      <c r="BO57" s="228"/>
      <c r="BP57" s="228"/>
      <c r="BQ57" s="228"/>
      <c r="BR57" s="228"/>
      <c r="BS57" s="228"/>
      <c r="BT57" s="228"/>
      <c r="BU57" s="185"/>
      <c r="BV57" s="228"/>
      <c r="BW57" s="186"/>
      <c r="BX57" s="200">
        <v>1.0</v>
      </c>
      <c r="BY57" s="186"/>
      <c r="BZ57" s="186"/>
      <c r="CA57" s="186"/>
      <c r="CB57" s="186"/>
      <c r="CC57" s="200">
        <v>1.0</v>
      </c>
      <c r="CD57" s="186"/>
      <c r="CE57" s="172">
        <f t="shared" si="36"/>
        <v>2</v>
      </c>
      <c r="CF57" s="173">
        <f t="shared" si="37"/>
        <v>100</v>
      </c>
      <c r="CG57" s="199"/>
      <c r="CH57" s="186"/>
      <c r="CI57" s="186"/>
      <c r="CJ57" s="186"/>
      <c r="CK57" s="186"/>
      <c r="CL57" s="186"/>
      <c r="CM57" s="186"/>
      <c r="CN57" s="186"/>
      <c r="CO57" s="186"/>
      <c r="CP57" s="186"/>
      <c r="CQ57" s="186"/>
      <c r="CR57" s="186"/>
      <c r="CS57" s="175">
        <f t="shared" si="38"/>
        <v>0</v>
      </c>
      <c r="CT57" s="158">
        <f t="shared" si="39"/>
        <v>0</v>
      </c>
    </row>
    <row r="58" ht="15.75" customHeight="1">
      <c r="A58" s="146">
        <v>48.0</v>
      </c>
      <c r="B58" s="111" t="s">
        <v>147</v>
      </c>
      <c r="C58" s="112" t="s">
        <v>148</v>
      </c>
      <c r="D58" s="250">
        <f t="shared" si="6"/>
        <v>5</v>
      </c>
      <c r="E58" s="113">
        <f t="shared" si="27"/>
        <v>50</v>
      </c>
      <c r="F58" s="114" t="str">
        <f t="shared" si="28"/>
        <v>  </v>
      </c>
      <c r="G58" s="202" t="str">
        <f t="shared" si="29"/>
        <v>  </v>
      </c>
      <c r="H58" s="183"/>
      <c r="I58" s="179"/>
      <c r="J58" s="179"/>
      <c r="K58" s="179"/>
      <c r="L58" s="179"/>
      <c r="M58" s="118">
        <f t="shared" si="30"/>
        <v>0</v>
      </c>
      <c r="N58" s="119" t="str">
        <f t="shared" si="31"/>
        <v>#DIV/0!</v>
      </c>
      <c r="O58" s="176"/>
      <c r="P58" s="179"/>
      <c r="Q58" s="179"/>
      <c r="R58" s="179"/>
      <c r="S58" s="179"/>
      <c r="T58" s="179"/>
      <c r="U58" s="179"/>
      <c r="V58" s="179"/>
      <c r="W58" s="184">
        <v>1.0</v>
      </c>
      <c r="X58" s="179"/>
      <c r="Y58" s="179"/>
      <c r="Z58" s="179"/>
      <c r="AA58" s="179"/>
      <c r="AB58" s="179"/>
      <c r="AC58" s="179"/>
      <c r="AD58" s="179"/>
      <c r="AE58" s="179"/>
      <c r="AF58" s="182">
        <v>1.0</v>
      </c>
      <c r="AG58" s="176"/>
      <c r="AH58" s="176"/>
      <c r="AI58" s="176"/>
      <c r="AJ58" s="251">
        <f t="shared" si="32"/>
        <v>2</v>
      </c>
      <c r="AK58" s="169">
        <f t="shared" si="33"/>
        <v>66.66666667</v>
      </c>
      <c r="AL58" s="183"/>
      <c r="AM58" s="179"/>
      <c r="AN58" s="179"/>
      <c r="AO58" s="179"/>
      <c r="AP58" s="179"/>
      <c r="AQ58" s="179"/>
      <c r="AR58" s="179"/>
      <c r="AS58" s="179"/>
      <c r="AT58" s="179"/>
      <c r="AU58" s="179"/>
      <c r="AV58" s="179"/>
      <c r="AW58" s="179"/>
      <c r="AX58" s="179"/>
      <c r="AY58" s="179"/>
      <c r="AZ58" s="179"/>
      <c r="BA58" s="179"/>
      <c r="BB58" s="179"/>
      <c r="BC58" s="179"/>
      <c r="BD58" s="179"/>
      <c r="BE58" s="179"/>
      <c r="BF58" s="179"/>
      <c r="BG58" s="118">
        <f t="shared" si="34"/>
        <v>0</v>
      </c>
      <c r="BH58" s="122">
        <f t="shared" si="35"/>
        <v>0</v>
      </c>
      <c r="BI58" s="182">
        <v>1.0</v>
      </c>
      <c r="BJ58" s="179"/>
      <c r="BK58" s="179"/>
      <c r="BL58" s="179"/>
      <c r="BM58" s="179"/>
      <c r="BN58" s="179"/>
      <c r="BO58" s="179"/>
      <c r="BP58" s="179"/>
      <c r="BQ58" s="179"/>
      <c r="BR58" s="179"/>
      <c r="BS58" s="184">
        <v>1.0</v>
      </c>
      <c r="BT58" s="179"/>
      <c r="BU58" s="185"/>
      <c r="BV58" s="179"/>
      <c r="BW58" s="186"/>
      <c r="BX58" s="200">
        <v>1.0</v>
      </c>
      <c r="BY58" s="186"/>
      <c r="BZ58" s="186"/>
      <c r="CA58" s="186"/>
      <c r="CB58" s="186"/>
      <c r="CC58" s="186"/>
      <c r="CD58" s="186"/>
      <c r="CE58" s="172">
        <f t="shared" si="36"/>
        <v>3</v>
      </c>
      <c r="CF58" s="173">
        <f t="shared" si="37"/>
        <v>150</v>
      </c>
      <c r="CG58" s="199"/>
      <c r="CH58" s="186"/>
      <c r="CI58" s="186"/>
      <c r="CJ58" s="186"/>
      <c r="CK58" s="186"/>
      <c r="CL58" s="186"/>
      <c r="CM58" s="186"/>
      <c r="CN58" s="186"/>
      <c r="CO58" s="186"/>
      <c r="CP58" s="186"/>
      <c r="CQ58" s="186"/>
      <c r="CR58" s="186"/>
      <c r="CS58" s="175">
        <f t="shared" si="38"/>
        <v>0</v>
      </c>
      <c r="CT58" s="158">
        <f t="shared" si="39"/>
        <v>0</v>
      </c>
    </row>
    <row r="59" ht="15.75" customHeight="1">
      <c r="A59" s="146">
        <v>49.0</v>
      </c>
      <c r="B59" s="111" t="s">
        <v>149</v>
      </c>
      <c r="C59" s="112" t="s">
        <v>150</v>
      </c>
      <c r="D59" s="250">
        <f t="shared" si="6"/>
        <v>8</v>
      </c>
      <c r="E59" s="113">
        <f t="shared" si="27"/>
        <v>80</v>
      </c>
      <c r="F59" s="114" t="str">
        <f t="shared" si="28"/>
        <v>  </v>
      </c>
      <c r="G59" s="164" t="str">
        <f t="shared" si="29"/>
        <v>  </v>
      </c>
      <c r="H59" s="183"/>
      <c r="I59" s="179"/>
      <c r="J59" s="179"/>
      <c r="K59" s="179"/>
      <c r="L59" s="179"/>
      <c r="M59" s="118">
        <f t="shared" si="30"/>
        <v>0</v>
      </c>
      <c r="N59" s="119" t="str">
        <f t="shared" si="31"/>
        <v>#DIV/0!</v>
      </c>
      <c r="O59" s="176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Z59" s="179"/>
      <c r="AA59" s="184">
        <v>1.0</v>
      </c>
      <c r="AB59" s="179"/>
      <c r="AC59" s="179"/>
      <c r="AD59" s="179"/>
      <c r="AE59" s="179"/>
      <c r="AF59" s="182">
        <v>1.0</v>
      </c>
      <c r="AG59" s="176"/>
      <c r="AH59" s="176"/>
      <c r="AI59" s="176"/>
      <c r="AJ59" s="251">
        <f t="shared" si="32"/>
        <v>2</v>
      </c>
      <c r="AK59" s="169">
        <f t="shared" si="33"/>
        <v>66.66666667</v>
      </c>
      <c r="AL59" s="183"/>
      <c r="AM59" s="184">
        <v>1.0</v>
      </c>
      <c r="AN59" s="179"/>
      <c r="AO59" s="179"/>
      <c r="AP59" s="179"/>
      <c r="AQ59" s="179"/>
      <c r="AR59" s="184">
        <v>1.0</v>
      </c>
      <c r="AS59" s="179"/>
      <c r="AT59" s="179"/>
      <c r="AU59" s="179"/>
      <c r="AV59" s="179"/>
      <c r="AW59" s="179"/>
      <c r="AX59" s="179"/>
      <c r="AY59" s="179"/>
      <c r="AZ59" s="179"/>
      <c r="BA59" s="179"/>
      <c r="BB59" s="179"/>
      <c r="BC59" s="179"/>
      <c r="BD59" s="179"/>
      <c r="BE59" s="179"/>
      <c r="BF59" s="179"/>
      <c r="BG59" s="118">
        <f t="shared" si="34"/>
        <v>2</v>
      </c>
      <c r="BH59" s="122">
        <f t="shared" si="35"/>
        <v>66.66666667</v>
      </c>
      <c r="BI59" s="182">
        <v>1.0</v>
      </c>
      <c r="BJ59" s="179"/>
      <c r="BK59" s="179"/>
      <c r="BL59" s="179"/>
      <c r="BM59" s="179"/>
      <c r="BN59" s="179"/>
      <c r="BO59" s="179"/>
      <c r="BP59" s="179"/>
      <c r="BQ59" s="179"/>
      <c r="BR59" s="179"/>
      <c r="BS59" s="184">
        <v>1.0</v>
      </c>
      <c r="BT59" s="179"/>
      <c r="BU59" s="185"/>
      <c r="BV59" s="179"/>
      <c r="BW59" s="186"/>
      <c r="BX59" s="200">
        <v>1.0</v>
      </c>
      <c r="BY59" s="186"/>
      <c r="BZ59" s="186"/>
      <c r="CA59" s="186"/>
      <c r="CB59" s="186"/>
      <c r="CC59" s="200">
        <v>1.0</v>
      </c>
      <c r="CD59" s="186"/>
      <c r="CE59" s="172">
        <f t="shared" si="36"/>
        <v>4</v>
      </c>
      <c r="CF59" s="173">
        <f t="shared" si="37"/>
        <v>200</v>
      </c>
      <c r="CG59" s="199"/>
      <c r="CH59" s="186"/>
      <c r="CI59" s="186"/>
      <c r="CJ59" s="186"/>
      <c r="CK59" s="186"/>
      <c r="CL59" s="186"/>
      <c r="CM59" s="186"/>
      <c r="CN59" s="186"/>
      <c r="CO59" s="186"/>
      <c r="CP59" s="186"/>
      <c r="CQ59" s="186"/>
      <c r="CR59" s="186"/>
      <c r="CS59" s="175">
        <f t="shared" si="38"/>
        <v>0</v>
      </c>
      <c r="CT59" s="158">
        <f t="shared" si="39"/>
        <v>0</v>
      </c>
    </row>
    <row r="60" ht="15.75" customHeight="1">
      <c r="A60" s="131">
        <v>50.0</v>
      </c>
      <c r="B60" s="111" t="s">
        <v>151</v>
      </c>
      <c r="C60" s="112" t="s">
        <v>152</v>
      </c>
      <c r="D60" s="250">
        <f t="shared" si="6"/>
        <v>9</v>
      </c>
      <c r="E60" s="113">
        <f t="shared" si="27"/>
        <v>90</v>
      </c>
      <c r="F60" s="114" t="str">
        <f t="shared" si="28"/>
        <v>  </v>
      </c>
      <c r="G60" s="164" t="str">
        <f t="shared" si="29"/>
        <v>  </v>
      </c>
      <c r="H60" s="212"/>
      <c r="I60" s="179"/>
      <c r="J60" s="207"/>
      <c r="K60" s="179"/>
      <c r="L60" s="179"/>
      <c r="M60" s="118">
        <f t="shared" si="30"/>
        <v>0</v>
      </c>
      <c r="N60" s="119" t="str">
        <f t="shared" si="31"/>
        <v>#DIV/0!</v>
      </c>
      <c r="O60" s="176"/>
      <c r="P60" s="179"/>
      <c r="Q60" s="179"/>
      <c r="R60" s="179"/>
      <c r="S60" s="179"/>
      <c r="T60" s="179"/>
      <c r="U60" s="179"/>
      <c r="V60" s="179"/>
      <c r="W60" s="184">
        <v>1.0</v>
      </c>
      <c r="X60" s="179"/>
      <c r="Y60" s="179"/>
      <c r="Z60" s="179"/>
      <c r="AA60" s="184">
        <v>1.0</v>
      </c>
      <c r="AB60" s="179"/>
      <c r="AC60" s="179"/>
      <c r="AD60" s="179"/>
      <c r="AE60" s="179"/>
      <c r="AF60" s="182">
        <v>1.0</v>
      </c>
      <c r="AG60" s="176"/>
      <c r="AH60" s="176"/>
      <c r="AI60" s="176"/>
      <c r="AJ60" s="251">
        <f t="shared" si="32"/>
        <v>3</v>
      </c>
      <c r="AK60" s="169">
        <f t="shared" si="33"/>
        <v>100</v>
      </c>
      <c r="AL60" s="183"/>
      <c r="AM60" s="184">
        <v>1.0</v>
      </c>
      <c r="AN60" s="179"/>
      <c r="AO60" s="179"/>
      <c r="AP60" s="179"/>
      <c r="AQ60" s="179"/>
      <c r="AR60" s="184">
        <v>1.0</v>
      </c>
      <c r="AS60" s="179"/>
      <c r="AT60" s="179"/>
      <c r="AU60" s="179"/>
      <c r="AV60" s="179"/>
      <c r="AW60" s="179"/>
      <c r="AX60" s="179"/>
      <c r="AY60" s="179"/>
      <c r="AZ60" s="179"/>
      <c r="BA60" s="179"/>
      <c r="BB60" s="184">
        <v>1.0</v>
      </c>
      <c r="BC60" s="179"/>
      <c r="BD60" s="179"/>
      <c r="BE60" s="179"/>
      <c r="BF60" s="179"/>
      <c r="BG60" s="118">
        <f t="shared" si="34"/>
        <v>3</v>
      </c>
      <c r="BH60" s="122">
        <f t="shared" si="35"/>
        <v>100</v>
      </c>
      <c r="BI60" s="176"/>
      <c r="BJ60" s="179"/>
      <c r="BK60" s="179"/>
      <c r="BL60" s="179"/>
      <c r="BM60" s="179"/>
      <c r="BN60" s="179"/>
      <c r="BO60" s="179"/>
      <c r="BP60" s="179"/>
      <c r="BQ60" s="179"/>
      <c r="BR60" s="179"/>
      <c r="BS60" s="184">
        <v>1.0</v>
      </c>
      <c r="BT60" s="179"/>
      <c r="BU60" s="185"/>
      <c r="BV60" s="179"/>
      <c r="BW60" s="186"/>
      <c r="BX60" s="200">
        <v>1.0</v>
      </c>
      <c r="BY60" s="186"/>
      <c r="BZ60" s="186"/>
      <c r="CA60" s="186"/>
      <c r="CB60" s="186"/>
      <c r="CC60" s="200">
        <v>1.0</v>
      </c>
      <c r="CD60" s="186"/>
      <c r="CE60" s="172">
        <f t="shared" si="36"/>
        <v>3</v>
      </c>
      <c r="CF60" s="173">
        <f t="shared" si="37"/>
        <v>150</v>
      </c>
      <c r="CG60" s="199"/>
      <c r="CH60" s="186"/>
      <c r="CI60" s="186"/>
      <c r="CJ60" s="186"/>
      <c r="CK60" s="186"/>
      <c r="CL60" s="186"/>
      <c r="CM60" s="186"/>
      <c r="CN60" s="186"/>
      <c r="CO60" s="186"/>
      <c r="CP60" s="186"/>
      <c r="CQ60" s="186"/>
      <c r="CR60" s="186"/>
      <c r="CS60" s="175">
        <f t="shared" si="38"/>
        <v>0</v>
      </c>
      <c r="CT60" s="158">
        <f t="shared" si="39"/>
        <v>0</v>
      </c>
    </row>
    <row r="61" ht="15.75" customHeight="1">
      <c r="A61" s="146">
        <v>51.0</v>
      </c>
      <c r="B61" s="111" t="s">
        <v>153</v>
      </c>
      <c r="C61" s="112" t="s">
        <v>154</v>
      </c>
      <c r="D61" s="250">
        <f t="shared" si="6"/>
        <v>3</v>
      </c>
      <c r="E61" s="113">
        <f t="shared" si="27"/>
        <v>30</v>
      </c>
      <c r="F61" s="114">
        <f t="shared" si="28"/>
        <v>30</v>
      </c>
      <c r="G61" s="202" t="str">
        <f t="shared" si="29"/>
        <v>  </v>
      </c>
      <c r="H61" s="183"/>
      <c r="I61" s="228"/>
      <c r="J61" s="179"/>
      <c r="K61" s="179"/>
      <c r="L61" s="179"/>
      <c r="M61" s="118">
        <f t="shared" si="30"/>
        <v>0</v>
      </c>
      <c r="N61" s="119" t="str">
        <f t="shared" si="31"/>
        <v>#DIV/0!</v>
      </c>
      <c r="O61" s="176"/>
      <c r="P61" s="179"/>
      <c r="Q61" s="179"/>
      <c r="R61" s="179"/>
      <c r="S61" s="179"/>
      <c r="T61" s="179"/>
      <c r="U61" s="179"/>
      <c r="V61" s="179"/>
      <c r="W61" s="179"/>
      <c r="X61" s="179"/>
      <c r="Y61" s="179"/>
      <c r="Z61" s="179"/>
      <c r="AA61" s="179"/>
      <c r="AB61" s="179"/>
      <c r="AC61" s="179"/>
      <c r="AD61" s="179"/>
      <c r="AE61" s="179"/>
      <c r="AF61" s="176"/>
      <c r="AG61" s="176"/>
      <c r="AH61" s="176"/>
      <c r="AI61" s="176"/>
      <c r="AJ61" s="251">
        <f t="shared" si="32"/>
        <v>0</v>
      </c>
      <c r="AK61" s="169">
        <f t="shared" si="33"/>
        <v>0</v>
      </c>
      <c r="AL61" s="183"/>
      <c r="AM61" s="179"/>
      <c r="AN61" s="179"/>
      <c r="AO61" s="179"/>
      <c r="AP61" s="179"/>
      <c r="AQ61" s="179"/>
      <c r="AR61" s="179"/>
      <c r="AS61" s="179"/>
      <c r="AT61" s="179"/>
      <c r="AU61" s="179"/>
      <c r="AV61" s="179"/>
      <c r="AW61" s="179"/>
      <c r="AX61" s="179"/>
      <c r="AY61" s="179"/>
      <c r="AZ61" s="179"/>
      <c r="BA61" s="179"/>
      <c r="BB61" s="179"/>
      <c r="BC61" s="179"/>
      <c r="BD61" s="179"/>
      <c r="BE61" s="179"/>
      <c r="BF61" s="179"/>
      <c r="BG61" s="118">
        <f t="shared" si="34"/>
        <v>0</v>
      </c>
      <c r="BH61" s="122">
        <f t="shared" si="35"/>
        <v>0</v>
      </c>
      <c r="BI61" s="182">
        <v>1.0</v>
      </c>
      <c r="BJ61" s="179"/>
      <c r="BK61" s="179"/>
      <c r="BL61" s="179"/>
      <c r="BM61" s="179"/>
      <c r="BN61" s="179"/>
      <c r="BO61" s="179"/>
      <c r="BP61" s="179"/>
      <c r="BQ61" s="179"/>
      <c r="BR61" s="179"/>
      <c r="BS61" s="179"/>
      <c r="BT61" s="179"/>
      <c r="BU61" s="185"/>
      <c r="BV61" s="179"/>
      <c r="BW61" s="186"/>
      <c r="BX61" s="200">
        <v>1.0</v>
      </c>
      <c r="BY61" s="186"/>
      <c r="BZ61" s="186"/>
      <c r="CA61" s="186"/>
      <c r="CB61" s="186"/>
      <c r="CC61" s="200">
        <v>1.0</v>
      </c>
      <c r="CD61" s="186"/>
      <c r="CE61" s="172">
        <f t="shared" si="36"/>
        <v>3</v>
      </c>
      <c r="CF61" s="173">
        <f t="shared" si="37"/>
        <v>150</v>
      </c>
      <c r="CG61" s="199"/>
      <c r="CH61" s="186"/>
      <c r="CI61" s="186"/>
      <c r="CJ61" s="186"/>
      <c r="CK61" s="186"/>
      <c r="CL61" s="186"/>
      <c r="CM61" s="186"/>
      <c r="CN61" s="186"/>
      <c r="CO61" s="186"/>
      <c r="CP61" s="186"/>
      <c r="CQ61" s="186"/>
      <c r="CR61" s="186"/>
      <c r="CS61" s="175">
        <f t="shared" si="38"/>
        <v>0</v>
      </c>
      <c r="CT61" s="158">
        <f t="shared" si="39"/>
        <v>0</v>
      </c>
    </row>
    <row r="62" ht="15.75" customHeight="1">
      <c r="A62" s="146">
        <v>52.0</v>
      </c>
      <c r="B62" s="111" t="s">
        <v>155</v>
      </c>
      <c r="C62" s="112" t="s">
        <v>156</v>
      </c>
      <c r="D62" s="250">
        <f t="shared" si="6"/>
        <v>2</v>
      </c>
      <c r="E62" s="113">
        <f t="shared" si="27"/>
        <v>20</v>
      </c>
      <c r="F62" s="114">
        <f t="shared" si="28"/>
        <v>20</v>
      </c>
      <c r="G62" s="202">
        <f t="shared" si="29"/>
        <v>20</v>
      </c>
      <c r="H62" s="183"/>
      <c r="I62" s="207"/>
      <c r="J62" s="207"/>
      <c r="K62" s="179"/>
      <c r="L62" s="179"/>
      <c r="M62" s="118">
        <f t="shared" si="30"/>
        <v>0</v>
      </c>
      <c r="N62" s="119" t="str">
        <f t="shared" si="31"/>
        <v>#DIV/0!</v>
      </c>
      <c r="O62" s="176"/>
      <c r="P62" s="179"/>
      <c r="Q62" s="179"/>
      <c r="R62" s="179"/>
      <c r="S62" s="179"/>
      <c r="T62" s="179"/>
      <c r="U62" s="179"/>
      <c r="V62" s="179"/>
      <c r="W62" s="179"/>
      <c r="X62" s="179"/>
      <c r="Y62" s="179"/>
      <c r="Z62" s="179"/>
      <c r="AA62" s="179"/>
      <c r="AB62" s="179"/>
      <c r="AC62" s="179"/>
      <c r="AD62" s="179"/>
      <c r="AE62" s="179"/>
      <c r="AF62" s="176"/>
      <c r="AG62" s="176"/>
      <c r="AH62" s="176"/>
      <c r="AI62" s="176"/>
      <c r="AJ62" s="251">
        <f t="shared" si="32"/>
        <v>0</v>
      </c>
      <c r="AK62" s="169">
        <f t="shared" si="33"/>
        <v>0</v>
      </c>
      <c r="AL62" s="183"/>
      <c r="AM62" s="184">
        <v>1.0</v>
      </c>
      <c r="AN62" s="179"/>
      <c r="AO62" s="179"/>
      <c r="AP62" s="179"/>
      <c r="AQ62" s="179"/>
      <c r="AR62" s="179"/>
      <c r="AS62" s="179"/>
      <c r="AT62" s="179"/>
      <c r="AU62" s="179"/>
      <c r="AV62" s="179"/>
      <c r="AW62" s="179"/>
      <c r="AX62" s="179"/>
      <c r="AY62" s="179"/>
      <c r="AZ62" s="179"/>
      <c r="BA62" s="179"/>
      <c r="BB62" s="179"/>
      <c r="BC62" s="179"/>
      <c r="BD62" s="179"/>
      <c r="BE62" s="179"/>
      <c r="BF62" s="179"/>
      <c r="BG62" s="118">
        <f t="shared" si="34"/>
        <v>1</v>
      </c>
      <c r="BH62" s="122">
        <f t="shared" si="35"/>
        <v>33.33333333</v>
      </c>
      <c r="BI62" s="176"/>
      <c r="BJ62" s="179"/>
      <c r="BK62" s="179"/>
      <c r="BL62" s="179"/>
      <c r="BM62" s="179"/>
      <c r="BN62" s="179"/>
      <c r="BO62" s="179"/>
      <c r="BP62" s="179"/>
      <c r="BQ62" s="179"/>
      <c r="BR62" s="179"/>
      <c r="BS62" s="179"/>
      <c r="BT62" s="179"/>
      <c r="BU62" s="185"/>
      <c r="BV62" s="179"/>
      <c r="BW62" s="186"/>
      <c r="BX62" s="186"/>
      <c r="BY62" s="186"/>
      <c r="BZ62" s="186"/>
      <c r="CA62" s="186"/>
      <c r="CB62" s="186"/>
      <c r="CC62" s="200">
        <v>1.0</v>
      </c>
      <c r="CD62" s="186"/>
      <c r="CE62" s="172">
        <f t="shared" si="36"/>
        <v>1</v>
      </c>
      <c r="CF62" s="173">
        <f t="shared" si="37"/>
        <v>50</v>
      </c>
      <c r="CG62" s="199"/>
      <c r="CH62" s="186"/>
      <c r="CI62" s="186"/>
      <c r="CJ62" s="186"/>
      <c r="CK62" s="186"/>
      <c r="CL62" s="186"/>
      <c r="CM62" s="186"/>
      <c r="CN62" s="186"/>
      <c r="CO62" s="186"/>
      <c r="CP62" s="186"/>
      <c r="CQ62" s="186"/>
      <c r="CR62" s="186"/>
      <c r="CS62" s="175">
        <f t="shared" si="38"/>
        <v>0</v>
      </c>
      <c r="CT62" s="158">
        <f t="shared" si="39"/>
        <v>0</v>
      </c>
    </row>
    <row r="63" ht="15.75" customHeight="1">
      <c r="A63" s="131">
        <v>53.0</v>
      </c>
      <c r="B63" s="111" t="s">
        <v>157</v>
      </c>
      <c r="C63" s="112" t="s">
        <v>158</v>
      </c>
      <c r="D63" s="250">
        <f t="shared" si="6"/>
        <v>7</v>
      </c>
      <c r="E63" s="113">
        <f t="shared" si="27"/>
        <v>70</v>
      </c>
      <c r="F63" s="114" t="str">
        <f t="shared" si="28"/>
        <v>  </v>
      </c>
      <c r="G63" s="202" t="str">
        <f t="shared" si="29"/>
        <v>  </v>
      </c>
      <c r="H63" s="183"/>
      <c r="I63" s="179"/>
      <c r="J63" s="179"/>
      <c r="K63" s="179"/>
      <c r="L63" s="179"/>
      <c r="M63" s="118">
        <f t="shared" si="30"/>
        <v>0</v>
      </c>
      <c r="N63" s="119" t="str">
        <f t="shared" si="31"/>
        <v>#DIV/0!</v>
      </c>
      <c r="O63" s="176"/>
      <c r="P63" s="179"/>
      <c r="Q63" s="179"/>
      <c r="R63" s="179"/>
      <c r="S63" s="179"/>
      <c r="T63" s="179"/>
      <c r="U63" s="179"/>
      <c r="V63" s="179"/>
      <c r="W63" s="179"/>
      <c r="X63" s="179"/>
      <c r="Y63" s="179"/>
      <c r="Z63" s="179"/>
      <c r="AA63" s="184">
        <v>1.0</v>
      </c>
      <c r="AB63" s="179"/>
      <c r="AC63" s="179"/>
      <c r="AD63" s="179"/>
      <c r="AE63" s="179"/>
      <c r="AF63" s="176"/>
      <c r="AG63" s="176"/>
      <c r="AH63" s="176"/>
      <c r="AI63" s="176"/>
      <c r="AJ63" s="251">
        <f t="shared" si="32"/>
        <v>1</v>
      </c>
      <c r="AK63" s="169">
        <f t="shared" si="33"/>
        <v>33.33333333</v>
      </c>
      <c r="AL63" s="183"/>
      <c r="AM63" s="184">
        <v>1.0</v>
      </c>
      <c r="AN63" s="179"/>
      <c r="AO63" s="179"/>
      <c r="AP63" s="179"/>
      <c r="AQ63" s="179"/>
      <c r="AR63" s="184">
        <v>1.0</v>
      </c>
      <c r="AS63" s="179"/>
      <c r="AT63" s="179"/>
      <c r="AU63" s="179"/>
      <c r="AV63" s="179"/>
      <c r="AW63" s="179"/>
      <c r="AX63" s="179"/>
      <c r="AY63" s="179"/>
      <c r="AZ63" s="179"/>
      <c r="BA63" s="179"/>
      <c r="BB63" s="179"/>
      <c r="BC63" s="179"/>
      <c r="BD63" s="179"/>
      <c r="BE63" s="179"/>
      <c r="BF63" s="179"/>
      <c r="BG63" s="118">
        <f t="shared" si="34"/>
        <v>2</v>
      </c>
      <c r="BH63" s="122">
        <f t="shared" si="35"/>
        <v>66.66666667</v>
      </c>
      <c r="BI63" s="182">
        <v>1.0</v>
      </c>
      <c r="BJ63" s="179"/>
      <c r="BK63" s="179"/>
      <c r="BL63" s="179"/>
      <c r="BM63" s="179"/>
      <c r="BN63" s="179"/>
      <c r="BO63" s="179"/>
      <c r="BP63" s="179"/>
      <c r="BQ63" s="179"/>
      <c r="BR63" s="179"/>
      <c r="BS63" s="184">
        <v>1.0</v>
      </c>
      <c r="BT63" s="179"/>
      <c r="BU63" s="198"/>
      <c r="BV63" s="179"/>
      <c r="BW63" s="186"/>
      <c r="BX63" s="200">
        <v>1.0</v>
      </c>
      <c r="BY63" s="186"/>
      <c r="BZ63" s="186"/>
      <c r="CA63" s="186"/>
      <c r="CB63" s="186"/>
      <c r="CC63" s="200">
        <v>1.0</v>
      </c>
      <c r="CD63" s="186"/>
      <c r="CE63" s="172">
        <f t="shared" si="36"/>
        <v>4</v>
      </c>
      <c r="CF63" s="173">
        <f t="shared" si="37"/>
        <v>200</v>
      </c>
      <c r="CG63" s="199"/>
      <c r="CH63" s="186"/>
      <c r="CI63" s="186"/>
      <c r="CJ63" s="186"/>
      <c r="CK63" s="186"/>
      <c r="CL63" s="186"/>
      <c r="CM63" s="186"/>
      <c r="CN63" s="186"/>
      <c r="CO63" s="186"/>
      <c r="CP63" s="186"/>
      <c r="CQ63" s="186"/>
      <c r="CR63" s="186"/>
      <c r="CS63" s="175">
        <f t="shared" si="38"/>
        <v>0</v>
      </c>
      <c r="CT63" s="158">
        <f t="shared" si="39"/>
        <v>0</v>
      </c>
    </row>
    <row r="64" ht="15.75" customHeight="1">
      <c r="A64" s="146">
        <v>54.0</v>
      </c>
      <c r="B64" s="111" t="s">
        <v>159</v>
      </c>
      <c r="C64" s="112" t="s">
        <v>160</v>
      </c>
      <c r="D64" s="250">
        <f t="shared" si="6"/>
        <v>7</v>
      </c>
      <c r="E64" s="113">
        <f t="shared" si="27"/>
        <v>70</v>
      </c>
      <c r="F64" s="114" t="str">
        <f t="shared" si="28"/>
        <v>  </v>
      </c>
      <c r="G64" s="164" t="str">
        <f t="shared" si="29"/>
        <v>  </v>
      </c>
      <c r="H64" s="183"/>
      <c r="I64" s="186"/>
      <c r="J64" s="207"/>
      <c r="K64" s="179"/>
      <c r="L64" s="179"/>
      <c r="M64" s="118">
        <f t="shared" si="30"/>
        <v>0</v>
      </c>
      <c r="N64" s="119" t="str">
        <f t="shared" si="31"/>
        <v>#DIV/0!</v>
      </c>
      <c r="O64" s="195"/>
      <c r="P64" s="186"/>
      <c r="Q64" s="186"/>
      <c r="R64" s="186"/>
      <c r="S64" s="186"/>
      <c r="T64" s="186"/>
      <c r="U64" s="186"/>
      <c r="V64" s="186"/>
      <c r="W64" s="200">
        <v>1.0</v>
      </c>
      <c r="X64" s="186"/>
      <c r="Y64" s="186"/>
      <c r="Z64" s="186"/>
      <c r="AA64" s="200">
        <v>1.0</v>
      </c>
      <c r="AB64" s="186"/>
      <c r="AC64" s="186"/>
      <c r="AD64" s="186"/>
      <c r="AE64" s="186"/>
      <c r="AF64" s="197">
        <v>1.0</v>
      </c>
      <c r="AG64" s="195"/>
      <c r="AH64" s="195"/>
      <c r="AI64" s="195"/>
      <c r="AJ64" s="251">
        <f t="shared" si="32"/>
        <v>3</v>
      </c>
      <c r="AK64" s="169">
        <f t="shared" si="33"/>
        <v>100</v>
      </c>
      <c r="AL64" s="199"/>
      <c r="AM64" s="200">
        <v>1.0</v>
      </c>
      <c r="AN64" s="186"/>
      <c r="AO64" s="186"/>
      <c r="AP64" s="186"/>
      <c r="AQ64" s="186"/>
      <c r="AR64" s="186"/>
      <c r="AS64" s="186"/>
      <c r="AT64" s="186"/>
      <c r="AU64" s="186"/>
      <c r="AV64" s="186"/>
      <c r="AW64" s="186"/>
      <c r="AX64" s="186"/>
      <c r="AY64" s="186"/>
      <c r="AZ64" s="186"/>
      <c r="BA64" s="186"/>
      <c r="BB64" s="200">
        <v>1.0</v>
      </c>
      <c r="BC64" s="186"/>
      <c r="BD64" s="186"/>
      <c r="BE64" s="186"/>
      <c r="BF64" s="186"/>
      <c r="BG64" s="118">
        <f t="shared" si="34"/>
        <v>2</v>
      </c>
      <c r="BH64" s="122">
        <f t="shared" si="35"/>
        <v>66.66666667</v>
      </c>
      <c r="BI64" s="195"/>
      <c r="BJ64" s="186"/>
      <c r="BK64" s="186"/>
      <c r="BL64" s="186"/>
      <c r="BM64" s="186"/>
      <c r="BN64" s="186"/>
      <c r="BO64" s="186"/>
      <c r="BP64" s="186"/>
      <c r="BQ64" s="186"/>
      <c r="BR64" s="186"/>
      <c r="BS64" s="200">
        <v>1.0</v>
      </c>
      <c r="BT64" s="186"/>
      <c r="BU64" s="198"/>
      <c r="BV64" s="186"/>
      <c r="BW64" s="186"/>
      <c r="BX64" s="200">
        <v>1.0</v>
      </c>
      <c r="BY64" s="186"/>
      <c r="BZ64" s="186"/>
      <c r="CA64" s="186"/>
      <c r="CB64" s="186"/>
      <c r="CC64" s="200"/>
      <c r="CD64" s="186"/>
      <c r="CE64" s="172">
        <f t="shared" si="36"/>
        <v>2</v>
      </c>
      <c r="CF64" s="173">
        <f t="shared" si="37"/>
        <v>100</v>
      </c>
      <c r="CG64" s="199"/>
      <c r="CH64" s="186"/>
      <c r="CI64" s="186"/>
      <c r="CJ64" s="186"/>
      <c r="CK64" s="186"/>
      <c r="CL64" s="186"/>
      <c r="CM64" s="186"/>
      <c r="CN64" s="186"/>
      <c r="CO64" s="186"/>
      <c r="CP64" s="186"/>
      <c r="CQ64" s="186"/>
      <c r="CR64" s="186"/>
      <c r="CS64" s="175">
        <f t="shared" si="38"/>
        <v>0</v>
      </c>
      <c r="CT64" s="158">
        <f t="shared" si="39"/>
        <v>0</v>
      </c>
    </row>
    <row r="65" ht="15.75" customHeight="1">
      <c r="A65" s="146">
        <v>55.0</v>
      </c>
      <c r="B65" s="111" t="s">
        <v>161</v>
      </c>
      <c r="C65" s="112" t="s">
        <v>162</v>
      </c>
      <c r="D65" s="250">
        <f t="shared" si="6"/>
        <v>6</v>
      </c>
      <c r="E65" s="113">
        <f t="shared" si="27"/>
        <v>60</v>
      </c>
      <c r="F65" s="114" t="str">
        <f t="shared" si="28"/>
        <v>  </v>
      </c>
      <c r="G65" s="202" t="str">
        <f t="shared" si="29"/>
        <v>  </v>
      </c>
      <c r="H65" s="183"/>
      <c r="I65" s="186"/>
      <c r="J65" s="186"/>
      <c r="K65" s="179"/>
      <c r="L65" s="179"/>
      <c r="M65" s="118">
        <f t="shared" si="30"/>
        <v>0</v>
      </c>
      <c r="N65" s="119" t="str">
        <f t="shared" si="31"/>
        <v>#DIV/0!</v>
      </c>
      <c r="O65" s="195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  <c r="AA65" s="186"/>
      <c r="AB65" s="186"/>
      <c r="AC65" s="186"/>
      <c r="AD65" s="186"/>
      <c r="AE65" s="186"/>
      <c r="AF65" s="197">
        <v>1.0</v>
      </c>
      <c r="AG65" s="195"/>
      <c r="AH65" s="195"/>
      <c r="AI65" s="195"/>
      <c r="AJ65" s="251">
        <f t="shared" si="32"/>
        <v>1</v>
      </c>
      <c r="AK65" s="169">
        <f t="shared" si="33"/>
        <v>33.33333333</v>
      </c>
      <c r="AL65" s="199"/>
      <c r="AM65" s="186"/>
      <c r="AN65" s="186"/>
      <c r="AO65" s="186"/>
      <c r="AP65" s="186"/>
      <c r="AQ65" s="186"/>
      <c r="AR65" s="200">
        <v>1.0</v>
      </c>
      <c r="AS65" s="186"/>
      <c r="AT65" s="186"/>
      <c r="AU65" s="186"/>
      <c r="AV65" s="186"/>
      <c r="AW65" s="186"/>
      <c r="AX65" s="186"/>
      <c r="AY65" s="186"/>
      <c r="AZ65" s="186"/>
      <c r="BA65" s="186"/>
      <c r="BB65" s="200">
        <v>1.0</v>
      </c>
      <c r="BC65" s="186"/>
      <c r="BD65" s="186"/>
      <c r="BE65" s="186"/>
      <c r="BF65" s="186"/>
      <c r="BG65" s="118">
        <f t="shared" si="34"/>
        <v>2</v>
      </c>
      <c r="BH65" s="122">
        <f t="shared" si="35"/>
        <v>66.66666667</v>
      </c>
      <c r="BI65" s="195"/>
      <c r="BJ65" s="186"/>
      <c r="BK65" s="186"/>
      <c r="BL65" s="186"/>
      <c r="BM65" s="186"/>
      <c r="BN65" s="186"/>
      <c r="BO65" s="186"/>
      <c r="BP65" s="186"/>
      <c r="BQ65" s="186"/>
      <c r="BR65" s="186"/>
      <c r="BS65" s="200">
        <v>1.0</v>
      </c>
      <c r="BT65" s="186"/>
      <c r="BU65" s="185"/>
      <c r="BV65" s="186"/>
      <c r="BW65" s="186"/>
      <c r="BX65" s="200">
        <v>1.0</v>
      </c>
      <c r="BY65" s="186"/>
      <c r="BZ65" s="186"/>
      <c r="CA65" s="186"/>
      <c r="CB65" s="186"/>
      <c r="CC65" s="200">
        <v>1.0</v>
      </c>
      <c r="CD65" s="186"/>
      <c r="CE65" s="172">
        <f t="shared" si="36"/>
        <v>3</v>
      </c>
      <c r="CF65" s="173">
        <f t="shared" si="37"/>
        <v>150</v>
      </c>
      <c r="CG65" s="199"/>
      <c r="CH65" s="186"/>
      <c r="CI65" s="186"/>
      <c r="CJ65" s="186"/>
      <c r="CK65" s="186"/>
      <c r="CL65" s="186"/>
      <c r="CM65" s="186"/>
      <c r="CN65" s="186"/>
      <c r="CO65" s="186"/>
      <c r="CP65" s="186"/>
      <c r="CQ65" s="186"/>
      <c r="CR65" s="186"/>
      <c r="CS65" s="175">
        <f t="shared" si="38"/>
        <v>0</v>
      </c>
      <c r="CT65" s="158">
        <f t="shared" si="39"/>
        <v>0</v>
      </c>
    </row>
    <row r="66" ht="15.75" customHeight="1">
      <c r="A66" s="131">
        <v>56.0</v>
      </c>
      <c r="B66" s="111" t="s">
        <v>163</v>
      </c>
      <c r="C66" s="112" t="s">
        <v>164</v>
      </c>
      <c r="D66" s="250">
        <f t="shared" si="6"/>
        <v>6</v>
      </c>
      <c r="E66" s="113">
        <f t="shared" si="27"/>
        <v>60</v>
      </c>
      <c r="F66" s="114" t="str">
        <f t="shared" si="28"/>
        <v>  </v>
      </c>
      <c r="G66" s="164" t="str">
        <f t="shared" si="29"/>
        <v>  </v>
      </c>
      <c r="H66" s="183"/>
      <c r="I66" s="207"/>
      <c r="J66" s="207"/>
      <c r="K66" s="179"/>
      <c r="L66" s="179"/>
      <c r="M66" s="118">
        <f t="shared" si="30"/>
        <v>0</v>
      </c>
      <c r="N66" s="119" t="str">
        <f t="shared" si="31"/>
        <v>#DIV/0!</v>
      </c>
      <c r="O66" s="176"/>
      <c r="P66" s="179"/>
      <c r="Q66" s="179"/>
      <c r="R66" s="179"/>
      <c r="S66" s="179"/>
      <c r="T66" s="179"/>
      <c r="U66" s="179"/>
      <c r="V66" s="179"/>
      <c r="W66" s="184">
        <v>1.0</v>
      </c>
      <c r="X66" s="179"/>
      <c r="Y66" s="179"/>
      <c r="Z66" s="179"/>
      <c r="AA66" s="184">
        <v>1.0</v>
      </c>
      <c r="AB66" s="179"/>
      <c r="AC66" s="179"/>
      <c r="AD66" s="179"/>
      <c r="AE66" s="179"/>
      <c r="AF66" s="182">
        <v>1.0</v>
      </c>
      <c r="AG66" s="176"/>
      <c r="AH66" s="176"/>
      <c r="AI66" s="176"/>
      <c r="AJ66" s="251">
        <f t="shared" si="32"/>
        <v>3</v>
      </c>
      <c r="AK66" s="169">
        <f t="shared" si="33"/>
        <v>100</v>
      </c>
      <c r="AL66" s="183"/>
      <c r="AM66" s="184">
        <v>1.0</v>
      </c>
      <c r="AN66" s="179"/>
      <c r="AO66" s="179"/>
      <c r="AP66" s="179"/>
      <c r="AQ66" s="179"/>
      <c r="AR66" s="179"/>
      <c r="AS66" s="179"/>
      <c r="AT66" s="179"/>
      <c r="AU66" s="179"/>
      <c r="AV66" s="179"/>
      <c r="AW66" s="179"/>
      <c r="AX66" s="179"/>
      <c r="AY66" s="179"/>
      <c r="AZ66" s="179"/>
      <c r="BA66" s="179"/>
      <c r="BB66" s="179"/>
      <c r="BC66" s="179"/>
      <c r="BD66" s="179"/>
      <c r="BE66" s="179"/>
      <c r="BF66" s="179"/>
      <c r="BG66" s="118">
        <f t="shared" si="34"/>
        <v>1</v>
      </c>
      <c r="BH66" s="122">
        <f t="shared" si="35"/>
        <v>33.33333333</v>
      </c>
      <c r="BI66" s="182">
        <v>1.0</v>
      </c>
      <c r="BJ66" s="179"/>
      <c r="BK66" s="179"/>
      <c r="BL66" s="179"/>
      <c r="BM66" s="179"/>
      <c r="BN66" s="179"/>
      <c r="BO66" s="179"/>
      <c r="BP66" s="179"/>
      <c r="BQ66" s="179"/>
      <c r="BR66" s="179"/>
      <c r="BS66" s="179"/>
      <c r="BT66" s="179"/>
      <c r="BU66" s="252"/>
      <c r="BV66" s="179"/>
      <c r="BW66" s="186"/>
      <c r="BX66" s="186"/>
      <c r="BY66" s="186"/>
      <c r="BZ66" s="186"/>
      <c r="CA66" s="186"/>
      <c r="CB66" s="186"/>
      <c r="CC66" s="200">
        <v>1.0</v>
      </c>
      <c r="CD66" s="186"/>
      <c r="CE66" s="172">
        <f t="shared" si="36"/>
        <v>2</v>
      </c>
      <c r="CF66" s="173">
        <f t="shared" si="37"/>
        <v>100</v>
      </c>
      <c r="CG66" s="199"/>
      <c r="CH66" s="186"/>
      <c r="CI66" s="186"/>
      <c r="CJ66" s="186"/>
      <c r="CK66" s="186"/>
      <c r="CL66" s="186"/>
      <c r="CM66" s="186"/>
      <c r="CN66" s="186"/>
      <c r="CO66" s="186"/>
      <c r="CP66" s="186"/>
      <c r="CQ66" s="186"/>
      <c r="CR66" s="186"/>
      <c r="CS66" s="175">
        <f t="shared" si="38"/>
        <v>0</v>
      </c>
      <c r="CT66" s="158">
        <f t="shared" si="39"/>
        <v>0</v>
      </c>
    </row>
    <row r="67" ht="15.75" customHeight="1">
      <c r="A67" s="146">
        <v>57.0</v>
      </c>
      <c r="B67" s="111" t="s">
        <v>165</v>
      </c>
      <c r="C67" s="112" t="s">
        <v>166</v>
      </c>
      <c r="D67" s="250">
        <f t="shared" si="6"/>
        <v>9</v>
      </c>
      <c r="E67" s="113">
        <f t="shared" si="27"/>
        <v>90</v>
      </c>
      <c r="F67" s="114" t="str">
        <f t="shared" si="28"/>
        <v>  </v>
      </c>
      <c r="G67" s="202" t="str">
        <f t="shared" si="29"/>
        <v>  </v>
      </c>
      <c r="H67" s="212"/>
      <c r="I67" s="179"/>
      <c r="J67" s="179"/>
      <c r="K67" s="179"/>
      <c r="L67" s="179"/>
      <c r="M67" s="118">
        <f t="shared" si="30"/>
        <v>0</v>
      </c>
      <c r="N67" s="119" t="str">
        <f t="shared" si="31"/>
        <v>#DIV/0!</v>
      </c>
      <c r="O67" s="176"/>
      <c r="P67" s="179"/>
      <c r="Q67" s="179"/>
      <c r="R67" s="179"/>
      <c r="S67" s="179"/>
      <c r="T67" s="179"/>
      <c r="U67" s="179"/>
      <c r="V67" s="179"/>
      <c r="W67" s="184">
        <v>1.0</v>
      </c>
      <c r="X67" s="179"/>
      <c r="Y67" s="179"/>
      <c r="Z67" s="179"/>
      <c r="AA67" s="184">
        <v>1.0</v>
      </c>
      <c r="AB67" s="179"/>
      <c r="AC67" s="179"/>
      <c r="AD67" s="179"/>
      <c r="AE67" s="179"/>
      <c r="AF67" s="182">
        <v>1.0</v>
      </c>
      <c r="AG67" s="176"/>
      <c r="AH67" s="176"/>
      <c r="AI67" s="176"/>
      <c r="AJ67" s="251">
        <f t="shared" si="32"/>
        <v>3</v>
      </c>
      <c r="AK67" s="169">
        <f t="shared" si="33"/>
        <v>100</v>
      </c>
      <c r="AL67" s="183"/>
      <c r="AM67" s="184">
        <v>1.0</v>
      </c>
      <c r="AN67" s="179"/>
      <c r="AO67" s="179"/>
      <c r="AP67" s="179"/>
      <c r="AQ67" s="179"/>
      <c r="AR67" s="184">
        <v>1.0</v>
      </c>
      <c r="AS67" s="179"/>
      <c r="AT67" s="179"/>
      <c r="AU67" s="179"/>
      <c r="AV67" s="179"/>
      <c r="AW67" s="179"/>
      <c r="AX67" s="179"/>
      <c r="AY67" s="179"/>
      <c r="AZ67" s="179"/>
      <c r="BA67" s="179"/>
      <c r="BB67" s="184">
        <v>1.0</v>
      </c>
      <c r="BC67" s="179"/>
      <c r="BD67" s="179"/>
      <c r="BE67" s="179"/>
      <c r="BF67" s="179"/>
      <c r="BG67" s="118">
        <f t="shared" si="34"/>
        <v>3</v>
      </c>
      <c r="BH67" s="122">
        <f t="shared" si="35"/>
        <v>100</v>
      </c>
      <c r="BI67" s="176"/>
      <c r="BJ67" s="179"/>
      <c r="BK67" s="179"/>
      <c r="BL67" s="179"/>
      <c r="BM67" s="179"/>
      <c r="BN67" s="179"/>
      <c r="BO67" s="179"/>
      <c r="BP67" s="179"/>
      <c r="BQ67" s="179"/>
      <c r="BR67" s="179"/>
      <c r="BS67" s="184">
        <v>1.0</v>
      </c>
      <c r="BT67" s="179"/>
      <c r="BU67" s="185"/>
      <c r="BV67" s="179"/>
      <c r="BW67" s="186"/>
      <c r="BX67" s="200">
        <v>1.0</v>
      </c>
      <c r="BY67" s="186"/>
      <c r="BZ67" s="186"/>
      <c r="CA67" s="186"/>
      <c r="CB67" s="186"/>
      <c r="CC67" s="200">
        <v>1.0</v>
      </c>
      <c r="CD67" s="186"/>
      <c r="CE67" s="172">
        <f t="shared" si="36"/>
        <v>3</v>
      </c>
      <c r="CF67" s="173">
        <f t="shared" si="37"/>
        <v>150</v>
      </c>
      <c r="CG67" s="199"/>
      <c r="CH67" s="186"/>
      <c r="CI67" s="186"/>
      <c r="CJ67" s="186"/>
      <c r="CK67" s="186"/>
      <c r="CL67" s="186"/>
      <c r="CM67" s="186"/>
      <c r="CN67" s="186"/>
      <c r="CO67" s="186"/>
      <c r="CP67" s="186"/>
      <c r="CQ67" s="186"/>
      <c r="CR67" s="186"/>
      <c r="CS67" s="175">
        <f t="shared" si="38"/>
        <v>0</v>
      </c>
      <c r="CT67" s="158">
        <f t="shared" si="39"/>
        <v>0</v>
      </c>
    </row>
    <row r="68" ht="15.75" customHeight="1">
      <c r="A68" s="146">
        <v>58.0</v>
      </c>
      <c r="B68" s="111" t="s">
        <v>167</v>
      </c>
      <c r="C68" s="112" t="s">
        <v>168</v>
      </c>
      <c r="D68" s="250">
        <f t="shared" si="6"/>
        <v>8</v>
      </c>
      <c r="E68" s="113">
        <f t="shared" si="27"/>
        <v>80</v>
      </c>
      <c r="F68" s="114" t="str">
        <f t="shared" si="28"/>
        <v>  </v>
      </c>
      <c r="G68" s="202" t="str">
        <f t="shared" si="29"/>
        <v>  </v>
      </c>
      <c r="H68" s="183"/>
      <c r="I68" s="179"/>
      <c r="J68" s="179"/>
      <c r="K68" s="179"/>
      <c r="L68" s="179"/>
      <c r="M68" s="118">
        <f t="shared" si="30"/>
        <v>0</v>
      </c>
      <c r="N68" s="119" t="str">
        <f t="shared" si="31"/>
        <v>#DIV/0!</v>
      </c>
      <c r="O68" s="206"/>
      <c r="P68" s="207"/>
      <c r="Q68" s="207"/>
      <c r="R68" s="207"/>
      <c r="S68" s="207"/>
      <c r="T68" s="207"/>
      <c r="U68" s="207"/>
      <c r="V68" s="207"/>
      <c r="W68" s="207"/>
      <c r="X68" s="207"/>
      <c r="Y68" s="207"/>
      <c r="Z68" s="207"/>
      <c r="AA68" s="234">
        <v>1.0</v>
      </c>
      <c r="AB68" s="207"/>
      <c r="AC68" s="207"/>
      <c r="AD68" s="207"/>
      <c r="AE68" s="207"/>
      <c r="AF68" s="209">
        <v>1.0</v>
      </c>
      <c r="AG68" s="206"/>
      <c r="AH68" s="206"/>
      <c r="AI68" s="206"/>
      <c r="AJ68" s="251">
        <f t="shared" si="32"/>
        <v>2</v>
      </c>
      <c r="AK68" s="169">
        <f t="shared" si="33"/>
        <v>66.66666667</v>
      </c>
      <c r="AL68" s="212"/>
      <c r="AM68" s="234">
        <v>1.0</v>
      </c>
      <c r="AN68" s="207"/>
      <c r="AO68" s="207"/>
      <c r="AP68" s="207"/>
      <c r="AQ68" s="207"/>
      <c r="AR68" s="234">
        <v>1.0</v>
      </c>
      <c r="AS68" s="207"/>
      <c r="AT68" s="207"/>
      <c r="AU68" s="207"/>
      <c r="AV68" s="207"/>
      <c r="AW68" s="207"/>
      <c r="AX68" s="207"/>
      <c r="AY68" s="207"/>
      <c r="AZ68" s="207"/>
      <c r="BA68" s="207"/>
      <c r="BB68" s="234">
        <v>1.0</v>
      </c>
      <c r="BC68" s="207"/>
      <c r="BD68" s="207"/>
      <c r="BE68" s="207"/>
      <c r="BF68" s="207"/>
      <c r="BG68" s="118">
        <f t="shared" si="34"/>
        <v>3</v>
      </c>
      <c r="BH68" s="122">
        <f t="shared" si="35"/>
        <v>100</v>
      </c>
      <c r="BI68" s="209">
        <v>1.0</v>
      </c>
      <c r="BJ68" s="207"/>
      <c r="BK68" s="207"/>
      <c r="BL68" s="207"/>
      <c r="BM68" s="207"/>
      <c r="BN68" s="207"/>
      <c r="BO68" s="207"/>
      <c r="BP68" s="207"/>
      <c r="BQ68" s="207"/>
      <c r="BR68" s="207"/>
      <c r="BS68" s="234">
        <v>1.0</v>
      </c>
      <c r="BT68" s="207"/>
      <c r="BU68" s="185"/>
      <c r="BV68" s="207"/>
      <c r="BW68" s="186"/>
      <c r="BX68" s="186"/>
      <c r="BY68" s="186"/>
      <c r="BZ68" s="186"/>
      <c r="CA68" s="186"/>
      <c r="CB68" s="186"/>
      <c r="CC68" s="200">
        <v>1.0</v>
      </c>
      <c r="CD68" s="186"/>
      <c r="CE68" s="172">
        <f t="shared" si="36"/>
        <v>3</v>
      </c>
      <c r="CF68" s="173">
        <f t="shared" si="37"/>
        <v>150</v>
      </c>
      <c r="CG68" s="199"/>
      <c r="CH68" s="186"/>
      <c r="CI68" s="186"/>
      <c r="CJ68" s="186"/>
      <c r="CK68" s="186"/>
      <c r="CL68" s="186"/>
      <c r="CM68" s="43"/>
      <c r="CN68" s="186"/>
      <c r="CO68" s="186"/>
      <c r="CP68" s="186"/>
      <c r="CQ68" s="186"/>
      <c r="CR68" s="186"/>
      <c r="CS68" s="175">
        <f t="shared" si="38"/>
        <v>0</v>
      </c>
      <c r="CT68" s="158">
        <f t="shared" si="39"/>
        <v>0</v>
      </c>
    </row>
    <row r="69" ht="15.75" customHeight="1">
      <c r="A69" s="131">
        <v>59.0</v>
      </c>
      <c r="B69" s="111" t="s">
        <v>169</v>
      </c>
      <c r="C69" s="112" t="s">
        <v>170</v>
      </c>
      <c r="D69" s="250">
        <f t="shared" si="6"/>
        <v>6</v>
      </c>
      <c r="E69" s="113">
        <f t="shared" si="27"/>
        <v>60</v>
      </c>
      <c r="F69" s="114" t="str">
        <f t="shared" si="28"/>
        <v>  </v>
      </c>
      <c r="G69" s="202" t="str">
        <f t="shared" si="29"/>
        <v>  </v>
      </c>
      <c r="H69" s="183"/>
      <c r="I69" s="179"/>
      <c r="J69" s="179"/>
      <c r="K69" s="179"/>
      <c r="L69" s="179"/>
      <c r="M69" s="118">
        <f t="shared" si="30"/>
        <v>0</v>
      </c>
      <c r="N69" s="119" t="str">
        <f t="shared" si="31"/>
        <v>#DIV/0!</v>
      </c>
      <c r="O69" s="176"/>
      <c r="P69" s="179"/>
      <c r="Q69" s="179"/>
      <c r="R69" s="179"/>
      <c r="S69" s="179"/>
      <c r="T69" s="179"/>
      <c r="U69" s="179"/>
      <c r="V69" s="179"/>
      <c r="W69" s="179"/>
      <c r="X69" s="179"/>
      <c r="Y69" s="179"/>
      <c r="Z69" s="179"/>
      <c r="AA69" s="179"/>
      <c r="AB69" s="179"/>
      <c r="AC69" s="179"/>
      <c r="AD69" s="179"/>
      <c r="AE69" s="179"/>
      <c r="AF69" s="182">
        <v>1.0</v>
      </c>
      <c r="AG69" s="176"/>
      <c r="AH69" s="176"/>
      <c r="AI69" s="176"/>
      <c r="AJ69" s="251">
        <f t="shared" si="32"/>
        <v>1</v>
      </c>
      <c r="AK69" s="169">
        <f t="shared" si="33"/>
        <v>33.33333333</v>
      </c>
      <c r="AL69" s="183"/>
      <c r="AM69" s="184">
        <v>1.0</v>
      </c>
      <c r="AN69" s="179"/>
      <c r="AO69" s="179"/>
      <c r="AP69" s="179"/>
      <c r="AQ69" s="179"/>
      <c r="AR69" s="179"/>
      <c r="AS69" s="179"/>
      <c r="AT69" s="179"/>
      <c r="AU69" s="179"/>
      <c r="AV69" s="179"/>
      <c r="AW69" s="179"/>
      <c r="AX69" s="179"/>
      <c r="AY69" s="179"/>
      <c r="AZ69" s="179"/>
      <c r="BA69" s="179"/>
      <c r="BB69" s="184">
        <v>1.0</v>
      </c>
      <c r="BC69" s="179"/>
      <c r="BD69" s="179"/>
      <c r="BE69" s="179"/>
      <c r="BF69" s="179"/>
      <c r="BG69" s="118">
        <f t="shared" si="34"/>
        <v>2</v>
      </c>
      <c r="BH69" s="122">
        <f t="shared" si="35"/>
        <v>66.66666667</v>
      </c>
      <c r="BI69" s="182">
        <v>1.0</v>
      </c>
      <c r="BJ69" s="179"/>
      <c r="BK69" s="179"/>
      <c r="BL69" s="179"/>
      <c r="BM69" s="179"/>
      <c r="BN69" s="179"/>
      <c r="BO69" s="179"/>
      <c r="BP69" s="179"/>
      <c r="BQ69" s="179"/>
      <c r="BR69" s="179"/>
      <c r="BS69" s="184">
        <v>1.0</v>
      </c>
      <c r="BT69" s="179"/>
      <c r="BU69" s="185"/>
      <c r="BV69" s="179"/>
      <c r="BW69" s="186"/>
      <c r="BX69" s="186"/>
      <c r="BY69" s="186"/>
      <c r="BZ69" s="186"/>
      <c r="CA69" s="186"/>
      <c r="CB69" s="186"/>
      <c r="CC69" s="200">
        <v>1.0</v>
      </c>
      <c r="CD69" s="186"/>
      <c r="CE69" s="172">
        <f t="shared" si="36"/>
        <v>3</v>
      </c>
      <c r="CF69" s="173">
        <f t="shared" si="37"/>
        <v>150</v>
      </c>
      <c r="CG69" s="199"/>
      <c r="CH69" s="186"/>
      <c r="CI69" s="186"/>
      <c r="CJ69" s="186"/>
      <c r="CK69" s="186"/>
      <c r="CL69" s="186"/>
      <c r="CM69" s="186"/>
      <c r="CN69" s="186"/>
      <c r="CO69" s="186"/>
      <c r="CP69" s="186"/>
      <c r="CQ69" s="186"/>
      <c r="CR69" s="186"/>
      <c r="CS69" s="175">
        <f t="shared" si="38"/>
        <v>0</v>
      </c>
      <c r="CT69" s="158">
        <f t="shared" si="39"/>
        <v>0</v>
      </c>
    </row>
    <row r="70" ht="15.75" customHeight="1">
      <c r="A70" s="146">
        <v>60.0</v>
      </c>
      <c r="B70" s="111" t="s">
        <v>171</v>
      </c>
      <c r="C70" s="112" t="s">
        <v>172</v>
      </c>
      <c r="D70" s="250">
        <f t="shared" si="6"/>
        <v>6</v>
      </c>
      <c r="E70" s="113">
        <f t="shared" si="27"/>
        <v>60</v>
      </c>
      <c r="F70" s="114" t="str">
        <f t="shared" si="28"/>
        <v>  </v>
      </c>
      <c r="G70" s="202" t="str">
        <f t="shared" si="29"/>
        <v>  </v>
      </c>
      <c r="H70" s="183"/>
      <c r="I70" s="179"/>
      <c r="J70" s="186"/>
      <c r="K70" s="179"/>
      <c r="L70" s="179"/>
      <c r="M70" s="118">
        <f t="shared" si="30"/>
        <v>0</v>
      </c>
      <c r="N70" s="119" t="str">
        <f t="shared" si="31"/>
        <v>#DIV/0!</v>
      </c>
      <c r="O70" s="176"/>
      <c r="P70" s="179"/>
      <c r="Q70" s="179"/>
      <c r="R70" s="179"/>
      <c r="S70" s="179"/>
      <c r="T70" s="179"/>
      <c r="U70" s="179"/>
      <c r="V70" s="179"/>
      <c r="W70" s="184">
        <v>1.0</v>
      </c>
      <c r="X70" s="179"/>
      <c r="Y70" s="179"/>
      <c r="Z70" s="179"/>
      <c r="AA70" s="184">
        <v>1.0</v>
      </c>
      <c r="AB70" s="179"/>
      <c r="AC70" s="179"/>
      <c r="AD70" s="179"/>
      <c r="AE70" s="179"/>
      <c r="AF70" s="182">
        <v>1.0</v>
      </c>
      <c r="AG70" s="176"/>
      <c r="AH70" s="176"/>
      <c r="AI70" s="176"/>
      <c r="AJ70" s="251">
        <f t="shared" si="32"/>
        <v>3</v>
      </c>
      <c r="AK70" s="169">
        <f t="shared" si="33"/>
        <v>100</v>
      </c>
      <c r="AL70" s="183"/>
      <c r="AM70" s="179"/>
      <c r="AN70" s="179"/>
      <c r="AO70" s="179"/>
      <c r="AP70" s="179"/>
      <c r="AQ70" s="179"/>
      <c r="AR70" s="179"/>
      <c r="AS70" s="179"/>
      <c r="AT70" s="179"/>
      <c r="AU70" s="179"/>
      <c r="AV70" s="179"/>
      <c r="AW70" s="179"/>
      <c r="AX70" s="179"/>
      <c r="AY70" s="179"/>
      <c r="AZ70" s="179"/>
      <c r="BA70" s="179"/>
      <c r="BB70" s="179"/>
      <c r="BC70" s="179"/>
      <c r="BD70" s="179"/>
      <c r="BE70" s="179"/>
      <c r="BF70" s="179"/>
      <c r="BG70" s="118">
        <f t="shared" si="34"/>
        <v>0</v>
      </c>
      <c r="BH70" s="122">
        <f t="shared" si="35"/>
        <v>0</v>
      </c>
      <c r="BI70" s="176"/>
      <c r="BJ70" s="179"/>
      <c r="BK70" s="179"/>
      <c r="BL70" s="179"/>
      <c r="BM70" s="179"/>
      <c r="BN70" s="179"/>
      <c r="BO70" s="179"/>
      <c r="BP70" s="179"/>
      <c r="BQ70" s="179"/>
      <c r="BR70" s="179"/>
      <c r="BS70" s="184">
        <v>1.0</v>
      </c>
      <c r="BT70" s="179"/>
      <c r="BU70" s="185"/>
      <c r="BV70" s="179"/>
      <c r="BW70" s="186"/>
      <c r="BX70" s="200">
        <v>1.0</v>
      </c>
      <c r="BY70" s="186"/>
      <c r="BZ70" s="186"/>
      <c r="CA70" s="186"/>
      <c r="CB70" s="186"/>
      <c r="CC70" s="200">
        <v>1.0</v>
      </c>
      <c r="CD70" s="186"/>
      <c r="CE70" s="172">
        <f t="shared" si="36"/>
        <v>3</v>
      </c>
      <c r="CF70" s="173">
        <f t="shared" si="37"/>
        <v>150</v>
      </c>
      <c r="CG70" s="199"/>
      <c r="CH70" s="186"/>
      <c r="CI70" s="186"/>
      <c r="CJ70" s="186"/>
      <c r="CK70" s="186"/>
      <c r="CL70" s="186"/>
      <c r="CM70" s="186"/>
      <c r="CN70" s="186"/>
      <c r="CO70" s="186"/>
      <c r="CP70" s="186"/>
      <c r="CQ70" s="186"/>
      <c r="CR70" s="186"/>
      <c r="CS70" s="175">
        <f t="shared" si="38"/>
        <v>0</v>
      </c>
      <c r="CT70" s="158">
        <f t="shared" si="39"/>
        <v>0</v>
      </c>
    </row>
    <row r="71" ht="15.75" customHeight="1">
      <c r="A71" s="146">
        <v>61.0</v>
      </c>
      <c r="B71" s="111" t="s">
        <v>173</v>
      </c>
      <c r="C71" s="112" t="s">
        <v>174</v>
      </c>
      <c r="D71" s="250">
        <f t="shared" si="6"/>
        <v>3</v>
      </c>
      <c r="E71" s="113">
        <f t="shared" si="27"/>
        <v>30</v>
      </c>
      <c r="F71" s="114">
        <f t="shared" si="28"/>
        <v>30</v>
      </c>
      <c r="G71" s="164" t="str">
        <f t="shared" si="29"/>
        <v>  </v>
      </c>
      <c r="H71" s="183"/>
      <c r="I71" s="179"/>
      <c r="J71" s="179"/>
      <c r="K71" s="179"/>
      <c r="L71" s="179"/>
      <c r="M71" s="118">
        <f t="shared" si="30"/>
        <v>0</v>
      </c>
      <c r="N71" s="119" t="str">
        <f t="shared" si="31"/>
        <v>#DIV/0!</v>
      </c>
      <c r="O71" s="176"/>
      <c r="P71" s="179"/>
      <c r="Q71" s="179"/>
      <c r="R71" s="179"/>
      <c r="S71" s="179"/>
      <c r="T71" s="179"/>
      <c r="U71" s="179"/>
      <c r="V71" s="179"/>
      <c r="W71" s="179"/>
      <c r="X71" s="179"/>
      <c r="Y71" s="179"/>
      <c r="Z71" s="179"/>
      <c r="AA71" s="179"/>
      <c r="AB71" s="179"/>
      <c r="AC71" s="179"/>
      <c r="AD71" s="179"/>
      <c r="AE71" s="179"/>
      <c r="AF71" s="182">
        <v>1.0</v>
      </c>
      <c r="AG71" s="176"/>
      <c r="AH71" s="176"/>
      <c r="AI71" s="176"/>
      <c r="AJ71" s="251">
        <f t="shared" si="32"/>
        <v>1</v>
      </c>
      <c r="AK71" s="169">
        <f t="shared" si="33"/>
        <v>33.33333333</v>
      </c>
      <c r="AL71" s="183"/>
      <c r="AM71" s="179"/>
      <c r="AN71" s="179"/>
      <c r="AO71" s="179"/>
      <c r="AP71" s="179"/>
      <c r="AQ71" s="179"/>
      <c r="AR71" s="179"/>
      <c r="AS71" s="179"/>
      <c r="AT71" s="179"/>
      <c r="AU71" s="179"/>
      <c r="AV71" s="179"/>
      <c r="AW71" s="179"/>
      <c r="AX71" s="179"/>
      <c r="AY71" s="179"/>
      <c r="AZ71" s="179"/>
      <c r="BA71" s="179"/>
      <c r="BB71" s="179"/>
      <c r="BC71" s="179"/>
      <c r="BD71" s="179"/>
      <c r="BE71" s="179"/>
      <c r="BF71" s="179"/>
      <c r="BG71" s="118">
        <f t="shared" si="34"/>
        <v>0</v>
      </c>
      <c r="BH71" s="122">
        <f t="shared" si="35"/>
        <v>0</v>
      </c>
      <c r="BI71" s="176"/>
      <c r="BJ71" s="179"/>
      <c r="BK71" s="179"/>
      <c r="BL71" s="179"/>
      <c r="BM71" s="179"/>
      <c r="BN71" s="179"/>
      <c r="BO71" s="179"/>
      <c r="BP71" s="179"/>
      <c r="BQ71" s="179"/>
      <c r="BR71" s="179"/>
      <c r="BS71" s="184">
        <v>1.0</v>
      </c>
      <c r="BT71" s="179"/>
      <c r="BU71" s="252"/>
      <c r="BV71" s="179"/>
      <c r="BW71" s="186"/>
      <c r="BX71" s="200">
        <v>1.0</v>
      </c>
      <c r="BY71" s="186"/>
      <c r="BZ71" s="186"/>
      <c r="CA71" s="186"/>
      <c r="CB71" s="186"/>
      <c r="CC71" s="200"/>
      <c r="CD71" s="186"/>
      <c r="CE71" s="172">
        <f t="shared" si="36"/>
        <v>2</v>
      </c>
      <c r="CF71" s="173">
        <f t="shared" si="37"/>
        <v>100</v>
      </c>
      <c r="CG71" s="199"/>
      <c r="CH71" s="186"/>
      <c r="CI71" s="186"/>
      <c r="CJ71" s="186"/>
      <c r="CK71" s="186"/>
      <c r="CL71" s="186"/>
      <c r="CM71" s="186"/>
      <c r="CN71" s="186"/>
      <c r="CO71" s="186"/>
      <c r="CP71" s="186"/>
      <c r="CQ71" s="186"/>
      <c r="CR71" s="186"/>
      <c r="CS71" s="175">
        <f t="shared" si="38"/>
        <v>0</v>
      </c>
      <c r="CT71" s="158">
        <f t="shared" si="39"/>
        <v>0</v>
      </c>
    </row>
    <row r="72" ht="15.75" customHeight="1">
      <c r="A72" s="131">
        <v>62.0</v>
      </c>
      <c r="B72" s="111" t="s">
        <v>175</v>
      </c>
      <c r="C72" s="112" t="s">
        <v>176</v>
      </c>
      <c r="D72" s="250">
        <f t="shared" si="6"/>
        <v>1</v>
      </c>
      <c r="E72" s="113">
        <f t="shared" si="27"/>
        <v>10</v>
      </c>
      <c r="F72" s="114">
        <f t="shared" si="28"/>
        <v>10</v>
      </c>
      <c r="G72" s="202">
        <f t="shared" si="29"/>
        <v>10</v>
      </c>
      <c r="H72" s="183"/>
      <c r="I72" s="179"/>
      <c r="J72" s="179"/>
      <c r="K72" s="179"/>
      <c r="L72" s="179"/>
      <c r="M72" s="118">
        <f t="shared" si="30"/>
        <v>0</v>
      </c>
      <c r="N72" s="119" t="str">
        <f t="shared" si="31"/>
        <v>#DIV/0!</v>
      </c>
      <c r="O72" s="176"/>
      <c r="P72" s="179"/>
      <c r="Q72" s="179"/>
      <c r="R72" s="179"/>
      <c r="S72" s="179"/>
      <c r="T72" s="179"/>
      <c r="U72" s="179"/>
      <c r="V72" s="179"/>
      <c r="W72" s="179"/>
      <c r="X72" s="179"/>
      <c r="Y72" s="179"/>
      <c r="Z72" s="179"/>
      <c r="AA72" s="179"/>
      <c r="AB72" s="179"/>
      <c r="AC72" s="179"/>
      <c r="AD72" s="179"/>
      <c r="AE72" s="179"/>
      <c r="AF72" s="176"/>
      <c r="AG72" s="176"/>
      <c r="AH72" s="176"/>
      <c r="AI72" s="176"/>
      <c r="AJ72" s="251">
        <f t="shared" si="32"/>
        <v>0</v>
      </c>
      <c r="AK72" s="169">
        <f t="shared" si="33"/>
        <v>0</v>
      </c>
      <c r="AL72" s="183"/>
      <c r="AM72" s="179"/>
      <c r="AN72" s="179"/>
      <c r="AO72" s="179"/>
      <c r="AP72" s="179"/>
      <c r="AQ72" s="179"/>
      <c r="AR72" s="179"/>
      <c r="AS72" s="179"/>
      <c r="AT72" s="179"/>
      <c r="AU72" s="179"/>
      <c r="AV72" s="179"/>
      <c r="AW72" s="179"/>
      <c r="AX72" s="179"/>
      <c r="AY72" s="179"/>
      <c r="AZ72" s="179"/>
      <c r="BA72" s="179"/>
      <c r="BB72" s="179"/>
      <c r="BC72" s="179"/>
      <c r="BD72" s="179"/>
      <c r="BE72" s="179"/>
      <c r="BF72" s="179"/>
      <c r="BG72" s="118">
        <f t="shared" si="34"/>
        <v>0</v>
      </c>
      <c r="BH72" s="122">
        <f t="shared" si="35"/>
        <v>0</v>
      </c>
      <c r="BI72" s="176"/>
      <c r="BJ72" s="179"/>
      <c r="BK72" s="179"/>
      <c r="BL72" s="179"/>
      <c r="BM72" s="179"/>
      <c r="BN72" s="179"/>
      <c r="BO72" s="179"/>
      <c r="BP72" s="179"/>
      <c r="BQ72" s="179"/>
      <c r="BR72" s="179"/>
      <c r="BS72" s="184">
        <v>1.0</v>
      </c>
      <c r="BT72" s="179"/>
      <c r="BU72" s="185"/>
      <c r="BV72" s="179"/>
      <c r="BW72" s="186"/>
      <c r="BX72" s="186"/>
      <c r="BY72" s="186"/>
      <c r="BZ72" s="186"/>
      <c r="CA72" s="186"/>
      <c r="CB72" s="186"/>
      <c r="CC72" s="200"/>
      <c r="CD72" s="186"/>
      <c r="CE72" s="172">
        <f t="shared" si="36"/>
        <v>1</v>
      </c>
      <c r="CF72" s="173">
        <f t="shared" si="37"/>
        <v>50</v>
      </c>
      <c r="CG72" s="199"/>
      <c r="CH72" s="186"/>
      <c r="CI72" s="186"/>
      <c r="CJ72" s="186"/>
      <c r="CK72" s="186"/>
      <c r="CL72" s="186"/>
      <c r="CM72" s="186"/>
      <c r="CN72" s="186"/>
      <c r="CO72" s="186"/>
      <c r="CP72" s="186"/>
      <c r="CQ72" s="186"/>
      <c r="CR72" s="186"/>
      <c r="CS72" s="175">
        <f t="shared" si="38"/>
        <v>0</v>
      </c>
      <c r="CT72" s="158">
        <f t="shared" si="39"/>
        <v>0</v>
      </c>
    </row>
    <row r="73" ht="15.75" customHeight="1">
      <c r="A73" s="146">
        <v>63.0</v>
      </c>
      <c r="B73" s="111" t="s">
        <v>177</v>
      </c>
      <c r="C73" s="112" t="s">
        <v>178</v>
      </c>
      <c r="D73" s="250">
        <f t="shared" si="6"/>
        <v>7</v>
      </c>
      <c r="E73" s="113">
        <f t="shared" si="27"/>
        <v>70</v>
      </c>
      <c r="F73" s="114" t="str">
        <f t="shared" si="28"/>
        <v>  </v>
      </c>
      <c r="G73" s="202" t="str">
        <f t="shared" si="29"/>
        <v>  </v>
      </c>
      <c r="H73" s="212"/>
      <c r="I73" s="207"/>
      <c r="J73" s="207"/>
      <c r="K73" s="207"/>
      <c r="L73" s="207"/>
      <c r="M73" s="118">
        <f t="shared" si="30"/>
        <v>0</v>
      </c>
      <c r="N73" s="119" t="str">
        <f t="shared" si="31"/>
        <v>#DIV/0!</v>
      </c>
      <c r="O73" s="206"/>
      <c r="P73" s="207"/>
      <c r="Q73" s="207"/>
      <c r="R73" s="207"/>
      <c r="S73" s="207"/>
      <c r="T73" s="207"/>
      <c r="U73" s="207"/>
      <c r="V73" s="207"/>
      <c r="W73" s="234">
        <v>1.0</v>
      </c>
      <c r="X73" s="207"/>
      <c r="Y73" s="207"/>
      <c r="Z73" s="207"/>
      <c r="AA73" s="234">
        <v>1.0</v>
      </c>
      <c r="AB73" s="207"/>
      <c r="AC73" s="207"/>
      <c r="AD73" s="207"/>
      <c r="AE73" s="207"/>
      <c r="AF73" s="206"/>
      <c r="AG73" s="206"/>
      <c r="AH73" s="206"/>
      <c r="AI73" s="206"/>
      <c r="AJ73" s="251">
        <f t="shared" si="32"/>
        <v>2</v>
      </c>
      <c r="AK73" s="169">
        <f t="shared" si="33"/>
        <v>66.66666667</v>
      </c>
      <c r="AL73" s="212"/>
      <c r="AM73" s="234">
        <v>1.0</v>
      </c>
      <c r="AN73" s="207"/>
      <c r="AO73" s="207"/>
      <c r="AP73" s="207"/>
      <c r="AQ73" s="207"/>
      <c r="AR73" s="207"/>
      <c r="AS73" s="207"/>
      <c r="AT73" s="207"/>
      <c r="AU73" s="207"/>
      <c r="AV73" s="207"/>
      <c r="AW73" s="207"/>
      <c r="AX73" s="207"/>
      <c r="AY73" s="207"/>
      <c r="AZ73" s="207"/>
      <c r="BA73" s="207"/>
      <c r="BB73" s="234">
        <v>1.0</v>
      </c>
      <c r="BC73" s="207"/>
      <c r="BD73" s="207"/>
      <c r="BE73" s="207"/>
      <c r="BF73" s="207"/>
      <c r="BG73" s="118">
        <f t="shared" si="34"/>
        <v>2</v>
      </c>
      <c r="BH73" s="122">
        <f t="shared" si="35"/>
        <v>66.66666667</v>
      </c>
      <c r="BI73" s="206"/>
      <c r="BJ73" s="207"/>
      <c r="BK73" s="207"/>
      <c r="BL73" s="207"/>
      <c r="BM73" s="207"/>
      <c r="BN73" s="207"/>
      <c r="BO73" s="207"/>
      <c r="BP73" s="207"/>
      <c r="BQ73" s="207"/>
      <c r="BR73" s="207"/>
      <c r="BS73" s="234">
        <v>1.0</v>
      </c>
      <c r="BT73" s="207"/>
      <c r="BU73" s="185"/>
      <c r="BV73" s="207"/>
      <c r="BW73" s="186"/>
      <c r="BX73" s="200">
        <v>1.0</v>
      </c>
      <c r="BY73" s="186"/>
      <c r="BZ73" s="186"/>
      <c r="CA73" s="186"/>
      <c r="CB73" s="186"/>
      <c r="CC73" s="200">
        <v>1.0</v>
      </c>
      <c r="CD73" s="186"/>
      <c r="CE73" s="172">
        <f t="shared" si="36"/>
        <v>3</v>
      </c>
      <c r="CF73" s="173">
        <f t="shared" si="37"/>
        <v>150</v>
      </c>
      <c r="CG73" s="199"/>
      <c r="CH73" s="186"/>
      <c r="CI73" s="186"/>
      <c r="CJ73" s="186"/>
      <c r="CK73" s="186"/>
      <c r="CL73" s="186"/>
      <c r="CM73" s="186"/>
      <c r="CN73" s="186"/>
      <c r="CO73" s="186"/>
      <c r="CP73" s="186"/>
      <c r="CQ73" s="186"/>
      <c r="CR73" s="186"/>
      <c r="CS73" s="175">
        <f t="shared" si="38"/>
        <v>0</v>
      </c>
      <c r="CT73" s="158">
        <f t="shared" si="39"/>
        <v>0</v>
      </c>
    </row>
    <row r="74" ht="15.75" customHeight="1">
      <c r="A74" s="146">
        <v>64.0</v>
      </c>
      <c r="B74" s="111" t="s">
        <v>179</v>
      </c>
      <c r="C74" s="112" t="s">
        <v>180</v>
      </c>
      <c r="D74" s="250">
        <f t="shared" si="6"/>
        <v>9</v>
      </c>
      <c r="E74" s="113">
        <f t="shared" si="27"/>
        <v>90</v>
      </c>
      <c r="F74" s="114" t="str">
        <f t="shared" si="28"/>
        <v>  </v>
      </c>
      <c r="G74" s="202" t="str">
        <f t="shared" si="29"/>
        <v>  </v>
      </c>
      <c r="H74" s="183"/>
      <c r="I74" s="179"/>
      <c r="J74" s="179"/>
      <c r="K74" s="179"/>
      <c r="L74" s="179"/>
      <c r="M74" s="118">
        <f t="shared" si="30"/>
        <v>0</v>
      </c>
      <c r="N74" s="119" t="str">
        <f t="shared" si="31"/>
        <v>#DIV/0!</v>
      </c>
      <c r="O74" s="176"/>
      <c r="P74" s="179"/>
      <c r="Q74" s="179"/>
      <c r="R74" s="179"/>
      <c r="S74" s="179"/>
      <c r="T74" s="179"/>
      <c r="U74" s="179"/>
      <c r="V74" s="179"/>
      <c r="W74" s="184">
        <v>1.0</v>
      </c>
      <c r="X74" s="179"/>
      <c r="Y74" s="179"/>
      <c r="Z74" s="179"/>
      <c r="AA74" s="184">
        <v>1.0</v>
      </c>
      <c r="AB74" s="179"/>
      <c r="AC74" s="179"/>
      <c r="AD74" s="179"/>
      <c r="AE74" s="179"/>
      <c r="AF74" s="182">
        <v>1.0</v>
      </c>
      <c r="AG74" s="176"/>
      <c r="AH74" s="176"/>
      <c r="AI74" s="176"/>
      <c r="AJ74" s="251">
        <f t="shared" si="32"/>
        <v>3</v>
      </c>
      <c r="AK74" s="169">
        <f t="shared" si="33"/>
        <v>100</v>
      </c>
      <c r="AL74" s="183"/>
      <c r="AM74" s="184">
        <v>1.0</v>
      </c>
      <c r="AN74" s="179"/>
      <c r="AO74" s="179"/>
      <c r="AP74" s="179"/>
      <c r="AQ74" s="179"/>
      <c r="AR74" s="179"/>
      <c r="AS74" s="179"/>
      <c r="AT74" s="179"/>
      <c r="AU74" s="179"/>
      <c r="AV74" s="179"/>
      <c r="AW74" s="179"/>
      <c r="AX74" s="179"/>
      <c r="AY74" s="179"/>
      <c r="AZ74" s="179"/>
      <c r="BA74" s="179"/>
      <c r="BB74" s="184">
        <v>1.0</v>
      </c>
      <c r="BC74" s="179"/>
      <c r="BD74" s="179"/>
      <c r="BE74" s="179"/>
      <c r="BF74" s="179"/>
      <c r="BG74" s="118">
        <f t="shared" si="34"/>
        <v>2</v>
      </c>
      <c r="BH74" s="122">
        <f t="shared" si="35"/>
        <v>66.66666667</v>
      </c>
      <c r="BI74" s="182">
        <v>1.0</v>
      </c>
      <c r="BJ74" s="179"/>
      <c r="BK74" s="179"/>
      <c r="BL74" s="179"/>
      <c r="BM74" s="179"/>
      <c r="BN74" s="179"/>
      <c r="BO74" s="179"/>
      <c r="BP74" s="179"/>
      <c r="BQ74" s="179"/>
      <c r="BR74" s="179"/>
      <c r="BS74" s="184">
        <v>1.0</v>
      </c>
      <c r="BT74" s="179"/>
      <c r="BU74" s="185"/>
      <c r="BV74" s="179"/>
      <c r="BW74" s="186"/>
      <c r="BX74" s="200">
        <v>1.0</v>
      </c>
      <c r="BY74" s="186"/>
      <c r="BZ74" s="186"/>
      <c r="CA74" s="186"/>
      <c r="CB74" s="186"/>
      <c r="CC74" s="200">
        <v>1.0</v>
      </c>
      <c r="CD74" s="186"/>
      <c r="CE74" s="172">
        <f t="shared" si="36"/>
        <v>4</v>
      </c>
      <c r="CF74" s="173">
        <f t="shared" si="37"/>
        <v>200</v>
      </c>
      <c r="CG74" s="199"/>
      <c r="CH74" s="186"/>
      <c r="CI74" s="186"/>
      <c r="CJ74" s="186"/>
      <c r="CK74" s="186"/>
      <c r="CL74" s="186"/>
      <c r="CM74" s="186"/>
      <c r="CN74" s="186"/>
      <c r="CO74" s="186"/>
      <c r="CP74" s="186"/>
      <c r="CQ74" s="186"/>
      <c r="CR74" s="186"/>
      <c r="CS74" s="175">
        <f t="shared" si="38"/>
        <v>0</v>
      </c>
      <c r="CT74" s="158">
        <f t="shared" si="39"/>
        <v>0</v>
      </c>
    </row>
    <row r="75" ht="15.75" customHeight="1">
      <c r="A75" s="131">
        <v>65.0</v>
      </c>
      <c r="B75" s="111" t="s">
        <v>181</v>
      </c>
      <c r="C75" s="112" t="s">
        <v>182</v>
      </c>
      <c r="D75" s="250">
        <f t="shared" si="6"/>
        <v>8</v>
      </c>
      <c r="E75" s="113">
        <f t="shared" si="27"/>
        <v>80</v>
      </c>
      <c r="F75" s="114" t="str">
        <f t="shared" si="28"/>
        <v>  </v>
      </c>
      <c r="G75" s="164" t="str">
        <f t="shared" si="29"/>
        <v>  </v>
      </c>
      <c r="H75" s="183"/>
      <c r="I75" s="179"/>
      <c r="J75" s="179"/>
      <c r="K75" s="179"/>
      <c r="L75" s="179"/>
      <c r="M75" s="118">
        <f t="shared" si="30"/>
        <v>0</v>
      </c>
      <c r="N75" s="119" t="str">
        <f t="shared" si="31"/>
        <v>#DIV/0!</v>
      </c>
      <c r="O75" s="176"/>
      <c r="P75" s="179"/>
      <c r="Q75" s="179"/>
      <c r="R75" s="179"/>
      <c r="S75" s="179"/>
      <c r="T75" s="179"/>
      <c r="U75" s="179"/>
      <c r="V75" s="179"/>
      <c r="W75" s="184">
        <v>1.0</v>
      </c>
      <c r="X75" s="179"/>
      <c r="Y75" s="179"/>
      <c r="Z75" s="179"/>
      <c r="AA75" s="184">
        <v>1.0</v>
      </c>
      <c r="AB75" s="179"/>
      <c r="AC75" s="179"/>
      <c r="AD75" s="179"/>
      <c r="AE75" s="179"/>
      <c r="AF75" s="182">
        <v>1.0</v>
      </c>
      <c r="AG75" s="176"/>
      <c r="AH75" s="176"/>
      <c r="AI75" s="176"/>
      <c r="AJ75" s="251">
        <f t="shared" si="32"/>
        <v>3</v>
      </c>
      <c r="AK75" s="169">
        <f t="shared" si="33"/>
        <v>100</v>
      </c>
      <c r="AL75" s="183"/>
      <c r="AM75" s="184">
        <v>1.0</v>
      </c>
      <c r="AN75" s="179"/>
      <c r="AO75" s="179"/>
      <c r="AP75" s="179"/>
      <c r="AQ75" s="179"/>
      <c r="AR75" s="184">
        <v>1.0</v>
      </c>
      <c r="AS75" s="179"/>
      <c r="AT75" s="179"/>
      <c r="AU75" s="179"/>
      <c r="AV75" s="179"/>
      <c r="AW75" s="179"/>
      <c r="AX75" s="179"/>
      <c r="AY75" s="179"/>
      <c r="AZ75" s="179"/>
      <c r="BA75" s="179"/>
      <c r="BB75" s="184">
        <v>1.0</v>
      </c>
      <c r="BC75" s="179"/>
      <c r="BD75" s="179"/>
      <c r="BE75" s="179"/>
      <c r="BF75" s="179"/>
      <c r="BG75" s="118">
        <f t="shared" si="34"/>
        <v>3</v>
      </c>
      <c r="BH75" s="122">
        <f t="shared" si="35"/>
        <v>100</v>
      </c>
      <c r="BI75" s="176"/>
      <c r="BJ75" s="179"/>
      <c r="BK75" s="179"/>
      <c r="BL75" s="179"/>
      <c r="BM75" s="179"/>
      <c r="BN75" s="179"/>
      <c r="BO75" s="179"/>
      <c r="BP75" s="179"/>
      <c r="BQ75" s="179"/>
      <c r="BR75" s="179"/>
      <c r="BS75" s="179"/>
      <c r="BT75" s="179"/>
      <c r="BU75" s="185"/>
      <c r="BV75" s="179"/>
      <c r="BW75" s="186"/>
      <c r="BX75" s="200">
        <v>1.0</v>
      </c>
      <c r="BY75" s="186"/>
      <c r="BZ75" s="186"/>
      <c r="CA75" s="186"/>
      <c r="CB75" s="186"/>
      <c r="CC75" s="200">
        <v>1.0</v>
      </c>
      <c r="CD75" s="186"/>
      <c r="CE75" s="172">
        <f t="shared" si="36"/>
        <v>2</v>
      </c>
      <c r="CF75" s="173">
        <f t="shared" si="37"/>
        <v>100</v>
      </c>
      <c r="CG75" s="199"/>
      <c r="CH75" s="186"/>
      <c r="CI75" s="186"/>
      <c r="CJ75" s="186"/>
      <c r="CK75" s="186"/>
      <c r="CL75" s="186"/>
      <c r="CM75" s="186"/>
      <c r="CN75" s="186"/>
      <c r="CO75" s="186"/>
      <c r="CP75" s="186"/>
      <c r="CQ75" s="186"/>
      <c r="CR75" s="186"/>
      <c r="CS75" s="175">
        <f t="shared" si="38"/>
        <v>0</v>
      </c>
      <c r="CT75" s="158">
        <f t="shared" si="39"/>
        <v>0</v>
      </c>
    </row>
    <row r="76" ht="15.75" customHeight="1">
      <c r="A76" s="146">
        <v>66.0</v>
      </c>
      <c r="B76" s="111" t="s">
        <v>183</v>
      </c>
      <c r="C76" s="112" t="s">
        <v>184</v>
      </c>
      <c r="D76" s="250">
        <f t="shared" si="6"/>
        <v>1</v>
      </c>
      <c r="E76" s="113">
        <f t="shared" si="27"/>
        <v>10</v>
      </c>
      <c r="F76" s="114">
        <f t="shared" si="28"/>
        <v>10</v>
      </c>
      <c r="G76" s="202">
        <f t="shared" si="29"/>
        <v>10</v>
      </c>
      <c r="H76" s="183"/>
      <c r="I76" s="179"/>
      <c r="J76" s="179"/>
      <c r="K76" s="179"/>
      <c r="L76" s="179"/>
      <c r="M76" s="118">
        <f t="shared" si="30"/>
        <v>0</v>
      </c>
      <c r="N76" s="119" t="str">
        <f t="shared" si="31"/>
        <v>#DIV/0!</v>
      </c>
      <c r="O76" s="176"/>
      <c r="P76" s="179"/>
      <c r="Q76" s="179"/>
      <c r="R76" s="179"/>
      <c r="S76" s="179"/>
      <c r="T76" s="179"/>
      <c r="U76" s="179"/>
      <c r="V76" s="179"/>
      <c r="W76" s="179"/>
      <c r="X76" s="179"/>
      <c r="Y76" s="179"/>
      <c r="Z76" s="179"/>
      <c r="AA76" s="184">
        <v>1.0</v>
      </c>
      <c r="AB76" s="179"/>
      <c r="AC76" s="179"/>
      <c r="AD76" s="179"/>
      <c r="AE76" s="179"/>
      <c r="AF76" s="176"/>
      <c r="AG76" s="176"/>
      <c r="AH76" s="176"/>
      <c r="AI76" s="176"/>
      <c r="AJ76" s="251">
        <f t="shared" si="32"/>
        <v>1</v>
      </c>
      <c r="AK76" s="169">
        <f t="shared" si="33"/>
        <v>33.33333333</v>
      </c>
      <c r="AL76" s="183"/>
      <c r="AM76" s="179"/>
      <c r="AN76" s="179"/>
      <c r="AO76" s="179"/>
      <c r="AP76" s="179"/>
      <c r="AQ76" s="179"/>
      <c r="AR76" s="179"/>
      <c r="AS76" s="179"/>
      <c r="AT76" s="179"/>
      <c r="AU76" s="179"/>
      <c r="AV76" s="179"/>
      <c r="AW76" s="179"/>
      <c r="AX76" s="179"/>
      <c r="AY76" s="179"/>
      <c r="AZ76" s="179"/>
      <c r="BA76" s="179"/>
      <c r="BB76" s="179"/>
      <c r="BC76" s="179"/>
      <c r="BD76" s="179"/>
      <c r="BE76" s="179"/>
      <c r="BF76" s="179"/>
      <c r="BG76" s="118">
        <f t="shared" si="34"/>
        <v>0</v>
      </c>
      <c r="BH76" s="122">
        <f t="shared" si="35"/>
        <v>0</v>
      </c>
      <c r="BI76" s="176"/>
      <c r="BJ76" s="179"/>
      <c r="BK76" s="179"/>
      <c r="BL76" s="179"/>
      <c r="BM76" s="179"/>
      <c r="BN76" s="179"/>
      <c r="BO76" s="179"/>
      <c r="BP76" s="179"/>
      <c r="BQ76" s="179"/>
      <c r="BR76" s="179"/>
      <c r="BS76" s="179"/>
      <c r="BT76" s="179"/>
      <c r="BU76" s="185"/>
      <c r="BV76" s="179"/>
      <c r="BW76" s="186"/>
      <c r="BX76" s="186"/>
      <c r="BY76" s="186"/>
      <c r="BZ76" s="186"/>
      <c r="CA76" s="186"/>
      <c r="CB76" s="186"/>
      <c r="CC76" s="186"/>
      <c r="CD76" s="186"/>
      <c r="CE76" s="172">
        <f t="shared" si="36"/>
        <v>0</v>
      </c>
      <c r="CF76" s="173">
        <f t="shared" si="37"/>
        <v>0</v>
      </c>
      <c r="CG76" s="199"/>
      <c r="CH76" s="186"/>
      <c r="CI76" s="186"/>
      <c r="CJ76" s="186"/>
      <c r="CK76" s="186"/>
      <c r="CL76" s="186"/>
      <c r="CM76" s="186"/>
      <c r="CN76" s="186"/>
      <c r="CO76" s="186"/>
      <c r="CP76" s="186"/>
      <c r="CQ76" s="186"/>
      <c r="CR76" s="186"/>
      <c r="CS76" s="175">
        <f t="shared" si="38"/>
        <v>0</v>
      </c>
      <c r="CT76" s="158">
        <f t="shared" si="39"/>
        <v>0</v>
      </c>
    </row>
    <row r="77" ht="15.75" customHeight="1">
      <c r="A77" s="146">
        <v>67.0</v>
      </c>
      <c r="B77" s="111" t="s">
        <v>185</v>
      </c>
      <c r="C77" s="112" t="s">
        <v>186</v>
      </c>
      <c r="D77" s="250">
        <f t="shared" si="6"/>
        <v>7</v>
      </c>
      <c r="E77" s="113">
        <f t="shared" si="27"/>
        <v>70</v>
      </c>
      <c r="F77" s="114" t="str">
        <f t="shared" si="28"/>
        <v>  </v>
      </c>
      <c r="G77" s="202" t="str">
        <f t="shared" si="29"/>
        <v>  </v>
      </c>
      <c r="H77" s="183"/>
      <c r="I77" s="179"/>
      <c r="J77" s="179"/>
      <c r="K77" s="179"/>
      <c r="L77" s="179"/>
      <c r="M77" s="118">
        <f t="shared" si="30"/>
        <v>0</v>
      </c>
      <c r="N77" s="119" t="str">
        <f t="shared" si="31"/>
        <v>#DIV/0!</v>
      </c>
      <c r="O77" s="176"/>
      <c r="P77" s="179"/>
      <c r="Q77" s="179"/>
      <c r="R77" s="179"/>
      <c r="S77" s="179"/>
      <c r="T77" s="179"/>
      <c r="U77" s="179"/>
      <c r="V77" s="179"/>
      <c r="W77" s="184">
        <v>1.0</v>
      </c>
      <c r="X77" s="179"/>
      <c r="Y77" s="179"/>
      <c r="Z77" s="179"/>
      <c r="AA77" s="184">
        <v>1.0</v>
      </c>
      <c r="AB77" s="179"/>
      <c r="AC77" s="179"/>
      <c r="AD77" s="179"/>
      <c r="AE77" s="179"/>
      <c r="AF77" s="182">
        <v>1.0</v>
      </c>
      <c r="AG77" s="176"/>
      <c r="AH77" s="176"/>
      <c r="AI77" s="176"/>
      <c r="AJ77" s="251">
        <f t="shared" si="32"/>
        <v>3</v>
      </c>
      <c r="AK77" s="169">
        <f t="shared" si="33"/>
        <v>100</v>
      </c>
      <c r="AL77" s="183"/>
      <c r="AM77" s="184">
        <v>1.0</v>
      </c>
      <c r="AN77" s="179"/>
      <c r="AO77" s="179"/>
      <c r="AP77" s="179"/>
      <c r="AQ77" s="179"/>
      <c r="AR77" s="179"/>
      <c r="AS77" s="179"/>
      <c r="AT77" s="179"/>
      <c r="AU77" s="179"/>
      <c r="AV77" s="179"/>
      <c r="AW77" s="179"/>
      <c r="AX77" s="179"/>
      <c r="AY77" s="179"/>
      <c r="AZ77" s="179"/>
      <c r="BA77" s="179"/>
      <c r="BB77" s="179"/>
      <c r="BC77" s="179"/>
      <c r="BD77" s="179"/>
      <c r="BE77" s="179"/>
      <c r="BF77" s="179"/>
      <c r="BG77" s="118">
        <f t="shared" si="34"/>
        <v>1</v>
      </c>
      <c r="BH77" s="122">
        <f t="shared" si="35"/>
        <v>33.33333333</v>
      </c>
      <c r="BI77" s="182">
        <v>1.0</v>
      </c>
      <c r="BJ77" s="179"/>
      <c r="BK77" s="179"/>
      <c r="BL77" s="179"/>
      <c r="BM77" s="179"/>
      <c r="BN77" s="179"/>
      <c r="BO77" s="179"/>
      <c r="BP77" s="179"/>
      <c r="BQ77" s="179"/>
      <c r="BR77" s="179"/>
      <c r="BS77" s="184">
        <v>1.0</v>
      </c>
      <c r="BT77" s="179"/>
      <c r="BU77" s="185"/>
      <c r="BV77" s="179"/>
      <c r="BW77" s="186"/>
      <c r="BX77" s="186"/>
      <c r="BY77" s="186"/>
      <c r="BZ77" s="186"/>
      <c r="CA77" s="186"/>
      <c r="CB77" s="186"/>
      <c r="CC77" s="200">
        <v>1.0</v>
      </c>
      <c r="CD77" s="186"/>
      <c r="CE77" s="172">
        <f t="shared" si="36"/>
        <v>3</v>
      </c>
      <c r="CF77" s="173">
        <f t="shared" si="37"/>
        <v>150</v>
      </c>
      <c r="CG77" s="199"/>
      <c r="CH77" s="186"/>
      <c r="CI77" s="186"/>
      <c r="CJ77" s="186"/>
      <c r="CK77" s="186"/>
      <c r="CL77" s="186"/>
      <c r="CM77" s="186"/>
      <c r="CN77" s="186"/>
      <c r="CO77" s="186"/>
      <c r="CP77" s="186"/>
      <c r="CQ77" s="186"/>
      <c r="CR77" s="186"/>
      <c r="CS77" s="175">
        <f t="shared" si="38"/>
        <v>0</v>
      </c>
      <c r="CT77" s="158">
        <f t="shared" si="39"/>
        <v>0</v>
      </c>
    </row>
    <row r="78" ht="15.75" customHeight="1">
      <c r="A78" s="131">
        <v>68.0</v>
      </c>
      <c r="B78" s="161" t="s">
        <v>187</v>
      </c>
      <c r="C78" s="162" t="s">
        <v>188</v>
      </c>
      <c r="D78" s="250">
        <f t="shared" si="6"/>
        <v>2</v>
      </c>
      <c r="E78" s="113">
        <f t="shared" si="27"/>
        <v>20</v>
      </c>
      <c r="F78" s="114">
        <f t="shared" si="28"/>
        <v>20</v>
      </c>
      <c r="G78" s="202">
        <f t="shared" si="29"/>
        <v>20</v>
      </c>
      <c r="H78" s="183"/>
      <c r="I78" s="179"/>
      <c r="J78" s="179"/>
      <c r="K78" s="179"/>
      <c r="L78" s="179"/>
      <c r="M78" s="118">
        <f t="shared" si="30"/>
        <v>0</v>
      </c>
      <c r="N78" s="119" t="str">
        <f t="shared" si="31"/>
        <v>#DIV/0!</v>
      </c>
      <c r="O78" s="176"/>
      <c r="P78" s="179"/>
      <c r="Q78" s="179"/>
      <c r="R78" s="179"/>
      <c r="S78" s="179"/>
      <c r="T78" s="179"/>
      <c r="U78" s="179"/>
      <c r="V78" s="179"/>
      <c r="W78" s="179"/>
      <c r="X78" s="179"/>
      <c r="Y78" s="179"/>
      <c r="Z78" s="179"/>
      <c r="AA78" s="179"/>
      <c r="AB78" s="179"/>
      <c r="AC78" s="179"/>
      <c r="AD78" s="179"/>
      <c r="AE78" s="179"/>
      <c r="AF78" s="176"/>
      <c r="AG78" s="176"/>
      <c r="AH78" s="176"/>
      <c r="AI78" s="176"/>
      <c r="AJ78" s="251">
        <f t="shared" si="32"/>
        <v>0</v>
      </c>
      <c r="AK78" s="169">
        <f t="shared" si="33"/>
        <v>0</v>
      </c>
      <c r="AL78" s="183"/>
      <c r="AM78" s="179"/>
      <c r="AN78" s="179"/>
      <c r="AO78" s="179"/>
      <c r="AP78" s="179"/>
      <c r="AQ78" s="179"/>
      <c r="AR78" s="179"/>
      <c r="AS78" s="179"/>
      <c r="AT78" s="179"/>
      <c r="AU78" s="179"/>
      <c r="AV78" s="179"/>
      <c r="AW78" s="179"/>
      <c r="AX78" s="179"/>
      <c r="AY78" s="179"/>
      <c r="AZ78" s="179"/>
      <c r="BA78" s="179"/>
      <c r="BB78" s="179"/>
      <c r="BC78" s="179"/>
      <c r="BD78" s="179"/>
      <c r="BE78" s="179"/>
      <c r="BF78" s="179"/>
      <c r="BG78" s="118">
        <f t="shared" si="34"/>
        <v>0</v>
      </c>
      <c r="BH78" s="122">
        <f t="shared" si="35"/>
        <v>0</v>
      </c>
      <c r="BI78" s="176"/>
      <c r="BJ78" s="179"/>
      <c r="BK78" s="179"/>
      <c r="BL78" s="179"/>
      <c r="BM78" s="179"/>
      <c r="BN78" s="179"/>
      <c r="BO78" s="179"/>
      <c r="BP78" s="179"/>
      <c r="BQ78" s="179"/>
      <c r="BR78" s="179"/>
      <c r="BS78" s="179"/>
      <c r="BT78" s="179"/>
      <c r="BU78" s="185"/>
      <c r="BV78" s="179"/>
      <c r="BW78" s="186"/>
      <c r="BX78" s="200">
        <v>1.0</v>
      </c>
      <c r="BY78" s="186"/>
      <c r="BZ78" s="186"/>
      <c r="CA78" s="186"/>
      <c r="CB78" s="186"/>
      <c r="CC78" s="200">
        <v>1.0</v>
      </c>
      <c r="CD78" s="186"/>
      <c r="CE78" s="172">
        <f t="shared" si="36"/>
        <v>2</v>
      </c>
      <c r="CF78" s="173">
        <f t="shared" si="37"/>
        <v>100</v>
      </c>
      <c r="CG78" s="199"/>
      <c r="CH78" s="186"/>
      <c r="CI78" s="186"/>
      <c r="CJ78" s="186"/>
      <c r="CK78" s="186"/>
      <c r="CL78" s="186"/>
      <c r="CM78" s="186"/>
      <c r="CN78" s="186"/>
      <c r="CO78" s="186"/>
      <c r="CP78" s="186"/>
      <c r="CQ78" s="186"/>
      <c r="CR78" s="186"/>
      <c r="CS78" s="175">
        <f t="shared" si="38"/>
        <v>0</v>
      </c>
      <c r="CT78" s="158">
        <f t="shared" si="39"/>
        <v>0</v>
      </c>
    </row>
    <row r="79" ht="15.75" customHeight="1">
      <c r="A79" s="146">
        <v>69.0</v>
      </c>
      <c r="B79" s="161" t="s">
        <v>189</v>
      </c>
      <c r="C79" s="162" t="s">
        <v>190</v>
      </c>
      <c r="D79" s="250">
        <f t="shared" si="6"/>
        <v>3</v>
      </c>
      <c r="E79" s="113">
        <f t="shared" si="27"/>
        <v>30</v>
      </c>
      <c r="F79" s="114">
        <f t="shared" si="28"/>
        <v>30</v>
      </c>
      <c r="G79" s="202" t="str">
        <f t="shared" si="29"/>
        <v>  </v>
      </c>
      <c r="H79" s="183"/>
      <c r="I79" s="179"/>
      <c r="J79" s="179"/>
      <c r="K79" s="179"/>
      <c r="L79" s="179"/>
      <c r="M79" s="118">
        <f t="shared" si="30"/>
        <v>0</v>
      </c>
      <c r="N79" s="119" t="str">
        <f t="shared" si="31"/>
        <v>#DIV/0!</v>
      </c>
      <c r="O79" s="176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  <c r="AA79" s="179"/>
      <c r="AB79" s="179"/>
      <c r="AC79" s="179"/>
      <c r="AD79" s="179"/>
      <c r="AE79" s="179"/>
      <c r="AF79" s="182">
        <v>1.0</v>
      </c>
      <c r="AG79" s="176"/>
      <c r="AH79" s="176"/>
      <c r="AI79" s="176"/>
      <c r="AJ79" s="251">
        <f t="shared" si="32"/>
        <v>1</v>
      </c>
      <c r="AK79" s="169">
        <f t="shared" si="33"/>
        <v>33.33333333</v>
      </c>
      <c r="AL79" s="183"/>
      <c r="AM79" s="179"/>
      <c r="AN79" s="179"/>
      <c r="AO79" s="179"/>
      <c r="AP79" s="179"/>
      <c r="AQ79" s="179"/>
      <c r="AR79" s="179"/>
      <c r="AS79" s="179"/>
      <c r="AT79" s="179"/>
      <c r="AU79" s="179"/>
      <c r="AV79" s="179"/>
      <c r="AW79" s="179"/>
      <c r="AX79" s="179"/>
      <c r="AY79" s="179"/>
      <c r="AZ79" s="179"/>
      <c r="BA79" s="179"/>
      <c r="BB79" s="179"/>
      <c r="BC79" s="179"/>
      <c r="BD79" s="179"/>
      <c r="BE79" s="179"/>
      <c r="BF79" s="179"/>
      <c r="BG79" s="118">
        <f t="shared" si="34"/>
        <v>0</v>
      </c>
      <c r="BH79" s="122">
        <f t="shared" si="35"/>
        <v>0</v>
      </c>
      <c r="BI79" s="176"/>
      <c r="BJ79" s="179"/>
      <c r="BK79" s="179"/>
      <c r="BL79" s="179"/>
      <c r="BM79" s="179"/>
      <c r="BN79" s="179"/>
      <c r="BO79" s="179"/>
      <c r="BP79" s="179"/>
      <c r="BQ79" s="179"/>
      <c r="BR79" s="179"/>
      <c r="BS79" s="179"/>
      <c r="BT79" s="179"/>
      <c r="BU79" s="185"/>
      <c r="BV79" s="179"/>
      <c r="BW79" s="186"/>
      <c r="BX79" s="200">
        <v>1.0</v>
      </c>
      <c r="BY79" s="186"/>
      <c r="BZ79" s="186"/>
      <c r="CA79" s="186"/>
      <c r="CB79" s="186"/>
      <c r="CC79" s="200">
        <v>1.0</v>
      </c>
      <c r="CD79" s="186"/>
      <c r="CE79" s="172">
        <f t="shared" si="36"/>
        <v>2</v>
      </c>
      <c r="CF79" s="173">
        <f t="shared" si="37"/>
        <v>100</v>
      </c>
      <c r="CG79" s="199"/>
      <c r="CH79" s="186"/>
      <c r="CI79" s="186"/>
      <c r="CJ79" s="186"/>
      <c r="CK79" s="186"/>
      <c r="CL79" s="186"/>
      <c r="CM79" s="186"/>
      <c r="CN79" s="186"/>
      <c r="CO79" s="186"/>
      <c r="CP79" s="186"/>
      <c r="CQ79" s="186"/>
      <c r="CR79" s="186"/>
      <c r="CS79" s="175">
        <f t="shared" si="38"/>
        <v>0</v>
      </c>
      <c r="CT79" s="158">
        <f t="shared" si="39"/>
        <v>0</v>
      </c>
    </row>
    <row r="80" ht="15.75" customHeight="1">
      <c r="A80" s="146">
        <v>70.0</v>
      </c>
      <c r="B80" s="111" t="s">
        <v>191</v>
      </c>
      <c r="C80" s="112" t="s">
        <v>192</v>
      </c>
      <c r="D80" s="250">
        <f t="shared" si="6"/>
        <v>9</v>
      </c>
      <c r="E80" s="113">
        <f t="shared" si="27"/>
        <v>90</v>
      </c>
      <c r="F80" s="114" t="str">
        <f t="shared" si="28"/>
        <v>  </v>
      </c>
      <c r="G80" s="202" t="str">
        <f t="shared" si="29"/>
        <v>  </v>
      </c>
      <c r="H80" s="183"/>
      <c r="I80" s="179"/>
      <c r="J80" s="179"/>
      <c r="K80" s="179"/>
      <c r="L80" s="179"/>
      <c r="M80" s="118">
        <f t="shared" si="30"/>
        <v>0</v>
      </c>
      <c r="N80" s="119" t="str">
        <f t="shared" si="31"/>
        <v>#DIV/0!</v>
      </c>
      <c r="O80" s="176"/>
      <c r="P80" s="179"/>
      <c r="Q80" s="179"/>
      <c r="R80" s="179"/>
      <c r="S80" s="179"/>
      <c r="T80" s="179"/>
      <c r="U80" s="179"/>
      <c r="V80" s="179"/>
      <c r="W80" s="184">
        <v>1.0</v>
      </c>
      <c r="X80" s="179"/>
      <c r="Y80" s="179"/>
      <c r="Z80" s="179"/>
      <c r="AA80" s="184">
        <v>1.0</v>
      </c>
      <c r="AB80" s="179"/>
      <c r="AC80" s="179"/>
      <c r="AD80" s="179"/>
      <c r="AE80" s="179"/>
      <c r="AF80" s="182">
        <v>1.0</v>
      </c>
      <c r="AG80" s="176"/>
      <c r="AH80" s="176"/>
      <c r="AI80" s="176"/>
      <c r="AJ80" s="251">
        <f t="shared" si="32"/>
        <v>3</v>
      </c>
      <c r="AK80" s="169">
        <f t="shared" si="33"/>
        <v>100</v>
      </c>
      <c r="AL80" s="183"/>
      <c r="AM80" s="184">
        <v>1.0</v>
      </c>
      <c r="AN80" s="179"/>
      <c r="AO80" s="179"/>
      <c r="AP80" s="179"/>
      <c r="AQ80" s="179"/>
      <c r="AR80" s="179"/>
      <c r="AS80" s="179"/>
      <c r="AT80" s="179"/>
      <c r="AU80" s="179"/>
      <c r="AV80" s="179"/>
      <c r="AW80" s="179"/>
      <c r="AX80" s="179"/>
      <c r="AY80" s="179"/>
      <c r="AZ80" s="179"/>
      <c r="BA80" s="179"/>
      <c r="BB80" s="184">
        <v>1.0</v>
      </c>
      <c r="BC80" s="179"/>
      <c r="BD80" s="179"/>
      <c r="BE80" s="179"/>
      <c r="BF80" s="179"/>
      <c r="BG80" s="118">
        <f t="shared" si="34"/>
        <v>2</v>
      </c>
      <c r="BH80" s="122">
        <f t="shared" si="35"/>
        <v>66.66666667</v>
      </c>
      <c r="BI80" s="182">
        <v>1.0</v>
      </c>
      <c r="BJ80" s="179"/>
      <c r="BK80" s="179"/>
      <c r="BL80" s="179"/>
      <c r="BM80" s="179"/>
      <c r="BN80" s="179"/>
      <c r="BO80" s="179"/>
      <c r="BP80" s="179"/>
      <c r="BQ80" s="179"/>
      <c r="BR80" s="179"/>
      <c r="BS80" s="184">
        <v>1.0</v>
      </c>
      <c r="BT80" s="179"/>
      <c r="BU80" s="185"/>
      <c r="BV80" s="179"/>
      <c r="BW80" s="186"/>
      <c r="BX80" s="200">
        <v>1.0</v>
      </c>
      <c r="BY80" s="186"/>
      <c r="BZ80" s="186"/>
      <c r="CA80" s="186"/>
      <c r="CB80" s="186"/>
      <c r="CC80" s="200">
        <v>1.0</v>
      </c>
      <c r="CD80" s="186"/>
      <c r="CE80" s="172">
        <f t="shared" si="36"/>
        <v>4</v>
      </c>
      <c r="CF80" s="173">
        <f t="shared" si="37"/>
        <v>200</v>
      </c>
      <c r="CG80" s="199"/>
      <c r="CH80" s="186"/>
      <c r="CI80" s="186"/>
      <c r="CJ80" s="186"/>
      <c r="CK80" s="186"/>
      <c r="CL80" s="186"/>
      <c r="CM80" s="186"/>
      <c r="CN80" s="186"/>
      <c r="CO80" s="186"/>
      <c r="CP80" s="186"/>
      <c r="CQ80" s="186"/>
      <c r="CR80" s="186"/>
      <c r="CS80" s="175">
        <f t="shared" si="38"/>
        <v>0</v>
      </c>
      <c r="CT80" s="158">
        <f t="shared" si="39"/>
        <v>0</v>
      </c>
    </row>
    <row r="81" ht="15.75" customHeight="1">
      <c r="A81" s="131">
        <v>71.0</v>
      </c>
      <c r="B81" s="111" t="s">
        <v>193</v>
      </c>
      <c r="C81" s="112" t="s">
        <v>194</v>
      </c>
      <c r="D81" s="250">
        <f t="shared" si="6"/>
        <v>7</v>
      </c>
      <c r="E81" s="113">
        <f t="shared" si="27"/>
        <v>70</v>
      </c>
      <c r="F81" s="114" t="str">
        <f t="shared" si="28"/>
        <v>  </v>
      </c>
      <c r="G81" s="202" t="str">
        <f t="shared" si="29"/>
        <v>  </v>
      </c>
      <c r="H81" s="183"/>
      <c r="I81" s="179"/>
      <c r="J81" s="179"/>
      <c r="K81" s="179"/>
      <c r="L81" s="179"/>
      <c r="M81" s="118">
        <f t="shared" si="30"/>
        <v>0</v>
      </c>
      <c r="N81" s="119" t="str">
        <f t="shared" si="31"/>
        <v>#DIV/0!</v>
      </c>
      <c r="O81" s="176"/>
      <c r="P81" s="179"/>
      <c r="Q81" s="179"/>
      <c r="R81" s="179"/>
      <c r="S81" s="179"/>
      <c r="T81" s="179"/>
      <c r="U81" s="179"/>
      <c r="V81" s="179"/>
      <c r="W81" s="179"/>
      <c r="X81" s="179"/>
      <c r="Y81" s="179"/>
      <c r="Z81" s="179"/>
      <c r="AA81" s="179"/>
      <c r="AB81" s="179"/>
      <c r="AC81" s="179"/>
      <c r="AD81" s="179"/>
      <c r="AE81" s="179"/>
      <c r="AF81" s="182">
        <v>1.0</v>
      </c>
      <c r="AG81" s="176"/>
      <c r="AH81" s="176"/>
      <c r="AI81" s="176"/>
      <c r="AJ81" s="251">
        <f t="shared" si="32"/>
        <v>1</v>
      </c>
      <c r="AK81" s="169">
        <f t="shared" si="33"/>
        <v>33.33333333</v>
      </c>
      <c r="AL81" s="183"/>
      <c r="AM81" s="184">
        <v>1.0</v>
      </c>
      <c r="AN81" s="179"/>
      <c r="AO81" s="179"/>
      <c r="AP81" s="179"/>
      <c r="AQ81" s="179"/>
      <c r="AR81" s="179"/>
      <c r="AS81" s="179"/>
      <c r="AT81" s="179"/>
      <c r="AU81" s="179"/>
      <c r="AV81" s="179"/>
      <c r="AW81" s="179"/>
      <c r="AX81" s="179"/>
      <c r="AY81" s="179"/>
      <c r="AZ81" s="179"/>
      <c r="BA81" s="179"/>
      <c r="BB81" s="184">
        <v>1.0</v>
      </c>
      <c r="BC81" s="179"/>
      <c r="BD81" s="179"/>
      <c r="BE81" s="179"/>
      <c r="BF81" s="179"/>
      <c r="BG81" s="118">
        <f t="shared" si="34"/>
        <v>2</v>
      </c>
      <c r="BH81" s="122">
        <f t="shared" si="35"/>
        <v>66.66666667</v>
      </c>
      <c r="BI81" s="182">
        <v>1.0</v>
      </c>
      <c r="BJ81" s="179"/>
      <c r="BK81" s="179"/>
      <c r="BL81" s="179"/>
      <c r="BM81" s="179"/>
      <c r="BN81" s="179"/>
      <c r="BO81" s="179"/>
      <c r="BP81" s="179"/>
      <c r="BQ81" s="179"/>
      <c r="BR81" s="179"/>
      <c r="BS81" s="184">
        <v>1.0</v>
      </c>
      <c r="BT81" s="179"/>
      <c r="BU81" s="185"/>
      <c r="BV81" s="179"/>
      <c r="BW81" s="186"/>
      <c r="BX81" s="200">
        <v>1.0</v>
      </c>
      <c r="BY81" s="186"/>
      <c r="BZ81" s="186"/>
      <c r="CA81" s="186"/>
      <c r="CB81" s="186"/>
      <c r="CC81" s="200">
        <v>1.0</v>
      </c>
      <c r="CD81" s="186"/>
      <c r="CE81" s="172">
        <f t="shared" si="36"/>
        <v>4</v>
      </c>
      <c r="CF81" s="173">
        <f t="shared" si="37"/>
        <v>200</v>
      </c>
      <c r="CG81" s="199"/>
      <c r="CH81" s="186"/>
      <c r="CI81" s="186"/>
      <c r="CJ81" s="186"/>
      <c r="CK81" s="186"/>
      <c r="CL81" s="186"/>
      <c r="CM81" s="186"/>
      <c r="CN81" s="186"/>
      <c r="CO81" s="186"/>
      <c r="CP81" s="186"/>
      <c r="CQ81" s="186"/>
      <c r="CR81" s="186"/>
      <c r="CS81" s="175">
        <f t="shared" si="38"/>
        <v>0</v>
      </c>
      <c r="CT81" s="158">
        <f t="shared" si="39"/>
        <v>0</v>
      </c>
    </row>
    <row r="82" ht="15.75" customHeight="1">
      <c r="A82" s="146">
        <v>72.0</v>
      </c>
      <c r="B82" s="111" t="s">
        <v>195</v>
      </c>
      <c r="C82" s="112" t="s">
        <v>196</v>
      </c>
      <c r="D82" s="250">
        <f t="shared" si="6"/>
        <v>1</v>
      </c>
      <c r="E82" s="113">
        <f t="shared" si="27"/>
        <v>10</v>
      </c>
      <c r="F82" s="114">
        <f t="shared" si="28"/>
        <v>10</v>
      </c>
      <c r="G82" s="202">
        <f t="shared" si="29"/>
        <v>10</v>
      </c>
      <c r="H82" s="183"/>
      <c r="I82" s="179"/>
      <c r="J82" s="179"/>
      <c r="K82" s="179"/>
      <c r="L82" s="179"/>
      <c r="M82" s="118">
        <f t="shared" si="30"/>
        <v>0</v>
      </c>
      <c r="N82" s="119" t="str">
        <f t="shared" si="31"/>
        <v>#DIV/0!</v>
      </c>
      <c r="O82" s="176"/>
      <c r="P82" s="179"/>
      <c r="Q82" s="179"/>
      <c r="R82" s="179"/>
      <c r="S82" s="179"/>
      <c r="T82" s="179"/>
      <c r="U82" s="179"/>
      <c r="V82" s="179"/>
      <c r="W82" s="179"/>
      <c r="X82" s="179"/>
      <c r="Y82" s="179"/>
      <c r="Z82" s="179"/>
      <c r="AA82" s="179"/>
      <c r="AB82" s="179"/>
      <c r="AC82" s="179"/>
      <c r="AD82" s="179"/>
      <c r="AE82" s="179"/>
      <c r="AF82" s="176"/>
      <c r="AG82" s="176"/>
      <c r="AH82" s="176"/>
      <c r="AI82" s="176"/>
      <c r="AJ82" s="251">
        <f t="shared" si="32"/>
        <v>0</v>
      </c>
      <c r="AK82" s="169">
        <f t="shared" si="33"/>
        <v>0</v>
      </c>
      <c r="AL82" s="183"/>
      <c r="AM82" s="179"/>
      <c r="AN82" s="179"/>
      <c r="AO82" s="179"/>
      <c r="AP82" s="179"/>
      <c r="AQ82" s="179"/>
      <c r="AR82" s="179"/>
      <c r="AS82" s="179"/>
      <c r="AT82" s="179"/>
      <c r="AU82" s="179"/>
      <c r="AV82" s="179"/>
      <c r="AW82" s="179"/>
      <c r="AX82" s="179"/>
      <c r="AY82" s="179"/>
      <c r="AZ82" s="179"/>
      <c r="BA82" s="179"/>
      <c r="BB82" s="179"/>
      <c r="BC82" s="179"/>
      <c r="BD82" s="179"/>
      <c r="BE82" s="179"/>
      <c r="BF82" s="179"/>
      <c r="BG82" s="118">
        <f t="shared" si="34"/>
        <v>0</v>
      </c>
      <c r="BH82" s="122">
        <f t="shared" si="35"/>
        <v>0</v>
      </c>
      <c r="BI82" s="176"/>
      <c r="BJ82" s="179"/>
      <c r="BK82" s="179"/>
      <c r="BL82" s="179"/>
      <c r="BM82" s="179"/>
      <c r="BN82" s="179"/>
      <c r="BO82" s="179"/>
      <c r="BP82" s="179"/>
      <c r="BQ82" s="179"/>
      <c r="BR82" s="179"/>
      <c r="BS82" s="179"/>
      <c r="BT82" s="179"/>
      <c r="BU82" s="185"/>
      <c r="BV82" s="179"/>
      <c r="BW82" s="186"/>
      <c r="BX82" s="186"/>
      <c r="BY82" s="186"/>
      <c r="BZ82" s="186"/>
      <c r="CA82" s="186"/>
      <c r="CB82" s="186"/>
      <c r="CC82" s="200">
        <v>1.0</v>
      </c>
      <c r="CD82" s="186"/>
      <c r="CE82" s="172">
        <f t="shared" si="36"/>
        <v>1</v>
      </c>
      <c r="CF82" s="173">
        <f t="shared" si="37"/>
        <v>50</v>
      </c>
      <c r="CG82" s="199"/>
      <c r="CH82" s="186"/>
      <c r="CI82" s="186"/>
      <c r="CJ82" s="186"/>
      <c r="CK82" s="186"/>
      <c r="CL82" s="186"/>
      <c r="CM82" s="186"/>
      <c r="CN82" s="186"/>
      <c r="CO82" s="186"/>
      <c r="CP82" s="186"/>
      <c r="CQ82" s="186"/>
      <c r="CR82" s="186"/>
      <c r="CS82" s="175">
        <f t="shared" si="38"/>
        <v>0</v>
      </c>
      <c r="CT82" s="158">
        <f t="shared" si="39"/>
        <v>0</v>
      </c>
    </row>
    <row r="83" ht="15.75" customHeight="1">
      <c r="A83" s="146">
        <v>73.0</v>
      </c>
      <c r="B83" s="111" t="s">
        <v>197</v>
      </c>
      <c r="C83" s="112" t="s">
        <v>198</v>
      </c>
      <c r="D83" s="250">
        <f t="shared" si="6"/>
        <v>2</v>
      </c>
      <c r="E83" s="113">
        <f t="shared" si="27"/>
        <v>20</v>
      </c>
      <c r="F83" s="114">
        <f t="shared" si="28"/>
        <v>20</v>
      </c>
      <c r="G83" s="202">
        <f t="shared" si="29"/>
        <v>20</v>
      </c>
      <c r="H83" s="183"/>
      <c r="I83" s="179"/>
      <c r="J83" s="179"/>
      <c r="K83" s="179"/>
      <c r="L83" s="179"/>
      <c r="M83" s="118">
        <f t="shared" si="30"/>
        <v>0</v>
      </c>
      <c r="N83" s="119" t="str">
        <f t="shared" si="31"/>
        <v>#DIV/0!</v>
      </c>
      <c r="O83" s="176"/>
      <c r="P83" s="179"/>
      <c r="Q83" s="179"/>
      <c r="R83" s="179"/>
      <c r="S83" s="179"/>
      <c r="T83" s="179"/>
      <c r="U83" s="179"/>
      <c r="V83" s="179"/>
      <c r="W83" s="179"/>
      <c r="X83" s="179"/>
      <c r="Y83" s="179"/>
      <c r="Z83" s="179"/>
      <c r="AA83" s="179"/>
      <c r="AB83" s="179"/>
      <c r="AC83" s="179"/>
      <c r="AD83" s="179"/>
      <c r="AE83" s="179"/>
      <c r="AF83" s="176"/>
      <c r="AG83" s="176"/>
      <c r="AH83" s="176"/>
      <c r="AI83" s="176"/>
      <c r="AJ83" s="251">
        <f t="shared" si="32"/>
        <v>0</v>
      </c>
      <c r="AK83" s="169">
        <f t="shared" si="33"/>
        <v>0</v>
      </c>
      <c r="AL83" s="183"/>
      <c r="AM83" s="179"/>
      <c r="AN83" s="179"/>
      <c r="AO83" s="179"/>
      <c r="AP83" s="179"/>
      <c r="AQ83" s="179"/>
      <c r="AR83" s="179"/>
      <c r="AS83" s="179"/>
      <c r="AT83" s="179"/>
      <c r="AU83" s="179"/>
      <c r="AV83" s="179"/>
      <c r="AW83" s="179"/>
      <c r="AX83" s="179"/>
      <c r="AY83" s="179"/>
      <c r="AZ83" s="179"/>
      <c r="BA83" s="179"/>
      <c r="BB83" s="184">
        <v>1.0</v>
      </c>
      <c r="BC83" s="179"/>
      <c r="BD83" s="179"/>
      <c r="BE83" s="179"/>
      <c r="BF83" s="179"/>
      <c r="BG83" s="118">
        <f t="shared" si="34"/>
        <v>1</v>
      </c>
      <c r="BH83" s="122">
        <f t="shared" si="35"/>
        <v>33.33333333</v>
      </c>
      <c r="BI83" s="176"/>
      <c r="BJ83" s="179"/>
      <c r="BK83" s="179"/>
      <c r="BL83" s="179"/>
      <c r="BM83" s="179"/>
      <c r="BN83" s="179"/>
      <c r="BO83" s="179"/>
      <c r="BP83" s="179"/>
      <c r="BQ83" s="179"/>
      <c r="BR83" s="179"/>
      <c r="BS83" s="179"/>
      <c r="BT83" s="179"/>
      <c r="BU83" s="185"/>
      <c r="BV83" s="179"/>
      <c r="BW83" s="186"/>
      <c r="BX83" s="186"/>
      <c r="BY83" s="186"/>
      <c r="BZ83" s="186"/>
      <c r="CA83" s="186"/>
      <c r="CB83" s="186"/>
      <c r="CC83" s="200">
        <v>1.0</v>
      </c>
      <c r="CD83" s="186"/>
      <c r="CE83" s="172">
        <f t="shared" si="36"/>
        <v>1</v>
      </c>
      <c r="CF83" s="173">
        <f t="shared" si="37"/>
        <v>50</v>
      </c>
      <c r="CG83" s="199"/>
      <c r="CH83" s="186"/>
      <c r="CI83" s="186"/>
      <c r="CJ83" s="186"/>
      <c r="CK83" s="186"/>
      <c r="CL83" s="186"/>
      <c r="CM83" s="186"/>
      <c r="CN83" s="186"/>
      <c r="CO83" s="186"/>
      <c r="CP83" s="186"/>
      <c r="CQ83" s="186"/>
      <c r="CR83" s="186"/>
      <c r="CS83" s="175">
        <f t="shared" si="38"/>
        <v>0</v>
      </c>
      <c r="CT83" s="158">
        <f t="shared" si="39"/>
        <v>0</v>
      </c>
    </row>
    <row r="84" ht="15.75" customHeight="1">
      <c r="A84" s="131">
        <v>74.0</v>
      </c>
      <c r="B84" s="111" t="s">
        <v>199</v>
      </c>
      <c r="C84" s="112" t="s">
        <v>200</v>
      </c>
      <c r="D84" s="250">
        <f t="shared" si="6"/>
        <v>5</v>
      </c>
      <c r="E84" s="113">
        <f t="shared" si="27"/>
        <v>50</v>
      </c>
      <c r="F84" s="114" t="str">
        <f t="shared" si="28"/>
        <v>  </v>
      </c>
      <c r="G84" s="202" t="str">
        <f t="shared" si="29"/>
        <v>  </v>
      </c>
      <c r="H84" s="183"/>
      <c r="I84" s="179"/>
      <c r="J84" s="179"/>
      <c r="K84" s="179"/>
      <c r="L84" s="179"/>
      <c r="M84" s="118">
        <f t="shared" si="30"/>
        <v>0</v>
      </c>
      <c r="N84" s="119" t="str">
        <f t="shared" si="31"/>
        <v>#DIV/0!</v>
      </c>
      <c r="O84" s="176"/>
      <c r="P84" s="179"/>
      <c r="Q84" s="179"/>
      <c r="R84" s="179"/>
      <c r="S84" s="179"/>
      <c r="T84" s="179"/>
      <c r="U84" s="179"/>
      <c r="V84" s="179"/>
      <c r="W84" s="179"/>
      <c r="X84" s="179"/>
      <c r="Y84" s="179"/>
      <c r="Z84" s="179"/>
      <c r="AA84" s="179"/>
      <c r="AB84" s="179"/>
      <c r="AC84" s="179"/>
      <c r="AD84" s="179"/>
      <c r="AE84" s="179"/>
      <c r="AF84" s="182">
        <v>1.0</v>
      </c>
      <c r="AG84" s="176"/>
      <c r="AH84" s="176"/>
      <c r="AI84" s="176"/>
      <c r="AJ84" s="251">
        <f t="shared" si="32"/>
        <v>1</v>
      </c>
      <c r="AK84" s="169">
        <f t="shared" si="33"/>
        <v>33.33333333</v>
      </c>
      <c r="AL84" s="183"/>
      <c r="AM84" s="179"/>
      <c r="AN84" s="179"/>
      <c r="AO84" s="179"/>
      <c r="AP84" s="179"/>
      <c r="AQ84" s="179"/>
      <c r="AR84" s="184">
        <v>1.0</v>
      </c>
      <c r="AS84" s="179"/>
      <c r="AT84" s="179"/>
      <c r="AU84" s="179"/>
      <c r="AV84" s="179"/>
      <c r="AW84" s="179"/>
      <c r="AX84" s="179"/>
      <c r="AY84" s="179"/>
      <c r="AZ84" s="179"/>
      <c r="BA84" s="179"/>
      <c r="BB84" s="184">
        <v>1.0</v>
      </c>
      <c r="BC84" s="179"/>
      <c r="BD84" s="179"/>
      <c r="BE84" s="179"/>
      <c r="BF84" s="179"/>
      <c r="BG84" s="118">
        <f t="shared" si="34"/>
        <v>2</v>
      </c>
      <c r="BH84" s="122">
        <f t="shared" si="35"/>
        <v>66.66666667</v>
      </c>
      <c r="BI84" s="182">
        <v>1.0</v>
      </c>
      <c r="BJ84" s="179"/>
      <c r="BK84" s="179"/>
      <c r="BL84" s="179"/>
      <c r="BM84" s="179"/>
      <c r="BN84" s="179"/>
      <c r="BO84" s="179"/>
      <c r="BP84" s="179"/>
      <c r="BQ84" s="179"/>
      <c r="BR84" s="179"/>
      <c r="BS84" s="179"/>
      <c r="BT84" s="179"/>
      <c r="BU84" s="185"/>
      <c r="BV84" s="179"/>
      <c r="BW84" s="186"/>
      <c r="BX84" s="186"/>
      <c r="BY84" s="186"/>
      <c r="BZ84" s="186"/>
      <c r="CA84" s="186"/>
      <c r="CB84" s="186"/>
      <c r="CC84" s="200">
        <v>1.0</v>
      </c>
      <c r="CD84" s="186"/>
      <c r="CE84" s="172">
        <f t="shared" si="36"/>
        <v>2</v>
      </c>
      <c r="CF84" s="173">
        <f t="shared" si="37"/>
        <v>100</v>
      </c>
      <c r="CG84" s="199"/>
      <c r="CH84" s="186"/>
      <c r="CI84" s="186"/>
      <c r="CJ84" s="186"/>
      <c r="CK84" s="186"/>
      <c r="CL84" s="186"/>
      <c r="CM84" s="186"/>
      <c r="CN84" s="186"/>
      <c r="CO84" s="186"/>
      <c r="CP84" s="186"/>
      <c r="CQ84" s="186"/>
      <c r="CR84" s="186"/>
      <c r="CS84" s="175">
        <f t="shared" si="38"/>
        <v>0</v>
      </c>
      <c r="CT84" s="158">
        <f t="shared" si="39"/>
        <v>0</v>
      </c>
    </row>
    <row r="85" ht="15.75" customHeight="1">
      <c r="A85" s="146">
        <v>75.0</v>
      </c>
      <c r="B85" s="111" t="s">
        <v>201</v>
      </c>
      <c r="C85" s="112" t="s">
        <v>202</v>
      </c>
      <c r="D85" s="250">
        <f t="shared" si="6"/>
        <v>5</v>
      </c>
      <c r="E85" s="113">
        <f t="shared" si="27"/>
        <v>50</v>
      </c>
      <c r="F85" s="114" t="str">
        <f t="shared" si="28"/>
        <v>  </v>
      </c>
      <c r="G85" s="202" t="str">
        <f t="shared" si="29"/>
        <v>  </v>
      </c>
      <c r="H85" s="183"/>
      <c r="I85" s="179"/>
      <c r="J85" s="179"/>
      <c r="K85" s="179"/>
      <c r="L85" s="179"/>
      <c r="M85" s="118">
        <f t="shared" si="30"/>
        <v>0</v>
      </c>
      <c r="N85" s="119" t="str">
        <f t="shared" si="31"/>
        <v>#DIV/0!</v>
      </c>
      <c r="O85" s="176"/>
      <c r="P85" s="179"/>
      <c r="Q85" s="179"/>
      <c r="R85" s="179"/>
      <c r="S85" s="179"/>
      <c r="T85" s="179"/>
      <c r="U85" s="179"/>
      <c r="V85" s="179"/>
      <c r="W85" s="179"/>
      <c r="X85" s="179"/>
      <c r="Y85" s="179"/>
      <c r="Z85" s="179"/>
      <c r="AA85" s="179"/>
      <c r="AB85" s="179"/>
      <c r="AC85" s="179"/>
      <c r="AD85" s="179"/>
      <c r="AE85" s="179"/>
      <c r="AF85" s="182">
        <v>1.0</v>
      </c>
      <c r="AG85" s="176"/>
      <c r="AH85" s="176"/>
      <c r="AI85" s="176"/>
      <c r="AJ85" s="251">
        <f t="shared" si="32"/>
        <v>1</v>
      </c>
      <c r="AK85" s="169">
        <f t="shared" si="33"/>
        <v>33.33333333</v>
      </c>
      <c r="AL85" s="183"/>
      <c r="AM85" s="179"/>
      <c r="AN85" s="179"/>
      <c r="AO85" s="179"/>
      <c r="AP85" s="179"/>
      <c r="AQ85" s="179"/>
      <c r="AR85" s="184">
        <v>1.0</v>
      </c>
      <c r="AS85" s="179"/>
      <c r="AT85" s="179"/>
      <c r="AU85" s="179"/>
      <c r="AV85" s="179"/>
      <c r="AW85" s="179"/>
      <c r="AX85" s="179"/>
      <c r="AY85" s="179"/>
      <c r="AZ85" s="179"/>
      <c r="BA85" s="179"/>
      <c r="BB85" s="184">
        <v>1.0</v>
      </c>
      <c r="BC85" s="179"/>
      <c r="BD85" s="179"/>
      <c r="BE85" s="179"/>
      <c r="BF85" s="179"/>
      <c r="BG85" s="118">
        <f t="shared" si="34"/>
        <v>2</v>
      </c>
      <c r="BH85" s="122">
        <f t="shared" si="35"/>
        <v>66.66666667</v>
      </c>
      <c r="BI85" s="182">
        <v>1.0</v>
      </c>
      <c r="BJ85" s="179"/>
      <c r="BK85" s="179"/>
      <c r="BL85" s="179"/>
      <c r="BM85" s="179"/>
      <c r="BN85" s="179"/>
      <c r="BO85" s="179"/>
      <c r="BP85" s="179"/>
      <c r="BQ85" s="179"/>
      <c r="BR85" s="179"/>
      <c r="BS85" s="179"/>
      <c r="BT85" s="179"/>
      <c r="BU85" s="185"/>
      <c r="BV85" s="179"/>
      <c r="BW85" s="186"/>
      <c r="BX85" s="200">
        <v>1.0</v>
      </c>
      <c r="BY85" s="186"/>
      <c r="BZ85" s="186"/>
      <c r="CA85" s="186"/>
      <c r="CB85" s="186"/>
      <c r="CC85" s="186"/>
      <c r="CD85" s="186"/>
      <c r="CE85" s="172">
        <f t="shared" si="36"/>
        <v>2</v>
      </c>
      <c r="CF85" s="173">
        <f t="shared" si="37"/>
        <v>100</v>
      </c>
      <c r="CG85" s="199"/>
      <c r="CH85" s="186"/>
      <c r="CI85" s="186"/>
      <c r="CJ85" s="186"/>
      <c r="CK85" s="186"/>
      <c r="CL85" s="186"/>
      <c r="CM85" s="186"/>
      <c r="CN85" s="186"/>
      <c r="CO85" s="186"/>
      <c r="CP85" s="186"/>
      <c r="CQ85" s="186"/>
      <c r="CR85" s="186"/>
      <c r="CS85" s="175">
        <f t="shared" si="38"/>
        <v>0</v>
      </c>
      <c r="CT85" s="158">
        <f t="shared" si="39"/>
        <v>0</v>
      </c>
    </row>
    <row r="86" ht="15.75" customHeight="1">
      <c r="A86" s="146">
        <v>76.0</v>
      </c>
      <c r="B86" s="111" t="s">
        <v>203</v>
      </c>
      <c r="C86" s="112" t="s">
        <v>204</v>
      </c>
      <c r="D86" s="250">
        <f t="shared" si="6"/>
        <v>6</v>
      </c>
      <c r="E86" s="113">
        <f t="shared" si="27"/>
        <v>60</v>
      </c>
      <c r="F86" s="114" t="str">
        <f t="shared" si="28"/>
        <v>  </v>
      </c>
      <c r="G86" s="164" t="str">
        <f t="shared" si="29"/>
        <v>  </v>
      </c>
      <c r="H86" s="183"/>
      <c r="I86" s="179"/>
      <c r="J86" s="179"/>
      <c r="K86" s="179"/>
      <c r="L86" s="179"/>
      <c r="M86" s="118">
        <f t="shared" si="30"/>
        <v>0</v>
      </c>
      <c r="N86" s="119" t="str">
        <f t="shared" si="31"/>
        <v>#DIV/0!</v>
      </c>
      <c r="O86" s="176"/>
      <c r="P86" s="179"/>
      <c r="Q86" s="179"/>
      <c r="R86" s="179"/>
      <c r="S86" s="179"/>
      <c r="T86" s="179"/>
      <c r="U86" s="179"/>
      <c r="V86" s="179"/>
      <c r="W86" s="179"/>
      <c r="X86" s="179"/>
      <c r="Y86" s="179"/>
      <c r="Z86" s="179"/>
      <c r="AA86" s="184">
        <v>1.0</v>
      </c>
      <c r="AB86" s="179"/>
      <c r="AC86" s="179"/>
      <c r="AD86" s="179"/>
      <c r="AE86" s="179"/>
      <c r="AF86" s="182">
        <v>1.0</v>
      </c>
      <c r="AG86" s="176"/>
      <c r="AH86" s="176"/>
      <c r="AI86" s="176"/>
      <c r="AJ86" s="251">
        <f t="shared" si="32"/>
        <v>2</v>
      </c>
      <c r="AK86" s="169">
        <f t="shared" si="33"/>
        <v>66.66666667</v>
      </c>
      <c r="AL86" s="183"/>
      <c r="AM86" s="179"/>
      <c r="AN86" s="179"/>
      <c r="AO86" s="179"/>
      <c r="AP86" s="179"/>
      <c r="AQ86" s="179"/>
      <c r="AR86" s="184">
        <v>1.0</v>
      </c>
      <c r="AS86" s="179"/>
      <c r="AT86" s="179"/>
      <c r="AU86" s="179"/>
      <c r="AV86" s="179"/>
      <c r="AW86" s="179"/>
      <c r="AX86" s="179"/>
      <c r="AY86" s="179"/>
      <c r="AZ86" s="179"/>
      <c r="BA86" s="179"/>
      <c r="BB86" s="184">
        <v>1.0</v>
      </c>
      <c r="BC86" s="179"/>
      <c r="BD86" s="179"/>
      <c r="BE86" s="179"/>
      <c r="BF86" s="179"/>
      <c r="BG86" s="118">
        <f t="shared" si="34"/>
        <v>2</v>
      </c>
      <c r="BH86" s="122">
        <f t="shared" si="35"/>
        <v>66.66666667</v>
      </c>
      <c r="BI86" s="182">
        <v>1.0</v>
      </c>
      <c r="BJ86" s="179"/>
      <c r="BK86" s="179"/>
      <c r="BL86" s="179"/>
      <c r="BM86" s="179"/>
      <c r="BN86" s="179"/>
      <c r="BO86" s="179"/>
      <c r="BP86" s="179"/>
      <c r="BQ86" s="179"/>
      <c r="BR86" s="179"/>
      <c r="BS86" s="179"/>
      <c r="BT86" s="179"/>
      <c r="BU86" s="185"/>
      <c r="BV86" s="179"/>
      <c r="BW86" s="186"/>
      <c r="BX86" s="186"/>
      <c r="BY86" s="186"/>
      <c r="BZ86" s="186"/>
      <c r="CA86" s="186"/>
      <c r="CB86" s="186"/>
      <c r="CC86" s="200">
        <v>1.0</v>
      </c>
      <c r="CD86" s="186"/>
      <c r="CE86" s="172">
        <f t="shared" si="36"/>
        <v>2</v>
      </c>
      <c r="CF86" s="173">
        <f t="shared" si="37"/>
        <v>100</v>
      </c>
      <c r="CG86" s="199"/>
      <c r="CH86" s="186"/>
      <c r="CI86" s="186"/>
      <c r="CJ86" s="186"/>
      <c r="CK86" s="186"/>
      <c r="CL86" s="186"/>
      <c r="CM86" s="186"/>
      <c r="CN86" s="186"/>
      <c r="CO86" s="186"/>
      <c r="CP86" s="186"/>
      <c r="CQ86" s="186"/>
      <c r="CR86" s="186"/>
      <c r="CS86" s="175">
        <f t="shared" si="38"/>
        <v>0</v>
      </c>
      <c r="CT86" s="158">
        <f t="shared" si="39"/>
        <v>0</v>
      </c>
    </row>
    <row r="87" ht="15.75" customHeight="1">
      <c r="A87" s="131">
        <v>77.0</v>
      </c>
      <c r="B87" s="126" t="s">
        <v>205</v>
      </c>
      <c r="C87" s="260" t="s">
        <v>206</v>
      </c>
      <c r="D87" s="250">
        <f t="shared" si="6"/>
        <v>2</v>
      </c>
      <c r="E87" s="113">
        <f t="shared" si="27"/>
        <v>20</v>
      </c>
      <c r="F87" s="114">
        <f t="shared" si="28"/>
        <v>20</v>
      </c>
      <c r="G87" s="202">
        <f t="shared" si="29"/>
        <v>20</v>
      </c>
      <c r="H87" s="183"/>
      <c r="I87" s="179"/>
      <c r="J87" s="179"/>
      <c r="K87" s="179"/>
      <c r="L87" s="179"/>
      <c r="M87" s="118">
        <f t="shared" si="30"/>
        <v>0</v>
      </c>
      <c r="N87" s="119" t="str">
        <f t="shared" si="31"/>
        <v>#DIV/0!</v>
      </c>
      <c r="O87" s="176"/>
      <c r="P87" s="179"/>
      <c r="Q87" s="179"/>
      <c r="R87" s="179"/>
      <c r="S87" s="179"/>
      <c r="T87" s="179"/>
      <c r="U87" s="179"/>
      <c r="V87" s="179"/>
      <c r="W87" s="179"/>
      <c r="X87" s="179"/>
      <c r="Y87" s="179"/>
      <c r="Z87" s="179"/>
      <c r="AA87" s="184">
        <v>1.0</v>
      </c>
      <c r="AB87" s="179"/>
      <c r="AC87" s="179"/>
      <c r="AD87" s="179"/>
      <c r="AE87" s="179"/>
      <c r="AF87" s="176"/>
      <c r="AG87" s="176"/>
      <c r="AH87" s="176"/>
      <c r="AI87" s="176"/>
      <c r="AJ87" s="251">
        <f t="shared" si="32"/>
        <v>1</v>
      </c>
      <c r="AK87" s="169">
        <f t="shared" si="33"/>
        <v>33.33333333</v>
      </c>
      <c r="AL87" s="183"/>
      <c r="AM87" s="179"/>
      <c r="AN87" s="179"/>
      <c r="AO87" s="179"/>
      <c r="AP87" s="179"/>
      <c r="AQ87" s="179"/>
      <c r="AR87" s="179"/>
      <c r="AS87" s="179"/>
      <c r="AT87" s="179"/>
      <c r="AU87" s="179"/>
      <c r="AV87" s="179"/>
      <c r="AW87" s="179"/>
      <c r="AX87" s="179"/>
      <c r="AY87" s="179"/>
      <c r="AZ87" s="179"/>
      <c r="BA87" s="179"/>
      <c r="BB87" s="179"/>
      <c r="BC87" s="179"/>
      <c r="BD87" s="179"/>
      <c r="BE87" s="179"/>
      <c r="BF87" s="179"/>
      <c r="BG87" s="118">
        <f t="shared" si="34"/>
        <v>0</v>
      </c>
      <c r="BH87" s="122">
        <f t="shared" si="35"/>
        <v>0</v>
      </c>
      <c r="BI87" s="176"/>
      <c r="BJ87" s="179"/>
      <c r="BK87" s="179"/>
      <c r="BL87" s="179"/>
      <c r="BM87" s="179"/>
      <c r="BN87" s="179"/>
      <c r="BO87" s="179"/>
      <c r="BP87" s="179"/>
      <c r="BQ87" s="179"/>
      <c r="BR87" s="179"/>
      <c r="BS87" s="179"/>
      <c r="BT87" s="179"/>
      <c r="BU87" s="171"/>
      <c r="BV87" s="179"/>
      <c r="BW87" s="186"/>
      <c r="BX87" s="186"/>
      <c r="BY87" s="186"/>
      <c r="BZ87" s="186"/>
      <c r="CA87" s="186"/>
      <c r="CB87" s="186"/>
      <c r="CC87" s="200">
        <v>1.0</v>
      </c>
      <c r="CD87" s="186"/>
      <c r="CE87" s="172">
        <f t="shared" si="36"/>
        <v>1</v>
      </c>
      <c r="CF87" s="173">
        <f t="shared" si="37"/>
        <v>50</v>
      </c>
      <c r="CG87" s="199"/>
      <c r="CH87" s="186"/>
      <c r="CI87" s="186"/>
      <c r="CJ87" s="186"/>
      <c r="CK87" s="186"/>
      <c r="CL87" s="186"/>
      <c r="CM87" s="186"/>
      <c r="CN87" s="186"/>
      <c r="CO87" s="186"/>
      <c r="CP87" s="186"/>
      <c r="CQ87" s="186"/>
      <c r="CR87" s="186"/>
      <c r="CS87" s="175">
        <f t="shared" si="38"/>
        <v>0</v>
      </c>
      <c r="CT87" s="158">
        <f t="shared" si="39"/>
        <v>0</v>
      </c>
    </row>
    <row r="88" ht="15.75" customHeight="1">
      <c r="A88" s="146">
        <v>78.0</v>
      </c>
      <c r="B88" s="111" t="s">
        <v>207</v>
      </c>
      <c r="C88" s="112" t="s">
        <v>208</v>
      </c>
      <c r="D88" s="250">
        <f t="shared" si="6"/>
        <v>3</v>
      </c>
      <c r="E88" s="113">
        <f t="shared" si="27"/>
        <v>30</v>
      </c>
      <c r="F88" s="114">
        <f t="shared" si="28"/>
        <v>30</v>
      </c>
      <c r="G88" s="164" t="str">
        <f t="shared" si="29"/>
        <v>  </v>
      </c>
      <c r="H88" s="183"/>
      <c r="I88" s="179"/>
      <c r="J88" s="179"/>
      <c r="K88" s="179"/>
      <c r="L88" s="179"/>
      <c r="M88" s="118">
        <f t="shared" si="30"/>
        <v>0</v>
      </c>
      <c r="N88" s="119" t="str">
        <f t="shared" si="31"/>
        <v>#DIV/0!</v>
      </c>
      <c r="O88" s="176"/>
      <c r="P88" s="179"/>
      <c r="Q88" s="179"/>
      <c r="R88" s="179"/>
      <c r="S88" s="179"/>
      <c r="T88" s="179"/>
      <c r="U88" s="179"/>
      <c r="V88" s="179"/>
      <c r="W88" s="179"/>
      <c r="X88" s="179"/>
      <c r="Y88" s="179"/>
      <c r="Z88" s="179"/>
      <c r="AA88" s="184">
        <v>1.0</v>
      </c>
      <c r="AB88" s="179"/>
      <c r="AC88" s="179"/>
      <c r="AD88" s="179"/>
      <c r="AE88" s="179"/>
      <c r="AF88" s="176"/>
      <c r="AG88" s="176"/>
      <c r="AH88" s="176"/>
      <c r="AI88" s="176"/>
      <c r="AJ88" s="251">
        <f t="shared" si="32"/>
        <v>1</v>
      </c>
      <c r="AK88" s="169">
        <f t="shared" si="33"/>
        <v>33.33333333</v>
      </c>
      <c r="AL88" s="183"/>
      <c r="AM88" s="179"/>
      <c r="AN88" s="179"/>
      <c r="AO88" s="179"/>
      <c r="AP88" s="179"/>
      <c r="AQ88" s="179"/>
      <c r="AR88" s="179"/>
      <c r="AS88" s="179"/>
      <c r="AT88" s="179"/>
      <c r="AU88" s="179"/>
      <c r="AV88" s="179"/>
      <c r="AW88" s="179"/>
      <c r="AX88" s="179"/>
      <c r="AY88" s="179"/>
      <c r="AZ88" s="179"/>
      <c r="BA88" s="179"/>
      <c r="BB88" s="179"/>
      <c r="BC88" s="179"/>
      <c r="BD88" s="179"/>
      <c r="BE88" s="179"/>
      <c r="BF88" s="179"/>
      <c r="BG88" s="118">
        <f t="shared" si="34"/>
        <v>0</v>
      </c>
      <c r="BH88" s="122">
        <f t="shared" si="35"/>
        <v>0</v>
      </c>
      <c r="BI88" s="182">
        <v>1.0</v>
      </c>
      <c r="BJ88" s="179"/>
      <c r="BK88" s="179"/>
      <c r="BL88" s="179"/>
      <c r="BM88" s="179"/>
      <c r="BN88" s="179"/>
      <c r="BO88" s="179"/>
      <c r="BP88" s="179"/>
      <c r="BQ88" s="179"/>
      <c r="BR88" s="179"/>
      <c r="BS88" s="184">
        <v>1.0</v>
      </c>
      <c r="BT88" s="179"/>
      <c r="BU88" s="171"/>
      <c r="BV88" s="179"/>
      <c r="BW88" s="186"/>
      <c r="BX88" s="186"/>
      <c r="BY88" s="186"/>
      <c r="BZ88" s="186"/>
      <c r="CA88" s="186"/>
      <c r="CB88" s="186"/>
      <c r="CC88" s="186"/>
      <c r="CD88" s="186"/>
      <c r="CE88" s="172">
        <f t="shared" si="36"/>
        <v>2</v>
      </c>
      <c r="CF88" s="173">
        <f t="shared" si="37"/>
        <v>100</v>
      </c>
      <c r="CG88" s="199"/>
      <c r="CH88" s="163"/>
      <c r="CI88" s="186"/>
      <c r="CJ88" s="186"/>
      <c r="CK88" s="186"/>
      <c r="CL88" s="186"/>
      <c r="CM88" s="163"/>
      <c r="CN88" s="186"/>
      <c r="CO88" s="186"/>
      <c r="CP88" s="186"/>
      <c r="CQ88" s="186"/>
      <c r="CR88" s="186"/>
      <c r="CS88" s="175">
        <f t="shared" si="38"/>
        <v>0</v>
      </c>
      <c r="CT88" s="158">
        <f t="shared" si="39"/>
        <v>0</v>
      </c>
    </row>
    <row r="89" ht="15.75" customHeight="1">
      <c r="A89" s="146">
        <v>79.0</v>
      </c>
      <c r="B89" s="111" t="s">
        <v>209</v>
      </c>
      <c r="C89" s="112" t="s">
        <v>210</v>
      </c>
      <c r="D89" s="250">
        <f t="shared" si="6"/>
        <v>7</v>
      </c>
      <c r="E89" s="113">
        <f t="shared" si="27"/>
        <v>70</v>
      </c>
      <c r="F89" s="114" t="str">
        <f t="shared" si="28"/>
        <v>  </v>
      </c>
      <c r="G89" s="164" t="str">
        <f t="shared" si="29"/>
        <v>  </v>
      </c>
      <c r="H89" s="183"/>
      <c r="I89" s="179"/>
      <c r="J89" s="179"/>
      <c r="K89" s="166"/>
      <c r="L89" s="166"/>
      <c r="M89" s="118">
        <f t="shared" si="30"/>
        <v>0</v>
      </c>
      <c r="N89" s="119" t="str">
        <f t="shared" si="31"/>
        <v>#DIV/0!</v>
      </c>
      <c r="O89" s="176"/>
      <c r="P89" s="179"/>
      <c r="Q89" s="179"/>
      <c r="R89" s="179"/>
      <c r="S89" s="179"/>
      <c r="T89" s="179"/>
      <c r="U89" s="179"/>
      <c r="V89" s="179"/>
      <c r="W89" s="184">
        <v>1.0</v>
      </c>
      <c r="X89" s="179"/>
      <c r="Y89" s="179"/>
      <c r="Z89" s="179"/>
      <c r="AA89" s="184">
        <v>1.0</v>
      </c>
      <c r="AB89" s="179"/>
      <c r="AC89" s="179"/>
      <c r="AD89" s="179"/>
      <c r="AE89" s="179"/>
      <c r="AF89" s="176"/>
      <c r="AG89" s="176"/>
      <c r="AH89" s="176"/>
      <c r="AI89" s="176"/>
      <c r="AJ89" s="251">
        <f t="shared" si="32"/>
        <v>2</v>
      </c>
      <c r="AK89" s="169">
        <f t="shared" si="33"/>
        <v>66.66666667</v>
      </c>
      <c r="AL89" s="183"/>
      <c r="AM89" s="179"/>
      <c r="AN89" s="179"/>
      <c r="AO89" s="179"/>
      <c r="AP89" s="179"/>
      <c r="AQ89" s="179"/>
      <c r="AR89" s="184">
        <v>1.0</v>
      </c>
      <c r="AS89" s="179"/>
      <c r="AT89" s="179"/>
      <c r="AU89" s="179"/>
      <c r="AV89" s="179"/>
      <c r="AW89" s="179"/>
      <c r="AX89" s="179"/>
      <c r="AY89" s="179"/>
      <c r="AZ89" s="179"/>
      <c r="BA89" s="179"/>
      <c r="BB89" s="184">
        <v>1.0</v>
      </c>
      <c r="BC89" s="179"/>
      <c r="BD89" s="179"/>
      <c r="BE89" s="179"/>
      <c r="BF89" s="179"/>
      <c r="BG89" s="118">
        <f t="shared" si="34"/>
        <v>2</v>
      </c>
      <c r="BH89" s="122">
        <f t="shared" si="35"/>
        <v>66.66666667</v>
      </c>
      <c r="BI89" s="176"/>
      <c r="BJ89" s="179"/>
      <c r="BK89" s="179"/>
      <c r="BL89" s="179"/>
      <c r="BM89" s="179"/>
      <c r="BN89" s="179"/>
      <c r="BO89" s="179"/>
      <c r="BP89" s="179"/>
      <c r="BQ89" s="179"/>
      <c r="BR89" s="179"/>
      <c r="BS89" s="184">
        <v>1.0</v>
      </c>
      <c r="BT89" s="179"/>
      <c r="BU89" s="171"/>
      <c r="BV89" s="179"/>
      <c r="BW89" s="186"/>
      <c r="BX89" s="200">
        <v>1.0</v>
      </c>
      <c r="BY89" s="186"/>
      <c r="BZ89" s="186"/>
      <c r="CA89" s="186"/>
      <c r="CB89" s="186"/>
      <c r="CC89" s="200">
        <v>1.0</v>
      </c>
      <c r="CD89" s="186"/>
      <c r="CE89" s="172">
        <f t="shared" si="36"/>
        <v>3</v>
      </c>
      <c r="CF89" s="173">
        <f t="shared" si="37"/>
        <v>150</v>
      </c>
      <c r="CG89" s="199"/>
      <c r="CH89" s="163"/>
      <c r="CI89" s="186"/>
      <c r="CJ89" s="186"/>
      <c r="CK89" s="186"/>
      <c r="CL89" s="186"/>
      <c r="CM89" s="163"/>
      <c r="CN89" s="186"/>
      <c r="CO89" s="186"/>
      <c r="CP89" s="186"/>
      <c r="CQ89" s="186"/>
      <c r="CR89" s="186"/>
      <c r="CS89" s="175">
        <f t="shared" si="38"/>
        <v>0</v>
      </c>
      <c r="CT89" s="158">
        <f t="shared" si="39"/>
        <v>0</v>
      </c>
    </row>
    <row r="90" ht="15.75" customHeight="1">
      <c r="A90" s="131">
        <v>80.0</v>
      </c>
      <c r="B90" s="111" t="s">
        <v>211</v>
      </c>
      <c r="C90" s="112" t="s">
        <v>212</v>
      </c>
      <c r="D90" s="250">
        <f t="shared" si="6"/>
        <v>5</v>
      </c>
      <c r="E90" s="113">
        <f t="shared" si="27"/>
        <v>50</v>
      </c>
      <c r="F90" s="114" t="str">
        <f t="shared" si="28"/>
        <v>  </v>
      </c>
      <c r="G90" s="164" t="str">
        <f t="shared" si="29"/>
        <v>  </v>
      </c>
      <c r="H90" s="183"/>
      <c r="I90" s="179"/>
      <c r="J90" s="179"/>
      <c r="K90" s="166"/>
      <c r="L90" s="166"/>
      <c r="M90" s="118">
        <f t="shared" si="30"/>
        <v>0</v>
      </c>
      <c r="N90" s="119" t="str">
        <f t="shared" si="31"/>
        <v>#DIV/0!</v>
      </c>
      <c r="O90" s="176"/>
      <c r="P90" s="179"/>
      <c r="Q90" s="179"/>
      <c r="R90" s="179"/>
      <c r="S90" s="179"/>
      <c r="T90" s="179"/>
      <c r="U90" s="179"/>
      <c r="V90" s="179"/>
      <c r="W90" s="184">
        <v>1.0</v>
      </c>
      <c r="X90" s="179"/>
      <c r="Y90" s="179"/>
      <c r="Z90" s="179"/>
      <c r="AA90" s="179"/>
      <c r="AB90" s="179"/>
      <c r="AC90" s="179"/>
      <c r="AD90" s="179"/>
      <c r="AE90" s="179"/>
      <c r="AF90" s="182">
        <v>1.0</v>
      </c>
      <c r="AG90" s="176"/>
      <c r="AH90" s="176"/>
      <c r="AI90" s="176"/>
      <c r="AJ90" s="251">
        <f t="shared" si="32"/>
        <v>2</v>
      </c>
      <c r="AK90" s="169">
        <f t="shared" si="33"/>
        <v>66.66666667</v>
      </c>
      <c r="AL90" s="183"/>
      <c r="AM90" s="184">
        <v>1.0</v>
      </c>
      <c r="AN90" s="179"/>
      <c r="AO90" s="179"/>
      <c r="AP90" s="179"/>
      <c r="AQ90" s="179"/>
      <c r="AR90" s="179"/>
      <c r="AS90" s="179"/>
      <c r="AT90" s="179"/>
      <c r="AU90" s="179"/>
      <c r="AV90" s="179"/>
      <c r="AW90" s="179"/>
      <c r="AX90" s="179"/>
      <c r="AY90" s="179"/>
      <c r="AZ90" s="179"/>
      <c r="BA90" s="179"/>
      <c r="BB90" s="179"/>
      <c r="BC90" s="179"/>
      <c r="BD90" s="179"/>
      <c r="BE90" s="179"/>
      <c r="BF90" s="179"/>
      <c r="BG90" s="118">
        <f t="shared" si="34"/>
        <v>1</v>
      </c>
      <c r="BH90" s="122">
        <f t="shared" si="35"/>
        <v>33.33333333</v>
      </c>
      <c r="BI90" s="182">
        <v>1.0</v>
      </c>
      <c r="BJ90" s="179"/>
      <c r="BK90" s="179"/>
      <c r="BL90" s="179"/>
      <c r="BM90" s="179"/>
      <c r="BN90" s="179"/>
      <c r="BO90" s="179"/>
      <c r="BP90" s="179"/>
      <c r="BQ90" s="179"/>
      <c r="BR90" s="179"/>
      <c r="BS90" s="184">
        <v>1.0</v>
      </c>
      <c r="BT90" s="179"/>
      <c r="BU90" s="171"/>
      <c r="BV90" s="179"/>
      <c r="BW90" s="186"/>
      <c r="BX90" s="186"/>
      <c r="BY90" s="186"/>
      <c r="BZ90" s="186"/>
      <c r="CA90" s="186"/>
      <c r="CB90" s="186"/>
      <c r="CC90" s="186"/>
      <c r="CD90" s="186"/>
      <c r="CE90" s="172">
        <f t="shared" si="36"/>
        <v>2</v>
      </c>
      <c r="CF90" s="173">
        <f t="shared" si="37"/>
        <v>100</v>
      </c>
      <c r="CG90" s="199"/>
      <c r="CH90" s="163"/>
      <c r="CI90" s="186"/>
      <c r="CJ90" s="186"/>
      <c r="CK90" s="186"/>
      <c r="CL90" s="186"/>
      <c r="CM90" s="163"/>
      <c r="CN90" s="186"/>
      <c r="CO90" s="186"/>
      <c r="CP90" s="186"/>
      <c r="CQ90" s="186"/>
      <c r="CR90" s="186"/>
      <c r="CS90" s="175">
        <f t="shared" si="38"/>
        <v>0</v>
      </c>
      <c r="CT90" s="158">
        <f t="shared" si="39"/>
        <v>0</v>
      </c>
    </row>
    <row r="91" ht="15.75" customHeight="1">
      <c r="A91" s="146">
        <v>81.0</v>
      </c>
      <c r="B91" s="111" t="s">
        <v>213</v>
      </c>
      <c r="C91" s="112" t="s">
        <v>214</v>
      </c>
      <c r="D91" s="250">
        <f t="shared" si="6"/>
        <v>8</v>
      </c>
      <c r="E91" s="113">
        <f t="shared" si="27"/>
        <v>80</v>
      </c>
      <c r="F91" s="114" t="str">
        <f t="shared" si="28"/>
        <v>  </v>
      </c>
      <c r="G91" s="164" t="str">
        <f t="shared" si="29"/>
        <v>  </v>
      </c>
      <c r="H91" s="183"/>
      <c r="I91" s="179"/>
      <c r="J91" s="179"/>
      <c r="K91" s="166"/>
      <c r="L91" s="166"/>
      <c r="M91" s="118">
        <f t="shared" si="30"/>
        <v>0</v>
      </c>
      <c r="N91" s="119" t="str">
        <f t="shared" si="31"/>
        <v>#DIV/0!</v>
      </c>
      <c r="O91" s="176"/>
      <c r="P91" s="179"/>
      <c r="Q91" s="179"/>
      <c r="R91" s="179"/>
      <c r="S91" s="179"/>
      <c r="T91" s="179"/>
      <c r="U91" s="179"/>
      <c r="V91" s="179"/>
      <c r="W91" s="179"/>
      <c r="X91" s="179"/>
      <c r="Y91" s="179"/>
      <c r="Z91" s="179"/>
      <c r="AA91" s="184">
        <v>1.0</v>
      </c>
      <c r="AB91" s="179"/>
      <c r="AC91" s="179"/>
      <c r="AD91" s="179"/>
      <c r="AE91" s="179"/>
      <c r="AF91" s="182">
        <v>1.0</v>
      </c>
      <c r="AG91" s="176"/>
      <c r="AH91" s="176"/>
      <c r="AI91" s="176"/>
      <c r="AJ91" s="251">
        <f t="shared" si="32"/>
        <v>2</v>
      </c>
      <c r="AK91" s="169">
        <f t="shared" si="33"/>
        <v>66.66666667</v>
      </c>
      <c r="AL91" s="183"/>
      <c r="AM91" s="184">
        <v>1.0</v>
      </c>
      <c r="AN91" s="179"/>
      <c r="AO91" s="179"/>
      <c r="AP91" s="179"/>
      <c r="AQ91" s="179"/>
      <c r="AR91" s="179"/>
      <c r="AS91" s="179"/>
      <c r="AT91" s="179"/>
      <c r="AU91" s="179"/>
      <c r="AV91" s="179"/>
      <c r="AW91" s="179"/>
      <c r="AX91" s="179"/>
      <c r="AY91" s="179"/>
      <c r="AZ91" s="179"/>
      <c r="BA91" s="179"/>
      <c r="BB91" s="184">
        <v>1.0</v>
      </c>
      <c r="BC91" s="179"/>
      <c r="BD91" s="179"/>
      <c r="BE91" s="179"/>
      <c r="BF91" s="179"/>
      <c r="BG91" s="118">
        <f t="shared" si="34"/>
        <v>2</v>
      </c>
      <c r="BH91" s="122">
        <f t="shared" si="35"/>
        <v>66.66666667</v>
      </c>
      <c r="BI91" s="182">
        <v>1.0</v>
      </c>
      <c r="BJ91" s="179"/>
      <c r="BK91" s="179"/>
      <c r="BL91" s="179"/>
      <c r="BM91" s="179"/>
      <c r="BN91" s="179"/>
      <c r="BO91" s="179"/>
      <c r="BP91" s="179"/>
      <c r="BQ91" s="179"/>
      <c r="BR91" s="179"/>
      <c r="BS91" s="184">
        <v>1.0</v>
      </c>
      <c r="BT91" s="179"/>
      <c r="BU91" s="171"/>
      <c r="BV91" s="179"/>
      <c r="BW91" s="186"/>
      <c r="BX91" s="200">
        <v>1.0</v>
      </c>
      <c r="BY91" s="186"/>
      <c r="BZ91" s="186"/>
      <c r="CA91" s="186"/>
      <c r="CB91" s="186"/>
      <c r="CC91" s="200">
        <v>1.0</v>
      </c>
      <c r="CD91" s="186"/>
      <c r="CE91" s="172">
        <f t="shared" si="36"/>
        <v>4</v>
      </c>
      <c r="CF91" s="173">
        <f t="shared" si="37"/>
        <v>200</v>
      </c>
      <c r="CG91" s="199"/>
      <c r="CH91" s="163"/>
      <c r="CI91" s="186"/>
      <c r="CJ91" s="186"/>
      <c r="CK91" s="186"/>
      <c r="CL91" s="186"/>
      <c r="CM91" s="163"/>
      <c r="CN91" s="186"/>
      <c r="CO91" s="186"/>
      <c r="CP91" s="186"/>
      <c r="CQ91" s="186"/>
      <c r="CR91" s="186"/>
      <c r="CS91" s="175">
        <f t="shared" si="38"/>
        <v>0</v>
      </c>
      <c r="CT91" s="158">
        <f t="shared" si="39"/>
        <v>0</v>
      </c>
    </row>
    <row r="92" ht="15.75" customHeight="1">
      <c r="A92" s="146">
        <v>82.0</v>
      </c>
      <c r="B92" s="111" t="s">
        <v>215</v>
      </c>
      <c r="C92" s="112" t="s">
        <v>216</v>
      </c>
      <c r="D92" s="250">
        <f t="shared" si="6"/>
        <v>9</v>
      </c>
      <c r="E92" s="113">
        <f t="shared" si="27"/>
        <v>90</v>
      </c>
      <c r="F92" s="114" t="str">
        <f t="shared" si="28"/>
        <v>  </v>
      </c>
      <c r="G92" s="164" t="str">
        <f t="shared" si="29"/>
        <v>  </v>
      </c>
      <c r="H92" s="163"/>
      <c r="I92" s="163"/>
      <c r="J92" s="163"/>
      <c r="K92" s="163"/>
      <c r="L92" s="163"/>
      <c r="M92" s="118">
        <f t="shared" si="30"/>
        <v>0</v>
      </c>
      <c r="N92" s="119" t="str">
        <f t="shared" si="31"/>
        <v>#DIV/0!</v>
      </c>
      <c r="O92" s="163"/>
      <c r="P92" s="163"/>
      <c r="Q92" s="163"/>
      <c r="R92" s="163"/>
      <c r="S92" s="163"/>
      <c r="T92" s="163"/>
      <c r="U92" s="163"/>
      <c r="V92" s="163"/>
      <c r="W92" s="262">
        <v>1.0</v>
      </c>
      <c r="X92" s="163"/>
      <c r="Y92" s="163"/>
      <c r="Z92" s="163"/>
      <c r="AA92" s="262">
        <v>1.0</v>
      </c>
      <c r="AB92" s="163"/>
      <c r="AC92" s="163"/>
      <c r="AD92" s="163"/>
      <c r="AE92" s="163"/>
      <c r="AF92" s="263"/>
      <c r="AG92" s="263"/>
      <c r="AH92" s="263"/>
      <c r="AI92" s="263"/>
      <c r="AJ92" s="251">
        <f t="shared" si="32"/>
        <v>2</v>
      </c>
      <c r="AK92" s="169">
        <f t="shared" si="33"/>
        <v>66.66666667</v>
      </c>
      <c r="AL92" s="163"/>
      <c r="AM92" s="262">
        <v>1.0</v>
      </c>
      <c r="AN92" s="163"/>
      <c r="AO92" s="163"/>
      <c r="AP92" s="163"/>
      <c r="AQ92" s="163"/>
      <c r="AR92" s="262">
        <v>1.0</v>
      </c>
      <c r="AS92" s="163"/>
      <c r="AT92" s="163"/>
      <c r="AU92" s="163"/>
      <c r="AV92" s="163"/>
      <c r="AW92" s="163"/>
      <c r="AX92" s="163"/>
      <c r="AY92" s="163"/>
      <c r="AZ92" s="163"/>
      <c r="BA92" s="163"/>
      <c r="BB92" s="262">
        <v>1.0</v>
      </c>
      <c r="BC92" s="163"/>
      <c r="BD92" s="163"/>
      <c r="BE92" s="163"/>
      <c r="BF92" s="163"/>
      <c r="BG92" s="118">
        <f t="shared" si="34"/>
        <v>3</v>
      </c>
      <c r="BH92" s="122">
        <f t="shared" si="35"/>
        <v>100</v>
      </c>
      <c r="BI92" s="262">
        <v>1.0</v>
      </c>
      <c r="BJ92" s="163"/>
      <c r="BK92" s="163"/>
      <c r="BL92" s="163"/>
      <c r="BM92" s="163"/>
      <c r="BN92" s="163"/>
      <c r="BO92" s="163"/>
      <c r="BP92" s="163"/>
      <c r="BQ92" s="163"/>
      <c r="BR92" s="163"/>
      <c r="BS92" s="262">
        <v>1.0</v>
      </c>
      <c r="BT92" s="163"/>
      <c r="BU92" s="171"/>
      <c r="BV92" s="163"/>
      <c r="BW92" s="163"/>
      <c r="BX92" s="262">
        <v>1.0</v>
      </c>
      <c r="BY92" s="163"/>
      <c r="BZ92" s="163"/>
      <c r="CA92" s="163"/>
      <c r="CB92" s="163"/>
      <c r="CC92" s="262">
        <v>1.0</v>
      </c>
      <c r="CD92" s="163"/>
      <c r="CE92" s="172">
        <f t="shared" si="36"/>
        <v>4</v>
      </c>
      <c r="CF92" s="173">
        <f t="shared" si="37"/>
        <v>200</v>
      </c>
      <c r="CG92" s="163"/>
      <c r="CH92" s="163"/>
      <c r="CI92" s="163"/>
      <c r="CJ92" s="163"/>
      <c r="CK92" s="163"/>
      <c r="CL92" s="163"/>
      <c r="CM92" s="163"/>
      <c r="CN92" s="163"/>
      <c r="CO92" s="163"/>
      <c r="CP92" s="163"/>
      <c r="CQ92" s="163"/>
      <c r="CR92" s="163"/>
      <c r="CS92" s="175">
        <f t="shared" si="38"/>
        <v>0</v>
      </c>
      <c r="CT92" s="158">
        <f t="shared" si="39"/>
        <v>0</v>
      </c>
    </row>
    <row r="93" ht="15.75" customHeight="1">
      <c r="A93" s="131">
        <v>83.0</v>
      </c>
      <c r="B93" s="111" t="s">
        <v>217</v>
      </c>
      <c r="C93" s="112" t="s">
        <v>218</v>
      </c>
      <c r="D93" s="250">
        <f t="shared" si="6"/>
        <v>0</v>
      </c>
      <c r="E93" s="113">
        <f t="shared" si="27"/>
        <v>0</v>
      </c>
      <c r="F93" s="114">
        <f t="shared" si="28"/>
        <v>0</v>
      </c>
      <c r="G93" s="202">
        <f t="shared" si="29"/>
        <v>0</v>
      </c>
      <c r="H93" s="163"/>
      <c r="I93" s="163"/>
      <c r="J93" s="163"/>
      <c r="K93" s="163"/>
      <c r="L93" s="163"/>
      <c r="M93" s="118">
        <f t="shared" si="30"/>
        <v>0</v>
      </c>
      <c r="N93" s="119" t="str">
        <f t="shared" si="31"/>
        <v>#DIV/0!</v>
      </c>
      <c r="O93" s="163"/>
      <c r="P93" s="163"/>
      <c r="Q93" s="163"/>
      <c r="R93" s="163"/>
      <c r="S93" s="163"/>
      <c r="T93" s="163"/>
      <c r="U93" s="163"/>
      <c r="V93" s="163"/>
      <c r="W93" s="163"/>
      <c r="X93" s="163"/>
      <c r="Y93" s="163"/>
      <c r="Z93" s="163"/>
      <c r="AA93" s="163"/>
      <c r="AB93" s="163"/>
      <c r="AC93" s="163"/>
      <c r="AD93" s="163"/>
      <c r="AE93" s="163"/>
      <c r="AF93" s="263"/>
      <c r="AG93" s="263"/>
      <c r="AH93" s="263"/>
      <c r="AI93" s="263"/>
      <c r="AJ93" s="251">
        <f t="shared" si="32"/>
        <v>0</v>
      </c>
      <c r="AK93" s="169">
        <f t="shared" si="33"/>
        <v>0</v>
      </c>
      <c r="AL93" s="163"/>
      <c r="AM93" s="163"/>
      <c r="AN93" s="163"/>
      <c r="AO93" s="163"/>
      <c r="AP93" s="163"/>
      <c r="AQ93" s="163"/>
      <c r="AR93" s="163"/>
      <c r="AS93" s="163"/>
      <c r="AT93" s="163"/>
      <c r="AU93" s="163"/>
      <c r="AV93" s="163"/>
      <c r="AW93" s="163"/>
      <c r="AX93" s="163"/>
      <c r="AY93" s="163"/>
      <c r="AZ93" s="163"/>
      <c r="BA93" s="163"/>
      <c r="BB93" s="163"/>
      <c r="BC93" s="163"/>
      <c r="BD93" s="163"/>
      <c r="BE93" s="163"/>
      <c r="BF93" s="163"/>
      <c r="BG93" s="118">
        <f t="shared" si="34"/>
        <v>0</v>
      </c>
      <c r="BH93" s="122">
        <f t="shared" si="35"/>
        <v>0</v>
      </c>
      <c r="BI93" s="163"/>
      <c r="BJ93" s="163"/>
      <c r="BK93" s="163"/>
      <c r="BL93" s="163"/>
      <c r="BM93" s="163"/>
      <c r="BN93" s="163"/>
      <c r="BO93" s="163"/>
      <c r="BP93" s="163"/>
      <c r="BQ93" s="163"/>
      <c r="BR93" s="163"/>
      <c r="BS93" s="163"/>
      <c r="BT93" s="163"/>
      <c r="BU93" s="171"/>
      <c r="BV93" s="163"/>
      <c r="BW93" s="163"/>
      <c r="BX93" s="163"/>
      <c r="BY93" s="163"/>
      <c r="BZ93" s="163"/>
      <c r="CA93" s="163"/>
      <c r="CB93" s="163"/>
      <c r="CC93" s="163"/>
      <c r="CD93" s="163"/>
      <c r="CE93" s="172">
        <f t="shared" si="36"/>
        <v>0</v>
      </c>
      <c r="CF93" s="173">
        <f t="shared" si="37"/>
        <v>0</v>
      </c>
      <c r="CG93" s="163"/>
      <c r="CH93" s="163"/>
      <c r="CI93" s="163"/>
      <c r="CJ93" s="163"/>
      <c r="CK93" s="163"/>
      <c r="CL93" s="163"/>
      <c r="CM93" s="163"/>
      <c r="CN93" s="163"/>
      <c r="CO93" s="163"/>
      <c r="CP93" s="163"/>
      <c r="CQ93" s="163"/>
      <c r="CR93" s="163"/>
      <c r="CS93" s="175">
        <f t="shared" si="38"/>
        <v>0</v>
      </c>
      <c r="CT93" s="158">
        <f t="shared" si="39"/>
        <v>0</v>
      </c>
    </row>
    <row r="94" ht="15.75" customHeight="1">
      <c r="A94" s="9"/>
      <c r="B94" s="11"/>
      <c r="C94" s="11"/>
      <c r="D94" s="9"/>
      <c r="E94" s="9"/>
      <c r="F94" s="9"/>
      <c r="G94" s="9"/>
      <c r="H94" s="11"/>
      <c r="I94" s="11"/>
      <c r="J94" s="11"/>
      <c r="K94" s="11"/>
      <c r="L94" s="11"/>
      <c r="M94" s="9"/>
      <c r="N94" s="9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9"/>
      <c r="AK94" s="13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9"/>
      <c r="BH94" s="15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9"/>
      <c r="CF94" s="9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</row>
    <row r="95" ht="15.75" customHeight="1">
      <c r="A95" s="9"/>
      <c r="B95" s="11"/>
      <c r="C95" s="11"/>
      <c r="D95" s="9"/>
      <c r="E95" s="9"/>
      <c r="F95" s="9"/>
      <c r="G95" s="9"/>
      <c r="H95" s="11"/>
      <c r="I95" s="11"/>
      <c r="J95" s="11"/>
      <c r="K95" s="11"/>
      <c r="L95" s="11"/>
      <c r="M95" s="9"/>
      <c r="N95" s="9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9"/>
      <c r="AK95" s="13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9"/>
      <c r="BH95" s="15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9"/>
      <c r="CF95" s="9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</row>
    <row r="96" ht="15.75" customHeight="1">
      <c r="A96" s="9"/>
      <c r="B96" s="11"/>
      <c r="C96" s="11"/>
      <c r="D96" s="9"/>
      <c r="E96" s="9"/>
      <c r="F96" s="9"/>
      <c r="G96" s="9"/>
      <c r="H96" s="11"/>
      <c r="I96" s="11"/>
      <c r="J96" s="11"/>
      <c r="K96" s="11"/>
      <c r="L96" s="11"/>
      <c r="M96" s="9"/>
      <c r="N96" s="9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9"/>
      <c r="AK96" s="13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9"/>
      <c r="BH96" s="15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9"/>
      <c r="CF96" s="9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</row>
    <row r="97" ht="15.75" customHeight="1">
      <c r="A97" s="9"/>
      <c r="B97" s="11"/>
      <c r="C97" s="11"/>
      <c r="D97" s="9"/>
      <c r="E97" s="9"/>
      <c r="F97" s="9"/>
      <c r="G97" s="9"/>
      <c r="H97" s="11"/>
      <c r="I97" s="11"/>
      <c r="J97" s="11"/>
      <c r="K97" s="11"/>
      <c r="L97" s="11"/>
      <c r="M97" s="9"/>
      <c r="N97" s="9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9"/>
      <c r="AK97" s="13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9"/>
      <c r="BH97" s="15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9"/>
      <c r="CF97" s="9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</row>
    <row r="98" ht="15.75" customHeight="1">
      <c r="A98" s="9"/>
      <c r="B98" s="11"/>
      <c r="C98" s="11"/>
      <c r="D98" s="9"/>
      <c r="E98" s="9"/>
      <c r="F98" s="9"/>
      <c r="G98" s="9"/>
      <c r="H98" s="11"/>
      <c r="I98" s="11"/>
      <c r="J98" s="11"/>
      <c r="K98" s="11"/>
      <c r="L98" s="11"/>
      <c r="M98" s="9"/>
      <c r="N98" s="9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9"/>
      <c r="AK98" s="13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9"/>
      <c r="BH98" s="15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9"/>
      <c r="CF98" s="9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</row>
    <row r="99" ht="15.75" customHeight="1">
      <c r="A99" s="9"/>
      <c r="B99" s="11"/>
      <c r="C99" s="11"/>
      <c r="D99" s="9"/>
      <c r="E99" s="9"/>
      <c r="F99" s="9"/>
      <c r="G99" s="9"/>
      <c r="H99" s="11"/>
      <c r="I99" s="11"/>
      <c r="J99" s="11"/>
      <c r="K99" s="11"/>
      <c r="L99" s="11"/>
      <c r="M99" s="9"/>
      <c r="N99" s="9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9"/>
      <c r="AK99" s="13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9"/>
      <c r="BH99" s="15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9"/>
      <c r="CF99" s="9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</row>
    <row r="100" ht="15.75" customHeight="1">
      <c r="A100" s="9"/>
      <c r="B100" s="11"/>
      <c r="C100" s="11"/>
      <c r="D100" s="9"/>
      <c r="E100" s="9"/>
      <c r="F100" s="9"/>
      <c r="G100" s="9"/>
      <c r="H100" s="11"/>
      <c r="I100" s="11"/>
      <c r="J100" s="11"/>
      <c r="K100" s="11"/>
      <c r="L100" s="11"/>
      <c r="M100" s="9"/>
      <c r="N100" s="9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9"/>
      <c r="AK100" s="13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9"/>
      <c r="BH100" s="15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9"/>
      <c r="CF100" s="9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</row>
    <row r="101" ht="15.75" customHeight="1">
      <c r="A101" s="9"/>
      <c r="B101" s="11"/>
      <c r="C101" s="11"/>
      <c r="D101" s="9"/>
      <c r="E101" s="9"/>
      <c r="F101" s="9"/>
      <c r="G101" s="9"/>
      <c r="H101" s="11"/>
      <c r="I101" s="11"/>
      <c r="J101" s="11"/>
      <c r="K101" s="11"/>
      <c r="L101" s="11"/>
      <c r="M101" s="9"/>
      <c r="N101" s="9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9"/>
      <c r="AK101" s="13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9"/>
      <c r="BH101" s="15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9"/>
      <c r="CF101" s="9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</row>
    <row r="102" ht="15.75" customHeight="1">
      <c r="A102" s="9"/>
      <c r="B102" s="11"/>
      <c r="C102" s="11"/>
      <c r="D102" s="9"/>
      <c r="E102" s="9"/>
      <c r="F102" s="9"/>
      <c r="G102" s="9"/>
      <c r="H102" s="11"/>
      <c r="I102" s="11"/>
      <c r="J102" s="11"/>
      <c r="K102" s="11"/>
      <c r="L102" s="11"/>
      <c r="M102" s="9"/>
      <c r="N102" s="9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9"/>
      <c r="AK102" s="13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9"/>
      <c r="BH102" s="15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9"/>
      <c r="CF102" s="9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</row>
    <row r="103" ht="15.75" customHeight="1">
      <c r="A103" s="9"/>
      <c r="B103" s="11"/>
      <c r="C103" s="11"/>
      <c r="D103" s="9"/>
      <c r="E103" s="9"/>
      <c r="F103" s="9"/>
      <c r="G103" s="9"/>
      <c r="H103" s="11"/>
      <c r="I103" s="11"/>
      <c r="J103" s="11"/>
      <c r="K103" s="11"/>
      <c r="L103" s="11"/>
      <c r="M103" s="9"/>
      <c r="N103" s="9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9"/>
      <c r="AK103" s="13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9"/>
      <c r="BH103" s="15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9"/>
      <c r="CF103" s="9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</row>
    <row r="104" ht="15.75" customHeight="1">
      <c r="A104" s="9"/>
      <c r="B104" s="11"/>
      <c r="C104" s="11"/>
      <c r="D104" s="9"/>
      <c r="E104" s="9"/>
      <c r="F104" s="9"/>
      <c r="G104" s="9"/>
      <c r="H104" s="11"/>
      <c r="I104" s="11"/>
      <c r="J104" s="11"/>
      <c r="K104" s="11"/>
      <c r="L104" s="11"/>
      <c r="M104" s="9"/>
      <c r="N104" s="9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9"/>
      <c r="AK104" s="13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9"/>
      <c r="BH104" s="15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9"/>
      <c r="CF104" s="9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</row>
    <row r="105" ht="15.75" customHeight="1">
      <c r="A105" s="9"/>
      <c r="B105" s="11"/>
      <c r="C105" s="11"/>
      <c r="D105" s="9"/>
      <c r="E105" s="9"/>
      <c r="F105" s="9"/>
      <c r="G105" s="9"/>
      <c r="H105" s="11"/>
      <c r="I105" s="11"/>
      <c r="J105" s="11"/>
      <c r="K105" s="11"/>
      <c r="L105" s="11"/>
      <c r="M105" s="9"/>
      <c r="N105" s="9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9"/>
      <c r="AK105" s="13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9"/>
      <c r="BH105" s="15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9"/>
      <c r="CF105" s="9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</row>
    <row r="106" ht="15.75" customHeight="1">
      <c r="A106" s="9"/>
      <c r="B106" s="11"/>
      <c r="C106" s="11"/>
      <c r="D106" s="9"/>
      <c r="E106" s="9"/>
      <c r="F106" s="9"/>
      <c r="G106" s="9"/>
      <c r="H106" s="11"/>
      <c r="I106" s="11"/>
      <c r="J106" s="11"/>
      <c r="K106" s="11"/>
      <c r="L106" s="11"/>
      <c r="M106" s="9"/>
      <c r="N106" s="9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9"/>
      <c r="AK106" s="13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9"/>
      <c r="BH106" s="15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9"/>
      <c r="CF106" s="9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</row>
    <row r="107" ht="15.75" customHeight="1">
      <c r="A107" s="9"/>
      <c r="B107" s="11"/>
      <c r="C107" s="11"/>
      <c r="D107" s="9"/>
      <c r="E107" s="9"/>
      <c r="F107" s="9"/>
      <c r="G107" s="9"/>
      <c r="H107" s="11"/>
      <c r="I107" s="11"/>
      <c r="J107" s="11"/>
      <c r="K107" s="11"/>
      <c r="L107" s="11"/>
      <c r="M107" s="9"/>
      <c r="N107" s="9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9"/>
      <c r="AK107" s="13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9"/>
      <c r="BH107" s="15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9"/>
      <c r="CF107" s="9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</row>
    <row r="108" ht="15.75" customHeight="1">
      <c r="A108" s="9"/>
      <c r="B108" s="11"/>
      <c r="C108" s="11"/>
      <c r="D108" s="9"/>
      <c r="E108" s="9"/>
      <c r="F108" s="9"/>
      <c r="G108" s="9"/>
      <c r="H108" s="11"/>
      <c r="I108" s="11"/>
      <c r="J108" s="11"/>
      <c r="K108" s="11"/>
      <c r="L108" s="11"/>
      <c r="M108" s="9"/>
      <c r="N108" s="9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9"/>
      <c r="AK108" s="13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9"/>
      <c r="BH108" s="15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9"/>
      <c r="CF108" s="9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</row>
    <row r="109" ht="15.75" customHeight="1">
      <c r="A109" s="9"/>
      <c r="B109" s="11"/>
      <c r="C109" s="11"/>
      <c r="D109" s="9"/>
      <c r="E109" s="9"/>
      <c r="F109" s="9"/>
      <c r="G109" s="9"/>
      <c r="H109" s="11"/>
      <c r="I109" s="11"/>
      <c r="J109" s="11"/>
      <c r="K109" s="11"/>
      <c r="L109" s="11"/>
      <c r="M109" s="9"/>
      <c r="N109" s="9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9"/>
      <c r="AK109" s="13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9"/>
      <c r="BH109" s="15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9"/>
      <c r="CF109" s="9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</row>
    <row r="110" ht="15.75" customHeight="1">
      <c r="A110" s="9"/>
      <c r="B110" s="11"/>
      <c r="C110" s="11"/>
      <c r="D110" s="9"/>
      <c r="E110" s="9"/>
      <c r="F110" s="9"/>
      <c r="G110" s="9"/>
      <c r="H110" s="11"/>
      <c r="I110" s="11"/>
      <c r="J110" s="11"/>
      <c r="K110" s="11"/>
      <c r="L110" s="11"/>
      <c r="M110" s="9"/>
      <c r="N110" s="9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9"/>
      <c r="AK110" s="13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9"/>
      <c r="BH110" s="15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9"/>
      <c r="CF110" s="9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</row>
    <row r="111" ht="15.75" customHeight="1">
      <c r="A111" s="9"/>
      <c r="B111" s="11"/>
      <c r="C111" s="11"/>
      <c r="D111" s="9"/>
      <c r="E111" s="9"/>
      <c r="F111" s="9"/>
      <c r="G111" s="9"/>
      <c r="H111" s="11"/>
      <c r="I111" s="11"/>
      <c r="J111" s="11"/>
      <c r="K111" s="11"/>
      <c r="L111" s="11"/>
      <c r="M111" s="9"/>
      <c r="N111" s="9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9"/>
      <c r="AK111" s="13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9"/>
      <c r="BH111" s="15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9"/>
      <c r="CF111" s="9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</row>
    <row r="112" ht="15.75" customHeight="1">
      <c r="A112" s="9"/>
      <c r="B112" s="11"/>
      <c r="C112" s="11"/>
      <c r="D112" s="9"/>
      <c r="E112" s="9"/>
      <c r="F112" s="9"/>
      <c r="G112" s="9"/>
      <c r="H112" s="11"/>
      <c r="I112" s="11"/>
      <c r="J112" s="11"/>
      <c r="K112" s="11"/>
      <c r="L112" s="11"/>
      <c r="M112" s="9"/>
      <c r="N112" s="9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9"/>
      <c r="AK112" s="13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9"/>
      <c r="BH112" s="15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9"/>
      <c r="CF112" s="9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</row>
    <row r="113" ht="15.75" customHeight="1">
      <c r="A113" s="9"/>
      <c r="B113" s="11"/>
      <c r="C113" s="11"/>
      <c r="D113" s="9"/>
      <c r="E113" s="9"/>
      <c r="F113" s="9"/>
      <c r="G113" s="9"/>
      <c r="H113" s="11"/>
      <c r="I113" s="11"/>
      <c r="J113" s="11"/>
      <c r="K113" s="11"/>
      <c r="L113" s="11"/>
      <c r="M113" s="9"/>
      <c r="N113" s="9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9"/>
      <c r="AK113" s="13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9"/>
      <c r="BH113" s="15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9"/>
      <c r="CF113" s="9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</row>
    <row r="114" ht="15.75" customHeight="1">
      <c r="A114" s="9"/>
      <c r="B114" s="11"/>
      <c r="C114" s="11"/>
      <c r="D114" s="9"/>
      <c r="E114" s="9"/>
      <c r="F114" s="9"/>
      <c r="G114" s="9"/>
      <c r="H114" s="11"/>
      <c r="I114" s="11"/>
      <c r="J114" s="11"/>
      <c r="K114" s="11"/>
      <c r="L114" s="11"/>
      <c r="M114" s="9"/>
      <c r="N114" s="9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9"/>
      <c r="AK114" s="13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9"/>
      <c r="BH114" s="15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9"/>
      <c r="CF114" s="9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</row>
    <row r="115" ht="15.75" customHeight="1">
      <c r="A115" s="9"/>
      <c r="B115" s="11"/>
      <c r="C115" s="11"/>
      <c r="D115" s="9"/>
      <c r="E115" s="9"/>
      <c r="F115" s="9"/>
      <c r="G115" s="9"/>
      <c r="H115" s="11"/>
      <c r="I115" s="11"/>
      <c r="J115" s="11"/>
      <c r="K115" s="11"/>
      <c r="L115" s="11"/>
      <c r="M115" s="9"/>
      <c r="N115" s="9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9"/>
      <c r="AK115" s="13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9"/>
      <c r="BH115" s="15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9"/>
      <c r="CF115" s="9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</row>
    <row r="116" ht="15.75" customHeight="1">
      <c r="A116" s="9"/>
      <c r="B116" s="11"/>
      <c r="C116" s="11"/>
      <c r="D116" s="9"/>
      <c r="E116" s="9"/>
      <c r="F116" s="9"/>
      <c r="G116" s="9"/>
      <c r="H116" s="11"/>
      <c r="I116" s="11"/>
      <c r="J116" s="11"/>
      <c r="K116" s="11"/>
      <c r="L116" s="11"/>
      <c r="M116" s="9"/>
      <c r="N116" s="9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9"/>
      <c r="AK116" s="13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9"/>
      <c r="BH116" s="15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9"/>
      <c r="CF116" s="9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</row>
    <row r="117" ht="15.75" customHeight="1">
      <c r="A117" s="9"/>
      <c r="B117" s="11"/>
      <c r="C117" s="11"/>
      <c r="D117" s="9"/>
      <c r="E117" s="9"/>
      <c r="F117" s="9"/>
      <c r="G117" s="9"/>
      <c r="H117" s="11"/>
      <c r="I117" s="11"/>
      <c r="J117" s="11"/>
      <c r="K117" s="11"/>
      <c r="L117" s="11"/>
      <c r="M117" s="9"/>
      <c r="N117" s="9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9"/>
      <c r="AK117" s="13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9"/>
      <c r="BH117" s="15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9"/>
      <c r="CF117" s="9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</row>
    <row r="118" ht="15.75" customHeight="1">
      <c r="A118" s="9"/>
      <c r="B118" s="11"/>
      <c r="C118" s="11"/>
      <c r="D118" s="9"/>
      <c r="E118" s="9"/>
      <c r="F118" s="9"/>
      <c r="G118" s="9"/>
      <c r="H118" s="11"/>
      <c r="I118" s="11"/>
      <c r="J118" s="11"/>
      <c r="K118" s="11"/>
      <c r="L118" s="11"/>
      <c r="M118" s="9"/>
      <c r="N118" s="9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9"/>
      <c r="AK118" s="13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9"/>
      <c r="BH118" s="15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9"/>
      <c r="CF118" s="9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</row>
    <row r="119" ht="15.75" customHeight="1">
      <c r="A119" s="9"/>
      <c r="B119" s="11"/>
      <c r="C119" s="11"/>
      <c r="D119" s="9"/>
      <c r="E119" s="9"/>
      <c r="F119" s="9"/>
      <c r="G119" s="9"/>
      <c r="H119" s="11"/>
      <c r="I119" s="11"/>
      <c r="J119" s="11"/>
      <c r="K119" s="11"/>
      <c r="L119" s="11"/>
      <c r="M119" s="9"/>
      <c r="N119" s="9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9"/>
      <c r="AK119" s="13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9"/>
      <c r="BH119" s="15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9"/>
      <c r="CF119" s="9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</row>
    <row r="120" ht="15.75" customHeight="1">
      <c r="A120" s="9"/>
      <c r="B120" s="11"/>
      <c r="C120" s="11"/>
      <c r="D120" s="9"/>
      <c r="E120" s="9"/>
      <c r="F120" s="9"/>
      <c r="G120" s="9"/>
      <c r="H120" s="11"/>
      <c r="I120" s="11"/>
      <c r="J120" s="11"/>
      <c r="K120" s="11"/>
      <c r="L120" s="11"/>
      <c r="M120" s="9"/>
      <c r="N120" s="9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9"/>
      <c r="AK120" s="13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9"/>
      <c r="BH120" s="15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9"/>
      <c r="CF120" s="9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</row>
    <row r="121" ht="15.75" customHeight="1">
      <c r="A121" s="9"/>
      <c r="B121" s="11"/>
      <c r="C121" s="11"/>
      <c r="D121" s="9"/>
      <c r="E121" s="9"/>
      <c r="F121" s="9"/>
      <c r="G121" s="9"/>
      <c r="H121" s="11"/>
      <c r="I121" s="11"/>
      <c r="J121" s="11"/>
      <c r="K121" s="11"/>
      <c r="L121" s="11"/>
      <c r="M121" s="9"/>
      <c r="N121" s="9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9"/>
      <c r="AK121" s="13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9"/>
      <c r="BH121" s="15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9"/>
      <c r="CF121" s="9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</row>
    <row r="122" ht="15.75" customHeight="1">
      <c r="A122" s="9"/>
      <c r="B122" s="11"/>
      <c r="C122" s="11"/>
      <c r="D122" s="9"/>
      <c r="E122" s="9"/>
      <c r="F122" s="9"/>
      <c r="G122" s="9"/>
      <c r="H122" s="11"/>
      <c r="I122" s="11"/>
      <c r="J122" s="11"/>
      <c r="K122" s="11"/>
      <c r="L122" s="11"/>
      <c r="M122" s="9"/>
      <c r="N122" s="9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9"/>
      <c r="AK122" s="13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9"/>
      <c r="BH122" s="15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9"/>
      <c r="CF122" s="9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</row>
    <row r="123" ht="15.75" customHeight="1">
      <c r="A123" s="9"/>
      <c r="B123" s="11"/>
      <c r="C123" s="11"/>
      <c r="D123" s="9"/>
      <c r="E123" s="9"/>
      <c r="F123" s="9"/>
      <c r="G123" s="9"/>
      <c r="H123" s="11"/>
      <c r="I123" s="11"/>
      <c r="J123" s="11"/>
      <c r="K123" s="11"/>
      <c r="L123" s="11"/>
      <c r="M123" s="9"/>
      <c r="N123" s="9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9"/>
      <c r="AK123" s="13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9"/>
      <c r="BH123" s="15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9"/>
      <c r="CF123" s="9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</row>
    <row r="124" ht="15.75" customHeight="1">
      <c r="A124" s="9"/>
      <c r="B124" s="11"/>
      <c r="C124" s="11"/>
      <c r="D124" s="9"/>
      <c r="E124" s="9"/>
      <c r="F124" s="9"/>
      <c r="G124" s="9"/>
      <c r="H124" s="11"/>
      <c r="I124" s="11"/>
      <c r="J124" s="11"/>
      <c r="K124" s="11"/>
      <c r="L124" s="11"/>
      <c r="M124" s="9"/>
      <c r="N124" s="9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9"/>
      <c r="AK124" s="13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9"/>
      <c r="BH124" s="15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9"/>
      <c r="CF124" s="9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</row>
    <row r="125" ht="15.75" customHeight="1">
      <c r="A125" s="9"/>
      <c r="B125" s="11"/>
      <c r="C125" s="11"/>
      <c r="D125" s="9"/>
      <c r="E125" s="9"/>
      <c r="F125" s="9"/>
      <c r="G125" s="9"/>
      <c r="H125" s="11"/>
      <c r="I125" s="11"/>
      <c r="J125" s="11"/>
      <c r="K125" s="11"/>
      <c r="L125" s="11"/>
      <c r="M125" s="9"/>
      <c r="N125" s="9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9"/>
      <c r="AK125" s="13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9"/>
      <c r="BH125" s="15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9"/>
      <c r="CF125" s="9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</row>
    <row r="126" ht="15.75" customHeight="1">
      <c r="A126" s="9"/>
      <c r="B126" s="11"/>
      <c r="C126" s="11"/>
      <c r="D126" s="9"/>
      <c r="E126" s="9"/>
      <c r="F126" s="9"/>
      <c r="G126" s="9"/>
      <c r="H126" s="11"/>
      <c r="I126" s="11"/>
      <c r="J126" s="11"/>
      <c r="K126" s="11"/>
      <c r="L126" s="11"/>
      <c r="M126" s="9"/>
      <c r="N126" s="9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9"/>
      <c r="AK126" s="13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9"/>
      <c r="BH126" s="15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9"/>
      <c r="CF126" s="9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</row>
    <row r="127" ht="15.75" customHeight="1">
      <c r="A127" s="9"/>
      <c r="B127" s="11"/>
      <c r="C127" s="11"/>
      <c r="D127" s="9"/>
      <c r="E127" s="9"/>
      <c r="F127" s="9"/>
      <c r="G127" s="9"/>
      <c r="H127" s="11"/>
      <c r="I127" s="11"/>
      <c r="J127" s="11"/>
      <c r="K127" s="11"/>
      <c r="L127" s="11"/>
      <c r="M127" s="9"/>
      <c r="N127" s="9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9"/>
      <c r="AK127" s="13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9"/>
      <c r="BH127" s="15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9"/>
      <c r="CF127" s="9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</row>
    <row r="128" ht="15.75" customHeight="1">
      <c r="A128" s="9"/>
      <c r="B128" s="11"/>
      <c r="C128" s="11"/>
      <c r="D128" s="9"/>
      <c r="E128" s="9"/>
      <c r="F128" s="9"/>
      <c r="G128" s="9"/>
      <c r="H128" s="11"/>
      <c r="I128" s="11"/>
      <c r="J128" s="11"/>
      <c r="K128" s="11"/>
      <c r="L128" s="11"/>
      <c r="M128" s="9"/>
      <c r="N128" s="9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9"/>
      <c r="AK128" s="13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9"/>
      <c r="BH128" s="15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9"/>
      <c r="CF128" s="9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</row>
    <row r="129" ht="15.75" customHeight="1">
      <c r="A129" s="9"/>
      <c r="B129" s="11"/>
      <c r="C129" s="11"/>
      <c r="D129" s="9"/>
      <c r="E129" s="9"/>
      <c r="F129" s="9"/>
      <c r="G129" s="9"/>
      <c r="H129" s="11"/>
      <c r="I129" s="11"/>
      <c r="J129" s="11"/>
      <c r="K129" s="11"/>
      <c r="L129" s="11"/>
      <c r="M129" s="9"/>
      <c r="N129" s="9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9"/>
      <c r="AK129" s="13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9"/>
      <c r="BH129" s="15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9"/>
      <c r="CF129" s="9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</row>
    <row r="130" ht="15.75" customHeight="1">
      <c r="A130" s="9"/>
      <c r="B130" s="11"/>
      <c r="C130" s="11"/>
      <c r="D130" s="9"/>
      <c r="E130" s="9"/>
      <c r="F130" s="9"/>
      <c r="G130" s="9"/>
      <c r="H130" s="11"/>
      <c r="I130" s="11"/>
      <c r="J130" s="11"/>
      <c r="K130" s="11"/>
      <c r="L130" s="11"/>
      <c r="M130" s="9"/>
      <c r="N130" s="9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9"/>
      <c r="AK130" s="13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9"/>
      <c r="BH130" s="15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9"/>
      <c r="CF130" s="9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</row>
    <row r="131" ht="15.75" customHeight="1">
      <c r="A131" s="9"/>
      <c r="B131" s="11"/>
      <c r="C131" s="11"/>
      <c r="D131" s="9"/>
      <c r="E131" s="9"/>
      <c r="F131" s="9"/>
      <c r="G131" s="9"/>
      <c r="H131" s="11"/>
      <c r="I131" s="11"/>
      <c r="J131" s="11"/>
      <c r="K131" s="11"/>
      <c r="L131" s="11"/>
      <c r="M131" s="9"/>
      <c r="N131" s="9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9"/>
      <c r="AK131" s="13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9"/>
      <c r="BH131" s="15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9"/>
      <c r="CF131" s="9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</row>
    <row r="132" ht="15.75" customHeight="1">
      <c r="A132" s="9"/>
      <c r="B132" s="11"/>
      <c r="C132" s="11"/>
      <c r="D132" s="9"/>
      <c r="E132" s="9"/>
      <c r="F132" s="9"/>
      <c r="G132" s="9"/>
      <c r="H132" s="11"/>
      <c r="I132" s="11"/>
      <c r="J132" s="11"/>
      <c r="K132" s="11"/>
      <c r="L132" s="11"/>
      <c r="M132" s="9"/>
      <c r="N132" s="9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9"/>
      <c r="AK132" s="13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9"/>
      <c r="BH132" s="15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9"/>
      <c r="CF132" s="9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</row>
    <row r="133" ht="15.75" customHeight="1">
      <c r="A133" s="9"/>
      <c r="B133" s="11"/>
      <c r="C133" s="11"/>
      <c r="D133" s="9"/>
      <c r="E133" s="9"/>
      <c r="F133" s="9"/>
      <c r="G133" s="9"/>
      <c r="H133" s="11"/>
      <c r="I133" s="11"/>
      <c r="J133" s="11"/>
      <c r="K133" s="11"/>
      <c r="L133" s="11"/>
      <c r="M133" s="9"/>
      <c r="N133" s="9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9"/>
      <c r="AK133" s="13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9"/>
      <c r="BH133" s="15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9"/>
      <c r="CF133" s="9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</row>
    <row r="134" ht="15.75" customHeight="1">
      <c r="A134" s="9"/>
      <c r="B134" s="11"/>
      <c r="C134" s="11"/>
      <c r="D134" s="9"/>
      <c r="E134" s="9"/>
      <c r="F134" s="9"/>
      <c r="G134" s="9"/>
      <c r="H134" s="11"/>
      <c r="I134" s="11"/>
      <c r="J134" s="11"/>
      <c r="K134" s="11"/>
      <c r="L134" s="11"/>
      <c r="M134" s="9"/>
      <c r="N134" s="9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9"/>
      <c r="AK134" s="13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9"/>
      <c r="BH134" s="15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9"/>
      <c r="CF134" s="9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</row>
    <row r="135" ht="15.75" customHeight="1">
      <c r="A135" s="9"/>
      <c r="B135" s="11"/>
      <c r="C135" s="11"/>
      <c r="D135" s="9"/>
      <c r="E135" s="9"/>
      <c r="F135" s="9"/>
      <c r="G135" s="9"/>
      <c r="H135" s="11"/>
      <c r="I135" s="11"/>
      <c r="J135" s="11"/>
      <c r="K135" s="11"/>
      <c r="L135" s="11"/>
      <c r="M135" s="9"/>
      <c r="N135" s="9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9"/>
      <c r="AK135" s="13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9"/>
      <c r="BH135" s="15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9"/>
      <c r="CF135" s="9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</row>
    <row r="136" ht="15.75" customHeight="1">
      <c r="A136" s="9"/>
      <c r="B136" s="11"/>
      <c r="C136" s="11"/>
      <c r="D136" s="9"/>
      <c r="E136" s="9"/>
      <c r="F136" s="9"/>
      <c r="G136" s="9"/>
      <c r="H136" s="11"/>
      <c r="I136" s="11"/>
      <c r="J136" s="11"/>
      <c r="K136" s="11"/>
      <c r="L136" s="11"/>
      <c r="M136" s="9"/>
      <c r="N136" s="9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9"/>
      <c r="AK136" s="13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9"/>
      <c r="BH136" s="15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9"/>
      <c r="CF136" s="9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</row>
    <row r="137" ht="15.75" customHeight="1">
      <c r="A137" s="9"/>
      <c r="B137" s="11"/>
      <c r="C137" s="11"/>
      <c r="D137" s="9"/>
      <c r="E137" s="9"/>
      <c r="F137" s="9"/>
      <c r="G137" s="9"/>
      <c r="H137" s="11"/>
      <c r="I137" s="11"/>
      <c r="J137" s="11"/>
      <c r="K137" s="11"/>
      <c r="L137" s="11"/>
      <c r="M137" s="9"/>
      <c r="N137" s="9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9"/>
      <c r="AK137" s="13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9"/>
      <c r="BH137" s="15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9"/>
      <c r="CF137" s="9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</row>
    <row r="138" ht="15.75" customHeight="1">
      <c r="A138" s="9"/>
      <c r="B138" s="11"/>
      <c r="C138" s="11"/>
      <c r="D138" s="9"/>
      <c r="E138" s="9"/>
      <c r="F138" s="9"/>
      <c r="G138" s="9"/>
      <c r="H138" s="11"/>
      <c r="I138" s="11"/>
      <c r="J138" s="11"/>
      <c r="K138" s="11"/>
      <c r="L138" s="11"/>
      <c r="M138" s="9"/>
      <c r="N138" s="9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9"/>
      <c r="AK138" s="13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9"/>
      <c r="BH138" s="15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9"/>
      <c r="CF138" s="9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</row>
    <row r="139" ht="15.75" customHeight="1">
      <c r="A139" s="9"/>
      <c r="B139" s="11"/>
      <c r="C139" s="11"/>
      <c r="D139" s="9"/>
      <c r="E139" s="9"/>
      <c r="F139" s="9"/>
      <c r="G139" s="9"/>
      <c r="H139" s="11"/>
      <c r="I139" s="11"/>
      <c r="J139" s="11"/>
      <c r="K139" s="11"/>
      <c r="L139" s="11"/>
      <c r="M139" s="9"/>
      <c r="N139" s="9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9"/>
      <c r="AK139" s="13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9"/>
      <c r="BH139" s="15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9"/>
      <c r="CF139" s="9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</row>
    <row r="140" ht="15.75" customHeight="1">
      <c r="A140" s="9"/>
      <c r="B140" s="11"/>
      <c r="C140" s="11"/>
      <c r="D140" s="9"/>
      <c r="E140" s="9"/>
      <c r="F140" s="9"/>
      <c r="G140" s="9"/>
      <c r="H140" s="11"/>
      <c r="I140" s="11"/>
      <c r="J140" s="11"/>
      <c r="K140" s="11"/>
      <c r="L140" s="11"/>
      <c r="M140" s="9"/>
      <c r="N140" s="9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9"/>
      <c r="AK140" s="13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9"/>
      <c r="BH140" s="15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9"/>
      <c r="CF140" s="9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</row>
    <row r="141" ht="15.75" customHeight="1">
      <c r="A141" s="9"/>
      <c r="B141" s="11"/>
      <c r="C141" s="11"/>
      <c r="D141" s="9"/>
      <c r="E141" s="9"/>
      <c r="F141" s="9"/>
      <c r="G141" s="9"/>
      <c r="H141" s="11"/>
      <c r="I141" s="11"/>
      <c r="J141" s="11"/>
      <c r="K141" s="11"/>
      <c r="L141" s="11"/>
      <c r="M141" s="9"/>
      <c r="N141" s="9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9"/>
      <c r="AK141" s="13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9"/>
      <c r="BH141" s="15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9"/>
      <c r="CF141" s="9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</row>
    <row r="142" ht="15.75" customHeight="1">
      <c r="A142" s="9"/>
      <c r="B142" s="11"/>
      <c r="C142" s="11"/>
      <c r="D142" s="9"/>
      <c r="E142" s="9"/>
      <c r="F142" s="9"/>
      <c r="G142" s="9"/>
      <c r="H142" s="11"/>
      <c r="I142" s="11"/>
      <c r="J142" s="11"/>
      <c r="K142" s="11"/>
      <c r="L142" s="11"/>
      <c r="M142" s="9"/>
      <c r="N142" s="9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9"/>
      <c r="AK142" s="13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9"/>
      <c r="BH142" s="15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9"/>
      <c r="CF142" s="9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</row>
    <row r="143" ht="15.75" customHeight="1">
      <c r="A143" s="9"/>
      <c r="B143" s="11"/>
      <c r="C143" s="11"/>
      <c r="D143" s="9"/>
      <c r="E143" s="9"/>
      <c r="F143" s="9"/>
      <c r="G143" s="9"/>
      <c r="H143" s="11"/>
      <c r="I143" s="11"/>
      <c r="J143" s="11"/>
      <c r="K143" s="11"/>
      <c r="L143" s="11"/>
      <c r="M143" s="9"/>
      <c r="N143" s="9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9"/>
      <c r="AK143" s="13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9"/>
      <c r="BH143" s="15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9"/>
      <c r="CF143" s="9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</row>
    <row r="144" ht="15.75" customHeight="1">
      <c r="A144" s="9"/>
      <c r="B144" s="11"/>
      <c r="C144" s="11"/>
      <c r="D144" s="9"/>
      <c r="E144" s="9"/>
      <c r="F144" s="9"/>
      <c r="G144" s="9"/>
      <c r="H144" s="11"/>
      <c r="I144" s="11"/>
      <c r="J144" s="11"/>
      <c r="K144" s="11"/>
      <c r="L144" s="11"/>
      <c r="M144" s="9"/>
      <c r="N144" s="9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9"/>
      <c r="AK144" s="13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9"/>
      <c r="BH144" s="15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9"/>
      <c r="CF144" s="9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</row>
    <row r="145" ht="15.75" customHeight="1">
      <c r="A145" s="9"/>
      <c r="B145" s="11"/>
      <c r="C145" s="11"/>
      <c r="D145" s="9"/>
      <c r="E145" s="9"/>
      <c r="F145" s="9"/>
      <c r="G145" s="9"/>
      <c r="H145" s="11"/>
      <c r="I145" s="11"/>
      <c r="J145" s="11"/>
      <c r="K145" s="11"/>
      <c r="L145" s="11"/>
      <c r="M145" s="9"/>
      <c r="N145" s="9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9"/>
      <c r="AK145" s="13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9"/>
      <c r="BH145" s="15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9"/>
      <c r="CF145" s="9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</row>
    <row r="146" ht="15.75" customHeight="1">
      <c r="A146" s="9"/>
      <c r="B146" s="11"/>
      <c r="C146" s="11"/>
      <c r="D146" s="9"/>
      <c r="E146" s="9"/>
      <c r="F146" s="9"/>
      <c r="G146" s="9"/>
      <c r="H146" s="11"/>
      <c r="I146" s="11"/>
      <c r="J146" s="11"/>
      <c r="K146" s="11"/>
      <c r="L146" s="11"/>
      <c r="M146" s="9"/>
      <c r="N146" s="9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9"/>
      <c r="AK146" s="13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9"/>
      <c r="BH146" s="15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9"/>
      <c r="CF146" s="9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</row>
    <row r="147" ht="15.75" customHeight="1">
      <c r="A147" s="9"/>
      <c r="B147" s="11"/>
      <c r="C147" s="11"/>
      <c r="D147" s="9"/>
      <c r="E147" s="9"/>
      <c r="F147" s="9"/>
      <c r="G147" s="9"/>
      <c r="H147" s="11"/>
      <c r="I147" s="11"/>
      <c r="J147" s="11"/>
      <c r="K147" s="11"/>
      <c r="L147" s="11"/>
      <c r="M147" s="9"/>
      <c r="N147" s="9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9"/>
      <c r="AK147" s="13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9"/>
      <c r="BH147" s="15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9"/>
      <c r="CF147" s="9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</row>
    <row r="148" ht="15.75" customHeight="1">
      <c r="A148" s="9"/>
      <c r="B148" s="11"/>
      <c r="C148" s="11"/>
      <c r="D148" s="9"/>
      <c r="E148" s="9"/>
      <c r="F148" s="9"/>
      <c r="G148" s="9"/>
      <c r="H148" s="11"/>
      <c r="I148" s="11"/>
      <c r="J148" s="11"/>
      <c r="K148" s="11"/>
      <c r="L148" s="11"/>
      <c r="M148" s="9"/>
      <c r="N148" s="9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9"/>
      <c r="AK148" s="13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9"/>
      <c r="BH148" s="15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9"/>
      <c r="CF148" s="9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</row>
    <row r="149" ht="15.75" customHeight="1">
      <c r="A149" s="9"/>
      <c r="B149" s="11"/>
      <c r="C149" s="11"/>
      <c r="D149" s="9"/>
      <c r="E149" s="9"/>
      <c r="F149" s="9"/>
      <c r="G149" s="9"/>
      <c r="H149" s="11"/>
      <c r="I149" s="11"/>
      <c r="J149" s="11"/>
      <c r="K149" s="11"/>
      <c r="L149" s="11"/>
      <c r="M149" s="9"/>
      <c r="N149" s="9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9"/>
      <c r="AK149" s="13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9"/>
      <c r="BH149" s="15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9"/>
      <c r="CF149" s="9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</row>
    <row r="150" ht="15.75" customHeight="1">
      <c r="A150" s="9"/>
      <c r="B150" s="11"/>
      <c r="C150" s="11"/>
      <c r="D150" s="9"/>
      <c r="E150" s="9"/>
      <c r="F150" s="9"/>
      <c r="G150" s="9"/>
      <c r="H150" s="11"/>
      <c r="I150" s="11"/>
      <c r="J150" s="11"/>
      <c r="K150" s="11"/>
      <c r="L150" s="11"/>
      <c r="M150" s="9"/>
      <c r="N150" s="9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9"/>
      <c r="AK150" s="13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9"/>
      <c r="BH150" s="15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9"/>
      <c r="CF150" s="9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</row>
    <row r="151" ht="15.75" customHeight="1">
      <c r="A151" s="9"/>
      <c r="B151" s="11"/>
      <c r="C151" s="11"/>
      <c r="D151" s="9"/>
      <c r="E151" s="9"/>
      <c r="F151" s="9"/>
      <c r="G151" s="9"/>
      <c r="H151" s="11"/>
      <c r="I151" s="11"/>
      <c r="J151" s="11"/>
      <c r="K151" s="11"/>
      <c r="L151" s="11"/>
      <c r="M151" s="9"/>
      <c r="N151" s="9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9"/>
      <c r="AK151" s="13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9"/>
      <c r="BH151" s="15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9"/>
      <c r="CF151" s="9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</row>
    <row r="152" ht="15.75" customHeight="1">
      <c r="A152" s="9"/>
      <c r="B152" s="11"/>
      <c r="C152" s="11"/>
      <c r="D152" s="9"/>
      <c r="E152" s="9"/>
      <c r="F152" s="9"/>
      <c r="G152" s="9"/>
      <c r="H152" s="11"/>
      <c r="I152" s="11"/>
      <c r="J152" s="11"/>
      <c r="K152" s="11"/>
      <c r="L152" s="11"/>
      <c r="M152" s="9"/>
      <c r="N152" s="9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9"/>
      <c r="AK152" s="13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9"/>
      <c r="BH152" s="15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9"/>
      <c r="CF152" s="9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</row>
    <row r="153" ht="15.75" customHeight="1">
      <c r="A153" s="9"/>
      <c r="B153" s="11"/>
      <c r="C153" s="11"/>
      <c r="D153" s="9"/>
      <c r="E153" s="9"/>
      <c r="F153" s="9"/>
      <c r="G153" s="9"/>
      <c r="H153" s="11"/>
      <c r="I153" s="11"/>
      <c r="J153" s="11"/>
      <c r="K153" s="11"/>
      <c r="L153" s="11"/>
      <c r="M153" s="9"/>
      <c r="N153" s="9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9"/>
      <c r="AK153" s="13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9"/>
      <c r="BH153" s="15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9"/>
      <c r="CF153" s="9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</row>
    <row r="154" ht="15.75" customHeight="1">
      <c r="A154" s="9"/>
      <c r="B154" s="11"/>
      <c r="C154" s="11"/>
      <c r="D154" s="9"/>
      <c r="E154" s="9"/>
      <c r="F154" s="9"/>
      <c r="G154" s="9"/>
      <c r="H154" s="11"/>
      <c r="I154" s="11"/>
      <c r="J154" s="11"/>
      <c r="K154" s="11"/>
      <c r="L154" s="11"/>
      <c r="M154" s="9"/>
      <c r="N154" s="9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9"/>
      <c r="AK154" s="13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9"/>
      <c r="BH154" s="15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9"/>
      <c r="CF154" s="9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</row>
    <row r="155" ht="15.75" customHeight="1">
      <c r="A155" s="9"/>
      <c r="B155" s="11"/>
      <c r="C155" s="11"/>
      <c r="D155" s="9"/>
      <c r="E155" s="9"/>
      <c r="F155" s="9"/>
      <c r="G155" s="9"/>
      <c r="H155" s="11"/>
      <c r="I155" s="11"/>
      <c r="J155" s="11"/>
      <c r="K155" s="11"/>
      <c r="L155" s="11"/>
      <c r="M155" s="9"/>
      <c r="N155" s="9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9"/>
      <c r="AK155" s="13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9"/>
      <c r="BH155" s="15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9"/>
      <c r="CF155" s="9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</row>
    <row r="156" ht="15.75" customHeight="1">
      <c r="A156" s="9"/>
      <c r="B156" s="11"/>
      <c r="C156" s="11"/>
      <c r="D156" s="9"/>
      <c r="E156" s="9"/>
      <c r="F156" s="9"/>
      <c r="G156" s="9"/>
      <c r="H156" s="11"/>
      <c r="I156" s="11"/>
      <c r="J156" s="11"/>
      <c r="K156" s="11"/>
      <c r="L156" s="11"/>
      <c r="M156" s="9"/>
      <c r="N156" s="9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9"/>
      <c r="AK156" s="13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9"/>
      <c r="BH156" s="15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9"/>
      <c r="CF156" s="9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</row>
    <row r="157" ht="15.75" customHeight="1">
      <c r="A157" s="9"/>
      <c r="B157" s="11"/>
      <c r="C157" s="11"/>
      <c r="D157" s="9"/>
      <c r="E157" s="9"/>
      <c r="F157" s="9"/>
      <c r="G157" s="9"/>
      <c r="H157" s="11"/>
      <c r="I157" s="11"/>
      <c r="J157" s="11"/>
      <c r="K157" s="11"/>
      <c r="L157" s="11"/>
      <c r="M157" s="9"/>
      <c r="N157" s="9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9"/>
      <c r="AK157" s="13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9"/>
      <c r="BH157" s="15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9"/>
      <c r="CF157" s="9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</row>
    <row r="158" ht="15.75" customHeight="1">
      <c r="A158" s="9"/>
      <c r="B158" s="11"/>
      <c r="C158" s="11"/>
      <c r="D158" s="9"/>
      <c r="E158" s="9"/>
      <c r="F158" s="9"/>
      <c r="G158" s="9"/>
      <c r="H158" s="11"/>
      <c r="I158" s="11"/>
      <c r="J158" s="11"/>
      <c r="K158" s="11"/>
      <c r="L158" s="11"/>
      <c r="M158" s="9"/>
      <c r="N158" s="9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9"/>
      <c r="AK158" s="13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9"/>
      <c r="BH158" s="15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9"/>
      <c r="CF158" s="9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</row>
    <row r="159" ht="15.75" customHeight="1">
      <c r="A159" s="9"/>
      <c r="B159" s="11"/>
      <c r="C159" s="11"/>
      <c r="D159" s="9"/>
      <c r="E159" s="9"/>
      <c r="F159" s="9"/>
      <c r="G159" s="9"/>
      <c r="H159" s="11"/>
      <c r="I159" s="11"/>
      <c r="J159" s="11"/>
      <c r="K159" s="11"/>
      <c r="L159" s="11"/>
      <c r="M159" s="9"/>
      <c r="N159" s="9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9"/>
      <c r="AK159" s="13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9"/>
      <c r="BH159" s="15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9"/>
      <c r="CF159" s="9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</row>
    <row r="160" ht="15.75" customHeight="1">
      <c r="A160" s="9"/>
      <c r="B160" s="11"/>
      <c r="C160" s="11"/>
      <c r="D160" s="9"/>
      <c r="E160" s="9"/>
      <c r="F160" s="9"/>
      <c r="G160" s="9"/>
      <c r="H160" s="11"/>
      <c r="I160" s="11"/>
      <c r="J160" s="11"/>
      <c r="K160" s="11"/>
      <c r="L160" s="11"/>
      <c r="M160" s="9"/>
      <c r="N160" s="9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9"/>
      <c r="AK160" s="13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9"/>
      <c r="BH160" s="15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9"/>
      <c r="CF160" s="9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  <c r="CS160" s="11"/>
      <c r="CT160" s="11"/>
    </row>
    <row r="161" ht="15.75" customHeight="1">
      <c r="A161" s="9"/>
      <c r="B161" s="11"/>
      <c r="C161" s="11"/>
      <c r="D161" s="9"/>
      <c r="E161" s="9"/>
      <c r="F161" s="9"/>
      <c r="G161" s="9"/>
      <c r="H161" s="11"/>
      <c r="I161" s="11"/>
      <c r="J161" s="11"/>
      <c r="K161" s="11"/>
      <c r="L161" s="11"/>
      <c r="M161" s="9"/>
      <c r="N161" s="9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9"/>
      <c r="AK161" s="13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9"/>
      <c r="BH161" s="15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9"/>
      <c r="CF161" s="9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</row>
    <row r="162" ht="15.75" customHeight="1">
      <c r="A162" s="9"/>
      <c r="B162" s="11"/>
      <c r="C162" s="11"/>
      <c r="D162" s="9"/>
      <c r="E162" s="9"/>
      <c r="F162" s="9"/>
      <c r="G162" s="9"/>
      <c r="H162" s="11"/>
      <c r="I162" s="11"/>
      <c r="J162" s="11"/>
      <c r="K162" s="11"/>
      <c r="L162" s="11"/>
      <c r="M162" s="9"/>
      <c r="N162" s="9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9"/>
      <c r="AK162" s="13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9"/>
      <c r="BH162" s="15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9"/>
      <c r="CF162" s="9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</row>
    <row r="163" ht="15.75" customHeight="1">
      <c r="A163" s="9"/>
      <c r="B163" s="11"/>
      <c r="C163" s="11"/>
      <c r="D163" s="9"/>
      <c r="E163" s="9"/>
      <c r="F163" s="9"/>
      <c r="G163" s="9"/>
      <c r="H163" s="11"/>
      <c r="I163" s="11"/>
      <c r="J163" s="11"/>
      <c r="K163" s="11"/>
      <c r="L163" s="11"/>
      <c r="M163" s="9"/>
      <c r="N163" s="9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9"/>
      <c r="AK163" s="13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9"/>
      <c r="BH163" s="15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9"/>
      <c r="CF163" s="9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</row>
    <row r="164" ht="15.75" customHeight="1">
      <c r="A164" s="9"/>
      <c r="B164" s="11"/>
      <c r="C164" s="11"/>
      <c r="D164" s="9"/>
      <c r="E164" s="9"/>
      <c r="F164" s="9"/>
      <c r="G164" s="9"/>
      <c r="H164" s="11"/>
      <c r="I164" s="11"/>
      <c r="J164" s="11"/>
      <c r="K164" s="11"/>
      <c r="L164" s="11"/>
      <c r="M164" s="9"/>
      <c r="N164" s="9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9"/>
      <c r="AK164" s="13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9"/>
      <c r="BH164" s="15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9"/>
      <c r="CF164" s="9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</row>
    <row r="165" ht="15.75" customHeight="1">
      <c r="A165" s="9"/>
      <c r="B165" s="11"/>
      <c r="C165" s="11"/>
      <c r="D165" s="9"/>
      <c r="E165" s="9"/>
      <c r="F165" s="9"/>
      <c r="G165" s="9"/>
      <c r="H165" s="11"/>
      <c r="I165" s="11"/>
      <c r="J165" s="11"/>
      <c r="K165" s="11"/>
      <c r="L165" s="11"/>
      <c r="M165" s="9"/>
      <c r="N165" s="9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9"/>
      <c r="AK165" s="13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9"/>
      <c r="BH165" s="15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9"/>
      <c r="CF165" s="9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</row>
    <row r="166" ht="15.75" customHeight="1">
      <c r="A166" s="9"/>
      <c r="B166" s="11"/>
      <c r="C166" s="11"/>
      <c r="D166" s="9"/>
      <c r="E166" s="9"/>
      <c r="F166" s="9"/>
      <c r="G166" s="9"/>
      <c r="H166" s="11"/>
      <c r="I166" s="11"/>
      <c r="J166" s="11"/>
      <c r="K166" s="11"/>
      <c r="L166" s="11"/>
      <c r="M166" s="9"/>
      <c r="N166" s="9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9"/>
      <c r="AK166" s="13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9"/>
      <c r="BH166" s="15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9"/>
      <c r="CF166" s="9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</row>
    <row r="167" ht="15.75" customHeight="1">
      <c r="A167" s="9"/>
      <c r="B167" s="11"/>
      <c r="C167" s="11"/>
      <c r="D167" s="9"/>
      <c r="E167" s="9"/>
      <c r="F167" s="9"/>
      <c r="G167" s="9"/>
      <c r="H167" s="11"/>
      <c r="I167" s="11"/>
      <c r="J167" s="11"/>
      <c r="K167" s="11"/>
      <c r="L167" s="11"/>
      <c r="M167" s="9"/>
      <c r="N167" s="9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9"/>
      <c r="AK167" s="13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9"/>
      <c r="BH167" s="15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9"/>
      <c r="CF167" s="9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</row>
    <row r="168" ht="15.75" customHeight="1">
      <c r="A168" s="9"/>
      <c r="B168" s="11"/>
      <c r="C168" s="11"/>
      <c r="D168" s="9"/>
      <c r="E168" s="9"/>
      <c r="F168" s="9"/>
      <c r="G168" s="9"/>
      <c r="H168" s="11"/>
      <c r="I168" s="11"/>
      <c r="J168" s="11"/>
      <c r="K168" s="11"/>
      <c r="L168" s="11"/>
      <c r="M168" s="9"/>
      <c r="N168" s="9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9"/>
      <c r="AK168" s="13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9"/>
      <c r="BH168" s="15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9"/>
      <c r="CF168" s="9"/>
      <c r="CG168" s="11"/>
      <c r="CH168" s="11"/>
      <c r="CI168" s="11"/>
      <c r="CJ168" s="11"/>
      <c r="CK168" s="11"/>
      <c r="CL168" s="11"/>
      <c r="CM168" s="11"/>
      <c r="CN168" s="11"/>
      <c r="CO168" s="11"/>
      <c r="CP168" s="11"/>
      <c r="CQ168" s="11"/>
      <c r="CR168" s="11"/>
      <c r="CS168" s="11"/>
      <c r="CT168" s="11"/>
    </row>
    <row r="169" ht="15.75" customHeight="1">
      <c r="A169" s="9"/>
      <c r="B169" s="11"/>
      <c r="C169" s="11"/>
      <c r="D169" s="9"/>
      <c r="E169" s="9"/>
      <c r="F169" s="9"/>
      <c r="G169" s="9"/>
      <c r="H169" s="11"/>
      <c r="I169" s="11"/>
      <c r="J169" s="11"/>
      <c r="K169" s="11"/>
      <c r="L169" s="11"/>
      <c r="M169" s="9"/>
      <c r="N169" s="9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9"/>
      <c r="AK169" s="13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9"/>
      <c r="BH169" s="15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9"/>
      <c r="CF169" s="9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</row>
    <row r="170" ht="15.75" customHeight="1">
      <c r="A170" s="9"/>
      <c r="B170" s="11"/>
      <c r="C170" s="11"/>
      <c r="D170" s="9"/>
      <c r="E170" s="9"/>
      <c r="F170" s="9"/>
      <c r="G170" s="9"/>
      <c r="H170" s="11"/>
      <c r="I170" s="11"/>
      <c r="J170" s="11"/>
      <c r="K170" s="11"/>
      <c r="L170" s="11"/>
      <c r="M170" s="9"/>
      <c r="N170" s="9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9"/>
      <c r="AK170" s="13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9"/>
      <c r="BH170" s="15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9"/>
      <c r="CF170" s="9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</row>
    <row r="171" ht="15.75" customHeight="1">
      <c r="A171" s="9"/>
      <c r="B171" s="11"/>
      <c r="C171" s="11"/>
      <c r="D171" s="9"/>
      <c r="E171" s="9"/>
      <c r="F171" s="9"/>
      <c r="G171" s="9"/>
      <c r="H171" s="11"/>
      <c r="I171" s="11"/>
      <c r="J171" s="11"/>
      <c r="K171" s="11"/>
      <c r="L171" s="11"/>
      <c r="M171" s="9"/>
      <c r="N171" s="9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9"/>
      <c r="AK171" s="13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9"/>
      <c r="BH171" s="15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9"/>
      <c r="CF171" s="9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</row>
    <row r="172" ht="15.75" customHeight="1">
      <c r="A172" s="9"/>
      <c r="B172" s="11"/>
      <c r="C172" s="11"/>
      <c r="D172" s="9"/>
      <c r="E172" s="9"/>
      <c r="F172" s="9"/>
      <c r="G172" s="9"/>
      <c r="H172" s="11"/>
      <c r="I172" s="11"/>
      <c r="J172" s="11"/>
      <c r="K172" s="11"/>
      <c r="L172" s="11"/>
      <c r="M172" s="9"/>
      <c r="N172" s="9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9"/>
      <c r="AK172" s="13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9"/>
      <c r="BH172" s="15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9"/>
      <c r="CF172" s="9"/>
      <c r="CG172" s="11"/>
      <c r="CH172" s="11"/>
      <c r="CI172" s="11"/>
      <c r="CJ172" s="11"/>
      <c r="CK172" s="11"/>
      <c r="CL172" s="11"/>
      <c r="CM172" s="11"/>
      <c r="CN172" s="11"/>
      <c r="CO172" s="11"/>
      <c r="CP172" s="11"/>
      <c r="CQ172" s="11"/>
      <c r="CR172" s="11"/>
      <c r="CS172" s="11"/>
      <c r="CT172" s="11"/>
    </row>
    <row r="173" ht="15.75" customHeight="1">
      <c r="A173" s="9"/>
      <c r="B173" s="11"/>
      <c r="C173" s="11"/>
      <c r="D173" s="9"/>
      <c r="E173" s="9"/>
      <c r="F173" s="9"/>
      <c r="G173" s="9"/>
      <c r="H173" s="11"/>
      <c r="I173" s="11"/>
      <c r="J173" s="11"/>
      <c r="K173" s="11"/>
      <c r="L173" s="11"/>
      <c r="M173" s="9"/>
      <c r="N173" s="9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9"/>
      <c r="AK173" s="13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9"/>
      <c r="BH173" s="15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9"/>
      <c r="CF173" s="9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</row>
    <row r="174" ht="15.75" customHeight="1">
      <c r="A174" s="9"/>
      <c r="B174" s="11"/>
      <c r="C174" s="11"/>
      <c r="D174" s="9"/>
      <c r="E174" s="9"/>
      <c r="F174" s="9"/>
      <c r="G174" s="9"/>
      <c r="H174" s="11"/>
      <c r="I174" s="11"/>
      <c r="J174" s="11"/>
      <c r="K174" s="11"/>
      <c r="L174" s="11"/>
      <c r="M174" s="9"/>
      <c r="N174" s="9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9"/>
      <c r="AK174" s="13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9"/>
      <c r="BH174" s="15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9"/>
      <c r="CF174" s="9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/>
      <c r="CQ174" s="11"/>
      <c r="CR174" s="11"/>
      <c r="CS174" s="11"/>
      <c r="CT174" s="11"/>
    </row>
    <row r="175" ht="15.75" customHeight="1">
      <c r="A175" s="9"/>
      <c r="B175" s="11"/>
      <c r="C175" s="11"/>
      <c r="D175" s="9"/>
      <c r="E175" s="9"/>
      <c r="F175" s="9"/>
      <c r="G175" s="9"/>
      <c r="H175" s="11"/>
      <c r="I175" s="11"/>
      <c r="J175" s="11"/>
      <c r="K175" s="11"/>
      <c r="L175" s="11"/>
      <c r="M175" s="9"/>
      <c r="N175" s="9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9"/>
      <c r="AK175" s="13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9"/>
      <c r="BH175" s="15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9"/>
      <c r="CF175" s="9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</row>
    <row r="176" ht="15.75" customHeight="1">
      <c r="A176" s="9"/>
      <c r="B176" s="11"/>
      <c r="C176" s="11"/>
      <c r="D176" s="9"/>
      <c r="E176" s="9"/>
      <c r="F176" s="9"/>
      <c r="G176" s="9"/>
      <c r="H176" s="11"/>
      <c r="I176" s="11"/>
      <c r="J176" s="11"/>
      <c r="K176" s="11"/>
      <c r="L176" s="11"/>
      <c r="M176" s="9"/>
      <c r="N176" s="9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9"/>
      <c r="AK176" s="13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9"/>
      <c r="BH176" s="15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9"/>
      <c r="CF176" s="9"/>
      <c r="CG176" s="11"/>
      <c r="CH176" s="11"/>
      <c r="CI176" s="11"/>
      <c r="CJ176" s="11"/>
      <c r="CK176" s="11"/>
      <c r="CL176" s="11"/>
      <c r="CM176" s="11"/>
      <c r="CN176" s="11"/>
      <c r="CO176" s="11"/>
      <c r="CP176" s="11"/>
      <c r="CQ176" s="11"/>
      <c r="CR176" s="11"/>
      <c r="CS176" s="11"/>
      <c r="CT176" s="11"/>
    </row>
    <row r="177" ht="15.75" customHeight="1">
      <c r="A177" s="9"/>
      <c r="B177" s="11"/>
      <c r="C177" s="11"/>
      <c r="D177" s="9"/>
      <c r="E177" s="9"/>
      <c r="F177" s="9"/>
      <c r="G177" s="9"/>
      <c r="H177" s="11"/>
      <c r="I177" s="11"/>
      <c r="J177" s="11"/>
      <c r="K177" s="11"/>
      <c r="L177" s="11"/>
      <c r="M177" s="9"/>
      <c r="N177" s="9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9"/>
      <c r="AK177" s="13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9"/>
      <c r="BH177" s="15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9"/>
      <c r="CF177" s="9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</row>
    <row r="178" ht="15.75" customHeight="1">
      <c r="A178" s="9"/>
      <c r="B178" s="11"/>
      <c r="C178" s="11"/>
      <c r="D178" s="9"/>
      <c r="E178" s="9"/>
      <c r="F178" s="9"/>
      <c r="G178" s="9"/>
      <c r="H178" s="11"/>
      <c r="I178" s="11"/>
      <c r="J178" s="11"/>
      <c r="K178" s="11"/>
      <c r="L178" s="11"/>
      <c r="M178" s="9"/>
      <c r="N178" s="9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9"/>
      <c r="AK178" s="13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9"/>
      <c r="BH178" s="15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9"/>
      <c r="CF178" s="9"/>
      <c r="CG178" s="11"/>
      <c r="CH178" s="11"/>
      <c r="CI178" s="11"/>
      <c r="CJ178" s="11"/>
      <c r="CK178" s="11"/>
      <c r="CL178" s="11"/>
      <c r="CM178" s="11"/>
      <c r="CN178" s="11"/>
      <c r="CO178" s="11"/>
      <c r="CP178" s="11"/>
      <c r="CQ178" s="11"/>
      <c r="CR178" s="11"/>
      <c r="CS178" s="11"/>
      <c r="CT178" s="11"/>
    </row>
    <row r="179" ht="15.75" customHeight="1">
      <c r="A179" s="9"/>
      <c r="B179" s="11"/>
      <c r="C179" s="11"/>
      <c r="D179" s="9"/>
      <c r="E179" s="9"/>
      <c r="F179" s="9"/>
      <c r="G179" s="9"/>
      <c r="H179" s="11"/>
      <c r="I179" s="11"/>
      <c r="J179" s="11"/>
      <c r="K179" s="11"/>
      <c r="L179" s="11"/>
      <c r="M179" s="9"/>
      <c r="N179" s="9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9"/>
      <c r="AK179" s="13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9"/>
      <c r="BH179" s="15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9"/>
      <c r="CF179" s="9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</row>
    <row r="180" ht="15.75" customHeight="1">
      <c r="A180" s="9"/>
      <c r="B180" s="11"/>
      <c r="C180" s="11"/>
      <c r="D180" s="9"/>
      <c r="E180" s="9"/>
      <c r="F180" s="9"/>
      <c r="G180" s="9"/>
      <c r="H180" s="11"/>
      <c r="I180" s="11"/>
      <c r="J180" s="11"/>
      <c r="K180" s="11"/>
      <c r="L180" s="11"/>
      <c r="M180" s="9"/>
      <c r="N180" s="9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9"/>
      <c r="AK180" s="13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9"/>
      <c r="BH180" s="15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9"/>
      <c r="CF180" s="9"/>
      <c r="CG180" s="11"/>
      <c r="CH180" s="11"/>
      <c r="CI180" s="11"/>
      <c r="CJ180" s="11"/>
      <c r="CK180" s="11"/>
      <c r="CL180" s="11"/>
      <c r="CM180" s="11"/>
      <c r="CN180" s="11"/>
      <c r="CO180" s="11"/>
      <c r="CP180" s="11"/>
      <c r="CQ180" s="11"/>
      <c r="CR180" s="11"/>
      <c r="CS180" s="11"/>
      <c r="CT180" s="11"/>
    </row>
    <row r="181" ht="15.75" customHeight="1">
      <c r="A181" s="9"/>
      <c r="B181" s="11"/>
      <c r="C181" s="11"/>
      <c r="D181" s="9"/>
      <c r="E181" s="9"/>
      <c r="F181" s="9"/>
      <c r="G181" s="9"/>
      <c r="H181" s="11"/>
      <c r="I181" s="11"/>
      <c r="J181" s="11"/>
      <c r="K181" s="11"/>
      <c r="L181" s="11"/>
      <c r="M181" s="9"/>
      <c r="N181" s="9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9"/>
      <c r="AK181" s="13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9"/>
      <c r="BH181" s="15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9"/>
      <c r="CF181" s="9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</row>
    <row r="182" ht="15.75" customHeight="1">
      <c r="A182" s="9"/>
      <c r="B182" s="11"/>
      <c r="C182" s="11"/>
      <c r="D182" s="9"/>
      <c r="E182" s="9"/>
      <c r="F182" s="9"/>
      <c r="G182" s="9"/>
      <c r="H182" s="11"/>
      <c r="I182" s="11"/>
      <c r="J182" s="11"/>
      <c r="K182" s="11"/>
      <c r="L182" s="11"/>
      <c r="M182" s="9"/>
      <c r="N182" s="9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9"/>
      <c r="AK182" s="13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9"/>
      <c r="BH182" s="15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9"/>
      <c r="CF182" s="9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</row>
    <row r="183" ht="15.75" customHeight="1">
      <c r="A183" s="9"/>
      <c r="B183" s="11"/>
      <c r="C183" s="11"/>
      <c r="D183" s="9"/>
      <c r="E183" s="9"/>
      <c r="F183" s="9"/>
      <c r="G183" s="9"/>
      <c r="H183" s="11"/>
      <c r="I183" s="11"/>
      <c r="J183" s="11"/>
      <c r="K183" s="11"/>
      <c r="L183" s="11"/>
      <c r="M183" s="9"/>
      <c r="N183" s="9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9"/>
      <c r="AK183" s="13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9"/>
      <c r="BH183" s="15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9"/>
      <c r="CF183" s="9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</row>
    <row r="184" ht="15.75" customHeight="1">
      <c r="A184" s="9"/>
      <c r="B184" s="11"/>
      <c r="C184" s="11"/>
      <c r="D184" s="9"/>
      <c r="E184" s="9"/>
      <c r="F184" s="9"/>
      <c r="G184" s="9"/>
      <c r="H184" s="11"/>
      <c r="I184" s="11"/>
      <c r="J184" s="11"/>
      <c r="K184" s="11"/>
      <c r="L184" s="11"/>
      <c r="M184" s="9"/>
      <c r="N184" s="9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9"/>
      <c r="AK184" s="13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9"/>
      <c r="BH184" s="15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9"/>
      <c r="CF184" s="9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</row>
    <row r="185" ht="15.75" customHeight="1">
      <c r="A185" s="9"/>
      <c r="B185" s="11"/>
      <c r="C185" s="11"/>
      <c r="D185" s="9"/>
      <c r="E185" s="9"/>
      <c r="F185" s="9"/>
      <c r="G185" s="9"/>
      <c r="H185" s="11"/>
      <c r="I185" s="11"/>
      <c r="J185" s="11"/>
      <c r="K185" s="11"/>
      <c r="L185" s="11"/>
      <c r="M185" s="9"/>
      <c r="N185" s="9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9"/>
      <c r="AK185" s="13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9"/>
      <c r="BH185" s="15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9"/>
      <c r="CF185" s="9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</row>
    <row r="186" ht="15.75" customHeight="1">
      <c r="A186" s="9"/>
      <c r="B186" s="11"/>
      <c r="C186" s="11"/>
      <c r="D186" s="9"/>
      <c r="E186" s="9"/>
      <c r="F186" s="9"/>
      <c r="G186" s="9"/>
      <c r="H186" s="11"/>
      <c r="I186" s="11"/>
      <c r="J186" s="11"/>
      <c r="K186" s="11"/>
      <c r="L186" s="11"/>
      <c r="M186" s="9"/>
      <c r="N186" s="9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9"/>
      <c r="AK186" s="13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9"/>
      <c r="BH186" s="15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9"/>
      <c r="CF186" s="9"/>
      <c r="CG186" s="11"/>
      <c r="CH186" s="11"/>
      <c r="CI186" s="11"/>
      <c r="CJ186" s="11"/>
      <c r="CK186" s="11"/>
      <c r="CL186" s="11"/>
      <c r="CM186" s="11"/>
      <c r="CN186" s="11"/>
      <c r="CO186" s="11"/>
      <c r="CP186" s="11"/>
      <c r="CQ186" s="11"/>
      <c r="CR186" s="11"/>
      <c r="CS186" s="11"/>
      <c r="CT186" s="11"/>
    </row>
    <row r="187" ht="15.75" customHeight="1">
      <c r="A187" s="9"/>
      <c r="B187" s="11"/>
      <c r="C187" s="11"/>
      <c r="D187" s="9"/>
      <c r="E187" s="9"/>
      <c r="F187" s="9"/>
      <c r="G187" s="9"/>
      <c r="H187" s="11"/>
      <c r="I187" s="11"/>
      <c r="J187" s="11"/>
      <c r="K187" s="11"/>
      <c r="L187" s="11"/>
      <c r="M187" s="9"/>
      <c r="N187" s="9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9"/>
      <c r="AK187" s="13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9"/>
      <c r="BH187" s="15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9"/>
      <c r="CF187" s="9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</row>
    <row r="188" ht="15.75" customHeight="1">
      <c r="A188" s="9"/>
      <c r="B188" s="11"/>
      <c r="C188" s="11"/>
      <c r="D188" s="9"/>
      <c r="E188" s="9"/>
      <c r="F188" s="9"/>
      <c r="G188" s="9"/>
      <c r="H188" s="11"/>
      <c r="I188" s="11"/>
      <c r="J188" s="11"/>
      <c r="K188" s="11"/>
      <c r="L188" s="11"/>
      <c r="M188" s="9"/>
      <c r="N188" s="9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9"/>
      <c r="AK188" s="13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9"/>
      <c r="BH188" s="15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9"/>
      <c r="CF188" s="9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  <c r="CT188" s="11"/>
    </row>
    <row r="189" ht="15.75" customHeight="1">
      <c r="A189" s="9"/>
      <c r="B189" s="11"/>
      <c r="C189" s="11"/>
      <c r="D189" s="9"/>
      <c r="E189" s="9"/>
      <c r="F189" s="9"/>
      <c r="G189" s="9"/>
      <c r="H189" s="11"/>
      <c r="I189" s="11"/>
      <c r="J189" s="11"/>
      <c r="K189" s="11"/>
      <c r="L189" s="11"/>
      <c r="M189" s="9"/>
      <c r="N189" s="9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9"/>
      <c r="AK189" s="13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9"/>
      <c r="BH189" s="15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9"/>
      <c r="CF189" s="9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</row>
    <row r="190" ht="15.75" customHeight="1">
      <c r="A190" s="9"/>
      <c r="B190" s="11"/>
      <c r="C190" s="11"/>
      <c r="D190" s="9"/>
      <c r="E190" s="9"/>
      <c r="F190" s="9"/>
      <c r="G190" s="9"/>
      <c r="H190" s="11"/>
      <c r="I190" s="11"/>
      <c r="J190" s="11"/>
      <c r="K190" s="11"/>
      <c r="L190" s="11"/>
      <c r="M190" s="9"/>
      <c r="N190" s="9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9"/>
      <c r="AK190" s="13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9"/>
      <c r="BH190" s="15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9"/>
      <c r="CF190" s="9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</row>
    <row r="191" ht="15.75" customHeight="1">
      <c r="A191" s="9"/>
      <c r="B191" s="11"/>
      <c r="C191" s="11"/>
      <c r="D191" s="9"/>
      <c r="E191" s="9"/>
      <c r="F191" s="9"/>
      <c r="G191" s="9"/>
      <c r="H191" s="11"/>
      <c r="I191" s="11"/>
      <c r="J191" s="11"/>
      <c r="K191" s="11"/>
      <c r="L191" s="11"/>
      <c r="M191" s="9"/>
      <c r="N191" s="9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9"/>
      <c r="AK191" s="13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9"/>
      <c r="BH191" s="15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9"/>
      <c r="CF191" s="9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</row>
    <row r="192" ht="15.75" customHeight="1">
      <c r="A192" s="9"/>
      <c r="B192" s="11"/>
      <c r="C192" s="11"/>
      <c r="D192" s="9"/>
      <c r="E192" s="9"/>
      <c r="F192" s="9"/>
      <c r="G192" s="9"/>
      <c r="H192" s="11"/>
      <c r="I192" s="11"/>
      <c r="J192" s="11"/>
      <c r="K192" s="11"/>
      <c r="L192" s="11"/>
      <c r="M192" s="9"/>
      <c r="N192" s="9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9"/>
      <c r="AK192" s="13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9"/>
      <c r="BH192" s="15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9"/>
      <c r="CF192" s="9"/>
      <c r="CG192" s="11"/>
      <c r="CH192" s="11"/>
      <c r="CI192" s="11"/>
      <c r="CJ192" s="11"/>
      <c r="CK192" s="11"/>
      <c r="CL192" s="11"/>
      <c r="CM192" s="11"/>
      <c r="CN192" s="11"/>
      <c r="CO192" s="11"/>
      <c r="CP192" s="11"/>
      <c r="CQ192" s="11"/>
      <c r="CR192" s="11"/>
      <c r="CS192" s="11"/>
      <c r="CT192" s="11"/>
    </row>
    <row r="193" ht="15.75" customHeight="1">
      <c r="A193" s="9"/>
      <c r="B193" s="11"/>
      <c r="C193" s="11"/>
      <c r="D193" s="9"/>
      <c r="E193" s="9"/>
      <c r="F193" s="9"/>
      <c r="G193" s="9"/>
      <c r="H193" s="11"/>
      <c r="I193" s="11"/>
      <c r="J193" s="11"/>
      <c r="K193" s="11"/>
      <c r="L193" s="11"/>
      <c r="M193" s="9"/>
      <c r="N193" s="9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9"/>
      <c r="AK193" s="13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9"/>
      <c r="BH193" s="15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9"/>
      <c r="CF193" s="9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</row>
    <row r="194" ht="15.75" customHeight="1">
      <c r="A194" s="9"/>
      <c r="B194" s="11"/>
      <c r="C194" s="11"/>
      <c r="D194" s="9"/>
      <c r="E194" s="9"/>
      <c r="F194" s="9"/>
      <c r="G194" s="9"/>
      <c r="H194" s="11"/>
      <c r="I194" s="11"/>
      <c r="J194" s="11"/>
      <c r="K194" s="11"/>
      <c r="L194" s="11"/>
      <c r="M194" s="9"/>
      <c r="N194" s="9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9"/>
      <c r="AK194" s="13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9"/>
      <c r="BH194" s="15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9"/>
      <c r="CF194" s="9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</row>
    <row r="195" ht="15.75" customHeight="1">
      <c r="A195" s="9"/>
      <c r="B195" s="11"/>
      <c r="C195" s="11"/>
      <c r="D195" s="9"/>
      <c r="E195" s="9"/>
      <c r="F195" s="9"/>
      <c r="G195" s="9"/>
      <c r="H195" s="11"/>
      <c r="I195" s="11"/>
      <c r="J195" s="11"/>
      <c r="K195" s="11"/>
      <c r="L195" s="11"/>
      <c r="M195" s="9"/>
      <c r="N195" s="9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9"/>
      <c r="AK195" s="13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9"/>
      <c r="BH195" s="15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9"/>
      <c r="CF195" s="9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</row>
    <row r="196" ht="15.75" customHeight="1">
      <c r="A196" s="9"/>
      <c r="B196" s="11"/>
      <c r="C196" s="11"/>
      <c r="D196" s="9"/>
      <c r="E196" s="9"/>
      <c r="F196" s="9"/>
      <c r="G196" s="9"/>
      <c r="H196" s="11"/>
      <c r="I196" s="11"/>
      <c r="J196" s="11"/>
      <c r="K196" s="11"/>
      <c r="L196" s="11"/>
      <c r="M196" s="9"/>
      <c r="N196" s="9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9"/>
      <c r="AK196" s="13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9"/>
      <c r="BH196" s="15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9"/>
      <c r="CF196" s="9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</row>
    <row r="197" ht="15.75" customHeight="1">
      <c r="A197" s="9"/>
      <c r="B197" s="11"/>
      <c r="C197" s="11"/>
      <c r="D197" s="9"/>
      <c r="E197" s="9"/>
      <c r="F197" s="9"/>
      <c r="G197" s="9"/>
      <c r="H197" s="11"/>
      <c r="I197" s="11"/>
      <c r="J197" s="11"/>
      <c r="K197" s="11"/>
      <c r="L197" s="11"/>
      <c r="M197" s="9"/>
      <c r="N197" s="9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9"/>
      <c r="AK197" s="13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9"/>
      <c r="BH197" s="15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9"/>
      <c r="CF197" s="9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</row>
    <row r="198" ht="15.75" customHeight="1">
      <c r="A198" s="9"/>
      <c r="B198" s="11"/>
      <c r="C198" s="11"/>
      <c r="D198" s="9"/>
      <c r="E198" s="9"/>
      <c r="F198" s="9"/>
      <c r="G198" s="9"/>
      <c r="H198" s="11"/>
      <c r="I198" s="11"/>
      <c r="J198" s="11"/>
      <c r="K198" s="11"/>
      <c r="L198" s="11"/>
      <c r="M198" s="9"/>
      <c r="N198" s="9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9"/>
      <c r="AK198" s="13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9"/>
      <c r="BH198" s="15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9"/>
      <c r="CF198" s="9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</row>
    <row r="199" ht="15.75" customHeight="1">
      <c r="A199" s="9"/>
      <c r="B199" s="11"/>
      <c r="C199" s="11"/>
      <c r="D199" s="9"/>
      <c r="E199" s="9"/>
      <c r="F199" s="9"/>
      <c r="G199" s="9"/>
      <c r="H199" s="11"/>
      <c r="I199" s="11"/>
      <c r="J199" s="11"/>
      <c r="K199" s="11"/>
      <c r="L199" s="11"/>
      <c r="M199" s="9"/>
      <c r="N199" s="9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9"/>
      <c r="AK199" s="13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9"/>
      <c r="BH199" s="15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9"/>
      <c r="CF199" s="9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</row>
    <row r="200" ht="15.75" customHeight="1">
      <c r="A200" s="9"/>
      <c r="B200" s="11"/>
      <c r="C200" s="11"/>
      <c r="D200" s="9"/>
      <c r="E200" s="9"/>
      <c r="F200" s="9"/>
      <c r="G200" s="9"/>
      <c r="H200" s="11"/>
      <c r="I200" s="11"/>
      <c r="J200" s="11"/>
      <c r="K200" s="11"/>
      <c r="L200" s="11"/>
      <c r="M200" s="9"/>
      <c r="N200" s="9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9"/>
      <c r="AK200" s="13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9"/>
      <c r="BH200" s="15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9"/>
      <c r="CF200" s="9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</row>
    <row r="201" ht="15.75" customHeight="1">
      <c r="A201" s="9"/>
      <c r="B201" s="11"/>
      <c r="C201" s="11"/>
      <c r="D201" s="9"/>
      <c r="E201" s="9"/>
      <c r="F201" s="9"/>
      <c r="G201" s="9"/>
      <c r="H201" s="11"/>
      <c r="I201" s="11"/>
      <c r="J201" s="11"/>
      <c r="K201" s="11"/>
      <c r="L201" s="11"/>
      <c r="M201" s="9"/>
      <c r="N201" s="9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9"/>
      <c r="AK201" s="13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9"/>
      <c r="BH201" s="15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9"/>
      <c r="CF201" s="9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</row>
    <row r="202" ht="15.75" customHeight="1">
      <c r="A202" s="9"/>
      <c r="B202" s="11"/>
      <c r="C202" s="11"/>
      <c r="D202" s="9"/>
      <c r="E202" s="9"/>
      <c r="F202" s="9"/>
      <c r="G202" s="9"/>
      <c r="H202" s="11"/>
      <c r="I202" s="11"/>
      <c r="J202" s="11"/>
      <c r="K202" s="11"/>
      <c r="L202" s="11"/>
      <c r="M202" s="9"/>
      <c r="N202" s="9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9"/>
      <c r="AK202" s="13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9"/>
      <c r="BH202" s="15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9"/>
      <c r="CF202" s="9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</row>
    <row r="203" ht="15.75" customHeight="1">
      <c r="A203" s="9"/>
      <c r="B203" s="11"/>
      <c r="C203" s="11"/>
      <c r="D203" s="9"/>
      <c r="E203" s="9"/>
      <c r="F203" s="9"/>
      <c r="G203" s="9"/>
      <c r="H203" s="11"/>
      <c r="I203" s="11"/>
      <c r="J203" s="11"/>
      <c r="K203" s="11"/>
      <c r="L203" s="11"/>
      <c r="M203" s="9"/>
      <c r="N203" s="9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9"/>
      <c r="AK203" s="13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9"/>
      <c r="BH203" s="15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9"/>
      <c r="CF203" s="9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</row>
    <row r="204" ht="15.75" customHeight="1">
      <c r="A204" s="9"/>
      <c r="B204" s="11"/>
      <c r="C204" s="11"/>
      <c r="D204" s="9"/>
      <c r="E204" s="9"/>
      <c r="F204" s="9"/>
      <c r="G204" s="9"/>
      <c r="H204" s="11"/>
      <c r="I204" s="11"/>
      <c r="J204" s="11"/>
      <c r="K204" s="11"/>
      <c r="L204" s="11"/>
      <c r="M204" s="9"/>
      <c r="N204" s="9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9"/>
      <c r="AK204" s="13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9"/>
      <c r="BH204" s="15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9"/>
      <c r="CF204" s="9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</row>
    <row r="205" ht="15.75" customHeight="1">
      <c r="A205" s="9"/>
      <c r="B205" s="11"/>
      <c r="C205" s="11"/>
      <c r="D205" s="9"/>
      <c r="E205" s="9"/>
      <c r="F205" s="9"/>
      <c r="G205" s="9"/>
      <c r="H205" s="11"/>
      <c r="I205" s="11"/>
      <c r="J205" s="11"/>
      <c r="K205" s="11"/>
      <c r="L205" s="11"/>
      <c r="M205" s="9"/>
      <c r="N205" s="9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9"/>
      <c r="AK205" s="13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9"/>
      <c r="BH205" s="15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9"/>
      <c r="CF205" s="9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</row>
    <row r="206" ht="15.75" customHeight="1">
      <c r="A206" s="9"/>
      <c r="B206" s="11"/>
      <c r="C206" s="11"/>
      <c r="D206" s="9"/>
      <c r="E206" s="9"/>
      <c r="F206" s="9"/>
      <c r="G206" s="9"/>
      <c r="H206" s="11"/>
      <c r="I206" s="11"/>
      <c r="J206" s="11"/>
      <c r="K206" s="11"/>
      <c r="L206" s="11"/>
      <c r="M206" s="9"/>
      <c r="N206" s="9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9"/>
      <c r="AK206" s="13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9"/>
      <c r="BH206" s="15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9"/>
      <c r="CF206" s="9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</row>
    <row r="207" ht="15.75" customHeight="1">
      <c r="A207" s="9"/>
      <c r="B207" s="11"/>
      <c r="C207" s="11"/>
      <c r="D207" s="9"/>
      <c r="E207" s="9"/>
      <c r="F207" s="9"/>
      <c r="G207" s="9"/>
      <c r="H207" s="11"/>
      <c r="I207" s="11"/>
      <c r="J207" s="11"/>
      <c r="K207" s="11"/>
      <c r="L207" s="11"/>
      <c r="M207" s="9"/>
      <c r="N207" s="9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9"/>
      <c r="AK207" s="13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9"/>
      <c r="BH207" s="15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9"/>
      <c r="CF207" s="9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</row>
    <row r="208" ht="15.75" customHeight="1">
      <c r="A208" s="9"/>
      <c r="B208" s="11"/>
      <c r="C208" s="11"/>
      <c r="D208" s="9"/>
      <c r="E208" s="9"/>
      <c r="F208" s="9"/>
      <c r="G208" s="9"/>
      <c r="H208" s="11"/>
      <c r="I208" s="11"/>
      <c r="J208" s="11"/>
      <c r="K208" s="11"/>
      <c r="L208" s="11"/>
      <c r="M208" s="9"/>
      <c r="N208" s="9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9"/>
      <c r="AK208" s="13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9"/>
      <c r="BH208" s="15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9"/>
      <c r="CF208" s="9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</row>
    <row r="209" ht="15.75" customHeight="1">
      <c r="A209" s="9"/>
      <c r="B209" s="11"/>
      <c r="C209" s="11"/>
      <c r="D209" s="9"/>
      <c r="E209" s="9"/>
      <c r="F209" s="9"/>
      <c r="G209" s="9"/>
      <c r="H209" s="11"/>
      <c r="I209" s="11"/>
      <c r="J209" s="11"/>
      <c r="K209" s="11"/>
      <c r="L209" s="11"/>
      <c r="M209" s="9"/>
      <c r="N209" s="9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9"/>
      <c r="AK209" s="13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9"/>
      <c r="BH209" s="15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9"/>
      <c r="CF209" s="9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</row>
    <row r="210" ht="15.75" customHeight="1">
      <c r="A210" s="9"/>
      <c r="B210" s="11"/>
      <c r="C210" s="11"/>
      <c r="D210" s="9"/>
      <c r="E210" s="9"/>
      <c r="F210" s="9"/>
      <c r="G210" s="9"/>
      <c r="H210" s="11"/>
      <c r="I210" s="11"/>
      <c r="J210" s="11"/>
      <c r="K210" s="11"/>
      <c r="L210" s="11"/>
      <c r="M210" s="9"/>
      <c r="N210" s="9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9"/>
      <c r="AK210" s="13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9"/>
      <c r="BH210" s="15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9"/>
      <c r="CF210" s="9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</row>
    <row r="211" ht="15.75" customHeight="1">
      <c r="A211" s="9"/>
      <c r="B211" s="11"/>
      <c r="C211" s="11"/>
      <c r="D211" s="9"/>
      <c r="E211" s="9"/>
      <c r="F211" s="9"/>
      <c r="G211" s="9"/>
      <c r="H211" s="11"/>
      <c r="I211" s="11"/>
      <c r="J211" s="11"/>
      <c r="K211" s="11"/>
      <c r="L211" s="11"/>
      <c r="M211" s="9"/>
      <c r="N211" s="9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9"/>
      <c r="AK211" s="13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9"/>
      <c r="BH211" s="15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9"/>
      <c r="CF211" s="9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</row>
    <row r="212" ht="15.75" customHeight="1">
      <c r="A212" s="9"/>
      <c r="B212" s="11"/>
      <c r="C212" s="11"/>
      <c r="D212" s="9"/>
      <c r="E212" s="9"/>
      <c r="F212" s="9"/>
      <c r="G212" s="9"/>
      <c r="H212" s="11"/>
      <c r="I212" s="11"/>
      <c r="J212" s="11"/>
      <c r="K212" s="11"/>
      <c r="L212" s="11"/>
      <c r="M212" s="9"/>
      <c r="N212" s="9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9"/>
      <c r="AK212" s="13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9"/>
      <c r="BH212" s="15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9"/>
      <c r="CF212" s="9"/>
      <c r="CG212" s="11"/>
      <c r="CH212" s="11"/>
      <c r="CI212" s="11"/>
      <c r="CJ212" s="11"/>
      <c r="CK212" s="11"/>
      <c r="CL212" s="11"/>
      <c r="CM212" s="11"/>
      <c r="CN212" s="11"/>
      <c r="CO212" s="11"/>
      <c r="CP212" s="11"/>
      <c r="CQ212" s="11"/>
      <c r="CR212" s="11"/>
      <c r="CS212" s="11"/>
      <c r="CT212" s="11"/>
    </row>
    <row r="213" ht="15.75" customHeight="1">
      <c r="A213" s="9"/>
      <c r="B213" s="11"/>
      <c r="C213" s="11"/>
      <c r="D213" s="9"/>
      <c r="E213" s="9"/>
      <c r="F213" s="9"/>
      <c r="G213" s="9"/>
      <c r="H213" s="11"/>
      <c r="I213" s="11"/>
      <c r="J213" s="11"/>
      <c r="K213" s="11"/>
      <c r="L213" s="11"/>
      <c r="M213" s="9"/>
      <c r="N213" s="9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9"/>
      <c r="AK213" s="13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9"/>
      <c r="BH213" s="15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9"/>
      <c r="CF213" s="9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</row>
    <row r="214" ht="15.75" customHeight="1">
      <c r="A214" s="9"/>
      <c r="B214" s="11"/>
      <c r="C214" s="11"/>
      <c r="D214" s="9"/>
      <c r="E214" s="9"/>
      <c r="F214" s="9"/>
      <c r="G214" s="9"/>
      <c r="H214" s="11"/>
      <c r="I214" s="11"/>
      <c r="J214" s="11"/>
      <c r="K214" s="11"/>
      <c r="L214" s="11"/>
      <c r="M214" s="9"/>
      <c r="N214" s="9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9"/>
      <c r="AK214" s="13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9"/>
      <c r="BH214" s="15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9"/>
      <c r="CF214" s="9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  <c r="CT214" s="11"/>
    </row>
    <row r="215" ht="15.75" customHeight="1">
      <c r="A215" s="9"/>
      <c r="B215" s="11"/>
      <c r="C215" s="11"/>
      <c r="D215" s="9"/>
      <c r="E215" s="9"/>
      <c r="F215" s="9"/>
      <c r="G215" s="9"/>
      <c r="H215" s="11"/>
      <c r="I215" s="11"/>
      <c r="J215" s="11"/>
      <c r="K215" s="11"/>
      <c r="L215" s="11"/>
      <c r="M215" s="9"/>
      <c r="N215" s="9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9"/>
      <c r="AK215" s="13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9"/>
      <c r="BH215" s="15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9"/>
      <c r="CF215" s="9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</row>
    <row r="216" ht="15.75" customHeight="1">
      <c r="A216" s="9"/>
      <c r="B216" s="11"/>
      <c r="C216" s="11"/>
      <c r="D216" s="9"/>
      <c r="E216" s="9"/>
      <c r="F216" s="9"/>
      <c r="G216" s="9"/>
      <c r="H216" s="11"/>
      <c r="I216" s="11"/>
      <c r="J216" s="11"/>
      <c r="K216" s="11"/>
      <c r="L216" s="11"/>
      <c r="M216" s="9"/>
      <c r="N216" s="9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9"/>
      <c r="AK216" s="13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9"/>
      <c r="BH216" s="15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9"/>
      <c r="CF216" s="9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</row>
    <row r="217" ht="15.75" customHeight="1">
      <c r="A217" s="9"/>
      <c r="B217" s="11"/>
      <c r="C217" s="11"/>
      <c r="D217" s="9"/>
      <c r="E217" s="9"/>
      <c r="F217" s="9"/>
      <c r="G217" s="9"/>
      <c r="H217" s="11"/>
      <c r="I217" s="11"/>
      <c r="J217" s="11"/>
      <c r="K217" s="11"/>
      <c r="L217" s="11"/>
      <c r="M217" s="9"/>
      <c r="N217" s="9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9"/>
      <c r="AK217" s="13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9"/>
      <c r="BH217" s="15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9"/>
      <c r="CF217" s="9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</row>
    <row r="218" ht="15.75" customHeight="1">
      <c r="A218" s="9"/>
      <c r="B218" s="11"/>
      <c r="C218" s="11"/>
      <c r="D218" s="9"/>
      <c r="E218" s="9"/>
      <c r="F218" s="9"/>
      <c r="G218" s="9"/>
      <c r="H218" s="11"/>
      <c r="I218" s="11"/>
      <c r="J218" s="11"/>
      <c r="K218" s="11"/>
      <c r="L218" s="11"/>
      <c r="M218" s="9"/>
      <c r="N218" s="9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9"/>
      <c r="AK218" s="13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9"/>
      <c r="BH218" s="15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9"/>
      <c r="CF218" s="9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</row>
    <row r="219" ht="15.75" customHeight="1">
      <c r="A219" s="9"/>
      <c r="B219" s="11"/>
      <c r="C219" s="11"/>
      <c r="D219" s="9"/>
      <c r="E219" s="9"/>
      <c r="F219" s="9"/>
      <c r="G219" s="9"/>
      <c r="H219" s="11"/>
      <c r="I219" s="11"/>
      <c r="J219" s="11"/>
      <c r="K219" s="11"/>
      <c r="L219" s="11"/>
      <c r="M219" s="9"/>
      <c r="N219" s="9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9"/>
      <c r="AK219" s="13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9"/>
      <c r="BH219" s="15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9"/>
      <c r="CF219" s="9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</row>
    <row r="220" ht="15.75" customHeight="1">
      <c r="A220" s="9"/>
      <c r="B220" s="11"/>
      <c r="C220" s="11"/>
      <c r="D220" s="9"/>
      <c r="E220" s="9"/>
      <c r="F220" s="9"/>
      <c r="G220" s="9"/>
      <c r="H220" s="11"/>
      <c r="I220" s="11"/>
      <c r="J220" s="11"/>
      <c r="K220" s="11"/>
      <c r="L220" s="11"/>
      <c r="M220" s="9"/>
      <c r="N220" s="9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9"/>
      <c r="AK220" s="13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9"/>
      <c r="BH220" s="15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9"/>
      <c r="CF220" s="9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</row>
    <row r="221" ht="15.75" customHeight="1">
      <c r="A221" s="9"/>
      <c r="B221" s="11"/>
      <c r="C221" s="11"/>
      <c r="D221" s="9"/>
      <c r="E221" s="9"/>
      <c r="F221" s="9"/>
      <c r="G221" s="9"/>
      <c r="H221" s="11"/>
      <c r="I221" s="11"/>
      <c r="J221" s="11"/>
      <c r="K221" s="11"/>
      <c r="L221" s="11"/>
      <c r="M221" s="9"/>
      <c r="N221" s="9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9"/>
      <c r="AK221" s="13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9"/>
      <c r="BH221" s="15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9"/>
      <c r="CF221" s="9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</row>
    <row r="222" ht="15.75" customHeight="1">
      <c r="A222" s="9"/>
      <c r="B222" s="11"/>
      <c r="C222" s="11"/>
      <c r="D222" s="9"/>
      <c r="E222" s="9"/>
      <c r="F222" s="9"/>
      <c r="G222" s="9"/>
      <c r="H222" s="11"/>
      <c r="I222" s="11"/>
      <c r="J222" s="11"/>
      <c r="K222" s="11"/>
      <c r="L222" s="11"/>
      <c r="M222" s="9"/>
      <c r="N222" s="9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9"/>
      <c r="AK222" s="13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9"/>
      <c r="BH222" s="15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9"/>
      <c r="CF222" s="9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</row>
    <row r="223" ht="15.75" customHeight="1">
      <c r="A223" s="9"/>
      <c r="B223" s="11"/>
      <c r="C223" s="11"/>
      <c r="D223" s="9"/>
      <c r="E223" s="9"/>
      <c r="F223" s="9"/>
      <c r="G223" s="9"/>
      <c r="H223" s="11"/>
      <c r="I223" s="11"/>
      <c r="J223" s="11"/>
      <c r="K223" s="11"/>
      <c r="L223" s="11"/>
      <c r="M223" s="9"/>
      <c r="N223" s="9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9"/>
      <c r="AK223" s="13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9"/>
      <c r="BH223" s="15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9"/>
      <c r="CF223" s="9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</row>
    <row r="224" ht="15.75" customHeight="1">
      <c r="A224" s="9"/>
      <c r="B224" s="11"/>
      <c r="C224" s="11"/>
      <c r="D224" s="9"/>
      <c r="E224" s="9"/>
      <c r="F224" s="9"/>
      <c r="G224" s="9"/>
      <c r="H224" s="11"/>
      <c r="I224" s="11"/>
      <c r="J224" s="11"/>
      <c r="K224" s="11"/>
      <c r="L224" s="11"/>
      <c r="M224" s="9"/>
      <c r="N224" s="9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9"/>
      <c r="AK224" s="13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9"/>
      <c r="BH224" s="15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9"/>
      <c r="CF224" s="9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</row>
    <row r="225" ht="15.75" customHeight="1">
      <c r="A225" s="9"/>
      <c r="B225" s="11"/>
      <c r="C225" s="11"/>
      <c r="D225" s="9"/>
      <c r="E225" s="9"/>
      <c r="F225" s="9"/>
      <c r="G225" s="9"/>
      <c r="H225" s="11"/>
      <c r="I225" s="11"/>
      <c r="J225" s="11"/>
      <c r="K225" s="11"/>
      <c r="L225" s="11"/>
      <c r="M225" s="9"/>
      <c r="N225" s="9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9"/>
      <c r="AK225" s="13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9"/>
      <c r="BH225" s="15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9"/>
      <c r="CF225" s="9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</row>
    <row r="226" ht="15.75" customHeight="1">
      <c r="A226" s="9"/>
      <c r="B226" s="11"/>
      <c r="C226" s="11"/>
      <c r="D226" s="9"/>
      <c r="E226" s="9"/>
      <c r="F226" s="9"/>
      <c r="G226" s="9"/>
      <c r="H226" s="11"/>
      <c r="I226" s="11"/>
      <c r="J226" s="11"/>
      <c r="K226" s="11"/>
      <c r="L226" s="11"/>
      <c r="M226" s="9"/>
      <c r="N226" s="9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9"/>
      <c r="AK226" s="13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9"/>
      <c r="BH226" s="15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9"/>
      <c r="CF226" s="9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</row>
    <row r="227" ht="15.75" customHeight="1">
      <c r="A227" s="9"/>
      <c r="B227" s="11"/>
      <c r="C227" s="11"/>
      <c r="D227" s="9"/>
      <c r="E227" s="9"/>
      <c r="F227" s="9"/>
      <c r="G227" s="9"/>
      <c r="H227" s="11"/>
      <c r="I227" s="11"/>
      <c r="J227" s="11"/>
      <c r="K227" s="11"/>
      <c r="L227" s="11"/>
      <c r="M227" s="9"/>
      <c r="N227" s="9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9"/>
      <c r="AK227" s="13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9"/>
      <c r="BH227" s="15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9"/>
      <c r="CF227" s="9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</row>
    <row r="228" ht="15.75" customHeight="1">
      <c r="A228" s="9"/>
      <c r="B228" s="11"/>
      <c r="C228" s="11"/>
      <c r="D228" s="9"/>
      <c r="E228" s="9"/>
      <c r="F228" s="9"/>
      <c r="G228" s="9"/>
      <c r="H228" s="11"/>
      <c r="I228" s="11"/>
      <c r="J228" s="11"/>
      <c r="K228" s="11"/>
      <c r="L228" s="11"/>
      <c r="M228" s="9"/>
      <c r="N228" s="9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9"/>
      <c r="AK228" s="13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9"/>
      <c r="BH228" s="15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9"/>
      <c r="CF228" s="9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</row>
    <row r="229" ht="15.75" customHeight="1">
      <c r="A229" s="9"/>
      <c r="B229" s="11"/>
      <c r="C229" s="11"/>
      <c r="D229" s="9"/>
      <c r="E229" s="9"/>
      <c r="F229" s="9"/>
      <c r="G229" s="9"/>
      <c r="H229" s="11"/>
      <c r="I229" s="11"/>
      <c r="J229" s="11"/>
      <c r="K229" s="11"/>
      <c r="L229" s="11"/>
      <c r="M229" s="9"/>
      <c r="N229" s="9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9"/>
      <c r="AK229" s="13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9"/>
      <c r="BH229" s="15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9"/>
      <c r="CF229" s="9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</row>
    <row r="230" ht="15.75" customHeight="1">
      <c r="A230" s="9"/>
      <c r="B230" s="11"/>
      <c r="C230" s="11"/>
      <c r="D230" s="9"/>
      <c r="E230" s="9"/>
      <c r="F230" s="9"/>
      <c r="G230" s="9"/>
      <c r="H230" s="11"/>
      <c r="I230" s="11"/>
      <c r="J230" s="11"/>
      <c r="K230" s="11"/>
      <c r="L230" s="11"/>
      <c r="M230" s="9"/>
      <c r="N230" s="9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9"/>
      <c r="AK230" s="13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9"/>
      <c r="BH230" s="15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9"/>
      <c r="CF230" s="9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</row>
    <row r="231" ht="15.75" customHeight="1">
      <c r="A231" s="9"/>
      <c r="B231" s="11"/>
      <c r="C231" s="11"/>
      <c r="D231" s="9"/>
      <c r="E231" s="9"/>
      <c r="F231" s="9"/>
      <c r="G231" s="9"/>
      <c r="H231" s="11"/>
      <c r="I231" s="11"/>
      <c r="J231" s="11"/>
      <c r="K231" s="11"/>
      <c r="L231" s="11"/>
      <c r="M231" s="9"/>
      <c r="N231" s="9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9"/>
      <c r="AK231" s="13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9"/>
      <c r="BH231" s="15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9"/>
      <c r="CF231" s="9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</row>
    <row r="232" ht="15.75" customHeight="1">
      <c r="A232" s="9"/>
      <c r="B232" s="11"/>
      <c r="C232" s="11"/>
      <c r="D232" s="9"/>
      <c r="E232" s="9"/>
      <c r="F232" s="9"/>
      <c r="G232" s="9"/>
      <c r="H232" s="11"/>
      <c r="I232" s="11"/>
      <c r="J232" s="11"/>
      <c r="K232" s="11"/>
      <c r="L232" s="11"/>
      <c r="M232" s="9"/>
      <c r="N232" s="9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9"/>
      <c r="AK232" s="13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9"/>
      <c r="BH232" s="15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9"/>
      <c r="CF232" s="9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</row>
    <row r="233" ht="15.75" customHeight="1">
      <c r="A233" s="9"/>
      <c r="B233" s="11"/>
      <c r="C233" s="11"/>
      <c r="D233" s="9"/>
      <c r="E233" s="9"/>
      <c r="F233" s="9"/>
      <c r="G233" s="9"/>
      <c r="H233" s="11"/>
      <c r="I233" s="11"/>
      <c r="J233" s="11"/>
      <c r="K233" s="11"/>
      <c r="L233" s="11"/>
      <c r="M233" s="9"/>
      <c r="N233" s="9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9"/>
      <c r="AK233" s="13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9"/>
      <c r="BH233" s="15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9"/>
      <c r="CF233" s="9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</row>
    <row r="234" ht="15.75" customHeight="1">
      <c r="A234" s="9"/>
      <c r="B234" s="11"/>
      <c r="C234" s="11"/>
      <c r="D234" s="9"/>
      <c r="E234" s="9"/>
      <c r="F234" s="9"/>
      <c r="G234" s="9"/>
      <c r="H234" s="11"/>
      <c r="I234" s="11"/>
      <c r="J234" s="11"/>
      <c r="K234" s="11"/>
      <c r="L234" s="11"/>
      <c r="M234" s="9"/>
      <c r="N234" s="9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9"/>
      <c r="AK234" s="13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9"/>
      <c r="BH234" s="15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9"/>
      <c r="CF234" s="9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</row>
    <row r="235" ht="15.75" customHeight="1">
      <c r="A235" s="9"/>
      <c r="B235" s="11"/>
      <c r="C235" s="11"/>
      <c r="D235" s="9"/>
      <c r="E235" s="9"/>
      <c r="F235" s="9"/>
      <c r="G235" s="9"/>
      <c r="H235" s="11"/>
      <c r="I235" s="11"/>
      <c r="J235" s="11"/>
      <c r="K235" s="11"/>
      <c r="L235" s="11"/>
      <c r="M235" s="9"/>
      <c r="N235" s="9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9"/>
      <c r="AK235" s="13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9"/>
      <c r="BH235" s="15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9"/>
      <c r="CF235" s="9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</row>
    <row r="236" ht="15.75" customHeight="1">
      <c r="A236" s="9"/>
      <c r="B236" s="11"/>
      <c r="C236" s="11"/>
      <c r="D236" s="9"/>
      <c r="E236" s="9"/>
      <c r="F236" s="9"/>
      <c r="G236" s="9"/>
      <c r="H236" s="11"/>
      <c r="I236" s="11"/>
      <c r="J236" s="11"/>
      <c r="K236" s="11"/>
      <c r="L236" s="11"/>
      <c r="M236" s="9"/>
      <c r="N236" s="9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9"/>
      <c r="AK236" s="13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9"/>
      <c r="BH236" s="15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9"/>
      <c r="CF236" s="9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</row>
    <row r="237" ht="15.75" customHeight="1">
      <c r="A237" s="9"/>
      <c r="B237" s="11"/>
      <c r="C237" s="11"/>
      <c r="D237" s="9"/>
      <c r="E237" s="9"/>
      <c r="F237" s="9"/>
      <c r="G237" s="9"/>
      <c r="H237" s="11"/>
      <c r="I237" s="11"/>
      <c r="J237" s="11"/>
      <c r="K237" s="11"/>
      <c r="L237" s="11"/>
      <c r="M237" s="9"/>
      <c r="N237" s="9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9"/>
      <c r="AK237" s="13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9"/>
      <c r="BH237" s="15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9"/>
      <c r="CF237" s="9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</row>
    <row r="238" ht="15.75" customHeight="1">
      <c r="A238" s="9"/>
      <c r="B238" s="11"/>
      <c r="C238" s="11"/>
      <c r="D238" s="9"/>
      <c r="E238" s="9"/>
      <c r="F238" s="9"/>
      <c r="G238" s="9"/>
      <c r="H238" s="11"/>
      <c r="I238" s="11"/>
      <c r="J238" s="11"/>
      <c r="K238" s="11"/>
      <c r="L238" s="11"/>
      <c r="M238" s="9"/>
      <c r="N238" s="9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9"/>
      <c r="AK238" s="13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9"/>
      <c r="BH238" s="15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9"/>
      <c r="CF238" s="9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</row>
    <row r="239" ht="15.75" customHeight="1">
      <c r="A239" s="9"/>
      <c r="B239" s="11"/>
      <c r="C239" s="11"/>
      <c r="D239" s="9"/>
      <c r="E239" s="9"/>
      <c r="F239" s="9"/>
      <c r="G239" s="9"/>
      <c r="H239" s="11"/>
      <c r="I239" s="11"/>
      <c r="J239" s="11"/>
      <c r="K239" s="11"/>
      <c r="L239" s="11"/>
      <c r="M239" s="9"/>
      <c r="N239" s="9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9"/>
      <c r="AK239" s="13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9"/>
      <c r="BH239" s="15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9"/>
      <c r="CF239" s="9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</row>
    <row r="240" ht="15.75" customHeight="1">
      <c r="A240" s="9"/>
      <c r="B240" s="11"/>
      <c r="C240" s="11"/>
      <c r="D240" s="9"/>
      <c r="E240" s="9"/>
      <c r="F240" s="9"/>
      <c r="G240" s="9"/>
      <c r="H240" s="11"/>
      <c r="I240" s="11"/>
      <c r="J240" s="11"/>
      <c r="K240" s="11"/>
      <c r="L240" s="11"/>
      <c r="M240" s="9"/>
      <c r="N240" s="9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9"/>
      <c r="AK240" s="13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9"/>
      <c r="BH240" s="15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9"/>
      <c r="CF240" s="9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</row>
    <row r="241" ht="15.75" customHeight="1">
      <c r="A241" s="9"/>
      <c r="B241" s="11"/>
      <c r="C241" s="11"/>
      <c r="D241" s="9"/>
      <c r="E241" s="9"/>
      <c r="F241" s="9"/>
      <c r="G241" s="9"/>
      <c r="H241" s="11"/>
      <c r="I241" s="11"/>
      <c r="J241" s="11"/>
      <c r="K241" s="11"/>
      <c r="L241" s="11"/>
      <c r="M241" s="9"/>
      <c r="N241" s="9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9"/>
      <c r="AK241" s="13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9"/>
      <c r="BH241" s="15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9"/>
      <c r="CF241" s="9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</row>
    <row r="242" ht="15.75" customHeight="1">
      <c r="A242" s="9"/>
      <c r="B242" s="11"/>
      <c r="C242" s="11"/>
      <c r="D242" s="9"/>
      <c r="E242" s="9"/>
      <c r="F242" s="9"/>
      <c r="G242" s="9"/>
      <c r="H242" s="11"/>
      <c r="I242" s="11"/>
      <c r="J242" s="11"/>
      <c r="K242" s="11"/>
      <c r="L242" s="11"/>
      <c r="M242" s="9"/>
      <c r="N242" s="9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9"/>
      <c r="AK242" s="13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9"/>
      <c r="BH242" s="15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9"/>
      <c r="CF242" s="9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</row>
    <row r="243" ht="15.75" customHeight="1">
      <c r="A243" s="9"/>
      <c r="B243" s="11"/>
      <c r="C243" s="11"/>
      <c r="D243" s="9"/>
      <c r="E243" s="9"/>
      <c r="F243" s="9"/>
      <c r="G243" s="9"/>
      <c r="H243" s="11"/>
      <c r="I243" s="11"/>
      <c r="J243" s="11"/>
      <c r="K243" s="11"/>
      <c r="L243" s="11"/>
      <c r="M243" s="9"/>
      <c r="N243" s="9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9"/>
      <c r="AK243" s="13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9"/>
      <c r="BH243" s="15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9"/>
      <c r="CF243" s="9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</row>
    <row r="244" ht="15.75" customHeight="1">
      <c r="A244" s="9"/>
      <c r="B244" s="11"/>
      <c r="C244" s="11"/>
      <c r="D244" s="9"/>
      <c r="E244" s="9"/>
      <c r="F244" s="9"/>
      <c r="G244" s="9"/>
      <c r="H244" s="11"/>
      <c r="I244" s="11"/>
      <c r="J244" s="11"/>
      <c r="K244" s="11"/>
      <c r="L244" s="11"/>
      <c r="M244" s="9"/>
      <c r="N244" s="9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9"/>
      <c r="AK244" s="13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9"/>
      <c r="BH244" s="15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9"/>
      <c r="CF244" s="9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1"/>
    </row>
    <row r="245" ht="15.75" customHeight="1">
      <c r="A245" s="9"/>
      <c r="B245" s="11"/>
      <c r="C245" s="11"/>
      <c r="D245" s="9"/>
      <c r="E245" s="9"/>
      <c r="F245" s="9"/>
      <c r="G245" s="9"/>
      <c r="H245" s="11"/>
      <c r="I245" s="11"/>
      <c r="J245" s="11"/>
      <c r="K245" s="11"/>
      <c r="L245" s="11"/>
      <c r="M245" s="9"/>
      <c r="N245" s="9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9"/>
      <c r="AK245" s="13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9"/>
      <c r="BH245" s="15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9"/>
      <c r="CF245" s="9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</row>
    <row r="246" ht="15.75" customHeight="1">
      <c r="A246" s="9"/>
      <c r="B246" s="11"/>
      <c r="C246" s="11"/>
      <c r="D246" s="9"/>
      <c r="E246" s="9"/>
      <c r="F246" s="9"/>
      <c r="G246" s="9"/>
      <c r="H246" s="11"/>
      <c r="I246" s="11"/>
      <c r="J246" s="11"/>
      <c r="K246" s="11"/>
      <c r="L246" s="11"/>
      <c r="M246" s="9"/>
      <c r="N246" s="9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9"/>
      <c r="AK246" s="13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9"/>
      <c r="BH246" s="15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9"/>
      <c r="CF246" s="9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</row>
    <row r="247" ht="15.75" customHeight="1">
      <c r="A247" s="9"/>
      <c r="B247" s="11"/>
      <c r="C247" s="11"/>
      <c r="D247" s="9"/>
      <c r="E247" s="9"/>
      <c r="F247" s="9"/>
      <c r="G247" s="9"/>
      <c r="H247" s="11"/>
      <c r="I247" s="11"/>
      <c r="J247" s="11"/>
      <c r="K247" s="11"/>
      <c r="L247" s="11"/>
      <c r="M247" s="9"/>
      <c r="N247" s="9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9"/>
      <c r="AK247" s="13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9"/>
      <c r="BH247" s="15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9"/>
      <c r="CF247" s="9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</row>
    <row r="248" ht="15.75" customHeight="1">
      <c r="A248" s="9"/>
      <c r="B248" s="11"/>
      <c r="C248" s="11"/>
      <c r="D248" s="9"/>
      <c r="E248" s="9"/>
      <c r="F248" s="9"/>
      <c r="G248" s="9"/>
      <c r="H248" s="11"/>
      <c r="I248" s="11"/>
      <c r="J248" s="11"/>
      <c r="K248" s="11"/>
      <c r="L248" s="11"/>
      <c r="M248" s="9"/>
      <c r="N248" s="9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9"/>
      <c r="AK248" s="13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9"/>
      <c r="BH248" s="15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9"/>
      <c r="CF248" s="9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</row>
    <row r="249" ht="15.75" customHeight="1">
      <c r="A249" s="9"/>
      <c r="B249" s="11"/>
      <c r="C249" s="11"/>
      <c r="D249" s="9"/>
      <c r="E249" s="9"/>
      <c r="F249" s="9"/>
      <c r="G249" s="9"/>
      <c r="H249" s="11"/>
      <c r="I249" s="11"/>
      <c r="J249" s="11"/>
      <c r="K249" s="11"/>
      <c r="L249" s="11"/>
      <c r="M249" s="9"/>
      <c r="N249" s="9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9"/>
      <c r="AK249" s="13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9"/>
      <c r="BH249" s="15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9"/>
      <c r="CF249" s="9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</row>
    <row r="250" ht="15.75" customHeight="1">
      <c r="A250" s="9"/>
      <c r="B250" s="11"/>
      <c r="C250" s="11"/>
      <c r="D250" s="9"/>
      <c r="E250" s="9"/>
      <c r="F250" s="9"/>
      <c r="G250" s="9"/>
      <c r="H250" s="11"/>
      <c r="I250" s="11"/>
      <c r="J250" s="11"/>
      <c r="K250" s="11"/>
      <c r="L250" s="11"/>
      <c r="M250" s="9"/>
      <c r="N250" s="9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9"/>
      <c r="AK250" s="13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9"/>
      <c r="BH250" s="15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9"/>
      <c r="CF250" s="9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</row>
    <row r="251" ht="15.75" customHeight="1">
      <c r="A251" s="9"/>
      <c r="B251" s="11"/>
      <c r="C251" s="11"/>
      <c r="D251" s="9"/>
      <c r="E251" s="9"/>
      <c r="F251" s="9"/>
      <c r="G251" s="9"/>
      <c r="H251" s="11"/>
      <c r="I251" s="11"/>
      <c r="J251" s="11"/>
      <c r="K251" s="11"/>
      <c r="L251" s="11"/>
      <c r="M251" s="9"/>
      <c r="N251" s="9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9"/>
      <c r="AK251" s="13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9"/>
      <c r="BH251" s="15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9"/>
      <c r="CF251" s="9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</row>
    <row r="252" ht="15.75" customHeight="1">
      <c r="A252" s="9"/>
      <c r="B252" s="11"/>
      <c r="C252" s="11"/>
      <c r="D252" s="9"/>
      <c r="E252" s="9"/>
      <c r="F252" s="9"/>
      <c r="G252" s="9"/>
      <c r="H252" s="11"/>
      <c r="I252" s="11"/>
      <c r="J252" s="11"/>
      <c r="K252" s="11"/>
      <c r="L252" s="11"/>
      <c r="M252" s="9"/>
      <c r="N252" s="9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9"/>
      <c r="AK252" s="13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9"/>
      <c r="BH252" s="15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9"/>
      <c r="CF252" s="9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</row>
    <row r="253" ht="15.75" customHeight="1">
      <c r="A253" s="9"/>
      <c r="B253" s="11"/>
      <c r="C253" s="11"/>
      <c r="D253" s="9"/>
      <c r="E253" s="9"/>
      <c r="F253" s="9"/>
      <c r="G253" s="9"/>
      <c r="H253" s="11"/>
      <c r="I253" s="11"/>
      <c r="J253" s="11"/>
      <c r="K253" s="11"/>
      <c r="L253" s="11"/>
      <c r="M253" s="9"/>
      <c r="N253" s="9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9"/>
      <c r="AK253" s="13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9"/>
      <c r="BH253" s="15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9"/>
      <c r="CF253" s="9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</row>
    <row r="254" ht="15.75" customHeight="1">
      <c r="A254" s="9"/>
      <c r="B254" s="11"/>
      <c r="C254" s="11"/>
      <c r="D254" s="9"/>
      <c r="E254" s="9"/>
      <c r="F254" s="9"/>
      <c r="G254" s="9"/>
      <c r="H254" s="11"/>
      <c r="I254" s="11"/>
      <c r="J254" s="11"/>
      <c r="K254" s="11"/>
      <c r="L254" s="11"/>
      <c r="M254" s="9"/>
      <c r="N254" s="9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9"/>
      <c r="AK254" s="13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9"/>
      <c r="BH254" s="15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9"/>
      <c r="CF254" s="9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</row>
    <row r="255" ht="15.75" customHeight="1">
      <c r="A255" s="9"/>
      <c r="B255" s="11"/>
      <c r="C255" s="11"/>
      <c r="D255" s="9"/>
      <c r="E255" s="9"/>
      <c r="F255" s="9"/>
      <c r="G255" s="9"/>
      <c r="H255" s="11"/>
      <c r="I255" s="11"/>
      <c r="J255" s="11"/>
      <c r="K255" s="11"/>
      <c r="L255" s="11"/>
      <c r="M255" s="9"/>
      <c r="N255" s="9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9"/>
      <c r="AK255" s="13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9"/>
      <c r="BH255" s="15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9"/>
      <c r="CF255" s="9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</row>
    <row r="256" ht="15.75" customHeight="1">
      <c r="A256" s="9"/>
      <c r="B256" s="11"/>
      <c r="C256" s="11"/>
      <c r="D256" s="9"/>
      <c r="E256" s="9"/>
      <c r="F256" s="9"/>
      <c r="G256" s="9"/>
      <c r="H256" s="11"/>
      <c r="I256" s="11"/>
      <c r="J256" s="11"/>
      <c r="K256" s="11"/>
      <c r="L256" s="11"/>
      <c r="M256" s="9"/>
      <c r="N256" s="9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9"/>
      <c r="AK256" s="13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9"/>
      <c r="BH256" s="15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9"/>
      <c r="CF256" s="9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</row>
    <row r="257" ht="15.75" customHeight="1">
      <c r="A257" s="9"/>
      <c r="B257" s="11"/>
      <c r="C257" s="11"/>
      <c r="D257" s="9"/>
      <c r="E257" s="9"/>
      <c r="F257" s="9"/>
      <c r="G257" s="9"/>
      <c r="H257" s="11"/>
      <c r="I257" s="11"/>
      <c r="J257" s="11"/>
      <c r="K257" s="11"/>
      <c r="L257" s="11"/>
      <c r="M257" s="9"/>
      <c r="N257" s="9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9"/>
      <c r="AK257" s="13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9"/>
      <c r="BH257" s="15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9"/>
      <c r="CF257" s="9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</row>
    <row r="258" ht="15.75" customHeight="1">
      <c r="A258" s="9"/>
      <c r="B258" s="11"/>
      <c r="C258" s="11"/>
      <c r="D258" s="9"/>
      <c r="E258" s="9"/>
      <c r="F258" s="9"/>
      <c r="G258" s="9"/>
      <c r="H258" s="11"/>
      <c r="I258" s="11"/>
      <c r="J258" s="11"/>
      <c r="K258" s="11"/>
      <c r="L258" s="11"/>
      <c r="M258" s="9"/>
      <c r="N258" s="9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9"/>
      <c r="AK258" s="13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9"/>
      <c r="BH258" s="15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9"/>
      <c r="CF258" s="9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</row>
    <row r="259" ht="15.75" customHeight="1">
      <c r="A259" s="9"/>
      <c r="B259" s="11"/>
      <c r="C259" s="11"/>
      <c r="D259" s="9"/>
      <c r="E259" s="9"/>
      <c r="F259" s="9"/>
      <c r="G259" s="9"/>
      <c r="H259" s="11"/>
      <c r="I259" s="11"/>
      <c r="J259" s="11"/>
      <c r="K259" s="11"/>
      <c r="L259" s="11"/>
      <c r="M259" s="9"/>
      <c r="N259" s="9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9"/>
      <c r="AK259" s="13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9"/>
      <c r="BH259" s="15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9"/>
      <c r="CF259" s="9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</row>
    <row r="260" ht="15.75" customHeight="1">
      <c r="A260" s="9"/>
      <c r="B260" s="11"/>
      <c r="C260" s="11"/>
      <c r="D260" s="9"/>
      <c r="E260" s="9"/>
      <c r="F260" s="9"/>
      <c r="G260" s="9"/>
      <c r="H260" s="11"/>
      <c r="I260" s="11"/>
      <c r="J260" s="11"/>
      <c r="K260" s="11"/>
      <c r="L260" s="11"/>
      <c r="M260" s="9"/>
      <c r="N260" s="9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9"/>
      <c r="AK260" s="13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9"/>
      <c r="BH260" s="15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9"/>
      <c r="CF260" s="9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</row>
    <row r="261" ht="15.75" customHeight="1">
      <c r="A261" s="9"/>
      <c r="B261" s="11"/>
      <c r="C261" s="11"/>
      <c r="D261" s="9"/>
      <c r="E261" s="9"/>
      <c r="F261" s="9"/>
      <c r="G261" s="9"/>
      <c r="H261" s="11"/>
      <c r="I261" s="11"/>
      <c r="J261" s="11"/>
      <c r="K261" s="11"/>
      <c r="L261" s="11"/>
      <c r="M261" s="9"/>
      <c r="N261" s="9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9"/>
      <c r="AK261" s="13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9"/>
      <c r="BH261" s="15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9"/>
      <c r="CF261" s="9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</row>
    <row r="262" ht="15.75" customHeight="1">
      <c r="A262" s="9"/>
      <c r="B262" s="11"/>
      <c r="C262" s="11"/>
      <c r="D262" s="9"/>
      <c r="E262" s="9"/>
      <c r="F262" s="9"/>
      <c r="G262" s="9"/>
      <c r="H262" s="11"/>
      <c r="I262" s="11"/>
      <c r="J262" s="11"/>
      <c r="K262" s="11"/>
      <c r="L262" s="11"/>
      <c r="M262" s="9"/>
      <c r="N262" s="9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9"/>
      <c r="AK262" s="13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9"/>
      <c r="BH262" s="15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9"/>
      <c r="CF262" s="9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</row>
    <row r="263" ht="15.75" customHeight="1">
      <c r="A263" s="9"/>
      <c r="B263" s="11"/>
      <c r="C263" s="11"/>
      <c r="D263" s="9"/>
      <c r="E263" s="9"/>
      <c r="F263" s="9"/>
      <c r="G263" s="9"/>
      <c r="H263" s="11"/>
      <c r="I263" s="11"/>
      <c r="J263" s="11"/>
      <c r="K263" s="11"/>
      <c r="L263" s="11"/>
      <c r="M263" s="9"/>
      <c r="N263" s="9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9"/>
      <c r="AK263" s="13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9"/>
      <c r="BH263" s="15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9"/>
      <c r="CF263" s="9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</row>
    <row r="264" ht="15.75" customHeight="1">
      <c r="A264" s="9"/>
      <c r="B264" s="11"/>
      <c r="C264" s="11"/>
      <c r="D264" s="9"/>
      <c r="E264" s="9"/>
      <c r="F264" s="9"/>
      <c r="G264" s="9"/>
      <c r="H264" s="11"/>
      <c r="I264" s="11"/>
      <c r="J264" s="11"/>
      <c r="K264" s="11"/>
      <c r="L264" s="11"/>
      <c r="M264" s="9"/>
      <c r="N264" s="9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9"/>
      <c r="AK264" s="13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9"/>
      <c r="BH264" s="15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9"/>
      <c r="CF264" s="9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</row>
    <row r="265" ht="15.75" customHeight="1">
      <c r="A265" s="9"/>
      <c r="B265" s="11"/>
      <c r="C265" s="11"/>
      <c r="D265" s="9"/>
      <c r="E265" s="9"/>
      <c r="F265" s="9"/>
      <c r="G265" s="9"/>
      <c r="H265" s="11"/>
      <c r="I265" s="11"/>
      <c r="J265" s="11"/>
      <c r="K265" s="11"/>
      <c r="L265" s="11"/>
      <c r="M265" s="9"/>
      <c r="N265" s="9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9"/>
      <c r="AK265" s="13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9"/>
      <c r="BH265" s="15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9"/>
      <c r="CF265" s="9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</row>
    <row r="266" ht="15.75" customHeight="1">
      <c r="A266" s="9"/>
      <c r="B266" s="11"/>
      <c r="C266" s="11"/>
      <c r="D266" s="9"/>
      <c r="E266" s="9"/>
      <c r="F266" s="9"/>
      <c r="G266" s="9"/>
      <c r="H266" s="11"/>
      <c r="I266" s="11"/>
      <c r="J266" s="11"/>
      <c r="K266" s="11"/>
      <c r="L266" s="11"/>
      <c r="M266" s="9"/>
      <c r="N266" s="9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9"/>
      <c r="AK266" s="13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9"/>
      <c r="BH266" s="15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9"/>
      <c r="CF266" s="9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</row>
    <row r="267" ht="15.75" customHeight="1">
      <c r="A267" s="9"/>
      <c r="B267" s="11"/>
      <c r="C267" s="11"/>
      <c r="D267" s="9"/>
      <c r="E267" s="9"/>
      <c r="F267" s="9"/>
      <c r="G267" s="9"/>
      <c r="H267" s="11"/>
      <c r="I267" s="11"/>
      <c r="J267" s="11"/>
      <c r="K267" s="11"/>
      <c r="L267" s="11"/>
      <c r="M267" s="9"/>
      <c r="N267" s="9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9"/>
      <c r="AK267" s="13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9"/>
      <c r="BH267" s="15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9"/>
      <c r="CF267" s="9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</row>
    <row r="268" ht="15.75" customHeight="1">
      <c r="A268" s="9"/>
      <c r="B268" s="11"/>
      <c r="C268" s="11"/>
      <c r="D268" s="9"/>
      <c r="E268" s="9"/>
      <c r="F268" s="9"/>
      <c r="G268" s="9"/>
      <c r="H268" s="11"/>
      <c r="I268" s="11"/>
      <c r="J268" s="11"/>
      <c r="K268" s="11"/>
      <c r="L268" s="11"/>
      <c r="M268" s="9"/>
      <c r="N268" s="9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9"/>
      <c r="AK268" s="13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9"/>
      <c r="BH268" s="15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9"/>
      <c r="CF268" s="9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</row>
    <row r="269" ht="15.75" customHeight="1">
      <c r="A269" s="9"/>
      <c r="B269" s="11"/>
      <c r="C269" s="11"/>
      <c r="D269" s="9"/>
      <c r="E269" s="9"/>
      <c r="F269" s="9"/>
      <c r="G269" s="9"/>
      <c r="H269" s="11"/>
      <c r="I269" s="11"/>
      <c r="J269" s="11"/>
      <c r="K269" s="11"/>
      <c r="L269" s="11"/>
      <c r="M269" s="9"/>
      <c r="N269" s="9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9"/>
      <c r="AK269" s="13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9"/>
      <c r="BH269" s="15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9"/>
      <c r="CF269" s="9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</row>
    <row r="270" ht="15.75" customHeight="1">
      <c r="A270" s="9"/>
      <c r="B270" s="11"/>
      <c r="C270" s="11"/>
      <c r="D270" s="9"/>
      <c r="E270" s="9"/>
      <c r="F270" s="9"/>
      <c r="G270" s="9"/>
      <c r="H270" s="11"/>
      <c r="I270" s="11"/>
      <c r="J270" s="11"/>
      <c r="K270" s="11"/>
      <c r="L270" s="11"/>
      <c r="M270" s="9"/>
      <c r="N270" s="9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9"/>
      <c r="AK270" s="13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9"/>
      <c r="BH270" s="15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9"/>
      <c r="CF270" s="9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</row>
    <row r="271" ht="15.75" customHeight="1">
      <c r="A271" s="9"/>
      <c r="B271" s="11"/>
      <c r="C271" s="11"/>
      <c r="D271" s="9"/>
      <c r="E271" s="9"/>
      <c r="F271" s="9"/>
      <c r="G271" s="9"/>
      <c r="H271" s="11"/>
      <c r="I271" s="11"/>
      <c r="J271" s="11"/>
      <c r="K271" s="11"/>
      <c r="L271" s="11"/>
      <c r="M271" s="9"/>
      <c r="N271" s="9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9"/>
      <c r="AK271" s="13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9"/>
      <c r="BH271" s="15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9"/>
      <c r="CF271" s="9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</row>
    <row r="272" ht="15.75" customHeight="1">
      <c r="A272" s="9"/>
      <c r="B272" s="11"/>
      <c r="C272" s="11"/>
      <c r="D272" s="9"/>
      <c r="E272" s="9"/>
      <c r="F272" s="9"/>
      <c r="G272" s="9"/>
      <c r="H272" s="11"/>
      <c r="I272" s="11"/>
      <c r="J272" s="11"/>
      <c r="K272" s="11"/>
      <c r="L272" s="11"/>
      <c r="M272" s="9"/>
      <c r="N272" s="9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9"/>
      <c r="AK272" s="13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9"/>
      <c r="BH272" s="15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9"/>
      <c r="CF272" s="9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</row>
    <row r="273" ht="15.75" customHeight="1">
      <c r="A273" s="9"/>
      <c r="B273" s="11"/>
      <c r="C273" s="11"/>
      <c r="D273" s="9"/>
      <c r="E273" s="9"/>
      <c r="F273" s="9"/>
      <c r="G273" s="9"/>
      <c r="H273" s="11"/>
      <c r="I273" s="11"/>
      <c r="J273" s="11"/>
      <c r="K273" s="11"/>
      <c r="L273" s="11"/>
      <c r="M273" s="9"/>
      <c r="N273" s="9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9"/>
      <c r="AK273" s="13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9"/>
      <c r="BH273" s="15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9"/>
      <c r="CF273" s="9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</row>
    <row r="274" ht="15.75" customHeight="1">
      <c r="A274" s="9"/>
      <c r="B274" s="11"/>
      <c r="C274" s="11"/>
      <c r="D274" s="9"/>
      <c r="E274" s="9"/>
      <c r="F274" s="9"/>
      <c r="G274" s="9"/>
      <c r="H274" s="11"/>
      <c r="I274" s="11"/>
      <c r="J274" s="11"/>
      <c r="K274" s="11"/>
      <c r="L274" s="11"/>
      <c r="M274" s="9"/>
      <c r="N274" s="9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9"/>
      <c r="AK274" s="13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9"/>
      <c r="BH274" s="15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9"/>
      <c r="CF274" s="9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</row>
  </sheetData>
  <mergeCells count="7">
    <mergeCell ref="A1:B1"/>
    <mergeCell ref="A2:B2"/>
    <mergeCell ref="A3:B3"/>
    <mergeCell ref="A4:B4"/>
    <mergeCell ref="A5:B5"/>
    <mergeCell ref="A6:B6"/>
    <mergeCell ref="A52:B52"/>
  </mergeCells>
  <conditionalFormatting sqref="H9:CR9 H52:N52 AJ52:CR52">
    <cfRule type="cellIs" dxfId="0" priority="1" operator="lessThan">
      <formula>1</formula>
    </cfRule>
  </conditionalFormatting>
  <conditionalFormatting sqref="H9:CR9 H52:N52 AJ52:CR52">
    <cfRule type="cellIs" dxfId="0" priority="2" operator="lessThan">
      <formula>1</formula>
    </cfRule>
  </conditionalFormatting>
  <hyperlinks>
    <hyperlink r:id="rId1" ref="A9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4.29"/>
    <col customWidth="1" min="2" max="2" width="17.57"/>
    <col customWidth="1" min="3" max="3" width="34.43"/>
    <col customWidth="1" min="4" max="4" width="8.14"/>
    <col customWidth="1" min="5" max="5" width="8.0"/>
    <col customWidth="1" min="6" max="6" width="6.71"/>
    <col customWidth="1" min="7" max="7" width="6.57"/>
    <col customWidth="1" min="8" max="12" width="0.43"/>
    <col customWidth="1" min="13" max="13" width="4.71"/>
    <col customWidth="1" min="14" max="14" width="6.57"/>
    <col customWidth="1" min="15" max="23" width="0.57"/>
    <col customWidth="1" min="24" max="36" width="3.71"/>
    <col customWidth="1" min="37" max="37" width="5.86"/>
    <col customWidth="1" min="38" max="58" width="3.71"/>
    <col customWidth="1" min="59" max="59" width="4.0"/>
    <col customWidth="1" min="60" max="60" width="5.71"/>
    <col customWidth="1" min="61" max="70" width="3.71"/>
    <col customWidth="1" min="71" max="82" width="0.43"/>
    <col customWidth="1" min="83" max="83" width="4.0"/>
    <col customWidth="1" min="84" max="84" width="5.57"/>
    <col customWidth="1" min="85" max="88" width="3.71"/>
    <col customWidth="1" min="89" max="89" width="3.43"/>
    <col customWidth="1" min="90" max="100" width="3.71"/>
    <col customWidth="1" min="101" max="101" width="5.29"/>
    <col customWidth="1" min="102" max="102" width="6.29"/>
    <col customWidth="1" min="103" max="103" width="4.71"/>
    <col customWidth="1" min="104" max="104" width="4.57"/>
    <col customWidth="1" min="105" max="105" width="5.14"/>
    <col customWidth="1" min="106" max="106" width="4.43"/>
    <col customWidth="1" min="107" max="107" width="4.29"/>
    <col customWidth="1" min="108" max="109" width="4.14"/>
    <col customWidth="1" min="110" max="110" width="3.43"/>
    <col customWidth="1" min="111" max="111" width="3.86"/>
    <col customWidth="1" min="112" max="112" width="4.43"/>
    <col customWidth="1" min="113" max="113" width="3.57"/>
    <col customWidth="1" min="114" max="114" width="4.0"/>
    <col customWidth="1" min="115" max="116" width="5.86"/>
  </cols>
  <sheetData>
    <row r="1">
      <c r="A1" s="1" t="s">
        <v>3</v>
      </c>
      <c r="B1" s="2"/>
      <c r="C1" s="4"/>
      <c r="D1" s="6"/>
      <c r="E1" s="6"/>
      <c r="F1" s="8"/>
      <c r="G1" s="9"/>
      <c r="H1" s="9"/>
      <c r="I1" s="9"/>
      <c r="J1" s="9"/>
      <c r="K1" s="9"/>
      <c r="L1" s="9"/>
      <c r="M1" s="9"/>
      <c r="N1" s="9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9"/>
      <c r="AK1" s="12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9"/>
      <c r="BH1" s="14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9"/>
      <c r="CF1" s="9"/>
      <c r="CG1" s="11"/>
      <c r="CH1" s="11"/>
      <c r="CI1" s="11"/>
      <c r="CJ1" s="11"/>
      <c r="CK1" s="11"/>
      <c r="CL1" s="11"/>
      <c r="CM1" s="11"/>
      <c r="CN1" s="11" t="s">
        <v>4</v>
      </c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</row>
    <row r="2">
      <c r="A2" s="17" t="s">
        <v>5</v>
      </c>
      <c r="B2" s="18"/>
      <c r="C2" s="19" t="s">
        <v>8</v>
      </c>
      <c r="D2" s="22"/>
      <c r="E2" s="22"/>
      <c r="F2" s="5"/>
      <c r="G2" s="9"/>
      <c r="H2" s="23"/>
      <c r="I2" s="23"/>
      <c r="J2" s="23"/>
      <c r="K2" s="23"/>
      <c r="L2" s="23"/>
      <c r="M2" s="23"/>
      <c r="N2" s="23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9"/>
      <c r="AK2" s="12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9"/>
      <c r="BH2" s="14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9"/>
      <c r="CF2" s="9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</row>
    <row r="3">
      <c r="A3" s="17" t="s">
        <v>9</v>
      </c>
      <c r="B3" s="18"/>
      <c r="C3" s="19" t="s">
        <v>13</v>
      </c>
      <c r="D3" s="22"/>
      <c r="E3" s="22"/>
      <c r="F3" s="5"/>
      <c r="G3" s="9"/>
      <c r="H3" s="23"/>
      <c r="I3" s="23"/>
      <c r="J3" s="23"/>
      <c r="K3" s="23"/>
      <c r="L3" s="23"/>
      <c r="M3" s="23"/>
      <c r="N3" s="23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9"/>
      <c r="AK3" s="12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9"/>
      <c r="BH3" s="14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9"/>
      <c r="CF3" s="9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</row>
    <row r="4">
      <c r="A4" s="17" t="s">
        <v>12</v>
      </c>
      <c r="B4" s="18"/>
      <c r="C4" s="27" t="s">
        <v>16</v>
      </c>
      <c r="D4" s="6"/>
      <c r="E4" s="6"/>
      <c r="F4" s="2"/>
      <c r="G4" s="9"/>
      <c r="H4" s="9"/>
      <c r="I4" s="9"/>
      <c r="J4" s="9"/>
      <c r="K4" s="9"/>
      <c r="L4" s="9"/>
      <c r="M4" s="9"/>
      <c r="N4" s="9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9"/>
      <c r="AK4" s="12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9"/>
      <c r="BH4" s="14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9"/>
      <c r="CF4" s="9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</row>
    <row r="5">
      <c r="A5" s="17" t="s">
        <v>14</v>
      </c>
      <c r="B5" s="18"/>
      <c r="C5" s="28">
        <v>46104.0</v>
      </c>
      <c r="D5" s="22"/>
      <c r="E5" s="22"/>
      <c r="F5" s="5"/>
      <c r="G5" s="31"/>
      <c r="H5" s="9"/>
      <c r="I5" s="9"/>
      <c r="J5" s="9"/>
      <c r="K5" s="9"/>
      <c r="L5" s="9"/>
      <c r="M5" s="9"/>
      <c r="N5" s="9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9"/>
      <c r="AK5" s="12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9"/>
      <c r="BH5" s="14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9"/>
      <c r="CF5" s="9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</row>
    <row r="6">
      <c r="A6" s="32" t="s">
        <v>15</v>
      </c>
      <c r="B6" s="33"/>
      <c r="C6" s="34"/>
      <c r="D6" s="38"/>
      <c r="E6" s="38"/>
      <c r="F6" s="39"/>
      <c r="G6" s="37"/>
      <c r="H6" s="9"/>
      <c r="I6" s="9"/>
      <c r="J6" s="9"/>
      <c r="K6" s="9"/>
      <c r="L6" s="9"/>
      <c r="M6" s="9"/>
      <c r="N6" s="9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9"/>
      <c r="AK6" s="12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9"/>
      <c r="BH6" s="14"/>
      <c r="BI6" s="11"/>
      <c r="BJ6" s="83" t="s">
        <v>38</v>
      </c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9"/>
      <c r="CF6" s="9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</row>
    <row r="7">
      <c r="A7" s="31"/>
      <c r="B7" s="40"/>
      <c r="C7" s="41"/>
      <c r="D7" s="31"/>
      <c r="E7" s="31"/>
      <c r="F7" s="42"/>
      <c r="G7" s="37"/>
      <c r="H7" s="50">
        <v>1.0</v>
      </c>
      <c r="I7" s="51">
        <v>2.0</v>
      </c>
      <c r="J7" s="51">
        <v>3.0</v>
      </c>
      <c r="K7" s="51">
        <v>4.0</v>
      </c>
      <c r="L7" s="53">
        <v>5.0</v>
      </c>
      <c r="M7" s="54"/>
      <c r="N7" s="54"/>
      <c r="O7" s="45">
        <v>1.0</v>
      </c>
      <c r="P7" s="45">
        <v>2.0</v>
      </c>
      <c r="Q7" s="45">
        <v>3.0</v>
      </c>
      <c r="R7" s="45">
        <v>4.0</v>
      </c>
      <c r="S7" s="45">
        <v>5.0</v>
      </c>
      <c r="T7" s="45">
        <v>6.0</v>
      </c>
      <c r="U7" s="45">
        <v>7.0</v>
      </c>
      <c r="V7" s="45">
        <v>8.0</v>
      </c>
      <c r="W7" s="45">
        <v>9.0</v>
      </c>
      <c r="X7" s="45">
        <v>10.0</v>
      </c>
      <c r="Y7" s="45">
        <v>11.0</v>
      </c>
      <c r="Z7" s="45">
        <v>12.0</v>
      </c>
      <c r="AA7" s="45">
        <v>13.0</v>
      </c>
      <c r="AB7" s="45">
        <v>14.0</v>
      </c>
      <c r="AC7" s="45">
        <v>15.0</v>
      </c>
      <c r="AD7" s="45">
        <v>16.0</v>
      </c>
      <c r="AE7" s="45">
        <v>17.0</v>
      </c>
      <c r="AF7" s="45">
        <v>18.0</v>
      </c>
      <c r="AG7" s="45">
        <v>19.0</v>
      </c>
      <c r="AH7" s="45">
        <v>20.0</v>
      </c>
      <c r="AI7" s="45">
        <v>21.0</v>
      </c>
      <c r="AJ7" s="54"/>
      <c r="AK7" s="57"/>
      <c r="AL7" s="45">
        <v>1.0</v>
      </c>
      <c r="AM7" s="45">
        <v>2.0</v>
      </c>
      <c r="AN7" s="45">
        <v>3.0</v>
      </c>
      <c r="AO7" s="45">
        <v>4.0</v>
      </c>
      <c r="AP7" s="45">
        <v>5.0</v>
      </c>
      <c r="AQ7" s="45">
        <v>6.0</v>
      </c>
      <c r="AR7" s="45">
        <v>7.0</v>
      </c>
      <c r="AS7" s="45">
        <v>8.0</v>
      </c>
      <c r="AT7" s="45">
        <v>9.0</v>
      </c>
      <c r="AU7" s="45">
        <v>10.0</v>
      </c>
      <c r="AV7" s="45">
        <v>11.0</v>
      </c>
      <c r="AW7" s="45">
        <v>12.0</v>
      </c>
      <c r="AX7" s="45">
        <v>13.0</v>
      </c>
      <c r="AY7" s="45">
        <v>14.0</v>
      </c>
      <c r="AZ7" s="45">
        <v>15.0</v>
      </c>
      <c r="BA7" s="45">
        <v>16.0</v>
      </c>
      <c r="BB7" s="45">
        <v>17.0</v>
      </c>
      <c r="BC7" s="45">
        <v>18.0</v>
      </c>
      <c r="BD7" s="45">
        <v>19.0</v>
      </c>
      <c r="BE7" s="45">
        <v>20.0</v>
      </c>
      <c r="BF7" s="45">
        <v>21.0</v>
      </c>
      <c r="BG7" s="47"/>
      <c r="BH7" s="63"/>
      <c r="BI7" s="49">
        <v>1.0</v>
      </c>
      <c r="BJ7" s="49">
        <v>2.0</v>
      </c>
      <c r="BK7" s="49">
        <v>3.0</v>
      </c>
      <c r="BL7" s="49">
        <v>4.0</v>
      </c>
      <c r="BM7" s="49">
        <v>5.0</v>
      </c>
      <c r="BN7" s="49">
        <v>6.0</v>
      </c>
      <c r="BO7" s="49">
        <v>7.0</v>
      </c>
      <c r="BP7" s="49">
        <v>8.0</v>
      </c>
      <c r="BQ7" s="49">
        <v>9.0</v>
      </c>
      <c r="BR7" s="49">
        <v>10.0</v>
      </c>
      <c r="BS7" s="49">
        <v>11.0</v>
      </c>
      <c r="BT7" s="49">
        <v>12.0</v>
      </c>
      <c r="BU7" s="49">
        <v>13.0</v>
      </c>
      <c r="BV7" s="49">
        <v>14.0</v>
      </c>
      <c r="BW7" s="49">
        <v>15.0</v>
      </c>
      <c r="BX7" s="49">
        <v>16.0</v>
      </c>
      <c r="BY7" s="49">
        <v>17.0</v>
      </c>
      <c r="BZ7" s="49">
        <v>18.0</v>
      </c>
      <c r="CA7" s="49">
        <v>19.0</v>
      </c>
      <c r="CB7" s="49">
        <v>20.0</v>
      </c>
      <c r="CC7" s="49">
        <v>21.0</v>
      </c>
      <c r="CD7" s="49">
        <v>22.0</v>
      </c>
      <c r="CE7" s="47"/>
      <c r="CF7" s="47"/>
      <c r="CG7" s="49">
        <v>1.0</v>
      </c>
      <c r="CH7" s="49">
        <v>2.0</v>
      </c>
      <c r="CI7" s="49">
        <v>3.0</v>
      </c>
      <c r="CJ7" s="49">
        <v>4.0</v>
      </c>
      <c r="CK7" s="49">
        <v>5.0</v>
      </c>
      <c r="CL7" s="49">
        <v>6.0</v>
      </c>
      <c r="CM7" s="49">
        <v>7.0</v>
      </c>
      <c r="CN7" s="49">
        <v>8.0</v>
      </c>
      <c r="CO7" s="49">
        <v>9.0</v>
      </c>
      <c r="CP7" s="49">
        <v>10.0</v>
      </c>
      <c r="CQ7" s="49">
        <v>11.0</v>
      </c>
      <c r="CR7" s="49">
        <v>12.0</v>
      </c>
      <c r="CS7" s="49">
        <v>13.0</v>
      </c>
      <c r="CT7" s="49">
        <v>14.0</v>
      </c>
      <c r="CU7" s="49">
        <v>15.0</v>
      </c>
      <c r="CV7" s="49">
        <v>16.0</v>
      </c>
      <c r="CW7" s="55"/>
      <c r="CX7" s="55"/>
      <c r="CY7" s="69"/>
      <c r="CZ7" s="69"/>
      <c r="DA7" s="69"/>
      <c r="DB7" s="69"/>
      <c r="DC7" s="69"/>
      <c r="DD7" s="69"/>
      <c r="DE7" s="69"/>
      <c r="DF7" s="69"/>
      <c r="DG7" s="69"/>
      <c r="DH7" s="69"/>
      <c r="DI7" s="69"/>
      <c r="DJ7" s="69"/>
      <c r="DK7" s="55"/>
      <c r="DL7" s="55"/>
    </row>
    <row r="8" ht="78.75" customHeight="1">
      <c r="A8" s="56"/>
      <c r="B8" s="49"/>
      <c r="C8" s="49"/>
      <c r="D8" s="72" t="s">
        <v>17</v>
      </c>
      <c r="E8" s="73" t="s">
        <v>18</v>
      </c>
      <c r="F8" s="61" t="s">
        <v>19</v>
      </c>
      <c r="G8" s="61" t="s">
        <v>20</v>
      </c>
      <c r="H8" s="62">
        <v>46104.0</v>
      </c>
      <c r="I8" s="62">
        <v>46105.0</v>
      </c>
      <c r="J8" s="62">
        <v>46106.0</v>
      </c>
      <c r="K8" s="62">
        <v>46107.0</v>
      </c>
      <c r="L8" s="64">
        <v>46111.0</v>
      </c>
      <c r="M8" s="76" t="s">
        <v>29</v>
      </c>
      <c r="N8" s="78" t="s">
        <v>30</v>
      </c>
      <c r="O8" s="62">
        <v>46113.0</v>
      </c>
      <c r="P8" s="62">
        <v>46114.0</v>
      </c>
      <c r="Q8" s="62">
        <v>46115.0</v>
      </c>
      <c r="R8" s="62">
        <v>46118.0</v>
      </c>
      <c r="S8" s="62">
        <v>46119.0</v>
      </c>
      <c r="T8" s="62">
        <v>46120.0</v>
      </c>
      <c r="U8" s="62">
        <v>46121.0</v>
      </c>
      <c r="V8" s="62">
        <v>46122.0</v>
      </c>
      <c r="W8" s="62">
        <v>46125.0</v>
      </c>
      <c r="X8" s="62">
        <v>46127.0</v>
      </c>
      <c r="Y8" s="62">
        <v>46128.0</v>
      </c>
      <c r="Z8" s="62">
        <v>46129.0</v>
      </c>
      <c r="AA8" s="62">
        <v>46132.0</v>
      </c>
      <c r="AB8" s="62">
        <v>46133.0</v>
      </c>
      <c r="AC8" s="62">
        <v>46134.0</v>
      </c>
      <c r="AD8" s="62">
        <v>46135.0</v>
      </c>
      <c r="AE8" s="62">
        <v>46136.0</v>
      </c>
      <c r="AF8" s="62">
        <v>46139.0</v>
      </c>
      <c r="AG8" s="62">
        <v>46140.0</v>
      </c>
      <c r="AH8" s="62">
        <v>46141.0</v>
      </c>
      <c r="AI8" s="62">
        <v>46142.0</v>
      </c>
      <c r="AJ8" s="76" t="s">
        <v>34</v>
      </c>
      <c r="AK8" s="78" t="s">
        <v>35</v>
      </c>
      <c r="AL8" s="62">
        <v>46143.0</v>
      </c>
      <c r="AM8" s="62">
        <v>46146.0</v>
      </c>
      <c r="AN8" s="62">
        <v>46147.0</v>
      </c>
      <c r="AO8" s="62">
        <v>46148.0</v>
      </c>
      <c r="AP8" s="62">
        <v>46149.0</v>
      </c>
      <c r="AQ8" s="62">
        <v>46150.0</v>
      </c>
      <c r="AR8" s="62">
        <v>46153.0</v>
      </c>
      <c r="AS8" s="62">
        <v>46154.0</v>
      </c>
      <c r="AT8" s="62">
        <v>46155.0</v>
      </c>
      <c r="AU8" s="62">
        <v>46156.0</v>
      </c>
      <c r="AV8" s="62">
        <v>46157.0</v>
      </c>
      <c r="AW8" s="62">
        <v>46160.0</v>
      </c>
      <c r="AX8" s="62">
        <v>46161.0</v>
      </c>
      <c r="AY8" s="62">
        <v>46162.0</v>
      </c>
      <c r="AZ8" s="62">
        <v>46163.0</v>
      </c>
      <c r="BA8" s="62">
        <v>46164.0</v>
      </c>
      <c r="BB8" s="62">
        <v>46167.0</v>
      </c>
      <c r="BC8" s="62">
        <v>46168.0</v>
      </c>
      <c r="BD8" s="62">
        <v>46169.0</v>
      </c>
      <c r="BE8" s="62">
        <v>46170.0</v>
      </c>
      <c r="BF8" s="62">
        <v>46171.0</v>
      </c>
      <c r="BG8" s="70" t="s">
        <v>36</v>
      </c>
      <c r="BH8" s="82" t="s">
        <v>37</v>
      </c>
      <c r="BI8" s="64">
        <v>46175.0</v>
      </c>
      <c r="BJ8" s="62">
        <v>46175.0</v>
      </c>
      <c r="BK8" s="62">
        <v>46176.0</v>
      </c>
      <c r="BL8" s="62">
        <v>46177.0</v>
      </c>
      <c r="BM8" s="62">
        <v>46178.0</v>
      </c>
      <c r="BN8" s="64">
        <v>46196.0</v>
      </c>
      <c r="BO8" s="64">
        <v>46197.0</v>
      </c>
      <c r="BP8" s="64">
        <v>46198.0</v>
      </c>
      <c r="BQ8" s="64">
        <v>46199.0</v>
      </c>
      <c r="BR8" s="64">
        <v>46203.0</v>
      </c>
      <c r="BS8" s="64">
        <v>46188.0</v>
      </c>
      <c r="BT8" s="64">
        <v>46189.0</v>
      </c>
      <c r="BU8" s="64">
        <v>46190.0</v>
      </c>
      <c r="BV8" s="64">
        <v>46191.0</v>
      </c>
      <c r="BW8" s="64">
        <v>46192.0</v>
      </c>
      <c r="BX8" s="64">
        <v>46195.0</v>
      </c>
      <c r="BY8" s="64">
        <v>46196.0</v>
      </c>
      <c r="BZ8" s="64">
        <v>46197.0</v>
      </c>
      <c r="CA8" s="64">
        <v>46198.0</v>
      </c>
      <c r="CB8" s="64">
        <v>46199.0</v>
      </c>
      <c r="CC8" s="64">
        <v>46202.0</v>
      </c>
      <c r="CD8" s="64">
        <v>46203.0</v>
      </c>
      <c r="CE8" s="70" t="s">
        <v>39</v>
      </c>
      <c r="CF8" s="86" t="s">
        <v>41</v>
      </c>
      <c r="CG8" s="64">
        <v>46204.0</v>
      </c>
      <c r="CH8" s="64">
        <v>46204.0</v>
      </c>
      <c r="CI8" s="64">
        <v>46205.0</v>
      </c>
      <c r="CJ8" s="64">
        <v>46206.0</v>
      </c>
      <c r="CK8" s="64">
        <v>46209.0</v>
      </c>
      <c r="CL8" s="64">
        <v>46209.0</v>
      </c>
      <c r="CM8" s="64">
        <v>46209.0</v>
      </c>
      <c r="CN8" s="79"/>
      <c r="CO8" s="88"/>
      <c r="CP8" s="88"/>
      <c r="CQ8" s="88"/>
      <c r="CR8" s="88"/>
      <c r="CS8" s="88"/>
      <c r="CT8" s="89"/>
      <c r="CU8" s="88"/>
      <c r="CV8" s="88"/>
      <c r="CW8" s="70" t="s">
        <v>43</v>
      </c>
      <c r="CX8" s="86" t="s">
        <v>44</v>
      </c>
      <c r="CY8" s="90"/>
      <c r="CZ8" s="90"/>
      <c r="DA8" s="90"/>
      <c r="DB8" s="90"/>
      <c r="DC8" s="90"/>
      <c r="DD8" s="90"/>
      <c r="DE8" s="90"/>
      <c r="DF8" s="90"/>
      <c r="DG8" s="90"/>
      <c r="DH8" s="90"/>
      <c r="DI8" s="90"/>
      <c r="DJ8" s="90"/>
      <c r="DK8" s="70" t="s">
        <v>45</v>
      </c>
      <c r="DL8" s="86" t="s">
        <v>46</v>
      </c>
    </row>
    <row r="9">
      <c r="A9" s="84" t="s">
        <v>50</v>
      </c>
      <c r="B9" s="95" t="s">
        <v>48</v>
      </c>
      <c r="C9" s="97" t="s">
        <v>42</v>
      </c>
      <c r="D9" s="98">
        <f t="shared" ref="D9:D92" si="8">SUM(M9+AJ9+BG9+CE9+CW9+DK9)</f>
        <v>40</v>
      </c>
      <c r="E9" s="99"/>
      <c r="F9" s="100"/>
      <c r="G9" s="100"/>
      <c r="H9" s="101">
        <f t="shared" ref="H9:L9" si="1">SUM(H11:H92)</f>
        <v>0</v>
      </c>
      <c r="I9" s="101">
        <f t="shared" si="1"/>
        <v>0</v>
      </c>
      <c r="J9" s="101">
        <f t="shared" si="1"/>
        <v>0</v>
      </c>
      <c r="K9" s="101">
        <f t="shared" si="1"/>
        <v>0</v>
      </c>
      <c r="L9" s="101">
        <f t="shared" si="1"/>
        <v>0</v>
      </c>
      <c r="M9" s="104">
        <f>COUNTIF(H9:L9,"&gt;0")</f>
        <v>0</v>
      </c>
      <c r="N9" s="104">
        <f>COUNTIF(H9:K9,"&gt;0")</f>
        <v>0</v>
      </c>
      <c r="O9" s="105">
        <f t="shared" ref="O9:AI9" si="2">SUM(O11:O92)</f>
        <v>0</v>
      </c>
      <c r="P9" s="105">
        <f t="shared" si="2"/>
        <v>0</v>
      </c>
      <c r="Q9" s="105">
        <f t="shared" si="2"/>
        <v>0</v>
      </c>
      <c r="R9" s="105">
        <f t="shared" si="2"/>
        <v>0</v>
      </c>
      <c r="S9" s="105">
        <f t="shared" si="2"/>
        <v>0</v>
      </c>
      <c r="T9" s="105">
        <f t="shared" si="2"/>
        <v>0</v>
      </c>
      <c r="U9" s="105">
        <f t="shared" si="2"/>
        <v>0</v>
      </c>
      <c r="V9" s="105">
        <f t="shared" si="2"/>
        <v>0</v>
      </c>
      <c r="W9" s="105">
        <f t="shared" si="2"/>
        <v>0</v>
      </c>
      <c r="X9" s="105">
        <f t="shared" si="2"/>
        <v>37</v>
      </c>
      <c r="Y9" s="105">
        <f t="shared" si="2"/>
        <v>50</v>
      </c>
      <c r="Z9" s="105">
        <f t="shared" si="2"/>
        <v>6</v>
      </c>
      <c r="AA9" s="105">
        <f t="shared" si="2"/>
        <v>0</v>
      </c>
      <c r="AB9" s="105">
        <f t="shared" si="2"/>
        <v>50</v>
      </c>
      <c r="AC9" s="105">
        <f t="shared" si="2"/>
        <v>36</v>
      </c>
      <c r="AD9" s="105">
        <f t="shared" si="2"/>
        <v>38</v>
      </c>
      <c r="AE9" s="105">
        <f t="shared" si="2"/>
        <v>7</v>
      </c>
      <c r="AF9" s="105">
        <f t="shared" si="2"/>
        <v>40</v>
      </c>
      <c r="AG9" s="105">
        <f t="shared" si="2"/>
        <v>50</v>
      </c>
      <c r="AH9" s="105">
        <f t="shared" si="2"/>
        <v>39</v>
      </c>
      <c r="AI9" s="105">
        <f t="shared" si="2"/>
        <v>44</v>
      </c>
      <c r="AJ9" s="104">
        <f>COUNTIF(O9:AI9,"&gt;0")</f>
        <v>11</v>
      </c>
      <c r="AK9" s="108">
        <f>SUM(M9+AJ9)</f>
        <v>11</v>
      </c>
      <c r="AL9" s="105">
        <f t="shared" ref="AL9:BF9" si="3">SUM(AL11:AL92)</f>
        <v>25</v>
      </c>
      <c r="AM9" s="105">
        <f t="shared" si="3"/>
        <v>0</v>
      </c>
      <c r="AN9" s="105">
        <f t="shared" si="3"/>
        <v>0</v>
      </c>
      <c r="AO9" s="105">
        <f t="shared" si="3"/>
        <v>38</v>
      </c>
      <c r="AP9" s="105">
        <f t="shared" si="3"/>
        <v>46</v>
      </c>
      <c r="AQ9" s="105">
        <f t="shared" si="3"/>
        <v>17</v>
      </c>
      <c r="AR9" s="105">
        <f t="shared" si="3"/>
        <v>0</v>
      </c>
      <c r="AS9" s="105">
        <f t="shared" si="3"/>
        <v>41</v>
      </c>
      <c r="AT9" s="105">
        <f t="shared" si="3"/>
        <v>37</v>
      </c>
      <c r="AU9" s="105">
        <f t="shared" si="3"/>
        <v>43</v>
      </c>
      <c r="AV9" s="105">
        <f t="shared" si="3"/>
        <v>18</v>
      </c>
      <c r="AW9" s="105">
        <f t="shared" si="3"/>
        <v>0</v>
      </c>
      <c r="AX9" s="105">
        <f t="shared" si="3"/>
        <v>33</v>
      </c>
      <c r="AY9" s="105">
        <f t="shared" si="3"/>
        <v>54</v>
      </c>
      <c r="AZ9" s="105">
        <f t="shared" si="3"/>
        <v>0</v>
      </c>
      <c r="BA9" s="105">
        <f t="shared" si="3"/>
        <v>0</v>
      </c>
      <c r="BB9" s="105">
        <f t="shared" si="3"/>
        <v>38</v>
      </c>
      <c r="BC9" s="105">
        <f t="shared" si="3"/>
        <v>25</v>
      </c>
      <c r="BD9" s="105">
        <f t="shared" si="3"/>
        <v>26</v>
      </c>
      <c r="BE9" s="105">
        <f t="shared" si="3"/>
        <v>16</v>
      </c>
      <c r="BF9" s="105">
        <f t="shared" si="3"/>
        <v>24</v>
      </c>
      <c r="BG9" s="47">
        <f>COUNTIF(AM9:BF9,"&gt;0")</f>
        <v>14</v>
      </c>
      <c r="BH9" s="63">
        <f>SUM(AK9+BG9)</f>
        <v>25</v>
      </c>
      <c r="BI9" s="107">
        <f t="shared" ref="BI9:CD9" si="4">SUM(BI11:BI92)</f>
        <v>50</v>
      </c>
      <c r="BJ9" s="107">
        <f t="shared" si="4"/>
        <v>50</v>
      </c>
      <c r="BK9" s="107">
        <f t="shared" si="4"/>
        <v>0</v>
      </c>
      <c r="BL9" s="107">
        <f t="shared" si="4"/>
        <v>49</v>
      </c>
      <c r="BM9" s="107">
        <f t="shared" si="4"/>
        <v>0</v>
      </c>
      <c r="BN9" s="107">
        <f t="shared" si="4"/>
        <v>48</v>
      </c>
      <c r="BO9" s="107">
        <f t="shared" si="4"/>
        <v>51</v>
      </c>
      <c r="BP9" s="107">
        <f t="shared" si="4"/>
        <v>21</v>
      </c>
      <c r="BQ9" s="107">
        <f t="shared" si="4"/>
        <v>29</v>
      </c>
      <c r="BR9" s="107">
        <f t="shared" si="4"/>
        <v>65</v>
      </c>
      <c r="BS9" s="107">
        <f t="shared" si="4"/>
        <v>0</v>
      </c>
      <c r="BT9" s="107">
        <f t="shared" si="4"/>
        <v>0</v>
      </c>
      <c r="BU9" s="107">
        <f t="shared" si="4"/>
        <v>0</v>
      </c>
      <c r="BV9" s="107">
        <f t="shared" si="4"/>
        <v>0</v>
      </c>
      <c r="BW9" s="107">
        <f t="shared" si="4"/>
        <v>0</v>
      </c>
      <c r="BX9" s="107">
        <f t="shared" si="4"/>
        <v>0</v>
      </c>
      <c r="BY9" s="107">
        <f t="shared" si="4"/>
        <v>0</v>
      </c>
      <c r="BZ9" s="107">
        <f t="shared" si="4"/>
        <v>0</v>
      </c>
      <c r="CA9" s="107">
        <f t="shared" si="4"/>
        <v>0</v>
      </c>
      <c r="CB9" s="107">
        <f t="shared" si="4"/>
        <v>0</v>
      </c>
      <c r="CC9" s="107">
        <f t="shared" si="4"/>
        <v>0</v>
      </c>
      <c r="CD9" s="107">
        <f t="shared" si="4"/>
        <v>0</v>
      </c>
      <c r="CE9" s="47">
        <f>COUNTIF(BI9:CD9,"&gt;0")</f>
        <v>8</v>
      </c>
      <c r="CF9" s="115">
        <f>SUM(BH9+CE9)</f>
        <v>33</v>
      </c>
      <c r="CG9" s="117">
        <f t="shared" ref="CG9:CR9" si="5">SUM(CG11:CG85)</f>
        <v>48</v>
      </c>
      <c r="CH9" s="107">
        <f t="shared" si="5"/>
        <v>48</v>
      </c>
      <c r="CI9" s="107">
        <f t="shared" si="5"/>
        <v>47</v>
      </c>
      <c r="CJ9" s="107">
        <f t="shared" si="5"/>
        <v>14</v>
      </c>
      <c r="CK9" s="107">
        <f t="shared" si="5"/>
        <v>9</v>
      </c>
      <c r="CL9" s="107">
        <f t="shared" si="5"/>
        <v>9</v>
      </c>
      <c r="CM9" s="107">
        <f t="shared" si="5"/>
        <v>9</v>
      </c>
      <c r="CN9" s="107">
        <f t="shared" si="5"/>
        <v>0</v>
      </c>
      <c r="CO9" s="107">
        <f t="shared" si="5"/>
        <v>0</v>
      </c>
      <c r="CP9" s="107">
        <f t="shared" si="5"/>
        <v>0</v>
      </c>
      <c r="CQ9" s="107">
        <f t="shared" si="5"/>
        <v>0</v>
      </c>
      <c r="CR9" s="107">
        <f t="shared" si="5"/>
        <v>0</v>
      </c>
      <c r="CS9" s="107">
        <f t="shared" ref="CS9:CT9" si="6">SUM(CS10:CS92)</f>
        <v>0</v>
      </c>
      <c r="CT9" s="107">
        <f t="shared" si="6"/>
        <v>0</v>
      </c>
      <c r="CU9" s="107">
        <f>SUM(CU11:CU92)</f>
        <v>0</v>
      </c>
      <c r="CV9" s="117">
        <f>SUM(CV11:CV85)</f>
        <v>0</v>
      </c>
      <c r="CW9" s="109">
        <f>COUNTIF(CG9:CV9,"&gt;0")</f>
        <v>7</v>
      </c>
      <c r="CX9" s="123">
        <f>SUM(CF9+CW9)</f>
        <v>40</v>
      </c>
      <c r="CY9" s="117">
        <f t="shared" ref="CY9:DJ9" si="7">SUM(CY11:CY85)</f>
        <v>0</v>
      </c>
      <c r="CZ9" s="117">
        <f t="shared" si="7"/>
        <v>0</v>
      </c>
      <c r="DA9" s="117">
        <f t="shared" si="7"/>
        <v>0</v>
      </c>
      <c r="DB9" s="117">
        <f t="shared" si="7"/>
        <v>0</v>
      </c>
      <c r="DC9" s="117">
        <f t="shared" si="7"/>
        <v>0</v>
      </c>
      <c r="DD9" s="117">
        <f t="shared" si="7"/>
        <v>0</v>
      </c>
      <c r="DE9" s="117">
        <f t="shared" si="7"/>
        <v>0</v>
      </c>
      <c r="DF9" s="117">
        <f t="shared" si="7"/>
        <v>0</v>
      </c>
      <c r="DG9" s="117">
        <f t="shared" si="7"/>
        <v>0</v>
      </c>
      <c r="DH9" s="117">
        <f t="shared" si="7"/>
        <v>0</v>
      </c>
      <c r="DI9" s="117">
        <f t="shared" si="7"/>
        <v>0</v>
      </c>
      <c r="DJ9" s="117">
        <f t="shared" si="7"/>
        <v>0</v>
      </c>
      <c r="DK9" s="109">
        <f>COUNTIF(CY9:DJ9,"&gt;0")</f>
        <v>0</v>
      </c>
      <c r="DL9" s="123">
        <f>SUM(CX9+DK9)</f>
        <v>40</v>
      </c>
    </row>
    <row r="10">
      <c r="A10" s="50">
        <v>1.0</v>
      </c>
      <c r="B10" s="126" t="s">
        <v>51</v>
      </c>
      <c r="C10" s="127" t="s">
        <v>52</v>
      </c>
      <c r="D10" s="98">
        <f t="shared" si="8"/>
        <v>0</v>
      </c>
      <c r="E10" s="130">
        <f t="shared" ref="E10:E92" si="9">(D10)/D$9*100</f>
        <v>0</v>
      </c>
      <c r="F10" s="132">
        <f t="shared" ref="F10:F92" si="10">IF(E10&lt;50,E10, "  ")</f>
        <v>0</v>
      </c>
      <c r="G10" s="134">
        <f t="shared" ref="G10:G92" si="11">IF(E10&lt;30,E10, "  ")</f>
        <v>0</v>
      </c>
      <c r="H10" s="136"/>
      <c r="I10" s="136"/>
      <c r="J10" s="136"/>
      <c r="K10" s="136"/>
      <c r="L10" s="137"/>
      <c r="M10" s="139">
        <f t="shared" ref="M10:M92" si="12">SUM(H10:L10)</f>
        <v>0</v>
      </c>
      <c r="N10" s="140" t="str">
        <f t="shared" ref="N10:N92" si="13">M10/M$9*100</f>
        <v>#DIV/0!</v>
      </c>
      <c r="O10" s="141"/>
      <c r="P10" s="141"/>
      <c r="Q10" s="116"/>
      <c r="R10" s="141"/>
      <c r="S10" s="141"/>
      <c r="T10" s="141"/>
      <c r="U10" s="141"/>
      <c r="V10" s="141"/>
      <c r="W10" s="141"/>
      <c r="X10" s="141"/>
      <c r="Y10" s="141"/>
      <c r="Z10" s="142"/>
      <c r="AA10" s="143"/>
      <c r="AB10" s="141"/>
      <c r="AC10" s="141"/>
      <c r="AD10" s="144"/>
      <c r="AE10" s="144"/>
      <c r="AF10" s="201"/>
      <c r="AG10" s="144"/>
      <c r="AH10" s="144"/>
      <c r="AI10" s="144"/>
      <c r="AJ10" s="139">
        <f t="shared" ref="AJ10:AJ92" si="14">SUM(O10:AI10)</f>
        <v>0</v>
      </c>
      <c r="AK10" s="140">
        <f t="shared" ref="AK10:AK92" si="15">AJ10/AJ$9*100</f>
        <v>0</v>
      </c>
      <c r="AL10" s="147"/>
      <c r="AM10" s="141"/>
      <c r="AN10" s="141"/>
      <c r="AO10" s="116"/>
      <c r="AQ10" s="141"/>
      <c r="AR10" s="141"/>
      <c r="AS10" s="148"/>
      <c r="AT10" s="141"/>
      <c r="AU10" s="141"/>
      <c r="AV10" s="141"/>
      <c r="AW10" s="141"/>
      <c r="AX10" s="141"/>
      <c r="AY10" s="141"/>
      <c r="AZ10" s="136"/>
      <c r="BA10" s="136"/>
      <c r="BB10" s="137"/>
      <c r="BC10" s="137"/>
      <c r="BD10" s="137"/>
      <c r="BE10" s="137"/>
      <c r="BF10" s="137"/>
      <c r="BG10" s="139">
        <f t="shared" ref="BG10:BG92" si="16">SUM(AM10:BF10)</f>
        <v>0</v>
      </c>
      <c r="BH10" s="152">
        <f t="shared" ref="BH10:BH92" si="17">BG10/BG$9*100</f>
        <v>0</v>
      </c>
      <c r="BI10" s="136"/>
      <c r="BJ10" s="136"/>
      <c r="BK10" s="136"/>
      <c r="BL10" s="141"/>
      <c r="BM10" s="141"/>
      <c r="BN10" s="141"/>
      <c r="BO10" s="177"/>
      <c r="BP10" s="141"/>
      <c r="BQ10" s="144"/>
      <c r="BR10" s="144"/>
      <c r="BS10" s="144"/>
      <c r="BT10" s="142"/>
      <c r="BU10" s="153"/>
      <c r="BV10" s="153"/>
      <c r="BW10" s="154"/>
      <c r="BX10" s="153"/>
      <c r="BY10" s="141"/>
      <c r="BZ10" s="144"/>
      <c r="CA10" s="116"/>
      <c r="CB10" s="144"/>
      <c r="CC10" s="144"/>
      <c r="CD10" s="144"/>
      <c r="CE10" s="124">
        <f t="shared" ref="CE10:CE92" si="18">SUM(BI10:CD10)</f>
        <v>0</v>
      </c>
      <c r="CF10" s="159">
        <f t="shared" ref="CF10:CF92" si="19">CE10/CE$9*100</f>
        <v>0</v>
      </c>
      <c r="CG10" s="160"/>
      <c r="CH10" s="160"/>
      <c r="CI10" s="43"/>
      <c r="CJ10" s="43"/>
      <c r="CK10" s="43"/>
      <c r="CL10" s="43"/>
      <c r="CM10" s="43"/>
      <c r="CN10" s="163"/>
      <c r="CO10" s="163"/>
      <c r="CP10" s="166"/>
      <c r="CQ10" s="166"/>
      <c r="CR10" s="166"/>
      <c r="CS10" s="166"/>
      <c r="CT10" s="166"/>
      <c r="CU10" s="166"/>
      <c r="CV10" s="167"/>
      <c r="CW10" s="128">
        <f t="shared" ref="CW10:CW92" si="20">SUM(CG10:CV10)</f>
        <v>0</v>
      </c>
      <c r="CX10" s="170">
        <f t="shared" ref="CX10:CX92" si="21">CW10/CW$9*100</f>
        <v>0</v>
      </c>
      <c r="CY10" s="171"/>
      <c r="CZ10" s="171"/>
      <c r="DA10" s="171"/>
      <c r="DB10" s="171"/>
      <c r="DC10" s="171"/>
      <c r="DD10" s="171"/>
      <c r="DE10" s="171"/>
      <c r="DF10" s="171"/>
      <c r="DG10" s="171"/>
      <c r="DH10" s="171"/>
      <c r="DI10" s="171"/>
      <c r="DJ10" s="171"/>
      <c r="DK10" s="128">
        <f t="shared" ref="DK10:DK92" si="22">SUM(CY10:DJ10)</f>
        <v>0</v>
      </c>
      <c r="DL10" s="129" t="str">
        <f t="shared" ref="DL10:DL92" si="23">DK10/DK$9*100</f>
        <v>#DIV/0!</v>
      </c>
    </row>
    <row r="11">
      <c r="A11" s="131">
        <v>2.0</v>
      </c>
      <c r="B11" s="111" t="s">
        <v>53</v>
      </c>
      <c r="C11" s="112" t="s">
        <v>61</v>
      </c>
      <c r="D11" s="98">
        <f t="shared" si="8"/>
        <v>28</v>
      </c>
      <c r="E11" s="130">
        <f t="shared" si="9"/>
        <v>70</v>
      </c>
      <c r="F11" s="132" t="str">
        <f t="shared" si="10"/>
        <v>  </v>
      </c>
      <c r="G11" s="178" t="str">
        <f t="shared" si="11"/>
        <v>  </v>
      </c>
      <c r="H11" s="180"/>
      <c r="I11" s="180"/>
      <c r="J11" s="180"/>
      <c r="K11" s="180"/>
      <c r="L11" s="181"/>
      <c r="M11" s="139">
        <f t="shared" si="12"/>
        <v>0</v>
      </c>
      <c r="N11" s="140" t="str">
        <f t="shared" si="13"/>
        <v>#DIV/0!</v>
      </c>
      <c r="O11" s="116"/>
      <c r="P11" s="116"/>
      <c r="Q11" s="116"/>
      <c r="R11" s="116"/>
      <c r="S11" s="116"/>
      <c r="T11" s="116"/>
      <c r="U11" s="116"/>
      <c r="V11" s="116"/>
      <c r="W11" s="116"/>
      <c r="X11" s="138">
        <v>1.0</v>
      </c>
      <c r="Y11" s="138">
        <v>1.0</v>
      </c>
      <c r="Z11" s="185"/>
      <c r="AA11" s="217"/>
      <c r="AB11" s="138">
        <v>1.0</v>
      </c>
      <c r="AC11" s="116"/>
      <c r="AD11" s="138">
        <v>1.0</v>
      </c>
      <c r="AE11" s="116"/>
      <c r="AF11" s="188">
        <v>1.0</v>
      </c>
      <c r="AG11" s="188">
        <v>1.0</v>
      </c>
      <c r="AH11" s="138">
        <v>1.0</v>
      </c>
      <c r="AI11" s="138">
        <v>1.0</v>
      </c>
      <c r="AJ11" s="139">
        <f t="shared" si="14"/>
        <v>8</v>
      </c>
      <c r="AK11" s="140">
        <f t="shared" si="15"/>
        <v>72.72727273</v>
      </c>
      <c r="AL11" s="220">
        <v>1.0</v>
      </c>
      <c r="AM11" s="116"/>
      <c r="AN11" s="116"/>
      <c r="AO11" s="116"/>
      <c r="AP11" s="177">
        <v>1.0</v>
      </c>
      <c r="AQ11" s="116"/>
      <c r="AR11" s="116"/>
      <c r="AS11" s="166"/>
      <c r="AT11" s="138">
        <v>1.0</v>
      </c>
      <c r="AU11" s="116"/>
      <c r="AV11" s="116"/>
      <c r="AW11" s="116"/>
      <c r="AX11" s="138">
        <v>1.0</v>
      </c>
      <c r="AY11" s="138">
        <v>1.0</v>
      </c>
      <c r="AZ11" s="116"/>
      <c r="BA11" s="180"/>
      <c r="BB11" s="116"/>
      <c r="BC11" s="138">
        <v>1.0</v>
      </c>
      <c r="BD11" s="188">
        <v>1.0</v>
      </c>
      <c r="BE11" s="188">
        <v>1.0</v>
      </c>
      <c r="BF11" s="188">
        <v>1.0</v>
      </c>
      <c r="BG11" s="139">
        <f t="shared" si="16"/>
        <v>8</v>
      </c>
      <c r="BH11" s="152">
        <f t="shared" si="17"/>
        <v>57.14285714</v>
      </c>
      <c r="BI11" s="138">
        <v>1.0</v>
      </c>
      <c r="BJ11" s="138">
        <v>1.0</v>
      </c>
      <c r="BK11" s="180"/>
      <c r="BL11" s="138">
        <v>1.0</v>
      </c>
      <c r="BM11" s="116"/>
      <c r="BN11" s="138">
        <v>1.0</v>
      </c>
      <c r="BO11" s="138">
        <v>1.0</v>
      </c>
      <c r="BP11" s="138">
        <v>1.0</v>
      </c>
      <c r="BQ11" s="138">
        <v>1.0</v>
      </c>
      <c r="BR11" s="188">
        <v>1.0</v>
      </c>
      <c r="BS11" s="165"/>
      <c r="BT11" s="116"/>
      <c r="BU11" s="43"/>
      <c r="BV11" s="116"/>
      <c r="BW11" s="198"/>
      <c r="BX11" s="116"/>
      <c r="BY11" s="116"/>
      <c r="BZ11" s="194"/>
      <c r="CA11" s="116"/>
      <c r="CB11" s="116"/>
      <c r="CC11" s="194"/>
      <c r="CD11" s="194"/>
      <c r="CE11" s="124">
        <f t="shared" si="18"/>
        <v>8</v>
      </c>
      <c r="CF11" s="159">
        <f t="shared" si="19"/>
        <v>100</v>
      </c>
      <c r="CG11" s="138">
        <v>1.0</v>
      </c>
      <c r="CH11" s="138">
        <v>1.0</v>
      </c>
      <c r="CI11" s="138">
        <v>1.0</v>
      </c>
      <c r="CJ11" s="138">
        <v>1.0</v>
      </c>
      <c r="CK11" s="116"/>
      <c r="CL11" s="116"/>
      <c r="CM11" s="116"/>
      <c r="CN11" s="163"/>
      <c r="CO11" s="116"/>
      <c r="CP11" s="116"/>
      <c r="CQ11" s="116"/>
      <c r="CR11" s="116"/>
      <c r="CS11" s="116"/>
      <c r="CT11" s="116"/>
      <c r="CU11" s="116"/>
      <c r="CV11" s="194"/>
      <c r="CW11" s="128">
        <f t="shared" si="20"/>
        <v>4</v>
      </c>
      <c r="CX11" s="170">
        <f t="shared" si="21"/>
        <v>57.14285714</v>
      </c>
      <c r="CY11" s="171"/>
      <c r="CZ11" s="171"/>
      <c r="DA11" s="171"/>
      <c r="DB11" s="171"/>
      <c r="DC11" s="171"/>
      <c r="DD11" s="171"/>
      <c r="DE11" s="171"/>
      <c r="DF11" s="171"/>
      <c r="DG11" s="171"/>
      <c r="DH11" s="171"/>
      <c r="DI11" s="171"/>
      <c r="DJ11" s="171"/>
      <c r="DK11" s="128">
        <f t="shared" si="22"/>
        <v>0</v>
      </c>
      <c r="DL11" s="129" t="str">
        <f t="shared" si="23"/>
        <v>#DIV/0!</v>
      </c>
    </row>
    <row r="12" ht="16.5" customHeight="1">
      <c r="A12" s="146">
        <v>3.0</v>
      </c>
      <c r="B12" s="111" t="s">
        <v>55</v>
      </c>
      <c r="C12" s="112" t="s">
        <v>56</v>
      </c>
      <c r="D12" s="98">
        <f t="shared" si="8"/>
        <v>17</v>
      </c>
      <c r="E12" s="130">
        <f t="shared" si="9"/>
        <v>42.5</v>
      </c>
      <c r="F12" s="114">
        <f t="shared" si="10"/>
        <v>42.5</v>
      </c>
      <c r="G12" s="149" t="str">
        <f t="shared" si="11"/>
        <v>  </v>
      </c>
      <c r="H12" s="180"/>
      <c r="I12" s="203"/>
      <c r="J12" s="180"/>
      <c r="K12" s="180"/>
      <c r="L12" s="204"/>
      <c r="M12" s="139">
        <f t="shared" si="12"/>
        <v>0</v>
      </c>
      <c r="N12" s="140" t="str">
        <f t="shared" si="13"/>
        <v>#DIV/0!</v>
      </c>
      <c r="O12" s="116"/>
      <c r="P12" s="116"/>
      <c r="Q12" s="116"/>
      <c r="R12" s="116"/>
      <c r="S12" s="116"/>
      <c r="T12" s="116"/>
      <c r="U12" s="116"/>
      <c r="V12" s="116"/>
      <c r="W12" s="116"/>
      <c r="X12" s="138">
        <v>1.0</v>
      </c>
      <c r="Y12" s="138">
        <v>1.0</v>
      </c>
      <c r="Z12" s="185"/>
      <c r="AA12" s="217"/>
      <c r="AB12" s="138">
        <v>1.0</v>
      </c>
      <c r="AC12" s="138">
        <v>1.0</v>
      </c>
      <c r="AD12" s="116"/>
      <c r="AE12" s="116"/>
      <c r="AF12" s="196">
        <v>1.0</v>
      </c>
      <c r="AG12" s="196">
        <v>1.0</v>
      </c>
      <c r="AH12" s="196">
        <v>1.0</v>
      </c>
      <c r="AI12" s="165"/>
      <c r="AJ12" s="139">
        <f t="shared" si="14"/>
        <v>7</v>
      </c>
      <c r="AK12" s="205">
        <f t="shared" si="15"/>
        <v>63.63636364</v>
      </c>
      <c r="AL12" s="116"/>
      <c r="AM12" s="116"/>
      <c r="AN12" s="116"/>
      <c r="AO12" s="138">
        <v>1.0</v>
      </c>
      <c r="AP12" s="138">
        <v>1.0</v>
      </c>
      <c r="AQ12" s="116"/>
      <c r="AR12" s="116"/>
      <c r="AS12" s="191">
        <v>1.0</v>
      </c>
      <c r="AT12" s="116"/>
      <c r="AU12" s="116"/>
      <c r="AV12" s="116"/>
      <c r="AW12" s="116"/>
      <c r="AX12" s="138">
        <v>1.0</v>
      </c>
      <c r="AY12" s="138">
        <v>1.0</v>
      </c>
      <c r="AZ12" s="180"/>
      <c r="BA12" s="180"/>
      <c r="BB12" s="204"/>
      <c r="BC12" s="204"/>
      <c r="BD12" s="181"/>
      <c r="BE12" s="181"/>
      <c r="BF12" s="181"/>
      <c r="BG12" s="139">
        <f t="shared" si="16"/>
        <v>5</v>
      </c>
      <c r="BH12" s="208">
        <f t="shared" si="17"/>
        <v>35.71428571</v>
      </c>
      <c r="BI12" s="180"/>
      <c r="BJ12" s="180"/>
      <c r="BK12" s="180"/>
      <c r="BL12" s="138">
        <v>1.0</v>
      </c>
      <c r="BM12" s="116"/>
      <c r="BN12" s="138">
        <v>1.0</v>
      </c>
      <c r="BO12" s="116"/>
      <c r="BP12" s="116"/>
      <c r="BQ12" s="165"/>
      <c r="BR12" s="196">
        <v>1.0</v>
      </c>
      <c r="BS12" s="116"/>
      <c r="BT12" s="116"/>
      <c r="BU12" s="43"/>
      <c r="BV12" s="43"/>
      <c r="BW12" s="198"/>
      <c r="BX12" s="116"/>
      <c r="BY12" s="116"/>
      <c r="BZ12" s="165"/>
      <c r="CA12" s="116"/>
      <c r="CB12" s="165"/>
      <c r="CC12" s="165"/>
      <c r="CD12" s="165"/>
      <c r="CE12" s="124">
        <f t="shared" si="18"/>
        <v>3</v>
      </c>
      <c r="CF12" s="173">
        <f t="shared" si="19"/>
        <v>37.5</v>
      </c>
      <c r="CG12" s="138">
        <v>1.0</v>
      </c>
      <c r="CH12" s="138">
        <v>1.0</v>
      </c>
      <c r="CI12" s="116"/>
      <c r="CJ12" s="116"/>
      <c r="CK12" s="43"/>
      <c r="CL12" s="43"/>
      <c r="CM12" s="43"/>
      <c r="CN12" s="163"/>
      <c r="CO12" s="163"/>
      <c r="CP12" s="166"/>
      <c r="CQ12" s="166"/>
      <c r="CR12" s="166"/>
      <c r="CS12" s="166"/>
      <c r="CT12" s="116"/>
      <c r="CU12" s="116"/>
      <c r="CV12" s="213"/>
      <c r="CW12" s="128">
        <f t="shared" si="20"/>
        <v>2</v>
      </c>
      <c r="CX12" s="214">
        <f t="shared" si="21"/>
        <v>28.57142857</v>
      </c>
      <c r="CY12" s="171"/>
      <c r="CZ12" s="171"/>
      <c r="DA12" s="171"/>
      <c r="DB12" s="171"/>
      <c r="DC12" s="171"/>
      <c r="DD12" s="171"/>
      <c r="DE12" s="171"/>
      <c r="DF12" s="171"/>
      <c r="DG12" s="171"/>
      <c r="DH12" s="171"/>
      <c r="DI12" s="171"/>
      <c r="DJ12" s="171"/>
      <c r="DK12" s="128">
        <f t="shared" si="22"/>
        <v>0</v>
      </c>
      <c r="DL12" s="158" t="str">
        <f t="shared" si="23"/>
        <v>#DIV/0!</v>
      </c>
    </row>
    <row r="13">
      <c r="A13" s="50">
        <v>4.0</v>
      </c>
      <c r="B13" s="161" t="s">
        <v>57</v>
      </c>
      <c r="C13" s="162" t="s">
        <v>58</v>
      </c>
      <c r="D13" s="98">
        <f t="shared" si="8"/>
        <v>21</v>
      </c>
      <c r="E13" s="130">
        <f t="shared" si="9"/>
        <v>52.5</v>
      </c>
      <c r="F13" s="114" t="str">
        <f t="shared" si="10"/>
        <v>  </v>
      </c>
      <c r="G13" s="149" t="str">
        <f t="shared" si="11"/>
        <v>  </v>
      </c>
      <c r="H13" s="180"/>
      <c r="I13" s="180"/>
      <c r="J13" s="180"/>
      <c r="K13" s="180"/>
      <c r="L13" s="204"/>
      <c r="M13" s="139">
        <f t="shared" si="12"/>
        <v>0</v>
      </c>
      <c r="N13" s="140" t="str">
        <f t="shared" si="13"/>
        <v>#DIV/0!</v>
      </c>
      <c r="O13" s="116"/>
      <c r="P13" s="116"/>
      <c r="Q13" s="180"/>
      <c r="R13" s="116"/>
      <c r="S13" s="116"/>
      <c r="T13" s="116"/>
      <c r="U13" s="116"/>
      <c r="V13" s="116"/>
      <c r="W13" s="116"/>
      <c r="X13" s="138">
        <v>1.0</v>
      </c>
      <c r="Y13" s="138">
        <v>1.0</v>
      </c>
      <c r="Z13" s="185"/>
      <c r="AA13" s="217"/>
      <c r="AB13" s="138">
        <v>1.0</v>
      </c>
      <c r="AC13" s="138">
        <v>1.0</v>
      </c>
      <c r="AD13" s="138">
        <v>1.0</v>
      </c>
      <c r="AE13" s="116"/>
      <c r="AF13" s="196">
        <v>1.0</v>
      </c>
      <c r="AG13" s="196">
        <v>1.0</v>
      </c>
      <c r="AH13" s="196">
        <v>1.0</v>
      </c>
      <c r="AI13" s="165"/>
      <c r="AJ13" s="139">
        <f t="shared" si="14"/>
        <v>8</v>
      </c>
      <c r="AK13" s="205">
        <f t="shared" si="15"/>
        <v>72.72727273</v>
      </c>
      <c r="AL13" s="116"/>
      <c r="AM13" s="116"/>
      <c r="AN13" s="116"/>
      <c r="AO13" s="138">
        <v>1.0</v>
      </c>
      <c r="AP13" s="138">
        <v>1.0</v>
      </c>
      <c r="AQ13" s="116"/>
      <c r="AR13" s="116"/>
      <c r="AS13" s="191">
        <v>1.0</v>
      </c>
      <c r="AT13" s="116"/>
      <c r="AU13" s="116"/>
      <c r="AV13" s="116"/>
      <c r="AW13" s="116"/>
      <c r="AX13" s="138">
        <v>1.0</v>
      </c>
      <c r="AY13" s="138">
        <v>1.0</v>
      </c>
      <c r="AZ13" s="180"/>
      <c r="BA13" s="180"/>
      <c r="BB13" s="204"/>
      <c r="BC13" s="204"/>
      <c r="BD13" s="181"/>
      <c r="BE13" s="181"/>
      <c r="BF13" s="219">
        <v>1.0</v>
      </c>
      <c r="BG13" s="139">
        <f t="shared" si="16"/>
        <v>6</v>
      </c>
      <c r="BH13" s="208">
        <f t="shared" si="17"/>
        <v>42.85714286</v>
      </c>
      <c r="BI13" s="215">
        <v>1.0</v>
      </c>
      <c r="BJ13" s="215">
        <v>1.0</v>
      </c>
      <c r="BK13" s="180"/>
      <c r="BL13" s="138">
        <v>1.0</v>
      </c>
      <c r="BM13" s="116"/>
      <c r="BN13" s="138">
        <v>1.0</v>
      </c>
      <c r="BO13" s="116"/>
      <c r="BP13" s="116"/>
      <c r="BQ13" s="165"/>
      <c r="BR13" s="196">
        <v>1.0</v>
      </c>
      <c r="BS13" s="116"/>
      <c r="BT13" s="116"/>
      <c r="BU13" s="43"/>
      <c r="BV13" s="43"/>
      <c r="BW13" s="198"/>
      <c r="BX13" s="116"/>
      <c r="BY13" s="116"/>
      <c r="BZ13" s="165"/>
      <c r="CA13" s="116"/>
      <c r="CB13" s="165"/>
      <c r="CC13" s="165"/>
      <c r="CD13" s="165"/>
      <c r="CE13" s="124">
        <f t="shared" si="18"/>
        <v>5</v>
      </c>
      <c r="CF13" s="173">
        <f t="shared" si="19"/>
        <v>62.5</v>
      </c>
      <c r="CG13" s="138">
        <v>1.0</v>
      </c>
      <c r="CH13" s="138">
        <v>1.0</v>
      </c>
      <c r="CI13" s="116"/>
      <c r="CJ13" s="116"/>
      <c r="CK13" s="116"/>
      <c r="CL13" s="116"/>
      <c r="CM13" s="116"/>
      <c r="CN13" s="116"/>
      <c r="CO13" s="116"/>
      <c r="CP13" s="166"/>
      <c r="CQ13" s="213"/>
      <c r="CR13" s="213"/>
      <c r="CS13" s="116"/>
      <c r="CT13" s="116"/>
      <c r="CU13" s="116"/>
      <c r="CV13" s="213"/>
      <c r="CW13" s="128">
        <f t="shared" si="20"/>
        <v>2</v>
      </c>
      <c r="CX13" s="214">
        <f t="shared" si="21"/>
        <v>28.57142857</v>
      </c>
      <c r="CY13" s="171"/>
      <c r="CZ13" s="171"/>
      <c r="DA13" s="171"/>
      <c r="DB13" s="171"/>
      <c r="DC13" s="171"/>
      <c r="DD13" s="171"/>
      <c r="DE13" s="171"/>
      <c r="DF13" s="171"/>
      <c r="DG13" s="171"/>
      <c r="DH13" s="171"/>
      <c r="DI13" s="171"/>
      <c r="DJ13" s="171"/>
      <c r="DK13" s="128">
        <f t="shared" si="22"/>
        <v>0</v>
      </c>
      <c r="DL13" s="158" t="str">
        <f t="shared" si="23"/>
        <v>#DIV/0!</v>
      </c>
    </row>
    <row r="14">
      <c r="A14" s="131">
        <v>5.0</v>
      </c>
      <c r="B14" s="111" t="s">
        <v>59</v>
      </c>
      <c r="C14" s="112" t="s">
        <v>60</v>
      </c>
      <c r="D14" s="98">
        <f t="shared" si="8"/>
        <v>27</v>
      </c>
      <c r="E14" s="130">
        <f t="shared" si="9"/>
        <v>67.5</v>
      </c>
      <c r="F14" s="114" t="str">
        <f t="shared" si="10"/>
        <v>  </v>
      </c>
      <c r="G14" s="149" t="str">
        <f t="shared" si="11"/>
        <v>  </v>
      </c>
      <c r="H14" s="180"/>
      <c r="I14" s="180"/>
      <c r="J14" s="221"/>
      <c r="K14" s="180"/>
      <c r="L14" s="204"/>
      <c r="M14" s="139">
        <f t="shared" si="12"/>
        <v>0</v>
      </c>
      <c r="N14" s="140" t="str">
        <f t="shared" si="13"/>
        <v>#DIV/0!</v>
      </c>
      <c r="O14" s="116"/>
      <c r="P14" s="116"/>
      <c r="Q14" s="116"/>
      <c r="R14" s="179"/>
      <c r="S14" s="116"/>
      <c r="T14" s="116"/>
      <c r="U14" s="116"/>
      <c r="V14" s="179"/>
      <c r="W14" s="116"/>
      <c r="X14" s="138">
        <v>1.0</v>
      </c>
      <c r="Y14" s="184">
        <v>1.0</v>
      </c>
      <c r="Z14" s="185"/>
      <c r="AA14" s="217"/>
      <c r="AB14" s="138">
        <v>1.0</v>
      </c>
      <c r="AC14" s="179"/>
      <c r="AD14" s="116"/>
      <c r="AE14" s="116"/>
      <c r="AF14" s="182">
        <v>1.0</v>
      </c>
      <c r="AG14" s="182">
        <v>1.0</v>
      </c>
      <c r="AH14" s="138">
        <v>1.0</v>
      </c>
      <c r="AI14" s="138">
        <v>1.0</v>
      </c>
      <c r="AJ14" s="139">
        <f t="shared" si="14"/>
        <v>7</v>
      </c>
      <c r="AK14" s="205">
        <f t="shared" si="15"/>
        <v>63.63636364</v>
      </c>
      <c r="AL14" s="235">
        <v>1.0</v>
      </c>
      <c r="AM14" s="179"/>
      <c r="AN14" s="179"/>
      <c r="AO14" s="179"/>
      <c r="AP14" s="116"/>
      <c r="AQ14" s="116"/>
      <c r="AR14" s="116"/>
      <c r="AS14" s="166"/>
      <c r="AT14" s="138">
        <v>1.0</v>
      </c>
      <c r="AU14" s="138">
        <v>1.0</v>
      </c>
      <c r="AV14" s="138">
        <v>1.0</v>
      </c>
      <c r="AW14" s="179"/>
      <c r="AX14" s="138">
        <v>1.0</v>
      </c>
      <c r="AY14" s="138">
        <v>1.0</v>
      </c>
      <c r="AZ14" s="116"/>
      <c r="BA14" s="180"/>
      <c r="BB14" s="138">
        <v>1.0</v>
      </c>
      <c r="BC14" s="138">
        <v>1.0</v>
      </c>
      <c r="BD14" s="188">
        <v>1.0</v>
      </c>
      <c r="BE14" s="188">
        <v>1.0</v>
      </c>
      <c r="BF14" s="194"/>
      <c r="BG14" s="139">
        <f t="shared" si="16"/>
        <v>9</v>
      </c>
      <c r="BH14" s="208">
        <f t="shared" si="17"/>
        <v>64.28571429</v>
      </c>
      <c r="BI14" s="138">
        <v>1.0</v>
      </c>
      <c r="BJ14" s="138">
        <v>1.0</v>
      </c>
      <c r="BK14" s="180"/>
      <c r="BL14" s="138">
        <v>1.0</v>
      </c>
      <c r="BM14" s="116"/>
      <c r="BN14" s="138">
        <v>1.0</v>
      </c>
      <c r="BO14" s="116"/>
      <c r="BP14" s="116"/>
      <c r="BQ14" s="165"/>
      <c r="BR14" s="196">
        <v>1.0</v>
      </c>
      <c r="BS14" s="165"/>
      <c r="BT14" s="116"/>
      <c r="BU14" s="43"/>
      <c r="BV14" s="116"/>
      <c r="BW14" s="198"/>
      <c r="BX14" s="116"/>
      <c r="BY14" s="116"/>
      <c r="BZ14" s="165"/>
      <c r="CA14" s="165"/>
      <c r="CB14" s="165"/>
      <c r="CC14" s="165"/>
      <c r="CD14" s="165"/>
      <c r="CE14" s="124">
        <f t="shared" si="18"/>
        <v>5</v>
      </c>
      <c r="CF14" s="173">
        <f t="shared" si="19"/>
        <v>62.5</v>
      </c>
      <c r="CG14" s="138">
        <v>1.0</v>
      </c>
      <c r="CH14" s="138">
        <v>1.0</v>
      </c>
      <c r="CI14" s="138">
        <v>1.0</v>
      </c>
      <c r="CJ14" s="116"/>
      <c r="CK14" s="138">
        <v>1.0</v>
      </c>
      <c r="CL14" s="138">
        <v>1.0</v>
      </c>
      <c r="CM14" s="138">
        <v>1.0</v>
      </c>
      <c r="CN14" s="116"/>
      <c r="CO14" s="223"/>
      <c r="CP14" s="116"/>
      <c r="CQ14" s="165"/>
      <c r="CR14" s="165"/>
      <c r="CS14" s="116"/>
      <c r="CT14" s="116"/>
      <c r="CU14" s="165"/>
      <c r="CV14" s="165"/>
      <c r="CW14" s="128">
        <f t="shared" si="20"/>
        <v>6</v>
      </c>
      <c r="CX14" s="214">
        <f t="shared" si="21"/>
        <v>85.71428571</v>
      </c>
      <c r="CY14" s="171"/>
      <c r="CZ14" s="171"/>
      <c r="DA14" s="171"/>
      <c r="DB14" s="171"/>
      <c r="DC14" s="171"/>
      <c r="DD14" s="171"/>
      <c r="DE14" s="171"/>
      <c r="DF14" s="171"/>
      <c r="DG14" s="171"/>
      <c r="DH14" s="171"/>
      <c r="DI14" s="171"/>
      <c r="DJ14" s="171"/>
      <c r="DK14" s="128">
        <f t="shared" si="22"/>
        <v>0</v>
      </c>
      <c r="DL14" s="158" t="str">
        <f t="shared" si="23"/>
        <v>#DIV/0!</v>
      </c>
    </row>
    <row r="15">
      <c r="A15" s="146">
        <v>6.0</v>
      </c>
      <c r="B15" s="111" t="s">
        <v>62</v>
      </c>
      <c r="C15" s="112" t="s">
        <v>63</v>
      </c>
      <c r="D15" s="98">
        <f t="shared" si="8"/>
        <v>29</v>
      </c>
      <c r="E15" s="130">
        <f t="shared" si="9"/>
        <v>72.5</v>
      </c>
      <c r="F15" s="92" t="str">
        <f t="shared" si="10"/>
        <v>  </v>
      </c>
      <c r="G15" s="149" t="str">
        <f t="shared" si="11"/>
        <v>  </v>
      </c>
      <c r="H15" s="203"/>
      <c r="I15" s="224"/>
      <c r="J15" s="180"/>
      <c r="K15" s="180"/>
      <c r="L15" s="204"/>
      <c r="M15" s="139">
        <f t="shared" si="12"/>
        <v>0</v>
      </c>
      <c r="N15" s="140" t="str">
        <f t="shared" si="13"/>
        <v>#DIV/0!</v>
      </c>
      <c r="O15" s="116"/>
      <c r="P15" s="116"/>
      <c r="Q15" s="116"/>
      <c r="R15" s="186"/>
      <c r="S15" s="116"/>
      <c r="T15" s="116"/>
      <c r="U15" s="116"/>
      <c r="V15" s="186"/>
      <c r="W15" s="116"/>
      <c r="X15" s="138">
        <v>1.0</v>
      </c>
      <c r="Y15" s="200">
        <v>1.0</v>
      </c>
      <c r="Z15" s="185"/>
      <c r="AA15" s="217"/>
      <c r="AB15" s="138">
        <v>1.0</v>
      </c>
      <c r="AC15" s="186"/>
      <c r="AD15" s="138">
        <v>1.0</v>
      </c>
      <c r="AE15" s="116"/>
      <c r="AF15" s="197">
        <v>1.0</v>
      </c>
      <c r="AG15" s="197">
        <v>1.0</v>
      </c>
      <c r="AH15" s="138">
        <v>1.0</v>
      </c>
      <c r="AI15" s="138">
        <v>1.0</v>
      </c>
      <c r="AJ15" s="139">
        <f t="shared" si="14"/>
        <v>8</v>
      </c>
      <c r="AK15" s="205">
        <f t="shared" si="15"/>
        <v>72.72727273</v>
      </c>
      <c r="AL15" s="237">
        <v>1.0</v>
      </c>
      <c r="AM15" s="116"/>
      <c r="AN15" s="186"/>
      <c r="AO15" s="186"/>
      <c r="AP15" s="138">
        <v>1.0</v>
      </c>
      <c r="AQ15" s="116"/>
      <c r="AR15" s="116"/>
      <c r="AS15" s="166"/>
      <c r="AT15" s="138">
        <v>1.0</v>
      </c>
      <c r="AU15" s="138">
        <v>1.0</v>
      </c>
      <c r="AV15" s="138">
        <v>1.0</v>
      </c>
      <c r="AW15" s="186"/>
      <c r="AX15" s="138">
        <v>1.0</v>
      </c>
      <c r="AY15" s="138">
        <v>1.0</v>
      </c>
      <c r="AZ15" s="116"/>
      <c r="BA15" s="180"/>
      <c r="BB15" s="138">
        <v>1.0</v>
      </c>
      <c r="BC15" s="116"/>
      <c r="BD15" s="188">
        <v>1.0</v>
      </c>
      <c r="BE15" s="188">
        <v>1.0</v>
      </c>
      <c r="BF15" s="194"/>
      <c r="BG15" s="139">
        <f t="shared" si="16"/>
        <v>9</v>
      </c>
      <c r="BH15" s="208">
        <f t="shared" si="17"/>
        <v>64.28571429</v>
      </c>
      <c r="BI15" s="138">
        <v>1.0</v>
      </c>
      <c r="BJ15" s="138">
        <v>1.0</v>
      </c>
      <c r="BK15" s="180"/>
      <c r="BL15" s="138">
        <v>1.0</v>
      </c>
      <c r="BM15" s="116"/>
      <c r="BN15" s="116"/>
      <c r="BO15" s="116"/>
      <c r="BP15" s="138">
        <v>1.0</v>
      </c>
      <c r="BQ15" s="138">
        <v>1.0</v>
      </c>
      <c r="BR15" s="196">
        <v>1.0</v>
      </c>
      <c r="BS15" s="165"/>
      <c r="BT15" s="116"/>
      <c r="BU15" s="43"/>
      <c r="BV15" s="116"/>
      <c r="BW15" s="198"/>
      <c r="BX15" s="116"/>
      <c r="BY15" s="116"/>
      <c r="BZ15" s="165"/>
      <c r="CA15" s="116"/>
      <c r="CB15" s="116"/>
      <c r="CC15" s="165"/>
      <c r="CD15" s="165"/>
      <c r="CE15" s="124">
        <f t="shared" si="18"/>
        <v>6</v>
      </c>
      <c r="CF15" s="173">
        <f t="shared" si="19"/>
        <v>75</v>
      </c>
      <c r="CG15" s="138">
        <v>1.0</v>
      </c>
      <c r="CH15" s="138">
        <v>1.0</v>
      </c>
      <c r="CI15" s="138">
        <v>1.0</v>
      </c>
      <c r="CJ15" s="116"/>
      <c r="CK15" s="138">
        <v>1.0</v>
      </c>
      <c r="CL15" s="138">
        <v>1.0</v>
      </c>
      <c r="CM15" s="138">
        <v>1.0</v>
      </c>
      <c r="CN15" s="116"/>
      <c r="CO15" s="116"/>
      <c r="CP15" s="116"/>
      <c r="CQ15" s="165"/>
      <c r="CR15" s="165"/>
      <c r="CS15" s="116"/>
      <c r="CT15" s="116"/>
      <c r="CU15" s="165"/>
      <c r="CV15" s="165"/>
      <c r="CW15" s="128">
        <f t="shared" si="20"/>
        <v>6</v>
      </c>
      <c r="CX15" s="214">
        <f t="shared" si="21"/>
        <v>85.71428571</v>
      </c>
      <c r="CY15" s="171"/>
      <c r="CZ15" s="171"/>
      <c r="DA15" s="171"/>
      <c r="DB15" s="171"/>
      <c r="DC15" s="171"/>
      <c r="DD15" s="171"/>
      <c r="DE15" s="171"/>
      <c r="DF15" s="171"/>
      <c r="DG15" s="171"/>
      <c r="DH15" s="171"/>
      <c r="DI15" s="171"/>
      <c r="DJ15" s="171"/>
      <c r="DK15" s="128">
        <f t="shared" si="22"/>
        <v>0</v>
      </c>
      <c r="DL15" s="158" t="str">
        <f t="shared" si="23"/>
        <v>#DIV/0!</v>
      </c>
    </row>
    <row r="16">
      <c r="A16" s="50">
        <v>7.0</v>
      </c>
      <c r="B16" s="111" t="s">
        <v>64</v>
      </c>
      <c r="C16" s="112" t="s">
        <v>65</v>
      </c>
      <c r="D16" s="98">
        <f t="shared" si="8"/>
        <v>5</v>
      </c>
      <c r="E16" s="130">
        <f t="shared" si="9"/>
        <v>12.5</v>
      </c>
      <c r="F16" s="114">
        <f t="shared" si="10"/>
        <v>12.5</v>
      </c>
      <c r="G16" s="226">
        <f t="shared" si="11"/>
        <v>12.5</v>
      </c>
      <c r="H16" s="180"/>
      <c r="I16" s="221"/>
      <c r="J16" s="203"/>
      <c r="K16" s="180"/>
      <c r="L16" s="204"/>
      <c r="M16" s="139">
        <f t="shared" si="12"/>
        <v>0</v>
      </c>
      <c r="N16" s="140" t="str">
        <f t="shared" si="13"/>
        <v>#DIV/0!</v>
      </c>
      <c r="O16" s="116"/>
      <c r="P16" s="116"/>
      <c r="Q16" s="116"/>
      <c r="R16" s="179"/>
      <c r="S16" s="116"/>
      <c r="T16" s="116"/>
      <c r="U16" s="116"/>
      <c r="V16" s="179"/>
      <c r="W16" s="116"/>
      <c r="X16" s="116"/>
      <c r="Y16" s="179"/>
      <c r="Z16" s="185"/>
      <c r="AA16" s="217"/>
      <c r="AB16" s="138">
        <v>1.0</v>
      </c>
      <c r="AC16" s="184">
        <v>1.0</v>
      </c>
      <c r="AD16" s="176"/>
      <c r="AE16" s="176"/>
      <c r="AF16" s="176"/>
      <c r="AG16" s="176"/>
      <c r="AH16" s="116"/>
      <c r="AI16" s="176"/>
      <c r="AJ16" s="139">
        <f t="shared" si="14"/>
        <v>2</v>
      </c>
      <c r="AK16" s="205">
        <f t="shared" si="15"/>
        <v>18.18181818</v>
      </c>
      <c r="AL16" s="222"/>
      <c r="AM16" s="116"/>
      <c r="AN16" s="179"/>
      <c r="AO16" s="184">
        <v>1.0</v>
      </c>
      <c r="AP16" s="116"/>
      <c r="AQ16" s="116"/>
      <c r="AR16" s="116"/>
      <c r="AS16" s="166"/>
      <c r="AT16" s="116"/>
      <c r="AU16" s="116"/>
      <c r="AV16" s="116"/>
      <c r="AW16" s="179"/>
      <c r="AX16" s="116"/>
      <c r="AY16" s="138">
        <v>1.0</v>
      </c>
      <c r="AZ16" s="180"/>
      <c r="BA16" s="180"/>
      <c r="BB16" s="204"/>
      <c r="BC16" s="204"/>
      <c r="BD16" s="219">
        <v>1.0</v>
      </c>
      <c r="BE16" s="181"/>
      <c r="BF16" s="181"/>
      <c r="BG16" s="139">
        <f t="shared" si="16"/>
        <v>3</v>
      </c>
      <c r="BH16" s="208">
        <f t="shared" si="17"/>
        <v>21.42857143</v>
      </c>
      <c r="BI16" s="116"/>
      <c r="BJ16" s="116"/>
      <c r="BK16" s="180"/>
      <c r="BL16" s="116"/>
      <c r="BM16" s="116"/>
      <c r="BN16" s="116"/>
      <c r="BO16" s="116"/>
      <c r="BP16" s="116"/>
      <c r="BQ16" s="165"/>
      <c r="BR16" s="165"/>
      <c r="BS16" s="116"/>
      <c r="BT16" s="185"/>
      <c r="BU16" s="43"/>
      <c r="BV16" s="43"/>
      <c r="BW16" s="198"/>
      <c r="BX16" s="43"/>
      <c r="BY16" s="116"/>
      <c r="BZ16" s="165"/>
      <c r="CA16" s="116"/>
      <c r="CB16" s="165"/>
      <c r="CC16" s="165"/>
      <c r="CD16" s="165"/>
      <c r="CE16" s="124">
        <f t="shared" si="18"/>
        <v>0</v>
      </c>
      <c r="CF16" s="173">
        <f t="shared" si="19"/>
        <v>0</v>
      </c>
      <c r="CG16" s="179"/>
      <c r="CH16" s="179"/>
      <c r="CI16" s="238"/>
      <c r="CJ16" s="186"/>
      <c r="CK16" s="231"/>
      <c r="CL16" s="231"/>
      <c r="CM16" s="231"/>
      <c r="CN16" s="223"/>
      <c r="CO16" s="223"/>
      <c r="CP16" s="166"/>
      <c r="CQ16" s="213"/>
      <c r="CR16" s="213"/>
      <c r="CS16" s="213"/>
      <c r="CT16" s="116"/>
      <c r="CU16" s="213"/>
      <c r="CV16" s="213"/>
      <c r="CW16" s="128">
        <f t="shared" si="20"/>
        <v>0</v>
      </c>
      <c r="CX16" s="214">
        <f t="shared" si="21"/>
        <v>0</v>
      </c>
      <c r="CY16" s="171"/>
      <c r="CZ16" s="171"/>
      <c r="DA16" s="171"/>
      <c r="DB16" s="171"/>
      <c r="DC16" s="171"/>
      <c r="DD16" s="171"/>
      <c r="DE16" s="171"/>
      <c r="DF16" s="171"/>
      <c r="DG16" s="171"/>
      <c r="DH16" s="171"/>
      <c r="DI16" s="171"/>
      <c r="DJ16" s="171"/>
      <c r="DK16" s="128">
        <f t="shared" si="22"/>
        <v>0</v>
      </c>
      <c r="DL16" s="158" t="str">
        <f t="shared" si="23"/>
        <v>#DIV/0!</v>
      </c>
    </row>
    <row r="17">
      <c r="A17" s="131">
        <v>8.0</v>
      </c>
      <c r="B17" s="111" t="s">
        <v>66</v>
      </c>
      <c r="C17" s="112" t="s">
        <v>67</v>
      </c>
      <c r="D17" s="98">
        <f t="shared" si="8"/>
        <v>13</v>
      </c>
      <c r="E17" s="130">
        <f t="shared" si="9"/>
        <v>32.5</v>
      </c>
      <c r="F17" s="114">
        <f t="shared" si="10"/>
        <v>32.5</v>
      </c>
      <c r="G17" s="149" t="str">
        <f t="shared" si="11"/>
        <v>  </v>
      </c>
      <c r="H17" s="180"/>
      <c r="I17" s="203"/>
      <c r="J17" s="203"/>
      <c r="K17" s="180"/>
      <c r="L17" s="204"/>
      <c r="M17" s="139">
        <f t="shared" si="12"/>
        <v>0</v>
      </c>
      <c r="N17" s="140" t="str">
        <f t="shared" si="13"/>
        <v>#DIV/0!</v>
      </c>
      <c r="O17" s="116"/>
      <c r="P17" s="116"/>
      <c r="Q17" s="116"/>
      <c r="R17" s="207"/>
      <c r="S17" s="207"/>
      <c r="T17" s="116"/>
      <c r="U17" s="116"/>
      <c r="V17" s="207"/>
      <c r="W17" s="116"/>
      <c r="X17" s="116"/>
      <c r="Y17" s="234">
        <v>1.0</v>
      </c>
      <c r="Z17" s="185"/>
      <c r="AA17" s="217"/>
      <c r="AB17" s="138">
        <v>1.0</v>
      </c>
      <c r="AC17" s="207"/>
      <c r="AD17" s="206"/>
      <c r="AE17" s="116"/>
      <c r="AF17" s="206"/>
      <c r="AG17" s="206"/>
      <c r="AH17" s="116"/>
      <c r="AI17" s="209">
        <v>1.0</v>
      </c>
      <c r="AJ17" s="139">
        <f t="shared" si="14"/>
        <v>3</v>
      </c>
      <c r="AK17" s="205">
        <f t="shared" si="15"/>
        <v>27.27272727</v>
      </c>
      <c r="AL17" s="240">
        <v>1.0</v>
      </c>
      <c r="AM17" s="116"/>
      <c r="AN17" s="207"/>
      <c r="AO17" s="207"/>
      <c r="AP17" s="116"/>
      <c r="AQ17" s="116"/>
      <c r="AR17" s="116"/>
      <c r="AS17" s="166"/>
      <c r="AT17" s="116"/>
      <c r="AU17" s="116"/>
      <c r="AV17" s="116"/>
      <c r="AW17" s="207"/>
      <c r="AX17" s="116"/>
      <c r="AY17" s="138">
        <v>1.0</v>
      </c>
      <c r="AZ17" s="180"/>
      <c r="BA17" s="180"/>
      <c r="BB17" s="204"/>
      <c r="BC17" s="204"/>
      <c r="BD17" s="181"/>
      <c r="BE17" s="181"/>
      <c r="BF17" s="181"/>
      <c r="BG17" s="139">
        <f t="shared" si="16"/>
        <v>1</v>
      </c>
      <c r="BH17" s="208">
        <f t="shared" si="17"/>
        <v>7.142857143</v>
      </c>
      <c r="BI17" s="138">
        <v>1.0</v>
      </c>
      <c r="BJ17" s="138">
        <v>1.0</v>
      </c>
      <c r="BK17" s="180"/>
      <c r="BL17" s="116"/>
      <c r="BM17" s="116"/>
      <c r="BN17" s="138">
        <v>1.0</v>
      </c>
      <c r="BO17" s="138">
        <v>1.0</v>
      </c>
      <c r="BP17" s="116"/>
      <c r="BQ17" s="138">
        <v>1.0</v>
      </c>
      <c r="BR17" s="196">
        <v>1.0</v>
      </c>
      <c r="BS17" s="165"/>
      <c r="BT17" s="185"/>
      <c r="BU17" s="43"/>
      <c r="BV17" s="43"/>
      <c r="BW17" s="198"/>
      <c r="BX17" s="43"/>
      <c r="BY17" s="116"/>
      <c r="BZ17" s="165"/>
      <c r="CA17" s="165"/>
      <c r="CB17" s="116"/>
      <c r="CC17" s="165"/>
      <c r="CD17" s="165"/>
      <c r="CE17" s="124">
        <f t="shared" si="18"/>
        <v>6</v>
      </c>
      <c r="CF17" s="173">
        <f t="shared" si="19"/>
        <v>75</v>
      </c>
      <c r="CG17" s="234">
        <v>1.0</v>
      </c>
      <c r="CH17" s="234">
        <v>1.0</v>
      </c>
      <c r="CI17" s="138">
        <v>1.0</v>
      </c>
      <c r="CJ17" s="186"/>
      <c r="CK17" s="116"/>
      <c r="CL17" s="116"/>
      <c r="CM17" s="116"/>
      <c r="CN17" s="116"/>
      <c r="CO17" s="223"/>
      <c r="CP17" s="116"/>
      <c r="CQ17" s="165"/>
      <c r="CR17" s="165"/>
      <c r="CS17" s="116"/>
      <c r="CT17" s="116"/>
      <c r="CU17" s="116"/>
      <c r="CV17" s="165"/>
      <c r="CW17" s="128">
        <f t="shared" si="20"/>
        <v>3</v>
      </c>
      <c r="CX17" s="214">
        <f t="shared" si="21"/>
        <v>42.85714286</v>
      </c>
      <c r="CY17" s="171"/>
      <c r="CZ17" s="171"/>
      <c r="DA17" s="171"/>
      <c r="DB17" s="171"/>
      <c r="DC17" s="171"/>
      <c r="DD17" s="171"/>
      <c r="DE17" s="171"/>
      <c r="DF17" s="171"/>
      <c r="DG17" s="171"/>
      <c r="DH17" s="171"/>
      <c r="DI17" s="171"/>
      <c r="DJ17" s="171"/>
      <c r="DK17" s="128">
        <f t="shared" si="22"/>
        <v>0</v>
      </c>
      <c r="DL17" s="158" t="str">
        <f t="shared" si="23"/>
        <v>#DIV/0!</v>
      </c>
    </row>
    <row r="18" ht="15.0" customHeight="1">
      <c r="A18" s="146">
        <v>9.0</v>
      </c>
      <c r="B18" s="111" t="s">
        <v>68</v>
      </c>
      <c r="C18" s="112" t="s">
        <v>69</v>
      </c>
      <c r="D18" s="98">
        <f t="shared" si="8"/>
        <v>16</v>
      </c>
      <c r="E18" s="130">
        <f t="shared" si="9"/>
        <v>40</v>
      </c>
      <c r="F18" s="114">
        <f t="shared" si="10"/>
        <v>40</v>
      </c>
      <c r="G18" s="149" t="str">
        <f t="shared" si="11"/>
        <v>  </v>
      </c>
      <c r="H18" s="180"/>
      <c r="I18" s="203"/>
      <c r="J18" s="180"/>
      <c r="K18" s="180"/>
      <c r="L18" s="204"/>
      <c r="M18" s="139">
        <f t="shared" si="12"/>
        <v>0</v>
      </c>
      <c r="N18" s="140" t="str">
        <f t="shared" si="13"/>
        <v>#DIV/0!</v>
      </c>
      <c r="O18" s="116"/>
      <c r="P18" s="116"/>
      <c r="Q18" s="180"/>
      <c r="R18" s="186"/>
      <c r="S18" s="116"/>
      <c r="T18" s="116"/>
      <c r="U18" s="116"/>
      <c r="V18" s="186"/>
      <c r="W18" s="116"/>
      <c r="X18" s="138">
        <v>1.0</v>
      </c>
      <c r="Y18" s="200">
        <v>1.0</v>
      </c>
      <c r="Z18" s="185"/>
      <c r="AA18" s="217"/>
      <c r="AB18" s="116"/>
      <c r="AC18" s="200">
        <v>1.0</v>
      </c>
      <c r="AD18" s="197">
        <v>1.0</v>
      </c>
      <c r="AE18" s="116"/>
      <c r="AF18" s="195"/>
      <c r="AG18" s="197">
        <v>1.0</v>
      </c>
      <c r="AH18" s="116"/>
      <c r="AI18" s="197">
        <v>1.0</v>
      </c>
      <c r="AJ18" s="139">
        <f t="shared" si="14"/>
        <v>6</v>
      </c>
      <c r="AK18" s="205">
        <f t="shared" si="15"/>
        <v>54.54545455</v>
      </c>
      <c r="AL18" s="116"/>
      <c r="AM18" s="116"/>
      <c r="AN18" s="186"/>
      <c r="AO18" s="200">
        <v>1.0</v>
      </c>
      <c r="AP18" s="138">
        <v>1.0</v>
      </c>
      <c r="AQ18" s="116"/>
      <c r="AR18" s="116"/>
      <c r="AS18" s="166"/>
      <c r="AT18" s="116"/>
      <c r="AU18" s="138">
        <v>1.0</v>
      </c>
      <c r="AV18" s="116"/>
      <c r="AW18" s="186"/>
      <c r="AX18" s="116"/>
      <c r="AY18" s="116"/>
      <c r="AZ18" s="180"/>
      <c r="BA18" s="180"/>
      <c r="BB18" s="116"/>
      <c r="BC18" s="204"/>
      <c r="BD18" s="181"/>
      <c r="BE18" s="181"/>
      <c r="BF18" s="181"/>
      <c r="BG18" s="139">
        <f t="shared" si="16"/>
        <v>3</v>
      </c>
      <c r="BH18" s="208">
        <f t="shared" si="17"/>
        <v>21.42857143</v>
      </c>
      <c r="BI18" s="180"/>
      <c r="BJ18" s="180"/>
      <c r="BK18" s="180"/>
      <c r="BL18" s="138">
        <v>1.0</v>
      </c>
      <c r="BM18" s="116"/>
      <c r="BN18" s="138">
        <v>1.0</v>
      </c>
      <c r="BO18" s="116"/>
      <c r="BP18" s="116"/>
      <c r="BQ18" s="138">
        <v>1.0</v>
      </c>
      <c r="BR18" s="196">
        <v>1.0</v>
      </c>
      <c r="BS18" s="116"/>
      <c r="BT18" s="185"/>
      <c r="BU18" s="43"/>
      <c r="BV18" s="43"/>
      <c r="BW18" s="198"/>
      <c r="BX18" s="116"/>
      <c r="BY18" s="116"/>
      <c r="BZ18" s="165"/>
      <c r="CA18" s="116"/>
      <c r="CB18" s="116"/>
      <c r="CC18" s="165"/>
      <c r="CD18" s="165"/>
      <c r="CE18" s="124">
        <f t="shared" si="18"/>
        <v>4</v>
      </c>
      <c r="CF18" s="173">
        <f t="shared" si="19"/>
        <v>50</v>
      </c>
      <c r="CG18" s="138">
        <v>1.0</v>
      </c>
      <c r="CH18" s="138">
        <v>1.0</v>
      </c>
      <c r="CI18" s="230">
        <v>1.0</v>
      </c>
      <c r="CJ18" s="116"/>
      <c r="CK18" s="116"/>
      <c r="CL18" s="116"/>
      <c r="CM18" s="116"/>
      <c r="CN18" s="116"/>
      <c r="CO18" s="223"/>
      <c r="CP18" s="166"/>
      <c r="CQ18" s="213"/>
      <c r="CR18" s="213"/>
      <c r="CS18" s="116"/>
      <c r="CT18" s="213"/>
      <c r="CU18" s="213"/>
      <c r="CV18" s="213"/>
      <c r="CW18" s="128">
        <f t="shared" si="20"/>
        <v>3</v>
      </c>
      <c r="CX18" s="214">
        <f t="shared" si="21"/>
        <v>42.85714286</v>
      </c>
      <c r="CY18" s="171"/>
      <c r="CZ18" s="171"/>
      <c r="DA18" s="171"/>
      <c r="DB18" s="171"/>
      <c r="DC18" s="171"/>
      <c r="DD18" s="171"/>
      <c r="DE18" s="171"/>
      <c r="DF18" s="171"/>
      <c r="DG18" s="171"/>
      <c r="DH18" s="171"/>
      <c r="DI18" s="171"/>
      <c r="DJ18" s="171"/>
      <c r="DK18" s="128">
        <f t="shared" si="22"/>
        <v>0</v>
      </c>
      <c r="DL18" s="158" t="str">
        <f t="shared" si="23"/>
        <v>#DIV/0!</v>
      </c>
    </row>
    <row r="19">
      <c r="A19" s="50">
        <v>10.0</v>
      </c>
      <c r="B19" s="111" t="s">
        <v>70</v>
      </c>
      <c r="C19" s="112" t="s">
        <v>71</v>
      </c>
      <c r="D19" s="98">
        <f t="shared" si="8"/>
        <v>19</v>
      </c>
      <c r="E19" s="130">
        <f t="shared" si="9"/>
        <v>47.5</v>
      </c>
      <c r="F19" s="114">
        <f t="shared" si="10"/>
        <v>47.5</v>
      </c>
      <c r="G19" s="149" t="str">
        <f t="shared" si="11"/>
        <v>  </v>
      </c>
      <c r="H19" s="180"/>
      <c r="I19" s="180"/>
      <c r="J19" s="180"/>
      <c r="K19" s="180"/>
      <c r="L19" s="204"/>
      <c r="M19" s="139">
        <f t="shared" si="12"/>
        <v>0</v>
      </c>
      <c r="N19" s="140" t="str">
        <f t="shared" si="13"/>
        <v>#DIV/0!</v>
      </c>
      <c r="O19" s="116"/>
      <c r="P19" s="116"/>
      <c r="Q19" s="180"/>
      <c r="R19" s="179"/>
      <c r="S19" s="179"/>
      <c r="T19" s="116"/>
      <c r="U19" s="116"/>
      <c r="V19" s="179"/>
      <c r="W19" s="116"/>
      <c r="X19" s="138">
        <v>1.0</v>
      </c>
      <c r="Y19" s="184">
        <v>1.0</v>
      </c>
      <c r="Z19" s="185"/>
      <c r="AA19" s="217"/>
      <c r="AB19" s="138">
        <v>1.0</v>
      </c>
      <c r="AC19" s="184">
        <v>1.0</v>
      </c>
      <c r="AD19" s="138">
        <v>1.0</v>
      </c>
      <c r="AE19" s="116"/>
      <c r="AF19" s="176"/>
      <c r="AG19" s="182">
        <v>1.0</v>
      </c>
      <c r="AH19" s="138">
        <v>1.0</v>
      </c>
      <c r="AI19" s="182">
        <v>1.0</v>
      </c>
      <c r="AJ19" s="139">
        <f t="shared" si="14"/>
        <v>8</v>
      </c>
      <c r="AK19" s="205">
        <f t="shared" si="15"/>
        <v>72.72727273</v>
      </c>
      <c r="AL19" s="222"/>
      <c r="AM19" s="179"/>
      <c r="AN19" s="179"/>
      <c r="AO19" s="184">
        <v>1.0</v>
      </c>
      <c r="AP19" s="200">
        <v>1.0</v>
      </c>
      <c r="AQ19" s="116"/>
      <c r="AR19" s="116"/>
      <c r="AS19" s="166"/>
      <c r="AT19" s="116"/>
      <c r="AU19" s="116"/>
      <c r="AV19" s="138">
        <v>1.0</v>
      </c>
      <c r="AW19" s="179"/>
      <c r="AX19" s="138">
        <v>1.0</v>
      </c>
      <c r="AY19" s="116"/>
      <c r="AZ19" s="116"/>
      <c r="BA19" s="180"/>
      <c r="BB19" s="138">
        <v>1.0</v>
      </c>
      <c r="BC19" s="138">
        <v>1.0</v>
      </c>
      <c r="BD19" s="194"/>
      <c r="BE19" s="188">
        <v>1.0</v>
      </c>
      <c r="BF19" s="194"/>
      <c r="BG19" s="139">
        <f t="shared" si="16"/>
        <v>7</v>
      </c>
      <c r="BH19" s="208">
        <f t="shared" si="17"/>
        <v>50</v>
      </c>
      <c r="BI19" s="116"/>
      <c r="BJ19" s="116"/>
      <c r="BK19" s="180"/>
      <c r="BL19" s="116"/>
      <c r="BM19" s="116"/>
      <c r="BN19" s="138">
        <v>1.0</v>
      </c>
      <c r="BO19" s="116"/>
      <c r="BP19" s="116"/>
      <c r="BQ19" s="196">
        <v>1.0</v>
      </c>
      <c r="BR19" s="196">
        <v>1.0</v>
      </c>
      <c r="BS19" s="116"/>
      <c r="BT19" s="116"/>
      <c r="BU19" s="43"/>
      <c r="BV19" s="43"/>
      <c r="BW19" s="198"/>
      <c r="BX19" s="116"/>
      <c r="BY19" s="116"/>
      <c r="BZ19" s="165"/>
      <c r="CA19" s="116"/>
      <c r="CB19" s="165"/>
      <c r="CC19" s="165"/>
      <c r="CD19" s="165"/>
      <c r="CE19" s="124">
        <f t="shared" si="18"/>
        <v>3</v>
      </c>
      <c r="CF19" s="173">
        <f t="shared" si="19"/>
        <v>37.5</v>
      </c>
      <c r="CG19" s="116"/>
      <c r="CH19" s="116"/>
      <c r="CI19" s="230">
        <v>1.0</v>
      </c>
      <c r="CJ19" s="116"/>
      <c r="CK19" s="116"/>
      <c r="CL19" s="116"/>
      <c r="CM19" s="116"/>
      <c r="CN19" s="223"/>
      <c r="CO19" s="116"/>
      <c r="CP19" s="166"/>
      <c r="CQ19" s="213"/>
      <c r="CR19" s="213"/>
      <c r="CS19" s="116"/>
      <c r="CT19" s="213"/>
      <c r="CU19" s="213"/>
      <c r="CV19" s="213"/>
      <c r="CW19" s="128">
        <f t="shared" si="20"/>
        <v>1</v>
      </c>
      <c r="CX19" s="214">
        <f t="shared" si="21"/>
        <v>14.28571429</v>
      </c>
      <c r="CY19" s="171"/>
      <c r="CZ19" s="171"/>
      <c r="DA19" s="171"/>
      <c r="DB19" s="171"/>
      <c r="DC19" s="171"/>
      <c r="DD19" s="171"/>
      <c r="DE19" s="171"/>
      <c r="DF19" s="171"/>
      <c r="DG19" s="171"/>
      <c r="DH19" s="171"/>
      <c r="DI19" s="171"/>
      <c r="DJ19" s="171"/>
      <c r="DK19" s="128">
        <f t="shared" si="22"/>
        <v>0</v>
      </c>
      <c r="DL19" s="158" t="str">
        <f t="shared" si="23"/>
        <v>#DIV/0!</v>
      </c>
    </row>
    <row r="20">
      <c r="A20" s="131">
        <v>11.0</v>
      </c>
      <c r="B20" s="111" t="s">
        <v>72</v>
      </c>
      <c r="C20" s="112" t="s">
        <v>73</v>
      </c>
      <c r="D20" s="98">
        <f t="shared" si="8"/>
        <v>25</v>
      </c>
      <c r="E20" s="130">
        <f t="shared" si="9"/>
        <v>62.5</v>
      </c>
      <c r="F20" s="92" t="str">
        <f t="shared" si="10"/>
        <v>  </v>
      </c>
      <c r="G20" s="149" t="str">
        <f t="shared" si="11"/>
        <v>  </v>
      </c>
      <c r="H20" s="180"/>
      <c r="I20" s="180"/>
      <c r="J20" s="221"/>
      <c r="K20" s="180"/>
      <c r="L20" s="204"/>
      <c r="M20" s="139">
        <f t="shared" si="12"/>
        <v>0</v>
      </c>
      <c r="N20" s="140" t="str">
        <f t="shared" si="13"/>
        <v>#DIV/0!</v>
      </c>
      <c r="O20" s="116"/>
      <c r="P20" s="116"/>
      <c r="Q20" s="116"/>
      <c r="R20" s="186"/>
      <c r="S20" s="116"/>
      <c r="T20" s="116"/>
      <c r="U20" s="116"/>
      <c r="V20" s="186"/>
      <c r="W20" s="116"/>
      <c r="X20" s="138">
        <v>1.0</v>
      </c>
      <c r="Y20" s="200">
        <v>1.0</v>
      </c>
      <c r="Z20" s="185"/>
      <c r="AA20" s="217"/>
      <c r="AB20" s="138">
        <v>1.0</v>
      </c>
      <c r="AC20" s="200">
        <v>1.0</v>
      </c>
      <c r="AD20" s="138">
        <v>1.0</v>
      </c>
      <c r="AE20" s="116"/>
      <c r="AF20" s="197">
        <v>1.0</v>
      </c>
      <c r="AG20" s="197">
        <v>1.0</v>
      </c>
      <c r="AH20" s="138">
        <v>1.0</v>
      </c>
      <c r="AI20" s="138">
        <v>1.0</v>
      </c>
      <c r="AJ20" s="139">
        <f t="shared" si="14"/>
        <v>9</v>
      </c>
      <c r="AK20" s="205">
        <f t="shared" si="15"/>
        <v>81.81818182</v>
      </c>
      <c r="AL20" s="138">
        <v>1.0</v>
      </c>
      <c r="AM20" s="116"/>
      <c r="AN20" s="186"/>
      <c r="AO20" s="200">
        <v>1.0</v>
      </c>
      <c r="AP20" s="138">
        <v>1.0</v>
      </c>
      <c r="AQ20" s="116"/>
      <c r="AR20" s="116"/>
      <c r="AS20" s="191">
        <v>1.0</v>
      </c>
      <c r="AT20" s="138">
        <v>1.0</v>
      </c>
      <c r="AU20" s="138">
        <v>1.0</v>
      </c>
      <c r="AV20" s="116"/>
      <c r="AW20" s="186"/>
      <c r="AX20" s="138">
        <v>1.0</v>
      </c>
      <c r="AY20" s="138">
        <v>1.0</v>
      </c>
      <c r="AZ20" s="116"/>
      <c r="BA20" s="180"/>
      <c r="BB20" s="138">
        <v>1.0</v>
      </c>
      <c r="BC20" s="116"/>
      <c r="BD20" s="188">
        <v>1.0</v>
      </c>
      <c r="BE20" s="194"/>
      <c r="BF20" s="194"/>
      <c r="BG20" s="139">
        <f t="shared" si="16"/>
        <v>9</v>
      </c>
      <c r="BH20" s="208">
        <f t="shared" si="17"/>
        <v>64.28571429</v>
      </c>
      <c r="BI20" s="138">
        <v>1.0</v>
      </c>
      <c r="BJ20" s="138">
        <v>1.0</v>
      </c>
      <c r="BK20" s="180"/>
      <c r="BL20" s="138">
        <v>1.0</v>
      </c>
      <c r="BM20" s="116"/>
      <c r="BN20" s="138">
        <v>1.0</v>
      </c>
      <c r="BO20" s="116"/>
      <c r="BP20" s="116"/>
      <c r="BQ20" s="138">
        <v>1.0</v>
      </c>
      <c r="BR20" s="196">
        <v>1.0</v>
      </c>
      <c r="BS20" s="116"/>
      <c r="BT20" s="116"/>
      <c r="BU20" s="43"/>
      <c r="BV20" s="43"/>
      <c r="BW20" s="198"/>
      <c r="BX20" s="116"/>
      <c r="BY20" s="116"/>
      <c r="BZ20" s="165"/>
      <c r="CA20" s="116"/>
      <c r="CB20" s="116"/>
      <c r="CC20" s="165"/>
      <c r="CD20" s="165"/>
      <c r="CE20" s="124">
        <f t="shared" si="18"/>
        <v>6</v>
      </c>
      <c r="CF20" s="173">
        <f t="shared" si="19"/>
        <v>75</v>
      </c>
      <c r="CG20" s="116"/>
      <c r="CH20" s="116"/>
      <c r="CI20" s="138">
        <v>1.0</v>
      </c>
      <c r="CJ20" s="116"/>
      <c r="CK20" s="116"/>
      <c r="CL20" s="116"/>
      <c r="CM20" s="116"/>
      <c r="CN20" s="116"/>
      <c r="CO20" s="116"/>
      <c r="CP20" s="166"/>
      <c r="CQ20" s="213"/>
      <c r="CR20" s="213"/>
      <c r="CS20" s="116"/>
      <c r="CT20" s="116"/>
      <c r="CU20" s="213"/>
      <c r="CV20" s="213"/>
      <c r="CW20" s="128">
        <f t="shared" si="20"/>
        <v>1</v>
      </c>
      <c r="CX20" s="214">
        <f t="shared" si="21"/>
        <v>14.28571429</v>
      </c>
      <c r="CY20" s="171"/>
      <c r="CZ20" s="171"/>
      <c r="DA20" s="171"/>
      <c r="DB20" s="171"/>
      <c r="DC20" s="171"/>
      <c r="DD20" s="171"/>
      <c r="DE20" s="171"/>
      <c r="DF20" s="171"/>
      <c r="DG20" s="171"/>
      <c r="DH20" s="171"/>
      <c r="DI20" s="171"/>
      <c r="DJ20" s="171"/>
      <c r="DK20" s="128">
        <f t="shared" si="22"/>
        <v>0</v>
      </c>
      <c r="DL20" s="158" t="str">
        <f t="shared" si="23"/>
        <v>#DIV/0!</v>
      </c>
    </row>
    <row r="21" ht="15.75" customHeight="1">
      <c r="A21" s="146">
        <v>12.0</v>
      </c>
      <c r="B21" s="111" t="s">
        <v>74</v>
      </c>
      <c r="C21" s="112" t="s">
        <v>75</v>
      </c>
      <c r="D21" s="98">
        <f t="shared" si="8"/>
        <v>23</v>
      </c>
      <c r="E21" s="130">
        <f t="shared" si="9"/>
        <v>57.5</v>
      </c>
      <c r="F21" s="114" t="str">
        <f t="shared" si="10"/>
        <v>  </v>
      </c>
      <c r="G21" s="149" t="str">
        <f t="shared" si="11"/>
        <v>  </v>
      </c>
      <c r="H21" s="180"/>
      <c r="I21" s="180"/>
      <c r="J21" s="180"/>
      <c r="K21" s="203"/>
      <c r="L21" s="239"/>
      <c r="M21" s="139">
        <f t="shared" si="12"/>
        <v>0</v>
      </c>
      <c r="N21" s="140" t="str">
        <f t="shared" si="13"/>
        <v>#DIV/0!</v>
      </c>
      <c r="O21" s="116"/>
      <c r="P21" s="116"/>
      <c r="Q21" s="116"/>
      <c r="R21" s="179"/>
      <c r="S21" s="116"/>
      <c r="T21" s="116"/>
      <c r="U21" s="116"/>
      <c r="V21" s="179"/>
      <c r="W21" s="116"/>
      <c r="X21" s="138">
        <v>1.0</v>
      </c>
      <c r="Y21" s="184">
        <v>1.0</v>
      </c>
      <c r="Z21" s="185"/>
      <c r="AA21" s="217"/>
      <c r="AB21" s="138">
        <v>1.0</v>
      </c>
      <c r="AC21" s="184">
        <v>1.0</v>
      </c>
      <c r="AD21" s="176"/>
      <c r="AE21" s="176"/>
      <c r="AF21" s="182">
        <v>1.0</v>
      </c>
      <c r="AG21" s="182">
        <v>1.0</v>
      </c>
      <c r="AH21" s="176"/>
      <c r="AI21" s="176"/>
      <c r="AJ21" s="139">
        <f t="shared" si="14"/>
        <v>6</v>
      </c>
      <c r="AK21" s="205">
        <f t="shared" si="15"/>
        <v>54.54545455</v>
      </c>
      <c r="AL21" s="235">
        <v>1.0</v>
      </c>
      <c r="AM21" s="116"/>
      <c r="AN21" s="179"/>
      <c r="AO21" s="184">
        <v>1.0</v>
      </c>
      <c r="AP21" s="138">
        <v>1.0</v>
      </c>
      <c r="AQ21" s="138">
        <v>1.0</v>
      </c>
      <c r="AR21" s="116"/>
      <c r="AS21" s="166"/>
      <c r="AT21" s="138">
        <v>1.0</v>
      </c>
      <c r="AU21" s="138">
        <v>1.0</v>
      </c>
      <c r="AV21" s="116"/>
      <c r="AW21" s="179"/>
      <c r="AX21" s="138">
        <v>1.0</v>
      </c>
      <c r="AY21" s="138">
        <v>1.0</v>
      </c>
      <c r="AZ21" s="180"/>
      <c r="BA21" s="180"/>
      <c r="BB21" s="204"/>
      <c r="BC21" s="204"/>
      <c r="BD21" s="181"/>
      <c r="BE21" s="181"/>
      <c r="BF21" s="181"/>
      <c r="BG21" s="139">
        <f t="shared" si="16"/>
        <v>7</v>
      </c>
      <c r="BH21" s="208">
        <f t="shared" si="17"/>
        <v>50</v>
      </c>
      <c r="BI21" s="138">
        <v>1.0</v>
      </c>
      <c r="BJ21" s="138">
        <v>1.0</v>
      </c>
      <c r="BK21" s="180"/>
      <c r="BL21" s="116"/>
      <c r="BM21" s="116"/>
      <c r="BN21" s="138">
        <v>1.0</v>
      </c>
      <c r="BO21" s="116"/>
      <c r="BP21" s="116"/>
      <c r="BQ21" s="138">
        <v>1.0</v>
      </c>
      <c r="BR21" s="196">
        <v>1.0</v>
      </c>
      <c r="BS21" s="165"/>
      <c r="BT21" s="116"/>
      <c r="BU21" s="43"/>
      <c r="BV21" s="43"/>
      <c r="BW21" s="198"/>
      <c r="BX21" s="43"/>
      <c r="BY21" s="116"/>
      <c r="BZ21" s="165"/>
      <c r="CA21" s="116"/>
      <c r="CB21" s="116"/>
      <c r="CC21" s="165"/>
      <c r="CD21" s="165"/>
      <c r="CE21" s="124">
        <f t="shared" si="18"/>
        <v>5</v>
      </c>
      <c r="CF21" s="173">
        <f t="shared" si="19"/>
        <v>62.5</v>
      </c>
      <c r="CG21" s="138">
        <v>1.0</v>
      </c>
      <c r="CH21" s="138">
        <v>1.0</v>
      </c>
      <c r="CI21" s="116"/>
      <c r="CJ21" s="116"/>
      <c r="CK21" s="138">
        <v>1.0</v>
      </c>
      <c r="CL21" s="138">
        <v>1.0</v>
      </c>
      <c r="CM21" s="138">
        <v>1.0</v>
      </c>
      <c r="CN21" s="116"/>
      <c r="CO21" s="223"/>
      <c r="CP21" s="166"/>
      <c r="CQ21" s="213"/>
      <c r="CR21" s="213"/>
      <c r="CS21" s="116"/>
      <c r="CT21" s="116"/>
      <c r="CU21" s="213"/>
      <c r="CV21" s="213"/>
      <c r="CW21" s="128">
        <f t="shared" si="20"/>
        <v>5</v>
      </c>
      <c r="CX21" s="214">
        <f t="shared" si="21"/>
        <v>71.42857143</v>
      </c>
      <c r="CY21" s="171"/>
      <c r="CZ21" s="171"/>
      <c r="DA21" s="171"/>
      <c r="DB21" s="171"/>
      <c r="DC21" s="171"/>
      <c r="DD21" s="171"/>
      <c r="DE21" s="171"/>
      <c r="DF21" s="171"/>
      <c r="DG21" s="171"/>
      <c r="DH21" s="171"/>
      <c r="DI21" s="171"/>
      <c r="DJ21" s="171"/>
      <c r="DK21" s="128">
        <f t="shared" si="22"/>
        <v>0</v>
      </c>
      <c r="DL21" s="158" t="str">
        <f t="shared" si="23"/>
        <v>#DIV/0!</v>
      </c>
    </row>
    <row r="22" ht="15.75" customHeight="1">
      <c r="A22" s="50">
        <v>13.0</v>
      </c>
      <c r="B22" s="111" t="s">
        <v>76</v>
      </c>
      <c r="C22" s="112" t="s">
        <v>77</v>
      </c>
      <c r="D22" s="98">
        <f t="shared" si="8"/>
        <v>18</v>
      </c>
      <c r="E22" s="130">
        <f t="shared" si="9"/>
        <v>45</v>
      </c>
      <c r="F22" s="114">
        <f t="shared" si="10"/>
        <v>45</v>
      </c>
      <c r="G22" s="149" t="str">
        <f t="shared" si="11"/>
        <v>  </v>
      </c>
      <c r="H22" s="203"/>
      <c r="I22" s="180"/>
      <c r="J22" s="180"/>
      <c r="K22" s="180"/>
      <c r="L22" s="204"/>
      <c r="M22" s="139">
        <f t="shared" si="12"/>
        <v>0</v>
      </c>
      <c r="N22" s="140" t="str">
        <f t="shared" si="13"/>
        <v>#DIV/0!</v>
      </c>
      <c r="O22" s="116"/>
      <c r="P22" s="116"/>
      <c r="Q22" s="116"/>
      <c r="R22" s="179"/>
      <c r="S22" s="116"/>
      <c r="T22" s="116"/>
      <c r="U22" s="116"/>
      <c r="V22" s="179"/>
      <c r="W22" s="116"/>
      <c r="X22" s="138">
        <v>1.0</v>
      </c>
      <c r="Y22" s="184">
        <v>1.0</v>
      </c>
      <c r="Z22" s="185"/>
      <c r="AA22" s="217"/>
      <c r="AB22" s="116"/>
      <c r="AC22" s="184">
        <v>1.0</v>
      </c>
      <c r="AD22" s="182">
        <v>1.0</v>
      </c>
      <c r="AE22" s="176"/>
      <c r="AF22" s="176"/>
      <c r="AG22" s="182">
        <v>1.0</v>
      </c>
      <c r="AH22" s="176"/>
      <c r="AI22" s="182">
        <v>1.0</v>
      </c>
      <c r="AJ22" s="139">
        <f t="shared" si="14"/>
        <v>6</v>
      </c>
      <c r="AK22" s="205">
        <f t="shared" si="15"/>
        <v>54.54545455</v>
      </c>
      <c r="AL22" s="116"/>
      <c r="AM22" s="116"/>
      <c r="AN22" s="179"/>
      <c r="AO22" s="184">
        <v>1.0</v>
      </c>
      <c r="AP22" s="138">
        <v>1.0</v>
      </c>
      <c r="AQ22" s="116"/>
      <c r="AR22" s="116"/>
      <c r="AS22" s="166"/>
      <c r="AT22" s="116"/>
      <c r="AU22" s="138">
        <v>1.0</v>
      </c>
      <c r="AV22" s="116"/>
      <c r="AW22" s="179"/>
      <c r="AX22" s="116"/>
      <c r="AY22" s="116"/>
      <c r="AZ22" s="180"/>
      <c r="BA22" s="180"/>
      <c r="BB22" s="204"/>
      <c r="BC22" s="204"/>
      <c r="BD22" s="181"/>
      <c r="BE22" s="181"/>
      <c r="BF22" s="181"/>
      <c r="BG22" s="139">
        <f t="shared" si="16"/>
        <v>3</v>
      </c>
      <c r="BH22" s="208">
        <f t="shared" si="17"/>
        <v>21.42857143</v>
      </c>
      <c r="BI22" s="215">
        <v>1.0</v>
      </c>
      <c r="BJ22" s="215">
        <v>1.0</v>
      </c>
      <c r="BK22" s="180"/>
      <c r="BL22" s="138">
        <v>1.0</v>
      </c>
      <c r="BM22" s="116"/>
      <c r="BN22" s="138">
        <v>1.0</v>
      </c>
      <c r="BO22" s="116"/>
      <c r="BP22" s="116"/>
      <c r="BQ22" s="138">
        <v>1.0</v>
      </c>
      <c r="BR22" s="196">
        <v>1.0</v>
      </c>
      <c r="BS22" s="116"/>
      <c r="BT22" s="116"/>
      <c r="BU22" s="43"/>
      <c r="BV22" s="43"/>
      <c r="BW22" s="198"/>
      <c r="BX22" s="116"/>
      <c r="BY22" s="116"/>
      <c r="BZ22" s="165"/>
      <c r="CA22" s="116"/>
      <c r="CB22" s="116"/>
      <c r="CC22" s="165"/>
      <c r="CD22" s="165"/>
      <c r="CE22" s="124">
        <f t="shared" si="18"/>
        <v>6</v>
      </c>
      <c r="CF22" s="173">
        <f t="shared" si="19"/>
        <v>75</v>
      </c>
      <c r="CG22" s="138">
        <v>1.0</v>
      </c>
      <c r="CH22" s="138">
        <v>1.0</v>
      </c>
      <c r="CI22" s="138">
        <v>1.0</v>
      </c>
      <c r="CJ22" s="116"/>
      <c r="CK22" s="116"/>
      <c r="CL22" s="116"/>
      <c r="CM22" s="116"/>
      <c r="CN22" s="116"/>
      <c r="CO22" s="116"/>
      <c r="CP22" s="166"/>
      <c r="CQ22" s="213"/>
      <c r="CR22" s="213"/>
      <c r="CS22" s="116"/>
      <c r="CT22" s="213"/>
      <c r="CU22" s="213"/>
      <c r="CV22" s="213"/>
      <c r="CW22" s="128">
        <f t="shared" si="20"/>
        <v>3</v>
      </c>
      <c r="CX22" s="214">
        <f t="shared" si="21"/>
        <v>42.85714286</v>
      </c>
      <c r="CY22" s="171"/>
      <c r="CZ22" s="171"/>
      <c r="DA22" s="171"/>
      <c r="DB22" s="171"/>
      <c r="DC22" s="171"/>
      <c r="DD22" s="171"/>
      <c r="DE22" s="171"/>
      <c r="DF22" s="171"/>
      <c r="DG22" s="171"/>
      <c r="DH22" s="171"/>
      <c r="DI22" s="171"/>
      <c r="DJ22" s="171"/>
      <c r="DK22" s="128">
        <f t="shared" si="22"/>
        <v>0</v>
      </c>
      <c r="DL22" s="158" t="str">
        <f t="shared" si="23"/>
        <v>#DIV/0!</v>
      </c>
    </row>
    <row r="23" ht="15.75" customHeight="1">
      <c r="A23" s="131">
        <v>14.0</v>
      </c>
      <c r="B23" s="111" t="s">
        <v>78</v>
      </c>
      <c r="C23" s="112" t="s">
        <v>79</v>
      </c>
      <c r="D23" s="98">
        <f t="shared" si="8"/>
        <v>20</v>
      </c>
      <c r="E23" s="130">
        <f t="shared" si="9"/>
        <v>50</v>
      </c>
      <c r="F23" s="114" t="str">
        <f t="shared" si="10"/>
        <v>  </v>
      </c>
      <c r="G23" s="149" t="str">
        <f t="shared" si="11"/>
        <v>  </v>
      </c>
      <c r="H23" s="180"/>
      <c r="I23" s="203"/>
      <c r="J23" s="180"/>
      <c r="K23" s="180"/>
      <c r="L23" s="204"/>
      <c r="M23" s="139">
        <f t="shared" si="12"/>
        <v>0</v>
      </c>
      <c r="N23" s="140" t="str">
        <f t="shared" si="13"/>
        <v>#DIV/0!</v>
      </c>
      <c r="O23" s="116"/>
      <c r="P23" s="116"/>
      <c r="Q23" s="180"/>
      <c r="R23" s="179"/>
      <c r="S23" s="179"/>
      <c r="T23" s="116"/>
      <c r="U23" s="116"/>
      <c r="V23" s="179"/>
      <c r="W23" s="116"/>
      <c r="X23" s="138">
        <v>1.0</v>
      </c>
      <c r="Y23" s="179"/>
      <c r="Z23" s="185"/>
      <c r="AA23" s="217"/>
      <c r="AB23" s="116"/>
      <c r="AC23" s="179"/>
      <c r="AD23" s="182">
        <v>1.0</v>
      </c>
      <c r="AE23" s="138">
        <v>1.0</v>
      </c>
      <c r="AF23" s="176"/>
      <c r="AG23" s="182">
        <v>1.0</v>
      </c>
      <c r="AH23" s="116"/>
      <c r="AI23" s="138">
        <v>1.0</v>
      </c>
      <c r="AJ23" s="139">
        <f t="shared" si="14"/>
        <v>5</v>
      </c>
      <c r="AK23" s="205">
        <f t="shared" si="15"/>
        <v>45.45454545</v>
      </c>
      <c r="AL23" s="116"/>
      <c r="AM23" s="179"/>
      <c r="AN23" s="179"/>
      <c r="AO23" s="179"/>
      <c r="AP23" s="116"/>
      <c r="AQ23" s="116"/>
      <c r="AR23" s="116"/>
      <c r="AS23" s="166"/>
      <c r="AT23" s="138">
        <v>1.0</v>
      </c>
      <c r="AU23" s="138">
        <v>1.0</v>
      </c>
      <c r="AV23" s="138">
        <v>1.0</v>
      </c>
      <c r="AW23" s="179"/>
      <c r="AX23" s="116"/>
      <c r="AY23" s="138">
        <v>1.0</v>
      </c>
      <c r="AZ23" s="116"/>
      <c r="BA23" s="180"/>
      <c r="BB23" s="241">
        <v>1.0</v>
      </c>
      <c r="BC23" s="204"/>
      <c r="BD23" s="219">
        <v>1.0</v>
      </c>
      <c r="BE23" s="181"/>
      <c r="BF23" s="181"/>
      <c r="BG23" s="139">
        <f t="shared" si="16"/>
        <v>6</v>
      </c>
      <c r="BH23" s="208">
        <f t="shared" si="17"/>
        <v>42.85714286</v>
      </c>
      <c r="BI23" s="138">
        <v>1.0</v>
      </c>
      <c r="BJ23" s="138">
        <v>1.0</v>
      </c>
      <c r="BK23" s="180"/>
      <c r="BL23" s="138">
        <v>1.0</v>
      </c>
      <c r="BM23" s="116"/>
      <c r="BN23" s="138">
        <v>1.0</v>
      </c>
      <c r="BO23" s="116"/>
      <c r="BP23" s="116"/>
      <c r="BQ23" s="116"/>
      <c r="BR23" s="196">
        <v>1.0</v>
      </c>
      <c r="BS23" s="165"/>
      <c r="BT23" s="116"/>
      <c r="BU23" s="43"/>
      <c r="BV23" s="116"/>
      <c r="BW23" s="198"/>
      <c r="BX23" s="43"/>
      <c r="BY23" s="116"/>
      <c r="BZ23" s="165"/>
      <c r="CA23" s="116"/>
      <c r="CB23" s="116"/>
      <c r="CC23" s="165"/>
      <c r="CD23" s="165"/>
      <c r="CE23" s="124">
        <f t="shared" si="18"/>
        <v>5</v>
      </c>
      <c r="CF23" s="173">
        <f t="shared" si="19"/>
        <v>62.5</v>
      </c>
      <c r="CG23" s="184">
        <v>1.0</v>
      </c>
      <c r="CH23" s="184">
        <v>1.0</v>
      </c>
      <c r="CI23" s="138">
        <v>1.0</v>
      </c>
      <c r="CJ23" s="200">
        <v>1.0</v>
      </c>
      <c r="CK23" s="231"/>
      <c r="CL23" s="231"/>
      <c r="CM23" s="231"/>
      <c r="CN23" s="223"/>
      <c r="CO23" s="116"/>
      <c r="CP23" s="166"/>
      <c r="CQ23" s="213"/>
      <c r="CR23" s="213"/>
      <c r="CS23" s="213"/>
      <c r="CT23" s="116"/>
      <c r="CU23" s="116"/>
      <c r="CV23" s="213"/>
      <c r="CW23" s="128">
        <f t="shared" si="20"/>
        <v>4</v>
      </c>
      <c r="CX23" s="214">
        <f t="shared" si="21"/>
        <v>57.14285714</v>
      </c>
      <c r="CY23" s="171"/>
      <c r="CZ23" s="171"/>
      <c r="DA23" s="171"/>
      <c r="DB23" s="171"/>
      <c r="DC23" s="171"/>
      <c r="DD23" s="171"/>
      <c r="DE23" s="171"/>
      <c r="DF23" s="171"/>
      <c r="DG23" s="171"/>
      <c r="DH23" s="171"/>
      <c r="DI23" s="171"/>
      <c r="DJ23" s="171"/>
      <c r="DK23" s="128">
        <f t="shared" si="22"/>
        <v>0</v>
      </c>
      <c r="DL23" s="158" t="str">
        <f t="shared" si="23"/>
        <v>#DIV/0!</v>
      </c>
    </row>
    <row r="24" ht="15.75" customHeight="1">
      <c r="A24" s="146">
        <v>15.0</v>
      </c>
      <c r="B24" s="111" t="s">
        <v>80</v>
      </c>
      <c r="C24" s="112" t="s">
        <v>81</v>
      </c>
      <c r="D24" s="98">
        <f t="shared" si="8"/>
        <v>19</v>
      </c>
      <c r="E24" s="130">
        <f t="shared" si="9"/>
        <v>47.5</v>
      </c>
      <c r="F24" s="114">
        <f t="shared" si="10"/>
        <v>47.5</v>
      </c>
      <c r="G24" s="149" t="str">
        <f t="shared" si="11"/>
        <v>  </v>
      </c>
      <c r="H24" s="180"/>
      <c r="I24" s="180"/>
      <c r="J24" s="180"/>
      <c r="K24" s="203"/>
      <c r="L24" s="239"/>
      <c r="M24" s="139">
        <f t="shared" si="12"/>
        <v>0</v>
      </c>
      <c r="N24" s="140" t="str">
        <f t="shared" si="13"/>
        <v>#DIV/0!</v>
      </c>
      <c r="O24" s="116"/>
      <c r="P24" s="116"/>
      <c r="Q24" s="116"/>
      <c r="R24" s="179"/>
      <c r="S24" s="179"/>
      <c r="T24" s="116"/>
      <c r="U24" s="116"/>
      <c r="V24" s="179"/>
      <c r="W24" s="116"/>
      <c r="X24" s="138">
        <v>1.0</v>
      </c>
      <c r="Y24" s="184">
        <v>1.0</v>
      </c>
      <c r="Z24" s="185"/>
      <c r="AA24" s="217"/>
      <c r="AB24" s="138">
        <v>1.0</v>
      </c>
      <c r="AC24" s="184">
        <v>1.0</v>
      </c>
      <c r="AD24" s="176"/>
      <c r="AE24" s="116"/>
      <c r="AF24" s="182">
        <v>1.0</v>
      </c>
      <c r="AG24" s="176"/>
      <c r="AH24" s="176"/>
      <c r="AI24" s="182">
        <v>1.0</v>
      </c>
      <c r="AJ24" s="139">
        <f t="shared" si="14"/>
        <v>6</v>
      </c>
      <c r="AK24" s="205">
        <f t="shared" si="15"/>
        <v>54.54545455</v>
      </c>
      <c r="AL24" s="235">
        <v>1.0</v>
      </c>
      <c r="AM24" s="116"/>
      <c r="AN24" s="179"/>
      <c r="AO24" s="184">
        <v>1.0</v>
      </c>
      <c r="AP24" s="116"/>
      <c r="AQ24" s="116"/>
      <c r="AR24" s="116"/>
      <c r="AS24" s="166"/>
      <c r="AT24" s="138">
        <v>1.0</v>
      </c>
      <c r="AU24" s="138">
        <v>1.0</v>
      </c>
      <c r="AV24" s="138"/>
      <c r="AW24" s="179"/>
      <c r="AX24" s="138">
        <v>1.0</v>
      </c>
      <c r="AY24" s="138">
        <v>1.0</v>
      </c>
      <c r="AZ24" s="180"/>
      <c r="BA24" s="180"/>
      <c r="BB24" s="204"/>
      <c r="BC24" s="204"/>
      <c r="BD24" s="181"/>
      <c r="BE24" s="181"/>
      <c r="BF24" s="181"/>
      <c r="BG24" s="139">
        <f t="shared" si="16"/>
        <v>5</v>
      </c>
      <c r="BH24" s="208">
        <f t="shared" si="17"/>
        <v>35.71428571</v>
      </c>
      <c r="BI24" s="138">
        <v>1.0</v>
      </c>
      <c r="BJ24" s="138">
        <v>1.0</v>
      </c>
      <c r="BK24" s="180"/>
      <c r="BL24" s="116"/>
      <c r="BM24" s="116"/>
      <c r="BN24" s="138">
        <v>1.0</v>
      </c>
      <c r="BO24" s="116"/>
      <c r="BP24" s="116"/>
      <c r="BQ24" s="196">
        <v>1.0</v>
      </c>
      <c r="BR24" s="196">
        <v>1.0</v>
      </c>
      <c r="BS24" s="116"/>
      <c r="BT24" s="116"/>
      <c r="BU24" s="43"/>
      <c r="BV24" s="43"/>
      <c r="BW24" s="198"/>
      <c r="BX24" s="116"/>
      <c r="BY24" s="116"/>
      <c r="BZ24" s="165"/>
      <c r="CA24" s="116"/>
      <c r="CB24" s="165"/>
      <c r="CC24" s="165"/>
      <c r="CD24" s="165"/>
      <c r="CE24" s="124">
        <f t="shared" si="18"/>
        <v>5</v>
      </c>
      <c r="CF24" s="173">
        <f t="shared" si="19"/>
        <v>62.5</v>
      </c>
      <c r="CG24" s="138">
        <v>1.0</v>
      </c>
      <c r="CH24" s="138">
        <v>1.0</v>
      </c>
      <c r="CI24" s="138">
        <v>1.0</v>
      </c>
      <c r="CJ24" s="116"/>
      <c r="CK24" s="116"/>
      <c r="CL24" s="116"/>
      <c r="CM24" s="116"/>
      <c r="CN24" s="116"/>
      <c r="CO24" s="116"/>
      <c r="CP24" s="166"/>
      <c r="CQ24" s="213"/>
      <c r="CR24" s="213"/>
      <c r="CS24" s="116"/>
      <c r="CT24" s="116"/>
      <c r="CU24" s="213"/>
      <c r="CV24" s="213"/>
      <c r="CW24" s="128">
        <f t="shared" si="20"/>
        <v>3</v>
      </c>
      <c r="CX24" s="214">
        <f t="shared" si="21"/>
        <v>42.85714286</v>
      </c>
      <c r="CY24" s="171"/>
      <c r="CZ24" s="171"/>
      <c r="DA24" s="171"/>
      <c r="DB24" s="171"/>
      <c r="DC24" s="171"/>
      <c r="DD24" s="171"/>
      <c r="DE24" s="171"/>
      <c r="DF24" s="171"/>
      <c r="DG24" s="171"/>
      <c r="DH24" s="171"/>
      <c r="DI24" s="171"/>
      <c r="DJ24" s="171"/>
      <c r="DK24" s="128">
        <f t="shared" si="22"/>
        <v>0</v>
      </c>
      <c r="DL24" s="158" t="str">
        <f t="shared" si="23"/>
        <v>#DIV/0!</v>
      </c>
    </row>
    <row r="25" ht="15.75" customHeight="1">
      <c r="A25" s="50">
        <v>16.0</v>
      </c>
      <c r="B25" s="111" t="s">
        <v>82</v>
      </c>
      <c r="C25" s="112" t="s">
        <v>83</v>
      </c>
      <c r="D25" s="98">
        <f t="shared" si="8"/>
        <v>17</v>
      </c>
      <c r="E25" s="130">
        <f t="shared" si="9"/>
        <v>42.5</v>
      </c>
      <c r="F25" s="114">
        <f t="shared" si="10"/>
        <v>42.5</v>
      </c>
      <c r="G25" s="149" t="str">
        <f t="shared" si="11"/>
        <v>  </v>
      </c>
      <c r="H25" s="180"/>
      <c r="I25" s="203"/>
      <c r="J25" s="203"/>
      <c r="K25" s="180"/>
      <c r="L25" s="204"/>
      <c r="M25" s="139">
        <f t="shared" si="12"/>
        <v>0</v>
      </c>
      <c r="N25" s="140" t="str">
        <f t="shared" si="13"/>
        <v>#DIV/0!</v>
      </c>
      <c r="O25" s="116"/>
      <c r="P25" s="116"/>
      <c r="Q25" s="180"/>
      <c r="R25" s="179"/>
      <c r="S25" s="179"/>
      <c r="T25" s="116"/>
      <c r="U25" s="116"/>
      <c r="V25" s="179"/>
      <c r="W25" s="116"/>
      <c r="X25" s="138">
        <v>1.0</v>
      </c>
      <c r="Y25" s="184">
        <v>1.0</v>
      </c>
      <c r="Z25" s="185"/>
      <c r="AA25" s="217"/>
      <c r="AB25" s="116"/>
      <c r="AC25" s="184">
        <v>1.0</v>
      </c>
      <c r="AD25" s="182">
        <v>1.0</v>
      </c>
      <c r="AE25" s="116"/>
      <c r="AF25" s="176"/>
      <c r="AG25" s="182">
        <v>1.0</v>
      </c>
      <c r="AH25" s="116"/>
      <c r="AI25" s="138"/>
      <c r="AJ25" s="139">
        <f t="shared" si="14"/>
        <v>5</v>
      </c>
      <c r="AK25" s="205">
        <f t="shared" si="15"/>
        <v>45.45454545</v>
      </c>
      <c r="AL25" s="138">
        <v>1.0</v>
      </c>
      <c r="AM25" s="116"/>
      <c r="AN25" s="179"/>
      <c r="AO25" s="179"/>
      <c r="AP25" s="138">
        <v>1.0</v>
      </c>
      <c r="AQ25" s="116"/>
      <c r="AR25" s="116"/>
      <c r="AS25" s="166"/>
      <c r="AT25" s="138">
        <v>1.0</v>
      </c>
      <c r="AU25" s="138">
        <v>1.0</v>
      </c>
      <c r="AV25" s="116"/>
      <c r="AW25" s="179"/>
      <c r="AX25" s="116"/>
      <c r="AY25" s="116"/>
      <c r="AZ25" s="180"/>
      <c r="BA25" s="180"/>
      <c r="BB25" s="116"/>
      <c r="BC25" s="204"/>
      <c r="BD25" s="181"/>
      <c r="BE25" s="181"/>
      <c r="BF25" s="181"/>
      <c r="BG25" s="139">
        <f t="shared" si="16"/>
        <v>3</v>
      </c>
      <c r="BH25" s="208">
        <f t="shared" si="17"/>
        <v>21.42857143</v>
      </c>
      <c r="BI25" s="215">
        <v>1.0</v>
      </c>
      <c r="BJ25" s="215">
        <v>1.0</v>
      </c>
      <c r="BK25" s="180"/>
      <c r="BL25" s="138">
        <v>1.0</v>
      </c>
      <c r="BM25" s="116"/>
      <c r="BN25" s="138">
        <v>1.0</v>
      </c>
      <c r="BO25" s="116"/>
      <c r="BP25" s="116"/>
      <c r="BQ25" s="138">
        <v>1.0</v>
      </c>
      <c r="BR25" s="196">
        <v>1.0</v>
      </c>
      <c r="BS25" s="116"/>
      <c r="BT25" s="185"/>
      <c r="BU25" s="43"/>
      <c r="BV25" s="43"/>
      <c r="BW25" s="198"/>
      <c r="BX25" s="116"/>
      <c r="BY25" s="116"/>
      <c r="BZ25" s="165"/>
      <c r="CA25" s="116"/>
      <c r="CB25" s="116"/>
      <c r="CC25" s="165"/>
      <c r="CD25" s="165"/>
      <c r="CE25" s="124">
        <f t="shared" si="18"/>
        <v>6</v>
      </c>
      <c r="CF25" s="173">
        <f t="shared" si="19"/>
        <v>75</v>
      </c>
      <c r="CG25" s="138">
        <v>1.0</v>
      </c>
      <c r="CH25" s="138">
        <v>1.0</v>
      </c>
      <c r="CI25" s="138">
        <v>1.0</v>
      </c>
      <c r="CJ25" s="116"/>
      <c r="CK25" s="116"/>
      <c r="CL25" s="116"/>
      <c r="CM25" s="116"/>
      <c r="CN25" s="223"/>
      <c r="CO25" s="116"/>
      <c r="CP25" s="166"/>
      <c r="CQ25" s="213"/>
      <c r="CR25" s="213"/>
      <c r="CS25" s="213"/>
      <c r="CT25" s="116"/>
      <c r="CU25" s="213"/>
      <c r="CV25" s="213"/>
      <c r="CW25" s="128">
        <f t="shared" si="20"/>
        <v>3</v>
      </c>
      <c r="CX25" s="214">
        <f t="shared" si="21"/>
        <v>42.85714286</v>
      </c>
      <c r="CY25" s="171"/>
      <c r="CZ25" s="171"/>
      <c r="DA25" s="171"/>
      <c r="DB25" s="171"/>
      <c r="DC25" s="171"/>
      <c r="DD25" s="171"/>
      <c r="DE25" s="171"/>
      <c r="DF25" s="171"/>
      <c r="DG25" s="171"/>
      <c r="DH25" s="171"/>
      <c r="DI25" s="171"/>
      <c r="DJ25" s="171"/>
      <c r="DK25" s="128">
        <f t="shared" si="22"/>
        <v>0</v>
      </c>
      <c r="DL25" s="158" t="str">
        <f t="shared" si="23"/>
        <v>#DIV/0!</v>
      </c>
    </row>
    <row r="26" ht="15.75" customHeight="1">
      <c r="A26" s="131">
        <v>17.0</v>
      </c>
      <c r="B26" s="111" t="s">
        <v>84</v>
      </c>
      <c r="C26" s="112" t="s">
        <v>85</v>
      </c>
      <c r="D26" s="98">
        <f t="shared" si="8"/>
        <v>25</v>
      </c>
      <c r="E26" s="130">
        <f t="shared" si="9"/>
        <v>62.5</v>
      </c>
      <c r="F26" s="92" t="str">
        <f t="shared" si="10"/>
        <v>  </v>
      </c>
      <c r="G26" s="149" t="str">
        <f t="shared" si="11"/>
        <v>  </v>
      </c>
      <c r="H26" s="180"/>
      <c r="I26" s="203"/>
      <c r="J26" s="180"/>
      <c r="K26" s="180"/>
      <c r="L26" s="204"/>
      <c r="M26" s="139">
        <f t="shared" si="12"/>
        <v>0</v>
      </c>
      <c r="N26" s="140" t="str">
        <f t="shared" si="13"/>
        <v>#DIV/0!</v>
      </c>
      <c r="O26" s="116"/>
      <c r="P26" s="116"/>
      <c r="Q26" s="180"/>
      <c r="R26" s="228"/>
      <c r="S26" s="228"/>
      <c r="T26" s="116"/>
      <c r="U26" s="116"/>
      <c r="V26" s="228"/>
      <c r="W26" s="116"/>
      <c r="X26" s="138">
        <v>1.0</v>
      </c>
      <c r="Y26" s="233">
        <v>1.0</v>
      </c>
      <c r="Z26" s="185"/>
      <c r="AA26" s="217"/>
      <c r="AB26" s="138">
        <v>1.0</v>
      </c>
      <c r="AC26" s="233">
        <v>1.0</v>
      </c>
      <c r="AD26" s="138">
        <v>1.0</v>
      </c>
      <c r="AE26" s="116"/>
      <c r="AF26" s="229">
        <v>1.0</v>
      </c>
      <c r="AG26" s="229">
        <v>1.0</v>
      </c>
      <c r="AH26" s="116"/>
      <c r="AI26" s="138">
        <v>1.0</v>
      </c>
      <c r="AJ26" s="139">
        <f t="shared" si="14"/>
        <v>8</v>
      </c>
      <c r="AK26" s="205">
        <f t="shared" si="15"/>
        <v>72.72727273</v>
      </c>
      <c r="AL26" s="116"/>
      <c r="AM26" s="116"/>
      <c r="AN26" s="228"/>
      <c r="AO26" s="228"/>
      <c r="AP26" s="116"/>
      <c r="AQ26" s="116"/>
      <c r="AR26" s="116"/>
      <c r="AS26" s="191">
        <v>1.0</v>
      </c>
      <c r="AT26" s="138">
        <v>1.0</v>
      </c>
      <c r="AU26" s="138">
        <v>1.0</v>
      </c>
      <c r="AV26" s="138">
        <v>1.0</v>
      </c>
      <c r="AW26" s="228"/>
      <c r="AX26" s="138">
        <v>1.0</v>
      </c>
      <c r="AY26" s="138">
        <v>1.0</v>
      </c>
      <c r="AZ26" s="180"/>
      <c r="BA26" s="180"/>
      <c r="BB26" s="218">
        <v>1.0</v>
      </c>
      <c r="BC26" s="218">
        <v>1.0</v>
      </c>
      <c r="BD26" s="219">
        <v>1.0</v>
      </c>
      <c r="BE26" s="219">
        <v>1.0</v>
      </c>
      <c r="BF26" s="181"/>
      <c r="BG26" s="139">
        <f t="shared" si="16"/>
        <v>10</v>
      </c>
      <c r="BH26" s="208">
        <f t="shared" si="17"/>
        <v>71.42857143</v>
      </c>
      <c r="BI26" s="138">
        <v>1.0</v>
      </c>
      <c r="BJ26" s="138">
        <v>1.0</v>
      </c>
      <c r="BK26" s="180"/>
      <c r="BL26" s="116"/>
      <c r="BM26" s="116"/>
      <c r="BN26" s="138">
        <v>1.0</v>
      </c>
      <c r="BO26" s="116"/>
      <c r="BP26" s="138">
        <v>1.0</v>
      </c>
      <c r="BQ26" s="138">
        <v>1.0</v>
      </c>
      <c r="BR26" s="196">
        <v>1.0</v>
      </c>
      <c r="BS26" s="116"/>
      <c r="BT26" s="185"/>
      <c r="BU26" s="43"/>
      <c r="BV26" s="43"/>
      <c r="BW26" s="198"/>
      <c r="BX26" s="116"/>
      <c r="BY26" s="116"/>
      <c r="BZ26" s="165"/>
      <c r="CA26" s="116"/>
      <c r="CB26" s="116"/>
      <c r="CC26" s="165"/>
      <c r="CD26" s="165"/>
      <c r="CE26" s="124">
        <f t="shared" si="18"/>
        <v>6</v>
      </c>
      <c r="CF26" s="173">
        <f t="shared" si="19"/>
        <v>75</v>
      </c>
      <c r="CG26" s="116"/>
      <c r="CH26" s="116"/>
      <c r="CI26" s="138">
        <v>1.0</v>
      </c>
      <c r="CJ26" s="186"/>
      <c r="CK26" s="116"/>
      <c r="CL26" s="116"/>
      <c r="CM26" s="116"/>
      <c r="CN26" s="116"/>
      <c r="CO26" s="116"/>
      <c r="CP26" s="166"/>
      <c r="CQ26" s="213"/>
      <c r="CR26" s="213"/>
      <c r="CS26" s="116"/>
      <c r="CT26" s="213"/>
      <c r="CU26" s="213"/>
      <c r="CV26" s="213"/>
      <c r="CW26" s="128">
        <f t="shared" si="20"/>
        <v>1</v>
      </c>
      <c r="CX26" s="214">
        <f t="shared" si="21"/>
        <v>14.28571429</v>
      </c>
      <c r="CY26" s="171"/>
      <c r="CZ26" s="171"/>
      <c r="DA26" s="171"/>
      <c r="DB26" s="171"/>
      <c r="DC26" s="171"/>
      <c r="DD26" s="171"/>
      <c r="DE26" s="171"/>
      <c r="DF26" s="171"/>
      <c r="DG26" s="171"/>
      <c r="DH26" s="171"/>
      <c r="DI26" s="171"/>
      <c r="DJ26" s="171"/>
      <c r="DK26" s="128">
        <f t="shared" si="22"/>
        <v>0</v>
      </c>
      <c r="DL26" s="158" t="str">
        <f t="shared" si="23"/>
        <v>#DIV/0!</v>
      </c>
    </row>
    <row r="27" ht="15.75" customHeight="1">
      <c r="A27" s="146">
        <v>18.0</v>
      </c>
      <c r="B27" s="111" t="s">
        <v>86</v>
      </c>
      <c r="C27" s="112" t="s">
        <v>87</v>
      </c>
      <c r="D27" s="98">
        <f t="shared" si="8"/>
        <v>10</v>
      </c>
      <c r="E27" s="130">
        <f t="shared" si="9"/>
        <v>25</v>
      </c>
      <c r="F27" s="114">
        <f t="shared" si="10"/>
        <v>25</v>
      </c>
      <c r="G27" s="226">
        <f t="shared" si="11"/>
        <v>25</v>
      </c>
      <c r="H27" s="180"/>
      <c r="I27" s="180"/>
      <c r="J27" s="203"/>
      <c r="K27" s="180"/>
      <c r="L27" s="204"/>
      <c r="M27" s="139">
        <f t="shared" si="12"/>
        <v>0</v>
      </c>
      <c r="N27" s="140" t="str">
        <f t="shared" si="13"/>
        <v>#DIV/0!</v>
      </c>
      <c r="O27" s="116"/>
      <c r="P27" s="116"/>
      <c r="Q27" s="180"/>
      <c r="R27" s="179"/>
      <c r="S27" s="116"/>
      <c r="T27" s="116"/>
      <c r="U27" s="116"/>
      <c r="V27" s="179"/>
      <c r="W27" s="116"/>
      <c r="X27" s="116"/>
      <c r="Y27" s="184">
        <v>1.0</v>
      </c>
      <c r="Z27" s="185"/>
      <c r="AA27" s="217"/>
      <c r="AB27" s="138">
        <v>1.0</v>
      </c>
      <c r="AC27" s="179"/>
      <c r="AD27" s="116"/>
      <c r="AE27" s="116"/>
      <c r="AF27" s="176"/>
      <c r="AG27" s="176"/>
      <c r="AH27" s="176"/>
      <c r="AI27" s="116"/>
      <c r="AJ27" s="139">
        <f t="shared" si="14"/>
        <v>2</v>
      </c>
      <c r="AK27" s="205">
        <f t="shared" si="15"/>
        <v>18.18181818</v>
      </c>
      <c r="AL27" s="116"/>
      <c r="AM27" s="179"/>
      <c r="AN27" s="179"/>
      <c r="AO27" s="179"/>
      <c r="AP27" s="184"/>
      <c r="AQ27" s="116"/>
      <c r="AR27" s="116"/>
      <c r="AS27" s="166"/>
      <c r="AT27" s="116"/>
      <c r="AU27" s="116"/>
      <c r="AV27" s="116"/>
      <c r="AW27" s="179"/>
      <c r="AX27" s="116"/>
      <c r="AY27" s="138">
        <v>1.0</v>
      </c>
      <c r="AZ27" s="116"/>
      <c r="BA27" s="180"/>
      <c r="BB27" s="204"/>
      <c r="BC27" s="204"/>
      <c r="BD27" s="181"/>
      <c r="BE27" s="181"/>
      <c r="BF27" s="181"/>
      <c r="BG27" s="139">
        <f t="shared" si="16"/>
        <v>1</v>
      </c>
      <c r="BH27" s="208">
        <f t="shared" si="17"/>
        <v>7.142857143</v>
      </c>
      <c r="BI27" s="116"/>
      <c r="BJ27" s="116"/>
      <c r="BK27" s="180"/>
      <c r="BL27" s="138">
        <v>1.0</v>
      </c>
      <c r="BM27" s="116"/>
      <c r="BN27" s="116"/>
      <c r="BO27" s="138">
        <v>1.0</v>
      </c>
      <c r="BP27" s="138">
        <v>1.0</v>
      </c>
      <c r="BQ27" s="116"/>
      <c r="BR27" s="196">
        <v>1.0</v>
      </c>
      <c r="BS27" s="116"/>
      <c r="BT27" s="185"/>
      <c r="BU27" s="43"/>
      <c r="BV27" s="43"/>
      <c r="BW27" s="198"/>
      <c r="BX27" s="43"/>
      <c r="BY27" s="116"/>
      <c r="BZ27" s="165"/>
      <c r="CA27" s="116"/>
      <c r="CB27" s="116"/>
      <c r="CC27" s="165"/>
      <c r="CD27" s="165"/>
      <c r="CE27" s="124">
        <f t="shared" si="18"/>
        <v>4</v>
      </c>
      <c r="CF27" s="173">
        <f t="shared" si="19"/>
        <v>50</v>
      </c>
      <c r="CG27" s="138">
        <v>1.0</v>
      </c>
      <c r="CH27" s="138">
        <v>1.0</v>
      </c>
      <c r="CI27" s="116"/>
      <c r="CJ27" s="138">
        <v>1.0</v>
      </c>
      <c r="CK27" s="116"/>
      <c r="CL27" s="116"/>
      <c r="CM27" s="116"/>
      <c r="CN27" s="116"/>
      <c r="CO27" s="223"/>
      <c r="CP27" s="166"/>
      <c r="CQ27" s="213"/>
      <c r="CR27" s="213"/>
      <c r="CS27" s="213"/>
      <c r="CT27" s="116"/>
      <c r="CU27" s="213"/>
      <c r="CV27" s="213"/>
      <c r="CW27" s="128">
        <f t="shared" si="20"/>
        <v>3</v>
      </c>
      <c r="CX27" s="214">
        <f t="shared" si="21"/>
        <v>42.85714286</v>
      </c>
      <c r="CY27" s="171"/>
      <c r="CZ27" s="171"/>
      <c r="DA27" s="171"/>
      <c r="DB27" s="171"/>
      <c r="DC27" s="171"/>
      <c r="DD27" s="171"/>
      <c r="DE27" s="171"/>
      <c r="DF27" s="171"/>
      <c r="DG27" s="171"/>
      <c r="DH27" s="171"/>
      <c r="DI27" s="171"/>
      <c r="DJ27" s="171"/>
      <c r="DK27" s="128">
        <f t="shared" si="22"/>
        <v>0</v>
      </c>
      <c r="DL27" s="158" t="str">
        <f t="shared" si="23"/>
        <v>#DIV/0!</v>
      </c>
    </row>
    <row r="28" ht="15.75" customHeight="1">
      <c r="A28" s="50">
        <v>19.0</v>
      </c>
      <c r="B28" s="111" t="s">
        <v>88</v>
      </c>
      <c r="C28" s="112" t="s">
        <v>89</v>
      </c>
      <c r="D28" s="98">
        <f t="shared" si="8"/>
        <v>24</v>
      </c>
      <c r="E28" s="130">
        <f t="shared" si="9"/>
        <v>60</v>
      </c>
      <c r="F28" s="92" t="str">
        <f t="shared" si="10"/>
        <v>  </v>
      </c>
      <c r="G28" s="149" t="str">
        <f t="shared" si="11"/>
        <v>  </v>
      </c>
      <c r="H28" s="180"/>
      <c r="I28" s="180"/>
      <c r="J28" s="180"/>
      <c r="K28" s="180"/>
      <c r="L28" s="204"/>
      <c r="M28" s="139">
        <f t="shared" si="12"/>
        <v>0</v>
      </c>
      <c r="N28" s="140" t="str">
        <f t="shared" si="13"/>
        <v>#DIV/0!</v>
      </c>
      <c r="O28" s="116"/>
      <c r="P28" s="116"/>
      <c r="Q28" s="180"/>
      <c r="R28" s="179"/>
      <c r="S28" s="179"/>
      <c r="T28" s="116"/>
      <c r="U28" s="116"/>
      <c r="V28" s="179"/>
      <c r="W28" s="116"/>
      <c r="X28" s="138">
        <v>1.0</v>
      </c>
      <c r="Y28" s="179"/>
      <c r="Z28" s="185"/>
      <c r="AA28" s="217"/>
      <c r="AB28" s="138">
        <v>1.0</v>
      </c>
      <c r="AC28" s="179"/>
      <c r="AD28" s="182">
        <v>1.0</v>
      </c>
      <c r="AE28" s="138">
        <v>1.0</v>
      </c>
      <c r="AF28" s="176"/>
      <c r="AG28" s="182">
        <v>1.0</v>
      </c>
      <c r="AH28" s="138">
        <v>1.0</v>
      </c>
      <c r="AI28" s="138">
        <v>1.0</v>
      </c>
      <c r="AJ28" s="139">
        <f t="shared" si="14"/>
        <v>7</v>
      </c>
      <c r="AK28" s="205">
        <f t="shared" si="15"/>
        <v>63.63636364</v>
      </c>
      <c r="AL28" s="138">
        <v>1.0</v>
      </c>
      <c r="AM28" s="179"/>
      <c r="AN28" s="179"/>
      <c r="AO28" s="184">
        <v>1.0</v>
      </c>
      <c r="AP28" s="138">
        <v>1.0</v>
      </c>
      <c r="AQ28" s="116"/>
      <c r="AR28" s="116"/>
      <c r="AS28" s="166"/>
      <c r="AT28" s="138">
        <v>1.0</v>
      </c>
      <c r="AU28" s="138">
        <v>1.0</v>
      </c>
      <c r="AV28" s="138">
        <v>1.0</v>
      </c>
      <c r="AW28" s="179"/>
      <c r="AX28" s="116"/>
      <c r="AY28" s="138">
        <v>1.0</v>
      </c>
      <c r="AZ28" s="116"/>
      <c r="BA28" s="180"/>
      <c r="BB28" s="218">
        <v>1.0</v>
      </c>
      <c r="BC28" s="204"/>
      <c r="BD28" s="219">
        <v>1.0</v>
      </c>
      <c r="BE28" s="181"/>
      <c r="BF28" s="181"/>
      <c r="BG28" s="139">
        <f t="shared" si="16"/>
        <v>8</v>
      </c>
      <c r="BH28" s="208">
        <f t="shared" si="17"/>
        <v>57.14285714</v>
      </c>
      <c r="BI28" s="138">
        <v>1.0</v>
      </c>
      <c r="BJ28" s="138">
        <v>1.0</v>
      </c>
      <c r="BK28" s="180"/>
      <c r="BL28" s="138">
        <v>1.0</v>
      </c>
      <c r="BM28" s="116"/>
      <c r="BN28" s="138">
        <v>1.0</v>
      </c>
      <c r="BO28" s="116"/>
      <c r="BP28" s="116"/>
      <c r="BQ28" s="116"/>
      <c r="BR28" s="196">
        <v>1.0</v>
      </c>
      <c r="BS28" s="165"/>
      <c r="BT28" s="185"/>
      <c r="BU28" s="43"/>
      <c r="BV28" s="116"/>
      <c r="BW28" s="198"/>
      <c r="BX28" s="43"/>
      <c r="BY28" s="116"/>
      <c r="BZ28" s="165"/>
      <c r="CA28" s="116"/>
      <c r="CB28" s="116"/>
      <c r="CC28" s="165"/>
      <c r="CD28" s="165"/>
      <c r="CE28" s="124">
        <f t="shared" si="18"/>
        <v>5</v>
      </c>
      <c r="CF28" s="173">
        <f t="shared" si="19"/>
        <v>62.5</v>
      </c>
      <c r="CG28" s="184">
        <v>1.0</v>
      </c>
      <c r="CH28" s="184">
        <v>1.0</v>
      </c>
      <c r="CI28" s="138">
        <v>1.0</v>
      </c>
      <c r="CJ28" s="200">
        <v>1.0</v>
      </c>
      <c r="CK28" s="116"/>
      <c r="CL28" s="116"/>
      <c r="CM28" s="116"/>
      <c r="CN28" s="223"/>
      <c r="CO28" s="116"/>
      <c r="CP28" s="166"/>
      <c r="CQ28" s="213"/>
      <c r="CR28" s="213"/>
      <c r="CS28" s="213"/>
      <c r="CT28" s="116"/>
      <c r="CU28" s="116"/>
      <c r="CV28" s="213"/>
      <c r="CW28" s="128">
        <f t="shared" si="20"/>
        <v>4</v>
      </c>
      <c r="CX28" s="214">
        <f t="shared" si="21"/>
        <v>57.14285714</v>
      </c>
      <c r="CY28" s="171"/>
      <c r="CZ28" s="171"/>
      <c r="DA28" s="171"/>
      <c r="DB28" s="171"/>
      <c r="DC28" s="171"/>
      <c r="DD28" s="171"/>
      <c r="DE28" s="171"/>
      <c r="DF28" s="171"/>
      <c r="DG28" s="171"/>
      <c r="DH28" s="171"/>
      <c r="DI28" s="171"/>
      <c r="DJ28" s="171"/>
      <c r="DK28" s="128">
        <f t="shared" si="22"/>
        <v>0</v>
      </c>
      <c r="DL28" s="158" t="str">
        <f t="shared" si="23"/>
        <v>#DIV/0!</v>
      </c>
    </row>
    <row r="29" ht="15.75" customHeight="1">
      <c r="A29" s="131">
        <v>20.0</v>
      </c>
      <c r="B29" s="111" t="s">
        <v>90</v>
      </c>
      <c r="C29" s="112" t="s">
        <v>91</v>
      </c>
      <c r="D29" s="98">
        <f t="shared" si="8"/>
        <v>18</v>
      </c>
      <c r="E29" s="130">
        <f t="shared" si="9"/>
        <v>45</v>
      </c>
      <c r="F29" s="114">
        <f t="shared" si="10"/>
        <v>45</v>
      </c>
      <c r="G29" s="149" t="str">
        <f t="shared" si="11"/>
        <v>  </v>
      </c>
      <c r="H29" s="180"/>
      <c r="I29" s="180"/>
      <c r="J29" s="180"/>
      <c r="K29" s="180"/>
      <c r="L29" s="204"/>
      <c r="M29" s="139">
        <f t="shared" si="12"/>
        <v>0</v>
      </c>
      <c r="N29" s="140" t="str">
        <f t="shared" si="13"/>
        <v>#DIV/0!</v>
      </c>
      <c r="O29" s="116"/>
      <c r="P29" s="116"/>
      <c r="Q29" s="180"/>
      <c r="R29" s="179"/>
      <c r="S29" s="116"/>
      <c r="T29" s="116"/>
      <c r="U29" s="116"/>
      <c r="V29" s="179"/>
      <c r="W29" s="116"/>
      <c r="X29" s="138">
        <v>1.0</v>
      </c>
      <c r="Y29" s="184">
        <v>1.0</v>
      </c>
      <c r="Z29" s="185"/>
      <c r="AA29" s="217"/>
      <c r="AB29" s="116"/>
      <c r="AC29" s="184">
        <v>1.0</v>
      </c>
      <c r="AD29" s="182">
        <v>1.0</v>
      </c>
      <c r="AE29" s="116"/>
      <c r="AF29" s="176"/>
      <c r="AG29" s="182">
        <v>1.0</v>
      </c>
      <c r="AH29" s="116"/>
      <c r="AI29" s="182">
        <v>1.0</v>
      </c>
      <c r="AJ29" s="139">
        <f t="shared" si="14"/>
        <v>6</v>
      </c>
      <c r="AK29" s="205">
        <f t="shared" si="15"/>
        <v>54.54545455</v>
      </c>
      <c r="AL29" s="138">
        <v>1.0</v>
      </c>
      <c r="AM29" s="116"/>
      <c r="AN29" s="179"/>
      <c r="AO29" s="184">
        <v>1.0</v>
      </c>
      <c r="AP29" s="138">
        <v>1.0</v>
      </c>
      <c r="AQ29" s="116"/>
      <c r="AR29" s="116"/>
      <c r="AS29" s="191">
        <v>1.0</v>
      </c>
      <c r="AT29" s="116"/>
      <c r="AU29" s="138">
        <v>1.0</v>
      </c>
      <c r="AV29" s="138"/>
      <c r="AW29" s="179"/>
      <c r="AX29" s="116"/>
      <c r="AY29" s="116"/>
      <c r="AZ29" s="180"/>
      <c r="BA29" s="180"/>
      <c r="BB29" s="218">
        <v>1.0</v>
      </c>
      <c r="BC29" s="204"/>
      <c r="BD29" s="181"/>
      <c r="BE29" s="181"/>
      <c r="BF29" s="181"/>
      <c r="BG29" s="139">
        <f t="shared" si="16"/>
        <v>5</v>
      </c>
      <c r="BH29" s="208">
        <f t="shared" si="17"/>
        <v>35.71428571</v>
      </c>
      <c r="BI29" s="215">
        <v>1.0</v>
      </c>
      <c r="BJ29" s="215">
        <v>1.0</v>
      </c>
      <c r="BK29" s="180"/>
      <c r="BL29" s="116"/>
      <c r="BM29" s="116"/>
      <c r="BN29" s="138">
        <v>1.0</v>
      </c>
      <c r="BO29" s="116"/>
      <c r="BP29" s="116"/>
      <c r="BQ29" s="116"/>
      <c r="BR29" s="196">
        <v>1.0</v>
      </c>
      <c r="BS29" s="116"/>
      <c r="BT29" s="185"/>
      <c r="BU29" s="43"/>
      <c r="BV29" s="43"/>
      <c r="BW29" s="198"/>
      <c r="BX29" s="116"/>
      <c r="BY29" s="116"/>
      <c r="BZ29" s="165"/>
      <c r="CA29" s="116"/>
      <c r="CB29" s="116"/>
      <c r="CC29" s="165"/>
      <c r="CD29" s="165"/>
      <c r="CE29" s="124">
        <f t="shared" si="18"/>
        <v>4</v>
      </c>
      <c r="CF29" s="173">
        <f t="shared" si="19"/>
        <v>50</v>
      </c>
      <c r="CG29" s="138">
        <v>1.0</v>
      </c>
      <c r="CH29" s="138">
        <v>1.0</v>
      </c>
      <c r="CI29" s="138">
        <v>1.0</v>
      </c>
      <c r="CJ29" s="116"/>
      <c r="CK29" s="116"/>
      <c r="CL29" s="116"/>
      <c r="CM29" s="116"/>
      <c r="CN29" s="116"/>
      <c r="CO29" s="223"/>
      <c r="CP29" s="166"/>
      <c r="CQ29" s="213"/>
      <c r="CR29" s="213"/>
      <c r="CS29" s="116"/>
      <c r="CT29" s="213"/>
      <c r="CU29" s="213"/>
      <c r="CV29" s="213"/>
      <c r="CW29" s="128">
        <f t="shared" si="20"/>
        <v>3</v>
      </c>
      <c r="CX29" s="214">
        <f t="shared" si="21"/>
        <v>42.85714286</v>
      </c>
      <c r="CY29" s="171"/>
      <c r="CZ29" s="171"/>
      <c r="DA29" s="171"/>
      <c r="DB29" s="171"/>
      <c r="DC29" s="171"/>
      <c r="DD29" s="171"/>
      <c r="DE29" s="171"/>
      <c r="DF29" s="171"/>
      <c r="DG29" s="171"/>
      <c r="DH29" s="171"/>
      <c r="DI29" s="171"/>
      <c r="DJ29" s="171"/>
      <c r="DK29" s="128">
        <f t="shared" si="22"/>
        <v>0</v>
      </c>
      <c r="DL29" s="158" t="str">
        <f t="shared" si="23"/>
        <v>#DIV/0!</v>
      </c>
    </row>
    <row r="30" ht="15.75" customHeight="1">
      <c r="A30" s="146">
        <v>21.0</v>
      </c>
      <c r="B30" s="111" t="s">
        <v>92</v>
      </c>
      <c r="C30" s="112" t="s">
        <v>93</v>
      </c>
      <c r="D30" s="98">
        <f t="shared" si="8"/>
        <v>0</v>
      </c>
      <c r="E30" s="130">
        <f t="shared" si="9"/>
        <v>0</v>
      </c>
      <c r="F30" s="114">
        <f t="shared" si="10"/>
        <v>0</v>
      </c>
      <c r="G30" s="226">
        <f t="shared" si="11"/>
        <v>0</v>
      </c>
      <c r="H30" s="180"/>
      <c r="I30" s="180"/>
      <c r="J30" s="180"/>
      <c r="K30" s="180"/>
      <c r="L30" s="204"/>
      <c r="M30" s="139">
        <f t="shared" si="12"/>
        <v>0</v>
      </c>
      <c r="N30" s="140" t="str">
        <f t="shared" si="13"/>
        <v>#DIV/0!</v>
      </c>
      <c r="O30" s="116"/>
      <c r="P30" s="116"/>
      <c r="Q30" s="180"/>
      <c r="R30" s="179"/>
      <c r="S30" s="179"/>
      <c r="T30" s="116"/>
      <c r="U30" s="116"/>
      <c r="V30" s="179"/>
      <c r="W30" s="116"/>
      <c r="X30" s="116"/>
      <c r="Y30" s="179"/>
      <c r="Z30" s="185"/>
      <c r="AA30" s="217"/>
      <c r="AB30" s="116"/>
      <c r="AC30" s="179"/>
      <c r="AD30" s="176"/>
      <c r="AE30" s="176"/>
      <c r="AF30" s="176"/>
      <c r="AG30" s="176"/>
      <c r="AH30" s="176"/>
      <c r="AI30" s="176"/>
      <c r="AJ30" s="139">
        <f t="shared" si="14"/>
        <v>0</v>
      </c>
      <c r="AK30" s="205">
        <f t="shared" si="15"/>
        <v>0</v>
      </c>
      <c r="AL30" s="235">
        <v>1.0</v>
      </c>
      <c r="AM30" s="179"/>
      <c r="AN30" s="179"/>
      <c r="AO30" s="179"/>
      <c r="AP30" s="179"/>
      <c r="AQ30" s="116"/>
      <c r="AR30" s="116"/>
      <c r="AS30" s="166"/>
      <c r="AT30" s="116"/>
      <c r="AU30" s="138"/>
      <c r="AV30" s="116"/>
      <c r="AW30" s="179"/>
      <c r="AX30" s="116"/>
      <c r="AY30" s="116"/>
      <c r="AZ30" s="180"/>
      <c r="BA30" s="180"/>
      <c r="BB30" s="204"/>
      <c r="BC30" s="204"/>
      <c r="BD30" s="181"/>
      <c r="BE30" s="181"/>
      <c r="BF30" s="181"/>
      <c r="BG30" s="139">
        <f t="shared" si="16"/>
        <v>0</v>
      </c>
      <c r="BH30" s="208">
        <f t="shared" si="17"/>
        <v>0</v>
      </c>
      <c r="BI30" s="180"/>
      <c r="BJ30" s="180"/>
      <c r="BK30" s="180"/>
      <c r="BL30" s="116"/>
      <c r="BM30" s="116"/>
      <c r="BN30" s="116"/>
      <c r="BO30" s="116"/>
      <c r="BP30" s="116"/>
      <c r="BQ30" s="165"/>
      <c r="BR30" s="165"/>
      <c r="BS30" s="165"/>
      <c r="BT30" s="185"/>
      <c r="BU30" s="43"/>
      <c r="BV30" s="43"/>
      <c r="BW30" s="198"/>
      <c r="BX30" s="43"/>
      <c r="BY30" s="116"/>
      <c r="BZ30" s="165"/>
      <c r="CA30" s="165"/>
      <c r="CB30" s="165"/>
      <c r="CC30" s="165"/>
      <c r="CD30" s="165"/>
      <c r="CE30" s="124">
        <f t="shared" si="18"/>
        <v>0</v>
      </c>
      <c r="CF30" s="173">
        <f t="shared" si="19"/>
        <v>0</v>
      </c>
      <c r="CG30" s="179"/>
      <c r="CH30" s="179"/>
      <c r="CI30" s="238"/>
      <c r="CJ30" s="186"/>
      <c r="CK30" s="231"/>
      <c r="CL30" s="231"/>
      <c r="CM30" s="231"/>
      <c r="CN30" s="223"/>
      <c r="CO30" s="223"/>
      <c r="CP30" s="166"/>
      <c r="CQ30" s="213"/>
      <c r="CR30" s="213"/>
      <c r="CS30" s="213"/>
      <c r="CT30" s="213"/>
      <c r="CU30" s="213"/>
      <c r="CV30" s="213"/>
      <c r="CW30" s="128">
        <f t="shared" si="20"/>
        <v>0</v>
      </c>
      <c r="CX30" s="214">
        <f t="shared" si="21"/>
        <v>0</v>
      </c>
      <c r="CY30" s="171"/>
      <c r="CZ30" s="171"/>
      <c r="DA30" s="171"/>
      <c r="DB30" s="171"/>
      <c r="DC30" s="171"/>
      <c r="DD30" s="171"/>
      <c r="DE30" s="171"/>
      <c r="DF30" s="171"/>
      <c r="DG30" s="171"/>
      <c r="DH30" s="171"/>
      <c r="DI30" s="171"/>
      <c r="DJ30" s="171"/>
      <c r="DK30" s="128">
        <f t="shared" si="22"/>
        <v>0</v>
      </c>
      <c r="DL30" s="158" t="str">
        <f t="shared" si="23"/>
        <v>#DIV/0!</v>
      </c>
    </row>
    <row r="31" ht="15.75" customHeight="1">
      <c r="A31" s="50">
        <v>22.0</v>
      </c>
      <c r="B31" s="111" t="s">
        <v>94</v>
      </c>
      <c r="C31" s="112" t="s">
        <v>95</v>
      </c>
      <c r="D31" s="98">
        <f t="shared" si="8"/>
        <v>16</v>
      </c>
      <c r="E31" s="130">
        <f t="shared" si="9"/>
        <v>40</v>
      </c>
      <c r="F31" s="114">
        <f t="shared" si="10"/>
        <v>40</v>
      </c>
      <c r="G31" s="149" t="str">
        <f t="shared" si="11"/>
        <v>  </v>
      </c>
      <c r="H31" s="180"/>
      <c r="I31" s="203"/>
      <c r="J31" s="203"/>
      <c r="K31" s="180"/>
      <c r="L31" s="204"/>
      <c r="M31" s="139">
        <f t="shared" si="12"/>
        <v>0</v>
      </c>
      <c r="N31" s="140" t="str">
        <f t="shared" si="13"/>
        <v>#DIV/0!</v>
      </c>
      <c r="O31" s="116"/>
      <c r="P31" s="116"/>
      <c r="Q31" s="180"/>
      <c r="R31" s="179"/>
      <c r="S31" s="179"/>
      <c r="T31" s="116"/>
      <c r="U31" s="116"/>
      <c r="V31" s="179"/>
      <c r="W31" s="116"/>
      <c r="X31" s="116"/>
      <c r="Y31" s="179"/>
      <c r="Z31" s="185"/>
      <c r="AA31" s="217"/>
      <c r="AB31" s="116"/>
      <c r="AC31" s="179"/>
      <c r="AD31" s="176"/>
      <c r="AE31" s="116"/>
      <c r="AF31" s="176"/>
      <c r="AG31" s="176"/>
      <c r="AH31" s="182">
        <v>1.0</v>
      </c>
      <c r="AI31" s="182">
        <v>1.0</v>
      </c>
      <c r="AJ31" s="139">
        <f t="shared" si="14"/>
        <v>2</v>
      </c>
      <c r="AK31" s="205">
        <f t="shared" si="15"/>
        <v>18.18181818</v>
      </c>
      <c r="AL31" s="116"/>
      <c r="AM31" s="116"/>
      <c r="AN31" s="179"/>
      <c r="AO31" s="179"/>
      <c r="AP31" s="138">
        <v>1.0</v>
      </c>
      <c r="AQ31" s="116"/>
      <c r="AR31" s="116"/>
      <c r="AS31" s="191">
        <v>1.0</v>
      </c>
      <c r="AT31" s="116"/>
      <c r="AU31" s="138">
        <v>1.0</v>
      </c>
      <c r="AV31" s="116"/>
      <c r="AW31" s="179"/>
      <c r="AX31" s="138">
        <v>1.0</v>
      </c>
      <c r="AY31" s="116"/>
      <c r="AZ31" s="180"/>
      <c r="BA31" s="180"/>
      <c r="BB31" s="116"/>
      <c r="BC31" s="116"/>
      <c r="BD31" s="194"/>
      <c r="BE31" s="194"/>
      <c r="BF31" s="188">
        <v>1.0</v>
      </c>
      <c r="BG31" s="139">
        <f t="shared" si="16"/>
        <v>5</v>
      </c>
      <c r="BH31" s="208">
        <f t="shared" si="17"/>
        <v>35.71428571</v>
      </c>
      <c r="BI31" s="138">
        <v>1.0</v>
      </c>
      <c r="BJ31" s="138">
        <v>1.0</v>
      </c>
      <c r="BK31" s="180"/>
      <c r="BL31" s="138">
        <v>1.0</v>
      </c>
      <c r="BM31" s="116"/>
      <c r="BN31" s="116"/>
      <c r="BO31" s="138">
        <v>1.0</v>
      </c>
      <c r="BP31" s="116"/>
      <c r="BQ31" s="196">
        <v>1.0</v>
      </c>
      <c r="BR31" s="196">
        <v>1.0</v>
      </c>
      <c r="BS31" s="116"/>
      <c r="BT31" s="116"/>
      <c r="BU31" s="43"/>
      <c r="BV31" s="43"/>
      <c r="BW31" s="198"/>
      <c r="BX31" s="116"/>
      <c r="BY31" s="116"/>
      <c r="BZ31" s="165"/>
      <c r="CA31" s="116"/>
      <c r="CB31" s="165"/>
      <c r="CC31" s="165"/>
      <c r="CD31" s="165"/>
      <c r="CE31" s="124">
        <f t="shared" si="18"/>
        <v>6</v>
      </c>
      <c r="CF31" s="173">
        <f t="shared" si="19"/>
        <v>75</v>
      </c>
      <c r="CG31" s="138">
        <v>1.0</v>
      </c>
      <c r="CH31" s="138">
        <v>1.0</v>
      </c>
      <c r="CI31" s="230">
        <v>1.0</v>
      </c>
      <c r="CJ31" s="116"/>
      <c r="CK31" s="231"/>
      <c r="CL31" s="231"/>
      <c r="CM31" s="231"/>
      <c r="CN31" s="223"/>
      <c r="CO31" s="116"/>
      <c r="CP31" s="166"/>
      <c r="CQ31" s="213"/>
      <c r="CR31" s="213"/>
      <c r="CS31" s="213"/>
      <c r="CT31" s="213"/>
      <c r="CU31" s="213"/>
      <c r="CV31" s="213"/>
      <c r="CW31" s="128">
        <f t="shared" si="20"/>
        <v>3</v>
      </c>
      <c r="CX31" s="214">
        <f t="shared" si="21"/>
        <v>42.85714286</v>
      </c>
      <c r="CY31" s="171"/>
      <c r="CZ31" s="171"/>
      <c r="DA31" s="171"/>
      <c r="DB31" s="171"/>
      <c r="DC31" s="171"/>
      <c r="DD31" s="171"/>
      <c r="DE31" s="171"/>
      <c r="DF31" s="171"/>
      <c r="DG31" s="171"/>
      <c r="DH31" s="171"/>
      <c r="DI31" s="171"/>
      <c r="DJ31" s="171"/>
      <c r="DK31" s="128">
        <f t="shared" si="22"/>
        <v>0</v>
      </c>
      <c r="DL31" s="158" t="str">
        <f t="shared" si="23"/>
        <v>#DIV/0!</v>
      </c>
    </row>
    <row r="32" ht="15.75" customHeight="1">
      <c r="A32" s="131">
        <v>23.0</v>
      </c>
      <c r="B32" s="111" t="s">
        <v>96</v>
      </c>
      <c r="C32" s="112" t="s">
        <v>97</v>
      </c>
      <c r="D32" s="98">
        <f t="shared" si="8"/>
        <v>17</v>
      </c>
      <c r="E32" s="130">
        <f t="shared" si="9"/>
        <v>42.5</v>
      </c>
      <c r="F32" s="114">
        <f t="shared" si="10"/>
        <v>42.5</v>
      </c>
      <c r="G32" s="149" t="str">
        <f t="shared" si="11"/>
        <v>  </v>
      </c>
      <c r="H32" s="180"/>
      <c r="I32" s="203"/>
      <c r="J32" s="180"/>
      <c r="K32" s="180"/>
      <c r="L32" s="204"/>
      <c r="M32" s="139">
        <f t="shared" si="12"/>
        <v>0</v>
      </c>
      <c r="N32" s="140" t="str">
        <f t="shared" si="13"/>
        <v>#DIV/0!</v>
      </c>
      <c r="O32" s="116"/>
      <c r="P32" s="116"/>
      <c r="Q32" s="180"/>
      <c r="R32" s="179"/>
      <c r="S32" s="116"/>
      <c r="T32" s="116"/>
      <c r="U32" s="116"/>
      <c r="V32" s="179"/>
      <c r="W32" s="116"/>
      <c r="X32" s="116"/>
      <c r="Y32" s="184">
        <v>1.0</v>
      </c>
      <c r="Z32" s="185"/>
      <c r="AA32" s="217"/>
      <c r="AB32" s="138">
        <v>1.0</v>
      </c>
      <c r="AC32" s="184">
        <v>1.0</v>
      </c>
      <c r="AD32" s="116"/>
      <c r="AE32" s="116"/>
      <c r="AF32" s="176"/>
      <c r="AG32" s="182">
        <v>1.0</v>
      </c>
      <c r="AH32" s="182">
        <v>1.0</v>
      </c>
      <c r="AI32" s="116"/>
      <c r="AJ32" s="139">
        <f t="shared" si="14"/>
        <v>5</v>
      </c>
      <c r="AK32" s="205">
        <f t="shared" si="15"/>
        <v>45.45454545</v>
      </c>
      <c r="AL32" s="116"/>
      <c r="AM32" s="179"/>
      <c r="AN32" s="179"/>
      <c r="AO32" s="184">
        <v>1.0</v>
      </c>
      <c r="AP32" s="138">
        <v>1.0</v>
      </c>
      <c r="AQ32" s="116"/>
      <c r="AR32" s="116"/>
      <c r="AS32" s="166"/>
      <c r="AT32" s="116"/>
      <c r="AU32" s="116"/>
      <c r="AV32" s="116"/>
      <c r="AW32" s="179"/>
      <c r="AX32" s="116"/>
      <c r="AY32" s="138">
        <v>1.0</v>
      </c>
      <c r="AZ32" s="116"/>
      <c r="BA32" s="180"/>
      <c r="BB32" s="116"/>
      <c r="BC32" s="204"/>
      <c r="BD32" s="219">
        <v>1.0</v>
      </c>
      <c r="BE32" s="219">
        <v>1.0</v>
      </c>
      <c r="BF32" s="181"/>
      <c r="BG32" s="139">
        <f t="shared" si="16"/>
        <v>5</v>
      </c>
      <c r="BH32" s="208">
        <f t="shared" si="17"/>
        <v>35.71428571</v>
      </c>
      <c r="BI32" s="116"/>
      <c r="BJ32" s="116"/>
      <c r="BK32" s="180"/>
      <c r="BL32" s="138">
        <v>1.0</v>
      </c>
      <c r="BM32" s="116"/>
      <c r="BN32" s="116"/>
      <c r="BO32" s="138">
        <v>1.0</v>
      </c>
      <c r="BP32" s="138">
        <v>1.0</v>
      </c>
      <c r="BQ32" s="165"/>
      <c r="BR32" s="196">
        <v>1.0</v>
      </c>
      <c r="BS32" s="116"/>
      <c r="BT32" s="116"/>
      <c r="BU32" s="43"/>
      <c r="BV32" s="43"/>
      <c r="BW32" s="198"/>
      <c r="BX32" s="43"/>
      <c r="BY32" s="116"/>
      <c r="BZ32" s="165"/>
      <c r="CA32" s="165"/>
      <c r="CB32" s="165"/>
      <c r="CC32" s="165"/>
      <c r="CD32" s="165"/>
      <c r="CE32" s="124">
        <f t="shared" si="18"/>
        <v>4</v>
      </c>
      <c r="CF32" s="173">
        <f t="shared" si="19"/>
        <v>50</v>
      </c>
      <c r="CG32" s="184">
        <v>1.0</v>
      </c>
      <c r="CH32" s="184">
        <v>1.0</v>
      </c>
      <c r="CI32" s="238"/>
      <c r="CJ32" s="200">
        <v>1.0</v>
      </c>
      <c r="CK32" s="116"/>
      <c r="CL32" s="116"/>
      <c r="CM32" s="116"/>
      <c r="CN32" s="116"/>
      <c r="CO32" s="223"/>
      <c r="CP32" s="166"/>
      <c r="CQ32" s="213"/>
      <c r="CR32" s="213"/>
      <c r="CS32" s="116"/>
      <c r="CT32" s="116"/>
      <c r="CU32" s="213"/>
      <c r="CV32" s="213"/>
      <c r="CW32" s="128">
        <f t="shared" si="20"/>
        <v>3</v>
      </c>
      <c r="CX32" s="214">
        <f t="shared" si="21"/>
        <v>42.85714286</v>
      </c>
      <c r="CY32" s="171"/>
      <c r="CZ32" s="171"/>
      <c r="DA32" s="171"/>
      <c r="DB32" s="171"/>
      <c r="DC32" s="171"/>
      <c r="DD32" s="171"/>
      <c r="DE32" s="171"/>
      <c r="DF32" s="171"/>
      <c r="DG32" s="171"/>
      <c r="DH32" s="171"/>
      <c r="DI32" s="171"/>
      <c r="DJ32" s="171"/>
      <c r="DK32" s="128">
        <f t="shared" si="22"/>
        <v>0</v>
      </c>
      <c r="DL32" s="158" t="str">
        <f t="shared" si="23"/>
        <v>#DIV/0!</v>
      </c>
    </row>
    <row r="33" ht="15.75" customHeight="1">
      <c r="A33" s="146">
        <v>24.0</v>
      </c>
      <c r="B33" s="111" t="s">
        <v>98</v>
      </c>
      <c r="C33" s="112" t="s">
        <v>99</v>
      </c>
      <c r="D33" s="98">
        <f t="shared" si="8"/>
        <v>18</v>
      </c>
      <c r="E33" s="130">
        <f t="shared" si="9"/>
        <v>45</v>
      </c>
      <c r="F33" s="114">
        <f t="shared" si="10"/>
        <v>45</v>
      </c>
      <c r="G33" s="149" t="str">
        <f t="shared" si="11"/>
        <v>  </v>
      </c>
      <c r="H33" s="180"/>
      <c r="I33" s="203"/>
      <c r="J33" s="180"/>
      <c r="K33" s="180"/>
      <c r="L33" s="204"/>
      <c r="M33" s="139">
        <f t="shared" si="12"/>
        <v>0</v>
      </c>
      <c r="N33" s="140" t="str">
        <f t="shared" si="13"/>
        <v>#DIV/0!</v>
      </c>
      <c r="O33" s="116"/>
      <c r="P33" s="116"/>
      <c r="Q33" s="116"/>
      <c r="R33" s="207"/>
      <c r="S33" s="207"/>
      <c r="T33" s="116"/>
      <c r="U33" s="116"/>
      <c r="V33" s="207"/>
      <c r="W33" s="116"/>
      <c r="X33" s="138">
        <v>1.0</v>
      </c>
      <c r="Y33" s="234">
        <v>1.0</v>
      </c>
      <c r="Z33" s="185"/>
      <c r="AA33" s="217"/>
      <c r="AB33" s="138">
        <v>1.0</v>
      </c>
      <c r="AC33" s="234">
        <v>1.0</v>
      </c>
      <c r="AD33" s="116"/>
      <c r="AE33" s="206"/>
      <c r="AF33" s="209">
        <v>1.0</v>
      </c>
      <c r="AG33" s="209">
        <v>1.0</v>
      </c>
      <c r="AH33" s="209">
        <v>1.0</v>
      </c>
      <c r="AI33" s="206"/>
      <c r="AJ33" s="139">
        <f t="shared" si="14"/>
        <v>7</v>
      </c>
      <c r="AK33" s="205">
        <f t="shared" si="15"/>
        <v>63.63636364</v>
      </c>
      <c r="AL33" s="116"/>
      <c r="AM33" s="116"/>
      <c r="AN33" s="207"/>
      <c r="AO33" s="234">
        <v>1.0</v>
      </c>
      <c r="AP33" s="138">
        <v>1.0</v>
      </c>
      <c r="AQ33" s="116"/>
      <c r="AR33" s="116"/>
      <c r="AS33" s="191">
        <v>1.0</v>
      </c>
      <c r="AT33" s="116"/>
      <c r="AU33" s="138">
        <v>1.0</v>
      </c>
      <c r="AV33" s="116"/>
      <c r="AW33" s="207"/>
      <c r="AX33" s="138">
        <v>1.0</v>
      </c>
      <c r="AY33" s="138">
        <v>1.0</v>
      </c>
      <c r="AZ33" s="180"/>
      <c r="BA33" s="180"/>
      <c r="BB33" s="204"/>
      <c r="BC33" s="204"/>
      <c r="BD33" s="181"/>
      <c r="BE33" s="181"/>
      <c r="BF33" s="181"/>
      <c r="BG33" s="139">
        <f t="shared" si="16"/>
        <v>6</v>
      </c>
      <c r="BH33" s="208">
        <f t="shared" si="17"/>
        <v>42.85714286</v>
      </c>
      <c r="BI33" s="180"/>
      <c r="BJ33" s="180"/>
      <c r="BK33" s="180"/>
      <c r="BL33" s="138">
        <v>1.0</v>
      </c>
      <c r="BM33" s="116"/>
      <c r="BN33" s="138">
        <v>1.0</v>
      </c>
      <c r="BO33" s="116"/>
      <c r="BP33" s="116"/>
      <c r="BQ33" s="165"/>
      <c r="BR33" s="196">
        <v>1.0</v>
      </c>
      <c r="BS33" s="116"/>
      <c r="BT33" s="116"/>
      <c r="BU33" s="43"/>
      <c r="BV33" s="43"/>
      <c r="BW33" s="198"/>
      <c r="BX33" s="116"/>
      <c r="BY33" s="116"/>
      <c r="BZ33" s="165"/>
      <c r="CA33" s="165"/>
      <c r="CB33" s="165"/>
      <c r="CC33" s="165"/>
      <c r="CD33" s="165"/>
      <c r="CE33" s="124">
        <f t="shared" si="18"/>
        <v>3</v>
      </c>
      <c r="CF33" s="173">
        <f t="shared" si="19"/>
        <v>37.5</v>
      </c>
      <c r="CG33" s="234">
        <v>1.0</v>
      </c>
      <c r="CH33" s="234">
        <v>1.0</v>
      </c>
      <c r="CI33" s="238"/>
      <c r="CJ33" s="116"/>
      <c r="CK33" s="116"/>
      <c r="CL33" s="116"/>
      <c r="CM33" s="116"/>
      <c r="CN33" s="116"/>
      <c r="CO33" s="116"/>
      <c r="CP33" s="166"/>
      <c r="CQ33" s="213"/>
      <c r="CR33" s="213"/>
      <c r="CS33" s="116"/>
      <c r="CT33" s="116"/>
      <c r="CU33" s="116"/>
      <c r="CV33" s="213"/>
      <c r="CW33" s="128">
        <f t="shared" si="20"/>
        <v>2</v>
      </c>
      <c r="CX33" s="214">
        <f t="shared" si="21"/>
        <v>28.57142857</v>
      </c>
      <c r="CY33" s="171"/>
      <c r="CZ33" s="171"/>
      <c r="DA33" s="171"/>
      <c r="DB33" s="171"/>
      <c r="DC33" s="171"/>
      <c r="DD33" s="171"/>
      <c r="DE33" s="171"/>
      <c r="DF33" s="171"/>
      <c r="DG33" s="171"/>
      <c r="DH33" s="171"/>
      <c r="DI33" s="171"/>
      <c r="DJ33" s="171"/>
      <c r="DK33" s="128">
        <f t="shared" si="22"/>
        <v>0</v>
      </c>
      <c r="DL33" s="158" t="str">
        <f t="shared" si="23"/>
        <v>#DIV/0!</v>
      </c>
    </row>
    <row r="34" ht="15.75" customHeight="1">
      <c r="A34" s="50">
        <v>25.0</v>
      </c>
      <c r="B34" s="111" t="s">
        <v>100</v>
      </c>
      <c r="C34" s="112" t="s">
        <v>101</v>
      </c>
      <c r="D34" s="98">
        <f t="shared" si="8"/>
        <v>24</v>
      </c>
      <c r="E34" s="130">
        <f t="shared" si="9"/>
        <v>60</v>
      </c>
      <c r="F34" s="92" t="str">
        <f t="shared" si="10"/>
        <v>  </v>
      </c>
      <c r="G34" s="149" t="str">
        <f t="shared" si="11"/>
        <v>  </v>
      </c>
      <c r="H34" s="180"/>
      <c r="I34" s="221"/>
      <c r="J34" s="221"/>
      <c r="K34" s="180"/>
      <c r="L34" s="204"/>
      <c r="M34" s="139">
        <f t="shared" si="12"/>
        <v>0</v>
      </c>
      <c r="N34" s="140" t="str">
        <f t="shared" si="13"/>
        <v>#DIV/0!</v>
      </c>
      <c r="O34" s="116"/>
      <c r="P34" s="116"/>
      <c r="Q34" s="180"/>
      <c r="R34" s="207"/>
      <c r="S34" s="207"/>
      <c r="T34" s="116"/>
      <c r="U34" s="116"/>
      <c r="V34" s="207"/>
      <c r="W34" s="116"/>
      <c r="X34" s="138">
        <v>1.0</v>
      </c>
      <c r="Y34" s="234">
        <v>1.0</v>
      </c>
      <c r="Z34" s="185"/>
      <c r="AA34" s="217"/>
      <c r="AB34" s="138">
        <v>1.0</v>
      </c>
      <c r="AC34" s="234">
        <v>1.0</v>
      </c>
      <c r="AD34" s="138">
        <v>1.0</v>
      </c>
      <c r="AE34" s="116"/>
      <c r="AF34" s="209">
        <v>1.0</v>
      </c>
      <c r="AG34" s="209">
        <v>1.0</v>
      </c>
      <c r="AH34" s="209">
        <v>1.0</v>
      </c>
      <c r="AI34" s="138">
        <v>1.0</v>
      </c>
      <c r="AJ34" s="139">
        <f t="shared" si="14"/>
        <v>9</v>
      </c>
      <c r="AK34" s="205">
        <f t="shared" si="15"/>
        <v>81.81818182</v>
      </c>
      <c r="AL34" s="116"/>
      <c r="AM34" s="116"/>
      <c r="AN34" s="207"/>
      <c r="AO34" s="234">
        <v>1.0</v>
      </c>
      <c r="AP34" s="234">
        <v>1.0</v>
      </c>
      <c r="AQ34" s="116"/>
      <c r="AR34" s="116"/>
      <c r="AS34" s="166"/>
      <c r="AT34" s="138">
        <v>1.0</v>
      </c>
      <c r="AU34" s="138">
        <v>1.0</v>
      </c>
      <c r="AV34" s="116"/>
      <c r="AW34" s="207"/>
      <c r="AX34" s="116"/>
      <c r="AY34" s="138">
        <v>1.0</v>
      </c>
      <c r="AZ34" s="116"/>
      <c r="BA34" s="180"/>
      <c r="BB34" s="138">
        <v>1.0</v>
      </c>
      <c r="BC34" s="218">
        <v>1.0</v>
      </c>
      <c r="BD34" s="181"/>
      <c r="BE34" s="181"/>
      <c r="BF34" s="219">
        <v>1.0</v>
      </c>
      <c r="BG34" s="139">
        <f t="shared" si="16"/>
        <v>8</v>
      </c>
      <c r="BH34" s="208">
        <f t="shared" si="17"/>
        <v>57.14285714</v>
      </c>
      <c r="BI34" s="138">
        <v>1.0</v>
      </c>
      <c r="BJ34" s="138">
        <v>1.0</v>
      </c>
      <c r="BK34" s="180"/>
      <c r="BL34" s="138">
        <v>1.0</v>
      </c>
      <c r="BM34" s="116"/>
      <c r="BN34" s="138">
        <v>1.0</v>
      </c>
      <c r="BO34" s="138">
        <v>1.0</v>
      </c>
      <c r="BP34" s="116"/>
      <c r="BQ34" s="165"/>
      <c r="BR34" s="196">
        <v>1.0</v>
      </c>
      <c r="BS34" s="116"/>
      <c r="BT34" s="116"/>
      <c r="BU34" s="43"/>
      <c r="BV34" s="43"/>
      <c r="BW34" s="198"/>
      <c r="BX34" s="43"/>
      <c r="BY34" s="116"/>
      <c r="BZ34" s="165"/>
      <c r="CA34" s="116"/>
      <c r="CB34" s="165"/>
      <c r="CC34" s="165"/>
      <c r="CD34" s="165"/>
      <c r="CE34" s="124">
        <f t="shared" si="18"/>
        <v>6</v>
      </c>
      <c r="CF34" s="173">
        <f t="shared" si="19"/>
        <v>75</v>
      </c>
      <c r="CG34" s="116"/>
      <c r="CH34" s="116"/>
      <c r="CI34" s="138">
        <v>1.0</v>
      </c>
      <c r="CJ34" s="116"/>
      <c r="CK34" s="116"/>
      <c r="CL34" s="116"/>
      <c r="CM34" s="116"/>
      <c r="CN34" s="116"/>
      <c r="CO34" s="116"/>
      <c r="CP34" s="166"/>
      <c r="CQ34" s="213"/>
      <c r="CR34" s="213"/>
      <c r="CS34" s="116"/>
      <c r="CT34" s="116"/>
      <c r="CU34" s="116"/>
      <c r="CV34" s="213"/>
      <c r="CW34" s="128">
        <f t="shared" si="20"/>
        <v>1</v>
      </c>
      <c r="CX34" s="214">
        <f t="shared" si="21"/>
        <v>14.28571429</v>
      </c>
      <c r="CY34" s="171"/>
      <c r="CZ34" s="171"/>
      <c r="DA34" s="171"/>
      <c r="DB34" s="171"/>
      <c r="DC34" s="171"/>
      <c r="DD34" s="171"/>
      <c r="DE34" s="171"/>
      <c r="DF34" s="171"/>
      <c r="DG34" s="171"/>
      <c r="DH34" s="171"/>
      <c r="DI34" s="171"/>
      <c r="DJ34" s="171"/>
      <c r="DK34" s="128">
        <f t="shared" si="22"/>
        <v>0</v>
      </c>
      <c r="DL34" s="158" t="str">
        <f t="shared" si="23"/>
        <v>#DIV/0!</v>
      </c>
    </row>
    <row r="35" ht="15.75" customHeight="1">
      <c r="A35" s="131">
        <v>26.0</v>
      </c>
      <c r="B35" s="111" t="s">
        <v>102</v>
      </c>
      <c r="C35" s="112" t="s">
        <v>103</v>
      </c>
      <c r="D35" s="98">
        <f t="shared" si="8"/>
        <v>13</v>
      </c>
      <c r="E35" s="130">
        <f t="shared" si="9"/>
        <v>32.5</v>
      </c>
      <c r="F35" s="114">
        <f t="shared" si="10"/>
        <v>32.5</v>
      </c>
      <c r="G35" s="149" t="str">
        <f t="shared" si="11"/>
        <v>  </v>
      </c>
      <c r="H35" s="203"/>
      <c r="I35" s="180"/>
      <c r="J35" s="180"/>
      <c r="K35" s="180"/>
      <c r="L35" s="204"/>
      <c r="M35" s="139">
        <f t="shared" si="12"/>
        <v>0</v>
      </c>
      <c r="N35" s="140" t="str">
        <f t="shared" si="13"/>
        <v>#DIV/0!</v>
      </c>
      <c r="O35" s="116"/>
      <c r="P35" s="116"/>
      <c r="Q35" s="180"/>
      <c r="R35" s="179"/>
      <c r="S35" s="116"/>
      <c r="T35" s="116"/>
      <c r="U35" s="116"/>
      <c r="V35" s="179"/>
      <c r="W35" s="116"/>
      <c r="X35" s="116"/>
      <c r="Y35" s="179"/>
      <c r="Z35" s="185"/>
      <c r="AA35" s="217"/>
      <c r="AB35" s="138">
        <v>1.0</v>
      </c>
      <c r="AC35" s="184">
        <v>1.0</v>
      </c>
      <c r="AD35" s="116"/>
      <c r="AE35" s="116"/>
      <c r="AF35" s="176"/>
      <c r="AG35" s="176"/>
      <c r="AH35" s="182">
        <v>1.0</v>
      </c>
      <c r="AI35" s="176"/>
      <c r="AJ35" s="139">
        <f t="shared" si="14"/>
        <v>3</v>
      </c>
      <c r="AK35" s="205">
        <f t="shared" si="15"/>
        <v>27.27272727</v>
      </c>
      <c r="AL35" s="222"/>
      <c r="AM35" s="179"/>
      <c r="AN35" s="179"/>
      <c r="AO35" s="179"/>
      <c r="AP35" s="179"/>
      <c r="AQ35" s="116"/>
      <c r="AR35" s="116"/>
      <c r="AS35" s="166"/>
      <c r="AT35" s="116"/>
      <c r="AU35" s="116"/>
      <c r="AV35" s="116"/>
      <c r="AW35" s="179"/>
      <c r="AX35" s="116"/>
      <c r="AY35" s="138">
        <v>1.0</v>
      </c>
      <c r="AZ35" s="116"/>
      <c r="BA35" s="180"/>
      <c r="BB35" s="116"/>
      <c r="BC35" s="204"/>
      <c r="BD35" s="219">
        <v>1.0</v>
      </c>
      <c r="BE35" s="219">
        <v>1.0</v>
      </c>
      <c r="BF35" s="181"/>
      <c r="BG35" s="139">
        <f t="shared" si="16"/>
        <v>3</v>
      </c>
      <c r="BH35" s="208">
        <f t="shared" si="17"/>
        <v>21.42857143</v>
      </c>
      <c r="BI35" s="116"/>
      <c r="BJ35" s="116"/>
      <c r="BK35" s="180"/>
      <c r="BL35" s="138">
        <v>1.0</v>
      </c>
      <c r="BM35" s="116"/>
      <c r="BN35" s="116"/>
      <c r="BO35" s="138">
        <v>1.0</v>
      </c>
      <c r="BP35" s="138">
        <v>1.0</v>
      </c>
      <c r="BQ35" s="116"/>
      <c r="BR35" s="196">
        <v>1.0</v>
      </c>
      <c r="BS35" s="116"/>
      <c r="BT35" s="116"/>
      <c r="BU35" s="43"/>
      <c r="BV35" s="43"/>
      <c r="BW35" s="198"/>
      <c r="BX35" s="43"/>
      <c r="BY35" s="116"/>
      <c r="BZ35" s="165"/>
      <c r="CA35" s="116"/>
      <c r="CB35" s="116"/>
      <c r="CC35" s="165"/>
      <c r="CD35" s="165"/>
      <c r="CE35" s="124">
        <f t="shared" si="18"/>
        <v>4</v>
      </c>
      <c r="CF35" s="173">
        <f t="shared" si="19"/>
        <v>50</v>
      </c>
      <c r="CG35" s="184">
        <v>1.0</v>
      </c>
      <c r="CH35" s="184">
        <v>1.0</v>
      </c>
      <c r="CI35" s="116"/>
      <c r="CJ35" s="138">
        <v>1.0</v>
      </c>
      <c r="CK35" s="116"/>
      <c r="CL35" s="116"/>
      <c r="CM35" s="116"/>
      <c r="CN35" s="223"/>
      <c r="CO35" s="223"/>
      <c r="CP35" s="166"/>
      <c r="CQ35" s="213"/>
      <c r="CR35" s="213"/>
      <c r="CS35" s="213"/>
      <c r="CT35" s="213"/>
      <c r="CU35" s="213"/>
      <c r="CV35" s="213"/>
      <c r="CW35" s="128">
        <f t="shared" si="20"/>
        <v>3</v>
      </c>
      <c r="CX35" s="214">
        <f t="shared" si="21"/>
        <v>42.85714286</v>
      </c>
      <c r="CY35" s="171"/>
      <c r="CZ35" s="171"/>
      <c r="DA35" s="171"/>
      <c r="DB35" s="171"/>
      <c r="DC35" s="171"/>
      <c r="DD35" s="171"/>
      <c r="DE35" s="171"/>
      <c r="DF35" s="171"/>
      <c r="DG35" s="171"/>
      <c r="DH35" s="171"/>
      <c r="DI35" s="171"/>
      <c r="DJ35" s="171"/>
      <c r="DK35" s="128">
        <f t="shared" si="22"/>
        <v>0</v>
      </c>
      <c r="DL35" s="158" t="str">
        <f t="shared" si="23"/>
        <v>#DIV/0!</v>
      </c>
    </row>
    <row r="36" ht="15.75" customHeight="1">
      <c r="A36" s="146">
        <v>27.0</v>
      </c>
      <c r="B36" s="111" t="s">
        <v>104</v>
      </c>
      <c r="C36" s="112" t="s">
        <v>105</v>
      </c>
      <c r="D36" s="98">
        <f t="shared" si="8"/>
        <v>21</v>
      </c>
      <c r="E36" s="130">
        <f t="shared" si="9"/>
        <v>52.5</v>
      </c>
      <c r="F36" s="92" t="str">
        <f t="shared" si="10"/>
        <v>  </v>
      </c>
      <c r="G36" s="149" t="str">
        <f t="shared" si="11"/>
        <v>  </v>
      </c>
      <c r="H36" s="180"/>
      <c r="I36" s="180"/>
      <c r="J36" s="180"/>
      <c r="K36" s="180"/>
      <c r="L36" s="204"/>
      <c r="M36" s="139">
        <f t="shared" si="12"/>
        <v>0</v>
      </c>
      <c r="N36" s="140" t="str">
        <f t="shared" si="13"/>
        <v>#DIV/0!</v>
      </c>
      <c r="O36" s="116"/>
      <c r="P36" s="116"/>
      <c r="Q36" s="180"/>
      <c r="R36" s="179"/>
      <c r="S36" s="179"/>
      <c r="T36" s="116"/>
      <c r="U36" s="116"/>
      <c r="V36" s="179"/>
      <c r="W36" s="116"/>
      <c r="X36" s="138">
        <v>1.0</v>
      </c>
      <c r="Y36" s="184">
        <v>1.0</v>
      </c>
      <c r="Z36" s="185"/>
      <c r="AA36" s="217"/>
      <c r="AB36" s="138">
        <v>1.0</v>
      </c>
      <c r="AC36" s="184">
        <v>1.0</v>
      </c>
      <c r="AD36" s="138">
        <v>1.0</v>
      </c>
      <c r="AE36" s="116"/>
      <c r="AF36" s="176"/>
      <c r="AG36" s="182">
        <v>1.0</v>
      </c>
      <c r="AH36" s="138">
        <v>1.0</v>
      </c>
      <c r="AI36" s="182">
        <v>1.0</v>
      </c>
      <c r="AJ36" s="139">
        <f t="shared" si="14"/>
        <v>8</v>
      </c>
      <c r="AK36" s="205">
        <f t="shared" si="15"/>
        <v>72.72727273</v>
      </c>
      <c r="AL36" s="222"/>
      <c r="AM36" s="179"/>
      <c r="AN36" s="179"/>
      <c r="AO36" s="184">
        <v>1.0</v>
      </c>
      <c r="AP36" s="138">
        <v>1.0</v>
      </c>
      <c r="AQ36" s="116"/>
      <c r="AR36" s="116"/>
      <c r="AS36" s="191">
        <v>1.0</v>
      </c>
      <c r="AT36" s="116"/>
      <c r="AU36" s="116"/>
      <c r="AV36" s="138">
        <v>1.0</v>
      </c>
      <c r="AW36" s="179"/>
      <c r="AX36" s="138">
        <v>1.0</v>
      </c>
      <c r="AY36" s="116"/>
      <c r="AZ36" s="116"/>
      <c r="BA36" s="180"/>
      <c r="BB36" s="138">
        <v>1.0</v>
      </c>
      <c r="BC36" s="138">
        <v>1.0</v>
      </c>
      <c r="BD36" s="188">
        <v>1.0</v>
      </c>
      <c r="BE36" s="188">
        <v>1.0</v>
      </c>
      <c r="BF36" s="194"/>
      <c r="BG36" s="139">
        <f t="shared" si="16"/>
        <v>9</v>
      </c>
      <c r="BH36" s="208">
        <f t="shared" si="17"/>
        <v>64.28571429</v>
      </c>
      <c r="BI36" s="116"/>
      <c r="BJ36" s="116"/>
      <c r="BK36" s="180"/>
      <c r="BL36" s="116"/>
      <c r="BM36" s="116"/>
      <c r="BN36" s="138">
        <v>1.0</v>
      </c>
      <c r="BO36" s="116"/>
      <c r="BP36" s="116"/>
      <c r="BQ36" s="196">
        <v>1.0</v>
      </c>
      <c r="BR36" s="196">
        <v>1.0</v>
      </c>
      <c r="BS36" s="116"/>
      <c r="BT36" s="116"/>
      <c r="BU36" s="43"/>
      <c r="BV36" s="43"/>
      <c r="BW36" s="198"/>
      <c r="BX36" s="116"/>
      <c r="BY36" s="116"/>
      <c r="BZ36" s="165"/>
      <c r="CA36" s="116"/>
      <c r="CB36" s="165"/>
      <c r="CC36" s="165"/>
      <c r="CD36" s="165"/>
      <c r="CE36" s="124">
        <f t="shared" si="18"/>
        <v>3</v>
      </c>
      <c r="CF36" s="173">
        <f t="shared" si="19"/>
        <v>37.5</v>
      </c>
      <c r="CG36" s="116"/>
      <c r="CH36" s="116"/>
      <c r="CI36" s="230">
        <v>1.0</v>
      </c>
      <c r="CJ36" s="116"/>
      <c r="CK36" s="116"/>
      <c r="CL36" s="116"/>
      <c r="CM36" s="116"/>
      <c r="CN36" s="223"/>
      <c r="CO36" s="116"/>
      <c r="CP36" s="166"/>
      <c r="CQ36" s="213"/>
      <c r="CR36" s="213"/>
      <c r="CS36" s="116"/>
      <c r="CT36" s="213"/>
      <c r="CU36" s="213"/>
      <c r="CV36" s="213"/>
      <c r="CW36" s="128">
        <f t="shared" si="20"/>
        <v>1</v>
      </c>
      <c r="CX36" s="214">
        <f t="shared" si="21"/>
        <v>14.28571429</v>
      </c>
      <c r="CY36" s="171"/>
      <c r="CZ36" s="171"/>
      <c r="DA36" s="171"/>
      <c r="DB36" s="171"/>
      <c r="DC36" s="171"/>
      <c r="DD36" s="171"/>
      <c r="DE36" s="171"/>
      <c r="DF36" s="171"/>
      <c r="DG36" s="171"/>
      <c r="DH36" s="171"/>
      <c r="DI36" s="171"/>
      <c r="DJ36" s="171"/>
      <c r="DK36" s="128">
        <f t="shared" si="22"/>
        <v>0</v>
      </c>
      <c r="DL36" s="158" t="str">
        <f t="shared" si="23"/>
        <v>#DIV/0!</v>
      </c>
    </row>
    <row r="37" ht="15.75" customHeight="1">
      <c r="A37" s="50">
        <v>28.0</v>
      </c>
      <c r="B37" s="111" t="s">
        <v>106</v>
      </c>
      <c r="C37" s="112" t="s">
        <v>107</v>
      </c>
      <c r="D37" s="98">
        <f t="shared" si="8"/>
        <v>9</v>
      </c>
      <c r="E37" s="130">
        <f t="shared" si="9"/>
        <v>22.5</v>
      </c>
      <c r="F37" s="114">
        <f t="shared" si="10"/>
        <v>22.5</v>
      </c>
      <c r="G37" s="226">
        <f t="shared" si="11"/>
        <v>22.5</v>
      </c>
      <c r="H37" s="180"/>
      <c r="I37" s="203"/>
      <c r="J37" s="203"/>
      <c r="K37" s="203"/>
      <c r="L37" s="239"/>
      <c r="M37" s="139">
        <f t="shared" si="12"/>
        <v>0</v>
      </c>
      <c r="N37" s="140" t="str">
        <f t="shared" si="13"/>
        <v>#DIV/0!</v>
      </c>
      <c r="O37" s="116"/>
      <c r="P37" s="116"/>
      <c r="Q37" s="180"/>
      <c r="R37" s="179"/>
      <c r="S37" s="179"/>
      <c r="T37" s="116"/>
      <c r="U37" s="116"/>
      <c r="V37" s="179"/>
      <c r="W37" s="116"/>
      <c r="X37" s="116"/>
      <c r="Y37" s="179"/>
      <c r="Z37" s="185"/>
      <c r="AA37" s="217"/>
      <c r="AB37" s="116"/>
      <c r="AC37" s="179"/>
      <c r="AD37" s="176"/>
      <c r="AE37" s="176"/>
      <c r="AF37" s="176"/>
      <c r="AG37" s="176"/>
      <c r="AH37" s="176"/>
      <c r="AI37" s="182">
        <v>1.0</v>
      </c>
      <c r="AJ37" s="139">
        <f t="shared" si="14"/>
        <v>1</v>
      </c>
      <c r="AK37" s="205">
        <f t="shared" si="15"/>
        <v>9.090909091</v>
      </c>
      <c r="AL37" s="235">
        <v>1.0</v>
      </c>
      <c r="AM37" s="179"/>
      <c r="AN37" s="179"/>
      <c r="AO37" s="184">
        <v>1.0</v>
      </c>
      <c r="AP37" s="184"/>
      <c r="AQ37" s="116"/>
      <c r="AR37" s="116"/>
      <c r="AS37" s="166"/>
      <c r="AT37" s="138">
        <v>1.0</v>
      </c>
      <c r="AU37" s="138">
        <v>1.0</v>
      </c>
      <c r="AV37" s="138">
        <v>1.0</v>
      </c>
      <c r="AW37" s="179"/>
      <c r="AX37" s="116"/>
      <c r="AY37" s="116"/>
      <c r="AZ37" s="116"/>
      <c r="BA37" s="180"/>
      <c r="BB37" s="138">
        <v>1.0</v>
      </c>
      <c r="BC37" s="204"/>
      <c r="BD37" s="219">
        <v>1.0</v>
      </c>
      <c r="BE37" s="181"/>
      <c r="BF37" s="181"/>
      <c r="BG37" s="139">
        <f t="shared" si="16"/>
        <v>6</v>
      </c>
      <c r="BH37" s="208">
        <f t="shared" si="17"/>
        <v>42.85714286</v>
      </c>
      <c r="BI37" s="116"/>
      <c r="BJ37" s="116"/>
      <c r="BK37" s="180"/>
      <c r="BL37" s="138">
        <v>1.0</v>
      </c>
      <c r="BM37" s="116"/>
      <c r="BN37" s="116"/>
      <c r="BO37" s="116"/>
      <c r="BP37" s="116"/>
      <c r="BQ37" s="116"/>
      <c r="BR37" s="196">
        <v>1.0</v>
      </c>
      <c r="BS37" s="116"/>
      <c r="BT37" s="116"/>
      <c r="BV37" s="116"/>
      <c r="BW37" s="198"/>
      <c r="BX37" s="43"/>
      <c r="BY37" s="116"/>
      <c r="BZ37" s="165"/>
      <c r="CA37" s="116"/>
      <c r="CB37" s="116"/>
      <c r="CC37" s="165"/>
      <c r="CD37" s="165"/>
      <c r="CE37" s="124">
        <f t="shared" si="18"/>
        <v>2</v>
      </c>
      <c r="CF37" s="173">
        <f t="shared" si="19"/>
        <v>25</v>
      </c>
      <c r="CG37" s="179"/>
      <c r="CH37" s="179"/>
      <c r="CI37" s="116"/>
      <c r="CJ37" s="186"/>
      <c r="CK37" s="231"/>
      <c r="CL37" s="231"/>
      <c r="CM37" s="231"/>
      <c r="CN37" s="223"/>
      <c r="CO37" s="116"/>
      <c r="CP37" s="166"/>
      <c r="CQ37" s="213"/>
      <c r="CR37" s="213"/>
      <c r="CS37" s="213"/>
      <c r="CT37" s="116"/>
      <c r="CU37" s="116"/>
      <c r="CV37" s="213"/>
      <c r="CW37" s="128">
        <f t="shared" si="20"/>
        <v>0</v>
      </c>
      <c r="CX37" s="214">
        <f t="shared" si="21"/>
        <v>0</v>
      </c>
      <c r="CY37" s="171"/>
      <c r="CZ37" s="171"/>
      <c r="DA37" s="171"/>
      <c r="DB37" s="171"/>
      <c r="DC37" s="171"/>
      <c r="DD37" s="171"/>
      <c r="DE37" s="171"/>
      <c r="DF37" s="171"/>
      <c r="DG37" s="171"/>
      <c r="DH37" s="171"/>
      <c r="DI37" s="171"/>
      <c r="DJ37" s="171"/>
      <c r="DK37" s="128">
        <f t="shared" si="22"/>
        <v>0</v>
      </c>
      <c r="DL37" s="158" t="str">
        <f t="shared" si="23"/>
        <v>#DIV/0!</v>
      </c>
    </row>
    <row r="38" ht="15.75" customHeight="1">
      <c r="A38" s="131">
        <v>29.0</v>
      </c>
      <c r="B38" s="111" t="s">
        <v>108</v>
      </c>
      <c r="C38" s="112" t="s">
        <v>109</v>
      </c>
      <c r="D38" s="98">
        <f t="shared" si="8"/>
        <v>14</v>
      </c>
      <c r="E38" s="130">
        <f t="shared" si="9"/>
        <v>35</v>
      </c>
      <c r="F38" s="114">
        <f t="shared" si="10"/>
        <v>35</v>
      </c>
      <c r="G38" s="149" t="str">
        <f t="shared" si="11"/>
        <v>  </v>
      </c>
      <c r="H38" s="180"/>
      <c r="I38" s="203"/>
      <c r="J38" s="203"/>
      <c r="K38" s="203"/>
      <c r="L38" s="239"/>
      <c r="M38" s="139">
        <f t="shared" si="12"/>
        <v>0</v>
      </c>
      <c r="N38" s="140" t="str">
        <f t="shared" si="13"/>
        <v>#DIV/0!</v>
      </c>
      <c r="O38" s="116"/>
      <c r="P38" s="116"/>
      <c r="Q38" s="180"/>
      <c r="R38" s="179"/>
      <c r="S38" s="116"/>
      <c r="T38" s="116"/>
      <c r="U38" s="116"/>
      <c r="V38" s="179"/>
      <c r="W38" s="116"/>
      <c r="X38" s="116"/>
      <c r="Y38" s="179"/>
      <c r="Z38" s="185"/>
      <c r="AA38" s="217"/>
      <c r="AB38" s="138">
        <v>1.0</v>
      </c>
      <c r="AC38" s="184">
        <v>1.0</v>
      </c>
      <c r="AD38" s="182">
        <v>1.0</v>
      </c>
      <c r="AE38" s="116"/>
      <c r="AF38" s="176"/>
      <c r="AG38" s="182">
        <v>1.0</v>
      </c>
      <c r="AH38" s="138">
        <v>1.0</v>
      </c>
      <c r="AI38" s="138">
        <v>1.0</v>
      </c>
      <c r="AJ38" s="139">
        <f t="shared" si="14"/>
        <v>6</v>
      </c>
      <c r="AK38" s="205">
        <f t="shared" si="15"/>
        <v>54.54545455</v>
      </c>
      <c r="AL38" s="222"/>
      <c r="AM38" s="179"/>
      <c r="AN38" s="179"/>
      <c r="AO38" s="179"/>
      <c r="AP38" s="184"/>
      <c r="AQ38" s="116"/>
      <c r="AR38" s="116"/>
      <c r="AS38" s="166"/>
      <c r="AT38" s="138">
        <v>1.0</v>
      </c>
      <c r="AU38" s="138">
        <v>1.0</v>
      </c>
      <c r="AV38" s="116"/>
      <c r="AW38" s="179"/>
      <c r="AX38" s="116"/>
      <c r="AY38" s="138">
        <v>1.0</v>
      </c>
      <c r="AZ38" s="180"/>
      <c r="BA38" s="180"/>
      <c r="BB38" s="204"/>
      <c r="BC38" s="204"/>
      <c r="BD38" s="181"/>
      <c r="BE38" s="181"/>
      <c r="BF38" s="181"/>
      <c r="BG38" s="139">
        <f t="shared" si="16"/>
        <v>3</v>
      </c>
      <c r="BH38" s="208">
        <f t="shared" si="17"/>
        <v>21.42857143</v>
      </c>
      <c r="BI38" s="116"/>
      <c r="BJ38" s="116"/>
      <c r="BK38" s="180"/>
      <c r="BL38" s="116"/>
      <c r="BM38" s="116"/>
      <c r="BN38" s="138">
        <v>1.0</v>
      </c>
      <c r="BO38" s="138">
        <v>1.0</v>
      </c>
      <c r="BP38" s="116"/>
      <c r="BQ38" s="116"/>
      <c r="BR38" s="196">
        <v>1.0</v>
      </c>
      <c r="BS38" s="116"/>
      <c r="BT38" s="116"/>
      <c r="BU38" s="43"/>
      <c r="BV38" s="43"/>
      <c r="BW38" s="198"/>
      <c r="BX38" s="116"/>
      <c r="BY38" s="116"/>
      <c r="BZ38" s="165"/>
      <c r="CA38" s="116"/>
      <c r="CB38" s="116"/>
      <c r="CC38" s="165"/>
      <c r="CD38" s="165"/>
      <c r="CE38" s="124">
        <f t="shared" si="18"/>
        <v>3</v>
      </c>
      <c r="CF38" s="173">
        <f t="shared" si="19"/>
        <v>37.5</v>
      </c>
      <c r="CG38" s="138">
        <v>1.0</v>
      </c>
      <c r="CH38" s="138">
        <v>1.0</v>
      </c>
      <c r="CI38" s="116"/>
      <c r="CJ38" s="116"/>
      <c r="CK38" s="116"/>
      <c r="CL38" s="116"/>
      <c r="CM38" s="116"/>
      <c r="CN38" s="223"/>
      <c r="CO38" s="116"/>
      <c r="CP38" s="166"/>
      <c r="CQ38" s="213"/>
      <c r="CR38" s="213"/>
      <c r="CS38" s="116"/>
      <c r="CT38" s="116"/>
      <c r="CU38" s="213"/>
      <c r="CV38" s="213"/>
      <c r="CW38" s="128">
        <f t="shared" si="20"/>
        <v>2</v>
      </c>
      <c r="CX38" s="214">
        <f t="shared" si="21"/>
        <v>28.57142857</v>
      </c>
      <c r="CY38" s="171"/>
      <c r="CZ38" s="171"/>
      <c r="DA38" s="171"/>
      <c r="DB38" s="171"/>
      <c r="DC38" s="171"/>
      <c r="DD38" s="171"/>
      <c r="DE38" s="171"/>
      <c r="DF38" s="171"/>
      <c r="DG38" s="171"/>
      <c r="DH38" s="171"/>
      <c r="DI38" s="171"/>
      <c r="DJ38" s="171"/>
      <c r="DK38" s="128">
        <f t="shared" si="22"/>
        <v>0</v>
      </c>
      <c r="DL38" s="158" t="str">
        <f t="shared" si="23"/>
        <v>#DIV/0!</v>
      </c>
    </row>
    <row r="39" ht="15.75" customHeight="1">
      <c r="A39" s="146">
        <v>30.0</v>
      </c>
      <c r="B39" s="111" t="s">
        <v>110</v>
      </c>
      <c r="C39" s="112" t="s">
        <v>111</v>
      </c>
      <c r="D39" s="98">
        <f t="shared" si="8"/>
        <v>25</v>
      </c>
      <c r="E39" s="130">
        <f t="shared" si="9"/>
        <v>62.5</v>
      </c>
      <c r="F39" s="92" t="str">
        <f t="shared" si="10"/>
        <v>  </v>
      </c>
      <c r="G39" s="149" t="str">
        <f t="shared" si="11"/>
        <v>  </v>
      </c>
      <c r="H39" s="180"/>
      <c r="I39" s="203"/>
      <c r="J39" s="203"/>
      <c r="K39" s="203"/>
      <c r="L39" s="239"/>
      <c r="M39" s="139">
        <f t="shared" si="12"/>
        <v>0</v>
      </c>
      <c r="N39" s="140" t="str">
        <f t="shared" si="13"/>
        <v>#DIV/0!</v>
      </c>
      <c r="O39" s="116"/>
      <c r="P39" s="116"/>
      <c r="Q39" s="180"/>
      <c r="R39" s="179"/>
      <c r="S39" s="116"/>
      <c r="T39" s="116"/>
      <c r="U39" s="116"/>
      <c r="V39" s="179"/>
      <c r="W39" s="116"/>
      <c r="X39" s="116"/>
      <c r="Y39" s="179"/>
      <c r="Z39" s="185"/>
      <c r="AA39" s="217"/>
      <c r="AB39" s="116"/>
      <c r="AC39" s="179"/>
      <c r="AD39" s="116"/>
      <c r="AE39" s="176"/>
      <c r="AF39" s="182">
        <v>1.0</v>
      </c>
      <c r="AG39" s="182">
        <v>1.0</v>
      </c>
      <c r="AH39" s="182">
        <v>1.0</v>
      </c>
      <c r="AI39" s="182">
        <v>1.0</v>
      </c>
      <c r="AJ39" s="139">
        <f t="shared" si="14"/>
        <v>4</v>
      </c>
      <c r="AK39" s="205">
        <f t="shared" si="15"/>
        <v>36.36363636</v>
      </c>
      <c r="AL39" s="116"/>
      <c r="AM39" s="116"/>
      <c r="AN39" s="179"/>
      <c r="AO39" s="184">
        <v>1.0</v>
      </c>
      <c r="AP39" s="138"/>
      <c r="AQ39" s="116"/>
      <c r="AR39" s="116"/>
      <c r="AS39" s="191">
        <v>1.0</v>
      </c>
      <c r="AT39" s="138">
        <v>1.0</v>
      </c>
      <c r="AU39" s="138">
        <v>1.0</v>
      </c>
      <c r="AV39" s="116"/>
      <c r="AW39" s="179"/>
      <c r="AX39" s="116"/>
      <c r="AY39" s="138">
        <v>1.0</v>
      </c>
      <c r="AZ39" s="116"/>
      <c r="BA39" s="180"/>
      <c r="BB39" s="116"/>
      <c r="BC39" s="138">
        <v>1.0</v>
      </c>
      <c r="BD39" s="188">
        <v>1.0</v>
      </c>
      <c r="BE39" s="194"/>
      <c r="BF39" s="194"/>
      <c r="BG39" s="139">
        <f t="shared" si="16"/>
        <v>7</v>
      </c>
      <c r="BH39" s="208">
        <f t="shared" si="17"/>
        <v>50</v>
      </c>
      <c r="BI39" s="138">
        <v>1.0</v>
      </c>
      <c r="BJ39" s="138">
        <v>1.0</v>
      </c>
      <c r="BK39" s="180"/>
      <c r="BL39" s="138">
        <v>1.0</v>
      </c>
      <c r="BM39" s="116"/>
      <c r="BN39" s="138">
        <v>1.0</v>
      </c>
      <c r="BO39" s="138">
        <v>1.0</v>
      </c>
      <c r="BP39" s="138">
        <v>1.0</v>
      </c>
      <c r="BQ39" s="138">
        <v>1.0</v>
      </c>
      <c r="BR39" s="196">
        <v>1.0</v>
      </c>
      <c r="BS39" s="116"/>
      <c r="BT39" s="116"/>
      <c r="BU39" s="43"/>
      <c r="BV39" s="43"/>
      <c r="BW39" s="198"/>
      <c r="BX39" s="116"/>
      <c r="BY39" s="116"/>
      <c r="BZ39" s="165"/>
      <c r="CA39" s="116"/>
      <c r="CB39" s="116"/>
      <c r="CC39" s="165"/>
      <c r="CD39" s="165"/>
      <c r="CE39" s="124">
        <f t="shared" si="18"/>
        <v>8</v>
      </c>
      <c r="CF39" s="173">
        <f t="shared" si="19"/>
        <v>100</v>
      </c>
      <c r="CG39" s="184">
        <v>1.0</v>
      </c>
      <c r="CH39" s="184">
        <v>1.0</v>
      </c>
      <c r="CI39" s="230">
        <v>1.0</v>
      </c>
      <c r="CJ39" s="186"/>
      <c r="CK39" s="138">
        <v>1.0</v>
      </c>
      <c r="CL39" s="138">
        <v>1.0</v>
      </c>
      <c r="CM39" s="138">
        <v>1.0</v>
      </c>
      <c r="CN39" s="223"/>
      <c r="CO39" s="116"/>
      <c r="CP39" s="166"/>
      <c r="CQ39" s="213"/>
      <c r="CR39" s="213"/>
      <c r="CS39" s="213"/>
      <c r="CT39" s="213"/>
      <c r="CU39" s="213"/>
      <c r="CV39" s="213"/>
      <c r="CW39" s="128">
        <f t="shared" si="20"/>
        <v>6</v>
      </c>
      <c r="CX39" s="214">
        <f t="shared" si="21"/>
        <v>85.71428571</v>
      </c>
      <c r="CY39" s="171"/>
      <c r="CZ39" s="171"/>
      <c r="DA39" s="171"/>
      <c r="DB39" s="171"/>
      <c r="DC39" s="171"/>
      <c r="DD39" s="171"/>
      <c r="DE39" s="171"/>
      <c r="DF39" s="171"/>
      <c r="DG39" s="171"/>
      <c r="DH39" s="171"/>
      <c r="DI39" s="171"/>
      <c r="DJ39" s="171"/>
      <c r="DK39" s="128">
        <f t="shared" si="22"/>
        <v>0</v>
      </c>
      <c r="DL39" s="158" t="str">
        <f t="shared" si="23"/>
        <v>#DIV/0!</v>
      </c>
    </row>
    <row r="40" ht="15.75" customHeight="1">
      <c r="A40" s="50">
        <v>31.0</v>
      </c>
      <c r="B40" s="111" t="s">
        <v>112</v>
      </c>
      <c r="C40" s="112" t="s">
        <v>113</v>
      </c>
      <c r="D40" s="98">
        <f t="shared" si="8"/>
        <v>24</v>
      </c>
      <c r="E40" s="130">
        <f t="shared" si="9"/>
        <v>60</v>
      </c>
      <c r="F40" s="114" t="str">
        <f t="shared" si="10"/>
        <v>  </v>
      </c>
      <c r="G40" s="149" t="str">
        <f t="shared" si="11"/>
        <v>  </v>
      </c>
      <c r="H40" s="180"/>
      <c r="I40" s="180"/>
      <c r="J40" s="180"/>
      <c r="K40" s="180"/>
      <c r="L40" s="204"/>
      <c r="M40" s="139">
        <f t="shared" si="12"/>
        <v>0</v>
      </c>
      <c r="N40" s="140" t="str">
        <f t="shared" si="13"/>
        <v>#DIV/0!</v>
      </c>
      <c r="O40" s="116"/>
      <c r="P40" s="116"/>
      <c r="Q40" s="116"/>
      <c r="R40" s="207"/>
      <c r="S40" s="116"/>
      <c r="T40" s="116"/>
      <c r="U40" s="116"/>
      <c r="V40" s="207"/>
      <c r="W40" s="116"/>
      <c r="X40" s="116"/>
      <c r="Y40" s="234">
        <v>1.0</v>
      </c>
      <c r="Z40" s="210">
        <v>1.0</v>
      </c>
      <c r="AA40" s="217"/>
      <c r="AB40" s="138">
        <v>1.0</v>
      </c>
      <c r="AC40" s="207"/>
      <c r="AD40" s="116"/>
      <c r="AE40" s="116"/>
      <c r="AF40" s="209">
        <v>1.0</v>
      </c>
      <c r="AG40" s="209">
        <v>1.0</v>
      </c>
      <c r="AH40" s="138">
        <v>1.0</v>
      </c>
      <c r="AI40" s="138">
        <v>1.0</v>
      </c>
      <c r="AJ40" s="139">
        <f t="shared" si="14"/>
        <v>7</v>
      </c>
      <c r="AK40" s="205">
        <f t="shared" si="15"/>
        <v>63.63636364</v>
      </c>
      <c r="AL40" s="240">
        <v>1.0</v>
      </c>
      <c r="AM40" s="116"/>
      <c r="AN40" s="207"/>
      <c r="AO40" s="207"/>
      <c r="AP40" s="138">
        <v>1.0</v>
      </c>
      <c r="AQ40" s="116"/>
      <c r="AR40" s="116"/>
      <c r="AS40" s="191">
        <v>1.0</v>
      </c>
      <c r="AT40" s="116"/>
      <c r="AU40" s="116"/>
      <c r="AV40" s="116"/>
      <c r="AW40" s="207"/>
      <c r="AX40" s="116"/>
      <c r="AY40" s="138">
        <v>1.0</v>
      </c>
      <c r="AZ40" s="116"/>
      <c r="BA40" s="180"/>
      <c r="BB40" s="116"/>
      <c r="BC40" s="116"/>
      <c r="BD40" s="194"/>
      <c r="BE40" s="188">
        <v>1.0</v>
      </c>
      <c r="BF40" s="188">
        <v>1.0</v>
      </c>
      <c r="BG40" s="139">
        <f t="shared" si="16"/>
        <v>5</v>
      </c>
      <c r="BH40" s="208">
        <f t="shared" si="17"/>
        <v>35.71428571</v>
      </c>
      <c r="BI40" s="138">
        <v>1.0</v>
      </c>
      <c r="BJ40" s="138">
        <v>1.0</v>
      </c>
      <c r="BK40" s="180"/>
      <c r="BL40" s="138">
        <v>1.0</v>
      </c>
      <c r="BM40" s="116"/>
      <c r="BN40" s="138">
        <v>1.0</v>
      </c>
      <c r="BO40" s="138">
        <v>1.0</v>
      </c>
      <c r="BP40" s="138">
        <v>1.0</v>
      </c>
      <c r="BQ40" s="138">
        <v>1.0</v>
      </c>
      <c r="BR40" s="196">
        <v>1.0</v>
      </c>
      <c r="BS40" s="165"/>
      <c r="BT40" s="116"/>
      <c r="BV40" s="116"/>
      <c r="BW40" s="198"/>
      <c r="BX40" s="116"/>
      <c r="BY40" s="116"/>
      <c r="BZ40" s="165"/>
      <c r="CA40" s="116"/>
      <c r="CB40" s="116"/>
      <c r="CC40" s="165"/>
      <c r="CD40" s="165"/>
      <c r="CE40" s="124">
        <f t="shared" si="18"/>
        <v>8</v>
      </c>
      <c r="CF40" s="173">
        <f t="shared" si="19"/>
        <v>100</v>
      </c>
      <c r="CG40" s="138">
        <v>1.0</v>
      </c>
      <c r="CH40" s="138">
        <v>1.0</v>
      </c>
      <c r="CI40" s="230">
        <v>1.0</v>
      </c>
      <c r="CJ40" s="138">
        <v>1.0</v>
      </c>
      <c r="CK40" s="116"/>
      <c r="CL40" s="116"/>
      <c r="CM40" s="116"/>
      <c r="CN40" s="116"/>
      <c r="CO40" s="116"/>
      <c r="CP40" s="166"/>
      <c r="CQ40" s="213"/>
      <c r="CR40" s="213"/>
      <c r="CS40" s="116"/>
      <c r="CT40" s="116"/>
      <c r="CU40" s="116"/>
      <c r="CV40" s="213"/>
      <c r="CW40" s="128">
        <f t="shared" si="20"/>
        <v>4</v>
      </c>
      <c r="CX40" s="214">
        <f t="shared" si="21"/>
        <v>57.14285714</v>
      </c>
      <c r="CY40" s="171"/>
      <c r="CZ40" s="171"/>
      <c r="DA40" s="171"/>
      <c r="DB40" s="171"/>
      <c r="DC40" s="171"/>
      <c r="DD40" s="171"/>
      <c r="DE40" s="171"/>
      <c r="DF40" s="171"/>
      <c r="DG40" s="171"/>
      <c r="DH40" s="171"/>
      <c r="DI40" s="171"/>
      <c r="DJ40" s="171"/>
      <c r="DK40" s="128">
        <f t="shared" si="22"/>
        <v>0</v>
      </c>
      <c r="DL40" s="158" t="str">
        <f t="shared" si="23"/>
        <v>#DIV/0!</v>
      </c>
    </row>
    <row r="41" ht="15.75" customHeight="1">
      <c r="A41" s="131">
        <v>32.0</v>
      </c>
      <c r="B41" s="111" t="s">
        <v>114</v>
      </c>
      <c r="C41" s="112" t="s">
        <v>115</v>
      </c>
      <c r="D41" s="98">
        <f t="shared" si="8"/>
        <v>16</v>
      </c>
      <c r="E41" s="130">
        <f t="shared" si="9"/>
        <v>40</v>
      </c>
      <c r="F41" s="114">
        <f t="shared" si="10"/>
        <v>40</v>
      </c>
      <c r="G41" s="149" t="str">
        <f t="shared" si="11"/>
        <v>  </v>
      </c>
      <c r="H41" s="180"/>
      <c r="I41" s="180"/>
      <c r="J41" s="180"/>
      <c r="K41" s="180"/>
      <c r="L41" s="204"/>
      <c r="M41" s="139">
        <f t="shared" si="12"/>
        <v>0</v>
      </c>
      <c r="N41" s="140" t="str">
        <f t="shared" si="13"/>
        <v>#DIV/0!</v>
      </c>
      <c r="O41" s="116"/>
      <c r="P41" s="116"/>
      <c r="Q41" s="180"/>
      <c r="R41" s="179"/>
      <c r="S41" s="179"/>
      <c r="T41" s="116"/>
      <c r="U41" s="116"/>
      <c r="V41" s="179"/>
      <c r="W41" s="116"/>
      <c r="X41" s="116"/>
      <c r="Y41" s="179"/>
      <c r="Z41" s="185"/>
      <c r="AA41" s="217"/>
      <c r="AB41" s="138">
        <v>1.0</v>
      </c>
      <c r="AC41" s="184">
        <v>1.0</v>
      </c>
      <c r="AD41" s="116"/>
      <c r="AE41" s="116"/>
      <c r="AF41" s="182">
        <v>1.0</v>
      </c>
      <c r="AG41" s="182">
        <v>1.0</v>
      </c>
      <c r="AH41" s="138">
        <v>1.0</v>
      </c>
      <c r="AI41" s="116"/>
      <c r="AJ41" s="139">
        <f t="shared" si="14"/>
        <v>5</v>
      </c>
      <c r="AK41" s="205">
        <f t="shared" si="15"/>
        <v>45.45454545</v>
      </c>
      <c r="AL41" s="138">
        <v>1.0</v>
      </c>
      <c r="AM41" s="116"/>
      <c r="AN41" s="179"/>
      <c r="AO41" s="184">
        <v>1.0</v>
      </c>
      <c r="AP41" s="116"/>
      <c r="AQ41" s="138">
        <v>1.0</v>
      </c>
      <c r="AR41" s="116"/>
      <c r="AS41" s="166"/>
      <c r="AT41" s="116"/>
      <c r="AU41" s="138">
        <v>1.0</v>
      </c>
      <c r="AV41" s="116"/>
      <c r="AW41" s="179"/>
      <c r="AX41" s="116"/>
      <c r="AY41" s="116"/>
      <c r="AZ41" s="116"/>
      <c r="BA41" s="180"/>
      <c r="BB41" s="138">
        <v>1.0</v>
      </c>
      <c r="BC41" s="116"/>
      <c r="BD41" s="194"/>
      <c r="BE41" s="194"/>
      <c r="BF41" s="188">
        <v>1.0</v>
      </c>
      <c r="BG41" s="139">
        <f t="shared" si="16"/>
        <v>5</v>
      </c>
      <c r="BH41" s="208">
        <f t="shared" si="17"/>
        <v>35.71428571</v>
      </c>
      <c r="BI41" s="138">
        <v>1.0</v>
      </c>
      <c r="BJ41" s="138">
        <v>1.0</v>
      </c>
      <c r="BK41" s="180"/>
      <c r="BL41" s="116"/>
      <c r="BM41" s="116"/>
      <c r="BN41" s="138">
        <v>1.0</v>
      </c>
      <c r="BO41" s="138">
        <v>1.0</v>
      </c>
      <c r="BP41" s="116"/>
      <c r="BQ41" s="116"/>
      <c r="BR41" s="196">
        <v>1.0</v>
      </c>
      <c r="BS41" s="116"/>
      <c r="BT41" s="185"/>
      <c r="BU41" s="43"/>
      <c r="BV41" s="43"/>
      <c r="BW41" s="198"/>
      <c r="BX41" s="116"/>
      <c r="BY41" s="116"/>
      <c r="BZ41" s="165"/>
      <c r="CA41" s="116"/>
      <c r="CB41" s="116"/>
      <c r="CC41" s="165"/>
      <c r="CD41" s="165"/>
      <c r="CE41" s="124">
        <f t="shared" si="18"/>
        <v>5</v>
      </c>
      <c r="CF41" s="173">
        <f t="shared" si="19"/>
        <v>62.5</v>
      </c>
      <c r="CG41" s="116"/>
      <c r="CH41" s="116"/>
      <c r="CI41" s="138">
        <v>1.0</v>
      </c>
      <c r="CJ41" s="116"/>
      <c r="CK41" s="116"/>
      <c r="CL41" s="116"/>
      <c r="CM41" s="116"/>
      <c r="CN41" s="116"/>
      <c r="CO41" s="116"/>
      <c r="CP41" s="166"/>
      <c r="CQ41" s="213"/>
      <c r="CR41" s="213"/>
      <c r="CS41" s="116"/>
      <c r="CT41" s="116"/>
      <c r="CU41" s="213"/>
      <c r="CV41" s="213"/>
      <c r="CW41" s="128">
        <f t="shared" si="20"/>
        <v>1</v>
      </c>
      <c r="CX41" s="214">
        <f t="shared" si="21"/>
        <v>14.28571429</v>
      </c>
      <c r="CY41" s="171"/>
      <c r="CZ41" s="171"/>
      <c r="DA41" s="171"/>
      <c r="DB41" s="171"/>
      <c r="DC41" s="171"/>
      <c r="DD41" s="171"/>
      <c r="DE41" s="171"/>
      <c r="DF41" s="171"/>
      <c r="DG41" s="171"/>
      <c r="DH41" s="171"/>
      <c r="DI41" s="171"/>
      <c r="DJ41" s="171"/>
      <c r="DK41" s="128">
        <f t="shared" si="22"/>
        <v>0</v>
      </c>
      <c r="DL41" s="158" t="str">
        <f t="shared" si="23"/>
        <v>#DIV/0!</v>
      </c>
    </row>
    <row r="42" ht="15.75" customHeight="1">
      <c r="A42" s="146">
        <v>33.0</v>
      </c>
      <c r="B42" s="111" t="s">
        <v>116</v>
      </c>
      <c r="C42" s="112" t="s">
        <v>117</v>
      </c>
      <c r="D42" s="98">
        <f t="shared" si="8"/>
        <v>11</v>
      </c>
      <c r="E42" s="130">
        <f t="shared" si="9"/>
        <v>27.5</v>
      </c>
      <c r="F42" s="114">
        <f t="shared" si="10"/>
        <v>27.5</v>
      </c>
      <c r="G42" s="226">
        <f t="shared" si="11"/>
        <v>27.5</v>
      </c>
      <c r="H42" s="203"/>
      <c r="I42" s="203"/>
      <c r="J42" s="203"/>
      <c r="K42" s="180"/>
      <c r="L42" s="204"/>
      <c r="M42" s="139">
        <f t="shared" si="12"/>
        <v>0</v>
      </c>
      <c r="N42" s="140" t="str">
        <f t="shared" si="13"/>
        <v>#DIV/0!</v>
      </c>
      <c r="O42" s="116"/>
      <c r="P42" s="116"/>
      <c r="Q42" s="180"/>
      <c r="R42" s="179"/>
      <c r="S42" s="179"/>
      <c r="T42" s="116"/>
      <c r="U42" s="116"/>
      <c r="V42" s="179"/>
      <c r="W42" s="116"/>
      <c r="X42" s="116"/>
      <c r="Y42" s="179"/>
      <c r="Z42" s="185"/>
      <c r="AA42" s="217"/>
      <c r="AB42" s="138">
        <v>1.0</v>
      </c>
      <c r="AC42" s="179"/>
      <c r="AD42" s="182">
        <v>1.0</v>
      </c>
      <c r="AE42" s="176"/>
      <c r="AF42" s="176"/>
      <c r="AG42" s="176"/>
      <c r="AH42" s="176"/>
      <c r="AI42" s="176"/>
      <c r="AJ42" s="139">
        <f t="shared" si="14"/>
        <v>2</v>
      </c>
      <c r="AK42" s="205">
        <f t="shared" si="15"/>
        <v>18.18181818</v>
      </c>
      <c r="AL42" s="222"/>
      <c r="AM42" s="116"/>
      <c r="AN42" s="179"/>
      <c r="AO42" s="179"/>
      <c r="AP42" s="184">
        <v>1.0</v>
      </c>
      <c r="AQ42" s="138">
        <v>1.0</v>
      </c>
      <c r="AR42" s="116"/>
      <c r="AS42" s="191">
        <v>1.0</v>
      </c>
      <c r="AT42" s="116"/>
      <c r="AU42" s="116"/>
      <c r="AV42" s="116"/>
      <c r="AW42" s="179"/>
      <c r="AX42" s="138">
        <v>1.0</v>
      </c>
      <c r="AY42" s="116"/>
      <c r="AZ42" s="180"/>
      <c r="BA42" s="180"/>
      <c r="BB42" s="204"/>
      <c r="BC42" s="204"/>
      <c r="BD42" s="181"/>
      <c r="BE42" s="181"/>
      <c r="BF42" s="181"/>
      <c r="BG42" s="139">
        <f t="shared" si="16"/>
        <v>4</v>
      </c>
      <c r="BH42" s="208">
        <f t="shared" si="17"/>
        <v>28.57142857</v>
      </c>
      <c r="BI42" s="215">
        <v>1.0</v>
      </c>
      <c r="BJ42" s="215">
        <v>1.0</v>
      </c>
      <c r="BK42" s="180"/>
      <c r="BL42" s="116"/>
      <c r="BM42" s="116"/>
      <c r="BN42" s="138">
        <v>1.0</v>
      </c>
      <c r="BO42" s="116"/>
      <c r="BP42" s="116"/>
      <c r="BQ42" s="165"/>
      <c r="BR42" s="196">
        <v>1.0</v>
      </c>
      <c r="BS42" s="165"/>
      <c r="BT42" s="185"/>
      <c r="BU42" s="43"/>
      <c r="BV42" s="43"/>
      <c r="BW42" s="198"/>
      <c r="BX42" s="43"/>
      <c r="BY42" s="116"/>
      <c r="BZ42" s="165"/>
      <c r="CA42" s="165"/>
      <c r="CB42" s="165"/>
      <c r="CC42" s="165"/>
      <c r="CD42" s="165"/>
      <c r="CE42" s="124">
        <f t="shared" si="18"/>
        <v>4</v>
      </c>
      <c r="CF42" s="173">
        <f t="shared" si="19"/>
        <v>50</v>
      </c>
      <c r="CG42" s="179"/>
      <c r="CH42" s="179"/>
      <c r="CI42" s="230">
        <v>1.0</v>
      </c>
      <c r="CJ42" s="186"/>
      <c r="CK42" s="116"/>
      <c r="CL42" s="116"/>
      <c r="CM42" s="116"/>
      <c r="CN42" s="223"/>
      <c r="CO42" s="223"/>
      <c r="CP42" s="166"/>
      <c r="CQ42" s="213"/>
      <c r="CR42" s="213"/>
      <c r="CS42" s="116"/>
      <c r="CT42" s="116"/>
      <c r="CU42" s="213"/>
      <c r="CV42" s="213"/>
      <c r="CW42" s="128">
        <f t="shared" si="20"/>
        <v>1</v>
      </c>
      <c r="CX42" s="214">
        <f t="shared" si="21"/>
        <v>14.28571429</v>
      </c>
      <c r="CY42" s="171"/>
      <c r="CZ42" s="171"/>
      <c r="DA42" s="171"/>
      <c r="DB42" s="171"/>
      <c r="DC42" s="171"/>
      <c r="DD42" s="171"/>
      <c r="DE42" s="171"/>
      <c r="DF42" s="171"/>
      <c r="DG42" s="171"/>
      <c r="DH42" s="171"/>
      <c r="DI42" s="171"/>
      <c r="DJ42" s="171"/>
      <c r="DK42" s="128">
        <f t="shared" si="22"/>
        <v>0</v>
      </c>
      <c r="DL42" s="158" t="str">
        <f t="shared" si="23"/>
        <v>#DIV/0!</v>
      </c>
    </row>
    <row r="43" ht="15.75" customHeight="1">
      <c r="A43" s="50">
        <v>34.0</v>
      </c>
      <c r="B43" s="111" t="s">
        <v>118</v>
      </c>
      <c r="C43" s="112" t="s">
        <v>119</v>
      </c>
      <c r="D43" s="98">
        <f t="shared" si="8"/>
        <v>0</v>
      </c>
      <c r="E43" s="130">
        <f t="shared" si="9"/>
        <v>0</v>
      </c>
      <c r="F43" s="114">
        <f t="shared" si="10"/>
        <v>0</v>
      </c>
      <c r="G43" s="226">
        <f t="shared" si="11"/>
        <v>0</v>
      </c>
      <c r="H43" s="180"/>
      <c r="I43" s="180"/>
      <c r="J43" s="180"/>
      <c r="K43" s="203"/>
      <c r="L43" s="239"/>
      <c r="M43" s="139">
        <f t="shared" si="12"/>
        <v>0</v>
      </c>
      <c r="N43" s="140" t="str">
        <f t="shared" si="13"/>
        <v>#DIV/0!</v>
      </c>
      <c r="O43" s="116"/>
      <c r="P43" s="116"/>
      <c r="Q43" s="180"/>
      <c r="R43" s="179"/>
      <c r="S43" s="116"/>
      <c r="T43" s="116"/>
      <c r="U43" s="116"/>
      <c r="V43" s="179"/>
      <c r="W43" s="116"/>
      <c r="X43" s="116"/>
      <c r="Y43" s="179"/>
      <c r="Z43" s="185"/>
      <c r="AA43" s="217"/>
      <c r="AB43" s="116"/>
      <c r="AC43" s="179"/>
      <c r="AD43" s="176"/>
      <c r="AE43" s="176"/>
      <c r="AF43" s="176"/>
      <c r="AG43" s="176"/>
      <c r="AH43" s="176"/>
      <c r="AI43" s="176"/>
      <c r="AJ43" s="139">
        <f t="shared" si="14"/>
        <v>0</v>
      </c>
      <c r="AK43" s="205">
        <f t="shared" si="15"/>
        <v>0</v>
      </c>
      <c r="AL43" s="222"/>
      <c r="AM43" s="179"/>
      <c r="AN43" s="179"/>
      <c r="AO43" s="179"/>
      <c r="AP43" s="184"/>
      <c r="AQ43" s="116"/>
      <c r="AR43" s="116"/>
      <c r="AS43" s="166"/>
      <c r="AT43" s="116"/>
      <c r="AU43" s="116"/>
      <c r="AV43" s="116"/>
      <c r="AW43" s="179"/>
      <c r="AX43" s="116"/>
      <c r="AY43" s="116"/>
      <c r="AZ43" s="180"/>
      <c r="BA43" s="180"/>
      <c r="BB43" s="204"/>
      <c r="BC43" s="204"/>
      <c r="BD43" s="181"/>
      <c r="BE43" s="181"/>
      <c r="BF43" s="181"/>
      <c r="BG43" s="139">
        <f t="shared" si="16"/>
        <v>0</v>
      </c>
      <c r="BH43" s="208">
        <f t="shared" si="17"/>
        <v>0</v>
      </c>
      <c r="BI43" s="116"/>
      <c r="BJ43" s="116"/>
      <c r="BK43" s="180"/>
      <c r="BL43" s="116"/>
      <c r="BM43" s="116"/>
      <c r="BN43" s="116"/>
      <c r="BO43" s="116"/>
      <c r="BP43" s="116"/>
      <c r="BQ43" s="165"/>
      <c r="BR43" s="165"/>
      <c r="BS43" s="165"/>
      <c r="BT43" s="116"/>
      <c r="BU43" s="43"/>
      <c r="BV43" s="43"/>
      <c r="BW43" s="198"/>
      <c r="BX43" s="43"/>
      <c r="BY43" s="116"/>
      <c r="BZ43" s="165"/>
      <c r="CA43" s="165"/>
      <c r="CB43" s="165"/>
      <c r="CC43" s="165"/>
      <c r="CD43" s="165"/>
      <c r="CE43" s="124">
        <f t="shared" si="18"/>
        <v>0</v>
      </c>
      <c r="CF43" s="173">
        <f t="shared" si="19"/>
        <v>0</v>
      </c>
      <c r="CG43" s="179"/>
      <c r="CH43" s="179"/>
      <c r="CI43" s="238"/>
      <c r="CJ43" s="116"/>
      <c r="CK43" s="231"/>
      <c r="CL43" s="231"/>
      <c r="CM43" s="231"/>
      <c r="CN43" s="223"/>
      <c r="CO43" s="116"/>
      <c r="CP43" s="166"/>
      <c r="CQ43" s="213"/>
      <c r="CR43" s="213"/>
      <c r="CS43" s="213"/>
      <c r="CT43" s="213"/>
      <c r="CU43" s="116"/>
      <c r="CV43" s="213"/>
      <c r="CW43" s="128">
        <f t="shared" si="20"/>
        <v>0</v>
      </c>
      <c r="CX43" s="214">
        <f t="shared" si="21"/>
        <v>0</v>
      </c>
      <c r="CY43" s="171"/>
      <c r="CZ43" s="171"/>
      <c r="DA43" s="171"/>
      <c r="DB43" s="171"/>
      <c r="DC43" s="171"/>
      <c r="DD43" s="171"/>
      <c r="DE43" s="171"/>
      <c r="DF43" s="171"/>
      <c r="DG43" s="171"/>
      <c r="DH43" s="171"/>
      <c r="DI43" s="171"/>
      <c r="DJ43" s="171"/>
      <c r="DK43" s="128">
        <f t="shared" si="22"/>
        <v>0</v>
      </c>
      <c r="DL43" s="158" t="str">
        <f t="shared" si="23"/>
        <v>#DIV/0!</v>
      </c>
    </row>
    <row r="44" ht="15.75" customHeight="1">
      <c r="A44" s="131">
        <v>35.0</v>
      </c>
      <c r="B44" s="111" t="s">
        <v>120</v>
      </c>
      <c r="C44" s="112" t="s">
        <v>121</v>
      </c>
      <c r="D44" s="98">
        <f t="shared" si="8"/>
        <v>16</v>
      </c>
      <c r="E44" s="130">
        <f t="shared" si="9"/>
        <v>40</v>
      </c>
      <c r="F44" s="114">
        <f t="shared" si="10"/>
        <v>40</v>
      </c>
      <c r="G44" s="149" t="str">
        <f t="shared" si="11"/>
        <v>  </v>
      </c>
      <c r="H44" s="180"/>
      <c r="I44" s="180"/>
      <c r="J44" s="221"/>
      <c r="K44" s="180"/>
      <c r="L44" s="204"/>
      <c r="M44" s="139">
        <f t="shared" si="12"/>
        <v>0</v>
      </c>
      <c r="N44" s="140" t="str">
        <f t="shared" si="13"/>
        <v>#DIV/0!</v>
      </c>
      <c r="O44" s="116"/>
      <c r="P44" s="116"/>
      <c r="Q44" s="116"/>
      <c r="R44" s="186"/>
      <c r="S44" s="186"/>
      <c r="T44" s="116"/>
      <c r="U44" s="116"/>
      <c r="V44" s="186"/>
      <c r="W44" s="116"/>
      <c r="X44" s="116"/>
      <c r="Y44" s="200">
        <v>1.0</v>
      </c>
      <c r="Z44" s="185"/>
      <c r="AA44" s="217"/>
      <c r="AB44" s="138">
        <v>1.0</v>
      </c>
      <c r="AC44" s="200">
        <v>1.0</v>
      </c>
      <c r="AD44" s="195"/>
      <c r="AE44" s="195"/>
      <c r="AF44" s="195"/>
      <c r="AG44" s="197">
        <v>1.0</v>
      </c>
      <c r="AH44" s="197">
        <v>1.0</v>
      </c>
      <c r="AI44" s="197">
        <v>1.0</v>
      </c>
      <c r="AJ44" s="139">
        <f t="shared" si="14"/>
        <v>6</v>
      </c>
      <c r="AK44" s="205">
        <f t="shared" si="15"/>
        <v>54.54545455</v>
      </c>
      <c r="AL44" s="225"/>
      <c r="AM44" s="186"/>
      <c r="AN44" s="186"/>
      <c r="AO44" s="200">
        <v>1.0</v>
      </c>
      <c r="AP44" s="200">
        <v>1.0</v>
      </c>
      <c r="AQ44" s="116"/>
      <c r="AR44" s="116"/>
      <c r="AS44" s="191">
        <v>1.0</v>
      </c>
      <c r="AT44" s="116"/>
      <c r="AU44" s="116"/>
      <c r="AV44" s="138">
        <v>1.0</v>
      </c>
      <c r="AW44" s="186"/>
      <c r="AX44" s="116"/>
      <c r="AY44" s="116"/>
      <c r="AZ44" s="180"/>
      <c r="BA44" s="180"/>
      <c r="BB44" s="218">
        <v>1.0</v>
      </c>
      <c r="BC44" s="218">
        <v>1.0</v>
      </c>
      <c r="BD44" s="181"/>
      <c r="BE44" s="219">
        <v>1.0</v>
      </c>
      <c r="BF44" s="181"/>
      <c r="BG44" s="139">
        <f t="shared" si="16"/>
        <v>7</v>
      </c>
      <c r="BH44" s="208">
        <f t="shared" si="17"/>
        <v>50</v>
      </c>
      <c r="BI44" s="116"/>
      <c r="BJ44" s="116"/>
      <c r="BK44" s="180"/>
      <c r="BL44" s="138">
        <v>1.0</v>
      </c>
      <c r="BM44" s="116"/>
      <c r="BN44" s="116"/>
      <c r="BO44" s="116"/>
      <c r="BP44" s="116"/>
      <c r="BQ44" s="196">
        <v>1.0</v>
      </c>
      <c r="BR44" s="165"/>
      <c r="BS44" s="165"/>
      <c r="BT44" s="185"/>
      <c r="BU44" s="43"/>
      <c r="BV44" s="43"/>
      <c r="BW44" s="198"/>
      <c r="BX44" s="43"/>
      <c r="BY44" s="116"/>
      <c r="BZ44" s="165"/>
      <c r="CA44" s="116"/>
      <c r="CB44" s="165"/>
      <c r="CC44" s="165"/>
      <c r="CD44" s="165"/>
      <c r="CE44" s="124">
        <f t="shared" si="18"/>
        <v>2</v>
      </c>
      <c r="CF44" s="173">
        <f t="shared" si="19"/>
        <v>25</v>
      </c>
      <c r="CG44" s="186"/>
      <c r="CH44" s="186"/>
      <c r="CI44" s="138">
        <v>1.0</v>
      </c>
      <c r="CJ44" s="186"/>
      <c r="CK44" s="231"/>
      <c r="CL44" s="231"/>
      <c r="CM44" s="231"/>
      <c r="CN44" s="223"/>
      <c r="CO44" s="223"/>
      <c r="CP44" s="166"/>
      <c r="CQ44" s="213"/>
      <c r="CR44" s="213"/>
      <c r="CS44" s="116"/>
      <c r="CT44" s="116"/>
      <c r="CU44" s="116"/>
      <c r="CV44" s="213"/>
      <c r="CW44" s="128">
        <f t="shared" si="20"/>
        <v>1</v>
      </c>
      <c r="CX44" s="214">
        <f t="shared" si="21"/>
        <v>14.28571429</v>
      </c>
      <c r="CY44" s="171"/>
      <c r="CZ44" s="171"/>
      <c r="DA44" s="171"/>
      <c r="DB44" s="171"/>
      <c r="DC44" s="171"/>
      <c r="DD44" s="171"/>
      <c r="DE44" s="171"/>
      <c r="DF44" s="171"/>
      <c r="DG44" s="171"/>
      <c r="DH44" s="171"/>
      <c r="DI44" s="171"/>
      <c r="DJ44" s="171"/>
      <c r="DK44" s="128">
        <f t="shared" si="22"/>
        <v>0</v>
      </c>
      <c r="DL44" s="158" t="str">
        <f t="shared" si="23"/>
        <v>#DIV/0!</v>
      </c>
    </row>
    <row r="45" ht="15.75" customHeight="1">
      <c r="A45" s="146">
        <v>36.0</v>
      </c>
      <c r="B45" s="111" t="s">
        <v>122</v>
      </c>
      <c r="C45" s="112" t="s">
        <v>123</v>
      </c>
      <c r="D45" s="98">
        <f t="shared" si="8"/>
        <v>19</v>
      </c>
      <c r="E45" s="130">
        <f t="shared" si="9"/>
        <v>47.5</v>
      </c>
      <c r="F45" s="114">
        <f t="shared" si="10"/>
        <v>47.5</v>
      </c>
      <c r="G45" s="149" t="str">
        <f t="shared" si="11"/>
        <v>  </v>
      </c>
      <c r="H45" s="180"/>
      <c r="I45" s="180"/>
      <c r="J45" s="180"/>
      <c r="K45" s="180"/>
      <c r="L45" s="204"/>
      <c r="M45" s="139">
        <f t="shared" si="12"/>
        <v>0</v>
      </c>
      <c r="N45" s="140" t="str">
        <f t="shared" si="13"/>
        <v>#DIV/0!</v>
      </c>
      <c r="O45" s="116"/>
      <c r="P45" s="116"/>
      <c r="Q45" s="180"/>
      <c r="R45" s="186"/>
      <c r="S45" s="116"/>
      <c r="T45" s="116"/>
      <c r="U45" s="116"/>
      <c r="V45" s="186"/>
      <c r="W45" s="116"/>
      <c r="X45" s="138">
        <v>1.0</v>
      </c>
      <c r="Y45" s="200">
        <v>1.0</v>
      </c>
      <c r="Z45" s="185"/>
      <c r="AA45" s="217"/>
      <c r="AB45" s="138">
        <v>1.0</v>
      </c>
      <c r="AC45" s="186"/>
      <c r="AD45" s="116"/>
      <c r="AE45" s="116"/>
      <c r="AF45" s="197">
        <v>1.0</v>
      </c>
      <c r="AG45" s="197">
        <v>1.0</v>
      </c>
      <c r="AH45" s="116"/>
      <c r="AI45" s="116"/>
      <c r="AJ45" s="139">
        <f t="shared" si="14"/>
        <v>5</v>
      </c>
      <c r="AK45" s="205">
        <f t="shared" si="15"/>
        <v>45.45454545</v>
      </c>
      <c r="AL45" s="225"/>
      <c r="AM45" s="186"/>
      <c r="AN45" s="186"/>
      <c r="AO45" s="200">
        <v>1.0</v>
      </c>
      <c r="AP45" s="184">
        <v>1.0</v>
      </c>
      <c r="AQ45" s="116"/>
      <c r="AR45" s="116"/>
      <c r="AS45" s="166"/>
      <c r="AT45" s="138">
        <v>1.0</v>
      </c>
      <c r="AU45" s="138">
        <v>1.0</v>
      </c>
      <c r="AV45" s="116"/>
      <c r="AW45" s="186"/>
      <c r="AX45" s="116"/>
      <c r="AY45" s="138">
        <v>1.0</v>
      </c>
      <c r="AZ45" s="116"/>
      <c r="BA45" s="180"/>
      <c r="BB45" s="138">
        <v>1.0</v>
      </c>
      <c r="BC45" s="138">
        <v>1.0</v>
      </c>
      <c r="BD45" s="194"/>
      <c r="BE45" s="194"/>
      <c r="BF45" s="188">
        <v>1.0</v>
      </c>
      <c r="BG45" s="139">
        <f t="shared" si="16"/>
        <v>8</v>
      </c>
      <c r="BH45" s="208">
        <f t="shared" si="17"/>
        <v>57.14285714</v>
      </c>
      <c r="BI45" s="215">
        <v>1.0</v>
      </c>
      <c r="BJ45" s="215">
        <v>1.0</v>
      </c>
      <c r="BK45" s="180"/>
      <c r="BL45" s="138">
        <v>1.0</v>
      </c>
      <c r="BM45" s="116"/>
      <c r="BN45" s="138">
        <v>1.0</v>
      </c>
      <c r="BO45" s="138">
        <v>1.0</v>
      </c>
      <c r="BP45" s="116"/>
      <c r="BQ45" s="165"/>
      <c r="BR45" s="165"/>
      <c r="BS45" s="116"/>
      <c r="BT45" s="116"/>
      <c r="BU45" s="43"/>
      <c r="BV45" s="43"/>
      <c r="BW45" s="198"/>
      <c r="BX45" s="116"/>
      <c r="BY45" s="116"/>
      <c r="BZ45" s="165"/>
      <c r="CA45" s="116"/>
      <c r="CB45" s="165"/>
      <c r="CC45" s="165"/>
      <c r="CD45" s="165"/>
      <c r="CE45" s="124">
        <f t="shared" si="18"/>
        <v>5</v>
      </c>
      <c r="CF45" s="173">
        <f t="shared" si="19"/>
        <v>62.5</v>
      </c>
      <c r="CG45" s="116"/>
      <c r="CH45" s="116"/>
      <c r="CI45" s="138">
        <v>1.0</v>
      </c>
      <c r="CJ45" s="116"/>
      <c r="CK45" s="116"/>
      <c r="CL45" s="116"/>
      <c r="CM45" s="116"/>
      <c r="CN45" s="116"/>
      <c r="CO45" s="116"/>
      <c r="CP45" s="166"/>
      <c r="CQ45" s="213"/>
      <c r="CR45" s="213"/>
      <c r="CS45" s="116"/>
      <c r="CT45" s="116"/>
      <c r="CU45" s="116"/>
      <c r="CV45" s="213"/>
      <c r="CW45" s="128">
        <f t="shared" si="20"/>
        <v>1</v>
      </c>
      <c r="CX45" s="214">
        <f t="shared" si="21"/>
        <v>14.28571429</v>
      </c>
      <c r="CY45" s="171"/>
      <c r="CZ45" s="171"/>
      <c r="DA45" s="171"/>
      <c r="DB45" s="171"/>
      <c r="DC45" s="171"/>
      <c r="DD45" s="171"/>
      <c r="DE45" s="171"/>
      <c r="DF45" s="171"/>
      <c r="DG45" s="171"/>
      <c r="DH45" s="171"/>
      <c r="DI45" s="171"/>
      <c r="DJ45" s="171"/>
      <c r="DK45" s="128">
        <f t="shared" si="22"/>
        <v>0</v>
      </c>
      <c r="DL45" s="158" t="str">
        <f t="shared" si="23"/>
        <v>#DIV/0!</v>
      </c>
    </row>
    <row r="46" ht="15.75" customHeight="1">
      <c r="A46" s="50">
        <v>37.0</v>
      </c>
      <c r="B46" s="111" t="s">
        <v>124</v>
      </c>
      <c r="C46" s="112" t="s">
        <v>125</v>
      </c>
      <c r="D46" s="98">
        <f t="shared" si="8"/>
        <v>16</v>
      </c>
      <c r="E46" s="130">
        <f t="shared" si="9"/>
        <v>40</v>
      </c>
      <c r="F46" s="114">
        <f t="shared" si="10"/>
        <v>40</v>
      </c>
      <c r="G46" s="226" t="str">
        <f t="shared" si="11"/>
        <v>  </v>
      </c>
      <c r="H46" s="180"/>
      <c r="I46" s="180"/>
      <c r="J46" s="221"/>
      <c r="K46" s="180"/>
      <c r="L46" s="204"/>
      <c r="M46" s="139">
        <f t="shared" si="12"/>
        <v>0</v>
      </c>
      <c r="N46" s="140" t="str">
        <f t="shared" si="13"/>
        <v>#DIV/0!</v>
      </c>
      <c r="O46" s="116"/>
      <c r="P46" s="116"/>
      <c r="Q46" s="180"/>
      <c r="R46" s="179"/>
      <c r="S46" s="179"/>
      <c r="T46" s="116"/>
      <c r="U46" s="116"/>
      <c r="V46" s="179"/>
      <c r="W46" s="116"/>
      <c r="X46" s="116"/>
      <c r="Y46" s="179"/>
      <c r="Z46" s="185"/>
      <c r="AA46" s="217"/>
      <c r="AB46" s="138">
        <v>1.0</v>
      </c>
      <c r="AC46" s="179"/>
      <c r="AD46" s="176"/>
      <c r="AE46" s="116"/>
      <c r="AF46" s="182">
        <v>1.0</v>
      </c>
      <c r="AG46" s="182">
        <v>1.0</v>
      </c>
      <c r="AH46" s="138">
        <v>1.0</v>
      </c>
      <c r="AI46" s="182">
        <v>1.0</v>
      </c>
      <c r="AJ46" s="139">
        <f t="shared" si="14"/>
        <v>5</v>
      </c>
      <c r="AK46" s="205">
        <f t="shared" si="15"/>
        <v>45.45454545</v>
      </c>
      <c r="AL46" s="116"/>
      <c r="AM46" s="116"/>
      <c r="AN46" s="179"/>
      <c r="AO46" s="179"/>
      <c r="AP46" s="138"/>
      <c r="AQ46" s="116"/>
      <c r="AR46" s="116"/>
      <c r="AS46" s="191">
        <v>1.0</v>
      </c>
      <c r="AT46" s="116"/>
      <c r="AU46" s="138">
        <v>1.0</v>
      </c>
      <c r="AV46" s="116"/>
      <c r="AW46" s="179"/>
      <c r="AX46" s="138">
        <v>1.0</v>
      </c>
      <c r="AY46" s="116"/>
      <c r="AZ46" s="116"/>
      <c r="BA46" s="180"/>
      <c r="BB46" s="116"/>
      <c r="BC46" s="116"/>
      <c r="BD46" s="194"/>
      <c r="BE46" s="194"/>
      <c r="BF46" s="188">
        <v>1.0</v>
      </c>
      <c r="BG46" s="139">
        <f t="shared" si="16"/>
        <v>4</v>
      </c>
      <c r="BH46" s="208">
        <f t="shared" si="17"/>
        <v>28.57142857</v>
      </c>
      <c r="BI46" s="138">
        <v>1.0</v>
      </c>
      <c r="BJ46" s="138">
        <v>1.0</v>
      </c>
      <c r="BK46" s="180"/>
      <c r="BL46" s="138">
        <v>1.0</v>
      </c>
      <c r="BM46" s="116"/>
      <c r="BN46" s="116"/>
      <c r="BO46" s="138">
        <v>1.0</v>
      </c>
      <c r="BP46" s="116"/>
      <c r="BQ46" s="196"/>
      <c r="BR46" s="196">
        <v>1.0</v>
      </c>
      <c r="BS46" s="116"/>
      <c r="BT46" s="185"/>
      <c r="BU46" s="43"/>
      <c r="BV46" s="43"/>
      <c r="BW46" s="198"/>
      <c r="BX46" s="116"/>
      <c r="BY46" s="116"/>
      <c r="BZ46" s="165"/>
      <c r="CA46" s="116"/>
      <c r="CB46" s="165"/>
      <c r="CC46" s="165"/>
      <c r="CD46" s="165"/>
      <c r="CE46" s="124">
        <f t="shared" si="18"/>
        <v>5</v>
      </c>
      <c r="CF46" s="173">
        <f t="shared" si="19"/>
        <v>62.5</v>
      </c>
      <c r="CG46" s="116"/>
      <c r="CH46" s="116"/>
      <c r="CI46" s="230">
        <v>1.0</v>
      </c>
      <c r="CJ46" s="200">
        <v>1.0</v>
      </c>
      <c r="CK46" s="116"/>
      <c r="CL46" s="116"/>
      <c r="CM46" s="116"/>
      <c r="CN46" s="223"/>
      <c r="CO46" s="116"/>
      <c r="CP46" s="166"/>
      <c r="CQ46" s="213"/>
      <c r="CR46" s="213"/>
      <c r="CS46" s="213"/>
      <c r="CT46" s="116"/>
      <c r="CU46" s="213"/>
      <c r="CV46" s="213"/>
      <c r="CW46" s="128">
        <f t="shared" si="20"/>
        <v>2</v>
      </c>
      <c r="CX46" s="214">
        <f t="shared" si="21"/>
        <v>28.57142857</v>
      </c>
      <c r="CY46" s="171"/>
      <c r="CZ46" s="171"/>
      <c r="DA46" s="171"/>
      <c r="DB46" s="171"/>
      <c r="DC46" s="171"/>
      <c r="DD46" s="171"/>
      <c r="DE46" s="171"/>
      <c r="DF46" s="171"/>
      <c r="DG46" s="171"/>
      <c r="DH46" s="171"/>
      <c r="DI46" s="171"/>
      <c r="DJ46" s="171"/>
      <c r="DK46" s="128">
        <f t="shared" si="22"/>
        <v>0</v>
      </c>
      <c r="DL46" s="158" t="str">
        <f t="shared" si="23"/>
        <v>#DIV/0!</v>
      </c>
    </row>
    <row r="47" ht="15.75" customHeight="1">
      <c r="A47" s="131">
        <v>38.0</v>
      </c>
      <c r="B47" s="111" t="s">
        <v>126</v>
      </c>
      <c r="C47" s="112" t="s">
        <v>127</v>
      </c>
      <c r="D47" s="98">
        <f t="shared" si="8"/>
        <v>12</v>
      </c>
      <c r="E47" s="130">
        <f t="shared" si="9"/>
        <v>30</v>
      </c>
      <c r="F47" s="114">
        <f t="shared" si="10"/>
        <v>30</v>
      </c>
      <c r="G47" s="226" t="str">
        <f t="shared" si="11"/>
        <v>  </v>
      </c>
      <c r="H47" s="180"/>
      <c r="I47" s="180"/>
      <c r="J47" s="180"/>
      <c r="K47" s="180"/>
      <c r="L47" s="204"/>
      <c r="M47" s="139">
        <f t="shared" si="12"/>
        <v>0</v>
      </c>
      <c r="N47" s="140" t="str">
        <f t="shared" si="13"/>
        <v>#DIV/0!</v>
      </c>
      <c r="O47" s="116"/>
      <c r="P47" s="116"/>
      <c r="Q47" s="180"/>
      <c r="R47" s="179"/>
      <c r="S47" s="116"/>
      <c r="T47" s="116"/>
      <c r="U47" s="116"/>
      <c r="V47" s="179"/>
      <c r="W47" s="116"/>
      <c r="X47" s="116"/>
      <c r="Y47" s="184">
        <v>1.0</v>
      </c>
      <c r="Z47" s="185"/>
      <c r="AA47" s="217"/>
      <c r="AB47" s="138">
        <v>1.0</v>
      </c>
      <c r="AC47" s="184">
        <v>1.0</v>
      </c>
      <c r="AD47" s="176"/>
      <c r="AE47" s="176"/>
      <c r="AF47" s="176"/>
      <c r="AG47" s="176"/>
      <c r="AH47" s="182">
        <v>1.0</v>
      </c>
      <c r="AI47" s="176"/>
      <c r="AJ47" s="139">
        <f t="shared" si="14"/>
        <v>4</v>
      </c>
      <c r="AK47" s="205">
        <f t="shared" si="15"/>
        <v>36.36363636</v>
      </c>
      <c r="AL47" s="116"/>
      <c r="AM47" s="179"/>
      <c r="AN47" s="179"/>
      <c r="AO47" s="184">
        <v>1.0</v>
      </c>
      <c r="AP47" s="179"/>
      <c r="AQ47" s="116"/>
      <c r="AR47" s="116"/>
      <c r="AS47" s="166"/>
      <c r="AT47" s="116"/>
      <c r="AU47" s="116"/>
      <c r="AV47" s="116"/>
      <c r="AW47" s="179"/>
      <c r="AX47" s="116"/>
      <c r="AY47" s="138">
        <v>1.0</v>
      </c>
      <c r="AZ47" s="180"/>
      <c r="BA47" s="180"/>
      <c r="BB47" s="204"/>
      <c r="BC47" s="204"/>
      <c r="BD47" s="219">
        <v>1.0</v>
      </c>
      <c r="BE47" s="181"/>
      <c r="BF47" s="181"/>
      <c r="BG47" s="139">
        <f t="shared" si="16"/>
        <v>3</v>
      </c>
      <c r="BH47" s="208">
        <f t="shared" si="17"/>
        <v>21.42857143</v>
      </c>
      <c r="BI47" s="116"/>
      <c r="BJ47" s="116"/>
      <c r="BK47" s="180"/>
      <c r="BL47" s="116"/>
      <c r="BM47" s="116"/>
      <c r="BN47" s="138">
        <v>1.0</v>
      </c>
      <c r="BO47" s="116"/>
      <c r="BP47" s="116"/>
      <c r="BQ47" s="165"/>
      <c r="BR47" s="196">
        <v>1.0</v>
      </c>
      <c r="BS47" s="116"/>
      <c r="BT47" s="185"/>
      <c r="BU47" s="43"/>
      <c r="BV47" s="43"/>
      <c r="BW47" s="198"/>
      <c r="BX47" s="43"/>
      <c r="BY47" s="116"/>
      <c r="BZ47" s="165"/>
      <c r="CA47" s="116"/>
      <c r="CB47" s="165"/>
      <c r="CC47" s="165"/>
      <c r="CD47" s="165"/>
      <c r="CE47" s="124">
        <f t="shared" si="18"/>
        <v>2</v>
      </c>
      <c r="CF47" s="173">
        <f t="shared" si="19"/>
        <v>25</v>
      </c>
      <c r="CG47" s="184">
        <v>1.0</v>
      </c>
      <c r="CH47" s="184">
        <v>1.0</v>
      </c>
      <c r="CI47" s="116"/>
      <c r="CJ47" s="200">
        <v>1.0</v>
      </c>
      <c r="CK47" s="231"/>
      <c r="CL47" s="231"/>
      <c r="CM47" s="231"/>
      <c r="CN47" s="223"/>
      <c r="CO47" s="223"/>
      <c r="CP47" s="166"/>
      <c r="CQ47" s="213"/>
      <c r="CR47" s="213"/>
      <c r="CS47" s="213"/>
      <c r="CT47" s="116"/>
      <c r="CU47" s="213"/>
      <c r="CV47" s="213"/>
      <c r="CW47" s="128">
        <f t="shared" si="20"/>
        <v>3</v>
      </c>
      <c r="CX47" s="214">
        <f t="shared" si="21"/>
        <v>42.85714286</v>
      </c>
      <c r="CY47" s="171"/>
      <c r="CZ47" s="171"/>
      <c r="DA47" s="171"/>
      <c r="DB47" s="171"/>
      <c r="DC47" s="171"/>
      <c r="DD47" s="171"/>
      <c r="DE47" s="171"/>
      <c r="DF47" s="171"/>
      <c r="DG47" s="171"/>
      <c r="DH47" s="171"/>
      <c r="DI47" s="171"/>
      <c r="DJ47" s="171"/>
      <c r="DK47" s="128">
        <f t="shared" si="22"/>
        <v>0</v>
      </c>
      <c r="DL47" s="158" t="str">
        <f t="shared" si="23"/>
        <v>#DIV/0!</v>
      </c>
    </row>
    <row r="48" ht="15.75" customHeight="1">
      <c r="A48" s="146">
        <v>39.0</v>
      </c>
      <c r="B48" s="111" t="s">
        <v>128</v>
      </c>
      <c r="C48" s="112" t="s">
        <v>129</v>
      </c>
      <c r="D48" s="98">
        <f t="shared" si="8"/>
        <v>25</v>
      </c>
      <c r="E48" s="130">
        <f t="shared" si="9"/>
        <v>62.5</v>
      </c>
      <c r="F48" s="92" t="str">
        <f t="shared" si="10"/>
        <v>  </v>
      </c>
      <c r="G48" s="149" t="str">
        <f t="shared" si="11"/>
        <v>  </v>
      </c>
      <c r="H48" s="203"/>
      <c r="I48" s="221"/>
      <c r="J48" s="221"/>
      <c r="K48" s="180"/>
      <c r="L48" s="204"/>
      <c r="M48" s="139">
        <f t="shared" si="12"/>
        <v>0</v>
      </c>
      <c r="N48" s="140" t="str">
        <f t="shared" si="13"/>
        <v>#DIV/0!</v>
      </c>
      <c r="O48" s="116"/>
      <c r="P48" s="116"/>
      <c r="Q48" s="116"/>
      <c r="R48" s="179"/>
      <c r="S48" s="179"/>
      <c r="T48" s="116"/>
      <c r="U48" s="116"/>
      <c r="V48" s="179"/>
      <c r="W48" s="116"/>
      <c r="X48" s="138">
        <v>1.0</v>
      </c>
      <c r="Y48" s="184">
        <v>1.0</v>
      </c>
      <c r="Z48" s="185"/>
      <c r="AA48" s="217"/>
      <c r="AB48" s="116"/>
      <c r="AC48" s="184">
        <v>1.0</v>
      </c>
      <c r="AD48" s="138">
        <v>1.0</v>
      </c>
      <c r="AE48" s="116"/>
      <c r="AF48" s="182">
        <v>1.0</v>
      </c>
      <c r="AG48" s="182">
        <v>1.0</v>
      </c>
      <c r="AH48" s="138">
        <v>1.0</v>
      </c>
      <c r="AI48" s="138">
        <v>1.0</v>
      </c>
      <c r="AJ48" s="139">
        <f t="shared" si="14"/>
        <v>8</v>
      </c>
      <c r="AK48" s="205">
        <f t="shared" si="15"/>
        <v>72.72727273</v>
      </c>
      <c r="AL48" s="138">
        <v>1.0</v>
      </c>
      <c r="AM48" s="116"/>
      <c r="AN48" s="179"/>
      <c r="AO48" s="184">
        <v>1.0</v>
      </c>
      <c r="AP48" s="138">
        <v>1.0</v>
      </c>
      <c r="AQ48" s="138">
        <v>1.0</v>
      </c>
      <c r="AR48" s="116"/>
      <c r="AS48" s="191">
        <v>1.0</v>
      </c>
      <c r="AT48" s="138">
        <v>1.0</v>
      </c>
      <c r="AU48" s="116"/>
      <c r="AV48" s="116"/>
      <c r="AW48" s="179"/>
      <c r="AX48" s="116"/>
      <c r="AY48" s="138">
        <v>1.0</v>
      </c>
      <c r="AZ48" s="116"/>
      <c r="BA48" s="180"/>
      <c r="BB48" s="138">
        <v>1.0</v>
      </c>
      <c r="BC48" s="116"/>
      <c r="BD48" s="194"/>
      <c r="BE48" s="194"/>
      <c r="BF48" s="188">
        <v>1.0</v>
      </c>
      <c r="BG48" s="139">
        <f t="shared" si="16"/>
        <v>8</v>
      </c>
      <c r="BH48" s="208">
        <f t="shared" si="17"/>
        <v>57.14285714</v>
      </c>
      <c r="BI48" s="138">
        <v>1.0</v>
      </c>
      <c r="BJ48" s="138">
        <v>1.0</v>
      </c>
      <c r="BK48" s="180"/>
      <c r="BL48" s="116"/>
      <c r="BM48" s="116"/>
      <c r="BN48" s="138">
        <v>1.0</v>
      </c>
      <c r="BO48" s="138">
        <v>1.0</v>
      </c>
      <c r="BP48" s="116"/>
      <c r="BQ48" s="138">
        <v>1.0</v>
      </c>
      <c r="BR48" s="196">
        <v>1.0</v>
      </c>
      <c r="BS48" s="116"/>
      <c r="BT48" s="116"/>
      <c r="BU48" s="43"/>
      <c r="BV48" s="43"/>
      <c r="BW48" s="198"/>
      <c r="BX48" s="116"/>
      <c r="BY48" s="116"/>
      <c r="BZ48" s="165"/>
      <c r="CA48" s="116"/>
      <c r="CB48" s="116"/>
      <c r="CC48" s="165"/>
      <c r="CD48" s="165"/>
      <c r="CE48" s="124">
        <f t="shared" si="18"/>
        <v>6</v>
      </c>
      <c r="CF48" s="173">
        <f t="shared" si="19"/>
        <v>75</v>
      </c>
      <c r="CG48" s="138">
        <v>1.0</v>
      </c>
      <c r="CH48" s="138">
        <v>1.0</v>
      </c>
      <c r="CI48" s="138">
        <v>1.0</v>
      </c>
      <c r="CJ48" s="116"/>
      <c r="CK48" s="116"/>
      <c r="CL48" s="116"/>
      <c r="CM48" s="116"/>
      <c r="CN48" s="116"/>
      <c r="CO48" s="223"/>
      <c r="CP48" s="166"/>
      <c r="CQ48" s="213"/>
      <c r="CR48" s="213"/>
      <c r="CS48" s="116"/>
      <c r="CT48" s="116"/>
      <c r="CU48" s="116"/>
      <c r="CV48" s="213"/>
      <c r="CW48" s="128">
        <f t="shared" si="20"/>
        <v>3</v>
      </c>
      <c r="CX48" s="214">
        <f t="shared" si="21"/>
        <v>42.85714286</v>
      </c>
      <c r="CY48" s="171"/>
      <c r="CZ48" s="171"/>
      <c r="DA48" s="171"/>
      <c r="DB48" s="171"/>
      <c r="DC48" s="171"/>
      <c r="DD48" s="171"/>
      <c r="DE48" s="171"/>
      <c r="DF48" s="171"/>
      <c r="DG48" s="171"/>
      <c r="DH48" s="171"/>
      <c r="DI48" s="171"/>
      <c r="DJ48" s="171"/>
      <c r="DK48" s="128">
        <f t="shared" si="22"/>
        <v>0</v>
      </c>
      <c r="DL48" s="158" t="str">
        <f t="shared" si="23"/>
        <v>#DIV/0!</v>
      </c>
    </row>
    <row r="49" ht="15.75" customHeight="1">
      <c r="A49" s="50">
        <v>40.0</v>
      </c>
      <c r="B49" s="111" t="s">
        <v>130</v>
      </c>
      <c r="C49" s="112" t="s">
        <v>131</v>
      </c>
      <c r="D49" s="98">
        <f t="shared" si="8"/>
        <v>0</v>
      </c>
      <c r="E49" s="130">
        <f t="shared" si="9"/>
        <v>0</v>
      </c>
      <c r="F49" s="114">
        <f t="shared" si="10"/>
        <v>0</v>
      </c>
      <c r="G49" s="226">
        <f t="shared" si="11"/>
        <v>0</v>
      </c>
      <c r="H49" s="254"/>
      <c r="I49" s="255"/>
      <c r="J49" s="256"/>
      <c r="K49" s="254"/>
      <c r="L49" s="257"/>
      <c r="M49" s="139">
        <f t="shared" si="12"/>
        <v>0</v>
      </c>
      <c r="N49" s="140" t="str">
        <f t="shared" si="13"/>
        <v>#DIV/0!</v>
      </c>
      <c r="O49" s="116"/>
      <c r="P49" s="116"/>
      <c r="Q49" s="180"/>
      <c r="R49" s="179"/>
      <c r="S49" s="179"/>
      <c r="T49" s="116"/>
      <c r="U49" s="116"/>
      <c r="V49" s="179"/>
      <c r="W49" s="116"/>
      <c r="X49" s="116"/>
      <c r="Y49" s="179"/>
      <c r="Z49" s="185"/>
      <c r="AA49" s="217"/>
      <c r="AB49" s="116"/>
      <c r="AC49" s="179"/>
      <c r="AD49" s="176"/>
      <c r="AE49" s="176"/>
      <c r="AF49" s="176"/>
      <c r="AG49" s="176"/>
      <c r="AH49" s="176"/>
      <c r="AI49" s="176"/>
      <c r="AJ49" s="139">
        <f t="shared" si="14"/>
        <v>0</v>
      </c>
      <c r="AK49" s="205">
        <f t="shared" si="15"/>
        <v>0</v>
      </c>
      <c r="AL49" s="222"/>
      <c r="AM49" s="179"/>
      <c r="AN49" s="179"/>
      <c r="AO49" s="179"/>
      <c r="AP49" s="186"/>
      <c r="AQ49" s="116"/>
      <c r="AR49" s="116"/>
      <c r="AS49" s="166"/>
      <c r="AT49" s="116"/>
      <c r="AU49" s="116"/>
      <c r="AV49" s="116"/>
      <c r="AW49" s="179"/>
      <c r="AX49" s="116"/>
      <c r="AY49" s="116"/>
      <c r="AZ49" s="180"/>
      <c r="BA49" s="180"/>
      <c r="BB49" s="204"/>
      <c r="BC49" s="204"/>
      <c r="BD49" s="181"/>
      <c r="BE49" s="181"/>
      <c r="BF49" s="181"/>
      <c r="BG49" s="139">
        <f t="shared" si="16"/>
        <v>0</v>
      </c>
      <c r="BH49" s="208">
        <f t="shared" si="17"/>
        <v>0</v>
      </c>
      <c r="BI49" s="215"/>
      <c r="BJ49" s="215"/>
      <c r="BK49" s="180"/>
      <c r="BL49" s="116"/>
      <c r="BM49" s="116"/>
      <c r="BN49" s="116"/>
      <c r="BO49" s="138"/>
      <c r="BP49" s="116"/>
      <c r="BQ49" s="165"/>
      <c r="BR49" s="165"/>
      <c r="BS49" s="165"/>
      <c r="BT49" s="185"/>
      <c r="BU49" s="43"/>
      <c r="BV49" s="43"/>
      <c r="BW49" s="198"/>
      <c r="BX49" s="43"/>
      <c r="BY49" s="116"/>
      <c r="BZ49" s="165"/>
      <c r="CA49" s="165"/>
      <c r="CB49" s="165"/>
      <c r="CC49" s="165"/>
      <c r="CD49" s="165"/>
      <c r="CE49" s="124">
        <f t="shared" si="18"/>
        <v>0</v>
      </c>
      <c r="CF49" s="173">
        <f t="shared" si="19"/>
        <v>0</v>
      </c>
      <c r="CG49" s="179"/>
      <c r="CH49" s="179"/>
      <c r="CI49" s="238"/>
      <c r="CJ49" s="186"/>
      <c r="CK49" s="116"/>
      <c r="CL49" s="116"/>
      <c r="CM49" s="116"/>
      <c r="CN49" s="223"/>
      <c r="CO49" s="223"/>
      <c r="CP49" s="166"/>
      <c r="CQ49" s="213"/>
      <c r="CR49" s="213"/>
      <c r="CS49" s="213"/>
      <c r="CT49" s="213"/>
      <c r="CU49" s="213"/>
      <c r="CV49" s="213"/>
      <c r="CW49" s="128">
        <f t="shared" si="20"/>
        <v>0</v>
      </c>
      <c r="CX49" s="214">
        <f t="shared" si="21"/>
        <v>0</v>
      </c>
      <c r="CY49" s="171"/>
      <c r="CZ49" s="171"/>
      <c r="DA49" s="171"/>
      <c r="DB49" s="171"/>
      <c r="DC49" s="171"/>
      <c r="DD49" s="171"/>
      <c r="DE49" s="171"/>
      <c r="DF49" s="171"/>
      <c r="DG49" s="171"/>
      <c r="DH49" s="171"/>
      <c r="DI49" s="171"/>
      <c r="DJ49" s="171"/>
      <c r="DK49" s="128">
        <f t="shared" si="22"/>
        <v>0</v>
      </c>
      <c r="DL49" s="158" t="str">
        <f t="shared" si="23"/>
        <v>#DIV/0!</v>
      </c>
    </row>
    <row r="50" ht="15.75" customHeight="1">
      <c r="A50" s="131">
        <v>41.0</v>
      </c>
      <c r="B50" s="111" t="s">
        <v>132</v>
      </c>
      <c r="C50" s="112" t="s">
        <v>133</v>
      </c>
      <c r="D50" s="98">
        <f t="shared" si="8"/>
        <v>17</v>
      </c>
      <c r="E50" s="130">
        <f t="shared" si="9"/>
        <v>42.5</v>
      </c>
      <c r="F50" s="114">
        <f t="shared" si="10"/>
        <v>42.5</v>
      </c>
      <c r="G50" s="149" t="str">
        <f t="shared" si="11"/>
        <v>  </v>
      </c>
      <c r="H50" s="254"/>
      <c r="I50" s="258"/>
      <c r="J50" s="254"/>
      <c r="K50" s="254"/>
      <c r="L50" s="257"/>
      <c r="M50" s="139">
        <f t="shared" si="12"/>
        <v>0</v>
      </c>
      <c r="N50" s="140" t="str">
        <f t="shared" si="13"/>
        <v>#DIV/0!</v>
      </c>
      <c r="O50" s="116"/>
      <c r="P50" s="116"/>
      <c r="Q50" s="180"/>
      <c r="R50" s="186"/>
      <c r="S50" s="186"/>
      <c r="T50" s="116"/>
      <c r="U50" s="116"/>
      <c r="V50" s="186"/>
      <c r="W50" s="116"/>
      <c r="X50" s="138">
        <v>1.0</v>
      </c>
      <c r="Y50" s="200">
        <v>1.0</v>
      </c>
      <c r="Z50" s="185"/>
      <c r="AA50" s="217"/>
      <c r="AB50" s="116"/>
      <c r="AC50" s="186"/>
      <c r="AD50" s="116"/>
      <c r="AE50" s="116"/>
      <c r="AF50" s="197">
        <v>1.0</v>
      </c>
      <c r="AG50" s="197">
        <v>1.0</v>
      </c>
      <c r="AH50" s="195"/>
      <c r="AI50" s="138">
        <v>1.0</v>
      </c>
      <c r="AJ50" s="139">
        <f t="shared" si="14"/>
        <v>5</v>
      </c>
      <c r="AK50" s="205">
        <f t="shared" si="15"/>
        <v>45.45454545</v>
      </c>
      <c r="AL50" s="225"/>
      <c r="AM50" s="116"/>
      <c r="AN50" s="186"/>
      <c r="AO50" s="184">
        <v>1.0</v>
      </c>
      <c r="AP50" s="234"/>
      <c r="AQ50" s="116"/>
      <c r="AR50" s="116"/>
      <c r="AS50" s="166"/>
      <c r="AT50" s="116"/>
      <c r="AU50" s="138">
        <v>1.0</v>
      </c>
      <c r="AV50" s="116"/>
      <c r="AW50" s="186"/>
      <c r="AX50" s="116"/>
      <c r="AY50" s="138">
        <v>1.0</v>
      </c>
      <c r="AZ50" s="180"/>
      <c r="BA50" s="180"/>
      <c r="BB50" s="138">
        <v>1.0</v>
      </c>
      <c r="BC50" s="204"/>
      <c r="BD50" s="181"/>
      <c r="BE50" s="181"/>
      <c r="BF50" s="219">
        <v>1.0</v>
      </c>
      <c r="BG50" s="139">
        <f t="shared" si="16"/>
        <v>5</v>
      </c>
      <c r="BH50" s="208">
        <f t="shared" si="17"/>
        <v>35.71428571</v>
      </c>
      <c r="BI50" s="138">
        <v>1.0</v>
      </c>
      <c r="BJ50" s="138">
        <v>1.0</v>
      </c>
      <c r="BK50" s="180"/>
      <c r="BL50" s="138">
        <v>1.0</v>
      </c>
      <c r="BM50" s="116"/>
      <c r="BN50" s="138">
        <v>1.0</v>
      </c>
      <c r="BO50" s="138">
        <v>1.0</v>
      </c>
      <c r="BP50" s="116"/>
      <c r="BQ50" s="165"/>
      <c r="BR50" s="196">
        <v>1.0</v>
      </c>
      <c r="BS50" s="116"/>
      <c r="BT50" s="116"/>
      <c r="BU50" s="43"/>
      <c r="BV50" s="43"/>
      <c r="BW50" s="198"/>
      <c r="BX50" s="116"/>
      <c r="BY50" s="116"/>
      <c r="BZ50" s="165"/>
      <c r="CA50" s="116"/>
      <c r="CB50" s="165"/>
      <c r="CC50" s="165"/>
      <c r="CD50" s="165"/>
      <c r="CE50" s="124">
        <f t="shared" si="18"/>
        <v>6</v>
      </c>
      <c r="CF50" s="173">
        <f t="shared" si="19"/>
        <v>75</v>
      </c>
      <c r="CG50" s="116"/>
      <c r="CH50" s="116"/>
      <c r="CI50" s="138">
        <v>1.0</v>
      </c>
      <c r="CJ50" s="116"/>
      <c r="CK50" s="231"/>
      <c r="CL50" s="231"/>
      <c r="CM50" s="231"/>
      <c r="CN50" s="116"/>
      <c r="CO50" s="116"/>
      <c r="CP50" s="166"/>
      <c r="CQ50" s="213"/>
      <c r="CR50" s="213"/>
      <c r="CS50" s="213"/>
      <c r="CT50" s="116"/>
      <c r="CU50" s="116"/>
      <c r="CV50" s="213"/>
      <c r="CW50" s="128">
        <f t="shared" si="20"/>
        <v>1</v>
      </c>
      <c r="CX50" s="214">
        <f t="shared" si="21"/>
        <v>14.28571429</v>
      </c>
      <c r="CY50" s="171"/>
      <c r="CZ50" s="171"/>
      <c r="DA50" s="171"/>
      <c r="DB50" s="171"/>
      <c r="DC50" s="171"/>
      <c r="DD50" s="171"/>
      <c r="DE50" s="171"/>
      <c r="DF50" s="171"/>
      <c r="DG50" s="171"/>
      <c r="DH50" s="171"/>
      <c r="DI50" s="171"/>
      <c r="DJ50" s="171"/>
      <c r="DK50" s="128">
        <f t="shared" si="22"/>
        <v>0</v>
      </c>
      <c r="DL50" s="158" t="str">
        <f t="shared" si="23"/>
        <v>#DIV/0!</v>
      </c>
    </row>
    <row r="51" ht="15.75" customHeight="1">
      <c r="A51" s="146">
        <v>42.0</v>
      </c>
      <c r="B51" s="111" t="s">
        <v>134</v>
      </c>
      <c r="C51" s="112" t="s">
        <v>135</v>
      </c>
      <c r="D51" s="98">
        <f t="shared" si="8"/>
        <v>17</v>
      </c>
      <c r="E51" s="130">
        <f t="shared" si="9"/>
        <v>42.5</v>
      </c>
      <c r="F51" s="114">
        <f t="shared" si="10"/>
        <v>42.5</v>
      </c>
      <c r="G51" s="149" t="str">
        <f t="shared" si="11"/>
        <v>  </v>
      </c>
      <c r="H51" s="254"/>
      <c r="I51" s="254"/>
      <c r="J51" s="254"/>
      <c r="K51" s="256"/>
      <c r="L51" s="259"/>
      <c r="M51" s="139">
        <f t="shared" si="12"/>
        <v>0</v>
      </c>
      <c r="N51" s="140" t="str">
        <f t="shared" si="13"/>
        <v>#DIV/0!</v>
      </c>
      <c r="O51" s="116"/>
      <c r="P51" s="116"/>
      <c r="Q51" s="116"/>
      <c r="R51" s="207"/>
      <c r="S51" s="116"/>
      <c r="T51" s="116"/>
      <c r="U51" s="116"/>
      <c r="V51" s="207"/>
      <c r="W51" s="116"/>
      <c r="X51" s="116"/>
      <c r="Y51" s="234">
        <v>1.0</v>
      </c>
      <c r="Z51" s="185"/>
      <c r="AA51" s="217"/>
      <c r="AB51" s="116"/>
      <c r="AC51" s="207"/>
      <c r="AD51" s="209">
        <v>1.0</v>
      </c>
      <c r="AE51" s="116"/>
      <c r="AF51" s="206"/>
      <c r="AG51" s="206"/>
      <c r="AH51" s="116"/>
      <c r="AI51" s="138">
        <v>1.0</v>
      </c>
      <c r="AJ51" s="139">
        <f t="shared" si="14"/>
        <v>3</v>
      </c>
      <c r="AK51" s="205">
        <f t="shared" si="15"/>
        <v>27.27272727</v>
      </c>
      <c r="AL51" s="116"/>
      <c r="AM51" s="116"/>
      <c r="AN51" s="207"/>
      <c r="AO51" s="184">
        <v>1.0</v>
      </c>
      <c r="AP51" s="233">
        <v>1.0</v>
      </c>
      <c r="AQ51" s="116"/>
      <c r="AR51" s="116"/>
      <c r="AS51" s="191">
        <v>1.0</v>
      </c>
      <c r="AT51" s="138">
        <v>1.0</v>
      </c>
      <c r="AU51" s="116"/>
      <c r="AV51" s="116"/>
      <c r="AW51" s="207"/>
      <c r="AX51" s="116"/>
      <c r="AY51" s="138">
        <v>1.0</v>
      </c>
      <c r="AZ51" s="116"/>
      <c r="BA51" s="180"/>
      <c r="BB51" s="138">
        <v>1.0</v>
      </c>
      <c r="BC51" s="138">
        <v>1.0</v>
      </c>
      <c r="BD51" s="188">
        <v>1.0</v>
      </c>
      <c r="BE51" s="194"/>
      <c r="BF51" s="194"/>
      <c r="BG51" s="139">
        <f t="shared" si="16"/>
        <v>8</v>
      </c>
      <c r="BH51" s="208">
        <f t="shared" si="17"/>
        <v>57.14285714</v>
      </c>
      <c r="BI51" s="180"/>
      <c r="BJ51" s="180"/>
      <c r="BK51" s="180"/>
      <c r="BL51" s="138">
        <v>1.0</v>
      </c>
      <c r="BM51" s="116"/>
      <c r="BN51" s="116"/>
      <c r="BO51" s="138">
        <v>1.0</v>
      </c>
      <c r="BP51" s="116"/>
      <c r="BQ51" s="165"/>
      <c r="BR51" s="196">
        <v>1.0</v>
      </c>
      <c r="BS51" s="116"/>
      <c r="BT51" s="116"/>
      <c r="BU51" s="43"/>
      <c r="BV51" s="43"/>
      <c r="BW51" s="198"/>
      <c r="BX51" s="116"/>
      <c r="BY51" s="116"/>
      <c r="BZ51" s="165"/>
      <c r="CA51" s="116"/>
      <c r="CB51" s="165"/>
      <c r="CC51" s="165"/>
      <c r="CD51" s="165"/>
      <c r="CE51" s="124">
        <f t="shared" si="18"/>
        <v>3</v>
      </c>
      <c r="CF51" s="173">
        <f t="shared" si="19"/>
        <v>37.5</v>
      </c>
      <c r="CG51" s="138">
        <v>1.0</v>
      </c>
      <c r="CH51" s="138">
        <v>1.0</v>
      </c>
      <c r="CI51" s="138">
        <v>1.0</v>
      </c>
      <c r="CJ51" s="116"/>
      <c r="CK51" s="116"/>
      <c r="CL51" s="116"/>
      <c r="CM51" s="116"/>
      <c r="CN51" s="223"/>
      <c r="CO51" s="116"/>
      <c r="CP51" s="166"/>
      <c r="CQ51" s="213"/>
      <c r="CR51" s="213"/>
      <c r="CS51" s="213"/>
      <c r="CT51" s="116"/>
      <c r="CU51" s="116"/>
      <c r="CV51" s="213"/>
      <c r="CW51" s="128">
        <f t="shared" si="20"/>
        <v>3</v>
      </c>
      <c r="CX51" s="214">
        <f t="shared" si="21"/>
        <v>42.85714286</v>
      </c>
      <c r="CY51" s="171"/>
      <c r="CZ51" s="171"/>
      <c r="DA51" s="171"/>
      <c r="DB51" s="171"/>
      <c r="DC51" s="171"/>
      <c r="DD51" s="171"/>
      <c r="DE51" s="171"/>
      <c r="DF51" s="171"/>
      <c r="DG51" s="171"/>
      <c r="DH51" s="171"/>
      <c r="DI51" s="171"/>
      <c r="DJ51" s="171"/>
      <c r="DK51" s="128">
        <f t="shared" si="22"/>
        <v>0</v>
      </c>
      <c r="DL51" s="158" t="str">
        <f t="shared" si="23"/>
        <v>#DIV/0!</v>
      </c>
    </row>
    <row r="52" ht="15.75" customHeight="1">
      <c r="A52" s="50">
        <v>43.0</v>
      </c>
      <c r="B52" s="111" t="s">
        <v>137</v>
      </c>
      <c r="C52" s="112" t="s">
        <v>138</v>
      </c>
      <c r="D52" s="98">
        <f t="shared" si="8"/>
        <v>14</v>
      </c>
      <c r="E52" s="130">
        <f t="shared" si="9"/>
        <v>35</v>
      </c>
      <c r="F52" s="114">
        <f t="shared" si="10"/>
        <v>35</v>
      </c>
      <c r="G52" s="149" t="str">
        <f t="shared" si="11"/>
        <v>  </v>
      </c>
      <c r="H52" s="254"/>
      <c r="I52" s="256"/>
      <c r="J52" s="254"/>
      <c r="K52" s="254"/>
      <c r="L52" s="257"/>
      <c r="M52" s="139">
        <f t="shared" si="12"/>
        <v>0</v>
      </c>
      <c r="N52" s="140" t="str">
        <f t="shared" si="13"/>
        <v>#DIV/0!</v>
      </c>
      <c r="O52" s="116"/>
      <c r="P52" s="116"/>
      <c r="Q52" s="180"/>
      <c r="R52" s="228"/>
      <c r="S52" s="116"/>
      <c r="T52" s="116"/>
      <c r="U52" s="116"/>
      <c r="V52" s="228"/>
      <c r="W52" s="116"/>
      <c r="X52" s="116"/>
      <c r="Y52" s="233">
        <v>1.0</v>
      </c>
      <c r="Z52" s="185"/>
      <c r="AA52" s="217"/>
      <c r="AB52" s="116"/>
      <c r="AC52" s="228"/>
      <c r="AD52" s="116"/>
      <c r="AE52" s="116"/>
      <c r="AF52" s="227"/>
      <c r="AG52" s="229">
        <v>1.0</v>
      </c>
      <c r="AH52" s="138">
        <v>1.0</v>
      </c>
      <c r="AI52" s="138">
        <v>1.0</v>
      </c>
      <c r="AJ52" s="139">
        <f t="shared" si="14"/>
        <v>4</v>
      </c>
      <c r="AK52" s="205">
        <f t="shared" si="15"/>
        <v>36.36363636</v>
      </c>
      <c r="AL52" s="261"/>
      <c r="AM52" s="116"/>
      <c r="AN52" s="228"/>
      <c r="AO52" s="184">
        <v>1.0</v>
      </c>
      <c r="AP52" s="138">
        <v>1.0</v>
      </c>
      <c r="AQ52" s="116"/>
      <c r="AR52" s="116"/>
      <c r="AS52" s="166"/>
      <c r="AT52" s="138">
        <v>1.0</v>
      </c>
      <c r="AU52" s="138">
        <v>1.0</v>
      </c>
      <c r="AV52" s="116"/>
      <c r="AW52" s="228"/>
      <c r="AX52" s="116"/>
      <c r="AY52" s="138">
        <v>1.0</v>
      </c>
      <c r="AZ52" s="180"/>
      <c r="BA52" s="180"/>
      <c r="BB52" s="116"/>
      <c r="BC52" s="204"/>
      <c r="BD52" s="181"/>
      <c r="BE52" s="181"/>
      <c r="BF52" s="181"/>
      <c r="BG52" s="139">
        <f t="shared" si="16"/>
        <v>5</v>
      </c>
      <c r="BH52" s="208">
        <f t="shared" si="17"/>
        <v>35.71428571</v>
      </c>
      <c r="BI52" s="116"/>
      <c r="BJ52" s="116"/>
      <c r="BK52" s="180"/>
      <c r="BL52" s="138">
        <v>1.0</v>
      </c>
      <c r="BM52" s="116"/>
      <c r="BN52" s="138">
        <v>1.0</v>
      </c>
      <c r="BO52" s="116"/>
      <c r="BP52" s="116"/>
      <c r="BQ52" s="116"/>
      <c r="BR52" s="196">
        <v>1.0</v>
      </c>
      <c r="BS52" s="116"/>
      <c r="BT52" s="185"/>
      <c r="BU52" s="43"/>
      <c r="BV52" s="43"/>
      <c r="BW52" s="198"/>
      <c r="BX52" s="43"/>
      <c r="BY52" s="116"/>
      <c r="BZ52" s="165"/>
      <c r="CA52" s="116"/>
      <c r="CB52" s="116"/>
      <c r="CC52" s="165"/>
      <c r="CD52" s="165"/>
      <c r="CE52" s="124">
        <f t="shared" si="18"/>
        <v>3</v>
      </c>
      <c r="CF52" s="173">
        <f t="shared" si="19"/>
        <v>37.5</v>
      </c>
      <c r="CG52" s="233">
        <v>1.0</v>
      </c>
      <c r="CH52" s="233">
        <v>1.0</v>
      </c>
      <c r="CI52" s="116"/>
      <c r="CJ52" s="116"/>
      <c r="CK52" s="116"/>
      <c r="CL52" s="116"/>
      <c r="CM52" s="116"/>
      <c r="CN52" s="223"/>
      <c r="CO52" s="223"/>
      <c r="CP52" s="166"/>
      <c r="CQ52" s="213"/>
      <c r="CR52" s="213"/>
      <c r="CS52" s="116"/>
      <c r="CT52" s="213"/>
      <c r="CU52" s="213"/>
      <c r="CV52" s="213"/>
      <c r="CW52" s="128">
        <f t="shared" si="20"/>
        <v>2</v>
      </c>
      <c r="CX52" s="214">
        <f t="shared" si="21"/>
        <v>28.57142857</v>
      </c>
      <c r="CY52" s="171"/>
      <c r="CZ52" s="171"/>
      <c r="DA52" s="171"/>
      <c r="DB52" s="171"/>
      <c r="DC52" s="171"/>
      <c r="DD52" s="171"/>
      <c r="DE52" s="171"/>
      <c r="DF52" s="171"/>
      <c r="DG52" s="171"/>
      <c r="DH52" s="171"/>
      <c r="DI52" s="171"/>
      <c r="DJ52" s="171"/>
      <c r="DK52" s="128">
        <f t="shared" si="22"/>
        <v>0</v>
      </c>
      <c r="DL52" s="158" t="str">
        <f t="shared" si="23"/>
        <v>#DIV/0!</v>
      </c>
    </row>
    <row r="53" ht="15.75" customHeight="1">
      <c r="A53" s="131">
        <v>44.0</v>
      </c>
      <c r="B53" s="111" t="s">
        <v>139</v>
      </c>
      <c r="C53" s="112" t="s">
        <v>140</v>
      </c>
      <c r="D53" s="98">
        <f t="shared" si="8"/>
        <v>17</v>
      </c>
      <c r="E53" s="130">
        <f t="shared" si="9"/>
        <v>42.5</v>
      </c>
      <c r="F53" s="114">
        <f t="shared" si="10"/>
        <v>42.5</v>
      </c>
      <c r="G53" s="149" t="str">
        <f t="shared" si="11"/>
        <v>  </v>
      </c>
      <c r="H53" s="254"/>
      <c r="I53" s="254"/>
      <c r="J53" s="254"/>
      <c r="K53" s="254"/>
      <c r="L53" s="257"/>
      <c r="M53" s="139">
        <f t="shared" si="12"/>
        <v>0</v>
      </c>
      <c r="N53" s="140" t="str">
        <f t="shared" si="13"/>
        <v>#DIV/0!</v>
      </c>
      <c r="O53" s="116"/>
      <c r="P53" s="116"/>
      <c r="Q53" s="180"/>
      <c r="R53" s="179"/>
      <c r="S53" s="179"/>
      <c r="T53" s="116"/>
      <c r="U53" s="116"/>
      <c r="V53" s="179"/>
      <c r="W53" s="116"/>
      <c r="X53" s="138">
        <v>1.0</v>
      </c>
      <c r="Y53" s="184">
        <v>1.0</v>
      </c>
      <c r="Z53" s="185"/>
      <c r="AA53" s="217"/>
      <c r="AB53" s="116"/>
      <c r="AC53" s="179"/>
      <c r="AD53" s="116"/>
      <c r="AE53" s="116"/>
      <c r="AF53" s="182">
        <v>1.0</v>
      </c>
      <c r="AG53" s="182">
        <v>1.0</v>
      </c>
      <c r="AH53" s="116"/>
      <c r="AI53" s="182">
        <v>1.0</v>
      </c>
      <c r="AJ53" s="139">
        <f t="shared" si="14"/>
        <v>5</v>
      </c>
      <c r="AK53" s="205">
        <f t="shared" si="15"/>
        <v>45.45454545</v>
      </c>
      <c r="AL53" s="138">
        <v>1.0</v>
      </c>
      <c r="AM53" s="116"/>
      <c r="AN53" s="179"/>
      <c r="AO53" s="179"/>
      <c r="AP53" s="179"/>
      <c r="AQ53" s="138">
        <v>1.0</v>
      </c>
      <c r="AR53" s="116"/>
      <c r="AS53" s="191">
        <v>1.0</v>
      </c>
      <c r="AT53" s="116"/>
      <c r="AU53" s="138">
        <v>1.0</v>
      </c>
      <c r="AV53" s="116"/>
      <c r="AW53" s="179"/>
      <c r="AX53" s="138">
        <v>1.0</v>
      </c>
      <c r="AY53" s="138">
        <v>1.0</v>
      </c>
      <c r="AZ53" s="180"/>
      <c r="BA53" s="180"/>
      <c r="BB53" s="138">
        <v>1.0</v>
      </c>
      <c r="BC53" s="204"/>
      <c r="BD53" s="219">
        <v>1.0</v>
      </c>
      <c r="BE53" s="181"/>
      <c r="BF53" s="181"/>
      <c r="BG53" s="139">
        <f t="shared" si="16"/>
        <v>7</v>
      </c>
      <c r="BH53" s="208">
        <f t="shared" si="17"/>
        <v>50</v>
      </c>
      <c r="BI53" s="180"/>
      <c r="BJ53" s="180"/>
      <c r="BK53" s="180"/>
      <c r="BL53" s="138">
        <v>1.0</v>
      </c>
      <c r="BM53" s="116"/>
      <c r="BN53" s="138">
        <v>1.0</v>
      </c>
      <c r="BO53" s="138">
        <v>1.0</v>
      </c>
      <c r="BP53" s="116"/>
      <c r="BQ53" s="116"/>
      <c r="BR53" s="196">
        <v>1.0</v>
      </c>
      <c r="BS53" s="116"/>
      <c r="BT53" s="185"/>
      <c r="BU53" s="43"/>
      <c r="BV53" s="43"/>
      <c r="BW53" s="198"/>
      <c r="BX53" s="116"/>
      <c r="BY53" s="116"/>
      <c r="BZ53" s="165"/>
      <c r="CA53" s="116"/>
      <c r="CB53" s="116"/>
      <c r="CC53" s="165"/>
      <c r="CD53" s="165"/>
      <c r="CE53" s="124">
        <f t="shared" si="18"/>
        <v>4</v>
      </c>
      <c r="CF53" s="173">
        <f t="shared" si="19"/>
        <v>50</v>
      </c>
      <c r="CG53" s="116"/>
      <c r="CH53" s="116"/>
      <c r="CI53" s="138">
        <v>1.0</v>
      </c>
      <c r="CJ53" s="116"/>
      <c r="CK53" s="231"/>
      <c r="CL53" s="231"/>
      <c r="CM53" s="231"/>
      <c r="CN53" s="116"/>
      <c r="CO53" s="116"/>
      <c r="CP53" s="166"/>
      <c r="CQ53" s="213"/>
      <c r="CR53" s="213"/>
      <c r="CS53" s="116"/>
      <c r="CT53" s="213"/>
      <c r="CU53" s="213"/>
      <c r="CV53" s="213"/>
      <c r="CW53" s="128">
        <f t="shared" si="20"/>
        <v>1</v>
      </c>
      <c r="CX53" s="214">
        <f t="shared" si="21"/>
        <v>14.28571429</v>
      </c>
      <c r="CY53" s="171"/>
      <c r="CZ53" s="171"/>
      <c r="DA53" s="171"/>
      <c r="DB53" s="171"/>
      <c r="DC53" s="171"/>
      <c r="DD53" s="171"/>
      <c r="DE53" s="171"/>
      <c r="DF53" s="171"/>
      <c r="DG53" s="171"/>
      <c r="DH53" s="171"/>
      <c r="DI53" s="171"/>
      <c r="DJ53" s="171"/>
      <c r="DK53" s="128">
        <f t="shared" si="22"/>
        <v>0</v>
      </c>
      <c r="DL53" s="158" t="str">
        <f t="shared" si="23"/>
        <v>#DIV/0!</v>
      </c>
    </row>
    <row r="54" ht="15.75" customHeight="1">
      <c r="A54" s="146">
        <v>45.0</v>
      </c>
      <c r="B54" s="111" t="s">
        <v>141</v>
      </c>
      <c r="C54" s="112" t="s">
        <v>142</v>
      </c>
      <c r="D54" s="98">
        <f t="shared" si="8"/>
        <v>20</v>
      </c>
      <c r="E54" s="130">
        <f t="shared" si="9"/>
        <v>50</v>
      </c>
      <c r="F54" s="92" t="str">
        <f t="shared" si="10"/>
        <v>  </v>
      </c>
      <c r="G54" s="149" t="str">
        <f t="shared" si="11"/>
        <v>  </v>
      </c>
      <c r="H54" s="254"/>
      <c r="I54" s="254"/>
      <c r="J54" s="254"/>
      <c r="K54" s="254"/>
      <c r="L54" s="257"/>
      <c r="M54" s="139">
        <f t="shared" si="12"/>
        <v>0</v>
      </c>
      <c r="N54" s="140" t="str">
        <f t="shared" si="13"/>
        <v>#DIV/0!</v>
      </c>
      <c r="O54" s="116"/>
      <c r="P54" s="116"/>
      <c r="Q54" s="116"/>
      <c r="R54" s="179"/>
      <c r="S54" s="179"/>
      <c r="T54" s="116"/>
      <c r="U54" s="116"/>
      <c r="V54" s="179"/>
      <c r="W54" s="116"/>
      <c r="X54" s="138">
        <v>1.0</v>
      </c>
      <c r="Y54" s="184">
        <v>1.0</v>
      </c>
      <c r="Z54" s="185"/>
      <c r="AA54" s="217"/>
      <c r="AB54" s="116"/>
      <c r="AC54" s="179"/>
      <c r="AD54" s="138">
        <v>1.0</v>
      </c>
      <c r="AE54" s="116"/>
      <c r="AF54" s="182">
        <v>1.0</v>
      </c>
      <c r="AG54" s="182">
        <v>1.0</v>
      </c>
      <c r="AH54" s="182">
        <v>1.0</v>
      </c>
      <c r="AI54" s="138">
        <v>1.0</v>
      </c>
      <c r="AJ54" s="139">
        <f t="shared" si="14"/>
        <v>7</v>
      </c>
      <c r="AK54" s="205">
        <f t="shared" si="15"/>
        <v>63.63636364</v>
      </c>
      <c r="AL54" s="116"/>
      <c r="AM54" s="116"/>
      <c r="AN54" s="179"/>
      <c r="AO54" s="186"/>
      <c r="AP54" s="116"/>
      <c r="AQ54" s="116"/>
      <c r="AR54" s="116"/>
      <c r="AS54" s="191">
        <v>1.0</v>
      </c>
      <c r="AT54" s="138">
        <v>1.0</v>
      </c>
      <c r="AU54" s="138">
        <v>1.0</v>
      </c>
      <c r="AV54" s="138">
        <v>1.0</v>
      </c>
      <c r="AW54" s="179"/>
      <c r="AX54" s="138">
        <v>1.0</v>
      </c>
      <c r="AY54" s="138">
        <v>1.0</v>
      </c>
      <c r="AZ54" s="180"/>
      <c r="BA54" s="180"/>
      <c r="BB54" s="116"/>
      <c r="BC54" s="204"/>
      <c r="BD54" s="219">
        <v>1.0</v>
      </c>
      <c r="BE54" s="219">
        <v>1.0</v>
      </c>
      <c r="BF54" s="219">
        <v>1.0</v>
      </c>
      <c r="BG54" s="139">
        <f t="shared" si="16"/>
        <v>9</v>
      </c>
      <c r="BH54" s="208">
        <f t="shared" si="17"/>
        <v>64.28571429</v>
      </c>
      <c r="BI54" s="116"/>
      <c r="BJ54" s="116"/>
      <c r="BK54" s="180"/>
      <c r="BL54" s="116"/>
      <c r="BM54" s="116"/>
      <c r="BN54" s="138"/>
      <c r="BO54" s="138">
        <v>1.0</v>
      </c>
      <c r="BP54" s="138">
        <v>1.0</v>
      </c>
      <c r="BQ54" s="196">
        <v>1.0</v>
      </c>
      <c r="BR54" s="196">
        <v>1.0</v>
      </c>
      <c r="BS54" s="116"/>
      <c r="BT54" s="116"/>
      <c r="BU54" s="43"/>
      <c r="BV54" s="43"/>
      <c r="BW54" s="198"/>
      <c r="BX54" s="116"/>
      <c r="BY54" s="116"/>
      <c r="BZ54" s="165"/>
      <c r="CA54" s="116"/>
      <c r="CB54" s="165"/>
      <c r="CC54" s="165"/>
      <c r="CD54" s="165"/>
      <c r="CE54" s="124">
        <f t="shared" si="18"/>
        <v>4</v>
      </c>
      <c r="CF54" s="173">
        <f t="shared" si="19"/>
        <v>50</v>
      </c>
      <c r="CG54" s="179"/>
      <c r="CH54" s="179"/>
      <c r="CI54" s="238"/>
      <c r="CJ54" s="116"/>
      <c r="CK54" s="116"/>
      <c r="CL54" s="116"/>
      <c r="CM54" s="116"/>
      <c r="CN54" s="116"/>
      <c r="CO54" s="116"/>
      <c r="CP54" s="166"/>
      <c r="CQ54" s="213"/>
      <c r="CR54" s="213"/>
      <c r="CS54" s="213"/>
      <c r="CT54" s="213"/>
      <c r="CU54" s="213"/>
      <c r="CV54" s="213"/>
      <c r="CW54" s="128">
        <f t="shared" si="20"/>
        <v>0</v>
      </c>
      <c r="CX54" s="214">
        <f t="shared" si="21"/>
        <v>0</v>
      </c>
      <c r="CY54" s="171"/>
      <c r="CZ54" s="171"/>
      <c r="DA54" s="171"/>
      <c r="DB54" s="171"/>
      <c r="DC54" s="171"/>
      <c r="DD54" s="171"/>
      <c r="DE54" s="171"/>
      <c r="DF54" s="171"/>
      <c r="DG54" s="171"/>
      <c r="DH54" s="171"/>
      <c r="DI54" s="171"/>
      <c r="DJ54" s="171"/>
      <c r="DK54" s="128">
        <f t="shared" si="22"/>
        <v>0</v>
      </c>
      <c r="DL54" s="158" t="str">
        <f t="shared" si="23"/>
        <v>#DIV/0!</v>
      </c>
    </row>
    <row r="55" ht="15.75" customHeight="1">
      <c r="A55" s="50">
        <v>46.0</v>
      </c>
      <c r="B55" s="111" t="s">
        <v>143</v>
      </c>
      <c r="C55" s="112" t="s">
        <v>144</v>
      </c>
      <c r="D55" s="98">
        <f t="shared" si="8"/>
        <v>18</v>
      </c>
      <c r="E55" s="130">
        <f t="shared" si="9"/>
        <v>45</v>
      </c>
      <c r="F55" s="114">
        <f t="shared" si="10"/>
        <v>45</v>
      </c>
      <c r="G55" s="149" t="str">
        <f t="shared" si="11"/>
        <v>  </v>
      </c>
      <c r="H55" s="256"/>
      <c r="I55" s="254"/>
      <c r="J55" s="256"/>
      <c r="K55" s="254"/>
      <c r="L55" s="257"/>
      <c r="M55" s="139">
        <f t="shared" si="12"/>
        <v>0</v>
      </c>
      <c r="N55" s="140" t="str">
        <f t="shared" si="13"/>
        <v>#DIV/0!</v>
      </c>
      <c r="O55" s="116"/>
      <c r="P55" s="116"/>
      <c r="Q55" s="116"/>
      <c r="R55" s="179"/>
      <c r="S55" s="179"/>
      <c r="T55" s="116"/>
      <c r="U55" s="116"/>
      <c r="V55" s="179"/>
      <c r="W55" s="116"/>
      <c r="X55" s="138">
        <v>1.0</v>
      </c>
      <c r="Y55" s="184">
        <v>1.0</v>
      </c>
      <c r="Z55" s="185"/>
      <c r="AA55" s="217"/>
      <c r="AB55" s="138">
        <v>1.0</v>
      </c>
      <c r="AC55" s="179"/>
      <c r="AD55" s="138">
        <v>1.0</v>
      </c>
      <c r="AE55" s="116"/>
      <c r="AF55" s="176"/>
      <c r="AG55" s="182">
        <v>1.0</v>
      </c>
      <c r="AH55" s="138">
        <v>1.0</v>
      </c>
      <c r="AI55" s="182">
        <v>1.0</v>
      </c>
      <c r="AJ55" s="139">
        <f t="shared" si="14"/>
        <v>7</v>
      </c>
      <c r="AK55" s="205">
        <f t="shared" si="15"/>
        <v>63.63636364</v>
      </c>
      <c r="AL55" s="222"/>
      <c r="AM55" s="179"/>
      <c r="AN55" s="179"/>
      <c r="AO55" s="234">
        <v>1.0</v>
      </c>
      <c r="AP55" s="138">
        <v>1.0</v>
      </c>
      <c r="AQ55" s="116"/>
      <c r="AR55" s="116"/>
      <c r="AS55" s="166"/>
      <c r="AT55" s="116"/>
      <c r="AU55" s="116"/>
      <c r="AV55" s="116"/>
      <c r="AW55" s="179"/>
      <c r="AX55" s="138">
        <v>1.0</v>
      </c>
      <c r="AY55" s="116"/>
      <c r="AZ55" s="116"/>
      <c r="BA55" s="180"/>
      <c r="BB55" s="138">
        <v>1.0</v>
      </c>
      <c r="BC55" s="138">
        <v>1.0</v>
      </c>
      <c r="BD55" s="188">
        <v>1.0</v>
      </c>
      <c r="BE55" s="188">
        <v>1.0</v>
      </c>
      <c r="BF55" s="194"/>
      <c r="BG55" s="139">
        <f t="shared" si="16"/>
        <v>7</v>
      </c>
      <c r="BH55" s="208">
        <f t="shared" si="17"/>
        <v>50</v>
      </c>
      <c r="BI55" s="116"/>
      <c r="BJ55" s="116"/>
      <c r="BK55" s="180"/>
      <c r="BL55" s="138">
        <v>1.0</v>
      </c>
      <c r="BM55" s="116"/>
      <c r="BN55" s="138">
        <v>1.0</v>
      </c>
      <c r="BO55" s="138">
        <v>1.0</v>
      </c>
      <c r="BP55" s="116"/>
      <c r="BQ55" s="196">
        <v>1.0</v>
      </c>
      <c r="BR55" s="165"/>
      <c r="BS55" s="116"/>
      <c r="BT55" s="116"/>
      <c r="BU55" s="43"/>
      <c r="BV55" s="43"/>
      <c r="BW55" s="198"/>
      <c r="BX55" s="116"/>
      <c r="BY55" s="116"/>
      <c r="BZ55" s="165"/>
      <c r="CA55" s="116"/>
      <c r="CB55" s="165"/>
      <c r="CC55" s="165"/>
      <c r="CD55" s="165"/>
      <c r="CE55" s="124">
        <f t="shared" si="18"/>
        <v>4</v>
      </c>
      <c r="CF55" s="173">
        <f t="shared" si="19"/>
        <v>50</v>
      </c>
      <c r="CG55" s="116"/>
      <c r="CH55" s="116"/>
      <c r="CI55" s="238"/>
      <c r="CJ55" s="116"/>
      <c r="CK55" s="116"/>
      <c r="CL55" s="116"/>
      <c r="CM55" s="116"/>
      <c r="CN55" s="223"/>
      <c r="CO55" s="116"/>
      <c r="CP55" s="166"/>
      <c r="CQ55" s="213"/>
      <c r="CR55" s="213"/>
      <c r="CS55" s="116"/>
      <c r="CT55" s="213"/>
      <c r="CU55" s="213"/>
      <c r="CV55" s="213"/>
      <c r="CW55" s="128">
        <f t="shared" si="20"/>
        <v>0</v>
      </c>
      <c r="CX55" s="214">
        <f t="shared" si="21"/>
        <v>0</v>
      </c>
      <c r="CY55" s="171"/>
      <c r="CZ55" s="171"/>
      <c r="DA55" s="171"/>
      <c r="DB55" s="171"/>
      <c r="DC55" s="171"/>
      <c r="DD55" s="171"/>
      <c r="DE55" s="171"/>
      <c r="DF55" s="171"/>
      <c r="DG55" s="171"/>
      <c r="DH55" s="171"/>
      <c r="DI55" s="171"/>
      <c r="DJ55" s="171"/>
      <c r="DK55" s="128">
        <f t="shared" si="22"/>
        <v>0</v>
      </c>
      <c r="DL55" s="158" t="str">
        <f t="shared" si="23"/>
        <v>#DIV/0!</v>
      </c>
    </row>
    <row r="56" ht="15.75" customHeight="1">
      <c r="A56" s="131">
        <v>47.0</v>
      </c>
      <c r="B56" s="111" t="s">
        <v>145</v>
      </c>
      <c r="C56" s="112" t="s">
        <v>146</v>
      </c>
      <c r="D56" s="98">
        <f t="shared" si="8"/>
        <v>25</v>
      </c>
      <c r="E56" s="130">
        <f t="shared" si="9"/>
        <v>62.5</v>
      </c>
      <c r="F56" s="92" t="str">
        <f t="shared" si="10"/>
        <v>  </v>
      </c>
      <c r="G56" s="149" t="str">
        <f t="shared" si="11"/>
        <v>  </v>
      </c>
      <c r="H56" s="254"/>
      <c r="I56" s="255"/>
      <c r="J56" s="254"/>
      <c r="K56" s="254"/>
      <c r="L56" s="257"/>
      <c r="M56" s="139">
        <f t="shared" si="12"/>
        <v>0</v>
      </c>
      <c r="N56" s="140" t="str">
        <f t="shared" si="13"/>
        <v>#DIV/0!</v>
      </c>
      <c r="O56" s="116"/>
      <c r="P56" s="116"/>
      <c r="Q56" s="116"/>
      <c r="R56" s="179"/>
      <c r="S56" s="116"/>
      <c r="T56" s="116"/>
      <c r="U56" s="116"/>
      <c r="V56" s="179"/>
      <c r="W56" s="116"/>
      <c r="X56" s="138">
        <v>1.0</v>
      </c>
      <c r="Y56" s="184">
        <v>1.0</v>
      </c>
      <c r="Z56" s="210">
        <v>1.0</v>
      </c>
      <c r="AA56" s="217"/>
      <c r="AB56" s="138">
        <v>1.0</v>
      </c>
      <c r="AC56" s="179"/>
      <c r="AD56" s="138">
        <v>1.0</v>
      </c>
      <c r="AE56" s="116"/>
      <c r="AF56" s="182">
        <v>1.0</v>
      </c>
      <c r="AG56" s="182">
        <v>1.0</v>
      </c>
      <c r="AH56" s="138">
        <v>1.0</v>
      </c>
      <c r="AI56" s="182">
        <v>1.0</v>
      </c>
      <c r="AJ56" s="139">
        <f t="shared" si="14"/>
        <v>9</v>
      </c>
      <c r="AK56" s="205">
        <f t="shared" si="15"/>
        <v>81.81818182</v>
      </c>
      <c r="AL56" s="138">
        <v>1.0</v>
      </c>
      <c r="AM56" s="116"/>
      <c r="AN56" s="179"/>
      <c r="AO56" s="233">
        <v>1.0</v>
      </c>
      <c r="AP56" s="184">
        <v>1.0</v>
      </c>
      <c r="AQ56" s="116"/>
      <c r="AR56" s="116"/>
      <c r="AS56" s="191">
        <v>1.0</v>
      </c>
      <c r="AT56" s="116"/>
      <c r="AU56" s="116"/>
      <c r="AV56" s="116"/>
      <c r="AW56" s="179"/>
      <c r="AX56" s="116"/>
      <c r="AY56" s="138">
        <v>1.0</v>
      </c>
      <c r="AZ56" s="116"/>
      <c r="BA56" s="180"/>
      <c r="BB56" s="116"/>
      <c r="BC56" s="116"/>
      <c r="BD56" s="194"/>
      <c r="BE56" s="188">
        <v>1.0</v>
      </c>
      <c r="BF56" s="188">
        <v>1.0</v>
      </c>
      <c r="BG56" s="139">
        <f t="shared" si="16"/>
        <v>6</v>
      </c>
      <c r="BH56" s="208">
        <f t="shared" si="17"/>
        <v>42.85714286</v>
      </c>
      <c r="BI56" s="138">
        <v>1.0</v>
      </c>
      <c r="BJ56" s="138">
        <v>1.0</v>
      </c>
      <c r="BK56" s="180"/>
      <c r="BL56" s="138">
        <v>1.0</v>
      </c>
      <c r="BM56" s="116"/>
      <c r="BN56" s="138">
        <v>1.0</v>
      </c>
      <c r="BO56" s="138">
        <v>1.0</v>
      </c>
      <c r="BP56" s="116"/>
      <c r="BQ56" s="138">
        <v>1.0</v>
      </c>
      <c r="BR56" s="196">
        <v>1.0</v>
      </c>
      <c r="BS56" s="116"/>
      <c r="BT56" s="116"/>
      <c r="BV56" s="116"/>
      <c r="BW56" s="198"/>
      <c r="BX56" s="116"/>
      <c r="BY56" s="116"/>
      <c r="BZ56" s="165"/>
      <c r="CA56" s="116"/>
      <c r="CB56" s="116"/>
      <c r="CC56" s="165"/>
      <c r="CD56" s="165"/>
      <c r="CE56" s="124">
        <f t="shared" si="18"/>
        <v>7</v>
      </c>
      <c r="CF56" s="173">
        <f t="shared" si="19"/>
        <v>87.5</v>
      </c>
      <c r="CG56" s="184">
        <v>1.0</v>
      </c>
      <c r="CH56" s="184">
        <v>1.0</v>
      </c>
      <c r="CI56" s="116"/>
      <c r="CJ56" s="138">
        <v>1.0</v>
      </c>
      <c r="CK56" s="116"/>
      <c r="CL56" s="116"/>
      <c r="CM56" s="116"/>
      <c r="CN56" s="116"/>
      <c r="CO56" s="116"/>
      <c r="CP56" s="166"/>
      <c r="CQ56" s="213"/>
      <c r="CR56" s="213"/>
      <c r="CS56" s="116"/>
      <c r="CT56" s="116"/>
      <c r="CU56" s="116"/>
      <c r="CV56" s="213"/>
      <c r="CW56" s="128">
        <f t="shared" si="20"/>
        <v>3</v>
      </c>
      <c r="CX56" s="214">
        <f t="shared" si="21"/>
        <v>42.85714286</v>
      </c>
      <c r="CY56" s="171"/>
      <c r="CZ56" s="171"/>
      <c r="DA56" s="171"/>
      <c r="DB56" s="171"/>
      <c r="DC56" s="171"/>
      <c r="DD56" s="171"/>
      <c r="DE56" s="171"/>
      <c r="DF56" s="171"/>
      <c r="DG56" s="171"/>
      <c r="DH56" s="171"/>
      <c r="DI56" s="171"/>
      <c r="DJ56" s="171"/>
      <c r="DK56" s="128">
        <f t="shared" si="22"/>
        <v>0</v>
      </c>
      <c r="DL56" s="158" t="str">
        <f t="shared" si="23"/>
        <v>#DIV/0!</v>
      </c>
    </row>
    <row r="57" ht="15.75" customHeight="1">
      <c r="A57" s="146">
        <v>48.0</v>
      </c>
      <c r="B57" s="111" t="s">
        <v>147</v>
      </c>
      <c r="C57" s="112" t="s">
        <v>148</v>
      </c>
      <c r="D57" s="98">
        <f t="shared" si="8"/>
        <v>19</v>
      </c>
      <c r="E57" s="130">
        <f t="shared" si="9"/>
        <v>47.5</v>
      </c>
      <c r="F57" s="114">
        <f t="shared" si="10"/>
        <v>47.5</v>
      </c>
      <c r="G57" s="226" t="str">
        <f t="shared" si="11"/>
        <v>  </v>
      </c>
      <c r="H57" s="254"/>
      <c r="I57" s="256"/>
      <c r="J57" s="256"/>
      <c r="K57" s="254"/>
      <c r="L57" s="257"/>
      <c r="M57" s="139">
        <f t="shared" si="12"/>
        <v>0</v>
      </c>
      <c r="N57" s="140" t="str">
        <f t="shared" si="13"/>
        <v>#DIV/0!</v>
      </c>
      <c r="O57" s="116"/>
      <c r="P57" s="116"/>
      <c r="Q57" s="180"/>
      <c r="R57" s="179"/>
      <c r="S57" s="179"/>
      <c r="T57" s="116"/>
      <c r="U57" s="116"/>
      <c r="V57" s="179"/>
      <c r="W57" s="116"/>
      <c r="X57" s="138">
        <v>1.0</v>
      </c>
      <c r="Y57" s="184">
        <v>1.0</v>
      </c>
      <c r="Z57" s="185"/>
      <c r="AA57" s="217"/>
      <c r="AB57" s="138">
        <v>1.0</v>
      </c>
      <c r="AC57" s="184">
        <v>1.0</v>
      </c>
      <c r="AD57" s="138">
        <v>1.0</v>
      </c>
      <c r="AE57" s="116"/>
      <c r="AF57" s="182">
        <v>1.0</v>
      </c>
      <c r="AG57" s="182">
        <v>1.0</v>
      </c>
      <c r="AH57" s="176"/>
      <c r="AI57" s="116"/>
      <c r="AJ57" s="139">
        <f t="shared" si="14"/>
        <v>7</v>
      </c>
      <c r="AK57" s="205">
        <f t="shared" si="15"/>
        <v>63.63636364</v>
      </c>
      <c r="AL57" s="116"/>
      <c r="AM57" s="116"/>
      <c r="AN57" s="179"/>
      <c r="AO57" s="179"/>
      <c r="AP57" s="116"/>
      <c r="AQ57" s="116"/>
      <c r="AR57" s="116"/>
      <c r="AS57" s="166"/>
      <c r="AT57" s="138">
        <v>1.0</v>
      </c>
      <c r="AU57" s="138">
        <v>1.0</v>
      </c>
      <c r="AV57" s="116"/>
      <c r="AW57" s="179"/>
      <c r="AX57" s="138">
        <v>1.0</v>
      </c>
      <c r="AY57" s="138">
        <v>1.0</v>
      </c>
      <c r="AZ57" s="180"/>
      <c r="BA57" s="180"/>
      <c r="BB57" s="138">
        <v>1.0</v>
      </c>
      <c r="BC57" s="218">
        <v>1.0</v>
      </c>
      <c r="BD57" s="181"/>
      <c r="BE57" s="219">
        <v>1.0</v>
      </c>
      <c r="BF57" s="181"/>
      <c r="BG57" s="139">
        <f t="shared" si="16"/>
        <v>7</v>
      </c>
      <c r="BH57" s="208">
        <f t="shared" si="17"/>
        <v>50</v>
      </c>
      <c r="BI57" s="138">
        <v>1.0</v>
      </c>
      <c r="BJ57" s="138">
        <v>1.0</v>
      </c>
      <c r="BK57" s="180"/>
      <c r="BL57" s="138">
        <v>1.0</v>
      </c>
      <c r="BM57" s="116"/>
      <c r="BN57" s="138">
        <v>1.0</v>
      </c>
      <c r="BO57" s="116"/>
      <c r="BP57" s="116"/>
      <c r="BQ57" s="165"/>
      <c r="BR57" s="165"/>
      <c r="BS57" s="116"/>
      <c r="BT57" s="116"/>
      <c r="BV57" s="43"/>
      <c r="BW57" s="198"/>
      <c r="BX57" s="116"/>
      <c r="BY57" s="116"/>
      <c r="BZ57" s="165"/>
      <c r="CA57" s="116"/>
      <c r="CB57" s="165"/>
      <c r="CC57" s="165"/>
      <c r="CD57" s="165"/>
      <c r="CE57" s="124">
        <f t="shared" si="18"/>
        <v>4</v>
      </c>
      <c r="CF57" s="173">
        <f t="shared" si="19"/>
        <v>50</v>
      </c>
      <c r="CG57" s="116"/>
      <c r="CH57" s="116"/>
      <c r="CI57" s="138">
        <v>1.0</v>
      </c>
      <c r="CJ57" s="116"/>
      <c r="CK57" s="116"/>
      <c r="CL57" s="116"/>
      <c r="CM57" s="116"/>
      <c r="CN57" s="116"/>
      <c r="CO57" s="116"/>
      <c r="CP57" s="166"/>
      <c r="CQ57" s="213"/>
      <c r="CR57" s="213"/>
      <c r="CS57" s="213"/>
      <c r="CT57" s="213"/>
      <c r="CU57" s="213"/>
      <c r="CV57" s="213"/>
      <c r="CW57" s="128">
        <f t="shared" si="20"/>
        <v>1</v>
      </c>
      <c r="CX57" s="214">
        <f t="shared" si="21"/>
        <v>14.28571429</v>
      </c>
      <c r="CY57" s="171"/>
      <c r="CZ57" s="171"/>
      <c r="DA57" s="171"/>
      <c r="DB57" s="171"/>
      <c r="DC57" s="171"/>
      <c r="DD57" s="171"/>
      <c r="DE57" s="171"/>
      <c r="DF57" s="171"/>
      <c r="DG57" s="171"/>
      <c r="DH57" s="171"/>
      <c r="DI57" s="171"/>
      <c r="DJ57" s="171"/>
      <c r="DK57" s="128">
        <f t="shared" si="22"/>
        <v>0</v>
      </c>
      <c r="DL57" s="158" t="str">
        <f t="shared" si="23"/>
        <v>#DIV/0!</v>
      </c>
    </row>
    <row r="58" ht="15.75" customHeight="1">
      <c r="A58" s="50">
        <v>49.0</v>
      </c>
      <c r="B58" s="111" t="s">
        <v>149</v>
      </c>
      <c r="C58" s="112" t="s">
        <v>150</v>
      </c>
      <c r="D58" s="98">
        <f t="shared" si="8"/>
        <v>17</v>
      </c>
      <c r="E58" s="130">
        <f t="shared" si="9"/>
        <v>42.5</v>
      </c>
      <c r="F58" s="114">
        <f t="shared" si="10"/>
        <v>42.5</v>
      </c>
      <c r="G58" s="149" t="str">
        <f t="shared" si="11"/>
        <v>  </v>
      </c>
      <c r="H58" s="254"/>
      <c r="I58" s="254"/>
      <c r="J58" s="254"/>
      <c r="K58" s="254"/>
      <c r="L58" s="257"/>
      <c r="M58" s="139">
        <f t="shared" si="12"/>
        <v>0</v>
      </c>
      <c r="N58" s="140" t="str">
        <f t="shared" si="13"/>
        <v>#DIV/0!</v>
      </c>
      <c r="O58" s="116"/>
      <c r="P58" s="116"/>
      <c r="Q58" s="180"/>
      <c r="R58" s="179"/>
      <c r="S58" s="179"/>
      <c r="T58" s="116"/>
      <c r="U58" s="116"/>
      <c r="V58" s="179"/>
      <c r="W58" s="116"/>
      <c r="X58" s="116"/>
      <c r="Y58" s="179"/>
      <c r="Z58" s="185"/>
      <c r="AA58" s="217"/>
      <c r="AB58" s="138">
        <v>1.0</v>
      </c>
      <c r="AC58" s="179"/>
      <c r="AD58" s="182">
        <v>1.0</v>
      </c>
      <c r="AE58" s="116"/>
      <c r="AF58" s="182">
        <v>1.0</v>
      </c>
      <c r="AG58" s="182">
        <v>1.0</v>
      </c>
      <c r="AH58" s="138">
        <v>1.0</v>
      </c>
      <c r="AI58" s="138">
        <v>1.0</v>
      </c>
      <c r="AJ58" s="139">
        <f t="shared" si="14"/>
        <v>6</v>
      </c>
      <c r="AK58" s="205">
        <f t="shared" si="15"/>
        <v>54.54545455</v>
      </c>
      <c r="AL58" s="116"/>
      <c r="AM58" s="116"/>
      <c r="AN58" s="179"/>
      <c r="AO58" s="179"/>
      <c r="AP58" s="186"/>
      <c r="AQ58" s="116"/>
      <c r="AR58" s="116"/>
      <c r="AS58" s="191">
        <v>1.0</v>
      </c>
      <c r="AT58" s="116"/>
      <c r="AU58" s="138">
        <v>1.0</v>
      </c>
      <c r="AV58" s="116"/>
      <c r="AW58" s="179"/>
      <c r="AX58" s="138">
        <v>1.0</v>
      </c>
      <c r="AY58" s="116"/>
      <c r="AZ58" s="116"/>
      <c r="BA58" s="180"/>
      <c r="BB58" s="138">
        <v>1.0</v>
      </c>
      <c r="BC58" s="204"/>
      <c r="BD58" s="181"/>
      <c r="BE58" s="181"/>
      <c r="BF58" s="219">
        <v>1.0</v>
      </c>
      <c r="BG58" s="139">
        <f t="shared" si="16"/>
        <v>5</v>
      </c>
      <c r="BH58" s="208">
        <f t="shared" si="17"/>
        <v>35.71428571</v>
      </c>
      <c r="BI58" s="138">
        <v>1.0</v>
      </c>
      <c r="BJ58" s="138">
        <v>1.0</v>
      </c>
      <c r="BK58" s="180"/>
      <c r="BL58" s="138">
        <v>1.0</v>
      </c>
      <c r="BM58" s="116"/>
      <c r="BN58" s="116"/>
      <c r="BO58" s="138">
        <v>1.0</v>
      </c>
      <c r="BP58" s="116"/>
      <c r="BQ58" s="138"/>
      <c r="BR58" s="165"/>
      <c r="BS58" s="116"/>
      <c r="BT58" s="116"/>
      <c r="BV58" s="43"/>
      <c r="BW58" s="198"/>
      <c r="BX58" s="43"/>
      <c r="BY58" s="116"/>
      <c r="BZ58" s="165"/>
      <c r="CA58" s="165"/>
      <c r="CB58" s="116"/>
      <c r="CC58" s="165"/>
      <c r="CD58" s="165"/>
      <c r="CE58" s="124">
        <f t="shared" si="18"/>
        <v>4</v>
      </c>
      <c r="CF58" s="173">
        <f t="shared" si="19"/>
        <v>50</v>
      </c>
      <c r="CG58" s="179"/>
      <c r="CH58" s="179"/>
      <c r="CI58" s="138">
        <v>1.0</v>
      </c>
      <c r="CJ58" s="138">
        <v>1.0</v>
      </c>
      <c r="CK58" s="116"/>
      <c r="CL58" s="116"/>
      <c r="CM58" s="116"/>
      <c r="CN58" s="223"/>
      <c r="CO58" s="116"/>
      <c r="CP58" s="166"/>
      <c r="CQ58" s="213"/>
      <c r="CR58" s="213"/>
      <c r="CS58" s="213"/>
      <c r="CT58" s="116"/>
      <c r="CU58" s="213"/>
      <c r="CV58" s="213"/>
      <c r="CW58" s="128">
        <f t="shared" si="20"/>
        <v>2</v>
      </c>
      <c r="CX58" s="214">
        <f t="shared" si="21"/>
        <v>28.57142857</v>
      </c>
      <c r="CY58" s="171"/>
      <c r="CZ58" s="171"/>
      <c r="DA58" s="171"/>
      <c r="DB58" s="171"/>
      <c r="DC58" s="171"/>
      <c r="DD58" s="171"/>
      <c r="DE58" s="171"/>
      <c r="DF58" s="171"/>
      <c r="DG58" s="171"/>
      <c r="DH58" s="171"/>
      <c r="DI58" s="171"/>
      <c r="DJ58" s="171"/>
      <c r="DK58" s="128">
        <f t="shared" si="22"/>
        <v>0</v>
      </c>
      <c r="DL58" s="158" t="str">
        <f t="shared" si="23"/>
        <v>#DIV/0!</v>
      </c>
    </row>
    <row r="59" ht="15.75" customHeight="1">
      <c r="A59" s="131">
        <v>50.0</v>
      </c>
      <c r="B59" s="111" t="s">
        <v>151</v>
      </c>
      <c r="C59" s="112" t="s">
        <v>152</v>
      </c>
      <c r="D59" s="98">
        <f t="shared" si="8"/>
        <v>32</v>
      </c>
      <c r="E59" s="130">
        <f t="shared" si="9"/>
        <v>80</v>
      </c>
      <c r="F59" s="92" t="str">
        <f t="shared" si="10"/>
        <v>  </v>
      </c>
      <c r="G59" s="149" t="str">
        <f t="shared" si="11"/>
        <v>  </v>
      </c>
      <c r="H59" s="254"/>
      <c r="I59" s="258"/>
      <c r="J59" s="256"/>
      <c r="K59" s="254"/>
      <c r="L59" s="257"/>
      <c r="M59" s="139">
        <f t="shared" si="12"/>
        <v>0</v>
      </c>
      <c r="N59" s="140" t="str">
        <f t="shared" si="13"/>
        <v>#DIV/0!</v>
      </c>
      <c r="O59" s="116"/>
      <c r="P59" s="116"/>
      <c r="Q59" s="116"/>
      <c r="R59" s="186"/>
      <c r="S59" s="186"/>
      <c r="T59" s="116"/>
      <c r="U59" s="116"/>
      <c r="V59" s="186"/>
      <c r="W59" s="116"/>
      <c r="X59" s="138">
        <v>1.0</v>
      </c>
      <c r="Y59" s="200">
        <v>1.0</v>
      </c>
      <c r="Z59" s="185"/>
      <c r="AA59" s="217"/>
      <c r="AB59" s="138">
        <v>1.0</v>
      </c>
      <c r="AC59" s="200">
        <v>1.0</v>
      </c>
      <c r="AD59" s="138">
        <v>1.0</v>
      </c>
      <c r="AE59" s="116"/>
      <c r="AF59" s="197">
        <v>1.0</v>
      </c>
      <c r="AG59" s="197">
        <v>1.0</v>
      </c>
      <c r="AH59" s="138">
        <v>1.0</v>
      </c>
      <c r="AI59" s="197">
        <v>1.0</v>
      </c>
      <c r="AJ59" s="139">
        <f t="shared" si="14"/>
        <v>9</v>
      </c>
      <c r="AK59" s="205">
        <f t="shared" si="15"/>
        <v>81.81818182</v>
      </c>
      <c r="AL59" s="116"/>
      <c r="AM59" s="116"/>
      <c r="AN59" s="186"/>
      <c r="AO59" s="184">
        <v>1.0</v>
      </c>
      <c r="AP59" s="138">
        <v>1.0</v>
      </c>
      <c r="AQ59" s="138">
        <v>1.0</v>
      </c>
      <c r="AR59" s="116"/>
      <c r="AS59" s="191">
        <v>1.0</v>
      </c>
      <c r="AT59" s="138">
        <v>1.0</v>
      </c>
      <c r="AU59" s="138">
        <v>1.0</v>
      </c>
      <c r="AV59" s="116"/>
      <c r="AW59" s="186"/>
      <c r="AX59" s="138">
        <v>1.0</v>
      </c>
      <c r="AY59" s="138">
        <v>1.0</v>
      </c>
      <c r="AZ59" s="116"/>
      <c r="BA59" s="180"/>
      <c r="BB59" s="138">
        <v>1.0</v>
      </c>
      <c r="BC59" s="116"/>
      <c r="BD59" s="188">
        <v>1.0</v>
      </c>
      <c r="BE59" s="194"/>
      <c r="BF59" s="194"/>
      <c r="BG59" s="139">
        <f t="shared" si="16"/>
        <v>10</v>
      </c>
      <c r="BH59" s="208">
        <f t="shared" si="17"/>
        <v>71.42857143</v>
      </c>
      <c r="BI59" s="138">
        <v>1.0</v>
      </c>
      <c r="BJ59" s="138">
        <v>1.0</v>
      </c>
      <c r="BK59" s="180"/>
      <c r="BL59" s="138">
        <v>1.0</v>
      </c>
      <c r="BM59" s="116"/>
      <c r="BN59" s="138">
        <v>1.0</v>
      </c>
      <c r="BO59" s="138">
        <v>1.0</v>
      </c>
      <c r="BP59" s="116"/>
      <c r="BQ59" s="138">
        <v>1.0</v>
      </c>
      <c r="BR59" s="196">
        <v>1.0</v>
      </c>
      <c r="BS59" s="116"/>
      <c r="BT59" s="116"/>
      <c r="BV59" s="116"/>
      <c r="BW59" s="198"/>
      <c r="BX59" s="116"/>
      <c r="BY59" s="116"/>
      <c r="BZ59" s="165"/>
      <c r="CA59" s="116"/>
      <c r="CB59" s="116"/>
      <c r="CC59" s="165"/>
      <c r="CD59" s="165"/>
      <c r="CE59" s="124">
        <f t="shared" si="18"/>
        <v>7</v>
      </c>
      <c r="CF59" s="173">
        <f t="shared" si="19"/>
        <v>87.5</v>
      </c>
      <c r="CG59" s="138">
        <v>1.0</v>
      </c>
      <c r="CH59" s="138">
        <v>1.0</v>
      </c>
      <c r="CI59" s="138">
        <v>1.0</v>
      </c>
      <c r="CJ59" s="116"/>
      <c r="CK59" s="138">
        <v>1.0</v>
      </c>
      <c r="CL59" s="138">
        <v>1.0</v>
      </c>
      <c r="CM59" s="138">
        <v>1.0</v>
      </c>
      <c r="CN59" s="116"/>
      <c r="CO59" s="116"/>
      <c r="CP59" s="166"/>
      <c r="CQ59" s="213"/>
      <c r="CR59" s="213"/>
      <c r="CS59" s="116"/>
      <c r="CT59" s="116"/>
      <c r="CU59" s="116"/>
      <c r="CV59" s="213"/>
      <c r="CW59" s="128">
        <f t="shared" si="20"/>
        <v>6</v>
      </c>
      <c r="CX59" s="214">
        <f t="shared" si="21"/>
        <v>85.71428571</v>
      </c>
      <c r="CY59" s="171"/>
      <c r="CZ59" s="171"/>
      <c r="DA59" s="171"/>
      <c r="DB59" s="171"/>
      <c r="DC59" s="171"/>
      <c r="DD59" s="171"/>
      <c r="DE59" s="171"/>
      <c r="DF59" s="171"/>
      <c r="DG59" s="171"/>
      <c r="DH59" s="171"/>
      <c r="DI59" s="171"/>
      <c r="DJ59" s="171"/>
      <c r="DK59" s="128">
        <f t="shared" si="22"/>
        <v>0</v>
      </c>
      <c r="DL59" s="158" t="str">
        <f t="shared" si="23"/>
        <v>#DIV/0!</v>
      </c>
    </row>
    <row r="60" ht="15.75" customHeight="1">
      <c r="A60" s="146">
        <v>51.0</v>
      </c>
      <c r="B60" s="111" t="s">
        <v>153</v>
      </c>
      <c r="C60" s="112" t="s">
        <v>154</v>
      </c>
      <c r="D60" s="98">
        <f t="shared" si="8"/>
        <v>18</v>
      </c>
      <c r="E60" s="130">
        <f t="shared" si="9"/>
        <v>45</v>
      </c>
      <c r="F60" s="114">
        <f t="shared" si="10"/>
        <v>45</v>
      </c>
      <c r="G60" s="226" t="str">
        <f t="shared" si="11"/>
        <v>  </v>
      </c>
      <c r="H60" s="254"/>
      <c r="I60" s="258"/>
      <c r="J60" s="258"/>
      <c r="K60" s="254"/>
      <c r="L60" s="257"/>
      <c r="M60" s="139">
        <f t="shared" si="12"/>
        <v>0</v>
      </c>
      <c r="N60" s="140" t="str">
        <f t="shared" si="13"/>
        <v>#DIV/0!</v>
      </c>
      <c r="O60" s="116"/>
      <c r="P60" s="116"/>
      <c r="Q60" s="180"/>
      <c r="R60" s="186"/>
      <c r="S60" s="186"/>
      <c r="T60" s="116"/>
      <c r="U60" s="116"/>
      <c r="V60" s="186"/>
      <c r="W60" s="116"/>
      <c r="X60" s="116"/>
      <c r="Y60" s="200">
        <v>1.0</v>
      </c>
      <c r="Z60" s="185"/>
      <c r="AA60" s="217"/>
      <c r="AB60" s="138"/>
      <c r="AC60" s="186"/>
      <c r="AD60" s="195"/>
      <c r="AE60" s="116"/>
      <c r="AF60" s="195"/>
      <c r="AG60" s="197">
        <v>1.0</v>
      </c>
      <c r="AH60" s="197">
        <v>1.0</v>
      </c>
      <c r="AI60" s="195"/>
      <c r="AJ60" s="139">
        <f t="shared" si="14"/>
        <v>3</v>
      </c>
      <c r="AK60" s="205">
        <f t="shared" si="15"/>
        <v>27.27272727</v>
      </c>
      <c r="AL60" s="225"/>
      <c r="AM60" s="116"/>
      <c r="AN60" s="186"/>
      <c r="AO60" s="184">
        <v>1.0</v>
      </c>
      <c r="AP60" s="184">
        <v>1.0</v>
      </c>
      <c r="AQ60" s="116"/>
      <c r="AR60" s="116"/>
      <c r="AS60" s="191">
        <v>1.0</v>
      </c>
      <c r="AT60" s="116"/>
      <c r="AU60" s="116"/>
      <c r="AV60" s="138">
        <v>1.0</v>
      </c>
      <c r="AW60" s="186"/>
      <c r="AX60" s="138">
        <v>1.0</v>
      </c>
      <c r="AY60" s="116"/>
      <c r="AZ60" s="180"/>
      <c r="BA60" s="180"/>
      <c r="BB60" s="204"/>
      <c r="BC60" s="204"/>
      <c r="BD60" s="181"/>
      <c r="BE60" s="181"/>
      <c r="BF60" s="181"/>
      <c r="BG60" s="139">
        <f t="shared" si="16"/>
        <v>5</v>
      </c>
      <c r="BH60" s="208">
        <f t="shared" si="17"/>
        <v>35.71428571</v>
      </c>
      <c r="BI60" s="215">
        <v>1.0</v>
      </c>
      <c r="BJ60" s="215">
        <v>1.0</v>
      </c>
      <c r="BK60" s="180"/>
      <c r="BL60" s="138">
        <v>1.0</v>
      </c>
      <c r="BM60" s="116"/>
      <c r="BN60" s="116"/>
      <c r="BO60" s="138">
        <v>1.0</v>
      </c>
      <c r="BP60" s="116"/>
      <c r="BQ60" s="165"/>
      <c r="BR60" s="196">
        <v>1.0</v>
      </c>
      <c r="BS60" s="165"/>
      <c r="BT60" s="185"/>
      <c r="BU60" s="43"/>
      <c r="BV60" s="43"/>
      <c r="BW60" s="198"/>
      <c r="BX60" s="43"/>
      <c r="BY60" s="116"/>
      <c r="BZ60" s="165"/>
      <c r="CA60" s="165"/>
      <c r="CB60" s="165"/>
      <c r="CC60" s="165"/>
      <c r="CD60" s="165"/>
      <c r="CE60" s="124">
        <f t="shared" si="18"/>
        <v>5</v>
      </c>
      <c r="CF60" s="173">
        <f t="shared" si="19"/>
        <v>62.5</v>
      </c>
      <c r="CG60" s="200">
        <v>1.0</v>
      </c>
      <c r="CH60" s="200">
        <v>1.0</v>
      </c>
      <c r="CI60" s="238"/>
      <c r="CJ60" s="186"/>
      <c r="CK60" s="264">
        <v>1.0</v>
      </c>
      <c r="CL60" s="264">
        <v>1.0</v>
      </c>
      <c r="CM60" s="264">
        <v>1.0</v>
      </c>
      <c r="CN60" s="223"/>
      <c r="CO60" s="223"/>
      <c r="CP60" s="166"/>
      <c r="CQ60" s="213"/>
      <c r="CR60" s="213"/>
      <c r="CS60" s="213"/>
      <c r="CT60" s="213"/>
      <c r="CU60" s="213"/>
      <c r="CV60" s="213"/>
      <c r="CW60" s="128">
        <f t="shared" si="20"/>
        <v>5</v>
      </c>
      <c r="CX60" s="214">
        <f t="shared" si="21"/>
        <v>71.42857143</v>
      </c>
      <c r="CY60" s="171"/>
      <c r="CZ60" s="171"/>
      <c r="DA60" s="171"/>
      <c r="DB60" s="171"/>
      <c r="DC60" s="171"/>
      <c r="DD60" s="171"/>
      <c r="DE60" s="171"/>
      <c r="DF60" s="171"/>
      <c r="DG60" s="171"/>
      <c r="DH60" s="171"/>
      <c r="DI60" s="171"/>
      <c r="DJ60" s="171"/>
      <c r="DK60" s="128">
        <f t="shared" si="22"/>
        <v>0</v>
      </c>
      <c r="DL60" s="158" t="str">
        <f t="shared" si="23"/>
        <v>#DIV/0!</v>
      </c>
    </row>
    <row r="61" ht="15.75" customHeight="1">
      <c r="A61" s="50">
        <v>52.0</v>
      </c>
      <c r="B61" s="111" t="s">
        <v>155</v>
      </c>
      <c r="C61" s="112" t="s">
        <v>156</v>
      </c>
      <c r="D61" s="98">
        <f t="shared" si="8"/>
        <v>15</v>
      </c>
      <c r="E61" s="130">
        <f t="shared" si="9"/>
        <v>37.5</v>
      </c>
      <c r="F61" s="114">
        <f t="shared" si="10"/>
        <v>37.5</v>
      </c>
      <c r="G61" s="149" t="str">
        <f t="shared" si="11"/>
        <v>  </v>
      </c>
      <c r="H61" s="254"/>
      <c r="I61" s="256"/>
      <c r="J61" s="256"/>
      <c r="K61" s="254"/>
      <c r="L61" s="257"/>
      <c r="M61" s="139">
        <f t="shared" si="12"/>
        <v>0</v>
      </c>
      <c r="N61" s="140" t="str">
        <f t="shared" si="13"/>
        <v>#DIV/0!</v>
      </c>
      <c r="O61" s="116"/>
      <c r="P61" s="116"/>
      <c r="Q61" s="116"/>
      <c r="R61" s="179"/>
      <c r="S61" s="116"/>
      <c r="T61" s="116"/>
      <c r="U61" s="116"/>
      <c r="V61" s="179"/>
      <c r="W61" s="116"/>
      <c r="X61" s="116"/>
      <c r="Y61" s="179"/>
      <c r="Z61" s="185"/>
      <c r="AA61" s="217"/>
      <c r="AB61" s="138">
        <v>1.0</v>
      </c>
      <c r="AC61" s="184">
        <v>1.0</v>
      </c>
      <c r="AD61" s="138">
        <v>1.0</v>
      </c>
      <c r="AE61" s="116"/>
      <c r="AF61" s="176"/>
      <c r="AG61" s="182">
        <v>1.0</v>
      </c>
      <c r="AH61" s="182">
        <v>1.0</v>
      </c>
      <c r="AI61" s="182">
        <v>1.0</v>
      </c>
      <c r="AJ61" s="139">
        <f t="shared" si="14"/>
        <v>6</v>
      </c>
      <c r="AK61" s="205">
        <f t="shared" si="15"/>
        <v>54.54545455</v>
      </c>
      <c r="AL61" s="116"/>
      <c r="AM61" s="116"/>
      <c r="AN61" s="179"/>
      <c r="AO61" s="179"/>
      <c r="AP61" s="138">
        <v>1.0</v>
      </c>
      <c r="AQ61" s="116"/>
      <c r="AR61" s="116"/>
      <c r="AS61" s="166"/>
      <c r="AT61" s="116"/>
      <c r="AU61" s="116"/>
      <c r="AV61" s="116"/>
      <c r="AW61" s="179"/>
      <c r="AX61" s="138">
        <v>1.0</v>
      </c>
      <c r="AY61" s="116"/>
      <c r="AZ61" s="180"/>
      <c r="BA61" s="180"/>
      <c r="BB61" s="116"/>
      <c r="BC61" s="116"/>
      <c r="BD61" s="194"/>
      <c r="BE61" s="194"/>
      <c r="BF61" s="188">
        <v>1.0</v>
      </c>
      <c r="BG61" s="139">
        <f t="shared" si="16"/>
        <v>3</v>
      </c>
      <c r="BH61" s="208">
        <f t="shared" si="17"/>
        <v>21.42857143</v>
      </c>
      <c r="BI61" s="116"/>
      <c r="BJ61" s="116"/>
      <c r="BK61" s="180"/>
      <c r="BL61" s="116"/>
      <c r="BM61" s="116"/>
      <c r="BN61" s="116"/>
      <c r="BO61" s="138">
        <v>1.0</v>
      </c>
      <c r="BP61" s="138">
        <v>1.0</v>
      </c>
      <c r="BQ61" s="165"/>
      <c r="BR61" s="196">
        <v>1.0</v>
      </c>
      <c r="BS61" s="116"/>
      <c r="BT61" s="116"/>
      <c r="BU61" s="43"/>
      <c r="BV61" s="43"/>
      <c r="BW61" s="198"/>
      <c r="BX61" s="116"/>
      <c r="BY61" s="116"/>
      <c r="BZ61" s="165"/>
      <c r="CA61" s="116"/>
      <c r="CB61" s="165"/>
      <c r="CC61" s="165"/>
      <c r="CD61" s="165"/>
      <c r="CE61" s="124">
        <f t="shared" si="18"/>
        <v>3</v>
      </c>
      <c r="CF61" s="173">
        <f t="shared" si="19"/>
        <v>37.5</v>
      </c>
      <c r="CG61" s="184">
        <v>1.0</v>
      </c>
      <c r="CH61" s="184">
        <v>1.0</v>
      </c>
      <c r="CI61" s="230">
        <v>1.0</v>
      </c>
      <c r="CJ61" s="116"/>
      <c r="CK61" s="116"/>
      <c r="CL61" s="116"/>
      <c r="CM61" s="116"/>
      <c r="CN61" s="223"/>
      <c r="CO61" s="116"/>
      <c r="CP61" s="166"/>
      <c r="CQ61" s="213"/>
      <c r="CR61" s="213"/>
      <c r="CS61" s="213"/>
      <c r="CT61" s="213"/>
      <c r="CU61" s="213"/>
      <c r="CV61" s="213"/>
      <c r="CW61" s="128">
        <f t="shared" si="20"/>
        <v>3</v>
      </c>
      <c r="CX61" s="214">
        <f t="shared" si="21"/>
        <v>42.85714286</v>
      </c>
      <c r="CY61" s="171"/>
      <c r="CZ61" s="171"/>
      <c r="DA61" s="171"/>
      <c r="DB61" s="171"/>
      <c r="DC61" s="171"/>
      <c r="DD61" s="171"/>
      <c r="DE61" s="171"/>
      <c r="DF61" s="171"/>
      <c r="DG61" s="171"/>
      <c r="DH61" s="171"/>
      <c r="DI61" s="171"/>
      <c r="DJ61" s="171"/>
      <c r="DK61" s="128">
        <f t="shared" si="22"/>
        <v>0</v>
      </c>
      <c r="DL61" s="158" t="str">
        <f t="shared" si="23"/>
        <v>#DIV/0!</v>
      </c>
    </row>
    <row r="62" ht="15.75" customHeight="1">
      <c r="A62" s="131">
        <v>53.0</v>
      </c>
      <c r="B62" s="111" t="s">
        <v>157</v>
      </c>
      <c r="C62" s="112" t="s">
        <v>158</v>
      </c>
      <c r="D62" s="98">
        <f t="shared" si="8"/>
        <v>17</v>
      </c>
      <c r="E62" s="130">
        <f t="shared" si="9"/>
        <v>42.5</v>
      </c>
      <c r="F62" s="114">
        <f t="shared" si="10"/>
        <v>42.5</v>
      </c>
      <c r="G62" s="149" t="str">
        <f t="shared" si="11"/>
        <v>  </v>
      </c>
      <c r="H62" s="256"/>
      <c r="I62" s="254"/>
      <c r="J62" s="254"/>
      <c r="K62" s="254"/>
      <c r="L62" s="257"/>
      <c r="M62" s="139">
        <f t="shared" si="12"/>
        <v>0</v>
      </c>
      <c r="N62" s="140" t="str">
        <f t="shared" si="13"/>
        <v>#DIV/0!</v>
      </c>
      <c r="O62" s="116"/>
      <c r="P62" s="116"/>
      <c r="Q62" s="116"/>
      <c r="R62" s="179"/>
      <c r="S62" s="179"/>
      <c r="T62" s="116"/>
      <c r="U62" s="116"/>
      <c r="V62" s="179"/>
      <c r="W62" s="116"/>
      <c r="X62" s="116"/>
      <c r="Y62" s="179"/>
      <c r="Z62" s="185"/>
      <c r="AA62" s="217"/>
      <c r="AB62" s="138">
        <v>1.0</v>
      </c>
      <c r="AC62" s="179"/>
      <c r="AD62" s="116"/>
      <c r="AE62" s="116"/>
      <c r="AF62" s="176"/>
      <c r="AG62" s="176"/>
      <c r="AH62" s="116"/>
      <c r="AI62" s="176"/>
      <c r="AJ62" s="139">
        <f t="shared" si="14"/>
        <v>1</v>
      </c>
      <c r="AK62" s="205">
        <f t="shared" si="15"/>
        <v>9.090909091</v>
      </c>
      <c r="AL62" s="116"/>
      <c r="AM62" s="116"/>
      <c r="AN62" s="179"/>
      <c r="AO62" s="179"/>
      <c r="AP62" s="138">
        <v>1.0</v>
      </c>
      <c r="AQ62" s="116"/>
      <c r="AR62" s="116"/>
      <c r="AS62" s="191">
        <v>1.0</v>
      </c>
      <c r="AT62" s="116"/>
      <c r="AU62" s="138">
        <v>1.0</v>
      </c>
      <c r="AV62" s="116"/>
      <c r="AW62" s="179"/>
      <c r="AX62" s="138">
        <v>1.0</v>
      </c>
      <c r="AY62" s="116"/>
      <c r="AZ62" s="116"/>
      <c r="BA62" s="180"/>
      <c r="BB62" s="138">
        <v>1.0</v>
      </c>
      <c r="BC62" s="116"/>
      <c r="BD62" s="194"/>
      <c r="BE62" s="194"/>
      <c r="BF62" s="188">
        <v>1.0</v>
      </c>
      <c r="BG62" s="139">
        <f t="shared" si="16"/>
        <v>6</v>
      </c>
      <c r="BH62" s="208">
        <f t="shared" si="17"/>
        <v>42.85714286</v>
      </c>
      <c r="BI62" s="138">
        <v>1.0</v>
      </c>
      <c r="BJ62" s="138">
        <v>1.0</v>
      </c>
      <c r="BK62" s="180"/>
      <c r="BL62" s="138">
        <v>1.0</v>
      </c>
      <c r="BM62" s="116"/>
      <c r="BN62" s="138">
        <v>1.0</v>
      </c>
      <c r="BO62" s="138">
        <v>1.0</v>
      </c>
      <c r="BP62" s="116"/>
      <c r="BQ62" s="165"/>
      <c r="BR62" s="196">
        <v>1.0</v>
      </c>
      <c r="BS62" s="165"/>
      <c r="BT62" s="185"/>
      <c r="BU62" s="43"/>
      <c r="BV62" s="43"/>
      <c r="BW62" s="198"/>
      <c r="BX62" s="116"/>
      <c r="BY62" s="116"/>
      <c r="BZ62" s="165"/>
      <c r="CA62" s="116"/>
      <c r="CB62" s="165"/>
      <c r="CC62" s="165"/>
      <c r="CD62" s="165"/>
      <c r="CE62" s="124">
        <f t="shared" si="18"/>
        <v>6</v>
      </c>
      <c r="CF62" s="173">
        <f t="shared" si="19"/>
        <v>75</v>
      </c>
      <c r="CG62" s="116"/>
      <c r="CH62" s="116"/>
      <c r="CI62" s="138">
        <v>1.0</v>
      </c>
      <c r="CJ62" s="116"/>
      <c r="CK62" s="138">
        <v>1.0</v>
      </c>
      <c r="CL62" s="138">
        <v>1.0</v>
      </c>
      <c r="CM62" s="138">
        <v>1.0</v>
      </c>
      <c r="CN62" s="223"/>
      <c r="CO62" s="116"/>
      <c r="CP62" s="166"/>
      <c r="CQ62" s="213"/>
      <c r="CR62" s="213"/>
      <c r="CS62" s="213"/>
      <c r="CT62" s="213"/>
      <c r="CU62" s="213"/>
      <c r="CV62" s="213"/>
      <c r="CW62" s="128">
        <f t="shared" si="20"/>
        <v>4</v>
      </c>
      <c r="CX62" s="214">
        <f t="shared" si="21"/>
        <v>57.14285714</v>
      </c>
      <c r="CY62" s="171"/>
      <c r="CZ62" s="171"/>
      <c r="DA62" s="171"/>
      <c r="DB62" s="171"/>
      <c r="DC62" s="171"/>
      <c r="DD62" s="171"/>
      <c r="DE62" s="171"/>
      <c r="DF62" s="171"/>
      <c r="DG62" s="171"/>
      <c r="DH62" s="171"/>
      <c r="DI62" s="171"/>
      <c r="DJ62" s="171"/>
      <c r="DK62" s="128">
        <f t="shared" si="22"/>
        <v>0</v>
      </c>
      <c r="DL62" s="158" t="str">
        <f t="shared" si="23"/>
        <v>#DIV/0!</v>
      </c>
    </row>
    <row r="63" ht="15.75" customHeight="1">
      <c r="A63" s="146">
        <v>54.0</v>
      </c>
      <c r="B63" s="111" t="s">
        <v>159</v>
      </c>
      <c r="C63" s="112" t="s">
        <v>160</v>
      </c>
      <c r="D63" s="98">
        <f t="shared" si="8"/>
        <v>19</v>
      </c>
      <c r="E63" s="130">
        <f t="shared" si="9"/>
        <v>47.5</v>
      </c>
      <c r="F63" s="114">
        <f t="shared" si="10"/>
        <v>47.5</v>
      </c>
      <c r="G63" s="149" t="str">
        <f t="shared" si="11"/>
        <v>  </v>
      </c>
      <c r="H63" s="254"/>
      <c r="I63" s="254"/>
      <c r="J63" s="254"/>
      <c r="K63" s="254"/>
      <c r="L63" s="257"/>
      <c r="M63" s="139">
        <f t="shared" si="12"/>
        <v>0</v>
      </c>
      <c r="N63" s="140" t="str">
        <f t="shared" si="13"/>
        <v>#DIV/0!</v>
      </c>
      <c r="O63" s="116"/>
      <c r="P63" s="116"/>
      <c r="Q63" s="180"/>
      <c r="R63" s="207"/>
      <c r="S63" s="207"/>
      <c r="T63" s="116"/>
      <c r="U63" s="116"/>
      <c r="V63" s="207"/>
      <c r="W63" s="116"/>
      <c r="X63" s="116"/>
      <c r="Y63" s="234">
        <v>1.0</v>
      </c>
      <c r="Z63" s="185"/>
      <c r="AA63" s="217"/>
      <c r="AB63" s="116"/>
      <c r="AC63" s="207"/>
      <c r="AD63" s="138">
        <v>1.0</v>
      </c>
      <c r="AE63" s="116"/>
      <c r="AF63" s="209">
        <v>1.0</v>
      </c>
      <c r="AG63" s="206"/>
      <c r="AH63" s="116"/>
      <c r="AI63" s="138">
        <v>1.0</v>
      </c>
      <c r="AJ63" s="139">
        <f t="shared" si="14"/>
        <v>4</v>
      </c>
      <c r="AK63" s="205">
        <f t="shared" si="15"/>
        <v>36.36363636</v>
      </c>
      <c r="AL63" s="116"/>
      <c r="AM63" s="116"/>
      <c r="AN63" s="207"/>
      <c r="AO63" s="186"/>
      <c r="AP63" s="200">
        <v>1.0</v>
      </c>
      <c r="AQ63" s="116"/>
      <c r="AR63" s="116"/>
      <c r="AS63" s="191">
        <v>1.0</v>
      </c>
      <c r="AT63" s="138">
        <v>1.0</v>
      </c>
      <c r="AU63" s="138">
        <v>1.0</v>
      </c>
      <c r="AV63" s="116"/>
      <c r="AW63" s="207"/>
      <c r="AX63" s="116"/>
      <c r="AY63" s="138">
        <v>1.0</v>
      </c>
      <c r="AZ63" s="116"/>
      <c r="BA63" s="180"/>
      <c r="BB63" s="138">
        <v>1.0</v>
      </c>
      <c r="BC63" s="116"/>
      <c r="BD63" s="194"/>
      <c r="BE63" s="194"/>
      <c r="BF63" s="194"/>
      <c r="BG63" s="139">
        <f t="shared" si="16"/>
        <v>6</v>
      </c>
      <c r="BH63" s="208">
        <f t="shared" si="17"/>
        <v>42.85714286</v>
      </c>
      <c r="BI63" s="138">
        <v>1.0</v>
      </c>
      <c r="BJ63" s="138">
        <v>1.0</v>
      </c>
      <c r="BK63" s="180"/>
      <c r="BL63" s="138">
        <v>1.0</v>
      </c>
      <c r="BM63" s="116"/>
      <c r="BN63" s="138">
        <v>1.0</v>
      </c>
      <c r="BO63" s="138">
        <v>1.0</v>
      </c>
      <c r="BP63" s="116"/>
      <c r="BQ63" s="165"/>
      <c r="BR63" s="165"/>
      <c r="BS63" s="116"/>
      <c r="BT63" s="116"/>
      <c r="BV63" s="116"/>
      <c r="BW63" s="198"/>
      <c r="BX63" s="116"/>
      <c r="BY63" s="116"/>
      <c r="BZ63" s="165"/>
      <c r="CA63" s="116"/>
      <c r="CB63" s="165"/>
      <c r="CC63" s="165"/>
      <c r="CD63" s="165"/>
      <c r="CE63" s="124">
        <f t="shared" si="18"/>
        <v>5</v>
      </c>
      <c r="CF63" s="173">
        <f t="shared" si="19"/>
        <v>62.5</v>
      </c>
      <c r="CG63" s="138">
        <v>1.0</v>
      </c>
      <c r="CH63" s="138">
        <v>1.0</v>
      </c>
      <c r="CI63" s="138">
        <v>1.0</v>
      </c>
      <c r="CJ63" s="138">
        <v>1.0</v>
      </c>
      <c r="CK63" s="116"/>
      <c r="CL63" s="116"/>
      <c r="CM63" s="116"/>
      <c r="CN63" s="223"/>
      <c r="CO63" s="116"/>
      <c r="CP63" s="166"/>
      <c r="CQ63" s="213"/>
      <c r="CR63" s="213"/>
      <c r="CS63" s="213"/>
      <c r="CT63" s="213"/>
      <c r="CU63" s="213"/>
      <c r="CV63" s="213"/>
      <c r="CW63" s="128">
        <f t="shared" si="20"/>
        <v>4</v>
      </c>
      <c r="CX63" s="214">
        <f t="shared" si="21"/>
        <v>57.14285714</v>
      </c>
      <c r="CY63" s="171"/>
      <c r="CZ63" s="171"/>
      <c r="DA63" s="171"/>
      <c r="DB63" s="171"/>
      <c r="DC63" s="171"/>
      <c r="DD63" s="171"/>
      <c r="DE63" s="171"/>
      <c r="DF63" s="171"/>
      <c r="DG63" s="171"/>
      <c r="DH63" s="171"/>
      <c r="DI63" s="171"/>
      <c r="DJ63" s="171"/>
      <c r="DK63" s="128">
        <f t="shared" si="22"/>
        <v>0</v>
      </c>
      <c r="DL63" s="158" t="str">
        <f t="shared" si="23"/>
        <v>#DIV/0!</v>
      </c>
    </row>
    <row r="64" ht="15.75" customHeight="1">
      <c r="A64" s="50">
        <v>55.0</v>
      </c>
      <c r="B64" s="111" t="s">
        <v>161</v>
      </c>
      <c r="C64" s="112" t="s">
        <v>162</v>
      </c>
      <c r="D64" s="98">
        <f t="shared" si="8"/>
        <v>15</v>
      </c>
      <c r="E64" s="130">
        <f t="shared" si="9"/>
        <v>37.5</v>
      </c>
      <c r="F64" s="114">
        <f t="shared" si="10"/>
        <v>37.5</v>
      </c>
      <c r="G64" s="149" t="str">
        <f t="shared" si="11"/>
        <v>  </v>
      </c>
      <c r="H64" s="254"/>
      <c r="I64" s="254"/>
      <c r="J64" s="254"/>
      <c r="K64" s="254"/>
      <c r="L64" s="257"/>
      <c r="M64" s="139">
        <f t="shared" si="12"/>
        <v>0</v>
      </c>
      <c r="N64" s="140" t="str">
        <f t="shared" si="13"/>
        <v>#DIV/0!</v>
      </c>
      <c r="O64" s="116"/>
      <c r="P64" s="116"/>
      <c r="Q64" s="180"/>
      <c r="R64" s="179"/>
      <c r="S64" s="179"/>
      <c r="T64" s="116"/>
      <c r="U64" s="116"/>
      <c r="V64" s="179"/>
      <c r="W64" s="116"/>
      <c r="X64" s="116"/>
      <c r="Y64" s="179"/>
      <c r="Z64" s="185"/>
      <c r="AA64" s="217"/>
      <c r="AB64" s="138">
        <v>1.0</v>
      </c>
      <c r="AC64" s="184">
        <v>1.0</v>
      </c>
      <c r="AD64" s="182">
        <v>1.0</v>
      </c>
      <c r="AE64" s="116"/>
      <c r="AF64" s="182">
        <v>1.0</v>
      </c>
      <c r="AG64" s="182">
        <v>1.0</v>
      </c>
      <c r="AH64" s="176"/>
      <c r="AI64" s="176"/>
      <c r="AJ64" s="139">
        <f t="shared" si="14"/>
        <v>5</v>
      </c>
      <c r="AK64" s="205">
        <f t="shared" si="15"/>
        <v>45.45454545</v>
      </c>
      <c r="AL64" s="116"/>
      <c r="AM64" s="116"/>
      <c r="AN64" s="179"/>
      <c r="AO64" s="186"/>
      <c r="AP64" s="116"/>
      <c r="AQ64" s="116"/>
      <c r="AR64" s="116"/>
      <c r="AS64" s="166"/>
      <c r="AT64" s="138">
        <v>1.0</v>
      </c>
      <c r="AU64" s="116"/>
      <c r="AV64" s="116"/>
      <c r="AW64" s="179"/>
      <c r="AX64" s="138">
        <v>1.0</v>
      </c>
      <c r="AY64" s="116"/>
      <c r="AZ64" s="116"/>
      <c r="BA64" s="180"/>
      <c r="BB64" s="138">
        <v>1.0</v>
      </c>
      <c r="BC64" s="138">
        <v>1.0</v>
      </c>
      <c r="BD64" s="194"/>
      <c r="BE64" s="194"/>
      <c r="BF64" s="188">
        <v>1.0</v>
      </c>
      <c r="BG64" s="139">
        <f t="shared" si="16"/>
        <v>5</v>
      </c>
      <c r="BH64" s="208">
        <f t="shared" si="17"/>
        <v>35.71428571</v>
      </c>
      <c r="BI64" s="215">
        <v>1.0</v>
      </c>
      <c r="BJ64" s="215">
        <v>1.0</v>
      </c>
      <c r="BK64" s="180"/>
      <c r="BL64" s="138">
        <v>1.0</v>
      </c>
      <c r="BM64" s="116"/>
      <c r="BN64" s="138"/>
      <c r="BO64" s="116"/>
      <c r="BP64" s="138">
        <v>1.0</v>
      </c>
      <c r="BQ64" s="165"/>
      <c r="BR64" s="196">
        <v>1.0</v>
      </c>
      <c r="BS64" s="116"/>
      <c r="BT64" s="116"/>
      <c r="BU64" s="43"/>
      <c r="BV64" s="43"/>
      <c r="BW64" s="198"/>
      <c r="BX64" s="116"/>
      <c r="BY64" s="116"/>
      <c r="BZ64" s="165"/>
      <c r="CA64" s="165"/>
      <c r="CB64" s="165"/>
      <c r="CC64" s="165"/>
      <c r="CD64" s="165"/>
      <c r="CE64" s="124">
        <f t="shared" si="18"/>
        <v>5</v>
      </c>
      <c r="CF64" s="173">
        <f t="shared" si="19"/>
        <v>62.5</v>
      </c>
      <c r="CG64" s="179"/>
      <c r="CH64" s="179"/>
      <c r="CI64" s="238"/>
      <c r="CJ64" s="116"/>
      <c r="CK64" s="116"/>
      <c r="CL64" s="116"/>
      <c r="CM64" s="116"/>
      <c r="CN64" s="223"/>
      <c r="CO64" s="223"/>
      <c r="CP64" s="166"/>
      <c r="CQ64" s="213"/>
      <c r="CR64" s="213"/>
      <c r="CS64" s="213"/>
      <c r="CT64" s="213"/>
      <c r="CU64" s="213"/>
      <c r="CV64" s="213"/>
      <c r="CW64" s="128">
        <f t="shared" si="20"/>
        <v>0</v>
      </c>
      <c r="CX64" s="214">
        <f t="shared" si="21"/>
        <v>0</v>
      </c>
      <c r="CY64" s="171"/>
      <c r="CZ64" s="171"/>
      <c r="DA64" s="171"/>
      <c r="DB64" s="171"/>
      <c r="DC64" s="171"/>
      <c r="DD64" s="171"/>
      <c r="DE64" s="171"/>
      <c r="DF64" s="171"/>
      <c r="DG64" s="171"/>
      <c r="DH64" s="171"/>
      <c r="DI64" s="171"/>
      <c r="DJ64" s="171"/>
      <c r="DK64" s="128">
        <f t="shared" si="22"/>
        <v>0</v>
      </c>
      <c r="DL64" s="158" t="str">
        <f t="shared" si="23"/>
        <v>#DIV/0!</v>
      </c>
    </row>
    <row r="65" ht="15.75" customHeight="1">
      <c r="A65" s="131">
        <v>56.0</v>
      </c>
      <c r="B65" s="111" t="s">
        <v>163</v>
      </c>
      <c r="C65" s="112" t="s">
        <v>164</v>
      </c>
      <c r="D65" s="98">
        <f t="shared" si="8"/>
        <v>21</v>
      </c>
      <c r="E65" s="130">
        <f t="shared" si="9"/>
        <v>52.5</v>
      </c>
      <c r="F65" s="114" t="str">
        <f t="shared" si="10"/>
        <v>  </v>
      </c>
      <c r="G65" s="149" t="str">
        <f t="shared" si="11"/>
        <v>  </v>
      </c>
      <c r="H65" s="254"/>
      <c r="I65" s="254"/>
      <c r="J65" s="258"/>
      <c r="K65" s="254"/>
      <c r="L65" s="257"/>
      <c r="M65" s="139">
        <f t="shared" si="12"/>
        <v>0</v>
      </c>
      <c r="N65" s="140" t="str">
        <f t="shared" si="13"/>
        <v>#DIV/0!</v>
      </c>
      <c r="O65" s="116"/>
      <c r="P65" s="116"/>
      <c r="Q65" s="116"/>
      <c r="R65" s="179"/>
      <c r="S65" s="116"/>
      <c r="T65" s="116"/>
      <c r="U65" s="116"/>
      <c r="V65" s="179"/>
      <c r="W65" s="116"/>
      <c r="X65" s="138">
        <v>1.0</v>
      </c>
      <c r="Y65" s="179"/>
      <c r="Z65" s="185"/>
      <c r="AA65" s="217"/>
      <c r="AB65" s="138">
        <v>1.0</v>
      </c>
      <c r="AC65" s="184">
        <v>1.0</v>
      </c>
      <c r="AD65" s="182">
        <v>1.0</v>
      </c>
      <c r="AE65" s="116"/>
      <c r="AF65" s="182">
        <v>1.0</v>
      </c>
      <c r="AG65" s="182">
        <v>1.0</v>
      </c>
      <c r="AH65" s="138">
        <v>1.0</v>
      </c>
      <c r="AI65" s="182">
        <v>1.0</v>
      </c>
      <c r="AJ65" s="139">
        <f t="shared" si="14"/>
        <v>8</v>
      </c>
      <c r="AK65" s="205">
        <f t="shared" si="15"/>
        <v>72.72727273</v>
      </c>
      <c r="AL65" s="138">
        <v>1.0</v>
      </c>
      <c r="AM65" s="179"/>
      <c r="AN65" s="179"/>
      <c r="AO65" s="179"/>
      <c r="AP65" s="138">
        <v>1.0</v>
      </c>
      <c r="AQ65" s="138">
        <v>1.0</v>
      </c>
      <c r="AR65" s="116"/>
      <c r="AS65" s="191">
        <v>1.0</v>
      </c>
      <c r="AT65" s="116"/>
      <c r="AU65" s="138">
        <v>1.0</v>
      </c>
      <c r="AV65" s="116"/>
      <c r="AW65" s="179"/>
      <c r="AX65" s="116"/>
      <c r="AY65" s="138">
        <v>1.0</v>
      </c>
      <c r="AZ65" s="180"/>
      <c r="BA65" s="180"/>
      <c r="BB65" s="204"/>
      <c r="BC65" s="204"/>
      <c r="BD65" s="181"/>
      <c r="BE65" s="181"/>
      <c r="BF65" s="181"/>
      <c r="BG65" s="139">
        <f t="shared" si="16"/>
        <v>5</v>
      </c>
      <c r="BH65" s="208">
        <f t="shared" si="17"/>
        <v>35.71428571</v>
      </c>
      <c r="BI65" s="138">
        <v>1.0</v>
      </c>
      <c r="BJ65" s="138">
        <v>1.0</v>
      </c>
      <c r="BK65" s="180"/>
      <c r="BL65" s="116"/>
      <c r="BM65" s="116"/>
      <c r="BN65" s="138">
        <v>1.0</v>
      </c>
      <c r="BO65" s="138">
        <v>1.0</v>
      </c>
      <c r="BP65" s="116"/>
      <c r="BQ65" s="116"/>
      <c r="BR65" s="196">
        <v>1.0</v>
      </c>
      <c r="BS65" s="116"/>
      <c r="BT65" s="116"/>
      <c r="BU65" s="43"/>
      <c r="BV65" s="43"/>
      <c r="BW65" s="198"/>
      <c r="BX65" s="116"/>
      <c r="BY65" s="116"/>
      <c r="BZ65" s="165"/>
      <c r="CA65" s="116"/>
      <c r="CB65" s="116"/>
      <c r="CC65" s="165"/>
      <c r="CD65" s="165"/>
      <c r="CE65" s="124">
        <f t="shared" si="18"/>
        <v>5</v>
      </c>
      <c r="CF65" s="173">
        <f t="shared" si="19"/>
        <v>62.5</v>
      </c>
      <c r="CG65" s="184">
        <v>1.0</v>
      </c>
      <c r="CH65" s="184">
        <v>1.0</v>
      </c>
      <c r="CI65" s="138">
        <v>1.0</v>
      </c>
      <c r="CJ65" s="186"/>
      <c r="CK65" s="116"/>
      <c r="CL65" s="116"/>
      <c r="CM65" s="116"/>
      <c r="CN65" s="116"/>
      <c r="CO65" s="116"/>
      <c r="CP65" s="116"/>
      <c r="CQ65" s="165"/>
      <c r="CR65" s="165"/>
      <c r="CS65" s="116"/>
      <c r="CT65" s="116"/>
      <c r="CU65" s="116"/>
      <c r="CV65" s="165"/>
      <c r="CW65" s="128">
        <f t="shared" si="20"/>
        <v>3</v>
      </c>
      <c r="CX65" s="214">
        <f t="shared" si="21"/>
        <v>42.85714286</v>
      </c>
      <c r="CY65" s="171"/>
      <c r="CZ65" s="171"/>
      <c r="DA65" s="171"/>
      <c r="DB65" s="171"/>
      <c r="DC65" s="171"/>
      <c r="DD65" s="171"/>
      <c r="DE65" s="171"/>
      <c r="DF65" s="171"/>
      <c r="DG65" s="171"/>
      <c r="DH65" s="171"/>
      <c r="DI65" s="171"/>
      <c r="DJ65" s="171"/>
      <c r="DK65" s="128">
        <f t="shared" si="22"/>
        <v>0</v>
      </c>
      <c r="DL65" s="158" t="str">
        <f t="shared" si="23"/>
        <v>#DIV/0!</v>
      </c>
    </row>
    <row r="66" ht="15.75" customHeight="1">
      <c r="A66" s="146">
        <v>57.0</v>
      </c>
      <c r="B66" s="111" t="s">
        <v>165</v>
      </c>
      <c r="C66" s="112" t="s">
        <v>166</v>
      </c>
      <c r="D66" s="98">
        <f t="shared" si="8"/>
        <v>29</v>
      </c>
      <c r="E66" s="130">
        <f t="shared" si="9"/>
        <v>72.5</v>
      </c>
      <c r="F66" s="114" t="str">
        <f t="shared" si="10"/>
        <v>  </v>
      </c>
      <c r="G66" s="226" t="str">
        <f t="shared" si="11"/>
        <v>  </v>
      </c>
      <c r="H66" s="254"/>
      <c r="I66" s="254"/>
      <c r="J66" s="254"/>
      <c r="K66" s="254"/>
      <c r="L66" s="257"/>
      <c r="M66" s="139">
        <f t="shared" si="12"/>
        <v>0</v>
      </c>
      <c r="N66" s="140" t="str">
        <f t="shared" si="13"/>
        <v>#DIV/0!</v>
      </c>
      <c r="O66" s="116"/>
      <c r="P66" s="116"/>
      <c r="Q66" s="116"/>
      <c r="R66" s="179"/>
      <c r="S66" s="116"/>
      <c r="T66" s="116"/>
      <c r="U66" s="116"/>
      <c r="V66" s="179"/>
      <c r="W66" s="116"/>
      <c r="X66" s="138">
        <v>1.0</v>
      </c>
      <c r="Y66" s="184">
        <v>1.0</v>
      </c>
      <c r="Z66" s="185"/>
      <c r="AA66" s="217"/>
      <c r="AB66" s="138">
        <v>1.0</v>
      </c>
      <c r="AC66" s="184">
        <v>1.0</v>
      </c>
      <c r="AD66" s="138">
        <v>1.0</v>
      </c>
      <c r="AE66" s="116"/>
      <c r="AF66" s="182">
        <v>1.0</v>
      </c>
      <c r="AG66" s="182">
        <v>1.0</v>
      </c>
      <c r="AH66" s="138">
        <v>1.0</v>
      </c>
      <c r="AI66" s="138">
        <v>1.0</v>
      </c>
      <c r="AJ66" s="139">
        <f t="shared" si="14"/>
        <v>9</v>
      </c>
      <c r="AK66" s="205">
        <f t="shared" si="15"/>
        <v>81.81818182</v>
      </c>
      <c r="AL66" s="116"/>
      <c r="AM66" s="116"/>
      <c r="AN66" s="179"/>
      <c r="AO66" s="184">
        <v>1.0</v>
      </c>
      <c r="AP66" s="138">
        <v>1.0</v>
      </c>
      <c r="AQ66" s="138">
        <v>1.0</v>
      </c>
      <c r="AR66" s="116"/>
      <c r="AS66" s="191">
        <v>1.0</v>
      </c>
      <c r="AT66" s="116"/>
      <c r="AU66" s="138">
        <v>1.0</v>
      </c>
      <c r="AV66" s="116"/>
      <c r="AW66" s="179"/>
      <c r="AX66" s="116"/>
      <c r="AY66" s="138">
        <v>1.0</v>
      </c>
      <c r="AZ66" s="116"/>
      <c r="BA66" s="180"/>
      <c r="BB66" s="138">
        <v>1.0</v>
      </c>
      <c r="BC66" s="116"/>
      <c r="BD66" s="188">
        <v>1.0</v>
      </c>
      <c r="BE66" s="194"/>
      <c r="BF66" s="194"/>
      <c r="BG66" s="139">
        <f t="shared" si="16"/>
        <v>8</v>
      </c>
      <c r="BH66" s="208">
        <f t="shared" si="17"/>
        <v>57.14285714</v>
      </c>
      <c r="BI66" s="138">
        <v>1.0</v>
      </c>
      <c r="BJ66" s="138">
        <v>1.0</v>
      </c>
      <c r="BK66" s="180"/>
      <c r="BL66" s="138">
        <v>1.0</v>
      </c>
      <c r="BM66" s="116"/>
      <c r="BN66" s="138">
        <v>1.0</v>
      </c>
      <c r="BO66" s="138">
        <v>1.0</v>
      </c>
      <c r="BP66" s="116"/>
      <c r="BQ66" s="138">
        <v>1.0</v>
      </c>
      <c r="BR66" s="196">
        <v>1.0</v>
      </c>
      <c r="BS66" s="116"/>
      <c r="BT66" s="185"/>
      <c r="BU66" s="43"/>
      <c r="BV66" s="43"/>
      <c r="BW66" s="198"/>
      <c r="BX66" s="116"/>
      <c r="BY66" s="116"/>
      <c r="BZ66" s="165"/>
      <c r="CA66" s="116"/>
      <c r="CB66" s="116"/>
      <c r="CC66" s="165"/>
      <c r="CD66" s="165"/>
      <c r="CE66" s="124">
        <f t="shared" si="18"/>
        <v>7</v>
      </c>
      <c r="CF66" s="173">
        <f t="shared" si="19"/>
        <v>87.5</v>
      </c>
      <c r="CG66" s="138">
        <v>1.0</v>
      </c>
      <c r="CH66" s="138">
        <v>1.0</v>
      </c>
      <c r="CI66" s="238"/>
      <c r="CJ66" s="116"/>
      <c r="CK66" s="138">
        <v>1.0</v>
      </c>
      <c r="CL66" s="138">
        <v>1.0</v>
      </c>
      <c r="CM66" s="138">
        <v>1.0</v>
      </c>
      <c r="CN66" s="116"/>
      <c r="CO66" s="223"/>
      <c r="CP66" s="166"/>
      <c r="CQ66" s="213"/>
      <c r="CR66" s="213"/>
      <c r="CS66" s="116"/>
      <c r="CT66" s="116"/>
      <c r="CU66" s="116"/>
      <c r="CV66" s="213"/>
      <c r="CW66" s="128">
        <f t="shared" si="20"/>
        <v>5</v>
      </c>
      <c r="CX66" s="214">
        <f t="shared" si="21"/>
        <v>71.42857143</v>
      </c>
      <c r="CY66" s="171"/>
      <c r="CZ66" s="171"/>
      <c r="DA66" s="171"/>
      <c r="DB66" s="171"/>
      <c r="DC66" s="171"/>
      <c r="DD66" s="171"/>
      <c r="DE66" s="171"/>
      <c r="DF66" s="171"/>
      <c r="DG66" s="171"/>
      <c r="DH66" s="171"/>
      <c r="DI66" s="171"/>
      <c r="DJ66" s="171"/>
      <c r="DK66" s="128">
        <f t="shared" si="22"/>
        <v>0</v>
      </c>
      <c r="DL66" s="158" t="str">
        <f t="shared" si="23"/>
        <v>#DIV/0!</v>
      </c>
    </row>
    <row r="67" ht="15.75" customHeight="1">
      <c r="A67" s="50">
        <v>58.0</v>
      </c>
      <c r="B67" s="111" t="s">
        <v>167</v>
      </c>
      <c r="C67" s="112" t="s">
        <v>168</v>
      </c>
      <c r="D67" s="98">
        <f t="shared" si="8"/>
        <v>30</v>
      </c>
      <c r="E67" s="130">
        <f t="shared" si="9"/>
        <v>75</v>
      </c>
      <c r="F67" s="92" t="str">
        <f t="shared" si="10"/>
        <v>  </v>
      </c>
      <c r="G67" s="149" t="str">
        <f t="shared" si="11"/>
        <v>  </v>
      </c>
      <c r="H67" s="254"/>
      <c r="I67" s="254"/>
      <c r="J67" s="254"/>
      <c r="K67" s="254"/>
      <c r="L67" s="257"/>
      <c r="M67" s="139">
        <f t="shared" si="12"/>
        <v>0</v>
      </c>
      <c r="N67" s="140" t="str">
        <f t="shared" si="13"/>
        <v>#DIV/0!</v>
      </c>
      <c r="O67" s="116"/>
      <c r="P67" s="116"/>
      <c r="Q67" s="180"/>
      <c r="R67" s="179"/>
      <c r="S67" s="116"/>
      <c r="T67" s="116"/>
      <c r="U67" s="116"/>
      <c r="V67" s="179"/>
      <c r="W67" s="116"/>
      <c r="X67" s="138">
        <v>1.0</v>
      </c>
      <c r="Y67" s="184">
        <v>1.0</v>
      </c>
      <c r="Z67" s="185"/>
      <c r="AA67" s="217"/>
      <c r="AB67" s="138">
        <v>1.0</v>
      </c>
      <c r="AC67" s="184">
        <v>1.0</v>
      </c>
      <c r="AD67" s="138">
        <v>1.0</v>
      </c>
      <c r="AE67" s="116"/>
      <c r="AF67" s="182">
        <v>1.0</v>
      </c>
      <c r="AG67" s="182">
        <v>1.0</v>
      </c>
      <c r="AH67" s="182">
        <v>1.0</v>
      </c>
      <c r="AI67" s="182">
        <v>1.0</v>
      </c>
      <c r="AJ67" s="139">
        <f t="shared" si="14"/>
        <v>9</v>
      </c>
      <c r="AK67" s="205">
        <f t="shared" si="15"/>
        <v>81.81818182</v>
      </c>
      <c r="AL67" s="116"/>
      <c r="AM67" s="116"/>
      <c r="AN67" s="179"/>
      <c r="AO67" s="234">
        <v>1.0</v>
      </c>
      <c r="AP67" s="138"/>
      <c r="AQ67" s="116"/>
      <c r="AR67" s="116"/>
      <c r="AS67" s="191">
        <v>1.0</v>
      </c>
      <c r="AT67" s="138">
        <v>1.0</v>
      </c>
      <c r="AU67" s="138">
        <v>1.0</v>
      </c>
      <c r="AV67" s="116"/>
      <c r="AW67" s="179"/>
      <c r="AX67" s="116"/>
      <c r="AY67" s="138">
        <v>1.0</v>
      </c>
      <c r="AZ67" s="116"/>
      <c r="BA67" s="180"/>
      <c r="BB67" s="116"/>
      <c r="BC67" s="138">
        <v>1.0</v>
      </c>
      <c r="BD67" s="188">
        <v>1.0</v>
      </c>
      <c r="BE67" s="194"/>
      <c r="BF67" s="194"/>
      <c r="BG67" s="139">
        <f t="shared" si="16"/>
        <v>7</v>
      </c>
      <c r="BH67" s="208">
        <f t="shared" si="17"/>
        <v>50</v>
      </c>
      <c r="BI67" s="138">
        <v>1.0</v>
      </c>
      <c r="BJ67" s="138">
        <v>1.0</v>
      </c>
      <c r="BK67" s="180"/>
      <c r="BL67" s="138">
        <v>1.0</v>
      </c>
      <c r="BM67" s="116"/>
      <c r="BN67" s="138">
        <v>1.0</v>
      </c>
      <c r="BO67" s="138">
        <v>1.0</v>
      </c>
      <c r="BP67" s="138">
        <v>1.0</v>
      </c>
      <c r="BQ67" s="138">
        <v>1.0</v>
      </c>
      <c r="BR67" s="196">
        <v>1.0</v>
      </c>
      <c r="BS67" s="116"/>
      <c r="BT67" s="116"/>
      <c r="BU67" s="43"/>
      <c r="BV67" s="43"/>
      <c r="BW67" s="198"/>
      <c r="BX67" s="116"/>
      <c r="BY67" s="116"/>
      <c r="BZ67" s="165"/>
      <c r="CA67" s="116"/>
      <c r="CB67" s="116"/>
      <c r="CC67" s="165"/>
      <c r="CD67" s="165"/>
      <c r="CE67" s="124">
        <f t="shared" si="18"/>
        <v>8</v>
      </c>
      <c r="CF67" s="173">
        <f t="shared" si="19"/>
        <v>100</v>
      </c>
      <c r="CG67" s="138">
        <v>1.0</v>
      </c>
      <c r="CH67" s="138">
        <v>1.0</v>
      </c>
      <c r="CI67" s="230">
        <v>1.0</v>
      </c>
      <c r="CJ67" s="186"/>
      <c r="CK67" s="138">
        <v>1.0</v>
      </c>
      <c r="CL67" s="138">
        <v>1.0</v>
      </c>
      <c r="CM67" s="138">
        <v>1.0</v>
      </c>
      <c r="CN67" s="223"/>
      <c r="CO67" s="116"/>
      <c r="CP67" s="166"/>
      <c r="CQ67" s="213"/>
      <c r="CR67" s="213"/>
      <c r="CS67" s="213"/>
      <c r="CT67" s="213"/>
      <c r="CU67" s="213"/>
      <c r="CV67" s="213"/>
      <c r="CW67" s="128">
        <f t="shared" si="20"/>
        <v>6</v>
      </c>
      <c r="CX67" s="214">
        <f t="shared" si="21"/>
        <v>85.71428571</v>
      </c>
      <c r="CY67" s="171"/>
      <c r="CZ67" s="171"/>
      <c r="DA67" s="171"/>
      <c r="DB67" s="171"/>
      <c r="DC67" s="171"/>
      <c r="DD67" s="171"/>
      <c r="DE67" s="171"/>
      <c r="DF67" s="171"/>
      <c r="DG67" s="171"/>
      <c r="DH67" s="171"/>
      <c r="DI67" s="171"/>
      <c r="DJ67" s="171"/>
      <c r="DK67" s="128">
        <f t="shared" si="22"/>
        <v>0</v>
      </c>
      <c r="DL67" s="158" t="str">
        <f t="shared" si="23"/>
        <v>#DIV/0!</v>
      </c>
    </row>
    <row r="68" ht="15.75" customHeight="1">
      <c r="A68" s="131">
        <v>59.0</v>
      </c>
      <c r="B68" s="111" t="s">
        <v>169</v>
      </c>
      <c r="C68" s="112" t="s">
        <v>170</v>
      </c>
      <c r="D68" s="98">
        <f t="shared" si="8"/>
        <v>23</v>
      </c>
      <c r="E68" s="130">
        <f t="shared" si="9"/>
        <v>57.5</v>
      </c>
      <c r="F68" s="114" t="str">
        <f t="shared" si="10"/>
        <v>  </v>
      </c>
      <c r="G68" s="149" t="str">
        <f t="shared" si="11"/>
        <v>  </v>
      </c>
      <c r="H68" s="256"/>
      <c r="I68" s="256"/>
      <c r="J68" s="256"/>
      <c r="K68" s="256"/>
      <c r="L68" s="259"/>
      <c r="M68" s="139">
        <f t="shared" si="12"/>
        <v>0</v>
      </c>
      <c r="N68" s="140" t="str">
        <f t="shared" si="13"/>
        <v>#DIV/0!</v>
      </c>
      <c r="O68" s="116"/>
      <c r="P68" s="116"/>
      <c r="Q68" s="116"/>
      <c r="R68" s="207"/>
      <c r="S68" s="116"/>
      <c r="T68" s="116"/>
      <c r="U68" s="116"/>
      <c r="V68" s="207"/>
      <c r="W68" s="116"/>
      <c r="X68" s="116"/>
      <c r="Y68" s="207"/>
      <c r="Z68" s="185"/>
      <c r="AA68" s="217"/>
      <c r="AB68" s="116"/>
      <c r="AC68" s="207"/>
      <c r="AD68" s="116"/>
      <c r="AE68" s="116"/>
      <c r="AF68" s="209">
        <v>1.0</v>
      </c>
      <c r="AG68" s="209">
        <v>1.0</v>
      </c>
      <c r="AH68" s="209">
        <v>1.0</v>
      </c>
      <c r="AI68" s="138">
        <v>1.0</v>
      </c>
      <c r="AJ68" s="139">
        <f t="shared" si="14"/>
        <v>4</v>
      </c>
      <c r="AK68" s="205">
        <f t="shared" si="15"/>
        <v>36.36363636</v>
      </c>
      <c r="AL68" s="138">
        <v>1.0</v>
      </c>
      <c r="AM68" s="116"/>
      <c r="AN68" s="207"/>
      <c r="AO68" s="184">
        <v>1.0</v>
      </c>
      <c r="AP68" s="138">
        <v>1.0</v>
      </c>
      <c r="AQ68" s="138">
        <v>1.0</v>
      </c>
      <c r="AR68" s="116"/>
      <c r="AS68" s="191">
        <v>1.0</v>
      </c>
      <c r="AT68" s="138">
        <v>1.0</v>
      </c>
      <c r="AU68" s="138">
        <v>1.0</v>
      </c>
      <c r="AV68" s="138">
        <v>1.0</v>
      </c>
      <c r="AW68" s="207"/>
      <c r="AX68" s="116"/>
      <c r="AY68" s="138">
        <v>1.0</v>
      </c>
      <c r="AZ68" s="116"/>
      <c r="BA68" s="180"/>
      <c r="BB68" s="138">
        <v>1.0</v>
      </c>
      <c r="BC68" s="138">
        <v>1.0</v>
      </c>
      <c r="BD68" s="194"/>
      <c r="BE68" s="194"/>
      <c r="BF68" s="188">
        <v>1.0</v>
      </c>
      <c r="BG68" s="139">
        <f t="shared" si="16"/>
        <v>11</v>
      </c>
      <c r="BH68" s="208">
        <f t="shared" si="17"/>
        <v>78.57142857</v>
      </c>
      <c r="BI68" s="138">
        <v>1.0</v>
      </c>
      <c r="BJ68" s="138">
        <v>1.0</v>
      </c>
      <c r="BK68" s="180"/>
      <c r="BL68" s="116"/>
      <c r="BM68" s="116"/>
      <c r="BN68" s="138">
        <v>1.0</v>
      </c>
      <c r="BO68" s="138">
        <v>1.0</v>
      </c>
      <c r="BP68" s="116"/>
      <c r="BQ68" s="116"/>
      <c r="BR68" s="196">
        <v>1.0</v>
      </c>
      <c r="BS68" s="116"/>
      <c r="BT68" s="116"/>
      <c r="BU68" s="43"/>
      <c r="BV68" s="43"/>
      <c r="BW68" s="198"/>
      <c r="BX68" s="43"/>
      <c r="BY68" s="116"/>
      <c r="BZ68" s="165"/>
      <c r="CA68" s="116"/>
      <c r="CB68" s="116"/>
      <c r="CC68" s="165"/>
      <c r="CD68" s="165"/>
      <c r="CE68" s="124">
        <f t="shared" si="18"/>
        <v>5</v>
      </c>
      <c r="CF68" s="173">
        <f t="shared" si="19"/>
        <v>62.5</v>
      </c>
      <c r="CG68" s="138">
        <v>1.0</v>
      </c>
      <c r="CH68" s="138">
        <v>1.0</v>
      </c>
      <c r="CI68" s="138">
        <v>1.0</v>
      </c>
      <c r="CJ68" s="116"/>
      <c r="CK68" s="116"/>
      <c r="CL68" s="116"/>
      <c r="CM68" s="116"/>
      <c r="CN68" s="116"/>
      <c r="CO68" s="223"/>
      <c r="CP68" s="166"/>
      <c r="CQ68" s="213"/>
      <c r="CR68" s="213"/>
      <c r="CS68" s="116"/>
      <c r="CT68" s="116"/>
      <c r="CU68" s="116"/>
      <c r="CV68" s="213"/>
      <c r="CW68" s="128">
        <f t="shared" si="20"/>
        <v>3</v>
      </c>
      <c r="CX68" s="214">
        <f t="shared" si="21"/>
        <v>42.85714286</v>
      </c>
      <c r="CY68" s="171"/>
      <c r="CZ68" s="171"/>
      <c r="DA68" s="171"/>
      <c r="DB68" s="171"/>
      <c r="DC68" s="171"/>
      <c r="DD68" s="171"/>
      <c r="DE68" s="171"/>
      <c r="DF68" s="171"/>
      <c r="DG68" s="171"/>
      <c r="DH68" s="171"/>
      <c r="DI68" s="171"/>
      <c r="DJ68" s="171"/>
      <c r="DK68" s="128">
        <f t="shared" si="22"/>
        <v>0</v>
      </c>
      <c r="DL68" s="158" t="str">
        <f t="shared" si="23"/>
        <v>#DIV/0!</v>
      </c>
    </row>
    <row r="69" ht="15.75" customHeight="1">
      <c r="A69" s="146">
        <v>60.0</v>
      </c>
      <c r="B69" s="111" t="s">
        <v>171</v>
      </c>
      <c r="C69" s="112" t="s">
        <v>172</v>
      </c>
      <c r="D69" s="98">
        <f t="shared" si="8"/>
        <v>11</v>
      </c>
      <c r="E69" s="130">
        <f t="shared" si="9"/>
        <v>27.5</v>
      </c>
      <c r="F69" s="114">
        <f t="shared" si="10"/>
        <v>27.5</v>
      </c>
      <c r="G69" s="226">
        <f t="shared" si="11"/>
        <v>27.5</v>
      </c>
      <c r="H69" s="254"/>
      <c r="I69" s="254"/>
      <c r="J69" s="254"/>
      <c r="K69" s="254"/>
      <c r="L69" s="257"/>
      <c r="M69" s="139">
        <f t="shared" si="12"/>
        <v>0</v>
      </c>
      <c r="N69" s="140" t="str">
        <f t="shared" si="13"/>
        <v>#DIV/0!</v>
      </c>
      <c r="O69" s="116"/>
      <c r="P69" s="116"/>
      <c r="Q69" s="116"/>
      <c r="R69" s="179"/>
      <c r="S69" s="179"/>
      <c r="T69" s="116"/>
      <c r="U69" s="116"/>
      <c r="V69" s="179"/>
      <c r="W69" s="116"/>
      <c r="X69" s="116"/>
      <c r="Y69" s="179"/>
      <c r="Z69" s="185"/>
      <c r="AA69" s="217"/>
      <c r="AB69" s="138">
        <v>1.0</v>
      </c>
      <c r="AC69" s="179"/>
      <c r="AD69" s="176"/>
      <c r="AE69" s="176"/>
      <c r="AF69" s="182">
        <v>1.0</v>
      </c>
      <c r="AG69" s="182">
        <v>1.0</v>
      </c>
      <c r="AH69" s="138"/>
      <c r="AI69" s="176"/>
      <c r="AJ69" s="139">
        <f t="shared" si="14"/>
        <v>3</v>
      </c>
      <c r="AK69" s="205">
        <f t="shared" si="15"/>
        <v>27.27272727</v>
      </c>
      <c r="AL69" s="222"/>
      <c r="AM69" s="179"/>
      <c r="AN69" s="179"/>
      <c r="AO69" s="179"/>
      <c r="AP69" s="116"/>
      <c r="AQ69" s="116"/>
      <c r="AR69" s="116"/>
      <c r="AS69" s="166"/>
      <c r="AT69" s="116"/>
      <c r="AU69" s="116"/>
      <c r="AV69" s="116"/>
      <c r="AW69" s="179"/>
      <c r="AX69" s="116"/>
      <c r="AY69" s="138">
        <v>1.0</v>
      </c>
      <c r="AZ69" s="180"/>
      <c r="BA69" s="180"/>
      <c r="BB69" s="204"/>
      <c r="BC69" s="204"/>
      <c r="BD69" s="181"/>
      <c r="BE69" s="181"/>
      <c r="BF69" s="181"/>
      <c r="BG69" s="139">
        <f t="shared" si="16"/>
        <v>1</v>
      </c>
      <c r="BH69" s="208">
        <f t="shared" si="17"/>
        <v>7.142857143</v>
      </c>
      <c r="BI69" s="116"/>
      <c r="BJ69" s="116"/>
      <c r="BK69" s="180"/>
      <c r="BL69" s="116"/>
      <c r="BM69" s="116"/>
      <c r="BN69" s="138">
        <v>1.0</v>
      </c>
      <c r="BO69" s="138">
        <v>1.0</v>
      </c>
      <c r="BP69" s="116"/>
      <c r="BQ69" s="196">
        <v>1.0</v>
      </c>
      <c r="BR69" s="196">
        <v>1.0</v>
      </c>
      <c r="BS69" s="165"/>
      <c r="BT69" s="185"/>
      <c r="BU69" s="43"/>
      <c r="BV69" s="43"/>
      <c r="BW69" s="198"/>
      <c r="BX69" s="116"/>
      <c r="BY69" s="116"/>
      <c r="BZ69" s="165"/>
      <c r="CA69" s="165"/>
      <c r="CB69" s="165"/>
      <c r="CC69" s="165"/>
      <c r="CD69" s="165"/>
      <c r="CE69" s="124">
        <f t="shared" si="18"/>
        <v>4</v>
      </c>
      <c r="CF69" s="173">
        <f t="shared" si="19"/>
        <v>50</v>
      </c>
      <c r="CG69" s="184">
        <v>1.0</v>
      </c>
      <c r="CH69" s="184">
        <v>1.0</v>
      </c>
      <c r="CI69" s="230">
        <v>1.0</v>
      </c>
      <c r="CJ69" s="186"/>
      <c r="CK69" s="231"/>
      <c r="CL69" s="231"/>
      <c r="CM69" s="231"/>
      <c r="CN69" s="116"/>
      <c r="CO69" s="223"/>
      <c r="CP69" s="166"/>
      <c r="CQ69" s="213"/>
      <c r="CR69" s="213"/>
      <c r="CS69" s="213"/>
      <c r="CT69" s="213"/>
      <c r="CU69" s="116"/>
      <c r="CV69" s="213"/>
      <c r="CW69" s="128">
        <f t="shared" si="20"/>
        <v>3</v>
      </c>
      <c r="CX69" s="214">
        <f t="shared" si="21"/>
        <v>42.85714286</v>
      </c>
      <c r="CY69" s="171"/>
      <c r="CZ69" s="171"/>
      <c r="DA69" s="171"/>
      <c r="DB69" s="171"/>
      <c r="DC69" s="171"/>
      <c r="DD69" s="171"/>
      <c r="DE69" s="171"/>
      <c r="DF69" s="171"/>
      <c r="DG69" s="171"/>
      <c r="DH69" s="171"/>
      <c r="DI69" s="171"/>
      <c r="DJ69" s="171"/>
      <c r="DK69" s="128">
        <f t="shared" si="22"/>
        <v>0</v>
      </c>
      <c r="DL69" s="158" t="str">
        <f t="shared" si="23"/>
        <v>#DIV/0!</v>
      </c>
    </row>
    <row r="70" ht="15.75" customHeight="1">
      <c r="A70" s="50">
        <v>61.0</v>
      </c>
      <c r="B70" s="111" t="s">
        <v>173</v>
      </c>
      <c r="C70" s="112" t="s">
        <v>174</v>
      </c>
      <c r="D70" s="98">
        <f t="shared" si="8"/>
        <v>17</v>
      </c>
      <c r="E70" s="130">
        <f t="shared" si="9"/>
        <v>42.5</v>
      </c>
      <c r="F70" s="114">
        <f t="shared" si="10"/>
        <v>42.5</v>
      </c>
      <c r="G70" s="149" t="str">
        <f t="shared" si="11"/>
        <v>  </v>
      </c>
      <c r="H70" s="254"/>
      <c r="I70" s="254"/>
      <c r="J70" s="254"/>
      <c r="K70" s="254"/>
      <c r="L70" s="257"/>
      <c r="M70" s="139">
        <f t="shared" si="12"/>
        <v>0</v>
      </c>
      <c r="N70" s="140" t="str">
        <f t="shared" si="13"/>
        <v>#DIV/0!</v>
      </c>
      <c r="O70" s="116"/>
      <c r="P70" s="116"/>
      <c r="Q70" s="180"/>
      <c r="R70" s="179"/>
      <c r="S70" s="179"/>
      <c r="T70" s="116"/>
      <c r="U70" s="116"/>
      <c r="V70" s="179"/>
      <c r="W70" s="116"/>
      <c r="X70" s="116"/>
      <c r="Y70" s="179"/>
      <c r="Z70" s="185"/>
      <c r="AA70" s="217"/>
      <c r="AB70" s="116"/>
      <c r="AC70" s="179"/>
      <c r="AD70" s="116"/>
      <c r="AE70" s="116"/>
      <c r="AF70" s="182">
        <v>1.0</v>
      </c>
      <c r="AG70" s="182">
        <v>1.0</v>
      </c>
      <c r="AH70" s="138">
        <v>1.0</v>
      </c>
      <c r="AI70" s="176"/>
      <c r="AJ70" s="139">
        <f t="shared" si="14"/>
        <v>3</v>
      </c>
      <c r="AK70" s="205">
        <f t="shared" si="15"/>
        <v>27.27272727</v>
      </c>
      <c r="AL70" s="222"/>
      <c r="AM70" s="116"/>
      <c r="AN70" s="179"/>
      <c r="AO70" s="179"/>
      <c r="AP70" s="184">
        <v>1.0</v>
      </c>
      <c r="AQ70" s="116"/>
      <c r="AR70" s="116"/>
      <c r="AS70" s="191">
        <v>1.0</v>
      </c>
      <c r="AT70" s="138">
        <v>1.0</v>
      </c>
      <c r="AU70" s="116"/>
      <c r="AV70" s="138">
        <v>1.0</v>
      </c>
      <c r="AW70" s="179"/>
      <c r="AX70" s="116"/>
      <c r="AY70" s="138">
        <v>1.0</v>
      </c>
      <c r="AZ70" s="180"/>
      <c r="BA70" s="180"/>
      <c r="BB70" s="218">
        <v>1.0</v>
      </c>
      <c r="BC70" s="204"/>
      <c r="BD70" s="181"/>
      <c r="BE70" s="181"/>
      <c r="BF70" s="181"/>
      <c r="BG70" s="139">
        <f t="shared" si="16"/>
        <v>6</v>
      </c>
      <c r="BH70" s="208">
        <f t="shared" si="17"/>
        <v>42.85714286</v>
      </c>
      <c r="BI70" s="138">
        <v>1.0</v>
      </c>
      <c r="BJ70" s="138">
        <v>1.0</v>
      </c>
      <c r="BK70" s="180"/>
      <c r="BL70" s="138">
        <v>1.0</v>
      </c>
      <c r="BM70" s="116"/>
      <c r="BN70" s="116"/>
      <c r="BO70" s="138">
        <v>1.0</v>
      </c>
      <c r="BP70" s="116"/>
      <c r="BQ70" s="165"/>
      <c r="BR70" s="196">
        <v>1.0</v>
      </c>
      <c r="BS70" s="165"/>
      <c r="BT70" s="116"/>
      <c r="BU70" s="43"/>
      <c r="BV70" s="43"/>
      <c r="BW70" s="198"/>
      <c r="BX70" s="116"/>
      <c r="BY70" s="116"/>
      <c r="BZ70" s="165"/>
      <c r="CA70" s="165"/>
      <c r="CB70" s="165"/>
      <c r="CC70" s="165"/>
      <c r="CD70" s="165"/>
      <c r="CE70" s="124">
        <f t="shared" si="18"/>
        <v>5</v>
      </c>
      <c r="CF70" s="173">
        <f t="shared" si="19"/>
        <v>62.5</v>
      </c>
      <c r="CG70" s="184">
        <v>1.0</v>
      </c>
      <c r="CH70" s="184">
        <v>1.0</v>
      </c>
      <c r="CI70" s="230">
        <v>1.0</v>
      </c>
      <c r="CJ70" s="116"/>
      <c r="CK70" s="231"/>
      <c r="CL70" s="231"/>
      <c r="CM70" s="231"/>
      <c r="CN70" s="223"/>
      <c r="CO70" s="116"/>
      <c r="CP70" s="166"/>
      <c r="CQ70" s="213"/>
      <c r="CR70" s="213"/>
      <c r="CS70" s="213"/>
      <c r="CT70" s="213"/>
      <c r="CU70" s="213"/>
      <c r="CV70" s="213"/>
      <c r="CW70" s="128">
        <f t="shared" si="20"/>
        <v>3</v>
      </c>
      <c r="CX70" s="214">
        <f t="shared" si="21"/>
        <v>42.85714286</v>
      </c>
      <c r="CY70" s="171"/>
      <c r="CZ70" s="171"/>
      <c r="DA70" s="171"/>
      <c r="DB70" s="171"/>
      <c r="DC70" s="171"/>
      <c r="DD70" s="171"/>
      <c r="DE70" s="171"/>
      <c r="DF70" s="171"/>
      <c r="DG70" s="171"/>
      <c r="DH70" s="171"/>
      <c r="DI70" s="171"/>
      <c r="DJ70" s="171"/>
      <c r="DK70" s="128">
        <f t="shared" si="22"/>
        <v>0</v>
      </c>
      <c r="DL70" s="158" t="str">
        <f t="shared" si="23"/>
        <v>#DIV/0!</v>
      </c>
    </row>
    <row r="71" ht="15.75" customHeight="1">
      <c r="A71" s="131">
        <v>62.0</v>
      </c>
      <c r="B71" s="111" t="s">
        <v>175</v>
      </c>
      <c r="C71" s="112" t="s">
        <v>176</v>
      </c>
      <c r="D71" s="98">
        <f t="shared" si="8"/>
        <v>1</v>
      </c>
      <c r="E71" s="130">
        <f t="shared" si="9"/>
        <v>2.5</v>
      </c>
      <c r="F71" s="114">
        <f t="shared" si="10"/>
        <v>2.5</v>
      </c>
      <c r="G71" s="226">
        <f t="shared" si="11"/>
        <v>2.5</v>
      </c>
      <c r="H71" s="254"/>
      <c r="I71" s="254"/>
      <c r="J71" s="254"/>
      <c r="K71" s="254"/>
      <c r="L71" s="257"/>
      <c r="M71" s="139">
        <f t="shared" si="12"/>
        <v>0</v>
      </c>
      <c r="N71" s="140" t="str">
        <f t="shared" si="13"/>
        <v>#DIV/0!</v>
      </c>
      <c r="O71" s="116"/>
      <c r="P71" s="116"/>
      <c r="Q71" s="180"/>
      <c r="R71" s="179"/>
      <c r="S71" s="179"/>
      <c r="T71" s="116"/>
      <c r="U71" s="116"/>
      <c r="V71" s="179"/>
      <c r="W71" s="116"/>
      <c r="X71" s="116"/>
      <c r="Y71" s="179"/>
      <c r="Z71" s="185"/>
      <c r="AA71" s="217"/>
      <c r="AB71" s="116"/>
      <c r="AC71" s="179"/>
      <c r="AD71" s="176"/>
      <c r="AE71" s="116"/>
      <c r="AF71" s="176"/>
      <c r="AG71" s="176"/>
      <c r="AH71" s="176"/>
      <c r="AI71" s="176"/>
      <c r="AJ71" s="139">
        <f t="shared" si="14"/>
        <v>0</v>
      </c>
      <c r="AK71" s="205">
        <f t="shared" si="15"/>
        <v>0</v>
      </c>
      <c r="AL71" s="222"/>
      <c r="AM71" s="179"/>
      <c r="AN71" s="179"/>
      <c r="AO71" s="179"/>
      <c r="AP71" s="179"/>
      <c r="AQ71" s="116"/>
      <c r="AR71" s="116"/>
      <c r="AS71" s="166"/>
      <c r="AT71" s="116"/>
      <c r="AU71" s="116"/>
      <c r="AV71" s="138">
        <v>1.0</v>
      </c>
      <c r="AW71" s="179"/>
      <c r="AX71" s="116"/>
      <c r="AY71" s="116"/>
      <c r="AZ71" s="180"/>
      <c r="BA71" s="180"/>
      <c r="BB71" s="204"/>
      <c r="BC71" s="204"/>
      <c r="BD71" s="181"/>
      <c r="BE71" s="181"/>
      <c r="BF71" s="181"/>
      <c r="BG71" s="139">
        <f t="shared" si="16"/>
        <v>1</v>
      </c>
      <c r="BH71" s="208">
        <f t="shared" si="17"/>
        <v>7.142857143</v>
      </c>
      <c r="BI71" s="116"/>
      <c r="BJ71" s="116"/>
      <c r="BK71" s="180"/>
      <c r="BL71" s="116"/>
      <c r="BM71" s="116"/>
      <c r="BN71" s="116"/>
      <c r="BO71" s="116"/>
      <c r="BP71" s="116"/>
      <c r="BQ71" s="165"/>
      <c r="BR71" s="165"/>
      <c r="BS71" s="165"/>
      <c r="BT71" s="116"/>
      <c r="BU71" s="43"/>
      <c r="BV71" s="43"/>
      <c r="BW71" s="198"/>
      <c r="BX71" s="43"/>
      <c r="BY71" s="116"/>
      <c r="BZ71" s="165"/>
      <c r="CA71" s="165"/>
      <c r="CB71" s="165"/>
      <c r="CC71" s="165"/>
      <c r="CD71" s="165"/>
      <c r="CE71" s="124">
        <f t="shared" si="18"/>
        <v>0</v>
      </c>
      <c r="CF71" s="173">
        <f t="shared" si="19"/>
        <v>0</v>
      </c>
      <c r="CG71" s="179"/>
      <c r="CH71" s="179"/>
      <c r="CI71" s="238"/>
      <c r="CJ71" s="186"/>
      <c r="CK71" s="116"/>
      <c r="CL71" s="116"/>
      <c r="CM71" s="116"/>
      <c r="CN71" s="223"/>
      <c r="CO71" s="223"/>
      <c r="CP71" s="116"/>
      <c r="CQ71" s="165"/>
      <c r="CR71" s="165"/>
      <c r="CS71" s="116"/>
      <c r="CT71" s="116"/>
      <c r="CU71" s="116"/>
      <c r="CV71" s="165"/>
      <c r="CW71" s="128">
        <f t="shared" si="20"/>
        <v>0</v>
      </c>
      <c r="CX71" s="214">
        <f t="shared" si="21"/>
        <v>0</v>
      </c>
      <c r="CY71" s="171"/>
      <c r="CZ71" s="171"/>
      <c r="DA71" s="171"/>
      <c r="DB71" s="171"/>
      <c r="DC71" s="171"/>
      <c r="DD71" s="171"/>
      <c r="DE71" s="171"/>
      <c r="DF71" s="171"/>
      <c r="DG71" s="171"/>
      <c r="DH71" s="171"/>
      <c r="DI71" s="171"/>
      <c r="DJ71" s="171"/>
      <c r="DK71" s="128">
        <f t="shared" si="22"/>
        <v>0</v>
      </c>
      <c r="DL71" s="158" t="str">
        <f t="shared" si="23"/>
        <v>#DIV/0!</v>
      </c>
    </row>
    <row r="72" ht="15.75" customHeight="1">
      <c r="A72" s="146">
        <v>63.0</v>
      </c>
      <c r="B72" s="111" t="s">
        <v>177</v>
      </c>
      <c r="C72" s="112" t="s">
        <v>178</v>
      </c>
      <c r="D72" s="98">
        <f t="shared" si="8"/>
        <v>17</v>
      </c>
      <c r="E72" s="130">
        <f t="shared" si="9"/>
        <v>42.5</v>
      </c>
      <c r="F72" s="114">
        <f t="shared" si="10"/>
        <v>42.5</v>
      </c>
      <c r="G72" s="149" t="str">
        <f t="shared" si="11"/>
        <v>  </v>
      </c>
      <c r="H72" s="254"/>
      <c r="I72" s="254"/>
      <c r="J72" s="254"/>
      <c r="K72" s="254"/>
      <c r="L72" s="257"/>
      <c r="M72" s="139">
        <f t="shared" si="12"/>
        <v>0</v>
      </c>
      <c r="N72" s="140" t="str">
        <f t="shared" si="13"/>
        <v>#DIV/0!</v>
      </c>
      <c r="O72" s="116"/>
      <c r="P72" s="116"/>
      <c r="Q72" s="180"/>
      <c r="R72" s="179"/>
      <c r="S72" s="179"/>
      <c r="T72" s="116"/>
      <c r="U72" s="116"/>
      <c r="V72" s="179"/>
      <c r="W72" s="116"/>
      <c r="X72" s="116"/>
      <c r="Y72" s="184">
        <v>1.0</v>
      </c>
      <c r="Z72" s="185"/>
      <c r="AA72" s="217"/>
      <c r="AB72" s="116"/>
      <c r="AC72" s="179"/>
      <c r="AD72" s="138">
        <v>1.0</v>
      </c>
      <c r="AE72" s="116"/>
      <c r="AF72" s="176"/>
      <c r="AG72" s="176"/>
      <c r="AH72" s="116"/>
      <c r="AI72" s="138">
        <v>1.0</v>
      </c>
      <c r="AJ72" s="139">
        <f t="shared" si="14"/>
        <v>3</v>
      </c>
      <c r="AK72" s="205">
        <f t="shared" si="15"/>
        <v>27.27272727</v>
      </c>
      <c r="AL72" s="116"/>
      <c r="AM72" s="116"/>
      <c r="AN72" s="179"/>
      <c r="AO72" s="207"/>
      <c r="AP72" s="184">
        <v>1.0</v>
      </c>
      <c r="AQ72" s="116"/>
      <c r="AR72" s="116"/>
      <c r="AS72" s="191">
        <v>1.0</v>
      </c>
      <c r="AT72" s="138">
        <v>1.0</v>
      </c>
      <c r="AU72" s="138">
        <v>1.0</v>
      </c>
      <c r="AV72" s="116"/>
      <c r="AW72" s="179"/>
      <c r="AX72" s="116"/>
      <c r="AY72" s="138">
        <v>1.0</v>
      </c>
      <c r="AZ72" s="180"/>
      <c r="BA72" s="180"/>
      <c r="BB72" s="138">
        <v>1.0</v>
      </c>
      <c r="BC72" s="116"/>
      <c r="BD72" s="194"/>
      <c r="BE72" s="194"/>
      <c r="BF72" s="194"/>
      <c r="BG72" s="139">
        <f t="shared" si="16"/>
        <v>6</v>
      </c>
      <c r="BH72" s="208">
        <f t="shared" si="17"/>
        <v>42.85714286</v>
      </c>
      <c r="BI72" s="138">
        <v>1.0</v>
      </c>
      <c r="BJ72" s="138">
        <v>1.0</v>
      </c>
      <c r="BK72" s="180"/>
      <c r="BL72" s="138">
        <v>1.0</v>
      </c>
      <c r="BM72" s="116"/>
      <c r="BN72" s="116"/>
      <c r="BO72" s="138">
        <v>1.0</v>
      </c>
      <c r="BP72" s="116"/>
      <c r="BQ72" s="165"/>
      <c r="BR72" s="196">
        <v>1.0</v>
      </c>
      <c r="BS72" s="116"/>
      <c r="BT72" s="116"/>
      <c r="BV72" s="116"/>
      <c r="BW72" s="198"/>
      <c r="BX72" s="116"/>
      <c r="BY72" s="116"/>
      <c r="BZ72" s="165"/>
      <c r="CA72" s="116"/>
      <c r="CB72" s="165"/>
      <c r="CC72" s="165"/>
      <c r="CD72" s="165"/>
      <c r="CE72" s="124">
        <f t="shared" si="18"/>
        <v>5</v>
      </c>
      <c r="CF72" s="173">
        <f t="shared" si="19"/>
        <v>62.5</v>
      </c>
      <c r="CG72" s="138">
        <v>1.0</v>
      </c>
      <c r="CH72" s="138">
        <v>1.0</v>
      </c>
      <c r="CI72" s="138">
        <v>1.0</v>
      </c>
      <c r="CJ72" s="116"/>
      <c r="CK72" s="116"/>
      <c r="CL72" s="116"/>
      <c r="CM72" s="116"/>
      <c r="CN72" s="223"/>
      <c r="CO72" s="116"/>
      <c r="CP72" s="166"/>
      <c r="CQ72" s="213"/>
      <c r="CR72" s="213"/>
      <c r="CS72" s="213"/>
      <c r="CT72" s="213"/>
      <c r="CU72" s="116"/>
      <c r="CV72" s="213"/>
      <c r="CW72" s="128">
        <f t="shared" si="20"/>
        <v>3</v>
      </c>
      <c r="CX72" s="214">
        <f t="shared" si="21"/>
        <v>42.85714286</v>
      </c>
      <c r="CY72" s="171"/>
      <c r="CZ72" s="171"/>
      <c r="DA72" s="171"/>
      <c r="DB72" s="171"/>
      <c r="DC72" s="171"/>
      <c r="DD72" s="171"/>
      <c r="DE72" s="171"/>
      <c r="DF72" s="171"/>
      <c r="DG72" s="171"/>
      <c r="DH72" s="171"/>
      <c r="DI72" s="171"/>
      <c r="DJ72" s="171"/>
      <c r="DK72" s="128">
        <f t="shared" si="22"/>
        <v>0</v>
      </c>
      <c r="DL72" s="158" t="str">
        <f t="shared" si="23"/>
        <v>#DIV/0!</v>
      </c>
    </row>
    <row r="73" ht="15.75" customHeight="1">
      <c r="A73" s="50">
        <v>64.0</v>
      </c>
      <c r="B73" s="111" t="s">
        <v>179</v>
      </c>
      <c r="C73" s="112" t="s">
        <v>180</v>
      </c>
      <c r="D73" s="98">
        <f t="shared" si="8"/>
        <v>22</v>
      </c>
      <c r="E73" s="130">
        <f t="shared" si="9"/>
        <v>55</v>
      </c>
      <c r="F73" s="92" t="str">
        <f t="shared" si="10"/>
        <v>  </v>
      </c>
      <c r="G73" s="149" t="str">
        <f t="shared" si="11"/>
        <v>  </v>
      </c>
      <c r="H73" s="254"/>
      <c r="I73" s="254"/>
      <c r="J73" s="254"/>
      <c r="K73" s="254"/>
      <c r="L73" s="257"/>
      <c r="M73" s="139">
        <f t="shared" si="12"/>
        <v>0</v>
      </c>
      <c r="N73" s="140" t="str">
        <f t="shared" si="13"/>
        <v>#DIV/0!</v>
      </c>
      <c r="O73" s="116"/>
      <c r="P73" s="116"/>
      <c r="Q73" s="116"/>
      <c r="R73" s="179"/>
      <c r="S73" s="116"/>
      <c r="T73" s="116"/>
      <c r="U73" s="116"/>
      <c r="V73" s="179"/>
      <c r="W73" s="116"/>
      <c r="X73" s="116"/>
      <c r="Y73" s="184">
        <v>1.0</v>
      </c>
      <c r="Z73" s="210">
        <v>1.0</v>
      </c>
      <c r="AA73" s="217"/>
      <c r="AB73" s="138">
        <v>1.0</v>
      </c>
      <c r="AC73" s="179"/>
      <c r="AD73" s="176"/>
      <c r="AE73" s="176"/>
      <c r="AF73" s="182">
        <v>1.0</v>
      </c>
      <c r="AG73" s="176"/>
      <c r="AH73" s="176"/>
      <c r="AI73" s="176"/>
      <c r="AJ73" s="139">
        <f t="shared" si="14"/>
        <v>4</v>
      </c>
      <c r="AK73" s="205">
        <f t="shared" si="15"/>
        <v>36.36363636</v>
      </c>
      <c r="AL73" s="235">
        <v>1.0</v>
      </c>
      <c r="AM73" s="116"/>
      <c r="AN73" s="179"/>
      <c r="AO73" s="179"/>
      <c r="AP73" s="138">
        <v>1.0</v>
      </c>
      <c r="AQ73" s="116"/>
      <c r="AR73" s="116"/>
      <c r="AS73" s="166"/>
      <c r="AT73" s="116"/>
      <c r="AU73" s="116"/>
      <c r="AV73" s="116"/>
      <c r="AW73" s="179"/>
      <c r="AX73" s="116"/>
      <c r="AY73" s="138">
        <v>1.0</v>
      </c>
      <c r="AZ73" s="116"/>
      <c r="BA73" s="180"/>
      <c r="BB73" s="138">
        <v>1.0</v>
      </c>
      <c r="BC73" s="138">
        <v>1.0</v>
      </c>
      <c r="BD73" s="188">
        <v>1.0</v>
      </c>
      <c r="BE73" s="188">
        <v>1.0</v>
      </c>
      <c r="BF73" s="188">
        <v>1.0</v>
      </c>
      <c r="BG73" s="139">
        <f t="shared" si="16"/>
        <v>7</v>
      </c>
      <c r="BH73" s="208">
        <f t="shared" si="17"/>
        <v>50</v>
      </c>
      <c r="BI73" s="138">
        <v>1.0</v>
      </c>
      <c r="BJ73" s="138">
        <v>1.0</v>
      </c>
      <c r="BK73" s="180"/>
      <c r="BL73" s="138"/>
      <c r="BM73" s="116"/>
      <c r="BN73" s="138">
        <v>1.0</v>
      </c>
      <c r="BO73" s="138">
        <v>1.0</v>
      </c>
      <c r="BP73" s="138">
        <v>1.0</v>
      </c>
      <c r="BQ73" s="138">
        <v>1.0</v>
      </c>
      <c r="BR73" s="196">
        <v>1.0</v>
      </c>
      <c r="BS73" s="165"/>
      <c r="BT73" s="116"/>
      <c r="BV73" s="116"/>
      <c r="BW73" s="198"/>
      <c r="BX73" s="116"/>
      <c r="BY73" s="116"/>
      <c r="BZ73" s="165"/>
      <c r="CA73" s="116"/>
      <c r="CB73" s="116"/>
      <c r="CC73" s="165"/>
      <c r="CD73" s="165"/>
      <c r="CE73" s="124">
        <f t="shared" si="18"/>
        <v>7</v>
      </c>
      <c r="CF73" s="173">
        <f t="shared" si="19"/>
        <v>87.5</v>
      </c>
      <c r="CG73" s="138">
        <v>1.0</v>
      </c>
      <c r="CH73" s="138">
        <v>1.0</v>
      </c>
      <c r="CI73" s="138">
        <v>1.0</v>
      </c>
      <c r="CJ73" s="138">
        <v>1.0</v>
      </c>
      <c r="CK73" s="116"/>
      <c r="CL73" s="116"/>
      <c r="CM73" s="116"/>
      <c r="CN73" s="116"/>
      <c r="CO73" s="116"/>
      <c r="CP73" s="166"/>
      <c r="CQ73" s="213"/>
      <c r="CR73" s="213"/>
      <c r="CS73" s="116"/>
      <c r="CT73" s="116"/>
      <c r="CU73" s="116"/>
      <c r="CV73" s="213"/>
      <c r="CW73" s="128">
        <f t="shared" si="20"/>
        <v>4</v>
      </c>
      <c r="CX73" s="214">
        <f t="shared" si="21"/>
        <v>57.14285714</v>
      </c>
      <c r="CY73" s="171"/>
      <c r="CZ73" s="171"/>
      <c r="DA73" s="171"/>
      <c r="DB73" s="171"/>
      <c r="DC73" s="171"/>
      <c r="DD73" s="171"/>
      <c r="DE73" s="171"/>
      <c r="DF73" s="171"/>
      <c r="DG73" s="171"/>
      <c r="DH73" s="171"/>
      <c r="DI73" s="171"/>
      <c r="DJ73" s="171"/>
      <c r="DK73" s="128">
        <f t="shared" si="22"/>
        <v>0</v>
      </c>
      <c r="DL73" s="158" t="str">
        <f t="shared" si="23"/>
        <v>#DIV/0!</v>
      </c>
    </row>
    <row r="74" ht="15.75" customHeight="1">
      <c r="A74" s="131">
        <v>65.0</v>
      </c>
      <c r="B74" s="111" t="s">
        <v>181</v>
      </c>
      <c r="C74" s="112" t="s">
        <v>182</v>
      </c>
      <c r="D74" s="98">
        <f t="shared" si="8"/>
        <v>18</v>
      </c>
      <c r="E74" s="130">
        <f t="shared" si="9"/>
        <v>45</v>
      </c>
      <c r="F74" s="114">
        <f t="shared" si="10"/>
        <v>45</v>
      </c>
      <c r="G74" s="149" t="str">
        <f t="shared" si="11"/>
        <v>  </v>
      </c>
      <c r="H74" s="254"/>
      <c r="I74" s="254"/>
      <c r="J74" s="254"/>
      <c r="K74" s="254"/>
      <c r="L74" s="257"/>
      <c r="M74" s="139">
        <f t="shared" si="12"/>
        <v>0</v>
      </c>
      <c r="N74" s="140" t="str">
        <f t="shared" si="13"/>
        <v>#DIV/0!</v>
      </c>
      <c r="O74" s="116"/>
      <c r="P74" s="116"/>
      <c r="Q74" s="116"/>
      <c r="R74" s="179"/>
      <c r="S74" s="116"/>
      <c r="T74" s="116"/>
      <c r="U74" s="116"/>
      <c r="V74" s="179"/>
      <c r="W74" s="116"/>
      <c r="X74" s="116"/>
      <c r="Y74" s="184">
        <v>1.0</v>
      </c>
      <c r="Z74" s="185"/>
      <c r="AA74" s="217"/>
      <c r="AB74" s="116"/>
      <c r="AC74" s="179"/>
      <c r="AD74" s="138">
        <v>1.0</v>
      </c>
      <c r="AE74" s="176"/>
      <c r="AF74" s="176"/>
      <c r="AG74" s="176"/>
      <c r="AH74" s="116"/>
      <c r="AI74" s="138">
        <v>1.0</v>
      </c>
      <c r="AJ74" s="139">
        <f t="shared" si="14"/>
        <v>3</v>
      </c>
      <c r="AK74" s="205">
        <f t="shared" si="15"/>
        <v>27.27272727</v>
      </c>
      <c r="AL74" s="116"/>
      <c r="AM74" s="116"/>
      <c r="AN74" s="179"/>
      <c r="AO74" s="184">
        <v>1.0</v>
      </c>
      <c r="AP74" s="138">
        <v>1.0</v>
      </c>
      <c r="AQ74" s="116"/>
      <c r="AR74" s="116"/>
      <c r="AS74" s="191">
        <v>1.0</v>
      </c>
      <c r="AT74" s="116"/>
      <c r="AU74" s="138">
        <v>1.0</v>
      </c>
      <c r="AV74" s="138">
        <v>1.0</v>
      </c>
      <c r="AW74" s="179"/>
      <c r="AX74" s="116"/>
      <c r="AY74" s="138">
        <v>1.0</v>
      </c>
      <c r="AZ74" s="116"/>
      <c r="BA74" s="180"/>
      <c r="BB74" s="138">
        <v>1.0</v>
      </c>
      <c r="BC74" s="138">
        <v>1.0</v>
      </c>
      <c r="BD74" s="188">
        <v>1.0</v>
      </c>
      <c r="BE74" s="194"/>
      <c r="BF74" s="194"/>
      <c r="BG74" s="139">
        <f t="shared" si="16"/>
        <v>9</v>
      </c>
      <c r="BH74" s="208">
        <f t="shared" si="17"/>
        <v>64.28571429</v>
      </c>
      <c r="BI74" s="116"/>
      <c r="BJ74" s="116"/>
      <c r="BK74" s="180"/>
      <c r="BL74" s="138">
        <v>1.0</v>
      </c>
      <c r="BM74" s="116"/>
      <c r="BN74" s="116"/>
      <c r="BO74" s="138">
        <v>1.0</v>
      </c>
      <c r="BP74" s="116"/>
      <c r="BQ74" s="165"/>
      <c r="BR74" s="196">
        <v>1.0</v>
      </c>
      <c r="BS74" s="116"/>
      <c r="BT74" s="116"/>
      <c r="BV74" s="116"/>
      <c r="BW74" s="198"/>
      <c r="BX74" s="116"/>
      <c r="BY74" s="116"/>
      <c r="BZ74" s="165"/>
      <c r="CA74" s="116"/>
      <c r="CB74" s="165"/>
      <c r="CC74" s="165"/>
      <c r="CD74" s="165"/>
      <c r="CE74" s="124">
        <f t="shared" si="18"/>
        <v>3</v>
      </c>
      <c r="CF74" s="173">
        <f t="shared" si="19"/>
        <v>37.5</v>
      </c>
      <c r="CG74" s="184">
        <v>1.0</v>
      </c>
      <c r="CH74" s="184">
        <v>1.0</v>
      </c>
      <c r="CI74" s="138">
        <v>1.0</v>
      </c>
      <c r="CJ74" s="116"/>
      <c r="CK74" s="116"/>
      <c r="CL74" s="116"/>
      <c r="CM74" s="116"/>
      <c r="CN74" s="223"/>
      <c r="CO74" s="116"/>
      <c r="CP74" s="166"/>
      <c r="CQ74" s="213"/>
      <c r="CR74" s="213"/>
      <c r="CS74" s="213"/>
      <c r="CT74" s="213"/>
      <c r="CU74" s="116"/>
      <c r="CV74" s="213"/>
      <c r="CW74" s="128">
        <f t="shared" si="20"/>
        <v>3</v>
      </c>
      <c r="CX74" s="214">
        <f t="shared" si="21"/>
        <v>42.85714286</v>
      </c>
      <c r="CY74" s="171"/>
      <c r="CZ74" s="171"/>
      <c r="DA74" s="171"/>
      <c r="DB74" s="171"/>
      <c r="DC74" s="171"/>
      <c r="DD74" s="171"/>
      <c r="DE74" s="171"/>
      <c r="DF74" s="171"/>
      <c r="DG74" s="171"/>
      <c r="DH74" s="171"/>
      <c r="DI74" s="171"/>
      <c r="DJ74" s="171"/>
      <c r="DK74" s="128">
        <f t="shared" si="22"/>
        <v>0</v>
      </c>
      <c r="DL74" s="158" t="str">
        <f t="shared" si="23"/>
        <v>#DIV/0!</v>
      </c>
    </row>
    <row r="75" ht="15.75" customHeight="1">
      <c r="A75" s="146">
        <v>66.0</v>
      </c>
      <c r="B75" s="111" t="s">
        <v>183</v>
      </c>
      <c r="C75" s="112" t="s">
        <v>184</v>
      </c>
      <c r="D75" s="98">
        <f t="shared" si="8"/>
        <v>0</v>
      </c>
      <c r="E75" s="130">
        <f t="shared" si="9"/>
        <v>0</v>
      </c>
      <c r="F75" s="114">
        <f t="shared" si="10"/>
        <v>0</v>
      </c>
      <c r="G75" s="226">
        <f t="shared" si="11"/>
        <v>0</v>
      </c>
      <c r="H75" s="254"/>
      <c r="I75" s="254"/>
      <c r="J75" s="254"/>
      <c r="K75" s="254"/>
      <c r="L75" s="257"/>
      <c r="M75" s="139">
        <f t="shared" si="12"/>
        <v>0</v>
      </c>
      <c r="N75" s="140" t="str">
        <f t="shared" si="13"/>
        <v>#DIV/0!</v>
      </c>
      <c r="O75" s="116"/>
      <c r="P75" s="116"/>
      <c r="Q75" s="180"/>
      <c r="R75" s="179"/>
      <c r="S75" s="179"/>
      <c r="T75" s="116"/>
      <c r="U75" s="116"/>
      <c r="V75" s="179"/>
      <c r="W75" s="116"/>
      <c r="X75" s="116"/>
      <c r="Y75" s="179"/>
      <c r="Z75" s="185"/>
      <c r="AA75" s="217"/>
      <c r="AB75" s="116"/>
      <c r="AC75" s="179"/>
      <c r="AD75" s="176"/>
      <c r="AE75" s="176"/>
      <c r="AF75" s="176"/>
      <c r="AG75" s="176"/>
      <c r="AH75" s="176"/>
      <c r="AI75" s="116"/>
      <c r="AJ75" s="139">
        <f t="shared" si="14"/>
        <v>0</v>
      </c>
      <c r="AK75" s="205">
        <f t="shared" si="15"/>
        <v>0</v>
      </c>
      <c r="AL75" s="222"/>
      <c r="AM75" s="116"/>
      <c r="AN75" s="179"/>
      <c r="AO75" s="179"/>
      <c r="AP75" s="184"/>
      <c r="AQ75" s="116"/>
      <c r="AR75" s="116"/>
      <c r="AS75" s="166"/>
      <c r="AT75" s="116"/>
      <c r="AU75" s="116"/>
      <c r="AV75" s="116"/>
      <c r="AW75" s="179"/>
      <c r="AX75" s="116"/>
      <c r="AY75" s="116"/>
      <c r="AZ75" s="180"/>
      <c r="BA75" s="180"/>
      <c r="BB75" s="204"/>
      <c r="BC75" s="204"/>
      <c r="BD75" s="181"/>
      <c r="BE75" s="181"/>
      <c r="BF75" s="181"/>
      <c r="BG75" s="139">
        <f t="shared" si="16"/>
        <v>0</v>
      </c>
      <c r="BH75" s="208">
        <f t="shared" si="17"/>
        <v>0</v>
      </c>
      <c r="BI75" s="116"/>
      <c r="BJ75" s="116"/>
      <c r="BK75" s="180"/>
      <c r="BL75" s="116"/>
      <c r="BM75" s="116"/>
      <c r="BN75" s="116"/>
      <c r="BO75" s="116"/>
      <c r="BP75" s="116"/>
      <c r="BQ75" s="165"/>
      <c r="BR75" s="165"/>
      <c r="BS75" s="165"/>
      <c r="BT75" s="185"/>
      <c r="BU75" s="43"/>
      <c r="BV75" s="43"/>
      <c r="BW75" s="198"/>
      <c r="BX75" s="43"/>
      <c r="BY75" s="116"/>
      <c r="BZ75" s="165"/>
      <c r="CA75" s="165"/>
      <c r="CB75" s="165"/>
      <c r="CC75" s="165"/>
      <c r="CD75" s="165"/>
      <c r="CE75" s="124">
        <f t="shared" si="18"/>
        <v>0</v>
      </c>
      <c r="CF75" s="173">
        <f t="shared" si="19"/>
        <v>0</v>
      </c>
      <c r="CG75" s="179"/>
      <c r="CH75" s="179"/>
      <c r="CI75" s="238"/>
      <c r="CJ75" s="116"/>
      <c r="CK75" s="231"/>
      <c r="CL75" s="231"/>
      <c r="CM75" s="231"/>
      <c r="CN75" s="223"/>
      <c r="CO75" s="223"/>
      <c r="CP75" s="166"/>
      <c r="CQ75" s="213"/>
      <c r="CR75" s="213"/>
      <c r="CS75" s="213"/>
      <c r="CT75" s="116"/>
      <c r="CU75" s="116"/>
      <c r="CV75" s="213"/>
      <c r="CW75" s="128">
        <f t="shared" si="20"/>
        <v>0</v>
      </c>
      <c r="CX75" s="214">
        <f t="shared" si="21"/>
        <v>0</v>
      </c>
      <c r="CY75" s="171"/>
      <c r="CZ75" s="171"/>
      <c r="DA75" s="171"/>
      <c r="DB75" s="171"/>
      <c r="DC75" s="171"/>
      <c r="DD75" s="171"/>
      <c r="DE75" s="171"/>
      <c r="DF75" s="171"/>
      <c r="DG75" s="171"/>
      <c r="DH75" s="171"/>
      <c r="DI75" s="171"/>
      <c r="DJ75" s="171"/>
      <c r="DK75" s="128">
        <f t="shared" si="22"/>
        <v>0</v>
      </c>
      <c r="DL75" s="158" t="str">
        <f t="shared" si="23"/>
        <v>#DIV/0!</v>
      </c>
    </row>
    <row r="76" ht="15.75" customHeight="1">
      <c r="A76" s="50">
        <v>67.0</v>
      </c>
      <c r="B76" s="111" t="s">
        <v>185</v>
      </c>
      <c r="C76" s="112" t="s">
        <v>186</v>
      </c>
      <c r="D76" s="98">
        <f t="shared" si="8"/>
        <v>19</v>
      </c>
      <c r="E76" s="130">
        <f t="shared" si="9"/>
        <v>47.5</v>
      </c>
      <c r="F76" s="114">
        <f t="shared" si="10"/>
        <v>47.5</v>
      </c>
      <c r="G76" s="226" t="str">
        <f t="shared" si="11"/>
        <v>  </v>
      </c>
      <c r="H76" s="265"/>
      <c r="I76" s="265"/>
      <c r="J76" s="265"/>
      <c r="K76" s="265"/>
      <c r="L76" s="266"/>
      <c r="M76" s="139">
        <f t="shared" si="12"/>
        <v>0</v>
      </c>
      <c r="N76" s="140" t="str">
        <f t="shared" si="13"/>
        <v>#DIV/0!</v>
      </c>
      <c r="O76" s="116"/>
      <c r="P76" s="116"/>
      <c r="Q76" s="180"/>
      <c r="R76" s="179"/>
      <c r="S76" s="116"/>
      <c r="T76" s="116"/>
      <c r="U76" s="116"/>
      <c r="V76" s="179"/>
      <c r="W76" s="116"/>
      <c r="X76" s="138">
        <v>1.0</v>
      </c>
      <c r="Y76" s="184">
        <v>1.0</v>
      </c>
      <c r="Z76" s="185"/>
      <c r="AA76" s="217"/>
      <c r="AB76" s="138">
        <v>1.0</v>
      </c>
      <c r="AC76" s="179"/>
      <c r="AD76" s="116"/>
      <c r="AE76" s="116"/>
      <c r="AF76" s="182">
        <v>1.0</v>
      </c>
      <c r="AG76" s="176"/>
      <c r="AH76" s="182">
        <v>1.0</v>
      </c>
      <c r="AI76" s="116"/>
      <c r="AJ76" s="139">
        <f t="shared" si="14"/>
        <v>5</v>
      </c>
      <c r="AK76" s="205">
        <f t="shared" si="15"/>
        <v>45.45454545</v>
      </c>
      <c r="AL76" s="235">
        <v>1.0</v>
      </c>
      <c r="AM76" s="116"/>
      <c r="AN76" s="179"/>
      <c r="AO76" s="184">
        <v>1.0</v>
      </c>
      <c r="AP76" s="184"/>
      <c r="AQ76" s="138">
        <v>1.0</v>
      </c>
      <c r="AR76" s="116"/>
      <c r="AS76" s="166"/>
      <c r="AT76" s="116"/>
      <c r="AU76" s="138">
        <v>1.0</v>
      </c>
      <c r="AV76" s="116"/>
      <c r="AW76" s="179"/>
      <c r="AX76" s="116"/>
      <c r="AY76" s="138">
        <v>1.0</v>
      </c>
      <c r="AZ76" s="180"/>
      <c r="BA76" s="180"/>
      <c r="BB76" s="138">
        <v>1.0</v>
      </c>
      <c r="BC76" s="204"/>
      <c r="BD76" s="181"/>
      <c r="BE76" s="181"/>
      <c r="BF76" s="219">
        <v>1.0</v>
      </c>
      <c r="BG76" s="139">
        <f t="shared" si="16"/>
        <v>6</v>
      </c>
      <c r="BH76" s="208">
        <f t="shared" si="17"/>
        <v>42.85714286</v>
      </c>
      <c r="BI76" s="138">
        <v>1.0</v>
      </c>
      <c r="BJ76" s="138">
        <v>1.0</v>
      </c>
      <c r="BK76" s="180"/>
      <c r="BL76" s="138">
        <v>1.0</v>
      </c>
      <c r="BM76" s="116"/>
      <c r="BN76" s="138">
        <v>1.0</v>
      </c>
      <c r="BO76" s="138">
        <v>1.0</v>
      </c>
      <c r="BP76" s="138">
        <v>1.0</v>
      </c>
      <c r="BQ76" s="165"/>
      <c r="BR76" s="196">
        <v>1.0</v>
      </c>
      <c r="BS76" s="165"/>
      <c r="BT76" s="116"/>
      <c r="BU76" s="43"/>
      <c r="BV76" s="43"/>
      <c r="BW76" s="198"/>
      <c r="BX76" s="116"/>
      <c r="BY76" s="116"/>
      <c r="BZ76" s="165"/>
      <c r="CA76" s="116"/>
      <c r="CB76" s="165"/>
      <c r="CC76" s="165"/>
      <c r="CD76" s="165"/>
      <c r="CE76" s="124">
        <f t="shared" si="18"/>
        <v>7</v>
      </c>
      <c r="CF76" s="173">
        <f t="shared" si="19"/>
        <v>87.5</v>
      </c>
      <c r="CG76" s="116"/>
      <c r="CH76" s="116"/>
      <c r="CI76" s="138">
        <v>1.0</v>
      </c>
      <c r="CJ76" s="116"/>
      <c r="CK76" s="116"/>
      <c r="CL76" s="116"/>
      <c r="CM76" s="116"/>
      <c r="CN76" s="116"/>
      <c r="CO76" s="116"/>
      <c r="CP76" s="166"/>
      <c r="CQ76" s="213"/>
      <c r="CR76" s="213"/>
      <c r="CS76" s="116"/>
      <c r="CT76" s="116"/>
      <c r="CU76" s="116"/>
      <c r="CV76" s="213"/>
      <c r="CW76" s="128">
        <f t="shared" si="20"/>
        <v>1</v>
      </c>
      <c r="CX76" s="214">
        <f t="shared" si="21"/>
        <v>14.28571429</v>
      </c>
      <c r="CY76" s="171"/>
      <c r="CZ76" s="171"/>
      <c r="DA76" s="171"/>
      <c r="DB76" s="171"/>
      <c r="DC76" s="171"/>
      <c r="DD76" s="171"/>
      <c r="DE76" s="171"/>
      <c r="DF76" s="171"/>
      <c r="DG76" s="171"/>
      <c r="DH76" s="171"/>
      <c r="DI76" s="171"/>
      <c r="DJ76" s="171"/>
      <c r="DK76" s="128">
        <f t="shared" si="22"/>
        <v>0</v>
      </c>
      <c r="DL76" s="158" t="str">
        <f t="shared" si="23"/>
        <v>#DIV/0!</v>
      </c>
    </row>
    <row r="77" ht="15.75" customHeight="1">
      <c r="A77" s="131">
        <v>68.0</v>
      </c>
      <c r="B77" s="161" t="s">
        <v>187</v>
      </c>
      <c r="C77" s="162" t="s">
        <v>188</v>
      </c>
      <c r="D77" s="98">
        <f t="shared" si="8"/>
        <v>14</v>
      </c>
      <c r="E77" s="130">
        <f t="shared" si="9"/>
        <v>35</v>
      </c>
      <c r="F77" s="114">
        <f t="shared" si="10"/>
        <v>35</v>
      </c>
      <c r="G77" s="149" t="str">
        <f t="shared" si="11"/>
        <v>  </v>
      </c>
      <c r="H77" s="265"/>
      <c r="I77" s="265"/>
      <c r="J77" s="267"/>
      <c r="K77" s="267"/>
      <c r="L77" s="268"/>
      <c r="M77" s="139">
        <f t="shared" si="12"/>
        <v>0</v>
      </c>
      <c r="N77" s="140" t="str">
        <f t="shared" si="13"/>
        <v>#DIV/0!</v>
      </c>
      <c r="O77" s="116"/>
      <c r="P77" s="116"/>
      <c r="Q77" s="180"/>
      <c r="R77" s="179"/>
      <c r="S77" s="179"/>
      <c r="T77" s="116"/>
      <c r="U77" s="116"/>
      <c r="V77" s="179"/>
      <c r="W77" s="116"/>
      <c r="X77" s="116"/>
      <c r="Y77" s="179"/>
      <c r="Z77" s="185"/>
      <c r="AA77" s="217"/>
      <c r="AB77" s="138">
        <v>1.0</v>
      </c>
      <c r="AC77" s="179"/>
      <c r="AD77" s="182">
        <v>1.0</v>
      </c>
      <c r="AE77" s="116"/>
      <c r="AF77" s="176"/>
      <c r="AG77" s="176"/>
      <c r="AH77" s="176"/>
      <c r="AI77" s="176"/>
      <c r="AJ77" s="139">
        <f t="shared" si="14"/>
        <v>2</v>
      </c>
      <c r="AK77" s="205">
        <f t="shared" si="15"/>
        <v>18.18181818</v>
      </c>
      <c r="AL77" s="222"/>
      <c r="AM77" s="116"/>
      <c r="AN77" s="179"/>
      <c r="AO77" s="179"/>
      <c r="AP77" s="138"/>
      <c r="AQ77" s="116"/>
      <c r="AR77" s="116"/>
      <c r="AS77" s="191">
        <v>1.0</v>
      </c>
      <c r="AT77" s="116"/>
      <c r="AU77" s="116"/>
      <c r="AV77" s="116"/>
      <c r="AW77" s="179"/>
      <c r="AX77" s="116"/>
      <c r="AY77" s="138">
        <v>1.0</v>
      </c>
      <c r="AZ77" s="180"/>
      <c r="BA77" s="180"/>
      <c r="BB77" s="204"/>
      <c r="BC77" s="204"/>
      <c r="BD77" s="181"/>
      <c r="BE77" s="181"/>
      <c r="BF77" s="181"/>
      <c r="BG77" s="139">
        <f t="shared" si="16"/>
        <v>2</v>
      </c>
      <c r="BH77" s="208">
        <f t="shared" si="17"/>
        <v>14.28571429</v>
      </c>
      <c r="BI77" s="138">
        <v>1.0</v>
      </c>
      <c r="BJ77" s="138">
        <v>1.0</v>
      </c>
      <c r="BK77" s="180"/>
      <c r="BL77" s="116"/>
      <c r="BM77" s="116"/>
      <c r="BN77" s="138">
        <v>1.0</v>
      </c>
      <c r="BO77" s="138">
        <v>1.0</v>
      </c>
      <c r="BP77" s="138">
        <v>1.0</v>
      </c>
      <c r="BQ77" s="138">
        <v>1.0</v>
      </c>
      <c r="BR77" s="196">
        <v>1.0</v>
      </c>
      <c r="BS77" s="116"/>
      <c r="BT77" s="116"/>
      <c r="BU77" s="43"/>
      <c r="BV77" s="43"/>
      <c r="BW77" s="198"/>
      <c r="BX77" s="43"/>
      <c r="BY77" s="116"/>
      <c r="BZ77" s="165"/>
      <c r="CA77" s="165"/>
      <c r="CB77" s="116"/>
      <c r="CC77" s="165"/>
      <c r="CD77" s="165"/>
      <c r="CE77" s="124">
        <f t="shared" si="18"/>
        <v>7</v>
      </c>
      <c r="CF77" s="173">
        <f t="shared" si="19"/>
        <v>87.5</v>
      </c>
      <c r="CG77" s="184">
        <v>1.0</v>
      </c>
      <c r="CH77" s="184">
        <v>1.0</v>
      </c>
      <c r="CI77" s="230">
        <v>1.0</v>
      </c>
      <c r="CJ77" s="186"/>
      <c r="CK77" s="116"/>
      <c r="CL77" s="116"/>
      <c r="CM77" s="116"/>
      <c r="CN77" s="223"/>
      <c r="CO77" s="116"/>
      <c r="CP77" s="116"/>
      <c r="CQ77" s="165"/>
      <c r="CR77" s="165"/>
      <c r="CS77" s="165"/>
      <c r="CT77" s="116"/>
      <c r="CU77" s="165"/>
      <c r="CV77" s="165"/>
      <c r="CW77" s="128">
        <f t="shared" si="20"/>
        <v>3</v>
      </c>
      <c r="CX77" s="214">
        <f t="shared" si="21"/>
        <v>42.85714286</v>
      </c>
      <c r="CY77" s="171"/>
      <c r="CZ77" s="171"/>
      <c r="DA77" s="171"/>
      <c r="DB77" s="171"/>
      <c r="DC77" s="171"/>
      <c r="DD77" s="171"/>
      <c r="DE77" s="171"/>
      <c r="DF77" s="171"/>
      <c r="DG77" s="171"/>
      <c r="DH77" s="171"/>
      <c r="DI77" s="171"/>
      <c r="DJ77" s="171"/>
      <c r="DK77" s="128">
        <f t="shared" si="22"/>
        <v>0</v>
      </c>
      <c r="DL77" s="158" t="str">
        <f t="shared" si="23"/>
        <v>#DIV/0!</v>
      </c>
    </row>
    <row r="78" ht="15.75" customHeight="1">
      <c r="A78" s="146">
        <v>69.0</v>
      </c>
      <c r="B78" s="161" t="s">
        <v>189</v>
      </c>
      <c r="C78" s="162" t="s">
        <v>190</v>
      </c>
      <c r="D78" s="98">
        <f t="shared" si="8"/>
        <v>14</v>
      </c>
      <c r="E78" s="130">
        <f t="shared" si="9"/>
        <v>35</v>
      </c>
      <c r="F78" s="114">
        <f t="shared" si="10"/>
        <v>35</v>
      </c>
      <c r="G78" s="149" t="str">
        <f t="shared" si="11"/>
        <v>  </v>
      </c>
      <c r="H78" s="265"/>
      <c r="I78" s="265"/>
      <c r="J78" s="265"/>
      <c r="K78" s="265"/>
      <c r="L78" s="266"/>
      <c r="M78" s="139">
        <f t="shared" si="12"/>
        <v>0</v>
      </c>
      <c r="N78" s="140" t="str">
        <f t="shared" si="13"/>
        <v>#DIV/0!</v>
      </c>
      <c r="O78" s="116"/>
      <c r="P78" s="116"/>
      <c r="Q78" s="180"/>
      <c r="R78" s="179"/>
      <c r="S78" s="116"/>
      <c r="T78" s="116"/>
      <c r="U78" s="116"/>
      <c r="V78" s="179"/>
      <c r="W78" s="116"/>
      <c r="X78" s="138">
        <v>1.0</v>
      </c>
      <c r="Y78" s="179"/>
      <c r="Z78" s="185"/>
      <c r="AA78" s="217"/>
      <c r="AB78" s="116"/>
      <c r="AC78" s="179"/>
      <c r="AD78" s="116"/>
      <c r="AE78" s="176"/>
      <c r="AF78" s="182">
        <v>1.0</v>
      </c>
      <c r="AG78" s="176"/>
      <c r="AH78" s="176"/>
      <c r="AI78" s="182">
        <v>1.0</v>
      </c>
      <c r="AJ78" s="139">
        <f t="shared" si="14"/>
        <v>3</v>
      </c>
      <c r="AK78" s="205">
        <f t="shared" si="15"/>
        <v>27.27272727</v>
      </c>
      <c r="AL78" s="222"/>
      <c r="AM78" s="116"/>
      <c r="AN78" s="179"/>
      <c r="AO78" s="179"/>
      <c r="AP78" s="116"/>
      <c r="AQ78" s="116"/>
      <c r="AR78" s="116"/>
      <c r="AS78" s="191">
        <v>1.0</v>
      </c>
      <c r="AT78" s="138">
        <v>1.0</v>
      </c>
      <c r="AU78" s="138">
        <v>1.0</v>
      </c>
      <c r="AV78" s="116"/>
      <c r="AW78" s="179"/>
      <c r="AX78" s="116"/>
      <c r="AY78" s="138">
        <v>1.0</v>
      </c>
      <c r="AZ78" s="180"/>
      <c r="BA78" s="180"/>
      <c r="BB78" s="138">
        <v>1.0</v>
      </c>
      <c r="BC78" s="116"/>
      <c r="BD78" s="194"/>
      <c r="BE78" s="194"/>
      <c r="BF78" s="194"/>
      <c r="BG78" s="139">
        <f t="shared" si="16"/>
        <v>5</v>
      </c>
      <c r="BH78" s="208">
        <f t="shared" si="17"/>
        <v>35.71428571</v>
      </c>
      <c r="BI78" s="180"/>
      <c r="BJ78" s="180"/>
      <c r="BK78" s="180"/>
      <c r="BL78" s="138">
        <v>1.0</v>
      </c>
      <c r="BM78" s="116"/>
      <c r="BN78" s="116"/>
      <c r="BO78" s="138">
        <v>1.0</v>
      </c>
      <c r="BP78" s="116"/>
      <c r="BQ78" s="165"/>
      <c r="BR78" s="196">
        <v>1.0</v>
      </c>
      <c r="BS78" s="116"/>
      <c r="BT78" s="116"/>
      <c r="BU78" s="43"/>
      <c r="BV78" s="43"/>
      <c r="BW78" s="198"/>
      <c r="BX78" s="43"/>
      <c r="BY78" s="116"/>
      <c r="BZ78" s="165"/>
      <c r="CA78" s="165"/>
      <c r="CB78" s="165"/>
      <c r="CC78" s="165"/>
      <c r="CD78" s="165"/>
      <c r="CE78" s="124">
        <f t="shared" si="18"/>
        <v>3</v>
      </c>
      <c r="CF78" s="173">
        <f t="shared" si="19"/>
        <v>37.5</v>
      </c>
      <c r="CG78" s="138">
        <v>1.0</v>
      </c>
      <c r="CH78" s="138">
        <v>1.0</v>
      </c>
      <c r="CI78" s="138">
        <v>1.0</v>
      </c>
      <c r="CJ78" s="116"/>
      <c r="CK78" s="231"/>
      <c r="CL78" s="231"/>
      <c r="CM78" s="231"/>
      <c r="CN78" s="223"/>
      <c r="CO78" s="223"/>
      <c r="CP78" s="166"/>
      <c r="CQ78" s="213"/>
      <c r="CR78" s="213"/>
      <c r="CS78" s="213"/>
      <c r="CT78" s="213"/>
      <c r="CU78" s="213"/>
      <c r="CV78" s="213"/>
      <c r="CW78" s="128">
        <f t="shared" si="20"/>
        <v>3</v>
      </c>
      <c r="CX78" s="214">
        <f t="shared" si="21"/>
        <v>42.85714286</v>
      </c>
      <c r="CY78" s="171"/>
      <c r="CZ78" s="171"/>
      <c r="DA78" s="171"/>
      <c r="DB78" s="171"/>
      <c r="DC78" s="171"/>
      <c r="DD78" s="171"/>
      <c r="DE78" s="171"/>
      <c r="DF78" s="171"/>
      <c r="DG78" s="171"/>
      <c r="DH78" s="171"/>
      <c r="DI78" s="171"/>
      <c r="DJ78" s="171"/>
      <c r="DK78" s="128">
        <f t="shared" si="22"/>
        <v>0</v>
      </c>
      <c r="DL78" s="158" t="str">
        <f t="shared" si="23"/>
        <v>#DIV/0!</v>
      </c>
    </row>
    <row r="79" ht="15.75" customHeight="1">
      <c r="A79" s="50">
        <v>70.0</v>
      </c>
      <c r="B79" s="111" t="s">
        <v>191</v>
      </c>
      <c r="C79" s="112" t="s">
        <v>192</v>
      </c>
      <c r="D79" s="98">
        <f t="shared" si="8"/>
        <v>20</v>
      </c>
      <c r="E79" s="130">
        <f t="shared" si="9"/>
        <v>50</v>
      </c>
      <c r="F79" s="92" t="str">
        <f t="shared" si="10"/>
        <v>  </v>
      </c>
      <c r="G79" s="149" t="str">
        <f t="shared" si="11"/>
        <v>  </v>
      </c>
      <c r="H79" s="265"/>
      <c r="I79" s="265"/>
      <c r="J79" s="269"/>
      <c r="K79" s="265"/>
      <c r="L79" s="266"/>
      <c r="M79" s="139">
        <f t="shared" si="12"/>
        <v>0</v>
      </c>
      <c r="N79" s="140" t="str">
        <f t="shared" si="13"/>
        <v>#DIV/0!</v>
      </c>
      <c r="O79" s="116"/>
      <c r="P79" s="116"/>
      <c r="Q79" s="116"/>
      <c r="R79" s="179"/>
      <c r="S79" s="179"/>
      <c r="T79" s="116"/>
      <c r="U79" s="116"/>
      <c r="V79" s="179"/>
      <c r="W79" s="116"/>
      <c r="X79" s="138">
        <v>1.0</v>
      </c>
      <c r="Y79" s="184">
        <v>1.0</v>
      </c>
      <c r="Z79" s="185"/>
      <c r="AA79" s="217"/>
      <c r="AB79" s="138">
        <v>1.0</v>
      </c>
      <c r="AC79" s="184">
        <v>1.0</v>
      </c>
      <c r="AD79" s="116"/>
      <c r="AE79" s="116"/>
      <c r="AF79" s="182">
        <v>1.0</v>
      </c>
      <c r="AG79" s="182">
        <v>1.0</v>
      </c>
      <c r="AH79" s="116"/>
      <c r="AI79" s="138">
        <v>1.0</v>
      </c>
      <c r="AJ79" s="139">
        <f t="shared" si="14"/>
        <v>7</v>
      </c>
      <c r="AK79" s="205">
        <f t="shared" si="15"/>
        <v>63.63636364</v>
      </c>
      <c r="AL79" s="116"/>
      <c r="AM79" s="116"/>
      <c r="AN79" s="179"/>
      <c r="AO79" s="184">
        <v>1.0</v>
      </c>
      <c r="AP79" s="184">
        <v>1.0</v>
      </c>
      <c r="AQ79" s="138">
        <v>1.0</v>
      </c>
      <c r="AR79" s="116"/>
      <c r="AS79" s="166"/>
      <c r="AT79" s="138">
        <v>1.0</v>
      </c>
      <c r="AU79" s="116"/>
      <c r="AV79" s="116"/>
      <c r="AW79" s="179"/>
      <c r="AX79" s="138">
        <v>1.0</v>
      </c>
      <c r="AY79" s="138">
        <v>1.0</v>
      </c>
      <c r="AZ79" s="116"/>
      <c r="BA79" s="180"/>
      <c r="BB79" s="204"/>
      <c r="BC79" s="218">
        <v>1.0</v>
      </c>
      <c r="BD79" s="181"/>
      <c r="BE79" s="181"/>
      <c r="BF79" s="181"/>
      <c r="BG79" s="139">
        <f t="shared" si="16"/>
        <v>7</v>
      </c>
      <c r="BH79" s="208">
        <f t="shared" si="17"/>
        <v>50</v>
      </c>
      <c r="BI79" s="116"/>
      <c r="BJ79" s="116"/>
      <c r="BK79" s="180"/>
      <c r="BL79" s="138">
        <v>1.0</v>
      </c>
      <c r="BM79" s="116"/>
      <c r="BN79" s="138">
        <v>1.0</v>
      </c>
      <c r="BO79" s="138">
        <v>1.0</v>
      </c>
      <c r="BP79" s="116"/>
      <c r="BQ79" s="116"/>
      <c r="BR79" s="196">
        <v>1.0</v>
      </c>
      <c r="BS79" s="116"/>
      <c r="BT79" s="185"/>
      <c r="BV79" s="116"/>
      <c r="BW79" s="198"/>
      <c r="BX79" s="116"/>
      <c r="BY79" s="116"/>
      <c r="BZ79" s="165"/>
      <c r="CA79" s="116"/>
      <c r="CB79" s="116"/>
      <c r="CC79" s="165"/>
      <c r="CD79" s="165"/>
      <c r="CE79" s="124">
        <f t="shared" si="18"/>
        <v>4</v>
      </c>
      <c r="CF79" s="173">
        <f t="shared" si="19"/>
        <v>50</v>
      </c>
      <c r="CG79" s="138">
        <v>1.0</v>
      </c>
      <c r="CH79" s="138">
        <v>1.0</v>
      </c>
      <c r="CI79" s="116"/>
      <c r="CJ79" s="186"/>
      <c r="CK79" s="116"/>
      <c r="CL79" s="116"/>
      <c r="CM79" s="116"/>
      <c r="CN79" s="223"/>
      <c r="CO79" s="116"/>
      <c r="CP79" s="166"/>
      <c r="CQ79" s="213"/>
      <c r="CR79" s="213"/>
      <c r="CS79" s="213"/>
      <c r="CT79" s="116"/>
      <c r="CU79" s="116"/>
      <c r="CV79" s="213"/>
      <c r="CW79" s="128">
        <f t="shared" si="20"/>
        <v>2</v>
      </c>
      <c r="CX79" s="214">
        <f t="shared" si="21"/>
        <v>28.57142857</v>
      </c>
      <c r="CY79" s="171"/>
      <c r="CZ79" s="171"/>
      <c r="DA79" s="171"/>
      <c r="DB79" s="171"/>
      <c r="DC79" s="171"/>
      <c r="DD79" s="171"/>
      <c r="DE79" s="171"/>
      <c r="DF79" s="171"/>
      <c r="DG79" s="171"/>
      <c r="DH79" s="171"/>
      <c r="DI79" s="171"/>
      <c r="DJ79" s="171"/>
      <c r="DK79" s="128">
        <f t="shared" si="22"/>
        <v>0</v>
      </c>
      <c r="DL79" s="158" t="str">
        <f t="shared" si="23"/>
        <v>#DIV/0!</v>
      </c>
    </row>
    <row r="80" ht="15.75" customHeight="1">
      <c r="A80" s="131">
        <v>71.0</v>
      </c>
      <c r="B80" s="111" t="s">
        <v>193</v>
      </c>
      <c r="C80" s="112" t="s">
        <v>194</v>
      </c>
      <c r="D80" s="98">
        <f t="shared" si="8"/>
        <v>24</v>
      </c>
      <c r="E80" s="130">
        <f t="shared" si="9"/>
        <v>60</v>
      </c>
      <c r="F80" s="114" t="str">
        <f t="shared" si="10"/>
        <v>  </v>
      </c>
      <c r="G80" s="149" t="str">
        <f t="shared" si="11"/>
        <v>  </v>
      </c>
      <c r="H80" s="265"/>
      <c r="I80" s="265"/>
      <c r="J80" s="265"/>
      <c r="K80" s="265"/>
      <c r="L80" s="266"/>
      <c r="M80" s="139">
        <f t="shared" si="12"/>
        <v>0</v>
      </c>
      <c r="N80" s="140" t="str">
        <f t="shared" si="13"/>
        <v>#DIV/0!</v>
      </c>
      <c r="O80" s="116"/>
      <c r="P80" s="116"/>
      <c r="Q80" s="116"/>
      <c r="R80" s="179"/>
      <c r="S80" s="179"/>
      <c r="T80" s="116"/>
      <c r="U80" s="116"/>
      <c r="V80" s="179"/>
      <c r="W80" s="116"/>
      <c r="X80" s="116"/>
      <c r="Y80" s="179"/>
      <c r="Z80" s="185"/>
      <c r="AA80" s="217"/>
      <c r="AB80" s="116"/>
      <c r="AC80" s="179"/>
      <c r="AD80" s="176"/>
      <c r="AE80" s="116"/>
      <c r="AF80" s="176"/>
      <c r="AG80" s="182">
        <v>1.0</v>
      </c>
      <c r="AH80" s="138">
        <v>1.0</v>
      </c>
      <c r="AI80" s="116"/>
      <c r="AJ80" s="139">
        <f t="shared" si="14"/>
        <v>2</v>
      </c>
      <c r="AK80" s="205">
        <f t="shared" si="15"/>
        <v>18.18181818</v>
      </c>
      <c r="AL80" s="138">
        <v>1.0</v>
      </c>
      <c r="AM80" s="116"/>
      <c r="AN80" s="179"/>
      <c r="AO80" s="179"/>
      <c r="AP80" s="184">
        <v>1.0</v>
      </c>
      <c r="AQ80" s="138">
        <v>1.0</v>
      </c>
      <c r="AR80" s="116"/>
      <c r="AS80" s="191">
        <v>1.0</v>
      </c>
      <c r="AT80" s="138">
        <v>1.0</v>
      </c>
      <c r="AU80" s="138">
        <v>1.0</v>
      </c>
      <c r="AV80" s="116"/>
      <c r="AW80" s="179"/>
      <c r="AX80" s="138">
        <v>1.0</v>
      </c>
      <c r="AY80" s="138">
        <v>1.0</v>
      </c>
      <c r="AZ80" s="116"/>
      <c r="BA80" s="180"/>
      <c r="BB80" s="218">
        <v>1.0</v>
      </c>
      <c r="BC80" s="218">
        <v>1.0</v>
      </c>
      <c r="BD80" s="219">
        <v>1.0</v>
      </c>
      <c r="BE80" s="181"/>
      <c r="BF80" s="219">
        <v>1.0</v>
      </c>
      <c r="BG80" s="139">
        <f t="shared" si="16"/>
        <v>11</v>
      </c>
      <c r="BH80" s="208">
        <f t="shared" si="17"/>
        <v>78.57142857</v>
      </c>
      <c r="BI80" s="138">
        <v>1.0</v>
      </c>
      <c r="BJ80" s="138">
        <v>1.0</v>
      </c>
      <c r="BK80" s="180"/>
      <c r="BL80" s="138">
        <v>1.0</v>
      </c>
      <c r="BM80" s="116"/>
      <c r="BN80" s="138">
        <v>1.0</v>
      </c>
      <c r="BO80" s="138">
        <v>1.0</v>
      </c>
      <c r="BP80" s="138">
        <v>1.0</v>
      </c>
      <c r="BQ80" s="138">
        <v>1.0</v>
      </c>
      <c r="BR80" s="196">
        <v>1.0</v>
      </c>
      <c r="BS80" s="116"/>
      <c r="BT80" s="116"/>
      <c r="BV80" s="116"/>
      <c r="BW80" s="198"/>
      <c r="BX80" s="116"/>
      <c r="BY80" s="116"/>
      <c r="BZ80" s="165"/>
      <c r="CA80" s="116"/>
      <c r="CB80" s="116"/>
      <c r="CC80" s="165"/>
      <c r="CD80" s="165"/>
      <c r="CE80" s="124">
        <f t="shared" si="18"/>
        <v>8</v>
      </c>
      <c r="CF80" s="173">
        <f t="shared" si="19"/>
        <v>100</v>
      </c>
      <c r="CG80" s="138">
        <v>1.0</v>
      </c>
      <c r="CH80" s="138">
        <v>1.0</v>
      </c>
      <c r="CI80" s="116"/>
      <c r="CJ80" s="200">
        <v>1.0</v>
      </c>
      <c r="CK80" s="116"/>
      <c r="CL80" s="116"/>
      <c r="CM80" s="116"/>
      <c r="CN80" s="116"/>
      <c r="CO80" s="116"/>
      <c r="CP80" s="166"/>
      <c r="CQ80" s="213"/>
      <c r="CR80" s="213"/>
      <c r="CS80" s="116"/>
      <c r="CT80" s="116"/>
      <c r="CU80" s="116"/>
      <c r="CV80" s="213"/>
      <c r="CW80" s="128">
        <f t="shared" si="20"/>
        <v>3</v>
      </c>
      <c r="CX80" s="214">
        <f t="shared" si="21"/>
        <v>42.85714286</v>
      </c>
      <c r="CY80" s="171"/>
      <c r="CZ80" s="171"/>
      <c r="DA80" s="171"/>
      <c r="DB80" s="171"/>
      <c r="DC80" s="171"/>
      <c r="DD80" s="171"/>
      <c r="DE80" s="171"/>
      <c r="DF80" s="171"/>
      <c r="DG80" s="171"/>
      <c r="DH80" s="171"/>
      <c r="DI80" s="171"/>
      <c r="DJ80" s="171"/>
      <c r="DK80" s="128">
        <f t="shared" si="22"/>
        <v>0</v>
      </c>
      <c r="DL80" s="158" t="str">
        <f t="shared" si="23"/>
        <v>#DIV/0!</v>
      </c>
    </row>
    <row r="81" ht="15.75" customHeight="1">
      <c r="A81" s="146">
        <v>72.0</v>
      </c>
      <c r="B81" s="111" t="s">
        <v>195</v>
      </c>
      <c r="C81" s="112" t="s">
        <v>196</v>
      </c>
      <c r="D81" s="98">
        <f t="shared" si="8"/>
        <v>10</v>
      </c>
      <c r="E81" s="130">
        <f t="shared" si="9"/>
        <v>25</v>
      </c>
      <c r="F81" s="114">
        <f t="shared" si="10"/>
        <v>25</v>
      </c>
      <c r="G81" s="226">
        <f t="shared" si="11"/>
        <v>25</v>
      </c>
      <c r="H81" s="265"/>
      <c r="I81" s="265"/>
      <c r="J81" s="270"/>
      <c r="K81" s="265"/>
      <c r="L81" s="266"/>
      <c r="M81" s="139">
        <f t="shared" si="12"/>
        <v>0</v>
      </c>
      <c r="N81" s="140" t="str">
        <f t="shared" si="13"/>
        <v>#DIV/0!</v>
      </c>
      <c r="O81" s="116"/>
      <c r="P81" s="116"/>
      <c r="Q81" s="180"/>
      <c r="R81" s="179"/>
      <c r="S81" s="116"/>
      <c r="T81" s="116"/>
      <c r="U81" s="116"/>
      <c r="V81" s="179"/>
      <c r="W81" s="116"/>
      <c r="X81" s="116"/>
      <c r="Y81" s="179"/>
      <c r="Z81" s="185"/>
      <c r="AA81" s="217"/>
      <c r="AB81" s="116"/>
      <c r="AC81" s="179"/>
      <c r="AD81" s="116"/>
      <c r="AE81" s="138">
        <v>1.0</v>
      </c>
      <c r="AF81" s="176"/>
      <c r="AG81" s="176"/>
      <c r="AH81" s="116"/>
      <c r="AI81" s="176"/>
      <c r="AJ81" s="139">
        <f t="shared" si="14"/>
        <v>1</v>
      </c>
      <c r="AK81" s="205">
        <f t="shared" si="15"/>
        <v>9.090909091</v>
      </c>
      <c r="AL81" s="116"/>
      <c r="AM81" s="116"/>
      <c r="AN81" s="179"/>
      <c r="AO81" s="179"/>
      <c r="AP81" s="184">
        <v>1.0</v>
      </c>
      <c r="AQ81" s="138">
        <v>1.0</v>
      </c>
      <c r="AR81" s="116"/>
      <c r="AS81" s="191">
        <v>1.0</v>
      </c>
      <c r="AT81" s="138">
        <v>1.0</v>
      </c>
      <c r="AU81" s="116"/>
      <c r="AV81" s="138">
        <v>1.0</v>
      </c>
      <c r="AW81" s="179"/>
      <c r="AX81" s="138">
        <v>1.0</v>
      </c>
      <c r="AY81" s="138">
        <v>1.0</v>
      </c>
      <c r="AZ81" s="180"/>
      <c r="BA81" s="180"/>
      <c r="BB81" s="116"/>
      <c r="BC81" s="204"/>
      <c r="BD81" s="181"/>
      <c r="BE81" s="181"/>
      <c r="BF81" s="181"/>
      <c r="BG81" s="139">
        <f t="shared" si="16"/>
        <v>7</v>
      </c>
      <c r="BH81" s="208">
        <f t="shared" si="17"/>
        <v>50</v>
      </c>
      <c r="BI81" s="116"/>
      <c r="BJ81" s="116"/>
      <c r="BK81" s="180"/>
      <c r="BL81" s="116"/>
      <c r="BM81" s="116"/>
      <c r="BN81" s="116"/>
      <c r="BO81" s="138">
        <v>1.0</v>
      </c>
      <c r="BP81" s="138">
        <v>1.0</v>
      </c>
      <c r="BQ81" s="196"/>
      <c r="BR81" s="165"/>
      <c r="BS81" s="116"/>
      <c r="BT81" s="185"/>
      <c r="BU81" s="43"/>
      <c r="BV81" s="43"/>
      <c r="BW81" s="198"/>
      <c r="BX81" s="43"/>
      <c r="BY81" s="116"/>
      <c r="BZ81" s="165"/>
      <c r="CA81" s="165"/>
      <c r="CB81" s="165"/>
      <c r="CC81" s="165"/>
      <c r="CD81" s="165"/>
      <c r="CE81" s="124">
        <f t="shared" si="18"/>
        <v>2</v>
      </c>
      <c r="CF81" s="173">
        <f t="shared" si="19"/>
        <v>25</v>
      </c>
      <c r="CG81" s="179"/>
      <c r="CH81" s="179"/>
      <c r="CI81" s="238"/>
      <c r="CJ81" s="186"/>
      <c r="CK81" s="116"/>
      <c r="CL81" s="116"/>
      <c r="CM81" s="116"/>
      <c r="CN81" s="223"/>
      <c r="CO81" s="223"/>
      <c r="CP81" s="166"/>
      <c r="CQ81" s="213"/>
      <c r="CR81" s="213"/>
      <c r="CS81" s="213"/>
      <c r="CT81" s="213"/>
      <c r="CU81" s="213"/>
      <c r="CV81" s="213"/>
      <c r="CW81" s="128">
        <f t="shared" si="20"/>
        <v>0</v>
      </c>
      <c r="CX81" s="214">
        <f t="shared" si="21"/>
        <v>0</v>
      </c>
      <c r="CY81" s="171"/>
      <c r="CZ81" s="171"/>
      <c r="DA81" s="171"/>
      <c r="DB81" s="171"/>
      <c r="DC81" s="171"/>
      <c r="DD81" s="171"/>
      <c r="DE81" s="171"/>
      <c r="DF81" s="171"/>
      <c r="DG81" s="171"/>
      <c r="DH81" s="171"/>
      <c r="DI81" s="171"/>
      <c r="DJ81" s="171"/>
      <c r="DK81" s="128">
        <f t="shared" si="22"/>
        <v>0</v>
      </c>
      <c r="DL81" s="158" t="str">
        <f t="shared" si="23"/>
        <v>#DIV/0!</v>
      </c>
    </row>
    <row r="82" ht="15.75" customHeight="1">
      <c r="A82" s="50">
        <v>73.0</v>
      </c>
      <c r="B82" s="111" t="s">
        <v>197</v>
      </c>
      <c r="C82" s="112" t="s">
        <v>198</v>
      </c>
      <c r="D82" s="98">
        <f t="shared" si="8"/>
        <v>8</v>
      </c>
      <c r="E82" s="130">
        <f t="shared" si="9"/>
        <v>20</v>
      </c>
      <c r="F82" s="114">
        <f t="shared" si="10"/>
        <v>20</v>
      </c>
      <c r="G82" s="226">
        <f t="shared" si="11"/>
        <v>20</v>
      </c>
      <c r="H82" s="265"/>
      <c r="I82" s="265"/>
      <c r="J82" s="265"/>
      <c r="K82" s="267"/>
      <c r="L82" s="268"/>
      <c r="M82" s="139">
        <f t="shared" si="12"/>
        <v>0</v>
      </c>
      <c r="N82" s="140" t="str">
        <f t="shared" si="13"/>
        <v>#DIV/0!</v>
      </c>
      <c r="O82" s="116"/>
      <c r="P82" s="116"/>
      <c r="Q82" s="116"/>
      <c r="R82" s="179"/>
      <c r="S82" s="179"/>
      <c r="T82" s="116"/>
      <c r="U82" s="116"/>
      <c r="V82" s="179"/>
      <c r="W82" s="116"/>
      <c r="X82" s="116"/>
      <c r="Y82" s="184">
        <v>1.0</v>
      </c>
      <c r="Z82" s="185"/>
      <c r="AA82" s="217"/>
      <c r="AB82" s="138">
        <v>1.0</v>
      </c>
      <c r="AC82" s="179"/>
      <c r="AD82" s="176"/>
      <c r="AE82" s="116"/>
      <c r="AF82" s="176"/>
      <c r="AG82" s="176"/>
      <c r="AH82" s="176"/>
      <c r="AI82" s="116"/>
      <c r="AJ82" s="139">
        <f t="shared" si="14"/>
        <v>2</v>
      </c>
      <c r="AK82" s="205">
        <f t="shared" si="15"/>
        <v>18.18181818</v>
      </c>
      <c r="AL82" s="116"/>
      <c r="AM82" s="116"/>
      <c r="AN82" s="179"/>
      <c r="AO82" s="179"/>
      <c r="AP82" s="179"/>
      <c r="AQ82" s="116"/>
      <c r="AR82" s="116"/>
      <c r="AS82" s="166"/>
      <c r="AT82" s="116"/>
      <c r="AU82" s="138">
        <v>1.0</v>
      </c>
      <c r="AV82" s="116"/>
      <c r="AW82" s="179"/>
      <c r="AX82" s="116"/>
      <c r="AY82" s="116"/>
      <c r="AZ82" s="180"/>
      <c r="BA82" s="180"/>
      <c r="BB82" s="204"/>
      <c r="BC82" s="204"/>
      <c r="BD82" s="181"/>
      <c r="BE82" s="181"/>
      <c r="BF82" s="181"/>
      <c r="BG82" s="139">
        <f t="shared" si="16"/>
        <v>1</v>
      </c>
      <c r="BH82" s="208">
        <f t="shared" si="17"/>
        <v>7.142857143</v>
      </c>
      <c r="BI82" s="180"/>
      <c r="BJ82" s="180"/>
      <c r="BK82" s="180"/>
      <c r="BL82" s="116"/>
      <c r="BM82" s="116"/>
      <c r="BN82" s="116"/>
      <c r="BO82" s="138">
        <v>1.0</v>
      </c>
      <c r="BP82" s="116"/>
      <c r="BQ82" s="116"/>
      <c r="BR82" s="196">
        <v>1.0</v>
      </c>
      <c r="BS82" s="165"/>
      <c r="BT82" s="116"/>
      <c r="BU82" s="43"/>
      <c r="BV82" s="43"/>
      <c r="BW82" s="198"/>
      <c r="BX82" s="116"/>
      <c r="BY82" s="116"/>
      <c r="BZ82" s="165"/>
      <c r="CA82" s="116"/>
      <c r="CB82" s="116"/>
      <c r="CC82" s="165"/>
      <c r="CD82" s="165"/>
      <c r="CE82" s="124">
        <f t="shared" si="18"/>
        <v>2</v>
      </c>
      <c r="CF82" s="173">
        <f t="shared" si="19"/>
        <v>25</v>
      </c>
      <c r="CG82" s="184">
        <v>1.0</v>
      </c>
      <c r="CH82" s="184">
        <v>1.0</v>
      </c>
      <c r="CI82" s="138">
        <v>1.0</v>
      </c>
      <c r="CJ82" s="186"/>
      <c r="CK82" s="116"/>
      <c r="CL82" s="116"/>
      <c r="CM82" s="116"/>
      <c r="CN82" s="223"/>
      <c r="CO82" s="116"/>
      <c r="CP82" s="166"/>
      <c r="CQ82" s="213"/>
      <c r="CR82" s="213"/>
      <c r="CS82" s="116"/>
      <c r="CT82" s="213"/>
      <c r="CU82" s="213"/>
      <c r="CV82" s="213"/>
      <c r="CW82" s="128">
        <f t="shared" si="20"/>
        <v>3</v>
      </c>
      <c r="CX82" s="214">
        <f t="shared" si="21"/>
        <v>42.85714286</v>
      </c>
      <c r="CY82" s="171"/>
      <c r="CZ82" s="171"/>
      <c r="DA82" s="171"/>
      <c r="DB82" s="171"/>
      <c r="DC82" s="171"/>
      <c r="DD82" s="171"/>
      <c r="DE82" s="171"/>
      <c r="DF82" s="171"/>
      <c r="DG82" s="171"/>
      <c r="DH82" s="171"/>
      <c r="DI82" s="171"/>
      <c r="DJ82" s="171"/>
      <c r="DK82" s="128">
        <f t="shared" si="22"/>
        <v>0</v>
      </c>
      <c r="DL82" s="158" t="str">
        <f t="shared" si="23"/>
        <v>#DIV/0!</v>
      </c>
    </row>
    <row r="83" ht="15.75" customHeight="1">
      <c r="A83" s="131">
        <v>74.0</v>
      </c>
      <c r="B83" s="111" t="s">
        <v>199</v>
      </c>
      <c r="C83" s="112" t="s">
        <v>200</v>
      </c>
      <c r="D83" s="98">
        <f t="shared" si="8"/>
        <v>13</v>
      </c>
      <c r="E83" s="130">
        <f t="shared" si="9"/>
        <v>32.5</v>
      </c>
      <c r="F83" s="114">
        <f t="shared" si="10"/>
        <v>32.5</v>
      </c>
      <c r="G83" s="149" t="str">
        <f t="shared" si="11"/>
        <v>  </v>
      </c>
      <c r="H83" s="265"/>
      <c r="I83" s="265"/>
      <c r="J83" s="267"/>
      <c r="K83" s="267"/>
      <c r="L83" s="268"/>
      <c r="M83" s="139">
        <f t="shared" si="12"/>
        <v>0</v>
      </c>
      <c r="N83" s="140" t="str">
        <f t="shared" si="13"/>
        <v>#DIV/0!</v>
      </c>
      <c r="O83" s="116"/>
      <c r="P83" s="116"/>
      <c r="Q83" s="116"/>
      <c r="R83" s="179"/>
      <c r="S83" s="179"/>
      <c r="T83" s="116"/>
      <c r="U83" s="116"/>
      <c r="V83" s="179"/>
      <c r="W83" s="116"/>
      <c r="X83" s="116"/>
      <c r="Y83" s="179"/>
      <c r="Z83" s="185"/>
      <c r="AA83" s="217"/>
      <c r="AB83" s="138">
        <v>1.0</v>
      </c>
      <c r="AC83" s="184">
        <v>1.0</v>
      </c>
      <c r="AD83" s="182">
        <v>1.0</v>
      </c>
      <c r="AE83" s="138">
        <v>1.0</v>
      </c>
      <c r="AF83" s="182">
        <v>1.0</v>
      </c>
      <c r="AG83" s="176"/>
      <c r="AH83" s="176"/>
      <c r="AI83" s="176"/>
      <c r="AJ83" s="139">
        <f t="shared" si="14"/>
        <v>5</v>
      </c>
      <c r="AK83" s="205">
        <f t="shared" si="15"/>
        <v>45.45454545</v>
      </c>
      <c r="AL83" s="116"/>
      <c r="AM83" s="116"/>
      <c r="AN83" s="179"/>
      <c r="AO83" s="179"/>
      <c r="AP83" s="184"/>
      <c r="AQ83" s="116"/>
      <c r="AR83" s="116"/>
      <c r="AS83" s="191">
        <v>1.0</v>
      </c>
      <c r="AT83" s="116"/>
      <c r="AU83" s="116"/>
      <c r="AV83" s="116"/>
      <c r="AW83" s="179"/>
      <c r="AX83" s="116"/>
      <c r="AY83" s="116"/>
      <c r="AZ83" s="180"/>
      <c r="BA83" s="180"/>
      <c r="BB83" s="204"/>
      <c r="BC83" s="218">
        <v>1.0</v>
      </c>
      <c r="BD83" s="181"/>
      <c r="BE83" s="181"/>
      <c r="BF83" s="181"/>
      <c r="BG83" s="139">
        <f t="shared" si="16"/>
        <v>2</v>
      </c>
      <c r="BH83" s="208">
        <f t="shared" si="17"/>
        <v>14.28571429</v>
      </c>
      <c r="BI83" s="138">
        <v>1.0</v>
      </c>
      <c r="BJ83" s="138">
        <v>1.0</v>
      </c>
      <c r="BK83" s="180"/>
      <c r="BL83" s="116"/>
      <c r="BM83" s="116"/>
      <c r="BN83" s="116"/>
      <c r="BO83" s="138">
        <v>1.0</v>
      </c>
      <c r="BP83" s="116"/>
      <c r="BQ83" s="116"/>
      <c r="BR83" s="196">
        <v>1.0</v>
      </c>
      <c r="BS83" s="165"/>
      <c r="BT83" s="116"/>
      <c r="BU83" s="43"/>
      <c r="BV83" s="43"/>
      <c r="BW83" s="198"/>
      <c r="BX83" s="116"/>
      <c r="BY83" s="116"/>
      <c r="BZ83" s="165"/>
      <c r="CA83" s="116"/>
      <c r="CB83" s="116"/>
      <c r="CC83" s="165"/>
      <c r="CD83" s="165"/>
      <c r="CE83" s="124">
        <f t="shared" si="18"/>
        <v>4</v>
      </c>
      <c r="CF83" s="173">
        <f t="shared" si="19"/>
        <v>50</v>
      </c>
      <c r="CG83" s="184">
        <v>1.0</v>
      </c>
      <c r="CH83" s="184">
        <v>1.0</v>
      </c>
      <c r="CI83" s="116"/>
      <c r="CJ83" s="116"/>
      <c r="CK83" s="231"/>
      <c r="CL83" s="231"/>
      <c r="CM83" s="231"/>
      <c r="CN83" s="223"/>
      <c r="CO83" s="223"/>
      <c r="CP83" s="166"/>
      <c r="CQ83" s="213"/>
      <c r="CR83" s="213"/>
      <c r="CS83" s="213"/>
      <c r="CT83" s="213"/>
      <c r="CU83" s="213"/>
      <c r="CV83" s="213"/>
      <c r="CW83" s="128">
        <f t="shared" si="20"/>
        <v>2</v>
      </c>
      <c r="CX83" s="214">
        <f t="shared" si="21"/>
        <v>28.57142857</v>
      </c>
      <c r="CY83" s="171"/>
      <c r="CZ83" s="171"/>
      <c r="DA83" s="171"/>
      <c r="DB83" s="171"/>
      <c r="DC83" s="171"/>
      <c r="DD83" s="171"/>
      <c r="DE83" s="171"/>
      <c r="DF83" s="171"/>
      <c r="DG83" s="171"/>
      <c r="DH83" s="171"/>
      <c r="DI83" s="171"/>
      <c r="DJ83" s="171"/>
      <c r="DK83" s="128">
        <f t="shared" si="22"/>
        <v>0</v>
      </c>
      <c r="DL83" s="158" t="str">
        <f t="shared" si="23"/>
        <v>#DIV/0!</v>
      </c>
    </row>
    <row r="84" ht="15.75" customHeight="1">
      <c r="A84" s="146">
        <v>75.0</v>
      </c>
      <c r="B84" s="111" t="s">
        <v>201</v>
      </c>
      <c r="C84" s="112" t="s">
        <v>202</v>
      </c>
      <c r="D84" s="98">
        <f t="shared" si="8"/>
        <v>12</v>
      </c>
      <c r="E84" s="130">
        <f t="shared" si="9"/>
        <v>30</v>
      </c>
      <c r="F84" s="114">
        <f t="shared" si="10"/>
        <v>30</v>
      </c>
      <c r="G84" s="226" t="str">
        <f t="shared" si="11"/>
        <v>  </v>
      </c>
      <c r="H84" s="265"/>
      <c r="I84" s="265"/>
      <c r="J84" s="265"/>
      <c r="K84" s="265"/>
      <c r="L84" s="266"/>
      <c r="M84" s="139">
        <f t="shared" si="12"/>
        <v>0</v>
      </c>
      <c r="N84" s="140" t="str">
        <f t="shared" si="13"/>
        <v>#DIV/0!</v>
      </c>
      <c r="O84" s="116"/>
      <c r="P84" s="116"/>
      <c r="Q84" s="116"/>
      <c r="R84" s="163"/>
      <c r="S84" s="163"/>
      <c r="T84" s="116"/>
      <c r="U84" s="116"/>
      <c r="V84" s="163"/>
      <c r="W84" s="116"/>
      <c r="X84" s="116"/>
      <c r="Y84" s="262">
        <v>1.0</v>
      </c>
      <c r="Z84" s="185"/>
      <c r="AA84" s="217"/>
      <c r="AB84" s="138">
        <v>1.0</v>
      </c>
      <c r="AC84" s="163"/>
      <c r="AD84" s="163"/>
      <c r="AE84" s="116"/>
      <c r="AF84" s="262">
        <v>1.0</v>
      </c>
      <c r="AG84" s="163"/>
      <c r="AH84" s="163"/>
      <c r="AI84" s="163"/>
      <c r="AJ84" s="139">
        <f t="shared" si="14"/>
        <v>3</v>
      </c>
      <c r="AK84" s="119">
        <f t="shared" si="15"/>
        <v>27.27272727</v>
      </c>
      <c r="AL84" s="163"/>
      <c r="AM84" s="163"/>
      <c r="AN84" s="179"/>
      <c r="AO84" s="179"/>
      <c r="AP84" s="138"/>
      <c r="AQ84" s="116"/>
      <c r="AR84" s="116"/>
      <c r="AS84" s="191">
        <v>1.0</v>
      </c>
      <c r="AT84" s="116"/>
      <c r="AU84" s="138">
        <v>1.0</v>
      </c>
      <c r="AV84" s="138">
        <v>1.0</v>
      </c>
      <c r="AW84" s="163"/>
      <c r="AX84" s="116"/>
      <c r="AY84" s="116"/>
      <c r="AZ84" s="180"/>
      <c r="BA84" s="180"/>
      <c r="BB84" s="116"/>
      <c r="BC84" s="215">
        <v>1.0</v>
      </c>
      <c r="BD84" s="181"/>
      <c r="BE84" s="181"/>
      <c r="BF84" s="181"/>
      <c r="BG84" s="139">
        <f t="shared" si="16"/>
        <v>4</v>
      </c>
      <c r="BH84" s="272">
        <f t="shared" si="17"/>
        <v>28.57142857</v>
      </c>
      <c r="BI84" s="215">
        <v>1.0</v>
      </c>
      <c r="BJ84" s="215">
        <v>1.0</v>
      </c>
      <c r="BK84" s="180"/>
      <c r="BL84" s="116"/>
      <c r="BM84" s="116"/>
      <c r="BN84" s="116"/>
      <c r="BO84" s="138">
        <v>1.0</v>
      </c>
      <c r="BP84" s="116"/>
      <c r="BQ84" s="116"/>
      <c r="BR84" s="116"/>
      <c r="BS84" s="165"/>
      <c r="BT84" s="116"/>
      <c r="BV84" s="116"/>
      <c r="BW84" s="171"/>
      <c r="BX84" s="116"/>
      <c r="BY84" s="116"/>
      <c r="BZ84" s="116"/>
      <c r="CA84" s="116"/>
      <c r="CB84" s="116"/>
      <c r="CC84" s="116"/>
      <c r="CD84" s="116"/>
      <c r="CE84" s="124">
        <f t="shared" si="18"/>
        <v>3</v>
      </c>
      <c r="CF84" s="44">
        <f t="shared" si="19"/>
        <v>37.5</v>
      </c>
      <c r="CG84" s="138">
        <v>1.0</v>
      </c>
      <c r="CH84" s="138">
        <v>1.0</v>
      </c>
      <c r="CI84" s="116"/>
      <c r="CJ84" s="163"/>
      <c r="CK84" s="163"/>
      <c r="CL84" s="163"/>
      <c r="CM84" s="163"/>
      <c r="CN84" s="163"/>
      <c r="CO84" s="163"/>
      <c r="CP84" s="166"/>
      <c r="CQ84" s="166"/>
      <c r="CR84" s="166"/>
      <c r="CS84" s="166"/>
      <c r="CT84" s="116"/>
      <c r="CU84" s="166"/>
      <c r="CV84" s="166"/>
      <c r="CW84" s="128">
        <f t="shared" si="20"/>
        <v>2</v>
      </c>
      <c r="CX84" s="214">
        <f t="shared" si="21"/>
        <v>28.57142857</v>
      </c>
      <c r="CY84" s="171"/>
      <c r="CZ84" s="171"/>
      <c r="DA84" s="171"/>
      <c r="DB84" s="171"/>
      <c r="DC84" s="171"/>
      <c r="DD84" s="171"/>
      <c r="DE84" s="171"/>
      <c r="DF84" s="171"/>
      <c r="DG84" s="171"/>
      <c r="DH84" s="171"/>
      <c r="DI84" s="171"/>
      <c r="DJ84" s="171"/>
      <c r="DK84" s="128">
        <f t="shared" si="22"/>
        <v>0</v>
      </c>
      <c r="DL84" s="158" t="str">
        <f t="shared" si="23"/>
        <v>#DIV/0!</v>
      </c>
    </row>
    <row r="85" ht="15.75" customHeight="1">
      <c r="A85" s="50">
        <v>76.0</v>
      </c>
      <c r="B85" s="111" t="s">
        <v>203</v>
      </c>
      <c r="C85" s="112" t="s">
        <v>204</v>
      </c>
      <c r="D85" s="98">
        <f t="shared" si="8"/>
        <v>14</v>
      </c>
      <c r="E85" s="130">
        <f t="shared" si="9"/>
        <v>35</v>
      </c>
      <c r="F85" s="114">
        <f t="shared" si="10"/>
        <v>35</v>
      </c>
      <c r="G85" s="149" t="str">
        <f t="shared" si="11"/>
        <v>  </v>
      </c>
      <c r="H85" s="265"/>
      <c r="I85" s="265"/>
      <c r="J85" s="269"/>
      <c r="K85" s="265"/>
      <c r="L85" s="266"/>
      <c r="M85" s="139">
        <f t="shared" si="12"/>
        <v>0</v>
      </c>
      <c r="N85" s="140" t="str">
        <f t="shared" si="13"/>
        <v>#DIV/0!</v>
      </c>
      <c r="O85" s="116"/>
      <c r="P85" s="116"/>
      <c r="Q85" s="116"/>
      <c r="R85" s="163"/>
      <c r="S85" s="163"/>
      <c r="T85" s="116"/>
      <c r="U85" s="116"/>
      <c r="V85" s="163"/>
      <c r="W85" s="116"/>
      <c r="X85" s="116"/>
      <c r="Y85" s="262">
        <v>1.0</v>
      </c>
      <c r="Z85" s="185"/>
      <c r="AA85" s="217"/>
      <c r="AB85" s="138">
        <v>1.0</v>
      </c>
      <c r="AC85" s="262">
        <v>1.0</v>
      </c>
      <c r="AD85" s="262">
        <v>1.0</v>
      </c>
      <c r="AE85" s="116"/>
      <c r="AF85" s="262">
        <v>1.0</v>
      </c>
      <c r="AG85" s="163"/>
      <c r="AH85" s="163"/>
      <c r="AI85" s="116"/>
      <c r="AJ85" s="139">
        <f t="shared" si="14"/>
        <v>5</v>
      </c>
      <c r="AK85" s="119">
        <f t="shared" si="15"/>
        <v>45.45454545</v>
      </c>
      <c r="AL85" s="116"/>
      <c r="AM85" s="116"/>
      <c r="AN85" s="179"/>
      <c r="AO85" s="179"/>
      <c r="AP85" s="184"/>
      <c r="AQ85" s="116"/>
      <c r="AR85" s="116"/>
      <c r="AS85" s="191">
        <v>1.0</v>
      </c>
      <c r="AT85" s="138"/>
      <c r="AU85" s="116"/>
      <c r="AV85" s="116"/>
      <c r="AW85" s="163"/>
      <c r="AX85" s="116"/>
      <c r="AY85" s="116"/>
      <c r="AZ85" s="180"/>
      <c r="BA85" s="180"/>
      <c r="BB85" s="116"/>
      <c r="BC85" s="215">
        <v>1.0</v>
      </c>
      <c r="BD85" s="181"/>
      <c r="BE85" s="181"/>
      <c r="BF85" s="181"/>
      <c r="BG85" s="139">
        <f t="shared" si="16"/>
        <v>2</v>
      </c>
      <c r="BH85" s="272">
        <f t="shared" si="17"/>
        <v>14.28571429</v>
      </c>
      <c r="BI85" s="138">
        <v>1.0</v>
      </c>
      <c r="BJ85" s="138">
        <v>1.0</v>
      </c>
      <c r="BK85" s="180"/>
      <c r="BL85" s="116"/>
      <c r="BM85" s="116"/>
      <c r="BN85" s="116"/>
      <c r="BO85" s="138">
        <v>1.0</v>
      </c>
      <c r="BP85" s="116"/>
      <c r="BQ85" s="116"/>
      <c r="BR85" s="138">
        <v>1.0</v>
      </c>
      <c r="BS85" s="165"/>
      <c r="BT85" s="116"/>
      <c r="BU85" s="43"/>
      <c r="BV85" s="43"/>
      <c r="BW85" s="171"/>
      <c r="BX85" s="116"/>
      <c r="BY85" s="116"/>
      <c r="BZ85" s="116"/>
      <c r="CA85" s="116"/>
      <c r="CB85" s="116"/>
      <c r="CC85" s="116"/>
      <c r="CD85" s="116"/>
      <c r="CE85" s="124">
        <f t="shared" si="18"/>
        <v>4</v>
      </c>
      <c r="CF85" s="44">
        <f t="shared" si="19"/>
        <v>50</v>
      </c>
      <c r="CG85" s="138">
        <v>1.0</v>
      </c>
      <c r="CH85" s="138">
        <v>1.0</v>
      </c>
      <c r="CI85" s="138">
        <v>1.0</v>
      </c>
      <c r="CJ85" s="163"/>
      <c r="CK85" s="163"/>
      <c r="CL85" s="163"/>
      <c r="CM85" s="163"/>
      <c r="CN85" s="163"/>
      <c r="CO85" s="163"/>
      <c r="CP85" s="166"/>
      <c r="CQ85" s="166"/>
      <c r="CR85" s="166"/>
      <c r="CS85" s="166"/>
      <c r="CT85" s="116"/>
      <c r="CU85" s="116"/>
      <c r="CV85" s="166"/>
      <c r="CW85" s="128">
        <f t="shared" si="20"/>
        <v>3</v>
      </c>
      <c r="CX85" s="214">
        <f t="shared" si="21"/>
        <v>42.85714286</v>
      </c>
      <c r="CY85" s="171"/>
      <c r="CZ85" s="171"/>
      <c r="DA85" s="171"/>
      <c r="DB85" s="171"/>
      <c r="DC85" s="171"/>
      <c r="DD85" s="171"/>
      <c r="DE85" s="171"/>
      <c r="DF85" s="171"/>
      <c r="DG85" s="171"/>
      <c r="DH85" s="171"/>
      <c r="DI85" s="171"/>
      <c r="DJ85" s="171"/>
      <c r="DK85" s="128">
        <f t="shared" si="22"/>
        <v>0</v>
      </c>
      <c r="DL85" s="158" t="str">
        <f t="shared" si="23"/>
        <v>#DIV/0!</v>
      </c>
    </row>
    <row r="86" ht="15.75" customHeight="1">
      <c r="A86" s="131">
        <v>77.0</v>
      </c>
      <c r="B86" s="126" t="s">
        <v>205</v>
      </c>
      <c r="C86" s="260" t="s">
        <v>206</v>
      </c>
      <c r="D86" s="98">
        <f t="shared" si="8"/>
        <v>12</v>
      </c>
      <c r="E86" s="130">
        <f t="shared" si="9"/>
        <v>30</v>
      </c>
      <c r="F86" s="114">
        <f t="shared" si="10"/>
        <v>30</v>
      </c>
      <c r="G86" s="149" t="str">
        <f t="shared" si="11"/>
        <v>  </v>
      </c>
      <c r="H86" s="265"/>
      <c r="I86" s="265"/>
      <c r="J86" s="265"/>
      <c r="K86" s="265"/>
      <c r="L86" s="266"/>
      <c r="M86" s="139">
        <f t="shared" si="12"/>
        <v>0</v>
      </c>
      <c r="N86" s="140" t="str">
        <f t="shared" si="13"/>
        <v>#DIV/0!</v>
      </c>
      <c r="O86" s="116"/>
      <c r="P86" s="116"/>
      <c r="Q86" s="116"/>
      <c r="R86" s="163"/>
      <c r="S86" s="116"/>
      <c r="T86" s="116"/>
      <c r="U86" s="116"/>
      <c r="V86" s="163"/>
      <c r="W86" s="116"/>
      <c r="X86" s="116"/>
      <c r="Y86" s="163"/>
      <c r="Z86" s="185"/>
      <c r="AA86" s="217"/>
      <c r="AB86" s="138">
        <v>1.0</v>
      </c>
      <c r="AC86" s="262">
        <v>1.0</v>
      </c>
      <c r="AD86" s="116"/>
      <c r="AE86" s="138">
        <v>1.0</v>
      </c>
      <c r="AF86" s="163"/>
      <c r="AG86" s="163"/>
      <c r="AH86" s="116"/>
      <c r="AI86" s="116"/>
      <c r="AJ86" s="139">
        <f t="shared" si="14"/>
        <v>3</v>
      </c>
      <c r="AK86" s="119">
        <f t="shared" si="15"/>
        <v>27.27272727</v>
      </c>
      <c r="AL86" s="138">
        <v>1.0</v>
      </c>
      <c r="AM86" s="116"/>
      <c r="AN86" s="163"/>
      <c r="AO86" s="179"/>
      <c r="AP86" s="262">
        <v>1.0</v>
      </c>
      <c r="AQ86" s="138">
        <v>1.0</v>
      </c>
      <c r="AR86" s="116"/>
      <c r="AS86" s="191">
        <v>1.0</v>
      </c>
      <c r="AT86" s="138">
        <v>1.0</v>
      </c>
      <c r="AU86" s="116"/>
      <c r="AV86" s="138">
        <v>1.0</v>
      </c>
      <c r="AW86" s="163"/>
      <c r="AX86" s="138">
        <v>1.0</v>
      </c>
      <c r="AY86" s="138">
        <v>1.0</v>
      </c>
      <c r="AZ86" s="180"/>
      <c r="BA86" s="180"/>
      <c r="BB86" s="116"/>
      <c r="BC86" s="180"/>
      <c r="BD86" s="181"/>
      <c r="BE86" s="181"/>
      <c r="BF86" s="181"/>
      <c r="BG86" s="139">
        <f t="shared" si="16"/>
        <v>7</v>
      </c>
      <c r="BH86" s="272">
        <f t="shared" si="17"/>
        <v>50</v>
      </c>
      <c r="BI86" s="180"/>
      <c r="BJ86" s="180"/>
      <c r="BK86" s="180"/>
      <c r="BL86" s="116"/>
      <c r="BM86" s="116"/>
      <c r="BN86" s="116"/>
      <c r="BO86" s="138">
        <v>1.0</v>
      </c>
      <c r="BP86" s="138">
        <v>1.0</v>
      </c>
      <c r="BQ86" s="138"/>
      <c r="BR86" s="116"/>
      <c r="BS86" s="116"/>
      <c r="BT86" s="116"/>
      <c r="BU86" s="43"/>
      <c r="BV86" s="43"/>
      <c r="BW86" s="171"/>
      <c r="BX86" s="43"/>
      <c r="BY86" s="116"/>
      <c r="BZ86" s="116"/>
      <c r="CA86" s="116"/>
      <c r="CB86" s="116"/>
      <c r="CC86" s="116"/>
      <c r="CD86" s="116"/>
      <c r="CE86" s="124">
        <f t="shared" si="18"/>
        <v>2</v>
      </c>
      <c r="CF86" s="44">
        <f t="shared" si="19"/>
        <v>25</v>
      </c>
      <c r="CG86" s="116"/>
      <c r="CH86" s="116"/>
      <c r="CI86" s="116"/>
      <c r="CJ86" s="163"/>
      <c r="CK86" s="116"/>
      <c r="CL86" s="116"/>
      <c r="CM86" s="116"/>
      <c r="CN86" s="163"/>
      <c r="CO86" s="116"/>
      <c r="CP86" s="163"/>
      <c r="CQ86" s="163"/>
      <c r="CR86" s="163"/>
      <c r="CS86" s="163"/>
      <c r="CT86" s="163"/>
      <c r="CU86" s="163"/>
      <c r="CV86" s="163"/>
      <c r="CW86" s="128">
        <f t="shared" si="20"/>
        <v>0</v>
      </c>
      <c r="CX86" s="214">
        <f t="shared" si="21"/>
        <v>0</v>
      </c>
      <c r="CY86" s="171"/>
      <c r="CZ86" s="171"/>
      <c r="DA86" s="171"/>
      <c r="DB86" s="171"/>
      <c r="DC86" s="171"/>
      <c r="DD86" s="171"/>
      <c r="DE86" s="171"/>
      <c r="DF86" s="171"/>
      <c r="DG86" s="171"/>
      <c r="DH86" s="171"/>
      <c r="DI86" s="171"/>
      <c r="DJ86" s="171"/>
      <c r="DK86" s="128">
        <f t="shared" si="22"/>
        <v>0</v>
      </c>
      <c r="DL86" s="158" t="str">
        <f t="shared" si="23"/>
        <v>#DIV/0!</v>
      </c>
    </row>
    <row r="87" ht="15.75" customHeight="1">
      <c r="A87" s="146">
        <v>78.0</v>
      </c>
      <c r="B87" s="111" t="s">
        <v>207</v>
      </c>
      <c r="C87" s="112" t="s">
        <v>208</v>
      </c>
      <c r="D87" s="98">
        <f t="shared" si="8"/>
        <v>23</v>
      </c>
      <c r="E87" s="130">
        <f t="shared" si="9"/>
        <v>57.5</v>
      </c>
      <c r="F87" s="92" t="str">
        <f t="shared" si="10"/>
        <v>  </v>
      </c>
      <c r="G87" s="92" t="str">
        <f t="shared" si="11"/>
        <v>  </v>
      </c>
      <c r="H87" s="265"/>
      <c r="I87" s="265"/>
      <c r="J87" s="267"/>
      <c r="K87" s="267"/>
      <c r="L87" s="268"/>
      <c r="M87" s="139">
        <f t="shared" si="12"/>
        <v>0</v>
      </c>
      <c r="N87" s="140" t="str">
        <f t="shared" si="13"/>
        <v>#DIV/0!</v>
      </c>
      <c r="O87" s="116"/>
      <c r="P87" s="116"/>
      <c r="Q87" s="180"/>
      <c r="R87" s="163"/>
      <c r="S87" s="116"/>
      <c r="T87" s="116"/>
      <c r="U87" s="116"/>
      <c r="V87" s="163"/>
      <c r="W87" s="116"/>
      <c r="X87" s="116"/>
      <c r="Y87" s="262">
        <v>1.0</v>
      </c>
      <c r="Z87" s="210">
        <v>1.0</v>
      </c>
      <c r="AA87" s="217"/>
      <c r="AB87" s="116"/>
      <c r="AC87" s="163"/>
      <c r="AD87" s="138">
        <v>1.0</v>
      </c>
      <c r="AE87" s="163"/>
      <c r="AF87" s="163"/>
      <c r="AG87" s="262">
        <v>1.0</v>
      </c>
      <c r="AH87" s="116"/>
      <c r="AI87" s="262">
        <v>1.0</v>
      </c>
      <c r="AJ87" s="139">
        <f t="shared" si="14"/>
        <v>5</v>
      </c>
      <c r="AK87" s="119">
        <f t="shared" si="15"/>
        <v>45.45454545</v>
      </c>
      <c r="AL87" s="138">
        <v>1.0</v>
      </c>
      <c r="AM87" s="163"/>
      <c r="AN87" s="163"/>
      <c r="AO87" s="184">
        <v>1.0</v>
      </c>
      <c r="AP87" s="138">
        <v>1.0</v>
      </c>
      <c r="AQ87" s="138">
        <v>1.0</v>
      </c>
      <c r="AR87" s="116"/>
      <c r="AS87" s="191">
        <v>1.0</v>
      </c>
      <c r="AT87" s="138">
        <v>1.0</v>
      </c>
      <c r="AU87" s="116"/>
      <c r="AV87" s="138"/>
      <c r="AW87" s="163"/>
      <c r="AX87" s="116"/>
      <c r="AY87" s="138">
        <v>1.0</v>
      </c>
      <c r="AZ87" s="116"/>
      <c r="BA87" s="116"/>
      <c r="BB87" s="215">
        <v>1.0</v>
      </c>
      <c r="BC87" s="116"/>
      <c r="BD87" s="188">
        <v>1.0</v>
      </c>
      <c r="BE87" s="194"/>
      <c r="BF87" s="188">
        <v>1.0</v>
      </c>
      <c r="BG87" s="139">
        <f t="shared" si="16"/>
        <v>9</v>
      </c>
      <c r="BH87" s="272">
        <f t="shared" si="17"/>
        <v>64.28571429</v>
      </c>
      <c r="BI87" s="138">
        <v>1.0</v>
      </c>
      <c r="BJ87" s="138">
        <v>1.0</v>
      </c>
      <c r="BK87" s="180"/>
      <c r="BL87" s="116"/>
      <c r="BM87" s="116"/>
      <c r="BN87" s="116"/>
      <c r="BO87" s="138">
        <v>1.0</v>
      </c>
      <c r="BP87" s="138">
        <v>1.0</v>
      </c>
      <c r="BQ87" s="138">
        <v>1.0</v>
      </c>
      <c r="BR87" s="138">
        <v>1.0</v>
      </c>
      <c r="BS87" s="116"/>
      <c r="BT87" s="116"/>
      <c r="BV87" s="116"/>
      <c r="BW87" s="171"/>
      <c r="BX87" s="116"/>
      <c r="BY87" s="116"/>
      <c r="BZ87" s="116"/>
      <c r="CA87" s="116"/>
      <c r="CB87" s="116"/>
      <c r="CC87" s="116"/>
      <c r="CD87" s="116"/>
      <c r="CE87" s="124">
        <f t="shared" si="18"/>
        <v>6</v>
      </c>
      <c r="CF87" s="44">
        <f t="shared" si="19"/>
        <v>75</v>
      </c>
      <c r="CG87" s="262">
        <v>1.0</v>
      </c>
      <c r="CH87" s="262">
        <v>1.0</v>
      </c>
      <c r="CI87" s="238"/>
      <c r="CJ87" s="262">
        <v>1.0</v>
      </c>
      <c r="CK87" s="163"/>
      <c r="CL87" s="163"/>
      <c r="CM87" s="163"/>
      <c r="CN87" s="116"/>
      <c r="CO87" s="116"/>
      <c r="CP87" s="163"/>
      <c r="CQ87" s="163"/>
      <c r="CR87" s="163"/>
      <c r="CS87" s="163"/>
      <c r="CT87" s="116"/>
      <c r="CU87" s="163"/>
      <c r="CV87" s="163"/>
      <c r="CW87" s="128">
        <f t="shared" si="20"/>
        <v>3</v>
      </c>
      <c r="CX87" s="214">
        <f t="shared" si="21"/>
        <v>42.85714286</v>
      </c>
      <c r="CY87" s="171"/>
      <c r="CZ87" s="171"/>
      <c r="DA87" s="171"/>
      <c r="DB87" s="171"/>
      <c r="DC87" s="171"/>
      <c r="DD87" s="171"/>
      <c r="DE87" s="171"/>
      <c r="DF87" s="171"/>
      <c r="DG87" s="171"/>
      <c r="DH87" s="171"/>
      <c r="DI87" s="171"/>
      <c r="DJ87" s="171"/>
      <c r="DK87" s="128">
        <f t="shared" si="22"/>
        <v>0</v>
      </c>
      <c r="DL87" s="158" t="str">
        <f t="shared" si="23"/>
        <v>#DIV/0!</v>
      </c>
    </row>
    <row r="88" ht="15.75" customHeight="1">
      <c r="A88" s="50">
        <v>79.0</v>
      </c>
      <c r="B88" s="111" t="s">
        <v>209</v>
      </c>
      <c r="C88" s="112" t="s">
        <v>210</v>
      </c>
      <c r="D88" s="98">
        <f t="shared" si="8"/>
        <v>16</v>
      </c>
      <c r="E88" s="130">
        <f t="shared" si="9"/>
        <v>40</v>
      </c>
      <c r="F88" s="114">
        <f t="shared" si="10"/>
        <v>40</v>
      </c>
      <c r="G88" s="92" t="str">
        <f t="shared" si="11"/>
        <v>  </v>
      </c>
      <c r="H88" s="265"/>
      <c r="I88" s="265"/>
      <c r="J88" s="267"/>
      <c r="K88" s="267"/>
      <c r="L88" s="268"/>
      <c r="M88" s="139">
        <f t="shared" si="12"/>
        <v>0</v>
      </c>
      <c r="N88" s="140" t="str">
        <f t="shared" si="13"/>
        <v>#DIV/0!</v>
      </c>
      <c r="O88" s="116"/>
      <c r="P88" s="116"/>
      <c r="Q88" s="180"/>
      <c r="R88" s="163"/>
      <c r="S88" s="116"/>
      <c r="T88" s="116"/>
      <c r="U88" s="116"/>
      <c r="V88" s="163"/>
      <c r="W88" s="116"/>
      <c r="X88" s="138">
        <v>1.0</v>
      </c>
      <c r="Y88" s="163"/>
      <c r="Z88" s="185"/>
      <c r="AA88" s="217"/>
      <c r="AB88" s="116"/>
      <c r="AC88" s="163"/>
      <c r="AD88" s="116"/>
      <c r="AE88" s="163"/>
      <c r="AF88" s="163"/>
      <c r="AG88" s="262">
        <v>1.0</v>
      </c>
      <c r="AH88" s="262">
        <v>1.0</v>
      </c>
      <c r="AI88" s="163"/>
      <c r="AJ88" s="139">
        <f t="shared" si="14"/>
        <v>3</v>
      </c>
      <c r="AK88" s="119">
        <f t="shared" si="15"/>
        <v>27.27272727</v>
      </c>
      <c r="AL88" s="116"/>
      <c r="AM88" s="116"/>
      <c r="AN88" s="163"/>
      <c r="AO88" s="179"/>
      <c r="AP88" s="138"/>
      <c r="AQ88" s="116"/>
      <c r="AR88" s="116"/>
      <c r="AS88" s="166"/>
      <c r="AT88" s="138">
        <v>1.0</v>
      </c>
      <c r="AU88" s="116"/>
      <c r="AV88" s="116"/>
      <c r="AW88" s="163"/>
      <c r="AX88" s="138">
        <v>1.0</v>
      </c>
      <c r="AY88" s="138">
        <v>1.0</v>
      </c>
      <c r="AZ88" s="180"/>
      <c r="BA88" s="180"/>
      <c r="BB88" s="138">
        <v>1.0</v>
      </c>
      <c r="BC88" s="138">
        <v>1.0</v>
      </c>
      <c r="BD88" s="194"/>
      <c r="BE88" s="188">
        <v>1.0</v>
      </c>
      <c r="BF88" s="188">
        <v>1.0</v>
      </c>
      <c r="BG88" s="139">
        <f t="shared" si="16"/>
        <v>7</v>
      </c>
      <c r="BH88" s="272">
        <f t="shared" si="17"/>
        <v>50</v>
      </c>
      <c r="BI88" s="138">
        <v>1.0</v>
      </c>
      <c r="BJ88" s="138">
        <v>1.0</v>
      </c>
      <c r="BK88" s="180"/>
      <c r="BL88" s="138">
        <v>1.0</v>
      </c>
      <c r="BM88" s="116"/>
      <c r="BN88" s="116"/>
      <c r="BO88" s="138">
        <v>1.0</v>
      </c>
      <c r="BP88" s="138">
        <v>1.0</v>
      </c>
      <c r="BQ88" s="116"/>
      <c r="BR88" s="138">
        <v>1.0</v>
      </c>
      <c r="BS88" s="116"/>
      <c r="BT88" s="185"/>
      <c r="BU88" s="43"/>
      <c r="BV88" s="43"/>
      <c r="BW88" s="171"/>
      <c r="BX88" s="116"/>
      <c r="BY88" s="116"/>
      <c r="BZ88" s="116"/>
      <c r="CA88" s="116"/>
      <c r="CB88" s="116"/>
      <c r="CC88" s="116"/>
      <c r="CD88" s="116"/>
      <c r="CE88" s="124">
        <f t="shared" si="18"/>
        <v>6</v>
      </c>
      <c r="CF88" s="44">
        <f t="shared" si="19"/>
        <v>75</v>
      </c>
      <c r="CG88" s="163"/>
      <c r="CH88" s="163"/>
      <c r="CI88" s="116"/>
      <c r="CJ88" s="163"/>
      <c r="CK88" s="163"/>
      <c r="CL88" s="163"/>
      <c r="CM88" s="163"/>
      <c r="CN88" s="116"/>
      <c r="CO88" s="116"/>
      <c r="CP88" s="163"/>
      <c r="CQ88" s="163"/>
      <c r="CR88" s="163"/>
      <c r="CS88" s="163"/>
      <c r="CT88" s="116"/>
      <c r="CU88" s="163"/>
      <c r="CV88" s="163"/>
      <c r="CW88" s="128">
        <f t="shared" si="20"/>
        <v>0</v>
      </c>
      <c r="CX88" s="214">
        <f t="shared" si="21"/>
        <v>0</v>
      </c>
      <c r="CY88" s="171"/>
      <c r="CZ88" s="171"/>
      <c r="DA88" s="171"/>
      <c r="DB88" s="171"/>
      <c r="DC88" s="171"/>
      <c r="DD88" s="171"/>
      <c r="DE88" s="171"/>
      <c r="DF88" s="171"/>
      <c r="DG88" s="171"/>
      <c r="DH88" s="171"/>
      <c r="DI88" s="171"/>
      <c r="DJ88" s="171"/>
      <c r="DK88" s="128">
        <f t="shared" si="22"/>
        <v>0</v>
      </c>
      <c r="DL88" s="158" t="str">
        <f t="shared" si="23"/>
        <v>#DIV/0!</v>
      </c>
    </row>
    <row r="89" ht="15.75" customHeight="1">
      <c r="A89" s="131">
        <v>80.0</v>
      </c>
      <c r="B89" s="111" t="s">
        <v>211</v>
      </c>
      <c r="C89" s="112" t="s">
        <v>212</v>
      </c>
      <c r="D89" s="98">
        <f t="shared" si="8"/>
        <v>17</v>
      </c>
      <c r="E89" s="130">
        <f t="shared" si="9"/>
        <v>42.5</v>
      </c>
      <c r="F89" s="114">
        <f t="shared" si="10"/>
        <v>42.5</v>
      </c>
      <c r="G89" s="92" t="str">
        <f t="shared" si="11"/>
        <v>  </v>
      </c>
      <c r="H89" s="274"/>
      <c r="I89" s="274"/>
      <c r="J89" s="274"/>
      <c r="K89" s="274"/>
      <c r="L89" s="275"/>
      <c r="M89" s="139">
        <f t="shared" si="12"/>
        <v>0</v>
      </c>
      <c r="N89" s="140" t="str">
        <f t="shared" si="13"/>
        <v>#DIV/0!</v>
      </c>
      <c r="O89" s="116"/>
      <c r="P89" s="116"/>
      <c r="Q89" s="180"/>
      <c r="R89" s="163"/>
      <c r="S89" s="116"/>
      <c r="T89" s="116"/>
      <c r="U89" s="116"/>
      <c r="V89" s="163"/>
      <c r="W89" s="116"/>
      <c r="X89" s="116"/>
      <c r="Y89" s="262">
        <v>1.0</v>
      </c>
      <c r="Z89" s="171"/>
      <c r="AA89" s="217"/>
      <c r="AB89" s="116"/>
      <c r="AC89" s="262">
        <v>1.0</v>
      </c>
      <c r="AD89" s="116"/>
      <c r="AE89" s="262">
        <v>1.0</v>
      </c>
      <c r="AF89" s="262">
        <v>1.0</v>
      </c>
      <c r="AG89" s="163"/>
      <c r="AH89" s="163"/>
      <c r="AI89" s="138">
        <v>1.0</v>
      </c>
      <c r="AJ89" s="139">
        <f t="shared" si="14"/>
        <v>5</v>
      </c>
      <c r="AK89" s="119">
        <f t="shared" si="15"/>
        <v>45.45454545</v>
      </c>
      <c r="AL89" s="116"/>
      <c r="AM89" s="116"/>
      <c r="AN89" s="163"/>
      <c r="AO89" s="184">
        <v>1.0</v>
      </c>
      <c r="AP89" s="138">
        <v>1.0</v>
      </c>
      <c r="AQ89" s="116"/>
      <c r="AR89" s="116"/>
      <c r="AS89" s="166"/>
      <c r="AT89" s="138">
        <v>1.0</v>
      </c>
      <c r="AU89" s="116"/>
      <c r="AV89" s="116"/>
      <c r="AW89" s="163"/>
      <c r="AX89" s="138">
        <v>1.0</v>
      </c>
      <c r="AY89" s="138">
        <v>1.0</v>
      </c>
      <c r="AZ89" s="180"/>
      <c r="BA89" s="180"/>
      <c r="BB89" s="180"/>
      <c r="BC89" s="116"/>
      <c r="BD89" s="194"/>
      <c r="BE89" s="194"/>
      <c r="BF89" s="194"/>
      <c r="BG89" s="139">
        <f t="shared" si="16"/>
        <v>5</v>
      </c>
      <c r="BH89" s="272">
        <f t="shared" si="17"/>
        <v>35.71428571</v>
      </c>
      <c r="BI89" s="138">
        <v>1.0</v>
      </c>
      <c r="BJ89" s="138">
        <v>1.0</v>
      </c>
      <c r="BK89" s="180"/>
      <c r="BL89" s="138">
        <v>1.0</v>
      </c>
      <c r="BM89" s="116"/>
      <c r="BN89" s="116"/>
      <c r="BO89" s="138">
        <v>1.0</v>
      </c>
      <c r="BP89" s="116"/>
      <c r="BQ89" s="116"/>
      <c r="BR89" s="116"/>
      <c r="BS89" s="165"/>
      <c r="BT89" s="116"/>
      <c r="BU89" s="43"/>
      <c r="BV89" s="43"/>
      <c r="BW89" s="171"/>
      <c r="BX89" s="116"/>
      <c r="BY89" s="116"/>
      <c r="BZ89" s="116"/>
      <c r="CA89" s="116"/>
      <c r="CB89" s="116"/>
      <c r="CC89" s="116"/>
      <c r="CD89" s="116"/>
      <c r="CE89" s="124">
        <f t="shared" si="18"/>
        <v>4</v>
      </c>
      <c r="CF89" s="44">
        <f t="shared" si="19"/>
        <v>50</v>
      </c>
      <c r="CG89" s="163"/>
      <c r="CH89" s="163"/>
      <c r="CI89" s="116"/>
      <c r="CJ89" s="163"/>
      <c r="CK89" s="138">
        <v>1.0</v>
      </c>
      <c r="CL89" s="138">
        <v>1.0</v>
      </c>
      <c r="CM89" s="138">
        <v>1.0</v>
      </c>
      <c r="CN89" s="163"/>
      <c r="CO89" s="116"/>
      <c r="CP89" s="163"/>
      <c r="CQ89" s="163"/>
      <c r="CR89" s="163"/>
      <c r="CS89" s="163"/>
      <c r="CT89" s="116"/>
      <c r="CU89" s="163"/>
      <c r="CV89" s="163"/>
      <c r="CW89" s="128">
        <f t="shared" si="20"/>
        <v>3</v>
      </c>
      <c r="CX89" s="214">
        <f t="shared" si="21"/>
        <v>42.85714286</v>
      </c>
      <c r="CY89" s="171"/>
      <c r="CZ89" s="171"/>
      <c r="DA89" s="171"/>
      <c r="DB89" s="171"/>
      <c r="DC89" s="171"/>
      <c r="DD89" s="171"/>
      <c r="DE89" s="171"/>
      <c r="DF89" s="171"/>
      <c r="DG89" s="171"/>
      <c r="DH89" s="171"/>
      <c r="DI89" s="171"/>
      <c r="DJ89" s="171"/>
      <c r="DK89" s="128">
        <f t="shared" si="22"/>
        <v>0</v>
      </c>
      <c r="DL89" s="158" t="str">
        <f t="shared" si="23"/>
        <v>#DIV/0!</v>
      </c>
    </row>
    <row r="90" ht="15.75" customHeight="1">
      <c r="A90" s="146">
        <v>81.0</v>
      </c>
      <c r="B90" s="111" t="s">
        <v>213</v>
      </c>
      <c r="C90" s="112" t="s">
        <v>214</v>
      </c>
      <c r="D90" s="98">
        <f t="shared" si="8"/>
        <v>29</v>
      </c>
      <c r="E90" s="130">
        <f t="shared" si="9"/>
        <v>72.5</v>
      </c>
      <c r="F90" s="114" t="str">
        <f t="shared" si="10"/>
        <v>  </v>
      </c>
      <c r="G90" s="92" t="str">
        <f t="shared" si="11"/>
        <v>  </v>
      </c>
      <c r="H90" s="274"/>
      <c r="I90" s="274"/>
      <c r="J90" s="274"/>
      <c r="K90" s="274"/>
      <c r="L90" s="275"/>
      <c r="M90" s="139">
        <f t="shared" si="12"/>
        <v>0</v>
      </c>
      <c r="N90" s="140" t="str">
        <f t="shared" si="13"/>
        <v>#DIV/0!</v>
      </c>
      <c r="O90" s="116"/>
      <c r="P90" s="116"/>
      <c r="Q90" s="116"/>
      <c r="R90" s="163"/>
      <c r="S90" s="116"/>
      <c r="T90" s="116"/>
      <c r="U90" s="116"/>
      <c r="V90" s="163"/>
      <c r="W90" s="116"/>
      <c r="X90" s="138">
        <v>1.0</v>
      </c>
      <c r="Y90" s="262">
        <v>1.0</v>
      </c>
      <c r="Z90" s="273">
        <v>1.0</v>
      </c>
      <c r="AA90" s="217"/>
      <c r="AB90" s="138">
        <v>1.0</v>
      </c>
      <c r="AC90" s="262">
        <v>1.0</v>
      </c>
      <c r="AD90" s="262">
        <v>1.0</v>
      </c>
      <c r="AE90" s="116"/>
      <c r="AF90" s="163"/>
      <c r="AG90" s="262">
        <v>1.0</v>
      </c>
      <c r="AH90" s="138">
        <v>1.0</v>
      </c>
      <c r="AI90" s="116"/>
      <c r="AJ90" s="139">
        <f t="shared" si="14"/>
        <v>8</v>
      </c>
      <c r="AK90" s="119">
        <f t="shared" si="15"/>
        <v>72.72727273</v>
      </c>
      <c r="AL90" s="138">
        <v>1.0</v>
      </c>
      <c r="AM90" s="116"/>
      <c r="AN90" s="163"/>
      <c r="AO90" s="179"/>
      <c r="AP90" s="262">
        <v>1.0</v>
      </c>
      <c r="AQ90" s="138">
        <v>1.0</v>
      </c>
      <c r="AR90" s="116"/>
      <c r="AS90" s="191">
        <v>1.0</v>
      </c>
      <c r="AT90" s="138">
        <v>1.0</v>
      </c>
      <c r="AU90" s="138">
        <v>1.0</v>
      </c>
      <c r="AV90" s="116"/>
      <c r="AW90" s="163"/>
      <c r="AX90" s="138">
        <v>1.0</v>
      </c>
      <c r="AY90" s="138">
        <v>1.0</v>
      </c>
      <c r="AZ90" s="116"/>
      <c r="BA90" s="116"/>
      <c r="BB90" s="215">
        <v>1.0</v>
      </c>
      <c r="BC90" s="215">
        <v>1.0</v>
      </c>
      <c r="BD90" s="219">
        <v>1.0</v>
      </c>
      <c r="BE90" s="181"/>
      <c r="BF90" s="219">
        <v>1.0</v>
      </c>
      <c r="BG90" s="139">
        <f t="shared" si="16"/>
        <v>11</v>
      </c>
      <c r="BH90" s="272">
        <f t="shared" si="17"/>
        <v>78.57142857</v>
      </c>
      <c r="BI90" s="215">
        <v>1.0</v>
      </c>
      <c r="BJ90" s="215">
        <v>1.0</v>
      </c>
      <c r="BK90" s="180"/>
      <c r="BL90" s="138">
        <v>1.0</v>
      </c>
      <c r="BM90" s="116"/>
      <c r="BN90" s="138">
        <v>1.0</v>
      </c>
      <c r="BO90" s="138">
        <v>1.0</v>
      </c>
      <c r="BP90" s="116"/>
      <c r="BQ90" s="138">
        <v>1.0</v>
      </c>
      <c r="BR90" s="138">
        <v>1.0</v>
      </c>
      <c r="BS90" s="165"/>
      <c r="BT90" s="116"/>
      <c r="BV90" s="116"/>
      <c r="BW90" s="171"/>
      <c r="BX90" s="116"/>
      <c r="BY90" s="116"/>
      <c r="BZ90" s="116"/>
      <c r="CA90" s="116"/>
      <c r="CB90" s="116"/>
      <c r="CC90" s="116"/>
      <c r="CD90" s="116"/>
      <c r="CE90" s="124">
        <f t="shared" si="18"/>
        <v>7</v>
      </c>
      <c r="CF90" s="44">
        <f t="shared" si="19"/>
        <v>87.5</v>
      </c>
      <c r="CG90" s="138">
        <v>1.0</v>
      </c>
      <c r="CH90" s="138">
        <v>1.0</v>
      </c>
      <c r="CI90" s="116"/>
      <c r="CJ90" s="262">
        <v>1.0</v>
      </c>
      <c r="CK90" s="116"/>
      <c r="CL90" s="116"/>
      <c r="CM90" s="116"/>
      <c r="CN90" s="116"/>
      <c r="CO90" s="116"/>
      <c r="CP90" s="163"/>
      <c r="CQ90" s="163"/>
      <c r="CR90" s="163"/>
      <c r="CS90" s="116"/>
      <c r="CT90" s="116"/>
      <c r="CU90" s="116"/>
      <c r="CV90" s="163"/>
      <c r="CW90" s="128">
        <f t="shared" si="20"/>
        <v>3</v>
      </c>
      <c r="CX90" s="214">
        <f t="shared" si="21"/>
        <v>42.85714286</v>
      </c>
      <c r="CY90" s="171"/>
      <c r="CZ90" s="171"/>
      <c r="DA90" s="171"/>
      <c r="DB90" s="171"/>
      <c r="DC90" s="171"/>
      <c r="DD90" s="171"/>
      <c r="DE90" s="171"/>
      <c r="DF90" s="171"/>
      <c r="DG90" s="171"/>
      <c r="DH90" s="171"/>
      <c r="DI90" s="171"/>
      <c r="DJ90" s="171"/>
      <c r="DK90" s="128">
        <f t="shared" si="22"/>
        <v>0</v>
      </c>
      <c r="DL90" s="158" t="str">
        <f t="shared" si="23"/>
        <v>#DIV/0!</v>
      </c>
    </row>
    <row r="91" ht="15.75" customHeight="1">
      <c r="A91" s="50">
        <v>82.0</v>
      </c>
      <c r="B91" s="111" t="s">
        <v>215</v>
      </c>
      <c r="C91" s="112" t="s">
        <v>216</v>
      </c>
      <c r="D91" s="98">
        <f t="shared" si="8"/>
        <v>29</v>
      </c>
      <c r="E91" s="130">
        <f t="shared" si="9"/>
        <v>72.5</v>
      </c>
      <c r="F91" s="114" t="str">
        <f t="shared" si="10"/>
        <v>  </v>
      </c>
      <c r="G91" s="92" t="str">
        <f t="shared" si="11"/>
        <v>  </v>
      </c>
      <c r="H91" s="274"/>
      <c r="I91" s="274"/>
      <c r="J91" s="274"/>
      <c r="K91" s="274"/>
      <c r="L91" s="275"/>
      <c r="M91" s="139">
        <f t="shared" si="12"/>
        <v>0</v>
      </c>
      <c r="N91" s="140" t="str">
        <f t="shared" si="13"/>
        <v>#DIV/0!</v>
      </c>
      <c r="O91" s="116"/>
      <c r="P91" s="116"/>
      <c r="Q91" s="116"/>
      <c r="R91" s="163"/>
      <c r="S91" s="116"/>
      <c r="T91" s="116"/>
      <c r="U91" s="116"/>
      <c r="V91" s="163"/>
      <c r="W91" s="116"/>
      <c r="X91" s="138">
        <v>1.0</v>
      </c>
      <c r="Y91" s="262">
        <v>1.0</v>
      </c>
      <c r="Z91" s="273">
        <v>1.0</v>
      </c>
      <c r="AA91" s="217"/>
      <c r="AB91" s="138">
        <v>1.0</v>
      </c>
      <c r="AC91" s="262">
        <v>1.0</v>
      </c>
      <c r="AD91" s="138">
        <v>1.0</v>
      </c>
      <c r="AE91" s="138">
        <v>1.0</v>
      </c>
      <c r="AF91" s="163"/>
      <c r="AG91" s="163"/>
      <c r="AH91" s="116"/>
      <c r="AI91" s="116"/>
      <c r="AJ91" s="139">
        <f t="shared" si="14"/>
        <v>7</v>
      </c>
      <c r="AK91" s="119">
        <f t="shared" si="15"/>
        <v>63.63636364</v>
      </c>
      <c r="AL91" s="163"/>
      <c r="AM91" s="116"/>
      <c r="AN91" s="163"/>
      <c r="AO91" s="262">
        <v>1.0</v>
      </c>
      <c r="AP91" s="138">
        <v>1.0</v>
      </c>
      <c r="AQ91" s="138">
        <v>1.0</v>
      </c>
      <c r="AR91" s="116"/>
      <c r="AS91" s="191">
        <v>1.0</v>
      </c>
      <c r="AT91" s="138">
        <v>1.0</v>
      </c>
      <c r="AU91" s="138">
        <v>1.0</v>
      </c>
      <c r="AV91" s="116"/>
      <c r="AW91" s="163"/>
      <c r="AX91" s="138">
        <v>1.0</v>
      </c>
      <c r="AY91" s="138">
        <v>1.0</v>
      </c>
      <c r="AZ91" s="116"/>
      <c r="BA91" s="116"/>
      <c r="BB91" s="138">
        <v>1.0</v>
      </c>
      <c r="BC91" s="138">
        <v>1.0</v>
      </c>
      <c r="BD91" s="194"/>
      <c r="BE91" s="194"/>
      <c r="BF91" s="188">
        <v>1.0</v>
      </c>
      <c r="BG91" s="139">
        <f t="shared" si="16"/>
        <v>11</v>
      </c>
      <c r="BH91" s="272">
        <f t="shared" si="17"/>
        <v>78.57142857</v>
      </c>
      <c r="BI91" s="138">
        <v>1.0</v>
      </c>
      <c r="BJ91" s="138">
        <v>1.0</v>
      </c>
      <c r="BK91" s="180"/>
      <c r="BL91" s="138">
        <v>1.0</v>
      </c>
      <c r="BM91" s="116"/>
      <c r="BN91" s="138">
        <v>1.0</v>
      </c>
      <c r="BO91" s="138">
        <v>1.0</v>
      </c>
      <c r="BP91" s="138">
        <v>1.0</v>
      </c>
      <c r="BQ91" s="116"/>
      <c r="BR91" s="138">
        <v>1.0</v>
      </c>
      <c r="BS91" s="116"/>
      <c r="BT91" s="116"/>
      <c r="BV91" s="116"/>
      <c r="BW91" s="171"/>
      <c r="BX91" s="116"/>
      <c r="BY91" s="116"/>
      <c r="BZ91" s="116"/>
      <c r="CA91" s="116"/>
      <c r="CB91" s="116"/>
      <c r="CC91" s="116"/>
      <c r="CD91" s="116"/>
      <c r="CE91" s="124">
        <f t="shared" si="18"/>
        <v>7</v>
      </c>
      <c r="CF91" s="44">
        <f t="shared" si="19"/>
        <v>87.5</v>
      </c>
      <c r="CG91" s="138">
        <v>1.0</v>
      </c>
      <c r="CH91" s="138">
        <v>1.0</v>
      </c>
      <c r="CI91" s="138">
        <v>1.0</v>
      </c>
      <c r="CJ91" s="138">
        <v>1.0</v>
      </c>
      <c r="CK91" s="116"/>
      <c r="CL91" s="116"/>
      <c r="CM91" s="116"/>
      <c r="CN91" s="116"/>
      <c r="CO91" s="163"/>
      <c r="CP91" s="163"/>
      <c r="CQ91" s="163"/>
      <c r="CR91" s="163"/>
      <c r="CS91" s="116"/>
      <c r="CT91" s="116"/>
      <c r="CU91" s="116"/>
      <c r="CV91" s="163"/>
      <c r="CW91" s="128">
        <f t="shared" si="20"/>
        <v>4</v>
      </c>
      <c r="CX91" s="214">
        <f t="shared" si="21"/>
        <v>57.14285714</v>
      </c>
      <c r="CY91" s="171"/>
      <c r="CZ91" s="171"/>
      <c r="DA91" s="171"/>
      <c r="DB91" s="171"/>
      <c r="DC91" s="171"/>
      <c r="DD91" s="171"/>
      <c r="DE91" s="171"/>
      <c r="DF91" s="171"/>
      <c r="DG91" s="171"/>
      <c r="DH91" s="171"/>
      <c r="DI91" s="171"/>
      <c r="DJ91" s="171"/>
      <c r="DK91" s="128">
        <f t="shared" si="22"/>
        <v>0</v>
      </c>
      <c r="DL91" s="158" t="str">
        <f t="shared" si="23"/>
        <v>#DIV/0!</v>
      </c>
    </row>
    <row r="92" ht="15.75" customHeight="1">
      <c r="A92" s="131">
        <v>83.0</v>
      </c>
      <c r="B92" s="111" t="s">
        <v>217</v>
      </c>
      <c r="C92" s="112" t="s">
        <v>218</v>
      </c>
      <c r="D92" s="98">
        <f t="shared" si="8"/>
        <v>0</v>
      </c>
      <c r="E92" s="130">
        <f t="shared" si="9"/>
        <v>0</v>
      </c>
      <c r="F92" s="114">
        <f t="shared" si="10"/>
        <v>0</v>
      </c>
      <c r="G92" s="114">
        <f t="shared" si="11"/>
        <v>0</v>
      </c>
      <c r="H92" s="274"/>
      <c r="I92" s="274"/>
      <c r="J92" s="274"/>
      <c r="K92" s="274"/>
      <c r="L92" s="275"/>
      <c r="M92" s="139">
        <f t="shared" si="12"/>
        <v>0</v>
      </c>
      <c r="N92" s="140" t="str">
        <f t="shared" si="13"/>
        <v>#DIV/0!</v>
      </c>
      <c r="O92" s="163"/>
      <c r="P92" s="163"/>
      <c r="Q92" s="180"/>
      <c r="R92" s="163"/>
      <c r="S92" s="163"/>
      <c r="T92" s="116"/>
      <c r="U92" s="116"/>
      <c r="V92" s="163"/>
      <c r="W92" s="116"/>
      <c r="X92" s="116"/>
      <c r="Y92" s="163"/>
      <c r="Z92" s="273"/>
      <c r="AA92" s="217"/>
      <c r="AB92" s="116"/>
      <c r="AC92" s="163"/>
      <c r="AD92" s="163"/>
      <c r="AE92" s="163"/>
      <c r="AF92" s="163"/>
      <c r="AG92" s="163"/>
      <c r="AH92" s="163"/>
      <c r="AI92" s="163"/>
      <c r="AJ92" s="139">
        <f t="shared" si="14"/>
        <v>0</v>
      </c>
      <c r="AK92" s="119">
        <f t="shared" si="15"/>
        <v>0</v>
      </c>
      <c r="AL92" s="163"/>
      <c r="AM92" s="163"/>
      <c r="AN92" s="163"/>
      <c r="AO92" s="163"/>
      <c r="AP92" s="163"/>
      <c r="AQ92" s="116"/>
      <c r="AR92" s="116"/>
      <c r="AS92" s="166"/>
      <c r="AT92" s="116"/>
      <c r="AU92" s="116"/>
      <c r="AV92" s="116"/>
      <c r="AW92" s="163"/>
      <c r="AX92" s="116"/>
      <c r="AY92" s="116"/>
      <c r="AZ92" s="180"/>
      <c r="BA92" s="180"/>
      <c r="BB92" s="180"/>
      <c r="BC92" s="180"/>
      <c r="BD92" s="181"/>
      <c r="BE92" s="181"/>
      <c r="BF92" s="181"/>
      <c r="BG92" s="139">
        <f t="shared" si="16"/>
        <v>0</v>
      </c>
      <c r="BH92" s="272">
        <f t="shared" si="17"/>
        <v>0</v>
      </c>
      <c r="BI92" s="180"/>
      <c r="BJ92" s="180"/>
      <c r="BK92" s="180"/>
      <c r="BL92" s="116"/>
      <c r="BM92" s="116"/>
      <c r="BN92" s="116"/>
      <c r="BO92" s="116"/>
      <c r="BP92" s="116"/>
      <c r="BQ92" s="116"/>
      <c r="BR92" s="116"/>
      <c r="BS92" s="165"/>
      <c r="BT92" s="185"/>
      <c r="BU92" s="43"/>
      <c r="BV92" s="43"/>
      <c r="BW92" s="171"/>
      <c r="BX92" s="43"/>
      <c r="BY92" s="116"/>
      <c r="BZ92" s="116"/>
      <c r="CA92" s="116"/>
      <c r="CB92" s="116"/>
      <c r="CC92" s="116"/>
      <c r="CD92" s="116"/>
      <c r="CE92" s="124">
        <f t="shared" si="18"/>
        <v>0</v>
      </c>
      <c r="CF92" s="44">
        <f t="shared" si="19"/>
        <v>0</v>
      </c>
      <c r="CG92" s="163"/>
      <c r="CH92" s="163"/>
      <c r="CI92" s="238"/>
      <c r="CJ92" s="163"/>
      <c r="CK92" s="163"/>
      <c r="CL92" s="163"/>
      <c r="CM92" s="163"/>
      <c r="CN92" s="163"/>
      <c r="CO92" s="163"/>
      <c r="CP92" s="163"/>
      <c r="CQ92" s="163"/>
      <c r="CR92" s="163"/>
      <c r="CS92" s="163"/>
      <c r="CT92" s="163"/>
      <c r="CU92" s="163"/>
      <c r="CV92" s="163"/>
      <c r="CW92" s="128">
        <f t="shared" si="20"/>
        <v>0</v>
      </c>
      <c r="CX92" s="214">
        <f t="shared" si="21"/>
        <v>0</v>
      </c>
      <c r="CY92" s="171"/>
      <c r="CZ92" s="171"/>
      <c r="DA92" s="171"/>
      <c r="DB92" s="171"/>
      <c r="DC92" s="171"/>
      <c r="DD92" s="171"/>
      <c r="DE92" s="171"/>
      <c r="DF92" s="171"/>
      <c r="DG92" s="171"/>
      <c r="DH92" s="171"/>
      <c r="DI92" s="171"/>
      <c r="DJ92" s="171"/>
      <c r="DK92" s="128">
        <f t="shared" si="22"/>
        <v>0</v>
      </c>
      <c r="DL92" s="158" t="str">
        <f t="shared" si="23"/>
        <v>#DIV/0!</v>
      </c>
    </row>
    <row r="93" ht="15.75" customHeight="1"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9"/>
      <c r="AK93" s="12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9"/>
      <c r="BH93" s="14"/>
      <c r="BI93" s="11"/>
      <c r="BJ93" s="11"/>
      <c r="BK93" s="11"/>
      <c r="BL93" s="11"/>
      <c r="BM93" s="11"/>
      <c r="BN93" s="11"/>
      <c r="BO93" s="11"/>
      <c r="BP93" s="11"/>
      <c r="BQ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9"/>
      <c r="CF93" s="9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</row>
    <row r="94" ht="15.75" customHeight="1"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9"/>
      <c r="AK94" s="12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9"/>
      <c r="BH94" s="14"/>
      <c r="BI94" s="11"/>
      <c r="BJ94" s="11"/>
      <c r="BK94" s="11"/>
      <c r="BL94" s="11"/>
      <c r="BM94" s="11"/>
      <c r="BN94" s="11"/>
      <c r="BO94" s="11"/>
      <c r="BP94" s="11"/>
      <c r="BQ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9"/>
      <c r="CF94" s="9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</row>
    <row r="95" ht="15.75" customHeight="1"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9"/>
      <c r="AK95" s="12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9"/>
      <c r="BH95" s="14"/>
      <c r="BI95" s="11"/>
      <c r="BJ95" s="11"/>
      <c r="BK95" s="11"/>
      <c r="BL95" s="11"/>
      <c r="BM95" s="11"/>
      <c r="BN95" s="11"/>
      <c r="BO95" s="11"/>
      <c r="BP95" s="11"/>
      <c r="BQ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9"/>
      <c r="CF95" s="9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</row>
    <row r="96" ht="15.75" customHeight="1"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9"/>
      <c r="AK96" s="12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9"/>
      <c r="BH96" s="14"/>
      <c r="BI96" s="11"/>
      <c r="BJ96" s="11"/>
      <c r="BK96" s="11"/>
      <c r="BL96" s="11"/>
      <c r="BM96" s="11"/>
      <c r="BN96" s="11"/>
      <c r="BO96" s="11"/>
      <c r="BP96" s="11"/>
      <c r="BQ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9"/>
      <c r="CF96" s="9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</row>
    <row r="97" ht="15.75" customHeight="1"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9"/>
      <c r="AK97" s="12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9"/>
      <c r="BH97" s="14"/>
      <c r="BI97" s="11"/>
      <c r="BJ97" s="11"/>
      <c r="BK97" s="11"/>
      <c r="BL97" s="11"/>
      <c r="BM97" s="11"/>
      <c r="BN97" s="11"/>
      <c r="BO97" s="11"/>
      <c r="BP97" s="11"/>
      <c r="BQ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9"/>
      <c r="CF97" s="9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</row>
    <row r="98" ht="15.75" customHeight="1"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9"/>
      <c r="AK98" s="12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9"/>
      <c r="BH98" s="14"/>
      <c r="BI98" s="11"/>
      <c r="BJ98" s="11"/>
      <c r="BK98" s="11"/>
      <c r="BL98" s="11"/>
      <c r="BM98" s="11"/>
      <c r="BN98" s="11"/>
      <c r="BO98" s="11"/>
      <c r="BP98" s="11"/>
      <c r="BQ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9"/>
      <c r="CF98" s="9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</row>
    <row r="99" ht="15.75" customHeight="1"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9"/>
      <c r="AK99" s="12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9"/>
      <c r="BH99" s="14"/>
      <c r="BI99" s="11"/>
      <c r="BJ99" s="11"/>
      <c r="BK99" s="11"/>
      <c r="BL99" s="11"/>
      <c r="BM99" s="11"/>
      <c r="BN99" s="11"/>
      <c r="BO99" s="11"/>
      <c r="BP99" s="11"/>
      <c r="BQ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9"/>
      <c r="CF99" s="9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</row>
    <row r="100" ht="15.75" customHeight="1"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9"/>
      <c r="AK100" s="12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9"/>
      <c r="BH100" s="14"/>
      <c r="BI100" s="11"/>
      <c r="BJ100" s="11"/>
      <c r="BK100" s="11"/>
      <c r="BL100" s="11"/>
      <c r="BM100" s="11"/>
      <c r="BN100" s="11"/>
      <c r="BO100" s="11"/>
      <c r="BP100" s="11"/>
      <c r="BQ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9"/>
      <c r="CF100" s="9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</row>
    <row r="101" ht="15.75" customHeight="1"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9"/>
      <c r="AK101" s="12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9"/>
      <c r="BH101" s="14"/>
      <c r="BI101" s="11"/>
      <c r="BJ101" s="11"/>
      <c r="BK101" s="11"/>
      <c r="BL101" s="11"/>
      <c r="BM101" s="11"/>
      <c r="BN101" s="11"/>
      <c r="BO101" s="11"/>
      <c r="BP101" s="11"/>
      <c r="BQ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9"/>
      <c r="CF101" s="9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</row>
    <row r="102" ht="15.75" customHeight="1"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9"/>
      <c r="AK102" s="12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9"/>
      <c r="BH102" s="14"/>
      <c r="BI102" s="11"/>
      <c r="BJ102" s="11"/>
      <c r="BK102" s="11"/>
      <c r="BL102" s="11"/>
      <c r="BM102" s="11"/>
      <c r="BN102" s="11"/>
      <c r="BO102" s="11"/>
      <c r="BP102" s="11"/>
      <c r="BQ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9"/>
      <c r="CF102" s="9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</row>
    <row r="103" ht="15.75" customHeight="1"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9"/>
      <c r="AK103" s="12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9"/>
      <c r="BH103" s="14"/>
      <c r="BI103" s="11"/>
      <c r="BJ103" s="11"/>
      <c r="BK103" s="11"/>
      <c r="BL103" s="11"/>
      <c r="BM103" s="11"/>
      <c r="BN103" s="11"/>
      <c r="BO103" s="11"/>
      <c r="BP103" s="11"/>
      <c r="BQ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9"/>
      <c r="CF103" s="9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</row>
    <row r="104" ht="15.75" customHeight="1"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9"/>
      <c r="AK104" s="12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9"/>
      <c r="BH104" s="14"/>
      <c r="BI104" s="11"/>
      <c r="BJ104" s="11"/>
      <c r="BK104" s="11"/>
      <c r="BL104" s="11"/>
      <c r="BM104" s="11"/>
      <c r="BN104" s="11"/>
      <c r="BO104" s="11"/>
      <c r="BP104" s="11"/>
      <c r="BQ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9"/>
      <c r="CF104" s="9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</row>
    <row r="105" ht="15.75" customHeight="1"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9"/>
      <c r="AK105" s="12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9"/>
      <c r="BH105" s="14"/>
      <c r="BI105" s="11"/>
      <c r="BJ105" s="11"/>
      <c r="BK105" s="11"/>
      <c r="BL105" s="11"/>
      <c r="BM105" s="11"/>
      <c r="BN105" s="11"/>
      <c r="BO105" s="11"/>
      <c r="BP105" s="11"/>
      <c r="BQ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9"/>
      <c r="CF105" s="9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  <c r="DK105" s="16"/>
      <c r="DL105" s="16"/>
    </row>
    <row r="106" ht="15.75" customHeight="1"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9"/>
      <c r="AK106" s="12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9"/>
      <c r="BH106" s="14"/>
      <c r="BI106" s="11"/>
      <c r="BJ106" s="11"/>
      <c r="BK106" s="11"/>
      <c r="BL106" s="11"/>
      <c r="BM106" s="11"/>
      <c r="BN106" s="11"/>
      <c r="BO106" s="11"/>
      <c r="BP106" s="11"/>
      <c r="BQ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9"/>
      <c r="CF106" s="9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  <c r="DJ106" s="16"/>
      <c r="DK106" s="16"/>
      <c r="DL106" s="16"/>
    </row>
    <row r="107" ht="15.75" customHeight="1"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9"/>
      <c r="AK107" s="12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9"/>
      <c r="BH107" s="14"/>
      <c r="BI107" s="11"/>
      <c r="BJ107" s="11"/>
      <c r="BK107" s="11"/>
      <c r="BL107" s="11"/>
      <c r="BM107" s="11"/>
      <c r="BN107" s="11"/>
      <c r="BO107" s="11"/>
      <c r="BP107" s="11"/>
      <c r="BQ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9"/>
      <c r="CF107" s="9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</row>
    <row r="108" ht="15.75" customHeight="1"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9"/>
      <c r="AK108" s="12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9"/>
      <c r="BH108" s="14"/>
      <c r="BI108" s="11"/>
      <c r="BJ108" s="11"/>
      <c r="BK108" s="11"/>
      <c r="BL108" s="11"/>
      <c r="BM108" s="11"/>
      <c r="BN108" s="11"/>
      <c r="BO108" s="11"/>
      <c r="BP108" s="11"/>
      <c r="BQ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9"/>
      <c r="CF108" s="9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</row>
    <row r="109" ht="15.75" customHeight="1"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9"/>
      <c r="AK109" s="12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9"/>
      <c r="BH109" s="14"/>
      <c r="BI109" s="11"/>
      <c r="BJ109" s="11"/>
      <c r="BK109" s="11"/>
      <c r="BL109" s="11"/>
      <c r="BM109" s="11"/>
      <c r="BN109" s="11"/>
      <c r="BO109" s="11"/>
      <c r="BP109" s="11"/>
      <c r="BQ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9"/>
      <c r="CF109" s="9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</row>
    <row r="110" ht="15.75" customHeight="1"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9"/>
      <c r="AK110" s="12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9"/>
      <c r="BH110" s="14"/>
      <c r="BI110" s="11"/>
      <c r="BJ110" s="11"/>
      <c r="BK110" s="11"/>
      <c r="BL110" s="11"/>
      <c r="BM110" s="11"/>
      <c r="BN110" s="11"/>
      <c r="BO110" s="11"/>
      <c r="BP110" s="11"/>
      <c r="BQ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9"/>
      <c r="CF110" s="9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</row>
    <row r="111" ht="15.75" customHeight="1"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9"/>
      <c r="AK111" s="12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9"/>
      <c r="BH111" s="14"/>
      <c r="BI111" s="11"/>
      <c r="BJ111" s="11"/>
      <c r="BK111" s="11"/>
      <c r="BL111" s="11"/>
      <c r="BM111" s="11"/>
      <c r="BN111" s="11"/>
      <c r="BO111" s="11"/>
      <c r="BP111" s="11"/>
      <c r="BQ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9"/>
      <c r="CF111" s="9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  <c r="DJ111" s="16"/>
      <c r="DK111" s="16"/>
      <c r="DL111" s="16"/>
    </row>
    <row r="112" ht="15.75" customHeight="1"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9"/>
      <c r="AK112" s="12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9"/>
      <c r="BH112" s="14"/>
      <c r="BI112" s="11"/>
      <c r="BJ112" s="11"/>
      <c r="BK112" s="11"/>
      <c r="BL112" s="11"/>
      <c r="BM112" s="11"/>
      <c r="BN112" s="11"/>
      <c r="BO112" s="11"/>
      <c r="BP112" s="11"/>
      <c r="BQ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9"/>
      <c r="CF112" s="9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  <c r="DK112" s="16"/>
      <c r="DL112" s="16"/>
    </row>
    <row r="113" ht="15.75" customHeight="1"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9"/>
      <c r="AK113" s="12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9"/>
      <c r="BH113" s="14"/>
      <c r="BI113" s="11"/>
      <c r="BJ113" s="11"/>
      <c r="BK113" s="11"/>
      <c r="BL113" s="11"/>
      <c r="BM113" s="11"/>
      <c r="BN113" s="11"/>
      <c r="BO113" s="11"/>
      <c r="BP113" s="11"/>
      <c r="BQ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9"/>
      <c r="CF113" s="9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  <c r="DJ113" s="16"/>
      <c r="DK113" s="16"/>
      <c r="DL113" s="16"/>
    </row>
    <row r="114" ht="15.75" customHeight="1"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9"/>
      <c r="AK114" s="12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9"/>
      <c r="BH114" s="14"/>
      <c r="BI114" s="11"/>
      <c r="BJ114" s="11"/>
      <c r="BK114" s="11"/>
      <c r="BL114" s="11"/>
      <c r="BM114" s="11"/>
      <c r="BN114" s="11"/>
      <c r="BO114" s="11"/>
      <c r="BP114" s="11"/>
      <c r="BQ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9"/>
      <c r="CF114" s="9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</row>
    <row r="115" ht="15.75" customHeight="1"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9"/>
      <c r="AK115" s="12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9"/>
      <c r="BH115" s="14"/>
      <c r="BI115" s="11"/>
      <c r="BJ115" s="11"/>
      <c r="BK115" s="11"/>
      <c r="BL115" s="11"/>
      <c r="BM115" s="11"/>
      <c r="BN115" s="11"/>
      <c r="BO115" s="11"/>
      <c r="BP115" s="11"/>
      <c r="BQ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9"/>
      <c r="CF115" s="9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  <c r="DJ115" s="16"/>
      <c r="DK115" s="16"/>
      <c r="DL115" s="16"/>
    </row>
    <row r="116" ht="15.75" customHeight="1"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9"/>
      <c r="AK116" s="12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9"/>
      <c r="BH116" s="14"/>
      <c r="BI116" s="11"/>
      <c r="BJ116" s="11"/>
      <c r="BK116" s="11"/>
      <c r="BL116" s="11"/>
      <c r="BM116" s="11"/>
      <c r="BN116" s="11"/>
      <c r="BO116" s="11"/>
      <c r="BP116" s="11"/>
      <c r="BQ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9"/>
      <c r="CF116" s="9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  <c r="DJ116" s="16"/>
      <c r="DK116" s="16"/>
      <c r="DL116" s="16"/>
    </row>
    <row r="117" ht="15.75" customHeight="1"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9"/>
      <c r="AK117" s="12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9"/>
      <c r="BH117" s="14"/>
      <c r="BI117" s="11"/>
      <c r="BJ117" s="11"/>
      <c r="BK117" s="11"/>
      <c r="BL117" s="11"/>
      <c r="BM117" s="11"/>
      <c r="BN117" s="11"/>
      <c r="BO117" s="11"/>
      <c r="BP117" s="11"/>
      <c r="BQ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9"/>
      <c r="CF117" s="9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</row>
    <row r="118" ht="15.75" customHeight="1"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9"/>
      <c r="AK118" s="12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9"/>
      <c r="BH118" s="14"/>
      <c r="BI118" s="11"/>
      <c r="BJ118" s="11"/>
      <c r="BK118" s="11"/>
      <c r="BL118" s="11"/>
      <c r="BM118" s="11"/>
      <c r="BN118" s="11"/>
      <c r="BO118" s="11"/>
      <c r="BP118" s="11"/>
      <c r="BQ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9"/>
      <c r="CF118" s="9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  <c r="DJ118" s="16"/>
      <c r="DK118" s="16"/>
      <c r="DL118" s="16"/>
    </row>
    <row r="119" ht="15.75" customHeight="1"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9"/>
      <c r="AK119" s="12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9"/>
      <c r="BH119" s="14"/>
      <c r="BI119" s="11"/>
      <c r="BJ119" s="11"/>
      <c r="BK119" s="11"/>
      <c r="BL119" s="11"/>
      <c r="BM119" s="11"/>
      <c r="BN119" s="11"/>
      <c r="BO119" s="11"/>
      <c r="BP119" s="11"/>
      <c r="BQ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9"/>
      <c r="CF119" s="9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  <c r="DJ119" s="16"/>
      <c r="DK119" s="16"/>
      <c r="DL119" s="16"/>
    </row>
    <row r="120" ht="15.75" customHeight="1"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9"/>
      <c r="AK120" s="12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9"/>
      <c r="BH120" s="14"/>
      <c r="BI120" s="11"/>
      <c r="BJ120" s="11"/>
      <c r="BK120" s="11"/>
      <c r="BL120" s="11"/>
      <c r="BM120" s="11"/>
      <c r="BN120" s="11"/>
      <c r="BO120" s="11"/>
      <c r="BP120" s="11"/>
      <c r="BQ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9"/>
      <c r="CF120" s="9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  <c r="DJ120" s="16"/>
      <c r="DK120" s="16"/>
      <c r="DL120" s="16"/>
    </row>
    <row r="121" ht="15.75" customHeight="1"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9"/>
      <c r="AK121" s="12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9"/>
      <c r="BH121" s="14"/>
      <c r="BI121" s="11"/>
      <c r="BJ121" s="11"/>
      <c r="BK121" s="11"/>
      <c r="BL121" s="11"/>
      <c r="BM121" s="11"/>
      <c r="BN121" s="11"/>
      <c r="BO121" s="11"/>
      <c r="BP121" s="11"/>
      <c r="BQ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9"/>
      <c r="CF121" s="9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  <c r="DJ121" s="16"/>
      <c r="DK121" s="16"/>
      <c r="DL121" s="16"/>
    </row>
    <row r="122" ht="15.75" customHeight="1"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9"/>
      <c r="AK122" s="12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9"/>
      <c r="BH122" s="14"/>
      <c r="BI122" s="11"/>
      <c r="BJ122" s="11"/>
      <c r="BK122" s="11"/>
      <c r="BL122" s="11"/>
      <c r="BM122" s="11"/>
      <c r="BN122" s="11"/>
      <c r="BO122" s="11"/>
      <c r="BP122" s="11"/>
      <c r="BQ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9"/>
      <c r="CF122" s="9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  <c r="DJ122" s="16"/>
      <c r="DK122" s="16"/>
      <c r="DL122" s="16"/>
    </row>
    <row r="123" ht="15.75" customHeight="1"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9"/>
      <c r="AK123" s="12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9"/>
      <c r="BH123" s="14"/>
      <c r="BI123" s="11"/>
      <c r="BJ123" s="11"/>
      <c r="BK123" s="11"/>
      <c r="BL123" s="11"/>
      <c r="BM123" s="11"/>
      <c r="BN123" s="11"/>
      <c r="BO123" s="11"/>
      <c r="BP123" s="11"/>
      <c r="BQ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9"/>
      <c r="CF123" s="9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  <c r="DJ123" s="16"/>
      <c r="DK123" s="16"/>
      <c r="DL123" s="16"/>
    </row>
    <row r="124" ht="15.75" customHeight="1"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9"/>
      <c r="AK124" s="12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9"/>
      <c r="BH124" s="14"/>
      <c r="BI124" s="11"/>
      <c r="BJ124" s="11"/>
      <c r="BK124" s="11"/>
      <c r="BL124" s="11"/>
      <c r="BM124" s="11"/>
      <c r="BN124" s="11"/>
      <c r="BO124" s="11"/>
      <c r="BP124" s="11"/>
      <c r="BQ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9"/>
      <c r="CF124" s="9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</row>
    <row r="125" ht="15.75" customHeight="1"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9"/>
      <c r="AK125" s="12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9"/>
      <c r="BH125" s="14"/>
      <c r="BI125" s="11"/>
      <c r="BJ125" s="11"/>
      <c r="BK125" s="11"/>
      <c r="BL125" s="11"/>
      <c r="BM125" s="11"/>
      <c r="BN125" s="11"/>
      <c r="BO125" s="11"/>
      <c r="BP125" s="11"/>
      <c r="BQ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9"/>
      <c r="CF125" s="9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  <c r="DJ125" s="16"/>
      <c r="DK125" s="16"/>
      <c r="DL125" s="16"/>
    </row>
    <row r="126" ht="15.75" customHeight="1"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9"/>
      <c r="AK126" s="12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9"/>
      <c r="BH126" s="14"/>
      <c r="BI126" s="11"/>
      <c r="BJ126" s="11"/>
      <c r="BK126" s="11"/>
      <c r="BL126" s="11"/>
      <c r="BM126" s="11"/>
      <c r="BN126" s="11"/>
      <c r="BO126" s="11"/>
      <c r="BP126" s="11"/>
      <c r="BQ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9"/>
      <c r="CF126" s="9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  <c r="DJ126" s="16"/>
      <c r="DK126" s="16"/>
      <c r="DL126" s="16"/>
    </row>
    <row r="127" ht="15.75" customHeight="1"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9"/>
      <c r="AK127" s="12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9"/>
      <c r="BH127" s="14"/>
      <c r="BI127" s="11"/>
      <c r="BJ127" s="11"/>
      <c r="BK127" s="11"/>
      <c r="BL127" s="11"/>
      <c r="BM127" s="11"/>
      <c r="BN127" s="11"/>
      <c r="BO127" s="11"/>
      <c r="BP127" s="11"/>
      <c r="BQ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9"/>
      <c r="CF127" s="9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/>
      <c r="DI127" s="16"/>
      <c r="DJ127" s="16"/>
      <c r="DK127" s="16"/>
      <c r="DL127" s="16"/>
    </row>
    <row r="128" ht="15.75" customHeight="1"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9"/>
      <c r="AK128" s="12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9"/>
      <c r="BH128" s="14"/>
      <c r="BI128" s="11"/>
      <c r="BJ128" s="11"/>
      <c r="BK128" s="11"/>
      <c r="BL128" s="11"/>
      <c r="BM128" s="11"/>
      <c r="BN128" s="11"/>
      <c r="BO128" s="11"/>
      <c r="BP128" s="11"/>
      <c r="BQ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9"/>
      <c r="CF128" s="9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  <c r="DJ128" s="16"/>
      <c r="DK128" s="16"/>
      <c r="DL128" s="16"/>
    </row>
    <row r="129" ht="15.75" customHeight="1"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9"/>
      <c r="AK129" s="12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9"/>
      <c r="BH129" s="14"/>
      <c r="BI129" s="11"/>
      <c r="BJ129" s="11"/>
      <c r="BK129" s="11"/>
      <c r="BL129" s="11"/>
      <c r="BM129" s="11"/>
      <c r="BN129" s="11"/>
      <c r="BO129" s="11"/>
      <c r="BP129" s="11"/>
      <c r="BQ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9"/>
      <c r="CF129" s="9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  <c r="DJ129" s="16"/>
      <c r="DK129" s="16"/>
      <c r="DL129" s="16"/>
    </row>
    <row r="130" ht="15.75" customHeight="1"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9"/>
      <c r="AK130" s="12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9"/>
      <c r="BH130" s="14"/>
      <c r="BI130" s="11"/>
      <c r="BJ130" s="11"/>
      <c r="BK130" s="11"/>
      <c r="BL130" s="11"/>
      <c r="BM130" s="11"/>
      <c r="BN130" s="11"/>
      <c r="BO130" s="11"/>
      <c r="BP130" s="11"/>
      <c r="BQ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9"/>
      <c r="CF130" s="9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  <c r="DK130" s="16"/>
      <c r="DL130" s="16"/>
    </row>
    <row r="131" ht="15.75" customHeight="1"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9"/>
      <c r="AK131" s="12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9"/>
      <c r="BH131" s="14"/>
      <c r="BI131" s="11"/>
      <c r="BJ131" s="11"/>
      <c r="BK131" s="11"/>
      <c r="BL131" s="11"/>
      <c r="BM131" s="11"/>
      <c r="BN131" s="11"/>
      <c r="BO131" s="11"/>
      <c r="BP131" s="11"/>
      <c r="BQ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9"/>
      <c r="CF131" s="9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</row>
    <row r="132" ht="15.75" customHeight="1"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9"/>
      <c r="AK132" s="12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9"/>
      <c r="BH132" s="14"/>
      <c r="BI132" s="11"/>
      <c r="BJ132" s="11"/>
      <c r="BK132" s="11"/>
      <c r="BL132" s="11"/>
      <c r="BM132" s="11"/>
      <c r="BN132" s="11"/>
      <c r="BO132" s="11"/>
      <c r="BP132" s="11"/>
      <c r="BQ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9"/>
      <c r="CF132" s="9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  <c r="DK132" s="16"/>
      <c r="DL132" s="16"/>
    </row>
    <row r="133" ht="15.75" customHeight="1"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9"/>
      <c r="AK133" s="12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9"/>
      <c r="BH133" s="14"/>
      <c r="BI133" s="11"/>
      <c r="BJ133" s="11"/>
      <c r="BK133" s="11"/>
      <c r="BL133" s="11"/>
      <c r="BM133" s="11"/>
      <c r="BN133" s="11"/>
      <c r="BO133" s="11"/>
      <c r="BP133" s="11"/>
      <c r="BQ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9"/>
      <c r="CF133" s="9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  <c r="DJ133" s="16"/>
      <c r="DK133" s="16"/>
      <c r="DL133" s="16"/>
    </row>
    <row r="134" ht="15.75" customHeight="1"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9"/>
      <c r="AK134" s="12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9"/>
      <c r="BH134" s="14"/>
      <c r="BI134" s="11"/>
      <c r="BJ134" s="11"/>
      <c r="BK134" s="11"/>
      <c r="BL134" s="11"/>
      <c r="BM134" s="11"/>
      <c r="BN134" s="11"/>
      <c r="BO134" s="11"/>
      <c r="BP134" s="11"/>
      <c r="BQ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9"/>
      <c r="CF134" s="9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</row>
    <row r="135" ht="15.75" customHeight="1"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9"/>
      <c r="AK135" s="12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9"/>
      <c r="BH135" s="14"/>
      <c r="BI135" s="11"/>
      <c r="BJ135" s="11"/>
      <c r="BK135" s="11"/>
      <c r="BL135" s="11"/>
      <c r="BM135" s="11"/>
      <c r="BN135" s="11"/>
      <c r="BO135" s="11"/>
      <c r="BP135" s="11"/>
      <c r="BQ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9"/>
      <c r="CF135" s="9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  <c r="DJ135" s="16"/>
      <c r="DK135" s="16"/>
      <c r="DL135" s="16"/>
    </row>
    <row r="136" ht="15.75" customHeight="1"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9"/>
      <c r="AK136" s="12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9"/>
      <c r="BH136" s="14"/>
      <c r="BI136" s="11"/>
      <c r="BJ136" s="11"/>
      <c r="BK136" s="11"/>
      <c r="BL136" s="11"/>
      <c r="BM136" s="11"/>
      <c r="BN136" s="11"/>
      <c r="BO136" s="11"/>
      <c r="BP136" s="11"/>
      <c r="BQ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9"/>
      <c r="CF136" s="9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</row>
    <row r="137" ht="15.75" customHeight="1"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9"/>
      <c r="AK137" s="12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9"/>
      <c r="BH137" s="14"/>
      <c r="BI137" s="11"/>
      <c r="BJ137" s="11"/>
      <c r="BK137" s="11"/>
      <c r="BL137" s="11"/>
      <c r="BM137" s="11"/>
      <c r="BN137" s="11"/>
      <c r="BO137" s="11"/>
      <c r="BP137" s="11"/>
      <c r="BQ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9"/>
      <c r="CF137" s="9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  <c r="DJ137" s="16"/>
      <c r="DK137" s="16"/>
      <c r="DL137" s="16"/>
    </row>
    <row r="138" ht="15.75" customHeight="1"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9"/>
      <c r="AK138" s="12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9"/>
      <c r="BH138" s="14"/>
      <c r="BI138" s="11"/>
      <c r="BJ138" s="11"/>
      <c r="BK138" s="11"/>
      <c r="BL138" s="11"/>
      <c r="BM138" s="11"/>
      <c r="BN138" s="11"/>
      <c r="BO138" s="11"/>
      <c r="BP138" s="11"/>
      <c r="BQ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9"/>
      <c r="CF138" s="9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</row>
    <row r="139" ht="15.75" customHeight="1"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9"/>
      <c r="AK139" s="12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9"/>
      <c r="BH139" s="14"/>
      <c r="BI139" s="11"/>
      <c r="BJ139" s="11"/>
      <c r="BK139" s="11"/>
      <c r="BL139" s="11"/>
      <c r="BM139" s="11"/>
      <c r="BN139" s="11"/>
      <c r="BO139" s="11"/>
      <c r="BP139" s="11"/>
      <c r="BQ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9"/>
      <c r="CF139" s="9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  <c r="DJ139" s="16"/>
      <c r="DK139" s="16"/>
      <c r="DL139" s="16"/>
    </row>
    <row r="140" ht="15.75" customHeight="1"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9"/>
      <c r="AK140" s="12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9"/>
      <c r="BH140" s="14"/>
      <c r="BI140" s="11"/>
      <c r="BJ140" s="11"/>
      <c r="BK140" s="11"/>
      <c r="BL140" s="11"/>
      <c r="BM140" s="11"/>
      <c r="BN140" s="11"/>
      <c r="BO140" s="11"/>
      <c r="BP140" s="11"/>
      <c r="BQ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9"/>
      <c r="CF140" s="9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  <c r="DJ140" s="16"/>
      <c r="DK140" s="16"/>
      <c r="DL140" s="16"/>
    </row>
    <row r="141" ht="15.75" customHeight="1"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9"/>
      <c r="AK141" s="12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9"/>
      <c r="BH141" s="14"/>
      <c r="BI141" s="11"/>
      <c r="BJ141" s="11"/>
      <c r="BK141" s="11"/>
      <c r="BL141" s="11"/>
      <c r="BM141" s="11"/>
      <c r="BN141" s="11"/>
      <c r="BO141" s="11"/>
      <c r="BP141" s="11"/>
      <c r="BQ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9"/>
      <c r="CF141" s="9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/>
      <c r="DI141" s="16"/>
      <c r="DJ141" s="16"/>
      <c r="DK141" s="16"/>
      <c r="DL141" s="16"/>
    </row>
    <row r="142" ht="15.75" customHeight="1"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9"/>
      <c r="AK142" s="12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9"/>
      <c r="BH142" s="14"/>
      <c r="BI142" s="11"/>
      <c r="BJ142" s="11"/>
      <c r="BK142" s="11"/>
      <c r="BL142" s="11"/>
      <c r="BM142" s="11"/>
      <c r="BN142" s="11"/>
      <c r="BO142" s="11"/>
      <c r="BP142" s="11"/>
      <c r="BQ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9"/>
      <c r="CF142" s="9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/>
      <c r="DI142" s="16"/>
      <c r="DJ142" s="16"/>
      <c r="DK142" s="16"/>
      <c r="DL142" s="16"/>
    </row>
    <row r="143" ht="15.75" customHeight="1"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9"/>
      <c r="AK143" s="12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9"/>
      <c r="BH143" s="14"/>
      <c r="BI143" s="11"/>
      <c r="BJ143" s="11"/>
      <c r="BK143" s="11"/>
      <c r="BL143" s="11"/>
      <c r="BM143" s="11"/>
      <c r="BN143" s="11"/>
      <c r="BO143" s="11"/>
      <c r="BP143" s="11"/>
      <c r="BQ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9"/>
      <c r="CF143" s="9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  <c r="DJ143" s="16"/>
      <c r="DK143" s="16"/>
      <c r="DL143" s="16"/>
    </row>
    <row r="144" ht="15.75" customHeight="1"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9"/>
      <c r="AK144" s="12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9"/>
      <c r="BH144" s="14"/>
      <c r="BI144" s="11"/>
      <c r="BJ144" s="11"/>
      <c r="BK144" s="11"/>
      <c r="BL144" s="11"/>
      <c r="BM144" s="11"/>
      <c r="BN144" s="11"/>
      <c r="BO144" s="11"/>
      <c r="BP144" s="11"/>
      <c r="BQ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9"/>
      <c r="CF144" s="9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  <c r="DJ144" s="16"/>
      <c r="DK144" s="16"/>
      <c r="DL144" s="16"/>
    </row>
    <row r="145" ht="15.75" customHeight="1"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9"/>
      <c r="AK145" s="12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9"/>
      <c r="BH145" s="14"/>
      <c r="BI145" s="11"/>
      <c r="BJ145" s="11"/>
      <c r="BK145" s="11"/>
      <c r="BL145" s="11"/>
      <c r="BM145" s="11"/>
      <c r="BN145" s="11"/>
      <c r="BO145" s="11"/>
      <c r="BP145" s="11"/>
      <c r="BQ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9"/>
      <c r="CF145" s="9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</row>
    <row r="146" ht="15.75" customHeight="1"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9"/>
      <c r="AK146" s="12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9"/>
      <c r="BH146" s="14"/>
      <c r="BI146" s="11"/>
      <c r="BJ146" s="11"/>
      <c r="BK146" s="11"/>
      <c r="BL146" s="11"/>
      <c r="BM146" s="11"/>
      <c r="BN146" s="11"/>
      <c r="BO146" s="11"/>
      <c r="BP146" s="11"/>
      <c r="BQ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9"/>
      <c r="CF146" s="9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  <c r="DJ146" s="16"/>
      <c r="DK146" s="16"/>
      <c r="DL146" s="16"/>
    </row>
    <row r="147" ht="15.75" customHeight="1"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9"/>
      <c r="AK147" s="12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9"/>
      <c r="BH147" s="14"/>
      <c r="BI147" s="11"/>
      <c r="BJ147" s="11"/>
      <c r="BK147" s="11"/>
      <c r="BL147" s="11"/>
      <c r="BM147" s="11"/>
      <c r="BN147" s="11"/>
      <c r="BO147" s="11"/>
      <c r="BP147" s="11"/>
      <c r="BQ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9"/>
      <c r="CF147" s="9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/>
      <c r="DI147" s="16"/>
      <c r="DJ147" s="16"/>
      <c r="DK147" s="16"/>
      <c r="DL147" s="16"/>
    </row>
    <row r="148" ht="15.75" customHeight="1"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9"/>
      <c r="AK148" s="12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9"/>
      <c r="BH148" s="14"/>
      <c r="BI148" s="11"/>
      <c r="BJ148" s="11"/>
      <c r="BK148" s="11"/>
      <c r="BL148" s="11"/>
      <c r="BM148" s="11"/>
      <c r="BN148" s="11"/>
      <c r="BO148" s="11"/>
      <c r="BP148" s="11"/>
      <c r="BQ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9"/>
      <c r="CF148" s="9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  <c r="CU148" s="11"/>
      <c r="CV148" s="11"/>
      <c r="CW148" s="11"/>
      <c r="CX148" s="11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  <c r="DJ148" s="16"/>
      <c r="DK148" s="16"/>
      <c r="DL148" s="16"/>
    </row>
    <row r="149" ht="15.75" customHeight="1"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9"/>
      <c r="AK149" s="12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9"/>
      <c r="BH149" s="14"/>
      <c r="BI149" s="11"/>
      <c r="BJ149" s="11"/>
      <c r="BK149" s="11"/>
      <c r="BL149" s="11"/>
      <c r="BM149" s="11"/>
      <c r="BN149" s="11"/>
      <c r="BO149" s="11"/>
      <c r="BP149" s="11"/>
      <c r="BQ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9"/>
      <c r="CF149" s="9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  <c r="DJ149" s="16"/>
      <c r="DK149" s="16"/>
      <c r="DL149" s="16"/>
    </row>
    <row r="150" ht="15.75" customHeight="1"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9"/>
      <c r="AK150" s="12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9"/>
      <c r="BH150" s="14"/>
      <c r="BI150" s="11"/>
      <c r="BJ150" s="11"/>
      <c r="BK150" s="11"/>
      <c r="BL150" s="11"/>
      <c r="BM150" s="11"/>
      <c r="BN150" s="11"/>
      <c r="BO150" s="11"/>
      <c r="BP150" s="11"/>
      <c r="BQ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9"/>
      <c r="CF150" s="9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  <c r="DJ150" s="16"/>
      <c r="DK150" s="16"/>
      <c r="DL150" s="16"/>
    </row>
    <row r="151" ht="15.75" customHeight="1"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9"/>
      <c r="AK151" s="12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9"/>
      <c r="BH151" s="14"/>
      <c r="BI151" s="11"/>
      <c r="BJ151" s="11"/>
      <c r="BK151" s="11"/>
      <c r="BL151" s="11"/>
      <c r="BM151" s="11"/>
      <c r="BN151" s="11"/>
      <c r="BO151" s="11"/>
      <c r="BP151" s="11"/>
      <c r="BQ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9"/>
      <c r="CF151" s="9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  <c r="DJ151" s="16"/>
      <c r="DK151" s="16"/>
      <c r="DL151" s="16"/>
    </row>
    <row r="152" ht="15.75" customHeight="1"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9"/>
      <c r="AK152" s="12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9"/>
      <c r="BH152" s="14"/>
      <c r="BI152" s="11"/>
      <c r="BJ152" s="11"/>
      <c r="BK152" s="11"/>
      <c r="BL152" s="11"/>
      <c r="BM152" s="11"/>
      <c r="BN152" s="11"/>
      <c r="BO152" s="11"/>
      <c r="BP152" s="11"/>
      <c r="BQ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9"/>
      <c r="CF152" s="9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  <c r="DK152" s="16"/>
      <c r="DL152" s="16"/>
    </row>
    <row r="153" ht="15.75" customHeight="1"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9"/>
      <c r="AK153" s="12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9"/>
      <c r="BH153" s="14"/>
      <c r="BI153" s="11"/>
      <c r="BJ153" s="11"/>
      <c r="BK153" s="11"/>
      <c r="BL153" s="11"/>
      <c r="BM153" s="11"/>
      <c r="BN153" s="11"/>
      <c r="BO153" s="11"/>
      <c r="BP153" s="11"/>
      <c r="BQ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9"/>
      <c r="CF153" s="9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  <c r="DJ153" s="16"/>
      <c r="DK153" s="16"/>
      <c r="DL153" s="16"/>
    </row>
    <row r="154" ht="15.75" customHeight="1"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9"/>
      <c r="AK154" s="12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9"/>
      <c r="BH154" s="14"/>
      <c r="BI154" s="11"/>
      <c r="BJ154" s="11"/>
      <c r="BK154" s="11"/>
      <c r="BL154" s="11"/>
      <c r="BM154" s="11"/>
      <c r="BN154" s="11"/>
      <c r="BO154" s="11"/>
      <c r="BP154" s="11"/>
      <c r="BQ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9"/>
      <c r="CF154" s="9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  <c r="CU154" s="11"/>
      <c r="CV154" s="11"/>
      <c r="CW154" s="11"/>
      <c r="CX154" s="11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  <c r="DJ154" s="16"/>
      <c r="DK154" s="16"/>
      <c r="DL154" s="16"/>
    </row>
    <row r="155" ht="15.75" customHeight="1"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9"/>
      <c r="AK155" s="12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9"/>
      <c r="BH155" s="14"/>
      <c r="BI155" s="11"/>
      <c r="BJ155" s="11"/>
      <c r="BK155" s="11"/>
      <c r="BL155" s="11"/>
      <c r="BM155" s="11"/>
      <c r="BN155" s="11"/>
      <c r="BO155" s="11"/>
      <c r="BP155" s="11"/>
      <c r="BQ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9"/>
      <c r="CF155" s="9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  <c r="DJ155" s="16"/>
      <c r="DK155" s="16"/>
      <c r="DL155" s="16"/>
    </row>
    <row r="156" ht="15.75" customHeight="1"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9"/>
      <c r="AK156" s="12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9"/>
      <c r="BH156" s="14"/>
      <c r="BI156" s="11"/>
      <c r="BJ156" s="11"/>
      <c r="BK156" s="11"/>
      <c r="BL156" s="11"/>
      <c r="BM156" s="11"/>
      <c r="BN156" s="11"/>
      <c r="BO156" s="11"/>
      <c r="BP156" s="11"/>
      <c r="BQ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9"/>
      <c r="CF156" s="9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/>
      <c r="CW156" s="11"/>
      <c r="CX156" s="11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  <c r="DJ156" s="16"/>
      <c r="DK156" s="16"/>
      <c r="DL156" s="16"/>
    </row>
    <row r="157" ht="15.75" customHeight="1"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9"/>
      <c r="AK157" s="12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9"/>
      <c r="BH157" s="14"/>
      <c r="BI157" s="11"/>
      <c r="BJ157" s="11"/>
      <c r="BK157" s="11"/>
      <c r="BL157" s="11"/>
      <c r="BM157" s="11"/>
      <c r="BN157" s="11"/>
      <c r="BO157" s="11"/>
      <c r="BP157" s="11"/>
      <c r="BQ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9"/>
      <c r="CF157" s="9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/>
      <c r="DI157" s="16"/>
      <c r="DJ157" s="16"/>
      <c r="DK157" s="16"/>
      <c r="DL157" s="16"/>
    </row>
    <row r="158" ht="15.75" customHeight="1"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9"/>
      <c r="AK158" s="12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9"/>
      <c r="BH158" s="14"/>
      <c r="BI158" s="11"/>
      <c r="BJ158" s="11"/>
      <c r="BK158" s="11"/>
      <c r="BL158" s="11"/>
      <c r="BM158" s="11"/>
      <c r="BN158" s="11"/>
      <c r="BO158" s="11"/>
      <c r="BP158" s="11"/>
      <c r="BQ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9"/>
      <c r="CF158" s="9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  <c r="CU158" s="11"/>
      <c r="CV158" s="11"/>
      <c r="CW158" s="11"/>
      <c r="CX158" s="11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  <c r="DJ158" s="16"/>
      <c r="DK158" s="16"/>
      <c r="DL158" s="16"/>
    </row>
    <row r="159" ht="15.75" customHeight="1"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9"/>
      <c r="AK159" s="12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9"/>
      <c r="BH159" s="14"/>
      <c r="BI159" s="11"/>
      <c r="BJ159" s="11"/>
      <c r="BK159" s="11"/>
      <c r="BL159" s="11"/>
      <c r="BM159" s="11"/>
      <c r="BN159" s="11"/>
      <c r="BO159" s="11"/>
      <c r="BP159" s="11"/>
      <c r="BQ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9"/>
      <c r="CF159" s="9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  <c r="DK159" s="16"/>
      <c r="DL159" s="16"/>
    </row>
    <row r="160" ht="15.75" customHeight="1"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9"/>
      <c r="AK160" s="12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9"/>
      <c r="BH160" s="14"/>
      <c r="BI160" s="11"/>
      <c r="BJ160" s="11"/>
      <c r="BK160" s="11"/>
      <c r="BL160" s="11"/>
      <c r="BM160" s="11"/>
      <c r="BN160" s="11"/>
      <c r="BO160" s="11"/>
      <c r="BP160" s="11"/>
      <c r="BQ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9"/>
      <c r="CF160" s="9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  <c r="CS160" s="11"/>
      <c r="CT160" s="11"/>
      <c r="CU160" s="11"/>
      <c r="CV160" s="11"/>
      <c r="CW160" s="11"/>
      <c r="CX160" s="11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/>
      <c r="DI160" s="16"/>
      <c r="DJ160" s="16"/>
      <c r="DK160" s="16"/>
      <c r="DL160" s="16"/>
    </row>
    <row r="161" ht="15.75" customHeight="1"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9"/>
      <c r="AK161" s="12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9"/>
      <c r="BH161" s="14"/>
      <c r="BI161" s="11"/>
      <c r="BJ161" s="11"/>
      <c r="BK161" s="11"/>
      <c r="BL161" s="11"/>
      <c r="BM161" s="11"/>
      <c r="BN161" s="11"/>
      <c r="BO161" s="11"/>
      <c r="BP161" s="11"/>
      <c r="BQ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9"/>
      <c r="CF161" s="9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/>
      <c r="DI161" s="16"/>
      <c r="DJ161" s="16"/>
      <c r="DK161" s="16"/>
      <c r="DL161" s="16"/>
    </row>
    <row r="162" ht="15.75" customHeight="1"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9"/>
      <c r="AK162" s="12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9"/>
      <c r="BH162" s="14"/>
      <c r="BI162" s="11"/>
      <c r="BJ162" s="11"/>
      <c r="BK162" s="11"/>
      <c r="BL162" s="11"/>
      <c r="BM162" s="11"/>
      <c r="BN162" s="11"/>
      <c r="BO162" s="11"/>
      <c r="BP162" s="11"/>
      <c r="BQ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9"/>
      <c r="CF162" s="9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  <c r="CU162" s="11"/>
      <c r="CV162" s="11"/>
      <c r="CW162" s="11"/>
      <c r="CX162" s="11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  <c r="DJ162" s="16"/>
      <c r="DK162" s="16"/>
      <c r="DL162" s="16"/>
    </row>
    <row r="163" ht="15.75" customHeight="1"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9"/>
      <c r="AK163" s="12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9"/>
      <c r="BH163" s="14"/>
      <c r="BI163" s="11"/>
      <c r="BJ163" s="11"/>
      <c r="BK163" s="11"/>
      <c r="BL163" s="11"/>
      <c r="BM163" s="11"/>
      <c r="BN163" s="11"/>
      <c r="BO163" s="11"/>
      <c r="BP163" s="11"/>
      <c r="BQ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9"/>
      <c r="CF163" s="9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/>
      <c r="DI163" s="16"/>
      <c r="DJ163" s="16"/>
      <c r="DK163" s="16"/>
      <c r="DL163" s="16"/>
    </row>
    <row r="164" ht="15.75" customHeight="1"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9"/>
      <c r="AK164" s="12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9"/>
      <c r="BH164" s="14"/>
      <c r="BI164" s="11"/>
      <c r="BJ164" s="11"/>
      <c r="BK164" s="11"/>
      <c r="BL164" s="11"/>
      <c r="BM164" s="11"/>
      <c r="BN164" s="11"/>
      <c r="BO164" s="11"/>
      <c r="BP164" s="11"/>
      <c r="BQ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9"/>
      <c r="CF164" s="9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  <c r="CU164" s="11"/>
      <c r="CV164" s="11"/>
      <c r="CW164" s="11"/>
      <c r="CX164" s="11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/>
      <c r="DI164" s="16"/>
      <c r="DJ164" s="16"/>
      <c r="DK164" s="16"/>
      <c r="DL164" s="16"/>
    </row>
    <row r="165" ht="15.75" customHeight="1"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9"/>
      <c r="AK165" s="12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9"/>
      <c r="BH165" s="14"/>
      <c r="BI165" s="11"/>
      <c r="BJ165" s="11"/>
      <c r="BK165" s="11"/>
      <c r="BL165" s="11"/>
      <c r="BM165" s="11"/>
      <c r="BN165" s="11"/>
      <c r="BO165" s="11"/>
      <c r="BP165" s="11"/>
      <c r="BQ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9"/>
      <c r="CF165" s="9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  <c r="CV165" s="11"/>
      <c r="CW165" s="11"/>
      <c r="CX165" s="11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/>
      <c r="DI165" s="16"/>
      <c r="DJ165" s="16"/>
      <c r="DK165" s="16"/>
      <c r="DL165" s="16"/>
    </row>
    <row r="166" ht="15.75" customHeight="1"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9"/>
      <c r="AK166" s="12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9"/>
      <c r="BH166" s="14"/>
      <c r="BI166" s="11"/>
      <c r="BJ166" s="11"/>
      <c r="BK166" s="11"/>
      <c r="BL166" s="11"/>
      <c r="BM166" s="11"/>
      <c r="BN166" s="11"/>
      <c r="BO166" s="11"/>
      <c r="BP166" s="11"/>
      <c r="BQ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9"/>
      <c r="CF166" s="9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  <c r="CU166" s="11"/>
      <c r="CV166" s="11"/>
      <c r="CW166" s="11"/>
      <c r="CX166" s="11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</row>
    <row r="167" ht="15.75" customHeight="1"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9"/>
      <c r="AK167" s="12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9"/>
      <c r="BH167" s="14"/>
      <c r="BI167" s="11"/>
      <c r="BJ167" s="11"/>
      <c r="BK167" s="11"/>
      <c r="BL167" s="11"/>
      <c r="BM167" s="11"/>
      <c r="BN167" s="11"/>
      <c r="BO167" s="11"/>
      <c r="BP167" s="11"/>
      <c r="BQ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9"/>
      <c r="CF167" s="9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6"/>
      <c r="CZ167" s="16"/>
      <c r="DA167" s="16"/>
      <c r="DB167" s="16"/>
      <c r="DC167" s="16"/>
      <c r="DD167" s="16"/>
      <c r="DE167" s="16"/>
      <c r="DF167" s="16"/>
      <c r="DG167" s="16"/>
      <c r="DH167" s="16"/>
      <c r="DI167" s="16"/>
      <c r="DJ167" s="16"/>
      <c r="DK167" s="16"/>
      <c r="DL167" s="16"/>
    </row>
    <row r="168" ht="15.75" customHeight="1"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9"/>
      <c r="AK168" s="12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9"/>
      <c r="BH168" s="14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9"/>
      <c r="CF168" s="9"/>
      <c r="CG168" s="11"/>
      <c r="CH168" s="11"/>
      <c r="CI168" s="11"/>
      <c r="CJ168" s="11"/>
      <c r="CK168" s="11"/>
      <c r="CL168" s="11"/>
      <c r="CM168" s="11"/>
      <c r="CN168" s="11"/>
      <c r="CO168" s="11"/>
      <c r="CP168" s="11"/>
      <c r="CQ168" s="11"/>
      <c r="CR168" s="11"/>
      <c r="CS168" s="11"/>
      <c r="CT168" s="11"/>
      <c r="CU168" s="11"/>
      <c r="CV168" s="11"/>
      <c r="CW168" s="11"/>
      <c r="CX168" s="11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/>
      <c r="DI168" s="16"/>
      <c r="DJ168" s="16"/>
      <c r="DK168" s="16"/>
      <c r="DL168" s="16"/>
    </row>
    <row r="169" ht="15.75" customHeight="1"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9"/>
      <c r="AK169" s="12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9"/>
      <c r="BH169" s="14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9"/>
      <c r="CF169" s="9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/>
      <c r="DI169" s="16"/>
      <c r="DJ169" s="16"/>
      <c r="DK169" s="16"/>
      <c r="DL169" s="16"/>
    </row>
    <row r="170" ht="15.75" customHeight="1"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9"/>
      <c r="AK170" s="12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9"/>
      <c r="BH170" s="14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9"/>
      <c r="CF170" s="9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/>
      <c r="DI170" s="16"/>
      <c r="DJ170" s="16"/>
      <c r="DK170" s="16"/>
      <c r="DL170" s="16"/>
    </row>
    <row r="171" ht="15.75" customHeight="1"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9"/>
      <c r="AK171" s="12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9"/>
      <c r="BH171" s="14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9"/>
      <c r="CF171" s="9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  <c r="CW171" s="11"/>
      <c r="CX171" s="11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/>
      <c r="DI171" s="16"/>
      <c r="DJ171" s="16"/>
      <c r="DK171" s="16"/>
      <c r="DL171" s="16"/>
    </row>
    <row r="172" ht="15.75" customHeight="1"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9"/>
      <c r="AK172" s="12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9"/>
      <c r="BH172" s="14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9"/>
      <c r="CF172" s="9"/>
      <c r="CG172" s="11"/>
      <c r="CH172" s="11"/>
      <c r="CI172" s="11"/>
      <c r="CJ172" s="11"/>
      <c r="CK172" s="11"/>
      <c r="CL172" s="11"/>
      <c r="CM172" s="11"/>
      <c r="CN172" s="11"/>
      <c r="CO172" s="11"/>
      <c r="CP172" s="11"/>
      <c r="CQ172" s="11"/>
      <c r="CR172" s="11"/>
      <c r="CS172" s="11"/>
      <c r="CT172" s="11"/>
      <c r="CU172" s="11"/>
      <c r="CV172" s="11"/>
      <c r="CW172" s="11"/>
      <c r="CX172" s="11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/>
      <c r="DI172" s="16"/>
      <c r="DJ172" s="16"/>
      <c r="DK172" s="16"/>
      <c r="DL172" s="16"/>
    </row>
    <row r="173" ht="15.75" customHeight="1"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9"/>
      <c r="AK173" s="12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9"/>
      <c r="BH173" s="14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9"/>
      <c r="CF173" s="9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</row>
    <row r="174" ht="15.75" customHeight="1"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9"/>
      <c r="AK174" s="12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9"/>
      <c r="BH174" s="14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9"/>
      <c r="CF174" s="9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/>
      <c r="CQ174" s="11"/>
      <c r="CR174" s="11"/>
      <c r="CS174" s="11"/>
      <c r="CT174" s="11"/>
      <c r="CU174" s="11"/>
      <c r="CV174" s="11"/>
      <c r="CW174" s="11"/>
      <c r="CX174" s="11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  <c r="DJ174" s="16"/>
      <c r="DK174" s="16"/>
      <c r="DL174" s="16"/>
    </row>
    <row r="175" ht="15.75" customHeight="1"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9"/>
      <c r="AK175" s="12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9"/>
      <c r="BH175" s="14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9"/>
      <c r="CF175" s="9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  <c r="CU175" s="11"/>
      <c r="CV175" s="11"/>
      <c r="CW175" s="11"/>
      <c r="CX175" s="11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/>
      <c r="DI175" s="16"/>
      <c r="DJ175" s="16"/>
      <c r="DK175" s="16"/>
      <c r="DL175" s="16"/>
    </row>
    <row r="176" ht="15.75" customHeight="1"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9"/>
      <c r="AK176" s="12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9"/>
      <c r="BH176" s="14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9"/>
      <c r="CF176" s="9"/>
      <c r="CG176" s="11"/>
      <c r="CH176" s="11"/>
      <c r="CI176" s="11"/>
      <c r="CJ176" s="11"/>
      <c r="CK176" s="11"/>
      <c r="CL176" s="11"/>
      <c r="CM176" s="11"/>
      <c r="CN176" s="11"/>
      <c r="CO176" s="11"/>
      <c r="CP176" s="11"/>
      <c r="CQ176" s="11"/>
      <c r="CR176" s="11"/>
      <c r="CS176" s="11"/>
      <c r="CT176" s="11"/>
      <c r="CU176" s="11"/>
      <c r="CV176" s="11"/>
      <c r="CW176" s="11"/>
      <c r="CX176" s="11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/>
      <c r="DI176" s="16"/>
      <c r="DJ176" s="16"/>
      <c r="DK176" s="16"/>
      <c r="DL176" s="16"/>
    </row>
    <row r="177" ht="15.75" customHeight="1">
      <c r="A177" s="9"/>
      <c r="B177" s="11"/>
      <c r="C177" s="11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9"/>
      <c r="AK177" s="12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9"/>
      <c r="BH177" s="14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9"/>
      <c r="CF177" s="9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6"/>
      <c r="CZ177" s="16"/>
      <c r="DA177" s="16"/>
      <c r="DB177" s="16"/>
      <c r="DC177" s="16"/>
      <c r="DD177" s="16"/>
      <c r="DE177" s="16"/>
      <c r="DF177" s="16"/>
      <c r="DG177" s="16"/>
      <c r="DH177" s="16"/>
      <c r="DI177" s="16"/>
      <c r="DJ177" s="16"/>
      <c r="DK177" s="16"/>
      <c r="DL177" s="16"/>
    </row>
    <row r="178" ht="15.75" customHeight="1">
      <c r="A178" s="9"/>
      <c r="B178" s="11"/>
      <c r="C178" s="11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9"/>
      <c r="AK178" s="12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9"/>
      <c r="BH178" s="14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9"/>
      <c r="CF178" s="9"/>
      <c r="CG178" s="11"/>
      <c r="CH178" s="11"/>
      <c r="CI178" s="11"/>
      <c r="CJ178" s="11"/>
      <c r="CK178" s="11"/>
      <c r="CL178" s="11"/>
      <c r="CM178" s="11"/>
      <c r="CN178" s="11"/>
      <c r="CO178" s="11"/>
      <c r="CP178" s="11"/>
      <c r="CQ178" s="11"/>
      <c r="CR178" s="11"/>
      <c r="CS178" s="11"/>
      <c r="CT178" s="11"/>
      <c r="CU178" s="11"/>
      <c r="CV178" s="11"/>
      <c r="CW178" s="11"/>
      <c r="CX178" s="11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  <c r="DJ178" s="16"/>
      <c r="DK178" s="16"/>
      <c r="DL178" s="16"/>
    </row>
    <row r="179" ht="15.75" customHeight="1">
      <c r="A179" s="9"/>
      <c r="B179" s="11"/>
      <c r="C179" s="11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9"/>
      <c r="AK179" s="12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9"/>
      <c r="BH179" s="14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9"/>
      <c r="CF179" s="9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  <c r="CU179" s="11"/>
      <c r="CV179" s="11"/>
      <c r="CW179" s="11"/>
      <c r="CX179" s="11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  <c r="DJ179" s="16"/>
      <c r="DK179" s="16"/>
      <c r="DL179" s="16"/>
    </row>
    <row r="180" ht="15.75" customHeight="1">
      <c r="A180" s="9"/>
      <c r="B180" s="11"/>
      <c r="C180" s="11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9"/>
      <c r="AK180" s="12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9"/>
      <c r="BH180" s="14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9"/>
      <c r="CF180" s="9"/>
      <c r="CG180" s="11"/>
      <c r="CH180" s="11"/>
      <c r="CI180" s="11"/>
      <c r="CJ180" s="11"/>
      <c r="CK180" s="11"/>
      <c r="CL180" s="11"/>
      <c r="CM180" s="11"/>
      <c r="CN180" s="11"/>
      <c r="CO180" s="11"/>
      <c r="CP180" s="11"/>
      <c r="CQ180" s="11"/>
      <c r="CR180" s="11"/>
      <c r="CS180" s="11"/>
      <c r="CT180" s="11"/>
      <c r="CU180" s="11"/>
      <c r="CV180" s="11"/>
      <c r="CW180" s="11"/>
      <c r="CX180" s="11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  <c r="DJ180" s="16"/>
      <c r="DK180" s="16"/>
      <c r="DL180" s="16"/>
    </row>
    <row r="181" ht="15.75" customHeight="1">
      <c r="A181" s="9"/>
      <c r="B181" s="11"/>
      <c r="C181" s="11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9"/>
      <c r="AK181" s="12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9"/>
      <c r="BH181" s="14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9"/>
      <c r="CF181" s="9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/>
      <c r="DI181" s="16"/>
      <c r="DJ181" s="16"/>
      <c r="DK181" s="16"/>
      <c r="DL181" s="16"/>
    </row>
    <row r="182" ht="15.75" customHeight="1">
      <c r="A182" s="9"/>
      <c r="B182" s="11"/>
      <c r="C182" s="11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9"/>
      <c r="AK182" s="12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9"/>
      <c r="BH182" s="14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9"/>
      <c r="CF182" s="9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  <c r="CU182" s="11"/>
      <c r="CV182" s="11"/>
      <c r="CW182" s="11"/>
      <c r="CX182" s="11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6"/>
      <c r="DJ182" s="16"/>
      <c r="DK182" s="16"/>
      <c r="DL182" s="16"/>
    </row>
    <row r="183" ht="15.75" customHeight="1">
      <c r="A183" s="9"/>
      <c r="B183" s="11"/>
      <c r="C183" s="11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9"/>
      <c r="AK183" s="12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9"/>
      <c r="BH183" s="14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9"/>
      <c r="CF183" s="9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/>
      <c r="DI183" s="16"/>
      <c r="DJ183" s="16"/>
      <c r="DK183" s="16"/>
      <c r="DL183" s="16"/>
    </row>
    <row r="184" ht="15.75" customHeight="1">
      <c r="A184" s="9"/>
      <c r="B184" s="11"/>
      <c r="C184" s="11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9"/>
      <c r="AK184" s="12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9"/>
      <c r="BH184" s="14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9"/>
      <c r="CF184" s="9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6"/>
      <c r="DJ184" s="16"/>
      <c r="DK184" s="16"/>
      <c r="DL184" s="16"/>
    </row>
    <row r="185" ht="15.75" customHeight="1">
      <c r="A185" s="9"/>
      <c r="B185" s="11"/>
      <c r="C185" s="11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9"/>
      <c r="AK185" s="12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9"/>
      <c r="BH185" s="14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9"/>
      <c r="CF185" s="9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/>
      <c r="DI185" s="16"/>
      <c r="DJ185" s="16"/>
      <c r="DK185" s="16"/>
      <c r="DL185" s="16"/>
    </row>
    <row r="186" ht="15.75" customHeight="1">
      <c r="A186" s="9"/>
      <c r="B186" s="11"/>
      <c r="C186" s="11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9"/>
      <c r="AK186" s="12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9"/>
      <c r="BH186" s="14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9"/>
      <c r="CF186" s="9"/>
      <c r="CG186" s="11"/>
      <c r="CH186" s="11"/>
      <c r="CI186" s="11"/>
      <c r="CJ186" s="11"/>
      <c r="CK186" s="11"/>
      <c r="CL186" s="11"/>
      <c r="CM186" s="11"/>
      <c r="CN186" s="11"/>
      <c r="CO186" s="11"/>
      <c r="CP186" s="11"/>
      <c r="CQ186" s="11"/>
      <c r="CR186" s="11"/>
      <c r="CS186" s="11"/>
      <c r="CT186" s="11"/>
      <c r="CU186" s="11"/>
      <c r="CV186" s="11"/>
      <c r="CW186" s="11"/>
      <c r="CX186" s="11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/>
      <c r="DI186" s="16"/>
      <c r="DJ186" s="16"/>
      <c r="DK186" s="16"/>
      <c r="DL186" s="16"/>
    </row>
    <row r="187" ht="15.75" customHeight="1">
      <c r="A187" s="9"/>
      <c r="B187" s="11"/>
      <c r="C187" s="11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9"/>
      <c r="AK187" s="12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9"/>
      <c r="BH187" s="14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9"/>
      <c r="CF187" s="9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  <c r="CU187" s="11"/>
      <c r="CV187" s="11"/>
      <c r="CW187" s="11"/>
      <c r="CX187" s="11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/>
      <c r="DI187" s="16"/>
      <c r="DJ187" s="16"/>
      <c r="DK187" s="16"/>
      <c r="DL187" s="16"/>
    </row>
    <row r="188" ht="15.75" customHeight="1">
      <c r="A188" s="9"/>
      <c r="B188" s="11"/>
      <c r="C188" s="11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9"/>
      <c r="AK188" s="12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9"/>
      <c r="BH188" s="14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9"/>
      <c r="CF188" s="9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  <c r="CT188" s="11"/>
      <c r="CU188" s="11"/>
      <c r="CV188" s="11"/>
      <c r="CW188" s="11"/>
      <c r="CX188" s="11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/>
      <c r="DI188" s="16"/>
      <c r="DJ188" s="16"/>
      <c r="DK188" s="16"/>
      <c r="DL188" s="16"/>
    </row>
    <row r="189" ht="15.75" customHeight="1">
      <c r="A189" s="9"/>
      <c r="B189" s="11"/>
      <c r="C189" s="11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9"/>
      <c r="AK189" s="12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9"/>
      <c r="BH189" s="14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9"/>
      <c r="CF189" s="9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  <c r="CV189" s="11"/>
      <c r="CW189" s="11"/>
      <c r="CX189" s="11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/>
      <c r="DI189" s="16"/>
      <c r="DJ189" s="16"/>
      <c r="DK189" s="16"/>
      <c r="DL189" s="16"/>
    </row>
    <row r="190" ht="15.75" customHeight="1">
      <c r="A190" s="9"/>
      <c r="B190" s="11"/>
      <c r="C190" s="11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9"/>
      <c r="AK190" s="12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9"/>
      <c r="BH190" s="14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9"/>
      <c r="CF190" s="9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/>
      <c r="DI190" s="16"/>
      <c r="DJ190" s="16"/>
      <c r="DK190" s="16"/>
      <c r="DL190" s="16"/>
    </row>
    <row r="191" ht="15.75" customHeight="1">
      <c r="A191" s="9"/>
      <c r="B191" s="11"/>
      <c r="C191" s="11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9"/>
      <c r="AK191" s="12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9"/>
      <c r="BH191" s="14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9"/>
      <c r="CF191" s="9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  <c r="CV191" s="11"/>
      <c r="CW191" s="11"/>
      <c r="CX191" s="11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/>
      <c r="DI191" s="16"/>
      <c r="DJ191" s="16"/>
      <c r="DK191" s="16"/>
      <c r="DL191" s="16"/>
    </row>
    <row r="192" ht="15.75" customHeight="1">
      <c r="A192" s="9"/>
      <c r="B192" s="11"/>
      <c r="C192" s="11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9"/>
      <c r="AK192" s="12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9"/>
      <c r="BH192" s="14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9"/>
      <c r="CF192" s="9"/>
      <c r="CG192" s="11"/>
      <c r="CH192" s="11"/>
      <c r="CI192" s="11"/>
      <c r="CJ192" s="11"/>
      <c r="CK192" s="11"/>
      <c r="CL192" s="11"/>
      <c r="CM192" s="11"/>
      <c r="CN192" s="11"/>
      <c r="CO192" s="11"/>
      <c r="CP192" s="11"/>
      <c r="CQ192" s="11"/>
      <c r="CR192" s="11"/>
      <c r="CS192" s="11"/>
      <c r="CT192" s="11"/>
      <c r="CU192" s="11"/>
      <c r="CV192" s="11"/>
      <c r="CW192" s="11"/>
      <c r="CX192" s="11"/>
      <c r="CY192" s="16"/>
      <c r="CZ192" s="16"/>
      <c r="DA192" s="16"/>
      <c r="DB192" s="16"/>
      <c r="DC192" s="16"/>
      <c r="DD192" s="16"/>
      <c r="DE192" s="16"/>
      <c r="DF192" s="16"/>
      <c r="DG192" s="16"/>
      <c r="DH192" s="16"/>
      <c r="DI192" s="16"/>
      <c r="DJ192" s="16"/>
      <c r="DK192" s="16"/>
      <c r="DL192" s="16"/>
    </row>
    <row r="193" ht="15.75" customHeight="1">
      <c r="A193" s="9"/>
      <c r="B193" s="11"/>
      <c r="C193" s="11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9"/>
      <c r="AK193" s="12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9"/>
      <c r="BH193" s="14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9"/>
      <c r="CF193" s="9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  <c r="CV193" s="11"/>
      <c r="CW193" s="11"/>
      <c r="CX193" s="11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/>
      <c r="DI193" s="16"/>
      <c r="DJ193" s="16"/>
      <c r="DK193" s="16"/>
      <c r="DL193" s="16"/>
    </row>
    <row r="194" ht="15.75" customHeight="1">
      <c r="A194" s="9"/>
      <c r="B194" s="11"/>
      <c r="C194" s="11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9"/>
      <c r="AK194" s="12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9"/>
      <c r="BH194" s="14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9"/>
      <c r="CF194" s="9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  <c r="CU194" s="11"/>
      <c r="CV194" s="11"/>
      <c r="CW194" s="11"/>
      <c r="CX194" s="11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  <c r="DJ194" s="16"/>
      <c r="DK194" s="16"/>
      <c r="DL194" s="16"/>
    </row>
    <row r="195" ht="15.75" customHeight="1">
      <c r="A195" s="9"/>
      <c r="B195" s="11"/>
      <c r="C195" s="11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9"/>
      <c r="AK195" s="12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9"/>
      <c r="BH195" s="14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9"/>
      <c r="CF195" s="9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/>
      <c r="DI195" s="16"/>
      <c r="DJ195" s="16"/>
      <c r="DK195" s="16"/>
      <c r="DL195" s="16"/>
    </row>
    <row r="196" ht="15.75" customHeight="1">
      <c r="A196" s="9"/>
      <c r="B196" s="11"/>
      <c r="C196" s="11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9"/>
      <c r="AK196" s="12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9"/>
      <c r="BH196" s="14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9"/>
      <c r="CF196" s="9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  <c r="CU196" s="11"/>
      <c r="CV196" s="11"/>
      <c r="CW196" s="11"/>
      <c r="CX196" s="11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/>
      <c r="DI196" s="16"/>
      <c r="DJ196" s="16"/>
      <c r="DK196" s="16"/>
      <c r="DL196" s="16"/>
    </row>
    <row r="197" ht="15.75" customHeight="1">
      <c r="A197" s="9"/>
      <c r="B197" s="11"/>
      <c r="C197" s="11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9"/>
      <c r="AK197" s="12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9"/>
      <c r="BH197" s="14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9"/>
      <c r="CF197" s="9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6"/>
      <c r="CZ197" s="16"/>
      <c r="DA197" s="16"/>
      <c r="DB197" s="16"/>
      <c r="DC197" s="16"/>
      <c r="DD197" s="16"/>
      <c r="DE197" s="16"/>
      <c r="DF197" s="16"/>
      <c r="DG197" s="16"/>
      <c r="DH197" s="16"/>
      <c r="DI197" s="16"/>
      <c r="DJ197" s="16"/>
      <c r="DK197" s="16"/>
      <c r="DL197" s="16"/>
    </row>
    <row r="198" ht="15.75" customHeight="1">
      <c r="A198" s="9"/>
      <c r="B198" s="11"/>
      <c r="C198" s="11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9"/>
      <c r="AK198" s="12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9"/>
      <c r="BH198" s="14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9"/>
      <c r="CF198" s="9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6"/>
      <c r="CZ198" s="16"/>
      <c r="DA198" s="16"/>
      <c r="DB198" s="16"/>
      <c r="DC198" s="16"/>
      <c r="DD198" s="16"/>
      <c r="DE198" s="16"/>
      <c r="DF198" s="16"/>
      <c r="DG198" s="16"/>
      <c r="DH198" s="16"/>
      <c r="DI198" s="16"/>
      <c r="DJ198" s="16"/>
      <c r="DK198" s="16"/>
      <c r="DL198" s="16"/>
    </row>
    <row r="199" ht="15.75" customHeight="1">
      <c r="A199" s="9"/>
      <c r="B199" s="11"/>
      <c r="C199" s="11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9"/>
      <c r="AK199" s="12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9"/>
      <c r="BH199" s="14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9"/>
      <c r="CF199" s="9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6"/>
      <c r="CZ199" s="16"/>
      <c r="DA199" s="16"/>
      <c r="DB199" s="16"/>
      <c r="DC199" s="16"/>
      <c r="DD199" s="16"/>
      <c r="DE199" s="16"/>
      <c r="DF199" s="16"/>
      <c r="DG199" s="16"/>
      <c r="DH199" s="16"/>
      <c r="DI199" s="16"/>
      <c r="DJ199" s="16"/>
      <c r="DK199" s="16"/>
      <c r="DL199" s="16"/>
    </row>
    <row r="200" ht="15.75" customHeight="1">
      <c r="A200" s="9"/>
      <c r="B200" s="11"/>
      <c r="C200" s="11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9"/>
      <c r="AK200" s="12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9"/>
      <c r="BH200" s="14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9"/>
      <c r="CF200" s="9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/>
      <c r="DI200" s="16"/>
      <c r="DJ200" s="16"/>
      <c r="DK200" s="16"/>
      <c r="DL200" s="16"/>
    </row>
    <row r="201" ht="15.75" customHeight="1">
      <c r="A201" s="9"/>
      <c r="B201" s="11"/>
      <c r="C201" s="11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9"/>
      <c r="AK201" s="12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9"/>
      <c r="BH201" s="14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9"/>
      <c r="CF201" s="9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/>
      <c r="DI201" s="16"/>
      <c r="DJ201" s="16"/>
      <c r="DK201" s="16"/>
      <c r="DL201" s="16"/>
    </row>
    <row r="202" ht="15.75" customHeight="1">
      <c r="A202" s="9"/>
      <c r="B202" s="11"/>
      <c r="C202" s="11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9"/>
      <c r="AK202" s="12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9"/>
      <c r="BH202" s="14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9"/>
      <c r="CF202" s="9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  <c r="CV202" s="11"/>
      <c r="CW202" s="11"/>
      <c r="CX202" s="11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/>
      <c r="DI202" s="16"/>
      <c r="DJ202" s="16"/>
      <c r="DK202" s="16"/>
      <c r="DL202" s="16"/>
    </row>
    <row r="203" ht="15.75" customHeight="1">
      <c r="A203" s="9"/>
      <c r="B203" s="11"/>
      <c r="C203" s="11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9"/>
      <c r="AK203" s="12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9"/>
      <c r="BH203" s="14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9"/>
      <c r="CF203" s="9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/>
      <c r="DI203" s="16"/>
      <c r="DJ203" s="16"/>
      <c r="DK203" s="16"/>
      <c r="DL203" s="16"/>
    </row>
    <row r="204" ht="15.75" customHeight="1">
      <c r="A204" s="9"/>
      <c r="B204" s="11"/>
      <c r="C204" s="11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9"/>
      <c r="AK204" s="12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9"/>
      <c r="BH204" s="14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9"/>
      <c r="CF204" s="9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  <c r="CV204" s="11"/>
      <c r="CW204" s="11"/>
      <c r="CX204" s="11"/>
      <c r="CY204" s="16"/>
      <c r="CZ204" s="16"/>
      <c r="DA204" s="16"/>
      <c r="DB204" s="16"/>
      <c r="DC204" s="16"/>
      <c r="DD204" s="16"/>
      <c r="DE204" s="16"/>
      <c r="DF204" s="16"/>
      <c r="DG204" s="16"/>
      <c r="DH204" s="16"/>
      <c r="DI204" s="16"/>
      <c r="DJ204" s="16"/>
      <c r="DK204" s="16"/>
      <c r="DL204" s="16"/>
    </row>
    <row r="205" ht="15.75" customHeight="1">
      <c r="A205" s="9"/>
      <c r="B205" s="11"/>
      <c r="C205" s="11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9"/>
      <c r="AK205" s="12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9"/>
      <c r="BH205" s="14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9"/>
      <c r="CF205" s="9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/>
      <c r="DI205" s="16"/>
      <c r="DJ205" s="16"/>
      <c r="DK205" s="16"/>
      <c r="DL205" s="16"/>
    </row>
    <row r="206" ht="15.75" customHeight="1">
      <c r="A206" s="9"/>
      <c r="B206" s="11"/>
      <c r="C206" s="11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9"/>
      <c r="AK206" s="12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9"/>
      <c r="BH206" s="14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9"/>
      <c r="CF206" s="9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/>
      <c r="DI206" s="16"/>
      <c r="DJ206" s="16"/>
      <c r="DK206" s="16"/>
      <c r="DL206" s="16"/>
    </row>
    <row r="207" ht="15.75" customHeight="1">
      <c r="A207" s="9"/>
      <c r="B207" s="11"/>
      <c r="C207" s="11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9"/>
      <c r="AK207" s="12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9"/>
      <c r="BH207" s="14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9"/>
      <c r="CF207" s="9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/>
      <c r="DI207" s="16"/>
      <c r="DJ207" s="16"/>
      <c r="DK207" s="16"/>
      <c r="DL207" s="16"/>
    </row>
    <row r="208" ht="15.75" customHeight="1">
      <c r="A208" s="9"/>
      <c r="B208" s="11"/>
      <c r="C208" s="11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9"/>
      <c r="AK208" s="12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9"/>
      <c r="BH208" s="14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9"/>
      <c r="CF208" s="9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  <c r="CU208" s="11"/>
      <c r="CV208" s="11"/>
      <c r="CW208" s="11"/>
      <c r="CX208" s="11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/>
      <c r="DI208" s="16"/>
      <c r="DJ208" s="16"/>
      <c r="DK208" s="16"/>
      <c r="DL208" s="16"/>
    </row>
    <row r="209" ht="15.75" customHeight="1">
      <c r="A209" s="9"/>
      <c r="B209" s="11"/>
      <c r="C209" s="11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9"/>
      <c r="AK209" s="12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9"/>
      <c r="BH209" s="14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9"/>
      <c r="CF209" s="9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/>
      <c r="DI209" s="16"/>
      <c r="DJ209" s="16"/>
      <c r="DK209" s="16"/>
      <c r="DL209" s="16"/>
    </row>
    <row r="210" ht="15.75" customHeight="1">
      <c r="A210" s="9"/>
      <c r="B210" s="11"/>
      <c r="C210" s="11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9"/>
      <c r="AK210" s="12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9"/>
      <c r="BH210" s="14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9"/>
      <c r="CF210" s="9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  <c r="CU210" s="11"/>
      <c r="CV210" s="11"/>
      <c r="CW210" s="11"/>
      <c r="CX210" s="11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/>
      <c r="DI210" s="16"/>
      <c r="DJ210" s="16"/>
      <c r="DK210" s="16"/>
      <c r="DL210" s="16"/>
    </row>
    <row r="211" ht="15.75" customHeight="1">
      <c r="A211" s="9"/>
      <c r="B211" s="11"/>
      <c r="C211" s="11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9"/>
      <c r="AK211" s="12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9"/>
      <c r="BH211" s="14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9"/>
      <c r="CF211" s="9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/>
      <c r="CY211" s="16"/>
      <c r="CZ211" s="16"/>
      <c r="DA211" s="16"/>
      <c r="DB211" s="16"/>
      <c r="DC211" s="16"/>
      <c r="DD211" s="16"/>
      <c r="DE211" s="16"/>
      <c r="DF211" s="16"/>
      <c r="DG211" s="16"/>
      <c r="DH211" s="16"/>
      <c r="DI211" s="16"/>
      <c r="DJ211" s="16"/>
      <c r="DK211" s="16"/>
      <c r="DL211" s="16"/>
    </row>
    <row r="212" ht="15.75" customHeight="1">
      <c r="A212" s="9"/>
      <c r="B212" s="11"/>
      <c r="C212" s="11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9"/>
      <c r="AK212" s="12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9"/>
      <c r="BH212" s="14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9"/>
      <c r="CF212" s="9"/>
      <c r="CG212" s="11"/>
      <c r="CH212" s="11"/>
      <c r="CI212" s="11"/>
      <c r="CJ212" s="11"/>
      <c r="CK212" s="11"/>
      <c r="CL212" s="11"/>
      <c r="CM212" s="11"/>
      <c r="CN212" s="11"/>
      <c r="CO212" s="11"/>
      <c r="CP212" s="11"/>
      <c r="CQ212" s="11"/>
      <c r="CR212" s="11"/>
      <c r="CS212" s="11"/>
      <c r="CT212" s="11"/>
      <c r="CU212" s="11"/>
      <c r="CV212" s="11"/>
      <c r="CW212" s="11"/>
      <c r="CX212" s="11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/>
      <c r="DI212" s="16"/>
      <c r="DJ212" s="16"/>
      <c r="DK212" s="16"/>
      <c r="DL212" s="16"/>
    </row>
    <row r="213" ht="15.75" customHeight="1">
      <c r="A213" s="9"/>
      <c r="B213" s="11"/>
      <c r="C213" s="11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9"/>
      <c r="AK213" s="12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9"/>
      <c r="BH213" s="14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9"/>
      <c r="CF213" s="9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/>
      <c r="DI213" s="16"/>
      <c r="DJ213" s="16"/>
      <c r="DK213" s="16"/>
      <c r="DL213" s="16"/>
    </row>
    <row r="214" ht="15.75" customHeight="1">
      <c r="A214" s="9"/>
      <c r="B214" s="11"/>
      <c r="C214" s="11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9"/>
      <c r="AK214" s="12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9"/>
      <c r="BH214" s="14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9"/>
      <c r="CF214" s="9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  <c r="CT214" s="11"/>
      <c r="CU214" s="11"/>
      <c r="CV214" s="11"/>
      <c r="CW214" s="11"/>
      <c r="CX214" s="11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/>
      <c r="DI214" s="16"/>
      <c r="DJ214" s="16"/>
      <c r="DK214" s="16"/>
      <c r="DL214" s="16"/>
    </row>
    <row r="215" ht="15.75" customHeight="1">
      <c r="A215" s="9"/>
      <c r="B215" s="11"/>
      <c r="C215" s="11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9"/>
      <c r="AK215" s="12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9"/>
      <c r="BH215" s="14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9"/>
      <c r="CF215" s="9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6"/>
      <c r="CZ215" s="16"/>
      <c r="DA215" s="16"/>
      <c r="DB215" s="16"/>
      <c r="DC215" s="16"/>
      <c r="DD215" s="16"/>
      <c r="DE215" s="16"/>
      <c r="DF215" s="16"/>
      <c r="DG215" s="16"/>
      <c r="DH215" s="16"/>
      <c r="DI215" s="16"/>
      <c r="DJ215" s="16"/>
      <c r="DK215" s="16"/>
      <c r="DL215" s="16"/>
    </row>
    <row r="216" ht="15.75" customHeight="1">
      <c r="A216" s="9"/>
      <c r="B216" s="11"/>
      <c r="C216" s="11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9"/>
      <c r="AK216" s="12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9"/>
      <c r="BH216" s="14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9"/>
      <c r="CF216" s="9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  <c r="CU216" s="11"/>
      <c r="CV216" s="11"/>
      <c r="CW216" s="11"/>
      <c r="CX216" s="11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/>
      <c r="DI216" s="16"/>
      <c r="DJ216" s="16"/>
      <c r="DK216" s="16"/>
      <c r="DL216" s="16"/>
    </row>
    <row r="217" ht="15.75" customHeight="1">
      <c r="A217" s="9"/>
      <c r="B217" s="11"/>
      <c r="C217" s="11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9"/>
      <c r="AK217" s="12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9"/>
      <c r="BH217" s="14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9"/>
      <c r="CF217" s="9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6"/>
      <c r="DJ217" s="16"/>
      <c r="DK217" s="16"/>
      <c r="DL217" s="16"/>
    </row>
    <row r="218" ht="15.75" customHeight="1">
      <c r="A218" s="9"/>
      <c r="B218" s="11"/>
      <c r="C218" s="11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9"/>
      <c r="AK218" s="12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9"/>
      <c r="BH218" s="14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9"/>
      <c r="CF218" s="9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/>
      <c r="DI218" s="16"/>
      <c r="DJ218" s="16"/>
      <c r="DK218" s="16"/>
      <c r="DL218" s="16"/>
    </row>
    <row r="219" ht="15.75" customHeight="1">
      <c r="A219" s="9"/>
      <c r="B219" s="11"/>
      <c r="C219" s="11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9"/>
      <c r="AK219" s="12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9"/>
      <c r="BH219" s="14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9"/>
      <c r="CF219" s="9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  <c r="DJ219" s="16"/>
      <c r="DK219" s="16"/>
      <c r="DL219" s="16"/>
    </row>
    <row r="220" ht="15.75" customHeight="1">
      <c r="A220" s="9"/>
      <c r="B220" s="11"/>
      <c r="C220" s="11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9"/>
      <c r="AK220" s="12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9"/>
      <c r="BH220" s="14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9"/>
      <c r="CF220" s="9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  <c r="CU220" s="11"/>
      <c r="CV220" s="11"/>
      <c r="CW220" s="11"/>
      <c r="CX220" s="11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/>
      <c r="DI220" s="16"/>
      <c r="DJ220" s="16"/>
      <c r="DK220" s="16"/>
      <c r="DL220" s="16"/>
    </row>
    <row r="221" ht="15.75" customHeight="1">
      <c r="A221" s="9"/>
      <c r="B221" s="11"/>
      <c r="C221" s="11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9"/>
      <c r="AK221" s="12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9"/>
      <c r="BH221" s="14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9"/>
      <c r="CF221" s="9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  <c r="CV221" s="11"/>
      <c r="CW221" s="11"/>
      <c r="CX221" s="11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/>
      <c r="DI221" s="16"/>
      <c r="DJ221" s="16"/>
      <c r="DK221" s="16"/>
      <c r="DL221" s="16"/>
    </row>
    <row r="222" ht="15.75" customHeight="1">
      <c r="A222" s="9"/>
      <c r="B222" s="11"/>
      <c r="C222" s="11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9"/>
      <c r="AK222" s="12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9"/>
      <c r="BH222" s="14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9"/>
      <c r="CF222" s="9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  <c r="CU222" s="11"/>
      <c r="CV222" s="11"/>
      <c r="CW222" s="11"/>
      <c r="CX222" s="11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/>
      <c r="DI222" s="16"/>
      <c r="DJ222" s="16"/>
      <c r="DK222" s="16"/>
      <c r="DL222" s="16"/>
    </row>
    <row r="223" ht="15.75" customHeight="1">
      <c r="A223" s="9"/>
      <c r="B223" s="11"/>
      <c r="C223" s="11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9"/>
      <c r="AK223" s="12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9"/>
      <c r="BH223" s="14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9"/>
      <c r="CF223" s="9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  <c r="CV223" s="11"/>
      <c r="CW223" s="11"/>
      <c r="CX223" s="11"/>
      <c r="CY223" s="16"/>
      <c r="CZ223" s="16"/>
      <c r="DA223" s="16"/>
      <c r="DB223" s="16"/>
      <c r="DC223" s="16"/>
      <c r="DD223" s="16"/>
      <c r="DE223" s="16"/>
      <c r="DF223" s="16"/>
      <c r="DG223" s="16"/>
      <c r="DH223" s="16"/>
      <c r="DI223" s="16"/>
      <c r="DJ223" s="16"/>
      <c r="DK223" s="16"/>
      <c r="DL223" s="16"/>
    </row>
    <row r="224" ht="15.75" customHeight="1">
      <c r="A224" s="9"/>
      <c r="B224" s="11"/>
      <c r="C224" s="11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9"/>
      <c r="AK224" s="12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9"/>
      <c r="BH224" s="14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9"/>
      <c r="CF224" s="9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/>
      <c r="DI224" s="16"/>
      <c r="DJ224" s="16"/>
      <c r="DK224" s="16"/>
      <c r="DL224" s="16"/>
    </row>
    <row r="225" ht="15.75" customHeight="1">
      <c r="A225" s="9"/>
      <c r="B225" s="11"/>
      <c r="C225" s="11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9"/>
      <c r="AK225" s="12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9"/>
      <c r="BH225" s="14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9"/>
      <c r="CF225" s="9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6"/>
      <c r="CZ225" s="16"/>
      <c r="DA225" s="16"/>
      <c r="DB225" s="16"/>
      <c r="DC225" s="16"/>
      <c r="DD225" s="16"/>
      <c r="DE225" s="16"/>
      <c r="DF225" s="16"/>
      <c r="DG225" s="16"/>
      <c r="DH225" s="16"/>
      <c r="DI225" s="16"/>
      <c r="DJ225" s="16"/>
      <c r="DK225" s="16"/>
      <c r="DL225" s="16"/>
    </row>
    <row r="226" ht="15.75" customHeight="1">
      <c r="A226" s="9"/>
      <c r="B226" s="11"/>
      <c r="C226" s="11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9"/>
      <c r="AK226" s="12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9"/>
      <c r="BH226" s="14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9"/>
      <c r="CF226" s="9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  <c r="CU226" s="11"/>
      <c r="CV226" s="11"/>
      <c r="CW226" s="11"/>
      <c r="CX226" s="11"/>
      <c r="CY226" s="16"/>
      <c r="CZ226" s="16"/>
      <c r="DA226" s="16"/>
      <c r="DB226" s="16"/>
      <c r="DC226" s="16"/>
      <c r="DD226" s="16"/>
      <c r="DE226" s="16"/>
      <c r="DF226" s="16"/>
      <c r="DG226" s="16"/>
      <c r="DH226" s="16"/>
      <c r="DI226" s="16"/>
      <c r="DJ226" s="16"/>
      <c r="DK226" s="16"/>
      <c r="DL226" s="16"/>
    </row>
    <row r="227" ht="15.75" customHeight="1">
      <c r="A227" s="9"/>
      <c r="B227" s="11"/>
      <c r="C227" s="11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9"/>
      <c r="AK227" s="12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9"/>
      <c r="BH227" s="14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9"/>
      <c r="CF227" s="9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6"/>
      <c r="CZ227" s="16"/>
      <c r="DA227" s="16"/>
      <c r="DB227" s="16"/>
      <c r="DC227" s="16"/>
      <c r="DD227" s="16"/>
      <c r="DE227" s="16"/>
      <c r="DF227" s="16"/>
      <c r="DG227" s="16"/>
      <c r="DH227" s="16"/>
      <c r="DI227" s="16"/>
      <c r="DJ227" s="16"/>
      <c r="DK227" s="16"/>
      <c r="DL227" s="16"/>
    </row>
    <row r="228" ht="15.75" customHeight="1">
      <c r="A228" s="9"/>
      <c r="B228" s="11"/>
      <c r="C228" s="11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9"/>
      <c r="AK228" s="12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9"/>
      <c r="BH228" s="14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9"/>
      <c r="CF228" s="9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  <c r="CU228" s="11"/>
      <c r="CV228" s="11"/>
      <c r="CW228" s="11"/>
      <c r="CX228" s="11"/>
      <c r="CY228" s="16"/>
      <c r="CZ228" s="16"/>
      <c r="DA228" s="16"/>
      <c r="DB228" s="16"/>
      <c r="DC228" s="16"/>
      <c r="DD228" s="16"/>
      <c r="DE228" s="16"/>
      <c r="DF228" s="16"/>
      <c r="DG228" s="16"/>
      <c r="DH228" s="16"/>
      <c r="DI228" s="16"/>
      <c r="DJ228" s="16"/>
      <c r="DK228" s="16"/>
      <c r="DL228" s="16"/>
    </row>
    <row r="229" ht="15.75" customHeight="1">
      <c r="A229" s="9"/>
      <c r="B229" s="11"/>
      <c r="C229" s="11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9"/>
      <c r="AK229" s="12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9"/>
      <c r="BH229" s="14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9"/>
      <c r="CF229" s="9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/>
      <c r="DI229" s="16"/>
      <c r="DJ229" s="16"/>
      <c r="DK229" s="16"/>
      <c r="DL229" s="16"/>
    </row>
    <row r="230" ht="15.75" customHeight="1">
      <c r="A230" s="9"/>
      <c r="B230" s="11"/>
      <c r="C230" s="11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9"/>
      <c r="AK230" s="12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9"/>
      <c r="BH230" s="14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9"/>
      <c r="CF230" s="9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6"/>
      <c r="CZ230" s="16"/>
      <c r="DA230" s="16"/>
      <c r="DB230" s="16"/>
      <c r="DC230" s="16"/>
      <c r="DD230" s="16"/>
      <c r="DE230" s="16"/>
      <c r="DF230" s="16"/>
      <c r="DG230" s="16"/>
      <c r="DH230" s="16"/>
      <c r="DI230" s="16"/>
      <c r="DJ230" s="16"/>
      <c r="DK230" s="16"/>
      <c r="DL230" s="16"/>
    </row>
    <row r="231" ht="15.75" customHeight="1">
      <c r="A231" s="9"/>
      <c r="B231" s="11"/>
      <c r="C231" s="11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9"/>
      <c r="AK231" s="12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9"/>
      <c r="BH231" s="14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9"/>
      <c r="CF231" s="9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6"/>
      <c r="CZ231" s="16"/>
      <c r="DA231" s="16"/>
      <c r="DB231" s="16"/>
      <c r="DC231" s="16"/>
      <c r="DD231" s="16"/>
      <c r="DE231" s="16"/>
      <c r="DF231" s="16"/>
      <c r="DG231" s="16"/>
      <c r="DH231" s="16"/>
      <c r="DI231" s="16"/>
      <c r="DJ231" s="16"/>
      <c r="DK231" s="16"/>
      <c r="DL231" s="16"/>
    </row>
    <row r="232" ht="15.75" customHeight="1">
      <c r="A232" s="9"/>
      <c r="B232" s="11"/>
      <c r="C232" s="11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9"/>
      <c r="AK232" s="12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9"/>
      <c r="BH232" s="14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9"/>
      <c r="CF232" s="9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  <c r="CV232" s="11"/>
      <c r="CW232" s="11"/>
      <c r="CX232" s="11"/>
      <c r="CY232" s="16"/>
      <c r="CZ232" s="16"/>
      <c r="DA232" s="16"/>
      <c r="DB232" s="16"/>
      <c r="DC232" s="16"/>
      <c r="DD232" s="16"/>
      <c r="DE232" s="16"/>
      <c r="DF232" s="16"/>
      <c r="DG232" s="16"/>
      <c r="DH232" s="16"/>
      <c r="DI232" s="16"/>
      <c r="DJ232" s="16"/>
      <c r="DK232" s="16"/>
      <c r="DL232" s="16"/>
    </row>
    <row r="233" ht="15.75" customHeight="1">
      <c r="A233" s="9"/>
      <c r="B233" s="11"/>
      <c r="C233" s="11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9"/>
      <c r="AK233" s="12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9"/>
      <c r="BH233" s="14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9"/>
      <c r="CF233" s="9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6"/>
      <c r="CZ233" s="16"/>
      <c r="DA233" s="16"/>
      <c r="DB233" s="16"/>
      <c r="DC233" s="16"/>
      <c r="DD233" s="16"/>
      <c r="DE233" s="16"/>
      <c r="DF233" s="16"/>
      <c r="DG233" s="16"/>
      <c r="DH233" s="16"/>
      <c r="DI233" s="16"/>
      <c r="DJ233" s="16"/>
      <c r="DK233" s="16"/>
      <c r="DL233" s="16"/>
    </row>
    <row r="234" ht="15.75" customHeight="1">
      <c r="A234" s="9"/>
      <c r="B234" s="11"/>
      <c r="C234" s="11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9"/>
      <c r="AK234" s="12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9"/>
      <c r="BH234" s="14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9"/>
      <c r="CF234" s="9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  <c r="CU234" s="11"/>
      <c r="CV234" s="11"/>
      <c r="CW234" s="11"/>
      <c r="CX234" s="11"/>
      <c r="CY234" s="16"/>
      <c r="CZ234" s="16"/>
      <c r="DA234" s="16"/>
      <c r="DB234" s="16"/>
      <c r="DC234" s="16"/>
      <c r="DD234" s="16"/>
      <c r="DE234" s="16"/>
      <c r="DF234" s="16"/>
      <c r="DG234" s="16"/>
      <c r="DH234" s="16"/>
      <c r="DI234" s="16"/>
      <c r="DJ234" s="16"/>
      <c r="DK234" s="16"/>
      <c r="DL234" s="16"/>
    </row>
    <row r="235" ht="15.75" customHeight="1">
      <c r="A235" s="9"/>
      <c r="B235" s="11"/>
      <c r="C235" s="11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9"/>
      <c r="AK235" s="12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9"/>
      <c r="BH235" s="14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9"/>
      <c r="CF235" s="9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6"/>
      <c r="CZ235" s="16"/>
      <c r="DA235" s="16"/>
      <c r="DB235" s="16"/>
      <c r="DC235" s="16"/>
      <c r="DD235" s="16"/>
      <c r="DE235" s="16"/>
      <c r="DF235" s="16"/>
      <c r="DG235" s="16"/>
      <c r="DH235" s="16"/>
      <c r="DI235" s="16"/>
      <c r="DJ235" s="16"/>
      <c r="DK235" s="16"/>
      <c r="DL235" s="16"/>
    </row>
    <row r="236" ht="15.75" customHeight="1">
      <c r="A236" s="9"/>
      <c r="B236" s="11"/>
      <c r="C236" s="11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9"/>
      <c r="AK236" s="12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9"/>
      <c r="BH236" s="14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9"/>
      <c r="CF236" s="9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  <c r="CU236" s="11"/>
      <c r="CV236" s="11"/>
      <c r="CW236" s="11"/>
      <c r="CX236" s="11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/>
      <c r="DI236" s="16"/>
      <c r="DJ236" s="16"/>
      <c r="DK236" s="16"/>
      <c r="DL236" s="16"/>
    </row>
    <row r="237" ht="15.75" customHeight="1">
      <c r="A237" s="9"/>
      <c r="B237" s="11"/>
      <c r="C237" s="11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9"/>
      <c r="AK237" s="12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9"/>
      <c r="BH237" s="14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9"/>
      <c r="CF237" s="9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  <c r="CV237" s="11"/>
      <c r="CW237" s="11"/>
      <c r="CX237" s="11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/>
      <c r="DI237" s="16"/>
      <c r="DJ237" s="16"/>
      <c r="DK237" s="16"/>
      <c r="DL237" s="16"/>
    </row>
    <row r="238" ht="15.75" customHeight="1">
      <c r="A238" s="9"/>
      <c r="B238" s="11"/>
      <c r="C238" s="11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9"/>
      <c r="AK238" s="12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9"/>
      <c r="BH238" s="14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9"/>
      <c r="CF238" s="9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  <c r="CU238" s="11"/>
      <c r="CV238" s="11"/>
      <c r="CW238" s="11"/>
      <c r="CX238" s="11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/>
      <c r="DI238" s="16"/>
      <c r="DJ238" s="16"/>
      <c r="DK238" s="16"/>
      <c r="DL238" s="16"/>
    </row>
    <row r="239" ht="15.75" customHeight="1">
      <c r="A239" s="9"/>
      <c r="B239" s="11"/>
      <c r="C239" s="11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9"/>
      <c r="AK239" s="12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9"/>
      <c r="BH239" s="14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9"/>
      <c r="CF239" s="9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6"/>
      <c r="CZ239" s="16"/>
      <c r="DA239" s="16"/>
      <c r="DB239" s="16"/>
      <c r="DC239" s="16"/>
      <c r="DD239" s="16"/>
      <c r="DE239" s="16"/>
      <c r="DF239" s="16"/>
      <c r="DG239" s="16"/>
      <c r="DH239" s="16"/>
      <c r="DI239" s="16"/>
      <c r="DJ239" s="16"/>
      <c r="DK239" s="16"/>
      <c r="DL239" s="16"/>
    </row>
    <row r="240" ht="15.75" customHeight="1">
      <c r="A240" s="9"/>
      <c r="B240" s="11"/>
      <c r="C240" s="11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9"/>
      <c r="AK240" s="12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9"/>
      <c r="BH240" s="14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9"/>
      <c r="CF240" s="9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  <c r="CV240" s="11"/>
      <c r="CW240" s="11"/>
      <c r="CX240" s="11"/>
      <c r="CY240" s="16"/>
      <c r="CZ240" s="16"/>
      <c r="DA240" s="16"/>
      <c r="DB240" s="16"/>
      <c r="DC240" s="16"/>
      <c r="DD240" s="16"/>
      <c r="DE240" s="16"/>
      <c r="DF240" s="16"/>
      <c r="DG240" s="16"/>
      <c r="DH240" s="16"/>
      <c r="DI240" s="16"/>
      <c r="DJ240" s="16"/>
      <c r="DK240" s="16"/>
      <c r="DL240" s="16"/>
    </row>
    <row r="241" ht="15.75" customHeight="1">
      <c r="A241" s="9"/>
      <c r="B241" s="11"/>
      <c r="C241" s="11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9"/>
      <c r="AK241" s="12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9"/>
      <c r="BH241" s="14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9"/>
      <c r="CF241" s="9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6"/>
      <c r="CZ241" s="16"/>
      <c r="DA241" s="16"/>
      <c r="DB241" s="16"/>
      <c r="DC241" s="16"/>
      <c r="DD241" s="16"/>
      <c r="DE241" s="16"/>
      <c r="DF241" s="16"/>
      <c r="DG241" s="16"/>
      <c r="DH241" s="16"/>
      <c r="DI241" s="16"/>
      <c r="DJ241" s="16"/>
      <c r="DK241" s="16"/>
      <c r="DL241" s="16"/>
    </row>
    <row r="242" ht="15.75" customHeight="1">
      <c r="A242" s="9"/>
      <c r="B242" s="11"/>
      <c r="C242" s="11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9"/>
      <c r="AK242" s="12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9"/>
      <c r="BH242" s="14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9"/>
      <c r="CF242" s="9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  <c r="CU242" s="11"/>
      <c r="CV242" s="11"/>
      <c r="CW242" s="11"/>
      <c r="CX242" s="11"/>
      <c r="CY242" s="16"/>
      <c r="CZ242" s="16"/>
      <c r="DA242" s="16"/>
      <c r="DB242" s="16"/>
      <c r="DC242" s="16"/>
      <c r="DD242" s="16"/>
      <c r="DE242" s="16"/>
      <c r="DF242" s="16"/>
      <c r="DG242" s="16"/>
      <c r="DH242" s="16"/>
      <c r="DI242" s="16"/>
      <c r="DJ242" s="16"/>
      <c r="DK242" s="16"/>
      <c r="DL242" s="16"/>
    </row>
    <row r="243" ht="15.75" customHeight="1">
      <c r="A243" s="9"/>
      <c r="B243" s="11"/>
      <c r="C243" s="11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9"/>
      <c r="AK243" s="12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9"/>
      <c r="BH243" s="14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9"/>
      <c r="CF243" s="9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6"/>
      <c r="CZ243" s="16"/>
      <c r="DA243" s="16"/>
      <c r="DB243" s="16"/>
      <c r="DC243" s="16"/>
      <c r="DD243" s="16"/>
      <c r="DE243" s="16"/>
      <c r="DF243" s="16"/>
      <c r="DG243" s="16"/>
      <c r="DH243" s="16"/>
      <c r="DI243" s="16"/>
      <c r="DJ243" s="16"/>
      <c r="DK243" s="16"/>
      <c r="DL243" s="16"/>
    </row>
    <row r="244" ht="15.75" customHeight="1">
      <c r="A244" s="9"/>
      <c r="B244" s="11"/>
      <c r="C244" s="11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9"/>
      <c r="AK244" s="12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9"/>
      <c r="BH244" s="14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9"/>
      <c r="CF244" s="9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1"/>
      <c r="CU244" s="11"/>
      <c r="CV244" s="11"/>
      <c r="CW244" s="11"/>
      <c r="CX244" s="11"/>
      <c r="CY244" s="16"/>
      <c r="CZ244" s="16"/>
      <c r="DA244" s="16"/>
      <c r="DB244" s="16"/>
      <c r="DC244" s="16"/>
      <c r="DD244" s="16"/>
      <c r="DE244" s="16"/>
      <c r="DF244" s="16"/>
      <c r="DG244" s="16"/>
      <c r="DH244" s="16"/>
      <c r="DI244" s="16"/>
      <c r="DJ244" s="16"/>
      <c r="DK244" s="16"/>
      <c r="DL244" s="16"/>
    </row>
    <row r="245" ht="15.75" customHeight="1">
      <c r="A245" s="9"/>
      <c r="B245" s="11"/>
      <c r="C245" s="11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9"/>
      <c r="AK245" s="12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9"/>
      <c r="BH245" s="14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9"/>
      <c r="CF245" s="9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  <c r="CV245" s="11"/>
      <c r="CW245" s="11"/>
      <c r="CX245" s="11"/>
      <c r="CY245" s="16"/>
      <c r="CZ245" s="16"/>
      <c r="DA245" s="16"/>
      <c r="DB245" s="16"/>
      <c r="DC245" s="16"/>
      <c r="DD245" s="16"/>
      <c r="DE245" s="16"/>
      <c r="DF245" s="16"/>
      <c r="DG245" s="16"/>
      <c r="DH245" s="16"/>
      <c r="DI245" s="16"/>
      <c r="DJ245" s="16"/>
      <c r="DK245" s="16"/>
      <c r="DL245" s="16"/>
    </row>
    <row r="246" ht="15.75" customHeight="1">
      <c r="A246" s="9"/>
      <c r="B246" s="11"/>
      <c r="C246" s="11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9"/>
      <c r="AK246" s="12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9"/>
      <c r="BH246" s="14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9"/>
      <c r="CF246" s="9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  <c r="CU246" s="11"/>
      <c r="CV246" s="11"/>
      <c r="CW246" s="11"/>
      <c r="CX246" s="11"/>
      <c r="CY246" s="16"/>
      <c r="CZ246" s="16"/>
      <c r="DA246" s="16"/>
      <c r="DB246" s="16"/>
      <c r="DC246" s="16"/>
      <c r="DD246" s="16"/>
      <c r="DE246" s="16"/>
      <c r="DF246" s="16"/>
      <c r="DG246" s="16"/>
      <c r="DH246" s="16"/>
      <c r="DI246" s="16"/>
      <c r="DJ246" s="16"/>
      <c r="DK246" s="16"/>
      <c r="DL246" s="16"/>
    </row>
    <row r="247" ht="15.75" customHeight="1">
      <c r="A247" s="9"/>
      <c r="B247" s="11"/>
      <c r="C247" s="11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9"/>
      <c r="AK247" s="12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9"/>
      <c r="BH247" s="14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9"/>
      <c r="CF247" s="9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  <c r="CV247" s="11"/>
      <c r="CW247" s="11"/>
      <c r="CX247" s="11"/>
      <c r="CY247" s="16"/>
      <c r="CZ247" s="16"/>
      <c r="DA247" s="16"/>
      <c r="DB247" s="16"/>
      <c r="DC247" s="16"/>
      <c r="DD247" s="16"/>
      <c r="DE247" s="16"/>
      <c r="DF247" s="16"/>
      <c r="DG247" s="16"/>
      <c r="DH247" s="16"/>
      <c r="DI247" s="16"/>
      <c r="DJ247" s="16"/>
      <c r="DK247" s="16"/>
      <c r="DL247" s="16"/>
    </row>
    <row r="248" ht="15.75" customHeight="1">
      <c r="A248" s="9"/>
      <c r="B248" s="11"/>
      <c r="C248" s="11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9"/>
      <c r="AK248" s="12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9"/>
      <c r="BH248" s="14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9"/>
      <c r="CF248" s="9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  <c r="CU248" s="11"/>
      <c r="CV248" s="11"/>
      <c r="CW248" s="11"/>
      <c r="CX248" s="11"/>
      <c r="CY248" s="16"/>
      <c r="CZ248" s="16"/>
      <c r="DA248" s="16"/>
      <c r="DB248" s="16"/>
      <c r="DC248" s="16"/>
      <c r="DD248" s="16"/>
      <c r="DE248" s="16"/>
      <c r="DF248" s="16"/>
      <c r="DG248" s="16"/>
      <c r="DH248" s="16"/>
      <c r="DI248" s="16"/>
      <c r="DJ248" s="16"/>
      <c r="DK248" s="16"/>
      <c r="DL248" s="16"/>
    </row>
    <row r="249" ht="15.75" customHeight="1">
      <c r="A249" s="9"/>
      <c r="B249" s="11"/>
      <c r="C249" s="11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9"/>
      <c r="AK249" s="12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9"/>
      <c r="BH249" s="14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9"/>
      <c r="CF249" s="9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6"/>
      <c r="CZ249" s="16"/>
      <c r="DA249" s="16"/>
      <c r="DB249" s="16"/>
      <c r="DC249" s="16"/>
      <c r="DD249" s="16"/>
      <c r="DE249" s="16"/>
      <c r="DF249" s="16"/>
      <c r="DG249" s="16"/>
      <c r="DH249" s="16"/>
      <c r="DI249" s="16"/>
      <c r="DJ249" s="16"/>
      <c r="DK249" s="16"/>
      <c r="DL249" s="16"/>
    </row>
    <row r="250" ht="15.75" customHeight="1">
      <c r="A250" s="9"/>
      <c r="B250" s="11"/>
      <c r="C250" s="11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9"/>
      <c r="AK250" s="12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9"/>
      <c r="BH250" s="14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9"/>
      <c r="CF250" s="9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  <c r="CU250" s="11"/>
      <c r="CV250" s="11"/>
      <c r="CW250" s="11"/>
      <c r="CX250" s="11"/>
      <c r="CY250" s="16"/>
      <c r="CZ250" s="16"/>
      <c r="DA250" s="16"/>
      <c r="DB250" s="16"/>
      <c r="DC250" s="16"/>
      <c r="DD250" s="16"/>
      <c r="DE250" s="16"/>
      <c r="DF250" s="16"/>
      <c r="DG250" s="16"/>
      <c r="DH250" s="16"/>
      <c r="DI250" s="16"/>
      <c r="DJ250" s="16"/>
      <c r="DK250" s="16"/>
      <c r="DL250" s="16"/>
    </row>
    <row r="251" ht="15.75" customHeight="1">
      <c r="A251" s="9"/>
      <c r="B251" s="11"/>
      <c r="C251" s="11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9"/>
      <c r="AK251" s="12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9"/>
      <c r="BH251" s="14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9"/>
      <c r="CF251" s="9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  <c r="CV251" s="11"/>
      <c r="CW251" s="11"/>
      <c r="CX251" s="11"/>
      <c r="CY251" s="16"/>
      <c r="CZ251" s="16"/>
      <c r="DA251" s="16"/>
      <c r="DB251" s="16"/>
      <c r="DC251" s="16"/>
      <c r="DD251" s="16"/>
      <c r="DE251" s="16"/>
      <c r="DF251" s="16"/>
      <c r="DG251" s="16"/>
      <c r="DH251" s="16"/>
      <c r="DI251" s="16"/>
      <c r="DJ251" s="16"/>
      <c r="DK251" s="16"/>
      <c r="DL251" s="16"/>
    </row>
    <row r="252" ht="15.75" customHeight="1">
      <c r="A252" s="9"/>
      <c r="B252" s="11"/>
      <c r="C252" s="11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9"/>
      <c r="AK252" s="12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9"/>
      <c r="BH252" s="14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9"/>
      <c r="CF252" s="9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  <c r="CU252" s="11"/>
      <c r="CV252" s="11"/>
      <c r="CW252" s="11"/>
      <c r="CX252" s="11"/>
      <c r="CY252" s="16"/>
      <c r="CZ252" s="16"/>
      <c r="DA252" s="16"/>
      <c r="DB252" s="16"/>
      <c r="DC252" s="16"/>
      <c r="DD252" s="16"/>
      <c r="DE252" s="16"/>
      <c r="DF252" s="16"/>
      <c r="DG252" s="16"/>
      <c r="DH252" s="16"/>
      <c r="DI252" s="16"/>
      <c r="DJ252" s="16"/>
      <c r="DK252" s="16"/>
      <c r="DL252" s="16"/>
    </row>
    <row r="253" ht="15.75" customHeight="1">
      <c r="A253" s="9"/>
      <c r="B253" s="11"/>
      <c r="C253" s="11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9"/>
      <c r="AK253" s="12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9"/>
      <c r="BH253" s="14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9"/>
      <c r="CF253" s="9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6"/>
      <c r="CZ253" s="16"/>
      <c r="DA253" s="16"/>
      <c r="DB253" s="16"/>
      <c r="DC253" s="16"/>
      <c r="DD253" s="16"/>
      <c r="DE253" s="16"/>
      <c r="DF253" s="16"/>
      <c r="DG253" s="16"/>
      <c r="DH253" s="16"/>
      <c r="DI253" s="16"/>
      <c r="DJ253" s="16"/>
      <c r="DK253" s="16"/>
      <c r="DL253" s="16"/>
    </row>
    <row r="254" ht="15.75" customHeight="1">
      <c r="A254" s="9"/>
      <c r="B254" s="11"/>
      <c r="C254" s="11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9"/>
      <c r="AK254" s="12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9"/>
      <c r="BH254" s="14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9"/>
      <c r="CF254" s="9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  <c r="CU254" s="11"/>
      <c r="CV254" s="11"/>
      <c r="CW254" s="11"/>
      <c r="CX254" s="11"/>
      <c r="CY254" s="16"/>
      <c r="CZ254" s="16"/>
      <c r="DA254" s="16"/>
      <c r="DB254" s="16"/>
      <c r="DC254" s="16"/>
      <c r="DD254" s="16"/>
      <c r="DE254" s="16"/>
      <c r="DF254" s="16"/>
      <c r="DG254" s="16"/>
      <c r="DH254" s="16"/>
      <c r="DI254" s="16"/>
      <c r="DJ254" s="16"/>
      <c r="DK254" s="16"/>
      <c r="DL254" s="16"/>
    </row>
    <row r="255" ht="15.75" customHeight="1">
      <c r="A255" s="9"/>
      <c r="B255" s="11"/>
      <c r="C255" s="11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9"/>
      <c r="AK255" s="12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9"/>
      <c r="BH255" s="14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9"/>
      <c r="CF255" s="9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6"/>
      <c r="CZ255" s="16"/>
      <c r="DA255" s="16"/>
      <c r="DB255" s="16"/>
      <c r="DC255" s="16"/>
      <c r="DD255" s="16"/>
      <c r="DE255" s="16"/>
      <c r="DF255" s="16"/>
      <c r="DG255" s="16"/>
      <c r="DH255" s="16"/>
      <c r="DI255" s="16"/>
      <c r="DJ255" s="16"/>
      <c r="DK255" s="16"/>
      <c r="DL255" s="16"/>
    </row>
    <row r="256" ht="15.75" customHeight="1">
      <c r="A256" s="9"/>
      <c r="B256" s="11"/>
      <c r="C256" s="11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9"/>
      <c r="AK256" s="12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9"/>
      <c r="BH256" s="14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9"/>
      <c r="CF256" s="9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6"/>
      <c r="CZ256" s="16"/>
      <c r="DA256" s="16"/>
      <c r="DB256" s="16"/>
      <c r="DC256" s="16"/>
      <c r="DD256" s="16"/>
      <c r="DE256" s="16"/>
      <c r="DF256" s="16"/>
      <c r="DG256" s="16"/>
      <c r="DH256" s="16"/>
      <c r="DI256" s="16"/>
      <c r="DJ256" s="16"/>
      <c r="DK256" s="16"/>
      <c r="DL256" s="16"/>
    </row>
    <row r="257" ht="15.75" customHeight="1">
      <c r="A257" s="9"/>
      <c r="B257" s="11"/>
      <c r="C257" s="11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9"/>
      <c r="AK257" s="12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9"/>
      <c r="BH257" s="14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9"/>
      <c r="CF257" s="9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/>
      <c r="CY257" s="16"/>
      <c r="CZ257" s="16"/>
      <c r="DA257" s="16"/>
      <c r="DB257" s="16"/>
      <c r="DC257" s="16"/>
      <c r="DD257" s="16"/>
      <c r="DE257" s="16"/>
      <c r="DF257" s="16"/>
      <c r="DG257" s="16"/>
      <c r="DH257" s="16"/>
      <c r="DI257" s="16"/>
      <c r="DJ257" s="16"/>
      <c r="DK257" s="16"/>
      <c r="DL257" s="16"/>
    </row>
    <row r="258" ht="15.75" customHeight="1">
      <c r="A258" s="9"/>
      <c r="B258" s="11"/>
      <c r="C258" s="11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9"/>
      <c r="AK258" s="12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9"/>
      <c r="BH258" s="14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9"/>
      <c r="CF258" s="9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  <c r="CU258" s="11"/>
      <c r="CV258" s="11"/>
      <c r="CW258" s="11"/>
      <c r="CX258" s="11"/>
      <c r="CY258" s="16"/>
      <c r="CZ258" s="16"/>
      <c r="DA258" s="16"/>
      <c r="DB258" s="16"/>
      <c r="DC258" s="16"/>
      <c r="DD258" s="16"/>
      <c r="DE258" s="16"/>
      <c r="DF258" s="16"/>
      <c r="DG258" s="16"/>
      <c r="DH258" s="16"/>
      <c r="DI258" s="16"/>
      <c r="DJ258" s="16"/>
      <c r="DK258" s="16"/>
      <c r="DL258" s="16"/>
    </row>
    <row r="259" ht="15.75" customHeight="1">
      <c r="A259" s="9"/>
      <c r="B259" s="11"/>
      <c r="C259" s="11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9"/>
      <c r="AK259" s="12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9"/>
      <c r="BH259" s="14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9"/>
      <c r="CF259" s="9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6"/>
      <c r="CZ259" s="16"/>
      <c r="DA259" s="16"/>
      <c r="DB259" s="16"/>
      <c r="DC259" s="16"/>
      <c r="DD259" s="16"/>
      <c r="DE259" s="16"/>
      <c r="DF259" s="16"/>
      <c r="DG259" s="16"/>
      <c r="DH259" s="16"/>
      <c r="DI259" s="16"/>
      <c r="DJ259" s="16"/>
      <c r="DK259" s="16"/>
      <c r="DL259" s="16"/>
    </row>
    <row r="260" ht="15.75" customHeight="1">
      <c r="A260" s="9"/>
      <c r="B260" s="11"/>
      <c r="C260" s="11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9"/>
      <c r="AK260" s="12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9"/>
      <c r="BH260" s="14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9"/>
      <c r="CF260" s="9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  <c r="CU260" s="11"/>
      <c r="CV260" s="11"/>
      <c r="CW260" s="11"/>
      <c r="CX260" s="11"/>
      <c r="CY260" s="16"/>
      <c r="CZ260" s="16"/>
      <c r="DA260" s="16"/>
      <c r="DB260" s="16"/>
      <c r="DC260" s="16"/>
      <c r="DD260" s="16"/>
      <c r="DE260" s="16"/>
      <c r="DF260" s="16"/>
      <c r="DG260" s="16"/>
      <c r="DH260" s="16"/>
      <c r="DI260" s="16"/>
      <c r="DJ260" s="16"/>
      <c r="DK260" s="16"/>
      <c r="DL260" s="16"/>
    </row>
    <row r="261" ht="15.75" customHeight="1">
      <c r="A261" s="9"/>
      <c r="B261" s="11"/>
      <c r="C261" s="11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9"/>
      <c r="AK261" s="12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9"/>
      <c r="BH261" s="14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9"/>
      <c r="CF261" s="9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6"/>
      <c r="CZ261" s="16"/>
      <c r="DA261" s="16"/>
      <c r="DB261" s="16"/>
      <c r="DC261" s="16"/>
      <c r="DD261" s="16"/>
      <c r="DE261" s="16"/>
      <c r="DF261" s="16"/>
      <c r="DG261" s="16"/>
      <c r="DH261" s="16"/>
      <c r="DI261" s="16"/>
      <c r="DJ261" s="16"/>
      <c r="DK261" s="16"/>
      <c r="DL261" s="16"/>
    </row>
    <row r="262" ht="15.75" customHeight="1">
      <c r="A262" s="9"/>
      <c r="B262" s="11"/>
      <c r="C262" s="11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9"/>
      <c r="AK262" s="12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9"/>
      <c r="BH262" s="14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9"/>
      <c r="CF262" s="9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  <c r="CV262" s="11"/>
      <c r="CW262" s="11"/>
      <c r="CX262" s="11"/>
      <c r="CY262" s="16"/>
      <c r="CZ262" s="16"/>
      <c r="DA262" s="16"/>
      <c r="DB262" s="16"/>
      <c r="DC262" s="16"/>
      <c r="DD262" s="16"/>
      <c r="DE262" s="16"/>
      <c r="DF262" s="16"/>
      <c r="DG262" s="16"/>
      <c r="DH262" s="16"/>
      <c r="DI262" s="16"/>
      <c r="DJ262" s="16"/>
      <c r="DK262" s="16"/>
      <c r="DL262" s="16"/>
    </row>
    <row r="263" ht="15.75" customHeight="1">
      <c r="A263" s="9"/>
      <c r="B263" s="11"/>
      <c r="C263" s="11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9"/>
      <c r="AK263" s="12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9"/>
      <c r="BH263" s="14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9"/>
      <c r="CF263" s="9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6"/>
      <c r="CZ263" s="16"/>
      <c r="DA263" s="16"/>
      <c r="DB263" s="16"/>
      <c r="DC263" s="16"/>
      <c r="DD263" s="16"/>
      <c r="DE263" s="16"/>
      <c r="DF263" s="16"/>
      <c r="DG263" s="16"/>
      <c r="DH263" s="16"/>
      <c r="DI263" s="16"/>
      <c r="DJ263" s="16"/>
      <c r="DK263" s="16"/>
      <c r="DL263" s="16"/>
    </row>
    <row r="264" ht="15.75" customHeight="1">
      <c r="A264" s="9"/>
      <c r="B264" s="11"/>
      <c r="C264" s="11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9"/>
      <c r="AK264" s="12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9"/>
      <c r="BH264" s="14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9"/>
      <c r="CF264" s="9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6"/>
      <c r="CZ264" s="16"/>
      <c r="DA264" s="16"/>
      <c r="DB264" s="16"/>
      <c r="DC264" s="16"/>
      <c r="DD264" s="16"/>
      <c r="DE264" s="16"/>
      <c r="DF264" s="16"/>
      <c r="DG264" s="16"/>
      <c r="DH264" s="16"/>
      <c r="DI264" s="16"/>
      <c r="DJ264" s="16"/>
      <c r="DK264" s="16"/>
      <c r="DL264" s="16"/>
    </row>
    <row r="265" ht="15.75" customHeight="1">
      <c r="A265" s="9"/>
      <c r="B265" s="11"/>
      <c r="C265" s="11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9"/>
      <c r="AK265" s="12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9"/>
      <c r="BH265" s="14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9"/>
      <c r="CF265" s="9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6"/>
      <c r="CZ265" s="16"/>
      <c r="DA265" s="16"/>
      <c r="DB265" s="16"/>
      <c r="DC265" s="16"/>
      <c r="DD265" s="16"/>
      <c r="DE265" s="16"/>
      <c r="DF265" s="16"/>
      <c r="DG265" s="16"/>
      <c r="DH265" s="16"/>
      <c r="DI265" s="16"/>
      <c r="DJ265" s="16"/>
      <c r="DK265" s="16"/>
      <c r="DL265" s="16"/>
    </row>
    <row r="266" ht="15.75" customHeight="1">
      <c r="A266" s="9"/>
      <c r="B266" s="11"/>
      <c r="C266" s="11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9"/>
      <c r="AK266" s="12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9"/>
      <c r="BH266" s="14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9"/>
      <c r="CF266" s="9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  <c r="CV266" s="11"/>
      <c r="CW266" s="11"/>
      <c r="CX266" s="11"/>
      <c r="CY266" s="16"/>
      <c r="CZ266" s="16"/>
      <c r="DA266" s="16"/>
      <c r="DB266" s="16"/>
      <c r="DC266" s="16"/>
      <c r="DD266" s="16"/>
      <c r="DE266" s="16"/>
      <c r="DF266" s="16"/>
      <c r="DG266" s="16"/>
      <c r="DH266" s="16"/>
      <c r="DI266" s="16"/>
      <c r="DJ266" s="16"/>
      <c r="DK266" s="16"/>
      <c r="DL266" s="16"/>
    </row>
    <row r="267" ht="15.75" customHeight="1">
      <c r="A267" s="9"/>
      <c r="B267" s="11"/>
      <c r="C267" s="11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9"/>
      <c r="AK267" s="12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9"/>
      <c r="BH267" s="14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9"/>
      <c r="CF267" s="9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6"/>
      <c r="CZ267" s="16"/>
      <c r="DA267" s="16"/>
      <c r="DB267" s="16"/>
      <c r="DC267" s="16"/>
      <c r="DD267" s="16"/>
      <c r="DE267" s="16"/>
      <c r="DF267" s="16"/>
      <c r="DG267" s="16"/>
      <c r="DH267" s="16"/>
      <c r="DI267" s="16"/>
      <c r="DJ267" s="16"/>
      <c r="DK267" s="16"/>
      <c r="DL267" s="16"/>
    </row>
    <row r="268" ht="15.75" customHeight="1">
      <c r="A268" s="9"/>
      <c r="B268" s="11"/>
      <c r="C268" s="11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9"/>
      <c r="AK268" s="12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9"/>
      <c r="BH268" s="14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9"/>
      <c r="CF268" s="9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  <c r="CV268" s="11"/>
      <c r="CW268" s="11"/>
      <c r="CX268" s="11"/>
      <c r="CY268" s="16"/>
      <c r="CZ268" s="16"/>
      <c r="DA268" s="16"/>
      <c r="DB268" s="16"/>
      <c r="DC268" s="16"/>
      <c r="DD268" s="16"/>
      <c r="DE268" s="16"/>
      <c r="DF268" s="16"/>
      <c r="DG268" s="16"/>
      <c r="DH268" s="16"/>
      <c r="DI268" s="16"/>
      <c r="DJ268" s="16"/>
      <c r="DK268" s="16"/>
      <c r="DL268" s="16"/>
    </row>
    <row r="269" ht="15.75" customHeight="1">
      <c r="A269" s="9"/>
      <c r="B269" s="11"/>
      <c r="C269" s="11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9"/>
      <c r="AK269" s="12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9"/>
      <c r="BH269" s="14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9"/>
      <c r="CF269" s="9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6"/>
      <c r="CZ269" s="16"/>
      <c r="DA269" s="16"/>
      <c r="DB269" s="16"/>
      <c r="DC269" s="16"/>
      <c r="DD269" s="16"/>
      <c r="DE269" s="16"/>
      <c r="DF269" s="16"/>
      <c r="DG269" s="16"/>
      <c r="DH269" s="16"/>
      <c r="DI269" s="16"/>
      <c r="DJ269" s="16"/>
      <c r="DK269" s="16"/>
      <c r="DL269" s="16"/>
    </row>
    <row r="270" ht="15.75" customHeight="1">
      <c r="A270" s="9"/>
      <c r="B270" s="11"/>
      <c r="C270" s="11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9"/>
      <c r="AK270" s="12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9"/>
      <c r="BH270" s="14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9"/>
      <c r="CF270" s="9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6"/>
      <c r="CZ270" s="16"/>
      <c r="DA270" s="16"/>
      <c r="DB270" s="16"/>
      <c r="DC270" s="16"/>
      <c r="DD270" s="16"/>
      <c r="DE270" s="16"/>
      <c r="DF270" s="16"/>
      <c r="DG270" s="16"/>
      <c r="DH270" s="16"/>
      <c r="DI270" s="16"/>
      <c r="DJ270" s="16"/>
      <c r="DK270" s="16"/>
      <c r="DL270" s="16"/>
    </row>
    <row r="271" ht="15.75" customHeight="1">
      <c r="A271" s="9"/>
      <c r="B271" s="11"/>
      <c r="C271" s="11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9"/>
      <c r="AK271" s="12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9"/>
      <c r="BH271" s="14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9"/>
      <c r="CF271" s="9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6"/>
      <c r="CZ271" s="16"/>
      <c r="DA271" s="16"/>
      <c r="DB271" s="16"/>
      <c r="DC271" s="16"/>
      <c r="DD271" s="16"/>
      <c r="DE271" s="16"/>
      <c r="DF271" s="16"/>
      <c r="DG271" s="16"/>
      <c r="DH271" s="16"/>
      <c r="DI271" s="16"/>
      <c r="DJ271" s="16"/>
      <c r="DK271" s="16"/>
      <c r="DL271" s="16"/>
    </row>
    <row r="272" ht="15.75" customHeight="1">
      <c r="A272" s="9"/>
      <c r="B272" s="11"/>
      <c r="C272" s="11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9"/>
      <c r="AK272" s="12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9"/>
      <c r="BH272" s="14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9"/>
      <c r="CF272" s="9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  <c r="CU272" s="11"/>
      <c r="CV272" s="11"/>
      <c r="CW272" s="11"/>
      <c r="CX272" s="11"/>
      <c r="CY272" s="16"/>
      <c r="CZ272" s="16"/>
      <c r="DA272" s="16"/>
      <c r="DB272" s="16"/>
      <c r="DC272" s="16"/>
      <c r="DD272" s="16"/>
      <c r="DE272" s="16"/>
      <c r="DF272" s="16"/>
      <c r="DG272" s="16"/>
      <c r="DH272" s="16"/>
      <c r="DI272" s="16"/>
      <c r="DJ272" s="16"/>
      <c r="DK272" s="16"/>
      <c r="DL272" s="16"/>
    </row>
    <row r="273" ht="15.75" customHeight="1">
      <c r="A273" s="9"/>
      <c r="B273" s="11"/>
      <c r="C273" s="11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9"/>
      <c r="AK273" s="12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9"/>
      <c r="BH273" s="14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9"/>
      <c r="CF273" s="9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6"/>
      <c r="CZ273" s="16"/>
      <c r="DA273" s="16"/>
      <c r="DB273" s="16"/>
      <c r="DC273" s="16"/>
      <c r="DD273" s="16"/>
      <c r="DE273" s="16"/>
      <c r="DF273" s="16"/>
      <c r="DG273" s="16"/>
      <c r="DH273" s="16"/>
      <c r="DI273" s="16"/>
      <c r="DJ273" s="16"/>
      <c r="DK273" s="16"/>
      <c r="DL273" s="16"/>
    </row>
    <row r="274" ht="15.75" customHeight="1">
      <c r="A274" s="9"/>
      <c r="B274" s="11"/>
      <c r="C274" s="11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9"/>
      <c r="AK274" s="12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9"/>
      <c r="BH274" s="14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9"/>
      <c r="CF274" s="9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  <c r="CU274" s="11"/>
      <c r="CV274" s="11"/>
      <c r="CW274" s="11"/>
      <c r="CX274" s="11"/>
      <c r="CY274" s="16"/>
      <c r="CZ274" s="16"/>
      <c r="DA274" s="16"/>
      <c r="DB274" s="16"/>
      <c r="DC274" s="16"/>
      <c r="DD274" s="16"/>
      <c r="DE274" s="16"/>
      <c r="DF274" s="16"/>
      <c r="DG274" s="16"/>
      <c r="DH274" s="16"/>
      <c r="DI274" s="16"/>
      <c r="DJ274" s="16"/>
      <c r="DK274" s="16"/>
      <c r="DL274" s="16"/>
    </row>
    <row r="275" ht="15.75" customHeight="1">
      <c r="A275" s="9"/>
      <c r="B275" s="11"/>
      <c r="C275" s="11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9"/>
      <c r="AK275" s="12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9"/>
      <c r="BH275" s="14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9"/>
      <c r="CF275" s="9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  <c r="CV275" s="11"/>
      <c r="CW275" s="11"/>
      <c r="CX275" s="11"/>
      <c r="CY275" s="16"/>
      <c r="CZ275" s="16"/>
      <c r="DA275" s="16"/>
      <c r="DB275" s="16"/>
      <c r="DC275" s="16"/>
      <c r="DD275" s="16"/>
      <c r="DE275" s="16"/>
      <c r="DF275" s="16"/>
      <c r="DG275" s="16"/>
      <c r="DH275" s="16"/>
      <c r="DI275" s="16"/>
      <c r="DJ275" s="16"/>
      <c r="DK275" s="16"/>
      <c r="DL275" s="16"/>
    </row>
    <row r="276" ht="15.75" customHeight="1">
      <c r="A276" s="9"/>
      <c r="B276" s="11"/>
      <c r="C276" s="11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9"/>
      <c r="AK276" s="12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9"/>
      <c r="BH276" s="14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9"/>
      <c r="CF276" s="9"/>
      <c r="CG276" s="11"/>
      <c r="CH276" s="11"/>
      <c r="CI276" s="11"/>
      <c r="CJ276" s="11"/>
      <c r="CK276" s="11"/>
      <c r="CL276" s="11"/>
      <c r="CM276" s="11"/>
      <c r="CN276" s="11"/>
      <c r="CO276" s="11"/>
      <c r="CP276" s="11"/>
      <c r="CQ276" s="11"/>
      <c r="CR276" s="11"/>
      <c r="CS276" s="11"/>
      <c r="CT276" s="11"/>
      <c r="CU276" s="11"/>
      <c r="CV276" s="11"/>
      <c r="CW276" s="11"/>
      <c r="CX276" s="11"/>
      <c r="CY276" s="16"/>
      <c r="CZ276" s="16"/>
      <c r="DA276" s="16"/>
      <c r="DB276" s="16"/>
      <c r="DC276" s="16"/>
      <c r="DD276" s="16"/>
      <c r="DE276" s="16"/>
      <c r="DF276" s="16"/>
      <c r="DG276" s="16"/>
      <c r="DH276" s="16"/>
      <c r="DI276" s="16"/>
      <c r="DJ276" s="16"/>
      <c r="DK276" s="16"/>
      <c r="DL276" s="16"/>
    </row>
    <row r="277" ht="15.75" customHeight="1">
      <c r="A277" s="9"/>
      <c r="B277" s="11"/>
      <c r="C277" s="11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9"/>
      <c r="AK277" s="12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9"/>
      <c r="BH277" s="14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9"/>
      <c r="CF277" s="9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  <c r="CV277" s="11"/>
      <c r="CW277" s="11"/>
      <c r="CX277" s="11"/>
      <c r="CY277" s="16"/>
      <c r="CZ277" s="16"/>
      <c r="DA277" s="16"/>
      <c r="DB277" s="16"/>
      <c r="DC277" s="16"/>
      <c r="DD277" s="16"/>
      <c r="DE277" s="16"/>
      <c r="DF277" s="16"/>
      <c r="DG277" s="16"/>
      <c r="DH277" s="16"/>
      <c r="DI277" s="16"/>
      <c r="DJ277" s="16"/>
      <c r="DK277" s="16"/>
      <c r="DL277" s="16"/>
    </row>
    <row r="278" ht="15.75" customHeight="1">
      <c r="A278" s="9"/>
      <c r="B278" s="11"/>
      <c r="C278" s="11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9"/>
      <c r="AK278" s="12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9"/>
      <c r="BH278" s="14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9"/>
      <c r="CF278" s="9"/>
      <c r="CG278" s="11"/>
      <c r="CH278" s="11"/>
      <c r="CI278" s="11"/>
      <c r="CJ278" s="11"/>
      <c r="CK278" s="11"/>
      <c r="CL278" s="11"/>
      <c r="CM278" s="11"/>
      <c r="CN278" s="11"/>
      <c r="CO278" s="11"/>
      <c r="CP278" s="11"/>
      <c r="CQ278" s="11"/>
      <c r="CR278" s="11"/>
      <c r="CS278" s="11"/>
      <c r="CT278" s="11"/>
      <c r="CU278" s="11"/>
      <c r="CV278" s="11"/>
      <c r="CW278" s="11"/>
      <c r="CX278" s="11"/>
      <c r="CY278" s="16"/>
      <c r="CZ278" s="16"/>
      <c r="DA278" s="16"/>
      <c r="DB278" s="16"/>
      <c r="DC278" s="16"/>
      <c r="DD278" s="16"/>
      <c r="DE278" s="16"/>
      <c r="DF278" s="16"/>
      <c r="DG278" s="16"/>
      <c r="DH278" s="16"/>
      <c r="DI278" s="16"/>
      <c r="DJ278" s="16"/>
      <c r="DK278" s="16"/>
      <c r="DL278" s="16"/>
    </row>
    <row r="279" ht="15.75" customHeight="1">
      <c r="A279" s="9"/>
      <c r="B279" s="11"/>
      <c r="C279" s="11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9"/>
      <c r="AK279" s="12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9"/>
      <c r="BH279" s="14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9"/>
      <c r="CF279" s="9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  <c r="CV279" s="11"/>
      <c r="CW279" s="11"/>
      <c r="CX279" s="11"/>
      <c r="CY279" s="16"/>
      <c r="CZ279" s="16"/>
      <c r="DA279" s="16"/>
      <c r="DB279" s="16"/>
      <c r="DC279" s="16"/>
      <c r="DD279" s="16"/>
      <c r="DE279" s="16"/>
      <c r="DF279" s="16"/>
      <c r="DG279" s="16"/>
      <c r="DH279" s="16"/>
      <c r="DI279" s="16"/>
      <c r="DJ279" s="16"/>
      <c r="DK279" s="16"/>
      <c r="DL279" s="16"/>
    </row>
    <row r="280" ht="15.75" customHeight="1">
      <c r="A280" s="9"/>
      <c r="B280" s="11"/>
      <c r="C280" s="11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9"/>
      <c r="AK280" s="12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9"/>
      <c r="BH280" s="14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9"/>
      <c r="CF280" s="9"/>
      <c r="CG280" s="11"/>
      <c r="CH280" s="11"/>
      <c r="CI280" s="11"/>
      <c r="CJ280" s="11"/>
      <c r="CK280" s="11"/>
      <c r="CL280" s="11"/>
      <c r="CM280" s="11"/>
      <c r="CN280" s="11"/>
      <c r="CO280" s="11"/>
      <c r="CP280" s="11"/>
      <c r="CQ280" s="11"/>
      <c r="CR280" s="11"/>
      <c r="CS280" s="11"/>
      <c r="CT280" s="11"/>
      <c r="CU280" s="11"/>
      <c r="CV280" s="11"/>
      <c r="CW280" s="11"/>
      <c r="CX280" s="11"/>
      <c r="CY280" s="16"/>
      <c r="CZ280" s="16"/>
      <c r="DA280" s="16"/>
      <c r="DB280" s="16"/>
      <c r="DC280" s="16"/>
      <c r="DD280" s="16"/>
      <c r="DE280" s="16"/>
      <c r="DF280" s="16"/>
      <c r="DG280" s="16"/>
      <c r="DH280" s="16"/>
      <c r="DI280" s="16"/>
      <c r="DJ280" s="16"/>
      <c r="DK280" s="16"/>
      <c r="DL280" s="16"/>
    </row>
    <row r="281" ht="15.75" customHeight="1">
      <c r="A281" s="9"/>
      <c r="B281" s="11"/>
      <c r="C281" s="11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9"/>
      <c r="AK281" s="12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9"/>
      <c r="BH281" s="14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9"/>
      <c r="CF281" s="9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  <c r="CV281" s="11"/>
      <c r="CW281" s="11"/>
      <c r="CX281" s="11"/>
      <c r="CY281" s="16"/>
      <c r="CZ281" s="16"/>
      <c r="DA281" s="16"/>
      <c r="DB281" s="16"/>
      <c r="DC281" s="16"/>
      <c r="DD281" s="16"/>
      <c r="DE281" s="16"/>
      <c r="DF281" s="16"/>
      <c r="DG281" s="16"/>
      <c r="DH281" s="16"/>
      <c r="DI281" s="16"/>
      <c r="DJ281" s="16"/>
      <c r="DK281" s="16"/>
      <c r="DL281" s="16"/>
    </row>
    <row r="282" ht="15.75" customHeight="1">
      <c r="A282" s="9"/>
      <c r="B282" s="11"/>
      <c r="C282" s="11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9"/>
      <c r="AK282" s="12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9"/>
      <c r="BH282" s="14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9"/>
      <c r="CF282" s="9"/>
      <c r="CG282" s="11"/>
      <c r="CH282" s="11"/>
      <c r="CI282" s="11"/>
      <c r="CJ282" s="11"/>
      <c r="CK282" s="11"/>
      <c r="CL282" s="11"/>
      <c r="CM282" s="11"/>
      <c r="CN282" s="11"/>
      <c r="CO282" s="11"/>
      <c r="CP282" s="11"/>
      <c r="CQ282" s="11"/>
      <c r="CR282" s="11"/>
      <c r="CS282" s="11"/>
      <c r="CT282" s="11"/>
      <c r="CU282" s="11"/>
      <c r="CV282" s="11"/>
      <c r="CW282" s="11"/>
      <c r="CX282" s="11"/>
      <c r="CY282" s="16"/>
      <c r="CZ282" s="16"/>
      <c r="DA282" s="16"/>
      <c r="DB282" s="16"/>
      <c r="DC282" s="16"/>
      <c r="DD282" s="16"/>
      <c r="DE282" s="16"/>
      <c r="DF282" s="16"/>
      <c r="DG282" s="16"/>
      <c r="DH282" s="16"/>
      <c r="DI282" s="16"/>
      <c r="DJ282" s="16"/>
      <c r="DK282" s="16"/>
      <c r="DL282" s="16"/>
    </row>
    <row r="283" ht="15.75" customHeight="1">
      <c r="A283" s="9"/>
      <c r="B283" s="11"/>
      <c r="C283" s="11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9"/>
      <c r="AK283" s="12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9"/>
      <c r="BH283" s="14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9"/>
      <c r="CF283" s="9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6"/>
      <c r="CZ283" s="16"/>
      <c r="DA283" s="16"/>
      <c r="DB283" s="16"/>
      <c r="DC283" s="16"/>
      <c r="DD283" s="16"/>
      <c r="DE283" s="16"/>
      <c r="DF283" s="16"/>
      <c r="DG283" s="16"/>
      <c r="DH283" s="16"/>
      <c r="DI283" s="16"/>
      <c r="DJ283" s="16"/>
      <c r="DK283" s="16"/>
      <c r="DL283" s="16"/>
    </row>
    <row r="284" ht="15.75" customHeight="1">
      <c r="A284" s="9"/>
      <c r="B284" s="11"/>
      <c r="C284" s="11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9"/>
      <c r="AK284" s="12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9"/>
      <c r="BH284" s="14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9"/>
      <c r="CF284" s="9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1"/>
      <c r="CU284" s="11"/>
      <c r="CV284" s="11"/>
      <c r="CW284" s="11"/>
      <c r="CX284" s="11"/>
      <c r="CY284" s="16"/>
      <c r="CZ284" s="16"/>
      <c r="DA284" s="16"/>
      <c r="DB284" s="16"/>
      <c r="DC284" s="16"/>
      <c r="DD284" s="16"/>
      <c r="DE284" s="16"/>
      <c r="DF284" s="16"/>
      <c r="DG284" s="16"/>
      <c r="DH284" s="16"/>
      <c r="DI284" s="16"/>
      <c r="DJ284" s="16"/>
      <c r="DK284" s="16"/>
      <c r="DL284" s="16"/>
    </row>
    <row r="285" ht="15.75" customHeight="1">
      <c r="A285" s="9"/>
      <c r="B285" s="11"/>
      <c r="C285" s="11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9"/>
      <c r="AK285" s="12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9"/>
      <c r="BH285" s="14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9"/>
      <c r="CF285" s="9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6"/>
      <c r="CZ285" s="16"/>
      <c r="DA285" s="16"/>
      <c r="DB285" s="16"/>
      <c r="DC285" s="16"/>
      <c r="DD285" s="16"/>
      <c r="DE285" s="16"/>
      <c r="DF285" s="16"/>
      <c r="DG285" s="16"/>
      <c r="DH285" s="16"/>
      <c r="DI285" s="16"/>
      <c r="DJ285" s="16"/>
      <c r="DK285" s="16"/>
      <c r="DL285" s="16"/>
    </row>
    <row r="286" ht="15.75" customHeight="1">
      <c r="A286" s="9"/>
      <c r="B286" s="11"/>
      <c r="C286" s="11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9"/>
      <c r="AK286" s="12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9"/>
      <c r="BH286" s="14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9"/>
      <c r="CF286" s="9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  <c r="CS286" s="11"/>
      <c r="CT286" s="11"/>
      <c r="CU286" s="11"/>
      <c r="CV286" s="11"/>
      <c r="CW286" s="11"/>
      <c r="CX286" s="11"/>
      <c r="CY286" s="16"/>
      <c r="CZ286" s="16"/>
      <c r="DA286" s="16"/>
      <c r="DB286" s="16"/>
      <c r="DC286" s="16"/>
      <c r="DD286" s="16"/>
      <c r="DE286" s="16"/>
      <c r="DF286" s="16"/>
      <c r="DG286" s="16"/>
      <c r="DH286" s="16"/>
      <c r="DI286" s="16"/>
      <c r="DJ286" s="16"/>
      <c r="DK286" s="16"/>
      <c r="DL286" s="16"/>
    </row>
  </sheetData>
  <mergeCells count="12">
    <mergeCell ref="A4:B4"/>
    <mergeCell ref="A5:B5"/>
    <mergeCell ref="A6:B6"/>
    <mergeCell ref="C5:F5"/>
    <mergeCell ref="C6:F6"/>
    <mergeCell ref="A1:B1"/>
    <mergeCell ref="C1:F1"/>
    <mergeCell ref="A2:B2"/>
    <mergeCell ref="C2:F2"/>
    <mergeCell ref="A3:B3"/>
    <mergeCell ref="C3:F3"/>
    <mergeCell ref="C4:F4"/>
  </mergeCells>
  <conditionalFormatting sqref="H9:CV9 CY9:DJ9 R49:S49 AP49">
    <cfRule type="cellIs" dxfId="0" priority="1" operator="lessThan">
      <formula>1</formula>
    </cfRule>
  </conditionalFormatting>
  <hyperlinks>
    <hyperlink r:id="rId1" ref="A9"/>
  </hyperlinks>
  <printOptions/>
  <pageMargins bottom="0.2" footer="0.0" header="0.0" left="0.7" right="0.16" top="0.28"/>
  <pageSetup paperSize="9" scale="45"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5.86"/>
    <col customWidth="1" min="3" max="3" width="27.0"/>
    <col customWidth="1" min="4" max="4" width="5.71"/>
    <col customWidth="1" min="5" max="5" width="8.0"/>
    <col customWidth="1" min="6" max="6" width="5.29"/>
    <col customWidth="1" min="7" max="7" width="6.57"/>
    <col customWidth="1" min="8" max="12" width="0.86"/>
    <col customWidth="1" min="13" max="13" width="4.71"/>
    <col customWidth="1" min="14" max="14" width="6.57"/>
    <col customWidth="1" min="15" max="23" width="0.71"/>
    <col customWidth="1" min="24" max="25" width="3.71"/>
    <col customWidth="1" min="26" max="28" width="0.71"/>
    <col customWidth="1" min="29" max="30" width="3.71"/>
    <col customWidth="1" min="31" max="33" width="0.71"/>
    <col customWidth="1" min="34" max="36" width="3.71"/>
    <col customWidth="1" min="37" max="37" width="5.86"/>
    <col customWidth="1" min="38" max="40" width="0.57"/>
    <col customWidth="1" min="41" max="42" width="3.71"/>
    <col customWidth="1" min="43" max="45" width="0.71"/>
    <col customWidth="1" min="46" max="46" width="3.71"/>
    <col customWidth="1" min="47" max="50" width="0.86"/>
    <col customWidth="1" min="51" max="51" width="3.71"/>
    <col customWidth="1" min="52" max="56" width="0.57"/>
    <col customWidth="1" min="57" max="58" width="3.71"/>
    <col customWidth="1" min="59" max="59" width="4.0"/>
    <col customWidth="1" min="60" max="60" width="5.71"/>
    <col customWidth="1" min="61" max="63" width="0.43"/>
    <col customWidth="1" min="64" max="64" width="3.71"/>
    <col customWidth="1" min="65" max="70" width="0.43"/>
    <col customWidth="1" min="71" max="72" width="3.71"/>
    <col customWidth="1" min="73" max="82" width="0.43"/>
    <col customWidth="1" min="83" max="83" width="4.0"/>
    <col customWidth="1" min="84" max="84" width="5.57"/>
    <col customWidth="1" min="85" max="96" width="3.71"/>
    <col customWidth="1" min="97" max="97" width="5.29"/>
    <col customWidth="1" min="98" max="98" width="6.29"/>
  </cols>
  <sheetData>
    <row r="1">
      <c r="A1" s="3" t="s">
        <v>219</v>
      </c>
      <c r="B1" s="5"/>
      <c r="C1" s="4"/>
      <c r="D1" s="6"/>
      <c r="E1" s="6"/>
      <c r="F1" s="8"/>
      <c r="G1" s="9"/>
      <c r="H1" s="11"/>
      <c r="I1" s="11"/>
      <c r="J1" s="11"/>
      <c r="K1" s="11"/>
      <c r="L1" s="11"/>
      <c r="M1" s="9"/>
      <c r="N1" s="9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9"/>
      <c r="AK1" s="13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9"/>
      <c r="BH1" s="15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9"/>
      <c r="CF1" s="9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</row>
    <row r="2">
      <c r="A2" s="17" t="s">
        <v>5</v>
      </c>
      <c r="B2" s="18"/>
      <c r="C2" s="19" t="s">
        <v>8</v>
      </c>
      <c r="D2" s="22"/>
      <c r="E2" s="22"/>
      <c r="F2" s="5"/>
      <c r="G2" s="9"/>
      <c r="H2" s="11"/>
      <c r="I2" s="11"/>
      <c r="J2" s="11"/>
      <c r="K2" s="11"/>
      <c r="L2" s="11"/>
      <c r="M2" s="9"/>
      <c r="N2" s="9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9"/>
      <c r="AK2" s="13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9"/>
      <c r="BH2" s="15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9"/>
      <c r="CF2" s="9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</row>
    <row r="3">
      <c r="A3" s="17" t="s">
        <v>9</v>
      </c>
      <c r="B3" s="18"/>
      <c r="C3" s="19" t="s">
        <v>13</v>
      </c>
      <c r="D3" s="22"/>
      <c r="E3" s="22"/>
      <c r="F3" s="5"/>
      <c r="G3" s="9"/>
      <c r="H3" s="11"/>
      <c r="I3" s="11"/>
      <c r="J3" s="11"/>
      <c r="K3" s="11"/>
      <c r="L3" s="11"/>
      <c r="M3" s="9"/>
      <c r="N3" s="9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9"/>
      <c r="AK3" s="13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9"/>
      <c r="BH3" s="15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9"/>
      <c r="CF3" s="9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</row>
    <row r="4">
      <c r="A4" s="17" t="s">
        <v>12</v>
      </c>
      <c r="B4" s="18"/>
      <c r="C4" s="27" t="s">
        <v>16</v>
      </c>
      <c r="D4" s="6"/>
      <c r="E4" s="6"/>
      <c r="F4" s="2"/>
      <c r="G4" s="9"/>
      <c r="H4" s="11"/>
      <c r="I4" s="11"/>
      <c r="J4" s="11"/>
      <c r="K4" s="11"/>
      <c r="L4" s="11"/>
      <c r="M4" s="9"/>
      <c r="N4" s="9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9"/>
      <c r="AK4" s="13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9"/>
      <c r="BH4" s="15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9"/>
      <c r="CF4" s="9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</row>
    <row r="5">
      <c r="A5" s="17" t="s">
        <v>14</v>
      </c>
      <c r="B5" s="18"/>
      <c r="C5" s="28">
        <v>46104.0</v>
      </c>
      <c r="D5" s="22"/>
      <c r="E5" s="22"/>
      <c r="F5" s="5"/>
      <c r="G5" s="31"/>
      <c r="H5" s="11"/>
      <c r="I5" s="11"/>
      <c r="J5" s="11"/>
      <c r="K5" s="11"/>
      <c r="L5" s="11"/>
      <c r="M5" s="9"/>
      <c r="N5" s="9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9"/>
      <c r="AK5" s="13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9"/>
      <c r="BH5" s="15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9"/>
      <c r="CF5" s="9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</row>
    <row r="6">
      <c r="A6" s="32" t="s">
        <v>15</v>
      </c>
      <c r="B6" s="33"/>
      <c r="C6" s="34"/>
      <c r="D6" s="38"/>
      <c r="E6" s="38"/>
      <c r="F6" s="39"/>
      <c r="G6" s="37"/>
      <c r="H6" s="11"/>
      <c r="I6" s="11"/>
      <c r="J6" s="11"/>
      <c r="K6" s="11"/>
      <c r="L6" s="11"/>
      <c r="M6" s="9"/>
      <c r="N6" s="9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9"/>
      <c r="AK6" s="13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9"/>
      <c r="BH6" s="15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9"/>
      <c r="CF6" s="9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</row>
    <row r="7">
      <c r="A7" s="31"/>
      <c r="B7" s="40"/>
      <c r="C7" s="41"/>
      <c r="D7" s="31"/>
      <c r="E7" s="31"/>
      <c r="F7" s="42"/>
      <c r="G7" s="37"/>
      <c r="H7" s="43">
        <v>1.0</v>
      </c>
      <c r="I7" s="43">
        <v>2.0</v>
      </c>
      <c r="J7" s="43">
        <v>3.0</v>
      </c>
      <c r="K7" s="43">
        <v>4.0</v>
      </c>
      <c r="L7" s="43">
        <v>5.0</v>
      </c>
      <c r="M7" s="44"/>
      <c r="N7" s="44"/>
      <c r="O7" s="43">
        <v>1.0</v>
      </c>
      <c r="P7" s="45">
        <v>2.0</v>
      </c>
      <c r="Q7" s="45">
        <v>3.0</v>
      </c>
      <c r="R7" s="46">
        <v>4.0</v>
      </c>
      <c r="S7" s="45">
        <v>5.0</v>
      </c>
      <c r="T7" s="45">
        <v>6.0</v>
      </c>
      <c r="U7" s="46">
        <v>7.0</v>
      </c>
      <c r="V7" s="45">
        <v>8.0</v>
      </c>
      <c r="W7" s="45">
        <v>9.0</v>
      </c>
      <c r="X7" s="46">
        <v>10.0</v>
      </c>
      <c r="Y7" s="45">
        <v>11.0</v>
      </c>
      <c r="Z7" s="45">
        <v>12.0</v>
      </c>
      <c r="AA7" s="46">
        <v>13.0</v>
      </c>
      <c r="AB7" s="45">
        <v>14.0</v>
      </c>
      <c r="AC7" s="45">
        <v>15.0</v>
      </c>
      <c r="AD7" s="46">
        <v>16.0</v>
      </c>
      <c r="AE7" s="45">
        <v>17.0</v>
      </c>
      <c r="AF7" s="45">
        <v>18.0</v>
      </c>
      <c r="AG7" s="46">
        <v>19.0</v>
      </c>
      <c r="AH7" s="45">
        <v>20.0</v>
      </c>
      <c r="AI7" s="45">
        <v>21.0</v>
      </c>
      <c r="AJ7" s="47"/>
      <c r="AK7" s="48"/>
      <c r="AL7" s="49">
        <v>1.0</v>
      </c>
      <c r="AM7" s="49">
        <v>2.0</v>
      </c>
      <c r="AN7" s="49">
        <v>3.0</v>
      </c>
      <c r="AO7" s="49">
        <v>4.0</v>
      </c>
      <c r="AP7" s="49">
        <v>5.0</v>
      </c>
      <c r="AQ7" s="49">
        <v>6.0</v>
      </c>
      <c r="AR7" s="49">
        <v>7.0</v>
      </c>
      <c r="AS7" s="49">
        <v>8.0</v>
      </c>
      <c r="AT7" s="49">
        <v>9.0</v>
      </c>
      <c r="AU7" s="49">
        <v>10.0</v>
      </c>
      <c r="AV7" s="49">
        <v>11.0</v>
      </c>
      <c r="AW7" s="49">
        <v>12.0</v>
      </c>
      <c r="AX7" s="49">
        <v>13.0</v>
      </c>
      <c r="AY7" s="49">
        <v>14.0</v>
      </c>
      <c r="AZ7" s="49">
        <v>15.0</v>
      </c>
      <c r="BA7" s="49">
        <v>16.0</v>
      </c>
      <c r="BB7" s="49">
        <v>17.0</v>
      </c>
      <c r="BC7" s="49">
        <v>18.0</v>
      </c>
      <c r="BD7" s="49">
        <v>19.0</v>
      </c>
      <c r="BE7" s="49">
        <v>20.0</v>
      </c>
      <c r="BF7" s="49">
        <v>21.0</v>
      </c>
      <c r="BG7" s="47"/>
      <c r="BH7" s="52"/>
      <c r="BI7" s="49">
        <v>1.0</v>
      </c>
      <c r="BJ7" s="49">
        <v>2.0</v>
      </c>
      <c r="BK7" s="49">
        <v>3.0</v>
      </c>
      <c r="BL7" s="49">
        <v>4.0</v>
      </c>
      <c r="BM7" s="49">
        <v>5.0</v>
      </c>
      <c r="BN7" s="49">
        <v>6.0</v>
      </c>
      <c r="BO7" s="49">
        <v>7.0</v>
      </c>
      <c r="BP7" s="49">
        <v>8.0</v>
      </c>
      <c r="BQ7" s="49">
        <v>9.0</v>
      </c>
      <c r="BR7" s="49">
        <v>10.0</v>
      </c>
      <c r="BS7" s="49">
        <v>11.0</v>
      </c>
      <c r="BT7" s="49">
        <v>12.0</v>
      </c>
      <c r="BU7" s="49">
        <v>13.0</v>
      </c>
      <c r="BV7" s="49">
        <v>14.0</v>
      </c>
      <c r="BW7" s="49">
        <v>15.0</v>
      </c>
      <c r="BX7" s="49">
        <v>16.0</v>
      </c>
      <c r="BY7" s="49">
        <v>17.0</v>
      </c>
      <c r="BZ7" s="49">
        <v>18.0</v>
      </c>
      <c r="CA7" s="49">
        <v>19.0</v>
      </c>
      <c r="CB7" s="49">
        <v>20.0</v>
      </c>
      <c r="CC7" s="49"/>
      <c r="CD7" s="49">
        <v>21.0</v>
      </c>
      <c r="CE7" s="47"/>
      <c r="CF7" s="47"/>
      <c r="CG7" s="49">
        <v>1.0</v>
      </c>
      <c r="CH7" s="49">
        <v>2.0</v>
      </c>
      <c r="CI7" s="49">
        <v>3.0</v>
      </c>
      <c r="CJ7" s="49">
        <v>4.0</v>
      </c>
      <c r="CK7" s="49">
        <v>5.0</v>
      </c>
      <c r="CL7" s="49">
        <v>6.0</v>
      </c>
      <c r="CM7" s="49">
        <v>7.0</v>
      </c>
      <c r="CN7" s="49">
        <v>8.0</v>
      </c>
      <c r="CO7" s="49">
        <v>9.0</v>
      </c>
      <c r="CP7" s="49">
        <v>10.0</v>
      </c>
      <c r="CQ7" s="49">
        <v>11.0</v>
      </c>
      <c r="CR7" s="49">
        <v>12.0</v>
      </c>
      <c r="CS7" s="55"/>
      <c r="CT7" s="55"/>
    </row>
    <row r="8" ht="78.75" customHeight="1">
      <c r="A8" s="56"/>
      <c r="B8" s="45"/>
      <c r="C8" s="45"/>
      <c r="D8" s="58" t="s">
        <v>17</v>
      </c>
      <c r="E8" s="59" t="s">
        <v>18</v>
      </c>
      <c r="F8" s="60" t="s">
        <v>19</v>
      </c>
      <c r="G8" s="61" t="s">
        <v>20</v>
      </c>
      <c r="H8" s="62">
        <v>46104.0</v>
      </c>
      <c r="I8" s="62">
        <v>46105.0</v>
      </c>
      <c r="J8" s="62">
        <v>46106.0</v>
      </c>
      <c r="K8" s="62">
        <v>46107.0</v>
      </c>
      <c r="L8" s="64">
        <v>46111.0</v>
      </c>
      <c r="M8" s="65" t="s">
        <v>21</v>
      </c>
      <c r="N8" s="66" t="s">
        <v>22</v>
      </c>
      <c r="O8" s="62">
        <v>46113.0</v>
      </c>
      <c r="P8" s="62">
        <v>46114.0</v>
      </c>
      <c r="Q8" s="62">
        <v>46115.0</v>
      </c>
      <c r="R8" s="62">
        <v>46118.0</v>
      </c>
      <c r="S8" s="62">
        <v>46119.0</v>
      </c>
      <c r="T8" s="62">
        <v>46120.0</v>
      </c>
      <c r="U8" s="62">
        <v>46121.0</v>
      </c>
      <c r="V8" s="62">
        <v>46122.0</v>
      </c>
      <c r="W8" s="62">
        <v>46125.0</v>
      </c>
      <c r="X8" s="62">
        <v>46127.0</v>
      </c>
      <c r="Y8" s="62">
        <v>46128.0</v>
      </c>
      <c r="Z8" s="62">
        <v>46129.0</v>
      </c>
      <c r="AA8" s="62">
        <v>46132.0</v>
      </c>
      <c r="AB8" s="62">
        <v>46133.0</v>
      </c>
      <c r="AC8" s="62">
        <v>46134.0</v>
      </c>
      <c r="AD8" s="62">
        <v>46135.0</v>
      </c>
      <c r="AE8" s="62">
        <v>46136.0</v>
      </c>
      <c r="AF8" s="62">
        <v>46139.0</v>
      </c>
      <c r="AG8" s="62">
        <v>46140.0</v>
      </c>
      <c r="AH8" s="62">
        <v>46141.0</v>
      </c>
      <c r="AI8" s="62">
        <v>46142.0</v>
      </c>
      <c r="AJ8" s="67" t="s">
        <v>23</v>
      </c>
      <c r="AK8" s="68" t="s">
        <v>24</v>
      </c>
      <c r="AL8" s="62">
        <v>46143.0</v>
      </c>
      <c r="AM8" s="62">
        <v>46146.0</v>
      </c>
      <c r="AN8" s="62">
        <v>46147.0</v>
      </c>
      <c r="AO8" s="62">
        <v>46148.0</v>
      </c>
      <c r="AP8" s="62">
        <v>46149.0</v>
      </c>
      <c r="AQ8" s="62">
        <v>46150.0</v>
      </c>
      <c r="AR8" s="62">
        <v>46153.0</v>
      </c>
      <c r="AS8" s="62">
        <v>46154.0</v>
      </c>
      <c r="AT8" s="62">
        <v>46155.0</v>
      </c>
      <c r="AU8" s="62">
        <v>46156.0</v>
      </c>
      <c r="AV8" s="62">
        <v>46157.0</v>
      </c>
      <c r="AW8" s="62">
        <v>46160.0</v>
      </c>
      <c r="AX8" s="62">
        <v>46161.0</v>
      </c>
      <c r="AY8" s="62">
        <v>46162.0</v>
      </c>
      <c r="AZ8" s="62">
        <v>46163.0</v>
      </c>
      <c r="BA8" s="62">
        <v>46164.0</v>
      </c>
      <c r="BB8" s="62">
        <v>46167.0</v>
      </c>
      <c r="BC8" s="62">
        <v>46168.0</v>
      </c>
      <c r="BD8" s="62">
        <v>46169.0</v>
      </c>
      <c r="BE8" s="62">
        <v>46170.0</v>
      </c>
      <c r="BF8" s="62">
        <v>46171.0</v>
      </c>
      <c r="BG8" s="70" t="s">
        <v>25</v>
      </c>
      <c r="BH8" s="71" t="s">
        <v>26</v>
      </c>
      <c r="BI8" s="62">
        <v>46174.0</v>
      </c>
      <c r="BJ8" s="62">
        <v>46175.0</v>
      </c>
      <c r="BK8" s="62">
        <v>46176.0</v>
      </c>
      <c r="BL8" s="62">
        <v>46177.0</v>
      </c>
      <c r="BM8" s="62">
        <v>46178.0</v>
      </c>
      <c r="BN8" s="62">
        <v>46181.0</v>
      </c>
      <c r="BO8" s="62">
        <v>46182.0</v>
      </c>
      <c r="BP8" s="62">
        <v>46183.0</v>
      </c>
      <c r="BQ8" s="62">
        <v>46184.0</v>
      </c>
      <c r="BR8" s="62">
        <v>46185.0</v>
      </c>
      <c r="BS8" s="64">
        <v>46197.0</v>
      </c>
      <c r="BT8" s="64">
        <v>46198.0</v>
      </c>
      <c r="BU8" s="64">
        <v>46190.0</v>
      </c>
      <c r="BV8" s="64">
        <v>46191.0</v>
      </c>
      <c r="BW8" s="64">
        <v>46192.0</v>
      </c>
      <c r="BX8" s="64">
        <v>46195.0</v>
      </c>
      <c r="BY8" s="64">
        <v>46196.0</v>
      </c>
      <c r="BZ8" s="64">
        <v>46197.0</v>
      </c>
      <c r="CA8" s="64">
        <v>46198.0</v>
      </c>
      <c r="CB8" s="64">
        <v>46199.0</v>
      </c>
      <c r="CC8" s="64">
        <v>46202.0</v>
      </c>
      <c r="CD8" s="64">
        <v>46203.0</v>
      </c>
      <c r="CE8" s="74" t="s">
        <v>27</v>
      </c>
      <c r="CF8" s="75" t="s">
        <v>28</v>
      </c>
      <c r="CG8" s="64">
        <v>46204.0</v>
      </c>
      <c r="CH8" s="64">
        <v>46205.0</v>
      </c>
      <c r="CI8" s="79"/>
      <c r="CJ8" s="79"/>
      <c r="CK8" s="79"/>
      <c r="CL8" s="79"/>
      <c r="CM8" s="79"/>
      <c r="CN8" s="79"/>
      <c r="CO8" s="79"/>
      <c r="CP8" s="79"/>
      <c r="CQ8" s="79"/>
      <c r="CR8" s="79"/>
      <c r="CS8" s="80" t="s">
        <v>31</v>
      </c>
      <c r="CT8" s="81" t="s">
        <v>32</v>
      </c>
    </row>
    <row r="9">
      <c r="A9" s="84" t="s">
        <v>220</v>
      </c>
      <c r="B9" s="85" t="s">
        <v>40</v>
      </c>
      <c r="C9" s="85" t="s">
        <v>42</v>
      </c>
      <c r="D9" s="91">
        <f t="shared" ref="D9:D93" si="6">SUM(M9+AJ9+BG9+CE9+CS9)</f>
        <v>13</v>
      </c>
      <c r="E9" s="91"/>
      <c r="F9" s="92"/>
      <c r="G9" s="92"/>
      <c r="H9" s="93">
        <f t="shared" ref="H9:L9" si="1">SUM(H10:H51)</f>
        <v>0</v>
      </c>
      <c r="I9" s="93">
        <f t="shared" si="1"/>
        <v>0</v>
      </c>
      <c r="J9" s="93">
        <f t="shared" si="1"/>
        <v>0</v>
      </c>
      <c r="K9" s="93">
        <f t="shared" si="1"/>
        <v>0</v>
      </c>
      <c r="L9" s="93">
        <f t="shared" si="1"/>
        <v>0</v>
      </c>
      <c r="M9" s="94">
        <f>COUNTIF(H9:L9,"&gt;0")</f>
        <v>0</v>
      </c>
      <c r="N9" s="96">
        <f>COUNTIF(H9:L9,"&gt;0")</f>
        <v>0</v>
      </c>
      <c r="O9" s="93">
        <f t="shared" ref="O9:AI9" si="2">SUM(O10:O51)</f>
        <v>0</v>
      </c>
      <c r="P9" s="93">
        <f t="shared" si="2"/>
        <v>0</v>
      </c>
      <c r="Q9" s="93">
        <f t="shared" si="2"/>
        <v>0</v>
      </c>
      <c r="R9" s="93">
        <f t="shared" si="2"/>
        <v>0</v>
      </c>
      <c r="S9" s="93">
        <f t="shared" si="2"/>
        <v>0</v>
      </c>
      <c r="T9" s="93">
        <f t="shared" si="2"/>
        <v>0</v>
      </c>
      <c r="U9" s="93">
        <f t="shared" si="2"/>
        <v>0</v>
      </c>
      <c r="V9" s="93">
        <f t="shared" si="2"/>
        <v>0</v>
      </c>
      <c r="W9" s="93">
        <f t="shared" si="2"/>
        <v>0</v>
      </c>
      <c r="X9" s="93">
        <f t="shared" si="2"/>
        <v>22</v>
      </c>
      <c r="Y9" s="93">
        <f t="shared" si="2"/>
        <v>22</v>
      </c>
      <c r="Z9" s="93">
        <f t="shared" si="2"/>
        <v>0</v>
      </c>
      <c r="AA9" s="93">
        <f t="shared" si="2"/>
        <v>0</v>
      </c>
      <c r="AB9" s="93">
        <f t="shared" si="2"/>
        <v>0</v>
      </c>
      <c r="AC9" s="93">
        <f t="shared" si="2"/>
        <v>22</v>
      </c>
      <c r="AD9" s="93">
        <f t="shared" si="2"/>
        <v>18</v>
      </c>
      <c r="AE9" s="93">
        <f t="shared" si="2"/>
        <v>0</v>
      </c>
      <c r="AF9" s="93">
        <f t="shared" si="2"/>
        <v>0</v>
      </c>
      <c r="AG9" s="93">
        <f t="shared" si="2"/>
        <v>0</v>
      </c>
      <c r="AH9" s="93">
        <f t="shared" si="2"/>
        <v>22</v>
      </c>
      <c r="AI9" s="93">
        <f t="shared" si="2"/>
        <v>25</v>
      </c>
      <c r="AJ9" s="44">
        <f>COUNTIF(O9:AI9,"&gt;0")</f>
        <v>6</v>
      </c>
      <c r="AK9" s="102">
        <f>SUM(M9+AJ9)</f>
        <v>6</v>
      </c>
      <c r="AL9" s="103">
        <f t="shared" ref="AL9:BF9" si="3">SUM(AL10:AL51)</f>
        <v>0</v>
      </c>
      <c r="AM9" s="103">
        <f t="shared" si="3"/>
        <v>0</v>
      </c>
      <c r="AN9" s="103">
        <f t="shared" si="3"/>
        <v>0</v>
      </c>
      <c r="AO9" s="103">
        <f t="shared" si="3"/>
        <v>24</v>
      </c>
      <c r="AP9" s="103">
        <f t="shared" si="3"/>
        <v>0</v>
      </c>
      <c r="AQ9" s="103">
        <f t="shared" si="3"/>
        <v>0</v>
      </c>
      <c r="AR9" s="103">
        <f t="shared" si="3"/>
        <v>0</v>
      </c>
      <c r="AS9" s="103">
        <f t="shared" si="3"/>
        <v>0</v>
      </c>
      <c r="AT9" s="103">
        <f t="shared" si="3"/>
        <v>17</v>
      </c>
      <c r="AU9" s="103">
        <f t="shared" si="3"/>
        <v>0</v>
      </c>
      <c r="AV9" s="103">
        <f t="shared" si="3"/>
        <v>0</v>
      </c>
      <c r="AW9" s="103">
        <f t="shared" si="3"/>
        <v>0</v>
      </c>
      <c r="AX9" s="103">
        <f t="shared" si="3"/>
        <v>0</v>
      </c>
      <c r="AY9" s="103">
        <f t="shared" si="3"/>
        <v>26</v>
      </c>
      <c r="AZ9" s="103">
        <f t="shared" si="3"/>
        <v>0</v>
      </c>
      <c r="BA9" s="103">
        <f t="shared" si="3"/>
        <v>0</v>
      </c>
      <c r="BB9" s="103">
        <f t="shared" si="3"/>
        <v>0</v>
      </c>
      <c r="BC9" s="103">
        <f t="shared" si="3"/>
        <v>0</v>
      </c>
      <c r="BD9" s="103">
        <f t="shared" si="3"/>
        <v>0</v>
      </c>
      <c r="BE9" s="103">
        <f t="shared" si="3"/>
        <v>10</v>
      </c>
      <c r="BF9" s="103">
        <f t="shared" si="3"/>
        <v>0</v>
      </c>
      <c r="BG9" s="54">
        <f>COUNTIF(AL9:BF9,"&gt;0")</f>
        <v>4</v>
      </c>
      <c r="BH9" s="106">
        <f>SUM(AK9+BG9)</f>
        <v>10</v>
      </c>
      <c r="BI9" s="107">
        <f t="shared" ref="BI9:CD9" si="4">SUM(BI10:BI51)</f>
        <v>0</v>
      </c>
      <c r="BJ9" s="107">
        <f t="shared" si="4"/>
        <v>0</v>
      </c>
      <c r="BK9" s="107">
        <f t="shared" si="4"/>
        <v>0</v>
      </c>
      <c r="BL9" s="107">
        <f t="shared" si="4"/>
        <v>25</v>
      </c>
      <c r="BM9" s="107">
        <f t="shared" si="4"/>
        <v>0</v>
      </c>
      <c r="BN9" s="107">
        <f t="shared" si="4"/>
        <v>0</v>
      </c>
      <c r="BO9" s="107">
        <f t="shared" si="4"/>
        <v>0</v>
      </c>
      <c r="BP9" s="107">
        <f t="shared" si="4"/>
        <v>0</v>
      </c>
      <c r="BQ9" s="107">
        <f t="shared" si="4"/>
        <v>0</v>
      </c>
      <c r="BR9" s="107">
        <f t="shared" si="4"/>
        <v>0</v>
      </c>
      <c r="BS9" s="107">
        <f t="shared" si="4"/>
        <v>15</v>
      </c>
      <c r="BT9" s="107">
        <f t="shared" si="4"/>
        <v>0</v>
      </c>
      <c r="BU9" s="107">
        <f t="shared" si="4"/>
        <v>0</v>
      </c>
      <c r="BV9" s="107">
        <f t="shared" si="4"/>
        <v>0</v>
      </c>
      <c r="BW9" s="107">
        <f t="shared" si="4"/>
        <v>0</v>
      </c>
      <c r="BX9" s="107">
        <f t="shared" si="4"/>
        <v>0</v>
      </c>
      <c r="BY9" s="107">
        <f t="shared" si="4"/>
        <v>0</v>
      </c>
      <c r="BZ9" s="107">
        <f t="shared" si="4"/>
        <v>0</v>
      </c>
      <c r="CA9" s="107">
        <f t="shared" si="4"/>
        <v>0</v>
      </c>
      <c r="CB9" s="107">
        <f t="shared" si="4"/>
        <v>0</v>
      </c>
      <c r="CC9" s="107">
        <f t="shared" si="4"/>
        <v>0</v>
      </c>
      <c r="CD9" s="107">
        <f t="shared" si="4"/>
        <v>0</v>
      </c>
      <c r="CE9" s="47">
        <f>COUNTIF(BI9:CD9,"&gt;0")</f>
        <v>2</v>
      </c>
      <c r="CF9" s="52">
        <f>SUM(BH9+CE9)</f>
        <v>12</v>
      </c>
      <c r="CG9" s="107">
        <f t="shared" ref="CG9:CR9" si="5">SUM(CG11:CG51)</f>
        <v>25</v>
      </c>
      <c r="CH9" s="107">
        <f t="shared" si="5"/>
        <v>0</v>
      </c>
      <c r="CI9" s="107">
        <f t="shared" si="5"/>
        <v>0</v>
      </c>
      <c r="CJ9" s="107">
        <f t="shared" si="5"/>
        <v>0</v>
      </c>
      <c r="CK9" s="107">
        <f t="shared" si="5"/>
        <v>0</v>
      </c>
      <c r="CL9" s="107">
        <f t="shared" si="5"/>
        <v>0</v>
      </c>
      <c r="CM9" s="107">
        <f t="shared" si="5"/>
        <v>0</v>
      </c>
      <c r="CN9" s="107">
        <f t="shared" si="5"/>
        <v>0</v>
      </c>
      <c r="CO9" s="107">
        <f t="shared" si="5"/>
        <v>0</v>
      </c>
      <c r="CP9" s="107">
        <f t="shared" si="5"/>
        <v>0</v>
      </c>
      <c r="CQ9" s="107">
        <f t="shared" si="5"/>
        <v>0</v>
      </c>
      <c r="CR9" s="107">
        <f t="shared" si="5"/>
        <v>0</v>
      </c>
      <c r="CS9" s="109">
        <f>COUNTIF(CG9:CR9,"&gt;0")</f>
        <v>1</v>
      </c>
      <c r="CT9" s="110">
        <f>SUM(CF9+CS9)</f>
        <v>13</v>
      </c>
    </row>
    <row r="10">
      <c r="A10" s="50">
        <v>1.0</v>
      </c>
      <c r="B10" s="111" t="s">
        <v>51</v>
      </c>
      <c r="C10" s="112" t="s">
        <v>52</v>
      </c>
      <c r="D10" s="91">
        <f t="shared" si="6"/>
        <v>0</v>
      </c>
      <c r="E10" s="113">
        <f t="shared" ref="E10:E51" si="7">(D10)/D$9*100</f>
        <v>0</v>
      </c>
      <c r="F10" s="114">
        <f t="shared" ref="F10:F51" si="8">IF(E10&lt;50,E10, "  ")</f>
        <v>0</v>
      </c>
      <c r="G10" s="114">
        <f t="shared" ref="G10:G51" si="9">IF(E10&lt;30,E10, "  ")</f>
        <v>0</v>
      </c>
      <c r="H10" s="116"/>
      <c r="I10" s="116"/>
      <c r="J10" s="116"/>
      <c r="K10" s="116"/>
      <c r="L10" s="116"/>
      <c r="M10" s="118">
        <f t="shared" ref="M10:M51" si="10">SUM(H10:L10)</f>
        <v>0</v>
      </c>
      <c r="N10" s="119" t="str">
        <f t="shared" ref="N10:N50" si="11">M10/M$9*100</f>
        <v>#DIV/0!</v>
      </c>
      <c r="O10" s="116"/>
      <c r="P10" s="116"/>
      <c r="Q10" s="116"/>
      <c r="R10" s="116"/>
      <c r="S10" s="116"/>
      <c r="T10" s="116"/>
      <c r="U10" s="116"/>
      <c r="V10" s="116"/>
      <c r="W10" s="116"/>
      <c r="X10" s="141"/>
      <c r="Y10" s="141"/>
      <c r="Z10" s="116"/>
      <c r="AA10" s="116"/>
      <c r="AB10" s="116"/>
      <c r="AC10" s="141"/>
      <c r="AD10" s="144"/>
      <c r="AE10" s="116"/>
      <c r="AF10" s="116"/>
      <c r="AG10" s="116"/>
      <c r="AH10" s="144"/>
      <c r="AI10" s="138"/>
      <c r="AJ10" s="120">
        <f t="shared" ref="AJ10:AJ51" si="12">SUM(O10:AI10)</f>
        <v>0</v>
      </c>
      <c r="AK10" s="121">
        <f t="shared" ref="AK10:AK51" si="13">AJ10/AJ$9*100</f>
        <v>0</v>
      </c>
      <c r="AL10" s="116"/>
      <c r="AM10" s="116"/>
      <c r="AN10" s="116"/>
      <c r="AO10" s="116"/>
      <c r="AP10" s="116"/>
      <c r="AQ10" s="116"/>
      <c r="AR10" s="116"/>
      <c r="AS10" s="116"/>
      <c r="AT10" s="141"/>
      <c r="AU10" s="116"/>
      <c r="AV10" s="116"/>
      <c r="AW10" s="116"/>
      <c r="AX10" s="116"/>
      <c r="AY10" s="141"/>
      <c r="AZ10" s="116"/>
      <c r="BA10" s="116"/>
      <c r="BB10" s="116"/>
      <c r="BC10" s="116"/>
      <c r="BD10" s="116"/>
      <c r="BE10" s="137"/>
      <c r="BF10" s="116"/>
      <c r="BG10" s="118">
        <f t="shared" ref="BG10:BG51" si="14">SUM(AL10:BF10)</f>
        <v>0</v>
      </c>
      <c r="BH10" s="122">
        <f t="shared" ref="BH10:BH51" si="15">BG10/BG$9*100</f>
        <v>0</v>
      </c>
      <c r="BI10" s="116"/>
      <c r="BJ10" s="116"/>
      <c r="BK10" s="116"/>
      <c r="BL10" s="116"/>
      <c r="BM10" s="116"/>
      <c r="BN10" s="116"/>
      <c r="BO10" s="116"/>
      <c r="BP10" s="116"/>
      <c r="BQ10" s="116"/>
      <c r="BR10" s="116"/>
      <c r="BS10" s="116"/>
      <c r="BT10" s="116"/>
      <c r="BU10" s="116"/>
      <c r="BV10" s="116"/>
      <c r="BW10" s="43"/>
      <c r="BX10" s="43"/>
      <c r="BY10" s="43"/>
      <c r="BZ10" s="43"/>
      <c r="CA10" s="43"/>
      <c r="CB10" s="43"/>
      <c r="CC10" s="43"/>
      <c r="CD10" s="43"/>
      <c r="CE10" s="124">
        <f t="shared" ref="CE10:CE51" si="16">SUM(BI10:CD10)</f>
        <v>0</v>
      </c>
      <c r="CF10" s="125">
        <f t="shared" ref="CF10:CF51" si="17">CE10/CE$9*100</f>
        <v>0</v>
      </c>
      <c r="CG10" s="160"/>
      <c r="CH10" s="43"/>
      <c r="CI10" s="43"/>
      <c r="CJ10" s="43"/>
      <c r="CK10" s="43"/>
      <c r="CL10" s="43"/>
      <c r="CM10" s="43"/>
      <c r="CN10" s="43"/>
      <c r="CO10" s="43"/>
      <c r="CP10" s="43"/>
      <c r="CQ10" s="43"/>
      <c r="CR10" s="43"/>
      <c r="CS10" s="128">
        <f t="shared" ref="CS10:CS47" si="18">SUM(CG10:CR10)</f>
        <v>0</v>
      </c>
      <c r="CT10" s="129">
        <f t="shared" ref="CT10:CT47" si="19">CS10/CS$9*100</f>
        <v>0</v>
      </c>
    </row>
    <row r="11">
      <c r="A11" s="131">
        <v>2.0</v>
      </c>
      <c r="B11" s="111" t="s">
        <v>53</v>
      </c>
      <c r="C11" s="112" t="s">
        <v>54</v>
      </c>
      <c r="D11" s="91">
        <f t="shared" si="6"/>
        <v>11</v>
      </c>
      <c r="E11" s="113">
        <f t="shared" si="7"/>
        <v>84.61538462</v>
      </c>
      <c r="F11" s="133" t="str">
        <f t="shared" si="8"/>
        <v>  </v>
      </c>
      <c r="G11" s="135" t="str">
        <f t="shared" si="9"/>
        <v>  </v>
      </c>
      <c r="H11" s="116"/>
      <c r="I11" s="116"/>
      <c r="J11" s="116"/>
      <c r="K11" s="116"/>
      <c r="L11" s="116"/>
      <c r="M11" s="118">
        <f t="shared" si="10"/>
        <v>0</v>
      </c>
      <c r="N11" s="119" t="str">
        <f t="shared" si="11"/>
        <v>#DIV/0!</v>
      </c>
      <c r="O11" s="116"/>
      <c r="P11" s="116"/>
      <c r="Q11" s="116"/>
      <c r="R11" s="116"/>
      <c r="S11" s="116"/>
      <c r="T11" s="116"/>
      <c r="U11" s="116"/>
      <c r="V11" s="116"/>
      <c r="W11" s="116"/>
      <c r="X11" s="138">
        <v>1.0</v>
      </c>
      <c r="Y11" s="138">
        <v>1.0</v>
      </c>
      <c r="Z11" s="116"/>
      <c r="AA11" s="116"/>
      <c r="AB11" s="116"/>
      <c r="AC11" s="116"/>
      <c r="AD11" s="138">
        <v>1.0</v>
      </c>
      <c r="AE11" s="116"/>
      <c r="AF11" s="116"/>
      <c r="AG11" s="116"/>
      <c r="AH11" s="138">
        <v>1.0</v>
      </c>
      <c r="AI11" s="138">
        <v>1.0</v>
      </c>
      <c r="AJ11" s="120">
        <f t="shared" si="12"/>
        <v>5</v>
      </c>
      <c r="AK11" s="121">
        <f t="shared" si="13"/>
        <v>83.33333333</v>
      </c>
      <c r="AL11" s="116"/>
      <c r="AM11" s="116"/>
      <c r="AN11" s="116"/>
      <c r="AO11" s="116"/>
      <c r="AP11" s="116"/>
      <c r="AQ11" s="116"/>
      <c r="AR11" s="116"/>
      <c r="AS11" s="116"/>
      <c r="AT11" s="138">
        <v>1.0</v>
      </c>
      <c r="AU11" s="116"/>
      <c r="AV11" s="116"/>
      <c r="AW11" s="116"/>
      <c r="AX11" s="116"/>
      <c r="AY11" s="138">
        <v>1.0</v>
      </c>
      <c r="AZ11" s="116"/>
      <c r="BA11" s="116"/>
      <c r="BB11" s="116"/>
      <c r="BC11" s="116"/>
      <c r="BD11" s="116"/>
      <c r="BE11" s="188">
        <v>1.0</v>
      </c>
      <c r="BF11" s="116"/>
      <c r="BG11" s="118">
        <f t="shared" si="14"/>
        <v>3</v>
      </c>
      <c r="BH11" s="122">
        <f t="shared" si="15"/>
        <v>75</v>
      </c>
      <c r="BI11" s="116"/>
      <c r="BJ11" s="116"/>
      <c r="BK11" s="116"/>
      <c r="BL11" s="138">
        <v>1.0</v>
      </c>
      <c r="BM11" s="116"/>
      <c r="BN11" s="116"/>
      <c r="BO11" s="116"/>
      <c r="BP11" s="116"/>
      <c r="BQ11" s="116"/>
      <c r="BR11" s="116"/>
      <c r="BS11" s="138">
        <v>1.0</v>
      </c>
      <c r="BT11" s="116"/>
      <c r="BU11" s="116"/>
      <c r="BV11" s="116"/>
      <c r="BW11" s="43"/>
      <c r="BX11" s="43"/>
      <c r="BY11" s="43"/>
      <c r="BZ11" s="43"/>
      <c r="CA11" s="43"/>
      <c r="CB11" s="43"/>
      <c r="CC11" s="43"/>
      <c r="CD11" s="43"/>
      <c r="CE11" s="124">
        <f t="shared" si="16"/>
        <v>2</v>
      </c>
      <c r="CF11" s="125">
        <f t="shared" si="17"/>
        <v>100</v>
      </c>
      <c r="CG11" s="138">
        <v>1.0</v>
      </c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128">
        <f t="shared" si="18"/>
        <v>1</v>
      </c>
      <c r="CT11" s="129">
        <f t="shared" si="19"/>
        <v>100</v>
      </c>
    </row>
    <row r="12" ht="18.0" customHeight="1">
      <c r="A12" s="146">
        <v>3.0</v>
      </c>
      <c r="B12" s="111" t="s">
        <v>55</v>
      </c>
      <c r="C12" s="112" t="s">
        <v>56</v>
      </c>
      <c r="D12" s="91">
        <f t="shared" si="6"/>
        <v>8</v>
      </c>
      <c r="E12" s="113">
        <f t="shared" si="7"/>
        <v>61.53846154</v>
      </c>
      <c r="F12" s="92" t="str">
        <f t="shared" si="8"/>
        <v>  </v>
      </c>
      <c r="G12" s="149" t="str">
        <f t="shared" si="9"/>
        <v>  </v>
      </c>
      <c r="H12" s="116"/>
      <c r="I12" s="150"/>
      <c r="J12" s="116"/>
      <c r="K12" s="116"/>
      <c r="L12" s="116"/>
      <c r="M12" s="118">
        <f t="shared" si="10"/>
        <v>0</v>
      </c>
      <c r="N12" s="119" t="str">
        <f t="shared" si="11"/>
        <v>#DIV/0!</v>
      </c>
      <c r="O12" s="116"/>
      <c r="P12" s="116"/>
      <c r="Q12" s="116"/>
      <c r="R12" s="116"/>
      <c r="S12" s="116"/>
      <c r="T12" s="116"/>
      <c r="U12" s="116"/>
      <c r="V12" s="116"/>
      <c r="W12" s="116"/>
      <c r="X12" s="138">
        <v>1.0</v>
      </c>
      <c r="Y12" s="138">
        <v>1.0</v>
      </c>
      <c r="Z12" s="116"/>
      <c r="AA12" s="116"/>
      <c r="AB12" s="116"/>
      <c r="AC12" s="138">
        <v>1.0</v>
      </c>
      <c r="AD12" s="116"/>
      <c r="AE12" s="116"/>
      <c r="AF12" s="116"/>
      <c r="AG12" s="116"/>
      <c r="AH12" s="196">
        <v>1.0</v>
      </c>
      <c r="AI12" s="116"/>
      <c r="AJ12" s="120">
        <f t="shared" si="12"/>
        <v>4</v>
      </c>
      <c r="AK12" s="151">
        <f t="shared" si="13"/>
        <v>66.66666667</v>
      </c>
      <c r="AL12" s="116"/>
      <c r="AM12" s="116"/>
      <c r="AN12" s="116"/>
      <c r="AO12" s="138">
        <v>1.0</v>
      </c>
      <c r="AP12" s="116"/>
      <c r="AQ12" s="116"/>
      <c r="AR12" s="116"/>
      <c r="AS12" s="116"/>
      <c r="AT12" s="116"/>
      <c r="AU12" s="116"/>
      <c r="AV12" s="116"/>
      <c r="AW12" s="116"/>
      <c r="AX12" s="116"/>
      <c r="AY12" s="138">
        <v>1.0</v>
      </c>
      <c r="AZ12" s="116"/>
      <c r="BA12" s="116"/>
      <c r="BB12" s="116"/>
      <c r="BC12" s="116"/>
      <c r="BD12" s="116"/>
      <c r="BE12" s="181"/>
      <c r="BF12" s="116"/>
      <c r="BG12" s="118">
        <f t="shared" si="14"/>
        <v>2</v>
      </c>
      <c r="BH12" s="122">
        <f t="shared" si="15"/>
        <v>50</v>
      </c>
      <c r="BI12" s="116"/>
      <c r="BJ12" s="116"/>
      <c r="BK12" s="116"/>
      <c r="BL12" s="138">
        <v>1.0</v>
      </c>
      <c r="BM12" s="116"/>
      <c r="BN12" s="116"/>
      <c r="BO12" s="116"/>
      <c r="BP12" s="116"/>
      <c r="BQ12" s="116"/>
      <c r="BR12" s="116"/>
      <c r="BS12" s="116"/>
      <c r="BT12" s="116"/>
      <c r="BU12" s="116"/>
      <c r="BV12" s="116"/>
      <c r="BW12" s="43"/>
      <c r="BX12" s="43"/>
      <c r="BY12" s="43"/>
      <c r="BZ12" s="43"/>
      <c r="CA12" s="43"/>
      <c r="CB12" s="43"/>
      <c r="CC12" s="43"/>
      <c r="CD12" s="43"/>
      <c r="CE12" s="155">
        <f t="shared" si="16"/>
        <v>1</v>
      </c>
      <c r="CF12" s="156">
        <f t="shared" si="17"/>
        <v>50</v>
      </c>
      <c r="CG12" s="138">
        <v>1.0</v>
      </c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157">
        <f t="shared" si="18"/>
        <v>1</v>
      </c>
      <c r="CT12" s="158">
        <f t="shared" si="19"/>
        <v>100</v>
      </c>
    </row>
    <row r="13">
      <c r="A13" s="50">
        <v>4.0</v>
      </c>
      <c r="B13" s="161" t="s">
        <v>57</v>
      </c>
      <c r="C13" s="162" t="s">
        <v>58</v>
      </c>
      <c r="D13" s="91">
        <f t="shared" si="6"/>
        <v>9</v>
      </c>
      <c r="E13" s="113">
        <f t="shared" si="7"/>
        <v>69.23076923</v>
      </c>
      <c r="F13" s="114" t="str">
        <f t="shared" si="8"/>
        <v>  </v>
      </c>
      <c r="G13" s="164" t="str">
        <f t="shared" si="9"/>
        <v>  </v>
      </c>
      <c r="H13" s="165"/>
      <c r="I13" s="116"/>
      <c r="J13" s="116"/>
      <c r="K13" s="116"/>
      <c r="L13" s="116"/>
      <c r="M13" s="118">
        <f t="shared" si="10"/>
        <v>0</v>
      </c>
      <c r="N13" s="119" t="str">
        <f t="shared" si="11"/>
        <v>#DIV/0!</v>
      </c>
      <c r="O13" s="165"/>
      <c r="P13" s="116"/>
      <c r="Q13" s="116"/>
      <c r="R13" s="116"/>
      <c r="S13" s="116"/>
      <c r="T13" s="116"/>
      <c r="U13" s="116"/>
      <c r="V13" s="116"/>
      <c r="W13" s="116"/>
      <c r="X13" s="138">
        <v>1.0</v>
      </c>
      <c r="Y13" s="138">
        <v>1.0</v>
      </c>
      <c r="Z13" s="116"/>
      <c r="AA13" s="116"/>
      <c r="AB13" s="116"/>
      <c r="AC13" s="138">
        <v>1.0</v>
      </c>
      <c r="AD13" s="138">
        <v>1.0</v>
      </c>
      <c r="AE13" s="116"/>
      <c r="AF13" s="165"/>
      <c r="AG13" s="165"/>
      <c r="AH13" s="196">
        <v>1.0</v>
      </c>
      <c r="AI13" s="165"/>
      <c r="AJ13" s="168">
        <f t="shared" si="12"/>
        <v>5</v>
      </c>
      <c r="AK13" s="169">
        <f t="shared" si="13"/>
        <v>83.33333333</v>
      </c>
      <c r="AL13" s="165"/>
      <c r="AM13" s="116"/>
      <c r="AN13" s="116"/>
      <c r="AO13" s="138">
        <v>1.0</v>
      </c>
      <c r="AP13" s="116"/>
      <c r="AQ13" s="116"/>
      <c r="AR13" s="116"/>
      <c r="AS13" s="116"/>
      <c r="AT13" s="116"/>
      <c r="AU13" s="116"/>
      <c r="AV13" s="116"/>
      <c r="AW13" s="116"/>
      <c r="AX13" s="116"/>
      <c r="AY13" s="138">
        <v>1.0</v>
      </c>
      <c r="AZ13" s="116"/>
      <c r="BA13" s="116"/>
      <c r="BB13" s="116"/>
      <c r="BC13" s="116"/>
      <c r="BD13" s="116"/>
      <c r="BE13" s="181"/>
      <c r="BF13" s="116"/>
      <c r="BG13" s="118">
        <f t="shared" si="14"/>
        <v>2</v>
      </c>
      <c r="BH13" s="122">
        <f t="shared" si="15"/>
        <v>50</v>
      </c>
      <c r="BI13" s="165"/>
      <c r="BJ13" s="116"/>
      <c r="BK13" s="116"/>
      <c r="BL13" s="138">
        <v>1.0</v>
      </c>
      <c r="BM13" s="116"/>
      <c r="BN13" s="116"/>
      <c r="BO13" s="116"/>
      <c r="BP13" s="116"/>
      <c r="BQ13" s="116"/>
      <c r="BR13" s="116"/>
      <c r="BS13" s="116"/>
      <c r="BT13" s="116"/>
      <c r="BU13" s="116"/>
      <c r="BV13" s="116"/>
      <c r="BW13" s="43"/>
      <c r="BX13" s="43"/>
      <c r="BY13" s="43"/>
      <c r="BZ13" s="43"/>
      <c r="CA13" s="43"/>
      <c r="CB13" s="43"/>
      <c r="CC13" s="43"/>
      <c r="CD13" s="43"/>
      <c r="CE13" s="172">
        <f t="shared" si="16"/>
        <v>1</v>
      </c>
      <c r="CF13" s="173">
        <f t="shared" si="17"/>
        <v>50</v>
      </c>
      <c r="CG13" s="138">
        <v>1.0</v>
      </c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175">
        <f t="shared" si="18"/>
        <v>1</v>
      </c>
      <c r="CT13" s="158">
        <f t="shared" si="19"/>
        <v>100</v>
      </c>
    </row>
    <row r="14">
      <c r="A14" s="131">
        <v>5.0</v>
      </c>
      <c r="B14" s="111" t="s">
        <v>59</v>
      </c>
      <c r="C14" s="112" t="s">
        <v>60</v>
      </c>
      <c r="D14" s="91">
        <f t="shared" si="6"/>
        <v>9</v>
      </c>
      <c r="E14" s="113">
        <f t="shared" si="7"/>
        <v>69.23076923</v>
      </c>
      <c r="F14" s="92" t="str">
        <f t="shared" si="8"/>
        <v>  </v>
      </c>
      <c r="G14" s="164" t="str">
        <f t="shared" si="9"/>
        <v>  </v>
      </c>
      <c r="H14" s="165"/>
      <c r="I14" s="116"/>
      <c r="J14" s="43"/>
      <c r="K14" s="116"/>
      <c r="L14" s="116"/>
      <c r="M14" s="118">
        <f t="shared" si="10"/>
        <v>0</v>
      </c>
      <c r="N14" s="119" t="str">
        <f t="shared" si="11"/>
        <v>#DIV/0!</v>
      </c>
      <c r="O14" s="176"/>
      <c r="P14" s="179"/>
      <c r="Q14" s="179"/>
      <c r="R14" s="179"/>
      <c r="S14" s="179"/>
      <c r="T14" s="179"/>
      <c r="U14" s="179"/>
      <c r="V14" s="179"/>
      <c r="W14" s="179"/>
      <c r="X14" s="138">
        <v>1.0</v>
      </c>
      <c r="Y14" s="184">
        <v>1.0</v>
      </c>
      <c r="Z14" s="179"/>
      <c r="AA14" s="179"/>
      <c r="AB14" s="179"/>
      <c r="AC14" s="179"/>
      <c r="AD14" s="116"/>
      <c r="AE14" s="179"/>
      <c r="AF14" s="176"/>
      <c r="AG14" s="176"/>
      <c r="AH14" s="138">
        <v>1.0</v>
      </c>
      <c r="AI14" s="182">
        <v>1.0</v>
      </c>
      <c r="AJ14" s="168">
        <f t="shared" si="12"/>
        <v>4</v>
      </c>
      <c r="AK14" s="169">
        <f t="shared" si="13"/>
        <v>66.66666667</v>
      </c>
      <c r="AL14" s="183"/>
      <c r="AM14" s="179"/>
      <c r="AN14" s="179"/>
      <c r="AO14" s="179"/>
      <c r="AP14" s="179"/>
      <c r="AQ14" s="179"/>
      <c r="AR14" s="179"/>
      <c r="AS14" s="179"/>
      <c r="AT14" s="138">
        <v>1.0</v>
      </c>
      <c r="AU14" s="179"/>
      <c r="AV14" s="179"/>
      <c r="AW14" s="179"/>
      <c r="AX14" s="179"/>
      <c r="AY14" s="138">
        <v>1.0</v>
      </c>
      <c r="AZ14" s="179"/>
      <c r="BA14" s="179"/>
      <c r="BB14" s="179"/>
      <c r="BC14" s="179"/>
      <c r="BD14" s="179"/>
      <c r="BE14" s="188">
        <v>1.0</v>
      </c>
      <c r="BF14" s="179"/>
      <c r="BG14" s="118">
        <f t="shared" si="14"/>
        <v>3</v>
      </c>
      <c r="BH14" s="122">
        <f t="shared" si="15"/>
        <v>75</v>
      </c>
      <c r="BI14" s="176"/>
      <c r="BJ14" s="179"/>
      <c r="BK14" s="179"/>
      <c r="BL14" s="184">
        <v>1.0</v>
      </c>
      <c r="BM14" s="179"/>
      <c r="BN14" s="179"/>
      <c r="BO14" s="179"/>
      <c r="BP14" s="179"/>
      <c r="BQ14" s="179"/>
      <c r="BR14" s="179"/>
      <c r="BS14" s="179"/>
      <c r="BT14" s="179"/>
      <c r="BU14" s="179"/>
      <c r="BV14" s="179"/>
      <c r="BW14" s="186"/>
      <c r="BX14" s="186"/>
      <c r="BY14" s="186"/>
      <c r="BZ14" s="186"/>
      <c r="CA14" s="186"/>
      <c r="CB14" s="186"/>
      <c r="CC14" s="186"/>
      <c r="CD14" s="186"/>
      <c r="CE14" s="172">
        <f t="shared" si="16"/>
        <v>1</v>
      </c>
      <c r="CF14" s="173">
        <f t="shared" si="17"/>
        <v>50</v>
      </c>
      <c r="CG14" s="138">
        <v>1.0</v>
      </c>
      <c r="CH14" s="186"/>
      <c r="CI14" s="186"/>
      <c r="CJ14" s="186"/>
      <c r="CK14" s="186"/>
      <c r="CL14" s="186"/>
      <c r="CM14" s="186"/>
      <c r="CN14" s="186"/>
      <c r="CO14" s="186"/>
      <c r="CP14" s="186"/>
      <c r="CQ14" s="186"/>
      <c r="CR14" s="186"/>
      <c r="CS14" s="175">
        <f t="shared" si="18"/>
        <v>1</v>
      </c>
      <c r="CT14" s="158">
        <f t="shared" si="19"/>
        <v>100</v>
      </c>
    </row>
    <row r="15">
      <c r="A15" s="146">
        <v>6.0</v>
      </c>
      <c r="B15" s="111" t="s">
        <v>62</v>
      </c>
      <c r="C15" s="112" t="s">
        <v>63</v>
      </c>
      <c r="D15" s="91">
        <f t="shared" si="6"/>
        <v>10</v>
      </c>
      <c r="E15" s="113">
        <f t="shared" si="7"/>
        <v>76.92307692</v>
      </c>
      <c r="F15" s="92" t="str">
        <f t="shared" si="8"/>
        <v>  </v>
      </c>
      <c r="G15" s="164" t="str">
        <f t="shared" si="9"/>
        <v>  </v>
      </c>
      <c r="H15" s="192"/>
      <c r="I15" s="193"/>
      <c r="J15" s="116"/>
      <c r="K15" s="116"/>
      <c r="L15" s="116"/>
      <c r="M15" s="118">
        <f t="shared" si="10"/>
        <v>0</v>
      </c>
      <c r="N15" s="119" t="str">
        <f t="shared" si="11"/>
        <v>#DIV/0!</v>
      </c>
      <c r="O15" s="195"/>
      <c r="P15" s="186"/>
      <c r="Q15" s="186"/>
      <c r="R15" s="186"/>
      <c r="S15" s="186"/>
      <c r="T15" s="186"/>
      <c r="U15" s="186"/>
      <c r="V15" s="186"/>
      <c r="W15" s="186"/>
      <c r="X15" s="138">
        <v>1.0</v>
      </c>
      <c r="Y15" s="200">
        <v>1.0</v>
      </c>
      <c r="Z15" s="186"/>
      <c r="AA15" s="186"/>
      <c r="AB15" s="186"/>
      <c r="AC15" s="186"/>
      <c r="AD15" s="138">
        <v>1.0</v>
      </c>
      <c r="AE15" s="186"/>
      <c r="AF15" s="195"/>
      <c r="AG15" s="195"/>
      <c r="AH15" s="138">
        <v>1.0</v>
      </c>
      <c r="AI15" s="197">
        <v>1.0</v>
      </c>
      <c r="AJ15" s="168">
        <f t="shared" si="12"/>
        <v>5</v>
      </c>
      <c r="AK15" s="169">
        <f t="shared" si="13"/>
        <v>83.33333333</v>
      </c>
      <c r="AL15" s="199"/>
      <c r="AM15" s="186"/>
      <c r="AN15" s="186"/>
      <c r="AO15" s="186"/>
      <c r="AP15" s="186"/>
      <c r="AQ15" s="186"/>
      <c r="AR15" s="186"/>
      <c r="AS15" s="186"/>
      <c r="AT15" s="138">
        <v>1.0</v>
      </c>
      <c r="AU15" s="186"/>
      <c r="AV15" s="186"/>
      <c r="AW15" s="186"/>
      <c r="AX15" s="186"/>
      <c r="AY15" s="138">
        <v>1.0</v>
      </c>
      <c r="AZ15" s="186"/>
      <c r="BA15" s="186"/>
      <c r="BB15" s="186"/>
      <c r="BC15" s="186"/>
      <c r="BD15" s="186"/>
      <c r="BE15" s="188">
        <v>1.0</v>
      </c>
      <c r="BF15" s="186"/>
      <c r="BG15" s="118">
        <f t="shared" si="14"/>
        <v>3</v>
      </c>
      <c r="BH15" s="122">
        <f t="shared" si="15"/>
        <v>75</v>
      </c>
      <c r="BI15" s="195"/>
      <c r="BJ15" s="186"/>
      <c r="BK15" s="186"/>
      <c r="BL15" s="200">
        <v>1.0</v>
      </c>
      <c r="BM15" s="186"/>
      <c r="BN15" s="186"/>
      <c r="BO15" s="186"/>
      <c r="BP15" s="186"/>
      <c r="BQ15" s="186"/>
      <c r="BR15" s="186"/>
      <c r="BS15" s="186"/>
      <c r="BT15" s="186"/>
      <c r="BU15" s="186"/>
      <c r="BV15" s="186"/>
      <c r="BW15" s="186"/>
      <c r="BX15" s="186"/>
      <c r="BY15" s="186"/>
      <c r="BZ15" s="186"/>
      <c r="CA15" s="186"/>
      <c r="CB15" s="186"/>
      <c r="CC15" s="186"/>
      <c r="CD15" s="186"/>
      <c r="CE15" s="172">
        <f t="shared" si="16"/>
        <v>1</v>
      </c>
      <c r="CF15" s="173">
        <f t="shared" si="17"/>
        <v>50</v>
      </c>
      <c r="CG15" s="138">
        <v>1.0</v>
      </c>
      <c r="CH15" s="186"/>
      <c r="CI15" s="186"/>
      <c r="CJ15" s="186"/>
      <c r="CK15" s="186"/>
      <c r="CL15" s="186"/>
      <c r="CM15" s="186"/>
      <c r="CN15" s="186"/>
      <c r="CO15" s="186"/>
      <c r="CP15" s="186"/>
      <c r="CQ15" s="186"/>
      <c r="CR15" s="186"/>
      <c r="CS15" s="175">
        <f t="shared" si="18"/>
        <v>1</v>
      </c>
      <c r="CT15" s="158">
        <f t="shared" si="19"/>
        <v>100</v>
      </c>
    </row>
    <row r="16">
      <c r="A16" s="50">
        <v>7.0</v>
      </c>
      <c r="B16" s="111" t="s">
        <v>64</v>
      </c>
      <c r="C16" s="112" t="s">
        <v>65</v>
      </c>
      <c r="D16" s="91">
        <f t="shared" si="6"/>
        <v>3</v>
      </c>
      <c r="E16" s="113">
        <f t="shared" si="7"/>
        <v>23.07692308</v>
      </c>
      <c r="F16" s="114">
        <f t="shared" si="8"/>
        <v>23.07692308</v>
      </c>
      <c r="G16" s="202">
        <f t="shared" si="9"/>
        <v>23.07692308</v>
      </c>
      <c r="H16" s="165"/>
      <c r="I16" s="43"/>
      <c r="J16" s="150"/>
      <c r="K16" s="116"/>
      <c r="L16" s="116"/>
      <c r="M16" s="118">
        <f t="shared" si="10"/>
        <v>0</v>
      </c>
      <c r="N16" s="119" t="str">
        <f t="shared" si="11"/>
        <v>#DIV/0!</v>
      </c>
      <c r="O16" s="176"/>
      <c r="P16" s="179"/>
      <c r="Q16" s="179"/>
      <c r="R16" s="179"/>
      <c r="S16" s="179"/>
      <c r="T16" s="179"/>
      <c r="U16" s="179"/>
      <c r="V16" s="179"/>
      <c r="W16" s="179"/>
      <c r="X16" s="116"/>
      <c r="Y16" s="179"/>
      <c r="Z16" s="179"/>
      <c r="AA16" s="179"/>
      <c r="AB16" s="179"/>
      <c r="AC16" s="184">
        <v>1.0</v>
      </c>
      <c r="AD16" s="176"/>
      <c r="AE16" s="179"/>
      <c r="AF16" s="176"/>
      <c r="AG16" s="176"/>
      <c r="AH16" s="116"/>
      <c r="AI16" s="176"/>
      <c r="AJ16" s="168">
        <f t="shared" si="12"/>
        <v>1</v>
      </c>
      <c r="AK16" s="169">
        <f t="shared" si="13"/>
        <v>16.66666667</v>
      </c>
      <c r="AL16" s="183"/>
      <c r="AM16" s="179"/>
      <c r="AN16" s="179"/>
      <c r="AO16" s="184">
        <v>1.0</v>
      </c>
      <c r="AP16" s="179"/>
      <c r="AQ16" s="179"/>
      <c r="AR16" s="179"/>
      <c r="AS16" s="179"/>
      <c r="AT16" s="116"/>
      <c r="AU16" s="179"/>
      <c r="AV16" s="179"/>
      <c r="AW16" s="179"/>
      <c r="AX16" s="179"/>
      <c r="AY16" s="138">
        <v>1.0</v>
      </c>
      <c r="AZ16" s="179"/>
      <c r="BA16" s="179"/>
      <c r="BB16" s="179"/>
      <c r="BC16" s="179"/>
      <c r="BD16" s="179"/>
      <c r="BE16" s="181"/>
      <c r="BF16" s="179"/>
      <c r="BG16" s="118">
        <f t="shared" si="14"/>
        <v>2</v>
      </c>
      <c r="BH16" s="122">
        <f t="shared" si="15"/>
        <v>50</v>
      </c>
      <c r="BI16" s="176"/>
      <c r="BJ16" s="179"/>
      <c r="BK16" s="179"/>
      <c r="BL16" s="179"/>
      <c r="BM16" s="179"/>
      <c r="BN16" s="179"/>
      <c r="BO16" s="179"/>
      <c r="BP16" s="179"/>
      <c r="BQ16" s="179"/>
      <c r="BR16" s="179"/>
      <c r="BS16" s="179"/>
      <c r="BT16" s="179"/>
      <c r="BU16" s="179"/>
      <c r="BV16" s="179"/>
      <c r="BW16" s="186"/>
      <c r="BX16" s="186"/>
      <c r="BY16" s="186"/>
      <c r="BZ16" s="186"/>
      <c r="CA16" s="186"/>
      <c r="CB16" s="186"/>
      <c r="CC16" s="186"/>
      <c r="CD16" s="186"/>
      <c r="CE16" s="172">
        <f t="shared" si="16"/>
        <v>0</v>
      </c>
      <c r="CF16" s="173">
        <f t="shared" si="17"/>
        <v>0</v>
      </c>
      <c r="CG16" s="179"/>
      <c r="CH16" s="186"/>
      <c r="CI16" s="186"/>
      <c r="CJ16" s="186"/>
      <c r="CK16" s="186"/>
      <c r="CL16" s="186"/>
      <c r="CM16" s="186"/>
      <c r="CN16" s="186"/>
      <c r="CO16" s="186"/>
      <c r="CP16" s="186"/>
      <c r="CQ16" s="186"/>
      <c r="CR16" s="186"/>
      <c r="CS16" s="175">
        <f t="shared" si="18"/>
        <v>0</v>
      </c>
      <c r="CT16" s="158">
        <f t="shared" si="19"/>
        <v>0</v>
      </c>
    </row>
    <row r="17">
      <c r="A17" s="131">
        <v>8.0</v>
      </c>
      <c r="B17" s="111" t="s">
        <v>66</v>
      </c>
      <c r="C17" s="112" t="s">
        <v>67</v>
      </c>
      <c r="D17" s="91">
        <f t="shared" si="6"/>
        <v>5</v>
      </c>
      <c r="E17" s="113">
        <f t="shared" si="7"/>
        <v>38.46153846</v>
      </c>
      <c r="F17" s="114">
        <f t="shared" si="8"/>
        <v>38.46153846</v>
      </c>
      <c r="G17" s="164" t="str">
        <f t="shared" si="9"/>
        <v>  </v>
      </c>
      <c r="H17" s="165"/>
      <c r="I17" s="150"/>
      <c r="J17" s="150"/>
      <c r="K17" s="116"/>
      <c r="L17" s="116"/>
      <c r="M17" s="118">
        <f t="shared" si="10"/>
        <v>0</v>
      </c>
      <c r="N17" s="119" t="str">
        <f t="shared" si="11"/>
        <v>#DIV/0!</v>
      </c>
      <c r="O17" s="206"/>
      <c r="P17" s="207"/>
      <c r="Q17" s="207"/>
      <c r="R17" s="207"/>
      <c r="S17" s="207"/>
      <c r="T17" s="207"/>
      <c r="U17" s="207"/>
      <c r="V17" s="207"/>
      <c r="W17" s="207"/>
      <c r="X17" s="116"/>
      <c r="Y17" s="234">
        <v>1.0</v>
      </c>
      <c r="Z17" s="207"/>
      <c r="AA17" s="207"/>
      <c r="AB17" s="207"/>
      <c r="AC17" s="207"/>
      <c r="AD17" s="206"/>
      <c r="AE17" s="207"/>
      <c r="AF17" s="206"/>
      <c r="AG17" s="206"/>
      <c r="AH17" s="116"/>
      <c r="AI17" s="209">
        <v>1.0</v>
      </c>
      <c r="AJ17" s="168">
        <f t="shared" si="12"/>
        <v>2</v>
      </c>
      <c r="AK17" s="169">
        <f t="shared" si="13"/>
        <v>33.33333333</v>
      </c>
      <c r="AL17" s="212"/>
      <c r="AM17" s="207"/>
      <c r="AN17" s="207"/>
      <c r="AO17" s="207"/>
      <c r="AP17" s="207"/>
      <c r="AQ17" s="207"/>
      <c r="AR17" s="207"/>
      <c r="AS17" s="207"/>
      <c r="AT17" s="116"/>
      <c r="AU17" s="207"/>
      <c r="AV17" s="207"/>
      <c r="AW17" s="207"/>
      <c r="AX17" s="207"/>
      <c r="AY17" s="138">
        <v>1.0</v>
      </c>
      <c r="AZ17" s="207"/>
      <c r="BA17" s="207"/>
      <c r="BB17" s="207"/>
      <c r="BC17" s="207"/>
      <c r="BD17" s="207"/>
      <c r="BE17" s="181"/>
      <c r="BF17" s="207"/>
      <c r="BG17" s="118">
        <f t="shared" si="14"/>
        <v>1</v>
      </c>
      <c r="BH17" s="122">
        <f t="shared" si="15"/>
        <v>25</v>
      </c>
      <c r="BI17" s="206"/>
      <c r="BJ17" s="207"/>
      <c r="BK17" s="207"/>
      <c r="BL17" s="207"/>
      <c r="BM17" s="207"/>
      <c r="BN17" s="207"/>
      <c r="BO17" s="207"/>
      <c r="BP17" s="207"/>
      <c r="BQ17" s="207"/>
      <c r="BR17" s="207"/>
      <c r="BS17" s="234">
        <v>1.0</v>
      </c>
      <c r="BT17" s="207"/>
      <c r="BU17" s="207"/>
      <c r="BV17" s="207"/>
      <c r="BW17" s="186"/>
      <c r="BX17" s="186"/>
      <c r="BY17" s="186"/>
      <c r="BZ17" s="186"/>
      <c r="CA17" s="186"/>
      <c r="CB17" s="186"/>
      <c r="CC17" s="186"/>
      <c r="CD17" s="186"/>
      <c r="CE17" s="172">
        <f t="shared" si="16"/>
        <v>1</v>
      </c>
      <c r="CF17" s="173">
        <f t="shared" si="17"/>
        <v>50</v>
      </c>
      <c r="CG17" s="234">
        <v>1.0</v>
      </c>
      <c r="CH17" s="186"/>
      <c r="CI17" s="186"/>
      <c r="CJ17" s="186"/>
      <c r="CK17" s="186"/>
      <c r="CL17" s="186"/>
      <c r="CM17" s="186"/>
      <c r="CN17" s="186"/>
      <c r="CO17" s="186"/>
      <c r="CP17" s="186"/>
      <c r="CQ17" s="186"/>
      <c r="CR17" s="186"/>
      <c r="CS17" s="175">
        <f t="shared" si="18"/>
        <v>1</v>
      </c>
      <c r="CT17" s="158">
        <f t="shared" si="19"/>
        <v>100</v>
      </c>
    </row>
    <row r="18" ht="15.0" customHeight="1">
      <c r="A18" s="146">
        <v>9.0</v>
      </c>
      <c r="B18" s="111" t="s">
        <v>68</v>
      </c>
      <c r="C18" s="112" t="s">
        <v>69</v>
      </c>
      <c r="D18" s="91">
        <f t="shared" si="6"/>
        <v>7</v>
      </c>
      <c r="E18" s="113">
        <f t="shared" si="7"/>
        <v>53.84615385</v>
      </c>
      <c r="F18" s="114" t="str">
        <f t="shared" si="8"/>
        <v>  </v>
      </c>
      <c r="G18" s="164" t="str">
        <f t="shared" si="9"/>
        <v>  </v>
      </c>
      <c r="H18" s="165"/>
      <c r="I18" s="150"/>
      <c r="J18" s="116"/>
      <c r="K18" s="116"/>
      <c r="L18" s="116"/>
      <c r="M18" s="118">
        <f t="shared" si="10"/>
        <v>0</v>
      </c>
      <c r="N18" s="119" t="str">
        <f t="shared" si="11"/>
        <v>#DIV/0!</v>
      </c>
      <c r="O18" s="195"/>
      <c r="P18" s="186"/>
      <c r="Q18" s="186"/>
      <c r="R18" s="186"/>
      <c r="S18" s="186"/>
      <c r="T18" s="186"/>
      <c r="U18" s="186"/>
      <c r="V18" s="186"/>
      <c r="W18" s="186"/>
      <c r="X18" s="138">
        <v>1.0</v>
      </c>
      <c r="Y18" s="200"/>
      <c r="Z18" s="186"/>
      <c r="AA18" s="186"/>
      <c r="AB18" s="186"/>
      <c r="AC18" s="200">
        <v>1.0</v>
      </c>
      <c r="AD18" s="197">
        <v>1.0</v>
      </c>
      <c r="AE18" s="186"/>
      <c r="AF18" s="195"/>
      <c r="AG18" s="195"/>
      <c r="AH18" s="116"/>
      <c r="AI18" s="197">
        <v>1.0</v>
      </c>
      <c r="AJ18" s="168">
        <f t="shared" si="12"/>
        <v>4</v>
      </c>
      <c r="AK18" s="169">
        <f t="shared" si="13"/>
        <v>66.66666667</v>
      </c>
      <c r="AL18" s="199"/>
      <c r="AM18" s="186"/>
      <c r="AN18" s="186"/>
      <c r="AO18" s="200">
        <v>1.0</v>
      </c>
      <c r="AP18" s="186"/>
      <c r="AQ18" s="186"/>
      <c r="AR18" s="186"/>
      <c r="AS18" s="186"/>
      <c r="AT18" s="116"/>
      <c r="AU18" s="186"/>
      <c r="AV18" s="186"/>
      <c r="AW18" s="186"/>
      <c r="AX18" s="186"/>
      <c r="AY18" s="116"/>
      <c r="AZ18" s="186"/>
      <c r="BA18" s="186"/>
      <c r="BB18" s="186"/>
      <c r="BC18" s="186"/>
      <c r="BD18" s="186"/>
      <c r="BE18" s="181"/>
      <c r="BF18" s="186"/>
      <c r="BG18" s="118">
        <f t="shared" si="14"/>
        <v>1</v>
      </c>
      <c r="BH18" s="122">
        <f t="shared" si="15"/>
        <v>25</v>
      </c>
      <c r="BI18" s="195"/>
      <c r="BJ18" s="186"/>
      <c r="BK18" s="186"/>
      <c r="BL18" s="200">
        <v>1.0</v>
      </c>
      <c r="BM18" s="186"/>
      <c r="BN18" s="186"/>
      <c r="BO18" s="186"/>
      <c r="BP18" s="186"/>
      <c r="BQ18" s="186"/>
      <c r="BR18" s="186"/>
      <c r="BS18" s="186"/>
      <c r="BT18" s="186"/>
      <c r="BU18" s="186"/>
      <c r="BV18" s="186"/>
      <c r="BW18" s="186"/>
      <c r="BX18" s="186"/>
      <c r="BY18" s="186"/>
      <c r="BZ18" s="186"/>
      <c r="CA18" s="186"/>
      <c r="CB18" s="186"/>
      <c r="CC18" s="186"/>
      <c r="CD18" s="186"/>
      <c r="CE18" s="172">
        <f t="shared" si="16"/>
        <v>1</v>
      </c>
      <c r="CF18" s="173">
        <f t="shared" si="17"/>
        <v>50</v>
      </c>
      <c r="CG18" s="138">
        <v>1.0</v>
      </c>
      <c r="CH18" s="186"/>
      <c r="CI18" s="186"/>
      <c r="CJ18" s="186"/>
      <c r="CK18" s="186"/>
      <c r="CL18" s="186"/>
      <c r="CM18" s="186"/>
      <c r="CN18" s="186"/>
      <c r="CO18" s="186"/>
      <c r="CP18" s="186"/>
      <c r="CQ18" s="186"/>
      <c r="CR18" s="186"/>
      <c r="CS18" s="175">
        <f t="shared" si="18"/>
        <v>1</v>
      </c>
      <c r="CT18" s="158">
        <f t="shared" si="19"/>
        <v>100</v>
      </c>
    </row>
    <row r="19">
      <c r="A19" s="50">
        <v>10.0</v>
      </c>
      <c r="B19" s="111" t="s">
        <v>70</v>
      </c>
      <c r="C19" s="112" t="s">
        <v>71</v>
      </c>
      <c r="D19" s="91">
        <f t="shared" si="6"/>
        <v>8</v>
      </c>
      <c r="E19" s="113">
        <f t="shared" si="7"/>
        <v>61.53846154</v>
      </c>
      <c r="F19" s="92" t="str">
        <f t="shared" si="8"/>
        <v>  </v>
      </c>
      <c r="G19" s="164" t="str">
        <f t="shared" si="9"/>
        <v>  </v>
      </c>
      <c r="H19" s="165"/>
      <c r="I19" s="116"/>
      <c r="J19" s="116"/>
      <c r="K19" s="116"/>
      <c r="L19" s="116"/>
      <c r="M19" s="118">
        <f t="shared" si="10"/>
        <v>0</v>
      </c>
      <c r="N19" s="119" t="str">
        <f t="shared" si="11"/>
        <v>#DIV/0!</v>
      </c>
      <c r="O19" s="176"/>
      <c r="P19" s="179"/>
      <c r="Q19" s="179"/>
      <c r="R19" s="179"/>
      <c r="S19" s="179"/>
      <c r="T19" s="179"/>
      <c r="U19" s="179"/>
      <c r="V19" s="179"/>
      <c r="W19" s="179"/>
      <c r="X19" s="138">
        <v>1.0</v>
      </c>
      <c r="Y19" s="184">
        <v>1.0</v>
      </c>
      <c r="Z19" s="179"/>
      <c r="AA19" s="179"/>
      <c r="AB19" s="179"/>
      <c r="AC19" s="184">
        <v>1.0</v>
      </c>
      <c r="AD19" s="138">
        <v>1.0</v>
      </c>
      <c r="AE19" s="179"/>
      <c r="AF19" s="176"/>
      <c r="AG19" s="176"/>
      <c r="AH19" s="138">
        <v>1.0</v>
      </c>
      <c r="AI19" s="182">
        <v>1.0</v>
      </c>
      <c r="AJ19" s="168">
        <f t="shared" si="12"/>
        <v>6</v>
      </c>
      <c r="AK19" s="169">
        <f t="shared" si="13"/>
        <v>100</v>
      </c>
      <c r="AL19" s="183"/>
      <c r="AM19" s="179"/>
      <c r="AN19" s="179"/>
      <c r="AO19" s="184">
        <v>1.0</v>
      </c>
      <c r="AP19" s="179"/>
      <c r="AQ19" s="179"/>
      <c r="AR19" s="179"/>
      <c r="AS19" s="179"/>
      <c r="AT19" s="116"/>
      <c r="AU19" s="179"/>
      <c r="AV19" s="179"/>
      <c r="AW19" s="179"/>
      <c r="AX19" s="179"/>
      <c r="AY19" s="116"/>
      <c r="AZ19" s="179"/>
      <c r="BA19" s="179"/>
      <c r="BB19" s="179"/>
      <c r="BC19" s="179"/>
      <c r="BD19" s="179"/>
      <c r="BE19" s="188">
        <v>1.0</v>
      </c>
      <c r="BF19" s="179"/>
      <c r="BG19" s="118">
        <f t="shared" si="14"/>
        <v>2</v>
      </c>
      <c r="BH19" s="122">
        <f t="shared" si="15"/>
        <v>50</v>
      </c>
      <c r="BI19" s="176"/>
      <c r="BJ19" s="179"/>
      <c r="BK19" s="179"/>
      <c r="BL19" s="179"/>
      <c r="BM19" s="179"/>
      <c r="BN19" s="179"/>
      <c r="BO19" s="179"/>
      <c r="BP19" s="179"/>
      <c r="BQ19" s="179"/>
      <c r="BR19" s="179"/>
      <c r="BS19" s="179"/>
      <c r="BT19" s="179"/>
      <c r="BU19" s="179"/>
      <c r="BV19" s="179"/>
      <c r="BW19" s="186"/>
      <c r="BX19" s="186"/>
      <c r="BY19" s="186"/>
      <c r="BZ19" s="186"/>
      <c r="CA19" s="186"/>
      <c r="CB19" s="186"/>
      <c r="CC19" s="186"/>
      <c r="CD19" s="186"/>
      <c r="CE19" s="172">
        <f t="shared" si="16"/>
        <v>0</v>
      </c>
      <c r="CF19" s="173">
        <f t="shared" si="17"/>
        <v>0</v>
      </c>
      <c r="CG19" s="116"/>
      <c r="CH19" s="186"/>
      <c r="CI19" s="186"/>
      <c r="CJ19" s="186"/>
      <c r="CK19" s="186"/>
      <c r="CL19" s="186"/>
      <c r="CM19" s="186"/>
      <c r="CN19" s="186"/>
      <c r="CO19" s="186"/>
      <c r="CP19" s="186"/>
      <c r="CQ19" s="186"/>
      <c r="CR19" s="186"/>
      <c r="CS19" s="175">
        <f t="shared" si="18"/>
        <v>0</v>
      </c>
      <c r="CT19" s="158">
        <f t="shared" si="19"/>
        <v>0</v>
      </c>
    </row>
    <row r="20">
      <c r="A20" s="131">
        <v>11.0</v>
      </c>
      <c r="B20" s="111" t="s">
        <v>72</v>
      </c>
      <c r="C20" s="112" t="s">
        <v>73</v>
      </c>
      <c r="D20" s="91">
        <f t="shared" si="6"/>
        <v>10</v>
      </c>
      <c r="E20" s="113">
        <f t="shared" si="7"/>
        <v>76.92307692</v>
      </c>
      <c r="F20" s="92" t="str">
        <f t="shared" si="8"/>
        <v>  </v>
      </c>
      <c r="G20" s="164" t="str">
        <f t="shared" si="9"/>
        <v>  </v>
      </c>
      <c r="H20" s="165"/>
      <c r="I20" s="116"/>
      <c r="J20" s="43"/>
      <c r="K20" s="116"/>
      <c r="L20" s="116"/>
      <c r="M20" s="118">
        <f t="shared" si="10"/>
        <v>0</v>
      </c>
      <c r="N20" s="119" t="str">
        <f t="shared" si="11"/>
        <v>#DIV/0!</v>
      </c>
      <c r="O20" s="195"/>
      <c r="P20" s="186"/>
      <c r="Q20" s="186"/>
      <c r="R20" s="186"/>
      <c r="S20" s="186"/>
      <c r="T20" s="186"/>
      <c r="U20" s="186"/>
      <c r="V20" s="186"/>
      <c r="W20" s="186"/>
      <c r="X20" s="138">
        <v>1.0</v>
      </c>
      <c r="Y20" s="200">
        <v>1.0</v>
      </c>
      <c r="Z20" s="186"/>
      <c r="AA20" s="186"/>
      <c r="AB20" s="186"/>
      <c r="AC20" s="200">
        <v>1.0</v>
      </c>
      <c r="AD20" s="138">
        <v>1.0</v>
      </c>
      <c r="AE20" s="186"/>
      <c r="AF20" s="195"/>
      <c r="AG20" s="195"/>
      <c r="AH20" s="138">
        <v>1.0</v>
      </c>
      <c r="AI20" s="197">
        <v>1.0</v>
      </c>
      <c r="AJ20" s="168">
        <f t="shared" si="12"/>
        <v>6</v>
      </c>
      <c r="AK20" s="169">
        <f t="shared" si="13"/>
        <v>100</v>
      </c>
      <c r="AL20" s="199"/>
      <c r="AM20" s="186"/>
      <c r="AN20" s="186"/>
      <c r="AO20" s="200">
        <v>1.0</v>
      </c>
      <c r="AP20" s="186"/>
      <c r="AQ20" s="186"/>
      <c r="AR20" s="186"/>
      <c r="AS20" s="186"/>
      <c r="AT20" s="138">
        <v>1.0</v>
      </c>
      <c r="AU20" s="186"/>
      <c r="AV20" s="186"/>
      <c r="AW20" s="186"/>
      <c r="AX20" s="186"/>
      <c r="AY20" s="138">
        <v>1.0</v>
      </c>
      <c r="AZ20" s="186"/>
      <c r="BA20" s="186"/>
      <c r="BB20" s="186"/>
      <c r="BC20" s="186"/>
      <c r="BD20" s="186"/>
      <c r="BE20" s="194"/>
      <c r="BF20" s="186"/>
      <c r="BG20" s="118">
        <f t="shared" si="14"/>
        <v>3</v>
      </c>
      <c r="BH20" s="122">
        <f t="shared" si="15"/>
        <v>75</v>
      </c>
      <c r="BI20" s="195"/>
      <c r="BJ20" s="186"/>
      <c r="BK20" s="186"/>
      <c r="BL20" s="200">
        <v>1.0</v>
      </c>
      <c r="BM20" s="186"/>
      <c r="BN20" s="186"/>
      <c r="BO20" s="186"/>
      <c r="BP20" s="186"/>
      <c r="BQ20" s="186"/>
      <c r="BR20" s="186"/>
      <c r="BS20" s="186"/>
      <c r="BT20" s="186"/>
      <c r="BU20" s="186"/>
      <c r="BV20" s="186"/>
      <c r="BW20" s="186"/>
      <c r="BX20" s="186"/>
      <c r="BY20" s="186"/>
      <c r="BZ20" s="186"/>
      <c r="CA20" s="186"/>
      <c r="CB20" s="186"/>
      <c r="CC20" s="186"/>
      <c r="CD20" s="186"/>
      <c r="CE20" s="172">
        <f t="shared" si="16"/>
        <v>1</v>
      </c>
      <c r="CF20" s="173">
        <f t="shared" si="17"/>
        <v>50</v>
      </c>
      <c r="CG20" s="116"/>
      <c r="CH20" s="186"/>
      <c r="CI20" s="186"/>
      <c r="CJ20" s="186"/>
      <c r="CK20" s="186"/>
      <c r="CL20" s="186"/>
      <c r="CM20" s="186"/>
      <c r="CN20" s="186"/>
      <c r="CO20" s="186"/>
      <c r="CP20" s="186"/>
      <c r="CQ20" s="186"/>
      <c r="CR20" s="186"/>
      <c r="CS20" s="175">
        <f t="shared" si="18"/>
        <v>0</v>
      </c>
      <c r="CT20" s="158">
        <f t="shared" si="19"/>
        <v>0</v>
      </c>
    </row>
    <row r="21" ht="15.75" customHeight="1">
      <c r="A21" s="146">
        <v>12.0</v>
      </c>
      <c r="B21" s="111" t="s">
        <v>74</v>
      </c>
      <c r="C21" s="112" t="s">
        <v>75</v>
      </c>
      <c r="D21" s="91">
        <f t="shared" si="6"/>
        <v>7</v>
      </c>
      <c r="E21" s="113">
        <f t="shared" si="7"/>
        <v>53.84615385</v>
      </c>
      <c r="F21" s="114" t="str">
        <f t="shared" si="8"/>
        <v>  </v>
      </c>
      <c r="G21" s="164" t="str">
        <f t="shared" si="9"/>
        <v>  </v>
      </c>
      <c r="H21" s="165"/>
      <c r="I21" s="116"/>
      <c r="J21" s="116"/>
      <c r="K21" s="150"/>
      <c r="L21" s="150"/>
      <c r="M21" s="118">
        <f t="shared" si="10"/>
        <v>0</v>
      </c>
      <c r="N21" s="119" t="str">
        <f t="shared" si="11"/>
        <v>#DIV/0!</v>
      </c>
      <c r="O21" s="176"/>
      <c r="P21" s="179"/>
      <c r="Q21" s="179"/>
      <c r="R21" s="179"/>
      <c r="S21" s="179"/>
      <c r="T21" s="179"/>
      <c r="U21" s="179"/>
      <c r="V21" s="179"/>
      <c r="W21" s="179"/>
      <c r="X21" s="138">
        <v>1.0</v>
      </c>
      <c r="Y21" s="184">
        <v>1.0</v>
      </c>
      <c r="Z21" s="179"/>
      <c r="AA21" s="179"/>
      <c r="AB21" s="179"/>
      <c r="AC21" s="184">
        <v>1.0</v>
      </c>
      <c r="AD21" s="176"/>
      <c r="AE21" s="179"/>
      <c r="AF21" s="176"/>
      <c r="AG21" s="176"/>
      <c r="AH21" s="176"/>
      <c r="AI21" s="176"/>
      <c r="AJ21" s="168">
        <f t="shared" si="12"/>
        <v>3</v>
      </c>
      <c r="AK21" s="169">
        <f t="shared" si="13"/>
        <v>50</v>
      </c>
      <c r="AL21" s="183"/>
      <c r="AM21" s="179"/>
      <c r="AN21" s="179"/>
      <c r="AO21" s="184">
        <v>1.0</v>
      </c>
      <c r="AP21" s="179"/>
      <c r="AQ21" s="179"/>
      <c r="AR21" s="179"/>
      <c r="AS21" s="179"/>
      <c r="AT21" s="138">
        <v>1.0</v>
      </c>
      <c r="AU21" s="179"/>
      <c r="AV21" s="179"/>
      <c r="AW21" s="179"/>
      <c r="AX21" s="179"/>
      <c r="AY21" s="138">
        <v>1.0</v>
      </c>
      <c r="AZ21" s="179"/>
      <c r="BA21" s="179"/>
      <c r="BB21" s="179"/>
      <c r="BC21" s="179"/>
      <c r="BD21" s="179"/>
      <c r="BE21" s="181"/>
      <c r="BF21" s="179"/>
      <c r="BG21" s="118">
        <f t="shared" si="14"/>
        <v>3</v>
      </c>
      <c r="BH21" s="122">
        <f t="shared" si="15"/>
        <v>75</v>
      </c>
      <c r="BI21" s="176"/>
      <c r="BJ21" s="179"/>
      <c r="BK21" s="179"/>
      <c r="BL21" s="179"/>
      <c r="BM21" s="179"/>
      <c r="BN21" s="179"/>
      <c r="BO21" s="179"/>
      <c r="BP21" s="179"/>
      <c r="BQ21" s="179"/>
      <c r="BR21" s="179"/>
      <c r="BS21" s="179"/>
      <c r="BT21" s="179"/>
      <c r="BU21" s="179"/>
      <c r="BV21" s="179"/>
      <c r="BW21" s="186"/>
      <c r="BX21" s="186"/>
      <c r="BY21" s="186"/>
      <c r="BZ21" s="186"/>
      <c r="CA21" s="186"/>
      <c r="CB21" s="186"/>
      <c r="CC21" s="186"/>
      <c r="CD21" s="186"/>
      <c r="CE21" s="172">
        <f t="shared" si="16"/>
        <v>0</v>
      </c>
      <c r="CF21" s="173">
        <f t="shared" si="17"/>
        <v>0</v>
      </c>
      <c r="CG21" s="138">
        <v>1.0</v>
      </c>
      <c r="CH21" s="186"/>
      <c r="CI21" s="186"/>
      <c r="CJ21" s="186"/>
      <c r="CK21" s="186"/>
      <c r="CL21" s="186"/>
      <c r="CM21" s="186"/>
      <c r="CN21" s="186"/>
      <c r="CO21" s="186"/>
      <c r="CP21" s="186"/>
      <c r="CQ21" s="186"/>
      <c r="CR21" s="186"/>
      <c r="CS21" s="175">
        <f t="shared" si="18"/>
        <v>1</v>
      </c>
      <c r="CT21" s="158">
        <f t="shared" si="19"/>
        <v>100</v>
      </c>
    </row>
    <row r="22" ht="15.75" customHeight="1">
      <c r="A22" s="50">
        <v>13.0</v>
      </c>
      <c r="B22" s="111" t="s">
        <v>76</v>
      </c>
      <c r="C22" s="112" t="s">
        <v>77</v>
      </c>
      <c r="D22" s="91">
        <f t="shared" si="6"/>
        <v>7</v>
      </c>
      <c r="E22" s="113">
        <f t="shared" si="7"/>
        <v>53.84615385</v>
      </c>
      <c r="F22" s="114" t="str">
        <f t="shared" si="8"/>
        <v>  </v>
      </c>
      <c r="G22" s="164" t="str">
        <f t="shared" si="9"/>
        <v>  </v>
      </c>
      <c r="H22" s="192"/>
      <c r="I22" s="116"/>
      <c r="J22" s="116"/>
      <c r="K22" s="116"/>
      <c r="L22" s="116"/>
      <c r="M22" s="118">
        <f t="shared" si="10"/>
        <v>0</v>
      </c>
      <c r="N22" s="119" t="str">
        <f t="shared" si="11"/>
        <v>#DIV/0!</v>
      </c>
      <c r="O22" s="176"/>
      <c r="P22" s="179"/>
      <c r="Q22" s="179"/>
      <c r="R22" s="179"/>
      <c r="S22" s="179"/>
      <c r="T22" s="179"/>
      <c r="U22" s="179"/>
      <c r="V22" s="179"/>
      <c r="W22" s="179"/>
      <c r="X22" s="138">
        <v>1.0</v>
      </c>
      <c r="Y22" s="184"/>
      <c r="Z22" s="179"/>
      <c r="AA22" s="179"/>
      <c r="AB22" s="179"/>
      <c r="AC22" s="184">
        <v>1.0</v>
      </c>
      <c r="AD22" s="182">
        <v>1.0</v>
      </c>
      <c r="AE22" s="179"/>
      <c r="AF22" s="176"/>
      <c r="AG22" s="176"/>
      <c r="AH22" s="176"/>
      <c r="AI22" s="182">
        <v>1.0</v>
      </c>
      <c r="AJ22" s="168">
        <f t="shared" si="12"/>
        <v>4</v>
      </c>
      <c r="AK22" s="169">
        <f t="shared" si="13"/>
        <v>66.66666667</v>
      </c>
      <c r="AL22" s="183"/>
      <c r="AM22" s="179"/>
      <c r="AN22" s="179"/>
      <c r="AO22" s="184">
        <v>1.0</v>
      </c>
      <c r="AP22" s="179"/>
      <c r="AQ22" s="179"/>
      <c r="AR22" s="179"/>
      <c r="AS22" s="179"/>
      <c r="AT22" s="116"/>
      <c r="AU22" s="179"/>
      <c r="AV22" s="179"/>
      <c r="AW22" s="179"/>
      <c r="AX22" s="179"/>
      <c r="AY22" s="116"/>
      <c r="AZ22" s="179"/>
      <c r="BA22" s="179"/>
      <c r="BB22" s="179"/>
      <c r="BC22" s="179"/>
      <c r="BD22" s="179"/>
      <c r="BE22" s="181"/>
      <c r="BF22" s="179"/>
      <c r="BG22" s="118">
        <f t="shared" si="14"/>
        <v>1</v>
      </c>
      <c r="BH22" s="122">
        <f t="shared" si="15"/>
        <v>25</v>
      </c>
      <c r="BI22" s="176"/>
      <c r="BJ22" s="179"/>
      <c r="BK22" s="179"/>
      <c r="BL22" s="184">
        <v>1.0</v>
      </c>
      <c r="BM22" s="179"/>
      <c r="BN22" s="179"/>
      <c r="BO22" s="179"/>
      <c r="BP22" s="179"/>
      <c r="BQ22" s="179"/>
      <c r="BR22" s="179"/>
      <c r="BS22" s="179"/>
      <c r="BT22" s="179"/>
      <c r="BU22" s="179"/>
      <c r="BV22" s="179"/>
      <c r="BW22" s="186"/>
      <c r="BX22" s="186"/>
      <c r="BY22" s="186"/>
      <c r="BZ22" s="186"/>
      <c r="CA22" s="186"/>
      <c r="CB22" s="186"/>
      <c r="CC22" s="186"/>
      <c r="CD22" s="186"/>
      <c r="CE22" s="172">
        <f t="shared" si="16"/>
        <v>1</v>
      </c>
      <c r="CF22" s="173">
        <f t="shared" si="17"/>
        <v>50</v>
      </c>
      <c r="CG22" s="138">
        <v>1.0</v>
      </c>
      <c r="CH22" s="186"/>
      <c r="CI22" s="186"/>
      <c r="CJ22" s="186"/>
      <c r="CK22" s="186"/>
      <c r="CL22" s="186"/>
      <c r="CM22" s="186"/>
      <c r="CN22" s="186"/>
      <c r="CO22" s="186"/>
      <c r="CP22" s="186"/>
      <c r="CQ22" s="186"/>
      <c r="CR22" s="186"/>
      <c r="CS22" s="175">
        <f t="shared" si="18"/>
        <v>1</v>
      </c>
      <c r="CT22" s="158">
        <f t="shared" si="19"/>
        <v>100</v>
      </c>
    </row>
    <row r="23" ht="15.75" customHeight="1">
      <c r="A23" s="131">
        <v>14.0</v>
      </c>
      <c r="B23" s="111" t="s">
        <v>78</v>
      </c>
      <c r="C23" s="112" t="s">
        <v>79</v>
      </c>
      <c r="D23" s="91">
        <f t="shared" si="6"/>
        <v>7</v>
      </c>
      <c r="E23" s="113">
        <f t="shared" si="7"/>
        <v>53.84615385</v>
      </c>
      <c r="F23" s="114" t="str">
        <f t="shared" si="8"/>
        <v>  </v>
      </c>
      <c r="G23" s="202" t="str">
        <f t="shared" si="9"/>
        <v>  </v>
      </c>
      <c r="H23" s="165"/>
      <c r="I23" s="150"/>
      <c r="J23" s="116"/>
      <c r="K23" s="116"/>
      <c r="L23" s="116"/>
      <c r="M23" s="118">
        <f t="shared" si="10"/>
        <v>0</v>
      </c>
      <c r="N23" s="119" t="str">
        <f t="shared" si="11"/>
        <v>#DIV/0!</v>
      </c>
      <c r="O23" s="176"/>
      <c r="P23" s="179"/>
      <c r="Q23" s="179"/>
      <c r="R23" s="179"/>
      <c r="S23" s="179"/>
      <c r="T23" s="179"/>
      <c r="U23" s="179"/>
      <c r="V23" s="179"/>
      <c r="W23" s="179"/>
      <c r="X23" s="138">
        <v>1.0</v>
      </c>
      <c r="Y23" s="179"/>
      <c r="Z23" s="179"/>
      <c r="AA23" s="179"/>
      <c r="AB23" s="179"/>
      <c r="AC23" s="179"/>
      <c r="AD23" s="182">
        <v>1.0</v>
      </c>
      <c r="AE23" s="179"/>
      <c r="AF23" s="176"/>
      <c r="AG23" s="176"/>
      <c r="AH23" s="116"/>
      <c r="AI23" s="182">
        <v>1.0</v>
      </c>
      <c r="AJ23" s="168">
        <f t="shared" si="12"/>
        <v>3</v>
      </c>
      <c r="AK23" s="169">
        <f t="shared" si="13"/>
        <v>50</v>
      </c>
      <c r="AL23" s="183"/>
      <c r="AM23" s="179"/>
      <c r="AN23" s="179"/>
      <c r="AO23" s="179"/>
      <c r="AP23" s="179"/>
      <c r="AQ23" s="179"/>
      <c r="AR23" s="179"/>
      <c r="AS23" s="179"/>
      <c r="AT23" s="138">
        <v>1.0</v>
      </c>
      <c r="AU23" s="179"/>
      <c r="AV23" s="179"/>
      <c r="AW23" s="179"/>
      <c r="AX23" s="179"/>
      <c r="AY23" s="138">
        <v>1.0</v>
      </c>
      <c r="AZ23" s="179"/>
      <c r="BA23" s="179"/>
      <c r="BB23" s="179"/>
      <c r="BC23" s="179"/>
      <c r="BD23" s="179"/>
      <c r="BE23" s="181"/>
      <c r="BF23" s="179"/>
      <c r="BG23" s="118">
        <f t="shared" si="14"/>
        <v>2</v>
      </c>
      <c r="BH23" s="122">
        <f t="shared" si="15"/>
        <v>50</v>
      </c>
      <c r="BI23" s="176"/>
      <c r="BJ23" s="179"/>
      <c r="BK23" s="179"/>
      <c r="BL23" s="184">
        <v>1.0</v>
      </c>
      <c r="BM23" s="179"/>
      <c r="BN23" s="179"/>
      <c r="BO23" s="179"/>
      <c r="BP23" s="179"/>
      <c r="BQ23" s="179"/>
      <c r="BR23" s="179"/>
      <c r="BS23" s="179"/>
      <c r="BT23" s="179"/>
      <c r="BU23" s="179"/>
      <c r="BV23" s="179"/>
      <c r="BW23" s="186"/>
      <c r="BX23" s="186"/>
      <c r="BY23" s="186"/>
      <c r="BZ23" s="186"/>
      <c r="CA23" s="186"/>
      <c r="CB23" s="186"/>
      <c r="CC23" s="186"/>
      <c r="CD23" s="186"/>
      <c r="CE23" s="172">
        <f t="shared" si="16"/>
        <v>1</v>
      </c>
      <c r="CF23" s="173">
        <f t="shared" si="17"/>
        <v>50</v>
      </c>
      <c r="CG23" s="184">
        <v>1.0</v>
      </c>
      <c r="CH23" s="186"/>
      <c r="CI23" s="186"/>
      <c r="CJ23" s="186"/>
      <c r="CK23" s="186"/>
      <c r="CL23" s="186"/>
      <c r="CM23" s="186"/>
      <c r="CN23" s="186"/>
      <c r="CO23" s="186"/>
      <c r="CP23" s="186"/>
      <c r="CQ23" s="186"/>
      <c r="CR23" s="186"/>
      <c r="CS23" s="175">
        <f t="shared" si="18"/>
        <v>1</v>
      </c>
      <c r="CT23" s="158">
        <f t="shared" si="19"/>
        <v>100</v>
      </c>
    </row>
    <row r="24" ht="15.75" customHeight="1">
      <c r="A24" s="146">
        <v>15.0</v>
      </c>
      <c r="B24" s="111" t="s">
        <v>80</v>
      </c>
      <c r="C24" s="112" t="s">
        <v>81</v>
      </c>
      <c r="D24" s="91">
        <f t="shared" si="6"/>
        <v>8</v>
      </c>
      <c r="E24" s="113">
        <f t="shared" si="7"/>
        <v>61.53846154</v>
      </c>
      <c r="F24" s="114" t="str">
        <f t="shared" si="8"/>
        <v>  </v>
      </c>
      <c r="G24" s="202" t="str">
        <f t="shared" si="9"/>
        <v>  </v>
      </c>
      <c r="H24" s="165"/>
      <c r="I24" s="116"/>
      <c r="J24" s="116"/>
      <c r="K24" s="150"/>
      <c r="L24" s="150"/>
      <c r="M24" s="118">
        <f t="shared" si="10"/>
        <v>0</v>
      </c>
      <c r="N24" s="119" t="str">
        <f t="shared" si="11"/>
        <v>#DIV/0!</v>
      </c>
      <c r="O24" s="176"/>
      <c r="P24" s="179"/>
      <c r="Q24" s="179"/>
      <c r="R24" s="179"/>
      <c r="S24" s="179"/>
      <c r="T24" s="179"/>
      <c r="U24" s="179"/>
      <c r="V24" s="179"/>
      <c r="W24" s="179"/>
      <c r="X24" s="138">
        <v>1.0</v>
      </c>
      <c r="Y24" s="184">
        <v>1.0</v>
      </c>
      <c r="Z24" s="179"/>
      <c r="AA24" s="179"/>
      <c r="AB24" s="179"/>
      <c r="AC24" s="184">
        <v>1.0</v>
      </c>
      <c r="AD24" s="176"/>
      <c r="AE24" s="179"/>
      <c r="AF24" s="176"/>
      <c r="AG24" s="176"/>
      <c r="AH24" s="176"/>
      <c r="AI24" s="182">
        <v>1.0</v>
      </c>
      <c r="AJ24" s="168">
        <f t="shared" si="12"/>
        <v>4</v>
      </c>
      <c r="AK24" s="169">
        <f t="shared" si="13"/>
        <v>66.66666667</v>
      </c>
      <c r="AL24" s="183"/>
      <c r="AM24" s="179"/>
      <c r="AN24" s="179"/>
      <c r="AO24" s="184">
        <v>1.0</v>
      </c>
      <c r="AP24" s="179"/>
      <c r="AQ24" s="179"/>
      <c r="AR24" s="179"/>
      <c r="AS24" s="179"/>
      <c r="AT24" s="138">
        <v>1.0</v>
      </c>
      <c r="AU24" s="179"/>
      <c r="AV24" s="179"/>
      <c r="AW24" s="179"/>
      <c r="AX24" s="179"/>
      <c r="AY24" s="138">
        <v>1.0</v>
      </c>
      <c r="AZ24" s="179"/>
      <c r="BA24" s="179"/>
      <c r="BB24" s="179"/>
      <c r="BC24" s="179"/>
      <c r="BD24" s="179"/>
      <c r="BE24" s="181"/>
      <c r="BF24" s="179"/>
      <c r="BG24" s="118">
        <f t="shared" si="14"/>
        <v>3</v>
      </c>
      <c r="BH24" s="122">
        <f t="shared" si="15"/>
        <v>75</v>
      </c>
      <c r="BI24" s="176"/>
      <c r="BJ24" s="179"/>
      <c r="BK24" s="179"/>
      <c r="BL24" s="179"/>
      <c r="BM24" s="179"/>
      <c r="BN24" s="179"/>
      <c r="BO24" s="179"/>
      <c r="BP24" s="179"/>
      <c r="BQ24" s="179"/>
      <c r="BR24" s="179"/>
      <c r="BS24" s="179"/>
      <c r="BT24" s="179"/>
      <c r="BU24" s="179"/>
      <c r="BV24" s="179"/>
      <c r="BW24" s="186"/>
      <c r="BX24" s="186"/>
      <c r="BY24" s="186"/>
      <c r="BZ24" s="186"/>
      <c r="CA24" s="186"/>
      <c r="CB24" s="186"/>
      <c r="CC24" s="186"/>
      <c r="CD24" s="186"/>
      <c r="CE24" s="172">
        <f t="shared" si="16"/>
        <v>0</v>
      </c>
      <c r="CF24" s="173">
        <f t="shared" si="17"/>
        <v>0</v>
      </c>
      <c r="CG24" s="138">
        <v>1.0</v>
      </c>
      <c r="CH24" s="186"/>
      <c r="CI24" s="186"/>
      <c r="CJ24" s="186"/>
      <c r="CK24" s="186"/>
      <c r="CL24" s="186"/>
      <c r="CM24" s="186"/>
      <c r="CN24" s="186"/>
      <c r="CO24" s="186"/>
      <c r="CP24" s="186"/>
      <c r="CQ24" s="186"/>
      <c r="CR24" s="186"/>
      <c r="CS24" s="175">
        <f t="shared" si="18"/>
        <v>1</v>
      </c>
      <c r="CT24" s="158">
        <f t="shared" si="19"/>
        <v>100</v>
      </c>
    </row>
    <row r="25" ht="15.75" customHeight="1">
      <c r="A25" s="50">
        <v>16.0</v>
      </c>
      <c r="B25" s="111" t="s">
        <v>82</v>
      </c>
      <c r="C25" s="112" t="s">
        <v>83</v>
      </c>
      <c r="D25" s="91">
        <f t="shared" si="6"/>
        <v>6</v>
      </c>
      <c r="E25" s="113">
        <f t="shared" si="7"/>
        <v>46.15384615</v>
      </c>
      <c r="F25" s="114">
        <f t="shared" si="8"/>
        <v>46.15384615</v>
      </c>
      <c r="G25" s="164" t="str">
        <f t="shared" si="9"/>
        <v>  </v>
      </c>
      <c r="H25" s="165"/>
      <c r="I25" s="150"/>
      <c r="J25" s="150"/>
      <c r="K25" s="116"/>
      <c r="L25" s="116"/>
      <c r="M25" s="118">
        <f t="shared" si="10"/>
        <v>0</v>
      </c>
      <c r="N25" s="119" t="str">
        <f t="shared" si="11"/>
        <v>#DIV/0!</v>
      </c>
      <c r="O25" s="176"/>
      <c r="P25" s="179"/>
      <c r="Q25" s="179"/>
      <c r="R25" s="179"/>
      <c r="S25" s="179"/>
      <c r="T25" s="179"/>
      <c r="U25" s="179"/>
      <c r="V25" s="179"/>
      <c r="W25" s="179"/>
      <c r="X25" s="138">
        <v>1.0</v>
      </c>
      <c r="Y25" s="184"/>
      <c r="Z25" s="179"/>
      <c r="AA25" s="179"/>
      <c r="AB25" s="179"/>
      <c r="AC25" s="184">
        <v>1.0</v>
      </c>
      <c r="AD25" s="182">
        <v>1.0</v>
      </c>
      <c r="AE25" s="179"/>
      <c r="AF25" s="176"/>
      <c r="AG25" s="176"/>
      <c r="AH25" s="116"/>
      <c r="AI25" s="176"/>
      <c r="AJ25" s="168">
        <f t="shared" si="12"/>
        <v>3</v>
      </c>
      <c r="AK25" s="169">
        <f t="shared" si="13"/>
        <v>50</v>
      </c>
      <c r="AL25" s="183"/>
      <c r="AM25" s="179"/>
      <c r="AN25" s="179"/>
      <c r="AO25" s="179"/>
      <c r="AP25" s="179"/>
      <c r="AQ25" s="179"/>
      <c r="AR25" s="179"/>
      <c r="AS25" s="179"/>
      <c r="AT25" s="138">
        <v>1.0</v>
      </c>
      <c r="AU25" s="179"/>
      <c r="AV25" s="179"/>
      <c r="AW25" s="179"/>
      <c r="AX25" s="179"/>
      <c r="AY25" s="116"/>
      <c r="AZ25" s="179"/>
      <c r="BA25" s="179"/>
      <c r="BB25" s="179"/>
      <c r="BC25" s="179"/>
      <c r="BD25" s="179"/>
      <c r="BE25" s="181"/>
      <c r="BF25" s="179"/>
      <c r="BG25" s="118">
        <f t="shared" si="14"/>
        <v>1</v>
      </c>
      <c r="BH25" s="122">
        <f t="shared" si="15"/>
        <v>25</v>
      </c>
      <c r="BI25" s="176"/>
      <c r="BJ25" s="179"/>
      <c r="BK25" s="179"/>
      <c r="BL25" s="184">
        <v>1.0</v>
      </c>
      <c r="BM25" s="179"/>
      <c r="BN25" s="179"/>
      <c r="BO25" s="179"/>
      <c r="BP25" s="179"/>
      <c r="BQ25" s="179"/>
      <c r="BR25" s="179"/>
      <c r="BS25" s="179"/>
      <c r="BT25" s="179"/>
      <c r="BU25" s="179"/>
      <c r="BV25" s="179"/>
      <c r="BW25" s="186"/>
      <c r="BX25" s="186"/>
      <c r="BY25" s="186"/>
      <c r="BZ25" s="186"/>
      <c r="CA25" s="186"/>
      <c r="CB25" s="186"/>
      <c r="CC25" s="186"/>
      <c r="CD25" s="186"/>
      <c r="CE25" s="172">
        <f t="shared" si="16"/>
        <v>1</v>
      </c>
      <c r="CF25" s="173">
        <f t="shared" si="17"/>
        <v>50</v>
      </c>
      <c r="CG25" s="138">
        <v>1.0</v>
      </c>
      <c r="CH25" s="186"/>
      <c r="CI25" s="186"/>
      <c r="CJ25" s="186"/>
      <c r="CK25" s="186"/>
      <c r="CL25" s="186"/>
      <c r="CM25" s="186"/>
      <c r="CN25" s="186"/>
      <c r="CO25" s="186"/>
      <c r="CP25" s="186"/>
      <c r="CQ25" s="186"/>
      <c r="CR25" s="186"/>
      <c r="CS25" s="175">
        <f t="shared" si="18"/>
        <v>1</v>
      </c>
      <c r="CT25" s="158">
        <f t="shared" si="19"/>
        <v>100</v>
      </c>
    </row>
    <row r="26" ht="15.75" customHeight="1">
      <c r="A26" s="131">
        <v>17.0</v>
      </c>
      <c r="B26" s="111" t="s">
        <v>84</v>
      </c>
      <c r="C26" s="112" t="s">
        <v>85</v>
      </c>
      <c r="D26" s="91">
        <f t="shared" si="6"/>
        <v>8</v>
      </c>
      <c r="E26" s="113">
        <f t="shared" si="7"/>
        <v>61.53846154</v>
      </c>
      <c r="F26" s="92" t="str">
        <f t="shared" si="8"/>
        <v>  </v>
      </c>
      <c r="G26" s="164" t="str">
        <f t="shared" si="9"/>
        <v>  </v>
      </c>
      <c r="H26" s="165"/>
      <c r="I26" s="150"/>
      <c r="J26" s="116"/>
      <c r="K26" s="116"/>
      <c r="L26" s="116"/>
      <c r="M26" s="118">
        <f t="shared" si="10"/>
        <v>0</v>
      </c>
      <c r="N26" s="119" t="str">
        <f t="shared" si="11"/>
        <v>#DIV/0!</v>
      </c>
      <c r="O26" s="227"/>
      <c r="P26" s="228"/>
      <c r="Q26" s="228"/>
      <c r="R26" s="228"/>
      <c r="S26" s="228"/>
      <c r="T26" s="228"/>
      <c r="U26" s="228"/>
      <c r="V26" s="228"/>
      <c r="W26" s="228"/>
      <c r="X26" s="138">
        <v>1.0</v>
      </c>
      <c r="Y26" s="233">
        <v>1.0</v>
      </c>
      <c r="Z26" s="228"/>
      <c r="AA26" s="228"/>
      <c r="AB26" s="228"/>
      <c r="AC26" s="233">
        <v>1.0</v>
      </c>
      <c r="AD26" s="138">
        <v>1.0</v>
      </c>
      <c r="AE26" s="228"/>
      <c r="AF26" s="227"/>
      <c r="AG26" s="227"/>
      <c r="AH26" s="116"/>
      <c r="AI26" s="229">
        <v>1.0</v>
      </c>
      <c r="AJ26" s="168">
        <f t="shared" si="12"/>
        <v>5</v>
      </c>
      <c r="AK26" s="169">
        <f t="shared" si="13"/>
        <v>83.33333333</v>
      </c>
      <c r="AL26" s="232"/>
      <c r="AM26" s="228"/>
      <c r="AN26" s="228"/>
      <c r="AO26" s="228"/>
      <c r="AP26" s="228"/>
      <c r="AQ26" s="228"/>
      <c r="AR26" s="228"/>
      <c r="AS26" s="228"/>
      <c r="AT26" s="138">
        <v>1.0</v>
      </c>
      <c r="AU26" s="228"/>
      <c r="AV26" s="228"/>
      <c r="AW26" s="228"/>
      <c r="AX26" s="228"/>
      <c r="AY26" s="138">
        <v>1.0</v>
      </c>
      <c r="AZ26" s="228"/>
      <c r="BA26" s="228"/>
      <c r="BB26" s="228"/>
      <c r="BC26" s="228"/>
      <c r="BD26" s="228"/>
      <c r="BE26" s="219">
        <v>1.0</v>
      </c>
      <c r="BF26" s="228"/>
      <c r="BG26" s="118">
        <f t="shared" si="14"/>
        <v>3</v>
      </c>
      <c r="BH26" s="122">
        <f t="shared" si="15"/>
        <v>75</v>
      </c>
      <c r="BI26" s="227"/>
      <c r="BJ26" s="228"/>
      <c r="BK26" s="228"/>
      <c r="BL26" s="228"/>
      <c r="BM26" s="228"/>
      <c r="BN26" s="228"/>
      <c r="BO26" s="228"/>
      <c r="BP26" s="228"/>
      <c r="BQ26" s="228"/>
      <c r="BR26" s="228"/>
      <c r="BS26" s="228"/>
      <c r="BT26" s="228"/>
      <c r="BU26" s="228"/>
      <c r="BV26" s="228"/>
      <c r="BW26" s="186"/>
      <c r="BX26" s="186"/>
      <c r="BY26" s="186"/>
      <c r="BZ26" s="186"/>
      <c r="CA26" s="186"/>
      <c r="CB26" s="186"/>
      <c r="CC26" s="186"/>
      <c r="CD26" s="186"/>
      <c r="CE26" s="172">
        <f t="shared" si="16"/>
        <v>0</v>
      </c>
      <c r="CF26" s="173">
        <f t="shared" si="17"/>
        <v>0</v>
      </c>
      <c r="CG26" s="116"/>
      <c r="CH26" s="186"/>
      <c r="CI26" s="186"/>
      <c r="CJ26" s="186"/>
      <c r="CK26" s="186"/>
      <c r="CL26" s="186"/>
      <c r="CM26" s="186"/>
      <c r="CN26" s="186"/>
      <c r="CO26" s="186"/>
      <c r="CP26" s="186"/>
      <c r="CQ26" s="186"/>
      <c r="CR26" s="186"/>
      <c r="CS26" s="175">
        <f t="shared" si="18"/>
        <v>0</v>
      </c>
      <c r="CT26" s="158">
        <f t="shared" si="19"/>
        <v>0</v>
      </c>
    </row>
    <row r="27" ht="15.75" customHeight="1">
      <c r="A27" s="146">
        <v>18.0</v>
      </c>
      <c r="B27" s="111" t="s">
        <v>86</v>
      </c>
      <c r="C27" s="112" t="s">
        <v>87</v>
      </c>
      <c r="D27" s="91">
        <f t="shared" si="6"/>
        <v>5</v>
      </c>
      <c r="E27" s="113">
        <f t="shared" si="7"/>
        <v>38.46153846</v>
      </c>
      <c r="F27" s="114">
        <f t="shared" si="8"/>
        <v>38.46153846</v>
      </c>
      <c r="G27" s="164" t="str">
        <f t="shared" si="9"/>
        <v>  </v>
      </c>
      <c r="H27" s="165"/>
      <c r="I27" s="116"/>
      <c r="J27" s="150"/>
      <c r="K27" s="116"/>
      <c r="L27" s="116"/>
      <c r="M27" s="118">
        <f t="shared" si="10"/>
        <v>0</v>
      </c>
      <c r="N27" s="119" t="str">
        <f t="shared" si="11"/>
        <v>#DIV/0!</v>
      </c>
      <c r="O27" s="176"/>
      <c r="P27" s="179"/>
      <c r="Q27" s="179"/>
      <c r="R27" s="179"/>
      <c r="S27" s="179"/>
      <c r="T27" s="179"/>
      <c r="U27" s="179"/>
      <c r="V27" s="179"/>
      <c r="W27" s="179"/>
      <c r="X27" s="116"/>
      <c r="Y27" s="184">
        <v>1.0</v>
      </c>
      <c r="Z27" s="179"/>
      <c r="AA27" s="179"/>
      <c r="AB27" s="179"/>
      <c r="AC27" s="179"/>
      <c r="AD27" s="116"/>
      <c r="AE27" s="179"/>
      <c r="AF27" s="176"/>
      <c r="AG27" s="176"/>
      <c r="AH27" s="176"/>
      <c r="AI27" s="176"/>
      <c r="AJ27" s="168">
        <f t="shared" si="12"/>
        <v>1</v>
      </c>
      <c r="AK27" s="169">
        <f t="shared" si="13"/>
        <v>16.66666667</v>
      </c>
      <c r="AL27" s="183"/>
      <c r="AM27" s="179"/>
      <c r="AN27" s="179"/>
      <c r="AO27" s="179"/>
      <c r="AP27" s="179"/>
      <c r="AQ27" s="179"/>
      <c r="AR27" s="179"/>
      <c r="AS27" s="179"/>
      <c r="AT27" s="116"/>
      <c r="AU27" s="179"/>
      <c r="AV27" s="179"/>
      <c r="AW27" s="179"/>
      <c r="AX27" s="179"/>
      <c r="AY27" s="138">
        <v>1.0</v>
      </c>
      <c r="AZ27" s="179"/>
      <c r="BA27" s="179"/>
      <c r="BB27" s="179"/>
      <c r="BC27" s="179"/>
      <c r="BD27" s="179"/>
      <c r="BE27" s="181"/>
      <c r="BF27" s="179"/>
      <c r="BG27" s="118">
        <f t="shared" si="14"/>
        <v>1</v>
      </c>
      <c r="BH27" s="122">
        <f t="shared" si="15"/>
        <v>25</v>
      </c>
      <c r="BI27" s="176"/>
      <c r="BJ27" s="179"/>
      <c r="BK27" s="179"/>
      <c r="BL27" s="184">
        <v>1.0</v>
      </c>
      <c r="BM27" s="179"/>
      <c r="BN27" s="179"/>
      <c r="BO27" s="179"/>
      <c r="BP27" s="179"/>
      <c r="BQ27" s="179"/>
      <c r="BR27" s="179"/>
      <c r="BS27" s="184">
        <v>1.0</v>
      </c>
      <c r="BT27" s="179"/>
      <c r="BU27" s="179"/>
      <c r="BV27" s="179"/>
      <c r="BW27" s="186"/>
      <c r="BX27" s="186"/>
      <c r="BY27" s="186"/>
      <c r="BZ27" s="186"/>
      <c r="CA27" s="186"/>
      <c r="CB27" s="186"/>
      <c r="CC27" s="186"/>
      <c r="CD27" s="186"/>
      <c r="CE27" s="172">
        <f t="shared" si="16"/>
        <v>2</v>
      </c>
      <c r="CF27" s="173">
        <f t="shared" si="17"/>
        <v>100</v>
      </c>
      <c r="CG27" s="138">
        <v>1.0</v>
      </c>
      <c r="CH27" s="186"/>
      <c r="CI27" s="186"/>
      <c r="CJ27" s="186"/>
      <c r="CK27" s="186"/>
      <c r="CL27" s="186"/>
      <c r="CM27" s="186"/>
      <c r="CN27" s="186"/>
      <c r="CO27" s="186"/>
      <c r="CP27" s="186"/>
      <c r="CQ27" s="186"/>
      <c r="CR27" s="186"/>
      <c r="CS27" s="175">
        <f t="shared" si="18"/>
        <v>1</v>
      </c>
      <c r="CT27" s="158">
        <f t="shared" si="19"/>
        <v>100</v>
      </c>
    </row>
    <row r="28" ht="15.75" customHeight="1">
      <c r="A28" s="50">
        <v>19.0</v>
      </c>
      <c r="B28" s="111" t="s">
        <v>88</v>
      </c>
      <c r="C28" s="112" t="s">
        <v>89</v>
      </c>
      <c r="D28" s="91">
        <f t="shared" si="6"/>
        <v>9</v>
      </c>
      <c r="E28" s="113">
        <f t="shared" si="7"/>
        <v>69.23076923</v>
      </c>
      <c r="F28" s="114" t="str">
        <f t="shared" si="8"/>
        <v>  </v>
      </c>
      <c r="G28" s="202" t="str">
        <f t="shared" si="9"/>
        <v>  </v>
      </c>
      <c r="H28" s="165"/>
      <c r="I28" s="116"/>
      <c r="J28" s="116"/>
      <c r="K28" s="116"/>
      <c r="L28" s="116"/>
      <c r="M28" s="118">
        <f t="shared" si="10"/>
        <v>0</v>
      </c>
      <c r="N28" s="119" t="str">
        <f t="shared" si="11"/>
        <v>#DIV/0!</v>
      </c>
      <c r="O28" s="176"/>
      <c r="P28" s="179"/>
      <c r="Q28" s="179"/>
      <c r="R28" s="179"/>
      <c r="S28" s="179"/>
      <c r="T28" s="179"/>
      <c r="U28" s="179"/>
      <c r="V28" s="179"/>
      <c r="W28" s="179"/>
      <c r="X28" s="138">
        <v>1.0</v>
      </c>
      <c r="Y28" s="179"/>
      <c r="Z28" s="179"/>
      <c r="AA28" s="179"/>
      <c r="AB28" s="179"/>
      <c r="AC28" s="179"/>
      <c r="AD28" s="182">
        <v>1.0</v>
      </c>
      <c r="AE28" s="179"/>
      <c r="AF28" s="176"/>
      <c r="AG28" s="176"/>
      <c r="AH28" s="138">
        <v>1.0</v>
      </c>
      <c r="AI28" s="182">
        <v>1.0</v>
      </c>
      <c r="AJ28" s="168">
        <f t="shared" si="12"/>
        <v>4</v>
      </c>
      <c r="AK28" s="169">
        <f t="shared" si="13"/>
        <v>66.66666667</v>
      </c>
      <c r="AL28" s="183"/>
      <c r="AM28" s="179"/>
      <c r="AN28" s="179"/>
      <c r="AO28" s="184">
        <v>1.0</v>
      </c>
      <c r="AP28" s="179"/>
      <c r="AQ28" s="179"/>
      <c r="AR28" s="179"/>
      <c r="AS28" s="179"/>
      <c r="AT28" s="138">
        <v>1.0</v>
      </c>
      <c r="AU28" s="179"/>
      <c r="AV28" s="179"/>
      <c r="AW28" s="179"/>
      <c r="AX28" s="179"/>
      <c r="AY28" s="138">
        <v>1.0</v>
      </c>
      <c r="AZ28" s="179"/>
      <c r="BA28" s="179"/>
      <c r="BB28" s="179"/>
      <c r="BC28" s="179"/>
      <c r="BD28" s="179"/>
      <c r="BE28" s="181"/>
      <c r="BF28" s="179"/>
      <c r="BG28" s="118">
        <f t="shared" si="14"/>
        <v>3</v>
      </c>
      <c r="BH28" s="122">
        <f t="shared" si="15"/>
        <v>75</v>
      </c>
      <c r="BI28" s="176"/>
      <c r="BJ28" s="179"/>
      <c r="BK28" s="179"/>
      <c r="BL28" s="184">
        <v>1.0</v>
      </c>
      <c r="BM28" s="179"/>
      <c r="BN28" s="179"/>
      <c r="BO28" s="179"/>
      <c r="BP28" s="179"/>
      <c r="BQ28" s="179"/>
      <c r="BR28" s="179"/>
      <c r="BS28" s="179"/>
      <c r="BT28" s="179"/>
      <c r="BU28" s="179"/>
      <c r="BV28" s="179"/>
      <c r="BW28" s="186"/>
      <c r="BX28" s="186"/>
      <c r="BY28" s="186"/>
      <c r="BZ28" s="186"/>
      <c r="CA28" s="186"/>
      <c r="CB28" s="186"/>
      <c r="CC28" s="186"/>
      <c r="CD28" s="186"/>
      <c r="CE28" s="172">
        <f t="shared" si="16"/>
        <v>1</v>
      </c>
      <c r="CF28" s="173">
        <f t="shared" si="17"/>
        <v>50</v>
      </c>
      <c r="CG28" s="184">
        <v>1.0</v>
      </c>
      <c r="CH28" s="186"/>
      <c r="CI28" s="186"/>
      <c r="CJ28" s="186"/>
      <c r="CK28" s="186"/>
      <c r="CL28" s="186"/>
      <c r="CM28" s="186"/>
      <c r="CN28" s="186"/>
      <c r="CO28" s="186"/>
      <c r="CP28" s="186"/>
      <c r="CQ28" s="186"/>
      <c r="CR28" s="186"/>
      <c r="CS28" s="175">
        <f t="shared" si="18"/>
        <v>1</v>
      </c>
      <c r="CT28" s="158">
        <f t="shared" si="19"/>
        <v>100</v>
      </c>
    </row>
    <row r="29" ht="15.75" customHeight="1">
      <c r="A29" s="131">
        <v>20.0</v>
      </c>
      <c r="B29" s="111" t="s">
        <v>90</v>
      </c>
      <c r="C29" s="112" t="s">
        <v>91</v>
      </c>
      <c r="D29" s="91">
        <f t="shared" si="6"/>
        <v>6</v>
      </c>
      <c r="E29" s="113">
        <f t="shared" si="7"/>
        <v>46.15384615</v>
      </c>
      <c r="F29" s="114">
        <f t="shared" si="8"/>
        <v>46.15384615</v>
      </c>
      <c r="G29" s="164" t="str">
        <f t="shared" si="9"/>
        <v>  </v>
      </c>
      <c r="H29" s="165"/>
      <c r="I29" s="116"/>
      <c r="J29" s="116"/>
      <c r="K29" s="116"/>
      <c r="L29" s="116"/>
      <c r="M29" s="118">
        <f t="shared" si="10"/>
        <v>0</v>
      </c>
      <c r="N29" s="119" t="str">
        <f t="shared" si="11"/>
        <v>#DIV/0!</v>
      </c>
      <c r="O29" s="176"/>
      <c r="P29" s="179"/>
      <c r="Q29" s="179"/>
      <c r="R29" s="179"/>
      <c r="S29" s="179"/>
      <c r="T29" s="179"/>
      <c r="U29" s="179"/>
      <c r="V29" s="179"/>
      <c r="W29" s="179"/>
      <c r="X29" s="138">
        <v>1.0</v>
      </c>
      <c r="Y29" s="184"/>
      <c r="Z29" s="179"/>
      <c r="AA29" s="179"/>
      <c r="AB29" s="179"/>
      <c r="AC29" s="184">
        <v>1.0</v>
      </c>
      <c r="AD29" s="182">
        <v>1.0</v>
      </c>
      <c r="AE29" s="179"/>
      <c r="AF29" s="176"/>
      <c r="AG29" s="176"/>
      <c r="AH29" s="116"/>
      <c r="AI29" s="182">
        <v>1.0</v>
      </c>
      <c r="AJ29" s="168">
        <f t="shared" si="12"/>
        <v>4</v>
      </c>
      <c r="AK29" s="169">
        <f t="shared" si="13"/>
        <v>66.66666667</v>
      </c>
      <c r="AL29" s="183"/>
      <c r="AM29" s="179"/>
      <c r="AN29" s="179"/>
      <c r="AO29" s="184">
        <v>1.0</v>
      </c>
      <c r="AP29" s="179"/>
      <c r="AQ29" s="179"/>
      <c r="AR29" s="179"/>
      <c r="AS29" s="179"/>
      <c r="AT29" s="116"/>
      <c r="AU29" s="179"/>
      <c r="AV29" s="179"/>
      <c r="AW29" s="179"/>
      <c r="AX29" s="179"/>
      <c r="AY29" s="116"/>
      <c r="AZ29" s="179"/>
      <c r="BA29" s="179"/>
      <c r="BB29" s="179"/>
      <c r="BC29" s="179"/>
      <c r="BD29" s="179"/>
      <c r="BE29" s="181"/>
      <c r="BF29" s="179"/>
      <c r="BG29" s="118">
        <f t="shared" si="14"/>
        <v>1</v>
      </c>
      <c r="BH29" s="122">
        <f t="shared" si="15"/>
        <v>25</v>
      </c>
      <c r="BI29" s="176"/>
      <c r="BJ29" s="179"/>
      <c r="BK29" s="179"/>
      <c r="BL29" s="179"/>
      <c r="BM29" s="179"/>
      <c r="BN29" s="179"/>
      <c r="BO29" s="179"/>
      <c r="BP29" s="179"/>
      <c r="BQ29" s="179"/>
      <c r="BR29" s="179"/>
      <c r="BS29" s="179"/>
      <c r="BT29" s="179"/>
      <c r="BU29" s="179"/>
      <c r="BV29" s="179"/>
      <c r="BW29" s="186"/>
      <c r="BX29" s="186"/>
      <c r="BY29" s="186"/>
      <c r="BZ29" s="186"/>
      <c r="CA29" s="186"/>
      <c r="CB29" s="186"/>
      <c r="CC29" s="186"/>
      <c r="CD29" s="186"/>
      <c r="CE29" s="172">
        <f t="shared" si="16"/>
        <v>0</v>
      </c>
      <c r="CF29" s="173">
        <f t="shared" si="17"/>
        <v>0</v>
      </c>
      <c r="CG29" s="138">
        <v>1.0</v>
      </c>
      <c r="CH29" s="186"/>
      <c r="CI29" s="186"/>
      <c r="CJ29" s="186"/>
      <c r="CK29" s="186"/>
      <c r="CL29" s="186"/>
      <c r="CM29" s="186"/>
      <c r="CN29" s="186"/>
      <c r="CO29" s="186"/>
      <c r="CP29" s="186"/>
      <c r="CQ29" s="186"/>
      <c r="CR29" s="186"/>
      <c r="CS29" s="175">
        <f t="shared" si="18"/>
        <v>1</v>
      </c>
      <c r="CT29" s="158">
        <f t="shared" si="19"/>
        <v>100</v>
      </c>
    </row>
    <row r="30" ht="15.75" customHeight="1">
      <c r="A30" s="146">
        <v>21.0</v>
      </c>
      <c r="B30" s="111" t="s">
        <v>92</v>
      </c>
      <c r="C30" s="112" t="s">
        <v>93</v>
      </c>
      <c r="D30" s="91">
        <f t="shared" si="6"/>
        <v>0</v>
      </c>
      <c r="E30" s="113">
        <f t="shared" si="7"/>
        <v>0</v>
      </c>
      <c r="F30" s="114">
        <f t="shared" si="8"/>
        <v>0</v>
      </c>
      <c r="G30" s="202">
        <f t="shared" si="9"/>
        <v>0</v>
      </c>
      <c r="H30" s="165"/>
      <c r="I30" s="116"/>
      <c r="J30" s="116"/>
      <c r="K30" s="116"/>
      <c r="L30" s="116"/>
      <c r="M30" s="118">
        <f t="shared" si="10"/>
        <v>0</v>
      </c>
      <c r="N30" s="119" t="str">
        <f t="shared" si="11"/>
        <v>#DIV/0!</v>
      </c>
      <c r="O30" s="176"/>
      <c r="P30" s="179"/>
      <c r="Q30" s="179"/>
      <c r="R30" s="179"/>
      <c r="S30" s="179"/>
      <c r="T30" s="179"/>
      <c r="U30" s="179"/>
      <c r="V30" s="179"/>
      <c r="W30" s="179"/>
      <c r="X30" s="116"/>
      <c r="Y30" s="179"/>
      <c r="Z30" s="179"/>
      <c r="AA30" s="179"/>
      <c r="AB30" s="179"/>
      <c r="AC30" s="179"/>
      <c r="AD30" s="176"/>
      <c r="AE30" s="179"/>
      <c r="AF30" s="176"/>
      <c r="AG30" s="176"/>
      <c r="AH30" s="176"/>
      <c r="AI30" s="176"/>
      <c r="AJ30" s="168">
        <f t="shared" si="12"/>
        <v>0</v>
      </c>
      <c r="AK30" s="169">
        <f t="shared" si="13"/>
        <v>0</v>
      </c>
      <c r="AL30" s="183"/>
      <c r="AM30" s="179"/>
      <c r="AN30" s="179"/>
      <c r="AO30" s="179"/>
      <c r="AP30" s="179"/>
      <c r="AQ30" s="179"/>
      <c r="AR30" s="179"/>
      <c r="AS30" s="179"/>
      <c r="AT30" s="116"/>
      <c r="AU30" s="179"/>
      <c r="AV30" s="179"/>
      <c r="AW30" s="179"/>
      <c r="AX30" s="179"/>
      <c r="AY30" s="116"/>
      <c r="AZ30" s="179"/>
      <c r="BA30" s="179"/>
      <c r="BB30" s="179"/>
      <c r="BC30" s="179"/>
      <c r="BD30" s="179"/>
      <c r="BE30" s="181"/>
      <c r="BF30" s="179"/>
      <c r="BG30" s="118">
        <f t="shared" si="14"/>
        <v>0</v>
      </c>
      <c r="BH30" s="122">
        <f t="shared" si="15"/>
        <v>0</v>
      </c>
      <c r="BI30" s="176"/>
      <c r="BJ30" s="179"/>
      <c r="BK30" s="179"/>
      <c r="BL30" s="179"/>
      <c r="BM30" s="179"/>
      <c r="BN30" s="179"/>
      <c r="BO30" s="179"/>
      <c r="BP30" s="179"/>
      <c r="BQ30" s="179"/>
      <c r="BR30" s="179"/>
      <c r="BS30" s="179"/>
      <c r="BT30" s="179"/>
      <c r="BU30" s="179"/>
      <c r="BV30" s="179"/>
      <c r="BW30" s="186"/>
      <c r="BX30" s="186"/>
      <c r="BY30" s="186"/>
      <c r="BZ30" s="186"/>
      <c r="CA30" s="186"/>
      <c r="CB30" s="186"/>
      <c r="CC30" s="186"/>
      <c r="CD30" s="186"/>
      <c r="CE30" s="172">
        <f t="shared" si="16"/>
        <v>0</v>
      </c>
      <c r="CF30" s="173">
        <f t="shared" si="17"/>
        <v>0</v>
      </c>
      <c r="CG30" s="179"/>
      <c r="CH30" s="186"/>
      <c r="CI30" s="186"/>
      <c r="CJ30" s="186"/>
      <c r="CK30" s="186"/>
      <c r="CL30" s="186"/>
      <c r="CM30" s="186"/>
      <c r="CN30" s="186"/>
      <c r="CO30" s="186"/>
      <c r="CP30" s="186"/>
      <c r="CQ30" s="186"/>
      <c r="CR30" s="186"/>
      <c r="CS30" s="175">
        <f t="shared" si="18"/>
        <v>0</v>
      </c>
      <c r="CT30" s="158">
        <f t="shared" si="19"/>
        <v>0</v>
      </c>
    </row>
    <row r="31" ht="15.75" customHeight="1">
      <c r="A31" s="50">
        <v>22.0</v>
      </c>
      <c r="B31" s="111" t="s">
        <v>94</v>
      </c>
      <c r="C31" s="112" t="s">
        <v>95</v>
      </c>
      <c r="D31" s="91">
        <f t="shared" si="6"/>
        <v>5</v>
      </c>
      <c r="E31" s="113">
        <f t="shared" si="7"/>
        <v>38.46153846</v>
      </c>
      <c r="F31" s="114">
        <f t="shared" si="8"/>
        <v>38.46153846</v>
      </c>
      <c r="G31" s="202" t="str">
        <f t="shared" si="9"/>
        <v>  </v>
      </c>
      <c r="H31" s="165"/>
      <c r="I31" s="150"/>
      <c r="J31" s="150"/>
      <c r="K31" s="116"/>
      <c r="L31" s="116"/>
      <c r="M31" s="118">
        <f t="shared" si="10"/>
        <v>0</v>
      </c>
      <c r="N31" s="119" t="str">
        <f t="shared" si="11"/>
        <v>#DIV/0!</v>
      </c>
      <c r="O31" s="176"/>
      <c r="P31" s="179"/>
      <c r="Q31" s="179"/>
      <c r="R31" s="179"/>
      <c r="S31" s="179"/>
      <c r="T31" s="179"/>
      <c r="U31" s="179"/>
      <c r="V31" s="179"/>
      <c r="W31" s="179"/>
      <c r="X31" s="116"/>
      <c r="Y31" s="179"/>
      <c r="Z31" s="179"/>
      <c r="AA31" s="179"/>
      <c r="AB31" s="179"/>
      <c r="AC31" s="179"/>
      <c r="AD31" s="176"/>
      <c r="AE31" s="179"/>
      <c r="AF31" s="176"/>
      <c r="AG31" s="176"/>
      <c r="AH31" s="182">
        <v>1.0</v>
      </c>
      <c r="AI31" s="182">
        <v>1.0</v>
      </c>
      <c r="AJ31" s="168">
        <f t="shared" si="12"/>
        <v>2</v>
      </c>
      <c r="AK31" s="169">
        <f t="shared" si="13"/>
        <v>33.33333333</v>
      </c>
      <c r="AL31" s="183"/>
      <c r="AM31" s="179"/>
      <c r="AN31" s="179"/>
      <c r="AO31" s="179"/>
      <c r="AP31" s="179"/>
      <c r="AQ31" s="179"/>
      <c r="AR31" s="179"/>
      <c r="AS31" s="179"/>
      <c r="AT31" s="116"/>
      <c r="AU31" s="179"/>
      <c r="AV31" s="179"/>
      <c r="AW31" s="179"/>
      <c r="AX31" s="179"/>
      <c r="AY31" s="116"/>
      <c r="AZ31" s="179"/>
      <c r="BA31" s="179"/>
      <c r="BB31" s="179"/>
      <c r="BC31" s="179"/>
      <c r="BD31" s="179"/>
      <c r="BE31" s="194"/>
      <c r="BF31" s="179"/>
      <c r="BG31" s="118">
        <f t="shared" si="14"/>
        <v>0</v>
      </c>
      <c r="BH31" s="122">
        <f t="shared" si="15"/>
        <v>0</v>
      </c>
      <c r="BI31" s="176"/>
      <c r="BJ31" s="179"/>
      <c r="BK31" s="179"/>
      <c r="BL31" s="184">
        <v>1.0</v>
      </c>
      <c r="BM31" s="179"/>
      <c r="BN31" s="179"/>
      <c r="BO31" s="179"/>
      <c r="BP31" s="179"/>
      <c r="BQ31" s="179"/>
      <c r="BR31" s="179"/>
      <c r="BS31" s="184">
        <v>1.0</v>
      </c>
      <c r="BT31" s="179"/>
      <c r="BU31" s="179"/>
      <c r="BV31" s="179"/>
      <c r="BW31" s="186"/>
      <c r="BX31" s="186"/>
      <c r="BY31" s="186"/>
      <c r="BZ31" s="186"/>
      <c r="CA31" s="186"/>
      <c r="CB31" s="186"/>
      <c r="CC31" s="186"/>
      <c r="CD31" s="186"/>
      <c r="CE31" s="172">
        <f t="shared" si="16"/>
        <v>2</v>
      </c>
      <c r="CF31" s="173">
        <f t="shared" si="17"/>
        <v>100</v>
      </c>
      <c r="CG31" s="138">
        <v>1.0</v>
      </c>
      <c r="CH31" s="186"/>
      <c r="CI31" s="186"/>
      <c r="CJ31" s="186"/>
      <c r="CK31" s="186"/>
      <c r="CL31" s="186"/>
      <c r="CM31" s="186"/>
      <c r="CN31" s="186"/>
      <c r="CO31" s="186"/>
      <c r="CP31" s="186"/>
      <c r="CQ31" s="186"/>
      <c r="CR31" s="186"/>
      <c r="CS31" s="175">
        <f t="shared" si="18"/>
        <v>1</v>
      </c>
      <c r="CT31" s="158">
        <f t="shared" si="19"/>
        <v>100</v>
      </c>
    </row>
    <row r="32" ht="15.75" customHeight="1">
      <c r="A32" s="131">
        <v>23.0</v>
      </c>
      <c r="B32" s="111" t="s">
        <v>96</v>
      </c>
      <c r="C32" s="112" t="s">
        <v>97</v>
      </c>
      <c r="D32" s="91">
        <f t="shared" si="6"/>
        <v>9</v>
      </c>
      <c r="E32" s="113">
        <f t="shared" si="7"/>
        <v>69.23076923</v>
      </c>
      <c r="F32" s="92" t="str">
        <f t="shared" si="8"/>
        <v>  </v>
      </c>
      <c r="G32" s="164" t="str">
        <f t="shared" si="9"/>
        <v>  </v>
      </c>
      <c r="H32" s="165"/>
      <c r="I32" s="150"/>
      <c r="J32" s="116"/>
      <c r="K32" s="116"/>
      <c r="L32" s="116"/>
      <c r="M32" s="118">
        <f t="shared" si="10"/>
        <v>0</v>
      </c>
      <c r="N32" s="119" t="str">
        <f t="shared" si="11"/>
        <v>#DIV/0!</v>
      </c>
      <c r="O32" s="176"/>
      <c r="P32" s="179"/>
      <c r="Q32" s="179"/>
      <c r="R32" s="179"/>
      <c r="S32" s="179"/>
      <c r="T32" s="179"/>
      <c r="U32" s="179"/>
      <c r="V32" s="179"/>
      <c r="W32" s="179"/>
      <c r="X32" s="116"/>
      <c r="Y32" s="184">
        <v>1.0</v>
      </c>
      <c r="Z32" s="179"/>
      <c r="AA32" s="179"/>
      <c r="AB32" s="179"/>
      <c r="AC32" s="184">
        <v>1.0</v>
      </c>
      <c r="AD32" s="116"/>
      <c r="AE32" s="179"/>
      <c r="AF32" s="176"/>
      <c r="AG32" s="176"/>
      <c r="AH32" s="182">
        <v>1.0</v>
      </c>
      <c r="AI32" s="176"/>
      <c r="AJ32" s="168">
        <f t="shared" si="12"/>
        <v>3</v>
      </c>
      <c r="AK32" s="169">
        <f t="shared" si="13"/>
        <v>50</v>
      </c>
      <c r="AL32" s="183"/>
      <c r="AM32" s="179"/>
      <c r="AN32" s="179"/>
      <c r="AO32" s="184">
        <v>1.0</v>
      </c>
      <c r="AP32" s="179"/>
      <c r="AQ32" s="179"/>
      <c r="AR32" s="179"/>
      <c r="AS32" s="179"/>
      <c r="AT32" s="116"/>
      <c r="AU32" s="179"/>
      <c r="AV32" s="179"/>
      <c r="AW32" s="179"/>
      <c r="AX32" s="179"/>
      <c r="AY32" s="138">
        <v>1.0</v>
      </c>
      <c r="AZ32" s="179"/>
      <c r="BA32" s="179"/>
      <c r="BB32" s="179"/>
      <c r="BC32" s="179"/>
      <c r="BD32" s="179"/>
      <c r="BE32" s="219">
        <v>1.0</v>
      </c>
      <c r="BF32" s="179"/>
      <c r="BG32" s="118">
        <f t="shared" si="14"/>
        <v>3</v>
      </c>
      <c r="BH32" s="122">
        <f t="shared" si="15"/>
        <v>75</v>
      </c>
      <c r="BI32" s="176"/>
      <c r="BJ32" s="179"/>
      <c r="BK32" s="179"/>
      <c r="BL32" s="184">
        <v>1.0</v>
      </c>
      <c r="BM32" s="179"/>
      <c r="BN32" s="179"/>
      <c r="BO32" s="179"/>
      <c r="BP32" s="179"/>
      <c r="BQ32" s="179"/>
      <c r="BR32" s="179"/>
      <c r="BS32" s="184">
        <v>1.0</v>
      </c>
      <c r="BT32" s="179"/>
      <c r="BU32" s="179"/>
      <c r="BV32" s="179"/>
      <c r="BW32" s="186"/>
      <c r="BX32" s="186"/>
      <c r="BY32" s="186"/>
      <c r="BZ32" s="186"/>
      <c r="CA32" s="186"/>
      <c r="CB32" s="186"/>
      <c r="CC32" s="186"/>
      <c r="CD32" s="186"/>
      <c r="CE32" s="172">
        <f t="shared" si="16"/>
        <v>2</v>
      </c>
      <c r="CF32" s="173">
        <f t="shared" si="17"/>
        <v>100</v>
      </c>
      <c r="CG32" s="184">
        <v>1.0</v>
      </c>
      <c r="CH32" s="186"/>
      <c r="CI32" s="186"/>
      <c r="CJ32" s="186"/>
      <c r="CK32" s="186"/>
      <c r="CL32" s="186"/>
      <c r="CM32" s="186"/>
      <c r="CN32" s="186"/>
      <c r="CO32" s="186"/>
      <c r="CP32" s="186"/>
      <c r="CQ32" s="186"/>
      <c r="CR32" s="186"/>
      <c r="CS32" s="175">
        <f t="shared" si="18"/>
        <v>1</v>
      </c>
      <c r="CT32" s="158">
        <f t="shared" si="19"/>
        <v>100</v>
      </c>
    </row>
    <row r="33" ht="15.75" customHeight="1">
      <c r="A33" s="146">
        <v>24.0</v>
      </c>
      <c r="B33" s="111" t="s">
        <v>98</v>
      </c>
      <c r="C33" s="112" t="s">
        <v>99</v>
      </c>
      <c r="D33" s="91">
        <f t="shared" si="6"/>
        <v>8</v>
      </c>
      <c r="E33" s="113">
        <f t="shared" si="7"/>
        <v>61.53846154</v>
      </c>
      <c r="F33" s="114" t="str">
        <f t="shared" si="8"/>
        <v>  </v>
      </c>
      <c r="G33" s="164" t="str">
        <f t="shared" si="9"/>
        <v>  </v>
      </c>
      <c r="H33" s="165"/>
      <c r="I33" s="150"/>
      <c r="J33" s="116"/>
      <c r="K33" s="116"/>
      <c r="L33" s="116"/>
      <c r="M33" s="118">
        <f t="shared" si="10"/>
        <v>0</v>
      </c>
      <c r="N33" s="119" t="str">
        <f t="shared" si="11"/>
        <v>#DIV/0!</v>
      </c>
      <c r="O33" s="206"/>
      <c r="P33" s="207"/>
      <c r="Q33" s="207"/>
      <c r="R33" s="207"/>
      <c r="S33" s="207"/>
      <c r="T33" s="207"/>
      <c r="U33" s="207"/>
      <c r="V33" s="207"/>
      <c r="W33" s="207"/>
      <c r="X33" s="138">
        <v>1.0</v>
      </c>
      <c r="Y33" s="234">
        <v>1.0</v>
      </c>
      <c r="Z33" s="207"/>
      <c r="AA33" s="207"/>
      <c r="AB33" s="207"/>
      <c r="AC33" s="234">
        <v>1.0</v>
      </c>
      <c r="AD33" s="116"/>
      <c r="AE33" s="207"/>
      <c r="AF33" s="206"/>
      <c r="AG33" s="206"/>
      <c r="AH33" s="209">
        <v>1.0</v>
      </c>
      <c r="AI33" s="206"/>
      <c r="AJ33" s="168">
        <f t="shared" si="12"/>
        <v>4</v>
      </c>
      <c r="AK33" s="169">
        <f t="shared" si="13"/>
        <v>66.66666667</v>
      </c>
      <c r="AL33" s="212"/>
      <c r="AM33" s="207"/>
      <c r="AN33" s="207"/>
      <c r="AO33" s="234">
        <v>1.0</v>
      </c>
      <c r="AP33" s="207"/>
      <c r="AQ33" s="207"/>
      <c r="AR33" s="207"/>
      <c r="AS33" s="207"/>
      <c r="AT33" s="116"/>
      <c r="AU33" s="207"/>
      <c r="AV33" s="207"/>
      <c r="AW33" s="207"/>
      <c r="AX33" s="207"/>
      <c r="AY33" s="138">
        <v>1.0</v>
      </c>
      <c r="AZ33" s="207"/>
      <c r="BA33" s="207"/>
      <c r="BB33" s="207"/>
      <c r="BC33" s="207"/>
      <c r="BD33" s="207"/>
      <c r="BE33" s="181"/>
      <c r="BF33" s="207"/>
      <c r="BG33" s="118">
        <f t="shared" si="14"/>
        <v>2</v>
      </c>
      <c r="BH33" s="122">
        <f t="shared" si="15"/>
        <v>50</v>
      </c>
      <c r="BI33" s="206"/>
      <c r="BJ33" s="207"/>
      <c r="BK33" s="207"/>
      <c r="BL33" s="234">
        <v>1.0</v>
      </c>
      <c r="BM33" s="207"/>
      <c r="BN33" s="207"/>
      <c r="BO33" s="207"/>
      <c r="BP33" s="207"/>
      <c r="BQ33" s="207"/>
      <c r="BR33" s="207"/>
      <c r="BS33" s="207"/>
      <c r="BT33" s="207"/>
      <c r="BU33" s="207"/>
      <c r="BV33" s="207"/>
      <c r="BW33" s="186"/>
      <c r="BX33" s="186"/>
      <c r="BY33" s="186"/>
      <c r="BZ33" s="186"/>
      <c r="CA33" s="186"/>
      <c r="CB33" s="186"/>
      <c r="CC33" s="186"/>
      <c r="CD33" s="186"/>
      <c r="CE33" s="172">
        <f t="shared" si="16"/>
        <v>1</v>
      </c>
      <c r="CF33" s="173">
        <f t="shared" si="17"/>
        <v>50</v>
      </c>
      <c r="CG33" s="234">
        <v>1.0</v>
      </c>
      <c r="CH33" s="186"/>
      <c r="CI33" s="186"/>
      <c r="CJ33" s="186"/>
      <c r="CK33" s="186"/>
      <c r="CL33" s="186"/>
      <c r="CM33" s="186"/>
      <c r="CN33" s="186"/>
      <c r="CO33" s="186"/>
      <c r="CP33" s="186"/>
      <c r="CQ33" s="186"/>
      <c r="CR33" s="186"/>
      <c r="CS33" s="175">
        <f t="shared" si="18"/>
        <v>1</v>
      </c>
      <c r="CT33" s="158">
        <f t="shared" si="19"/>
        <v>100</v>
      </c>
    </row>
    <row r="34" ht="15.75" customHeight="1">
      <c r="A34" s="50">
        <v>25.0</v>
      </c>
      <c r="B34" s="111" t="s">
        <v>100</v>
      </c>
      <c r="C34" s="112" t="s">
        <v>101</v>
      </c>
      <c r="D34" s="91">
        <f t="shared" si="6"/>
        <v>11</v>
      </c>
      <c r="E34" s="113">
        <f t="shared" si="7"/>
        <v>84.61538462</v>
      </c>
      <c r="F34" s="92" t="str">
        <f t="shared" si="8"/>
        <v>  </v>
      </c>
      <c r="G34" s="164" t="str">
        <f t="shared" si="9"/>
        <v>  </v>
      </c>
      <c r="H34" s="165"/>
      <c r="I34" s="43"/>
      <c r="J34" s="43"/>
      <c r="K34" s="116"/>
      <c r="L34" s="116"/>
      <c r="M34" s="118">
        <f t="shared" si="10"/>
        <v>0</v>
      </c>
      <c r="N34" s="119" t="str">
        <f t="shared" si="11"/>
        <v>#DIV/0!</v>
      </c>
      <c r="O34" s="206"/>
      <c r="P34" s="207"/>
      <c r="Q34" s="207"/>
      <c r="R34" s="207"/>
      <c r="S34" s="207"/>
      <c r="T34" s="207"/>
      <c r="U34" s="207"/>
      <c r="V34" s="207"/>
      <c r="W34" s="207"/>
      <c r="X34" s="138">
        <v>1.0</v>
      </c>
      <c r="Y34" s="234">
        <v>1.0</v>
      </c>
      <c r="Z34" s="207"/>
      <c r="AA34" s="207"/>
      <c r="AB34" s="207"/>
      <c r="AC34" s="234">
        <v>1.0</v>
      </c>
      <c r="AD34" s="138">
        <v>1.0</v>
      </c>
      <c r="AE34" s="207"/>
      <c r="AF34" s="206"/>
      <c r="AG34" s="206"/>
      <c r="AH34" s="209">
        <v>1.0</v>
      </c>
      <c r="AI34" s="209">
        <v>1.0</v>
      </c>
      <c r="AJ34" s="168">
        <f t="shared" si="12"/>
        <v>6</v>
      </c>
      <c r="AK34" s="169">
        <f t="shared" si="13"/>
        <v>100</v>
      </c>
      <c r="AL34" s="212"/>
      <c r="AM34" s="207"/>
      <c r="AN34" s="207"/>
      <c r="AO34" s="234">
        <v>1.0</v>
      </c>
      <c r="AP34" s="207"/>
      <c r="AQ34" s="207"/>
      <c r="AR34" s="207"/>
      <c r="AS34" s="207"/>
      <c r="AT34" s="138">
        <v>1.0</v>
      </c>
      <c r="AU34" s="207"/>
      <c r="AV34" s="207"/>
      <c r="AW34" s="207"/>
      <c r="AX34" s="207"/>
      <c r="AY34" s="138">
        <v>1.0</v>
      </c>
      <c r="AZ34" s="207"/>
      <c r="BA34" s="207"/>
      <c r="BB34" s="207"/>
      <c r="BC34" s="207"/>
      <c r="BD34" s="207"/>
      <c r="BE34" s="181"/>
      <c r="BF34" s="207"/>
      <c r="BG34" s="118">
        <f t="shared" si="14"/>
        <v>3</v>
      </c>
      <c r="BH34" s="122">
        <f t="shared" si="15"/>
        <v>75</v>
      </c>
      <c r="BI34" s="206"/>
      <c r="BJ34" s="207"/>
      <c r="BK34" s="207"/>
      <c r="BL34" s="234">
        <v>1.0</v>
      </c>
      <c r="BM34" s="207"/>
      <c r="BN34" s="207"/>
      <c r="BO34" s="207"/>
      <c r="BP34" s="207"/>
      <c r="BQ34" s="207"/>
      <c r="BR34" s="207"/>
      <c r="BS34" s="234">
        <v>1.0</v>
      </c>
      <c r="BT34" s="207"/>
      <c r="BU34" s="207"/>
      <c r="BV34" s="207"/>
      <c r="BW34" s="186"/>
      <c r="BX34" s="186"/>
      <c r="BY34" s="186"/>
      <c r="BZ34" s="186"/>
      <c r="CA34" s="186"/>
      <c r="CB34" s="186"/>
      <c r="CC34" s="186"/>
      <c r="CD34" s="186"/>
      <c r="CE34" s="172">
        <f t="shared" si="16"/>
        <v>2</v>
      </c>
      <c r="CF34" s="173">
        <f t="shared" si="17"/>
        <v>100</v>
      </c>
      <c r="CG34" s="116"/>
      <c r="CH34" s="186"/>
      <c r="CI34" s="186"/>
      <c r="CJ34" s="186"/>
      <c r="CK34" s="186"/>
      <c r="CL34" s="186"/>
      <c r="CM34" s="186"/>
      <c r="CN34" s="186"/>
      <c r="CO34" s="186"/>
      <c r="CP34" s="186"/>
      <c r="CQ34" s="186"/>
      <c r="CR34" s="186"/>
      <c r="CS34" s="175">
        <f t="shared" si="18"/>
        <v>0</v>
      </c>
      <c r="CT34" s="158">
        <f t="shared" si="19"/>
        <v>0</v>
      </c>
    </row>
    <row r="35" ht="15.75" customHeight="1">
      <c r="A35" s="131">
        <v>26.0</v>
      </c>
      <c r="B35" s="111" t="s">
        <v>102</v>
      </c>
      <c r="C35" s="112" t="s">
        <v>103</v>
      </c>
      <c r="D35" s="91">
        <f t="shared" si="6"/>
        <v>7</v>
      </c>
      <c r="E35" s="113">
        <f t="shared" si="7"/>
        <v>53.84615385</v>
      </c>
      <c r="F35" s="114" t="str">
        <f t="shared" si="8"/>
        <v>  </v>
      </c>
      <c r="G35" s="202" t="str">
        <f t="shared" si="9"/>
        <v>  </v>
      </c>
      <c r="H35" s="192"/>
      <c r="I35" s="116"/>
      <c r="J35" s="116"/>
      <c r="K35" s="116"/>
      <c r="L35" s="116"/>
      <c r="M35" s="118">
        <f t="shared" si="10"/>
        <v>0</v>
      </c>
      <c r="N35" s="119" t="str">
        <f t="shared" si="11"/>
        <v>#DIV/0!</v>
      </c>
      <c r="O35" s="176"/>
      <c r="P35" s="179"/>
      <c r="Q35" s="179"/>
      <c r="R35" s="179"/>
      <c r="S35" s="179"/>
      <c r="T35" s="179"/>
      <c r="U35" s="179"/>
      <c r="V35" s="179"/>
      <c r="W35" s="179"/>
      <c r="X35" s="116"/>
      <c r="Y35" s="179"/>
      <c r="Z35" s="179"/>
      <c r="AA35" s="179"/>
      <c r="AB35" s="179"/>
      <c r="AC35" s="184">
        <v>1.0</v>
      </c>
      <c r="AD35" s="116"/>
      <c r="AE35" s="179"/>
      <c r="AF35" s="176"/>
      <c r="AG35" s="176"/>
      <c r="AH35" s="182">
        <v>1.0</v>
      </c>
      <c r="AI35" s="176"/>
      <c r="AJ35" s="168">
        <f t="shared" si="12"/>
        <v>2</v>
      </c>
      <c r="AK35" s="169">
        <f t="shared" si="13"/>
        <v>33.33333333</v>
      </c>
      <c r="AL35" s="183"/>
      <c r="AM35" s="179"/>
      <c r="AN35" s="179"/>
      <c r="AO35" s="179"/>
      <c r="AP35" s="179"/>
      <c r="AQ35" s="179"/>
      <c r="AR35" s="179"/>
      <c r="AS35" s="179"/>
      <c r="AT35" s="116"/>
      <c r="AU35" s="179"/>
      <c r="AV35" s="179"/>
      <c r="AW35" s="179"/>
      <c r="AX35" s="179"/>
      <c r="AY35" s="138">
        <v>1.0</v>
      </c>
      <c r="AZ35" s="179"/>
      <c r="BA35" s="179"/>
      <c r="BB35" s="179"/>
      <c r="BC35" s="179"/>
      <c r="BD35" s="179"/>
      <c r="BE35" s="219">
        <v>1.0</v>
      </c>
      <c r="BF35" s="179"/>
      <c r="BG35" s="118">
        <f t="shared" si="14"/>
        <v>2</v>
      </c>
      <c r="BH35" s="122">
        <f t="shared" si="15"/>
        <v>50</v>
      </c>
      <c r="BI35" s="176"/>
      <c r="BJ35" s="179"/>
      <c r="BK35" s="179"/>
      <c r="BL35" s="184">
        <v>1.0</v>
      </c>
      <c r="BM35" s="179"/>
      <c r="BN35" s="179"/>
      <c r="BO35" s="179"/>
      <c r="BP35" s="179"/>
      <c r="BQ35" s="179"/>
      <c r="BR35" s="179"/>
      <c r="BS35" s="184">
        <v>1.0</v>
      </c>
      <c r="BT35" s="179"/>
      <c r="BU35" s="179"/>
      <c r="BV35" s="179"/>
      <c r="BW35" s="186"/>
      <c r="BX35" s="186"/>
      <c r="BY35" s="186"/>
      <c r="BZ35" s="186"/>
      <c r="CA35" s="186"/>
      <c r="CB35" s="186"/>
      <c r="CC35" s="186"/>
      <c r="CD35" s="186"/>
      <c r="CE35" s="172">
        <f t="shared" si="16"/>
        <v>2</v>
      </c>
      <c r="CF35" s="173">
        <f t="shared" si="17"/>
        <v>100</v>
      </c>
      <c r="CG35" s="184">
        <v>1.0</v>
      </c>
      <c r="CH35" s="186"/>
      <c r="CI35" s="186"/>
      <c r="CJ35" s="186"/>
      <c r="CK35" s="186"/>
      <c r="CL35" s="186"/>
      <c r="CM35" s="186"/>
      <c r="CN35" s="186"/>
      <c r="CO35" s="186"/>
      <c r="CP35" s="186"/>
      <c r="CQ35" s="186"/>
      <c r="CR35" s="186"/>
      <c r="CS35" s="175">
        <f t="shared" si="18"/>
        <v>1</v>
      </c>
      <c r="CT35" s="158">
        <f t="shared" si="19"/>
        <v>100</v>
      </c>
    </row>
    <row r="36" ht="15.75" customHeight="1">
      <c r="A36" s="146">
        <v>27.0</v>
      </c>
      <c r="B36" s="111" t="s">
        <v>104</v>
      </c>
      <c r="C36" s="112" t="s">
        <v>105</v>
      </c>
      <c r="D36" s="91">
        <f t="shared" si="6"/>
        <v>8</v>
      </c>
      <c r="E36" s="113">
        <f t="shared" si="7"/>
        <v>61.53846154</v>
      </c>
      <c r="F36" s="114" t="str">
        <f t="shared" si="8"/>
        <v>  </v>
      </c>
      <c r="G36" s="164" t="str">
        <f t="shared" si="9"/>
        <v>  </v>
      </c>
      <c r="H36" s="165"/>
      <c r="I36" s="116"/>
      <c r="J36" s="116"/>
      <c r="K36" s="116"/>
      <c r="L36" s="116"/>
      <c r="M36" s="118">
        <f t="shared" si="10"/>
        <v>0</v>
      </c>
      <c r="N36" s="119" t="str">
        <f t="shared" si="11"/>
        <v>#DIV/0!</v>
      </c>
      <c r="O36" s="176"/>
      <c r="P36" s="179"/>
      <c r="Q36" s="179"/>
      <c r="R36" s="179"/>
      <c r="S36" s="179"/>
      <c r="T36" s="179"/>
      <c r="U36" s="179"/>
      <c r="V36" s="179"/>
      <c r="W36" s="179"/>
      <c r="X36" s="138">
        <v>1.0</v>
      </c>
      <c r="Y36" s="184">
        <v>1.0</v>
      </c>
      <c r="Z36" s="179"/>
      <c r="AA36" s="179"/>
      <c r="AB36" s="179"/>
      <c r="AC36" s="184">
        <v>1.0</v>
      </c>
      <c r="AD36" s="138">
        <v>1.0</v>
      </c>
      <c r="AE36" s="179"/>
      <c r="AF36" s="176"/>
      <c r="AG36" s="176"/>
      <c r="AH36" s="138">
        <v>1.0</v>
      </c>
      <c r="AI36" s="182">
        <v>1.0</v>
      </c>
      <c r="AJ36" s="168">
        <f t="shared" si="12"/>
        <v>6</v>
      </c>
      <c r="AK36" s="169">
        <f t="shared" si="13"/>
        <v>100</v>
      </c>
      <c r="AL36" s="183"/>
      <c r="AM36" s="179"/>
      <c r="AN36" s="179"/>
      <c r="AO36" s="184">
        <v>1.0</v>
      </c>
      <c r="AP36" s="179"/>
      <c r="AQ36" s="179"/>
      <c r="AR36" s="179"/>
      <c r="AS36" s="179"/>
      <c r="AT36" s="116"/>
      <c r="AU36" s="179"/>
      <c r="AV36" s="179"/>
      <c r="AW36" s="179"/>
      <c r="AX36" s="179"/>
      <c r="AY36" s="116"/>
      <c r="AZ36" s="179"/>
      <c r="BA36" s="179"/>
      <c r="BB36" s="179"/>
      <c r="BC36" s="179"/>
      <c r="BD36" s="179"/>
      <c r="BE36" s="188">
        <v>1.0</v>
      </c>
      <c r="BF36" s="179"/>
      <c r="BG36" s="118">
        <f t="shared" si="14"/>
        <v>2</v>
      </c>
      <c r="BH36" s="122">
        <f t="shared" si="15"/>
        <v>50</v>
      </c>
      <c r="BI36" s="176"/>
      <c r="BJ36" s="179"/>
      <c r="BK36" s="179"/>
      <c r="BL36" s="179"/>
      <c r="BM36" s="179"/>
      <c r="BN36" s="179"/>
      <c r="BO36" s="179"/>
      <c r="BP36" s="179"/>
      <c r="BQ36" s="179"/>
      <c r="BR36" s="179"/>
      <c r="BS36" s="179"/>
      <c r="BT36" s="179"/>
      <c r="BU36" s="179"/>
      <c r="BV36" s="179"/>
      <c r="BW36" s="186"/>
      <c r="BX36" s="186"/>
      <c r="BY36" s="186"/>
      <c r="BZ36" s="186"/>
      <c r="CA36" s="186"/>
      <c r="CB36" s="186"/>
      <c r="CC36" s="186"/>
      <c r="CD36" s="186"/>
      <c r="CE36" s="172">
        <f t="shared" si="16"/>
        <v>0</v>
      </c>
      <c r="CF36" s="173">
        <f t="shared" si="17"/>
        <v>0</v>
      </c>
      <c r="CG36" s="116"/>
      <c r="CH36" s="186"/>
      <c r="CI36" s="186"/>
      <c r="CJ36" s="186"/>
      <c r="CK36" s="186"/>
      <c r="CL36" s="186"/>
      <c r="CM36" s="186"/>
      <c r="CN36" s="186"/>
      <c r="CO36" s="186"/>
      <c r="CP36" s="186"/>
      <c r="CQ36" s="186"/>
      <c r="CR36" s="186"/>
      <c r="CS36" s="175">
        <f t="shared" si="18"/>
        <v>0</v>
      </c>
      <c r="CT36" s="158">
        <f t="shared" si="19"/>
        <v>0</v>
      </c>
    </row>
    <row r="37" ht="15.75" customHeight="1">
      <c r="A37" s="50">
        <v>28.0</v>
      </c>
      <c r="B37" s="111" t="s">
        <v>106</v>
      </c>
      <c r="C37" s="112" t="s">
        <v>107</v>
      </c>
      <c r="D37" s="91">
        <f t="shared" si="6"/>
        <v>4</v>
      </c>
      <c r="E37" s="113">
        <f t="shared" si="7"/>
        <v>30.76923077</v>
      </c>
      <c r="F37" s="114">
        <f t="shared" si="8"/>
        <v>30.76923077</v>
      </c>
      <c r="G37" s="202" t="str">
        <f t="shared" si="9"/>
        <v>  </v>
      </c>
      <c r="H37" s="165"/>
      <c r="I37" s="150"/>
      <c r="J37" s="150"/>
      <c r="K37" s="150"/>
      <c r="L37" s="150"/>
      <c r="M37" s="118">
        <f t="shared" si="10"/>
        <v>0</v>
      </c>
      <c r="N37" s="119" t="str">
        <f t="shared" si="11"/>
        <v>#DIV/0!</v>
      </c>
      <c r="O37" s="176"/>
      <c r="P37" s="179"/>
      <c r="Q37" s="179"/>
      <c r="R37" s="179"/>
      <c r="S37" s="179"/>
      <c r="T37" s="179"/>
      <c r="U37" s="179"/>
      <c r="V37" s="179"/>
      <c r="W37" s="179"/>
      <c r="X37" s="116"/>
      <c r="Y37" s="179"/>
      <c r="Z37" s="179"/>
      <c r="AA37" s="179"/>
      <c r="AB37" s="179"/>
      <c r="AC37" s="179"/>
      <c r="AD37" s="176"/>
      <c r="AE37" s="179"/>
      <c r="AF37" s="176"/>
      <c r="AG37" s="176"/>
      <c r="AH37" s="176"/>
      <c r="AI37" s="182">
        <v>1.0</v>
      </c>
      <c r="AJ37" s="168">
        <f t="shared" si="12"/>
        <v>1</v>
      </c>
      <c r="AK37" s="169">
        <f t="shared" si="13"/>
        <v>16.66666667</v>
      </c>
      <c r="AL37" s="183"/>
      <c r="AM37" s="179"/>
      <c r="AN37" s="179"/>
      <c r="AO37" s="184">
        <v>1.0</v>
      </c>
      <c r="AP37" s="179"/>
      <c r="AQ37" s="179"/>
      <c r="AR37" s="179"/>
      <c r="AS37" s="179"/>
      <c r="AT37" s="138">
        <v>1.0</v>
      </c>
      <c r="AU37" s="179"/>
      <c r="AV37" s="179"/>
      <c r="AW37" s="179"/>
      <c r="AX37" s="179"/>
      <c r="AY37" s="116"/>
      <c r="AZ37" s="179"/>
      <c r="BA37" s="179"/>
      <c r="BB37" s="179"/>
      <c r="BC37" s="179"/>
      <c r="BD37" s="179"/>
      <c r="BE37" s="181"/>
      <c r="BF37" s="179"/>
      <c r="BG37" s="118">
        <f t="shared" si="14"/>
        <v>2</v>
      </c>
      <c r="BH37" s="122">
        <f t="shared" si="15"/>
        <v>50</v>
      </c>
      <c r="BI37" s="176"/>
      <c r="BJ37" s="179"/>
      <c r="BK37" s="179"/>
      <c r="BL37" s="184">
        <v>1.0</v>
      </c>
      <c r="BM37" s="179"/>
      <c r="BN37" s="179"/>
      <c r="BO37" s="179"/>
      <c r="BP37" s="179"/>
      <c r="BQ37" s="179"/>
      <c r="BR37" s="179"/>
      <c r="BS37" s="179"/>
      <c r="BT37" s="179"/>
      <c r="BU37" s="179"/>
      <c r="BV37" s="179"/>
      <c r="BW37" s="186"/>
      <c r="BX37" s="186"/>
      <c r="BY37" s="186"/>
      <c r="BZ37" s="186"/>
      <c r="CA37" s="186"/>
      <c r="CB37" s="186"/>
      <c r="CC37" s="186"/>
      <c r="CD37" s="186"/>
      <c r="CE37" s="172">
        <f t="shared" si="16"/>
        <v>1</v>
      </c>
      <c r="CF37" s="173">
        <f t="shared" si="17"/>
        <v>50</v>
      </c>
      <c r="CG37" s="179"/>
      <c r="CH37" s="186"/>
      <c r="CI37" s="186"/>
      <c r="CJ37" s="186"/>
      <c r="CK37" s="186"/>
      <c r="CL37" s="186"/>
      <c r="CM37" s="186"/>
      <c r="CN37" s="186"/>
      <c r="CO37" s="186"/>
      <c r="CP37" s="186"/>
      <c r="CQ37" s="186"/>
      <c r="CR37" s="186"/>
      <c r="CS37" s="175">
        <f t="shared" si="18"/>
        <v>0</v>
      </c>
      <c r="CT37" s="158">
        <f t="shared" si="19"/>
        <v>0</v>
      </c>
    </row>
    <row r="38" ht="15.75" customHeight="1">
      <c r="A38" s="131">
        <v>29.0</v>
      </c>
      <c r="B38" s="111" t="s">
        <v>108</v>
      </c>
      <c r="C38" s="112" t="s">
        <v>109</v>
      </c>
      <c r="D38" s="91">
        <f t="shared" si="6"/>
        <v>8</v>
      </c>
      <c r="E38" s="113">
        <f t="shared" si="7"/>
        <v>61.53846154</v>
      </c>
      <c r="F38" s="114" t="str">
        <f t="shared" si="8"/>
        <v>  </v>
      </c>
      <c r="G38" s="164" t="str">
        <f t="shared" si="9"/>
        <v>  </v>
      </c>
      <c r="H38" s="165"/>
      <c r="I38" s="150"/>
      <c r="J38" s="150"/>
      <c r="K38" s="150"/>
      <c r="L38" s="150"/>
      <c r="M38" s="118">
        <f t="shared" si="10"/>
        <v>0</v>
      </c>
      <c r="N38" s="119" t="str">
        <f t="shared" si="11"/>
        <v>#DIV/0!</v>
      </c>
      <c r="O38" s="176"/>
      <c r="P38" s="179"/>
      <c r="Q38" s="179"/>
      <c r="R38" s="179"/>
      <c r="S38" s="179"/>
      <c r="T38" s="179"/>
      <c r="U38" s="179"/>
      <c r="V38" s="179"/>
      <c r="W38" s="179"/>
      <c r="X38" s="116"/>
      <c r="Y38" s="179"/>
      <c r="Z38" s="179"/>
      <c r="AA38" s="179"/>
      <c r="AB38" s="179"/>
      <c r="AC38" s="184">
        <v>1.0</v>
      </c>
      <c r="AD38" s="182">
        <v>1.0</v>
      </c>
      <c r="AE38" s="179"/>
      <c r="AF38" s="176"/>
      <c r="AG38" s="176"/>
      <c r="AH38" s="138">
        <v>1.0</v>
      </c>
      <c r="AI38" s="182">
        <v>1.0</v>
      </c>
      <c r="AJ38" s="168">
        <f t="shared" si="12"/>
        <v>4</v>
      </c>
      <c r="AK38" s="169">
        <f t="shared" si="13"/>
        <v>66.66666667</v>
      </c>
      <c r="AL38" s="183"/>
      <c r="AM38" s="179"/>
      <c r="AN38" s="179"/>
      <c r="AO38" s="179"/>
      <c r="AP38" s="179"/>
      <c r="AQ38" s="179"/>
      <c r="AR38" s="179"/>
      <c r="AS38" s="179"/>
      <c r="AT38" s="138">
        <v>1.0</v>
      </c>
      <c r="AU38" s="179"/>
      <c r="AV38" s="179"/>
      <c r="AW38" s="179"/>
      <c r="AX38" s="179"/>
      <c r="AY38" s="138">
        <v>1.0</v>
      </c>
      <c r="AZ38" s="179"/>
      <c r="BA38" s="179"/>
      <c r="BB38" s="179"/>
      <c r="BC38" s="179"/>
      <c r="BD38" s="179"/>
      <c r="BE38" s="181"/>
      <c r="BF38" s="179"/>
      <c r="BG38" s="118">
        <f t="shared" si="14"/>
        <v>2</v>
      </c>
      <c r="BH38" s="122">
        <f t="shared" si="15"/>
        <v>50</v>
      </c>
      <c r="BI38" s="176"/>
      <c r="BJ38" s="179"/>
      <c r="BK38" s="179"/>
      <c r="BL38" s="179"/>
      <c r="BM38" s="179"/>
      <c r="BN38" s="179"/>
      <c r="BO38" s="179"/>
      <c r="BP38" s="179"/>
      <c r="BQ38" s="179"/>
      <c r="BR38" s="179"/>
      <c r="BS38" s="184">
        <v>1.0</v>
      </c>
      <c r="BT38" s="179"/>
      <c r="BU38" s="179"/>
      <c r="BV38" s="179"/>
      <c r="BW38" s="186"/>
      <c r="BX38" s="186"/>
      <c r="BY38" s="186"/>
      <c r="BZ38" s="186"/>
      <c r="CA38" s="186"/>
      <c r="CB38" s="186"/>
      <c r="CC38" s="186"/>
      <c r="CD38" s="186"/>
      <c r="CE38" s="172">
        <f t="shared" si="16"/>
        <v>1</v>
      </c>
      <c r="CF38" s="173">
        <f t="shared" si="17"/>
        <v>50</v>
      </c>
      <c r="CG38" s="138">
        <v>1.0</v>
      </c>
      <c r="CH38" s="186"/>
      <c r="CI38" s="186"/>
      <c r="CJ38" s="186"/>
      <c r="CK38" s="186"/>
      <c r="CL38" s="186"/>
      <c r="CM38" s="186"/>
      <c r="CN38" s="186"/>
      <c r="CO38" s="186"/>
      <c r="CP38" s="186"/>
      <c r="CQ38" s="186"/>
      <c r="CR38" s="186"/>
      <c r="CS38" s="175">
        <f t="shared" si="18"/>
        <v>1</v>
      </c>
      <c r="CT38" s="158">
        <f t="shared" si="19"/>
        <v>100</v>
      </c>
    </row>
    <row r="39" ht="15.75" customHeight="1">
      <c r="A39" s="146">
        <v>30.0</v>
      </c>
      <c r="B39" s="111" t="s">
        <v>110</v>
      </c>
      <c r="C39" s="112" t="s">
        <v>111</v>
      </c>
      <c r="D39" s="91">
        <f t="shared" si="6"/>
        <v>7</v>
      </c>
      <c r="E39" s="113">
        <f t="shared" si="7"/>
        <v>53.84615385</v>
      </c>
      <c r="F39" s="114" t="str">
        <f t="shared" si="8"/>
        <v>  </v>
      </c>
      <c r="G39" s="164" t="str">
        <f t="shared" si="9"/>
        <v>  </v>
      </c>
      <c r="H39" s="165"/>
      <c r="I39" s="150"/>
      <c r="J39" s="150"/>
      <c r="K39" s="150"/>
      <c r="L39" s="150"/>
      <c r="M39" s="118">
        <f t="shared" si="10"/>
        <v>0</v>
      </c>
      <c r="N39" s="119" t="str">
        <f t="shared" si="11"/>
        <v>#DIV/0!</v>
      </c>
      <c r="O39" s="176"/>
      <c r="P39" s="179"/>
      <c r="Q39" s="179"/>
      <c r="R39" s="179"/>
      <c r="S39" s="179"/>
      <c r="T39" s="179"/>
      <c r="U39" s="179"/>
      <c r="V39" s="179"/>
      <c r="W39" s="179"/>
      <c r="X39" s="116"/>
      <c r="Y39" s="179"/>
      <c r="Z39" s="179"/>
      <c r="AA39" s="179"/>
      <c r="AB39" s="179"/>
      <c r="AC39" s="179"/>
      <c r="AD39" s="116"/>
      <c r="AE39" s="179"/>
      <c r="AF39" s="176"/>
      <c r="AG39" s="176"/>
      <c r="AH39" s="182">
        <v>1.0</v>
      </c>
      <c r="AI39" s="182">
        <v>1.0</v>
      </c>
      <c r="AJ39" s="168">
        <f t="shared" si="12"/>
        <v>2</v>
      </c>
      <c r="AK39" s="169">
        <f t="shared" si="13"/>
        <v>33.33333333</v>
      </c>
      <c r="AL39" s="183"/>
      <c r="AM39" s="179"/>
      <c r="AN39" s="179"/>
      <c r="AO39" s="184">
        <v>1.0</v>
      </c>
      <c r="AP39" s="179"/>
      <c r="AQ39" s="179"/>
      <c r="AR39" s="179"/>
      <c r="AS39" s="179"/>
      <c r="AT39" s="138">
        <v>1.0</v>
      </c>
      <c r="AU39" s="179"/>
      <c r="AV39" s="179"/>
      <c r="AW39" s="179"/>
      <c r="AX39" s="179"/>
      <c r="AY39" s="138">
        <v>1.0</v>
      </c>
      <c r="AZ39" s="179"/>
      <c r="BA39" s="179"/>
      <c r="BB39" s="179"/>
      <c r="BC39" s="179"/>
      <c r="BD39" s="179"/>
      <c r="BE39" s="194"/>
      <c r="BF39" s="179"/>
      <c r="BG39" s="118">
        <f t="shared" si="14"/>
        <v>3</v>
      </c>
      <c r="BH39" s="122">
        <f t="shared" si="15"/>
        <v>75</v>
      </c>
      <c r="BI39" s="176"/>
      <c r="BJ39" s="179"/>
      <c r="BK39" s="179"/>
      <c r="BL39" s="184">
        <v>1.0</v>
      </c>
      <c r="BM39" s="179"/>
      <c r="BN39" s="179"/>
      <c r="BO39" s="179"/>
      <c r="BP39" s="179"/>
      <c r="BQ39" s="179"/>
      <c r="BR39" s="179"/>
      <c r="BS39" s="179"/>
      <c r="BT39" s="179"/>
      <c r="BU39" s="179"/>
      <c r="BV39" s="179"/>
      <c r="BW39" s="186"/>
      <c r="BX39" s="186"/>
      <c r="BY39" s="186"/>
      <c r="BZ39" s="186"/>
      <c r="CA39" s="186"/>
      <c r="CB39" s="186"/>
      <c r="CC39" s="186"/>
      <c r="CD39" s="186"/>
      <c r="CE39" s="172">
        <f t="shared" si="16"/>
        <v>1</v>
      </c>
      <c r="CF39" s="173">
        <f t="shared" si="17"/>
        <v>50</v>
      </c>
      <c r="CG39" s="184">
        <v>1.0</v>
      </c>
      <c r="CH39" s="186"/>
      <c r="CI39" s="186"/>
      <c r="CJ39" s="186"/>
      <c r="CK39" s="186"/>
      <c r="CL39" s="186"/>
      <c r="CM39" s="186"/>
      <c r="CN39" s="186"/>
      <c r="CO39" s="186"/>
      <c r="CP39" s="186"/>
      <c r="CQ39" s="186"/>
      <c r="CR39" s="186"/>
      <c r="CS39" s="175">
        <f t="shared" si="18"/>
        <v>1</v>
      </c>
      <c r="CT39" s="158">
        <f t="shared" si="19"/>
        <v>100</v>
      </c>
    </row>
    <row r="40" ht="15.75" customHeight="1">
      <c r="A40" s="50">
        <v>31.0</v>
      </c>
      <c r="B40" s="111" t="s">
        <v>112</v>
      </c>
      <c r="C40" s="112" t="s">
        <v>113</v>
      </c>
      <c r="D40" s="91">
        <f t="shared" si="6"/>
        <v>8</v>
      </c>
      <c r="E40" s="113">
        <f t="shared" si="7"/>
        <v>61.53846154</v>
      </c>
      <c r="F40" s="114" t="str">
        <f t="shared" si="8"/>
        <v>  </v>
      </c>
      <c r="G40" s="164" t="str">
        <f t="shared" si="9"/>
        <v>  </v>
      </c>
      <c r="H40" s="165"/>
      <c r="I40" s="116"/>
      <c r="J40" s="116"/>
      <c r="K40" s="116"/>
      <c r="L40" s="116"/>
      <c r="M40" s="118">
        <f t="shared" si="10"/>
        <v>0</v>
      </c>
      <c r="N40" s="119" t="str">
        <f t="shared" si="11"/>
        <v>#DIV/0!</v>
      </c>
      <c r="O40" s="206"/>
      <c r="P40" s="207"/>
      <c r="Q40" s="207"/>
      <c r="R40" s="207"/>
      <c r="S40" s="207"/>
      <c r="T40" s="207"/>
      <c r="U40" s="207"/>
      <c r="V40" s="207"/>
      <c r="W40" s="207"/>
      <c r="X40" s="116"/>
      <c r="Y40" s="234">
        <v>1.0</v>
      </c>
      <c r="Z40" s="207"/>
      <c r="AA40" s="207"/>
      <c r="AB40" s="207"/>
      <c r="AC40" s="207"/>
      <c r="AD40" s="116"/>
      <c r="AE40" s="207"/>
      <c r="AF40" s="206"/>
      <c r="AG40" s="206"/>
      <c r="AH40" s="138">
        <v>1.0</v>
      </c>
      <c r="AI40" s="209">
        <v>1.0</v>
      </c>
      <c r="AJ40" s="168">
        <f t="shared" si="12"/>
        <v>3</v>
      </c>
      <c r="AK40" s="169">
        <f t="shared" si="13"/>
        <v>50</v>
      </c>
      <c r="AL40" s="212"/>
      <c r="AM40" s="207"/>
      <c r="AN40" s="207"/>
      <c r="AO40" s="207"/>
      <c r="AP40" s="207"/>
      <c r="AQ40" s="207"/>
      <c r="AR40" s="207"/>
      <c r="AS40" s="207"/>
      <c r="AT40" s="116"/>
      <c r="AU40" s="207"/>
      <c r="AV40" s="207"/>
      <c r="AW40" s="207"/>
      <c r="AX40" s="207"/>
      <c r="AY40" s="138">
        <v>1.0</v>
      </c>
      <c r="AZ40" s="207"/>
      <c r="BA40" s="207"/>
      <c r="BB40" s="207"/>
      <c r="BC40" s="207"/>
      <c r="BD40" s="207"/>
      <c r="BE40" s="188">
        <v>1.0</v>
      </c>
      <c r="BF40" s="207"/>
      <c r="BG40" s="118">
        <f t="shared" si="14"/>
        <v>2</v>
      </c>
      <c r="BH40" s="122">
        <f t="shared" si="15"/>
        <v>50</v>
      </c>
      <c r="BI40" s="206"/>
      <c r="BJ40" s="207"/>
      <c r="BK40" s="207"/>
      <c r="BL40" s="234">
        <v>1.0</v>
      </c>
      <c r="BM40" s="207"/>
      <c r="BN40" s="207"/>
      <c r="BO40" s="207"/>
      <c r="BP40" s="207"/>
      <c r="BQ40" s="207"/>
      <c r="BR40" s="207"/>
      <c r="BS40" s="234">
        <v>1.0</v>
      </c>
      <c r="BT40" s="207"/>
      <c r="BU40" s="207"/>
      <c r="BV40" s="207"/>
      <c r="BW40" s="186"/>
      <c r="BX40" s="186"/>
      <c r="BY40" s="186"/>
      <c r="BZ40" s="186"/>
      <c r="CA40" s="186"/>
      <c r="CB40" s="186"/>
      <c r="CC40" s="186"/>
      <c r="CD40" s="186"/>
      <c r="CE40" s="172">
        <f t="shared" si="16"/>
        <v>2</v>
      </c>
      <c r="CF40" s="173">
        <f t="shared" si="17"/>
        <v>100</v>
      </c>
      <c r="CG40" s="138">
        <v>1.0</v>
      </c>
      <c r="CH40" s="186"/>
      <c r="CI40" s="186"/>
      <c r="CJ40" s="186"/>
      <c r="CK40" s="186"/>
      <c r="CL40" s="186"/>
      <c r="CM40" s="186"/>
      <c r="CN40" s="186"/>
      <c r="CO40" s="186"/>
      <c r="CP40" s="186"/>
      <c r="CQ40" s="186"/>
      <c r="CR40" s="186"/>
      <c r="CS40" s="175">
        <f t="shared" si="18"/>
        <v>1</v>
      </c>
      <c r="CT40" s="158">
        <f t="shared" si="19"/>
        <v>100</v>
      </c>
    </row>
    <row r="41" ht="15.75" customHeight="1">
      <c r="A41" s="131">
        <v>32.0</v>
      </c>
      <c r="B41" s="111" t="s">
        <v>114</v>
      </c>
      <c r="C41" s="112" t="s">
        <v>115</v>
      </c>
      <c r="D41" s="91">
        <f t="shared" si="6"/>
        <v>4</v>
      </c>
      <c r="E41" s="113">
        <f t="shared" si="7"/>
        <v>30.76923077</v>
      </c>
      <c r="F41" s="114">
        <f t="shared" si="8"/>
        <v>30.76923077</v>
      </c>
      <c r="G41" s="164" t="str">
        <f t="shared" si="9"/>
        <v>  </v>
      </c>
      <c r="H41" s="165"/>
      <c r="I41" s="116"/>
      <c r="J41" s="116"/>
      <c r="K41" s="116"/>
      <c r="L41" s="116"/>
      <c r="M41" s="118">
        <f t="shared" si="10"/>
        <v>0</v>
      </c>
      <c r="N41" s="119" t="str">
        <f t="shared" si="11"/>
        <v>#DIV/0!</v>
      </c>
      <c r="O41" s="176"/>
      <c r="P41" s="179"/>
      <c r="Q41" s="179"/>
      <c r="R41" s="179"/>
      <c r="S41" s="179"/>
      <c r="T41" s="179"/>
      <c r="U41" s="179"/>
      <c r="V41" s="179"/>
      <c r="W41" s="179"/>
      <c r="X41" s="116"/>
      <c r="Y41" s="179"/>
      <c r="Z41" s="179"/>
      <c r="AA41" s="179"/>
      <c r="AB41" s="179"/>
      <c r="AC41" s="184">
        <v>1.0</v>
      </c>
      <c r="AD41" s="116"/>
      <c r="AE41" s="179"/>
      <c r="AF41" s="176"/>
      <c r="AG41" s="176"/>
      <c r="AH41" s="138">
        <v>1.0</v>
      </c>
      <c r="AI41" s="176"/>
      <c r="AJ41" s="168">
        <f t="shared" si="12"/>
        <v>2</v>
      </c>
      <c r="AK41" s="169">
        <f t="shared" si="13"/>
        <v>33.33333333</v>
      </c>
      <c r="AL41" s="183"/>
      <c r="AM41" s="179"/>
      <c r="AN41" s="179"/>
      <c r="AO41" s="184">
        <v>1.0</v>
      </c>
      <c r="AP41" s="179"/>
      <c r="AQ41" s="179"/>
      <c r="AR41" s="179"/>
      <c r="AS41" s="179"/>
      <c r="AT41" s="116"/>
      <c r="AU41" s="179"/>
      <c r="AV41" s="179"/>
      <c r="AW41" s="179"/>
      <c r="AX41" s="179"/>
      <c r="AY41" s="116"/>
      <c r="AZ41" s="179"/>
      <c r="BA41" s="179"/>
      <c r="BB41" s="179"/>
      <c r="BC41" s="179"/>
      <c r="BD41" s="179"/>
      <c r="BE41" s="194"/>
      <c r="BF41" s="179"/>
      <c r="BG41" s="118">
        <f t="shared" si="14"/>
        <v>1</v>
      </c>
      <c r="BH41" s="122">
        <f t="shared" si="15"/>
        <v>25</v>
      </c>
      <c r="BI41" s="176"/>
      <c r="BJ41" s="179"/>
      <c r="BK41" s="179"/>
      <c r="BL41" s="179"/>
      <c r="BM41" s="179"/>
      <c r="BN41" s="179"/>
      <c r="BO41" s="179"/>
      <c r="BP41" s="179"/>
      <c r="BQ41" s="179"/>
      <c r="BR41" s="179"/>
      <c r="BS41" s="184">
        <v>1.0</v>
      </c>
      <c r="BT41" s="179"/>
      <c r="BU41" s="179"/>
      <c r="BV41" s="179"/>
      <c r="BW41" s="186"/>
      <c r="BX41" s="186"/>
      <c r="BY41" s="186"/>
      <c r="BZ41" s="186"/>
      <c r="CA41" s="186"/>
      <c r="CB41" s="186"/>
      <c r="CC41" s="186"/>
      <c r="CD41" s="186"/>
      <c r="CE41" s="172">
        <f t="shared" si="16"/>
        <v>1</v>
      </c>
      <c r="CF41" s="173">
        <f t="shared" si="17"/>
        <v>50</v>
      </c>
      <c r="CG41" s="116"/>
      <c r="CH41" s="186"/>
      <c r="CI41" s="186"/>
      <c r="CJ41" s="186"/>
      <c r="CK41" s="186"/>
      <c r="CL41" s="186"/>
      <c r="CM41" s="186"/>
      <c r="CN41" s="186"/>
      <c r="CO41" s="186"/>
      <c r="CP41" s="186"/>
      <c r="CQ41" s="186"/>
      <c r="CR41" s="186"/>
      <c r="CS41" s="175">
        <f t="shared" si="18"/>
        <v>0</v>
      </c>
      <c r="CT41" s="158">
        <f t="shared" si="19"/>
        <v>0</v>
      </c>
    </row>
    <row r="42" ht="15.75" customHeight="1">
      <c r="A42" s="146">
        <v>33.0</v>
      </c>
      <c r="B42" s="111" t="s">
        <v>116</v>
      </c>
      <c r="C42" s="112" t="s">
        <v>117</v>
      </c>
      <c r="D42" s="91">
        <f t="shared" si="6"/>
        <v>1</v>
      </c>
      <c r="E42" s="113">
        <f t="shared" si="7"/>
        <v>7.692307692</v>
      </c>
      <c r="F42" s="114">
        <f t="shared" si="8"/>
        <v>7.692307692</v>
      </c>
      <c r="G42" s="202">
        <f t="shared" si="9"/>
        <v>7.692307692</v>
      </c>
      <c r="H42" s="192"/>
      <c r="I42" s="150"/>
      <c r="J42" s="150"/>
      <c r="K42" s="116"/>
      <c r="L42" s="116"/>
      <c r="M42" s="118">
        <f t="shared" si="10"/>
        <v>0</v>
      </c>
      <c r="N42" s="119" t="str">
        <f t="shared" si="11"/>
        <v>#DIV/0!</v>
      </c>
      <c r="O42" s="176"/>
      <c r="P42" s="179"/>
      <c r="Q42" s="179"/>
      <c r="R42" s="179"/>
      <c r="S42" s="179"/>
      <c r="T42" s="179"/>
      <c r="U42" s="179"/>
      <c r="V42" s="179"/>
      <c r="W42" s="179"/>
      <c r="X42" s="116"/>
      <c r="Y42" s="179"/>
      <c r="Z42" s="179"/>
      <c r="AA42" s="179"/>
      <c r="AB42" s="179"/>
      <c r="AC42" s="179"/>
      <c r="AD42" s="182">
        <v>1.0</v>
      </c>
      <c r="AE42" s="179"/>
      <c r="AF42" s="176"/>
      <c r="AG42" s="176"/>
      <c r="AH42" s="176"/>
      <c r="AI42" s="176"/>
      <c r="AJ42" s="168">
        <f t="shared" si="12"/>
        <v>1</v>
      </c>
      <c r="AK42" s="169">
        <f t="shared" si="13"/>
        <v>16.66666667</v>
      </c>
      <c r="AL42" s="183"/>
      <c r="AM42" s="179"/>
      <c r="AN42" s="179"/>
      <c r="AO42" s="179"/>
      <c r="AP42" s="179"/>
      <c r="AQ42" s="179"/>
      <c r="AR42" s="179"/>
      <c r="AS42" s="179"/>
      <c r="AT42" s="116"/>
      <c r="AU42" s="179"/>
      <c r="AV42" s="179"/>
      <c r="AW42" s="179"/>
      <c r="AX42" s="179"/>
      <c r="AY42" s="116"/>
      <c r="AZ42" s="179"/>
      <c r="BA42" s="179"/>
      <c r="BB42" s="179"/>
      <c r="BC42" s="179"/>
      <c r="BD42" s="179"/>
      <c r="BE42" s="181"/>
      <c r="BF42" s="179"/>
      <c r="BG42" s="118">
        <f t="shared" si="14"/>
        <v>0</v>
      </c>
      <c r="BH42" s="122">
        <f t="shared" si="15"/>
        <v>0</v>
      </c>
      <c r="BI42" s="176"/>
      <c r="BJ42" s="179"/>
      <c r="BK42" s="179"/>
      <c r="BL42" s="179"/>
      <c r="BM42" s="179"/>
      <c r="BN42" s="179"/>
      <c r="BO42" s="179"/>
      <c r="BP42" s="179"/>
      <c r="BQ42" s="179"/>
      <c r="BR42" s="179"/>
      <c r="BS42" s="179"/>
      <c r="BT42" s="179"/>
      <c r="BU42" s="179"/>
      <c r="BV42" s="179"/>
      <c r="BW42" s="186"/>
      <c r="BX42" s="186"/>
      <c r="BY42" s="186"/>
      <c r="BZ42" s="186"/>
      <c r="CA42" s="186"/>
      <c r="CB42" s="186"/>
      <c r="CC42" s="186"/>
      <c r="CD42" s="186"/>
      <c r="CE42" s="172">
        <f t="shared" si="16"/>
        <v>0</v>
      </c>
      <c r="CF42" s="173">
        <f t="shared" si="17"/>
        <v>0</v>
      </c>
      <c r="CG42" s="179"/>
      <c r="CH42" s="186"/>
      <c r="CI42" s="186"/>
      <c r="CJ42" s="186"/>
      <c r="CK42" s="186"/>
      <c r="CL42" s="186"/>
      <c r="CM42" s="186"/>
      <c r="CN42" s="186"/>
      <c r="CO42" s="186"/>
      <c r="CP42" s="186"/>
      <c r="CQ42" s="186"/>
      <c r="CR42" s="186"/>
      <c r="CS42" s="175">
        <f t="shared" si="18"/>
        <v>0</v>
      </c>
      <c r="CT42" s="158">
        <f t="shared" si="19"/>
        <v>0</v>
      </c>
    </row>
    <row r="43" ht="15.75" customHeight="1">
      <c r="A43" s="50">
        <v>34.0</v>
      </c>
      <c r="B43" s="111" t="s">
        <v>118</v>
      </c>
      <c r="C43" s="112" t="s">
        <v>119</v>
      </c>
      <c r="D43" s="91">
        <f t="shared" si="6"/>
        <v>0</v>
      </c>
      <c r="E43" s="113">
        <f t="shared" si="7"/>
        <v>0</v>
      </c>
      <c r="F43" s="114">
        <f t="shared" si="8"/>
        <v>0</v>
      </c>
      <c r="G43" s="202">
        <f t="shared" si="9"/>
        <v>0</v>
      </c>
      <c r="H43" s="165"/>
      <c r="I43" s="116"/>
      <c r="J43" s="116"/>
      <c r="K43" s="150"/>
      <c r="L43" s="150"/>
      <c r="M43" s="118">
        <f t="shared" si="10"/>
        <v>0</v>
      </c>
      <c r="N43" s="119" t="str">
        <f t="shared" si="11"/>
        <v>#DIV/0!</v>
      </c>
      <c r="O43" s="176"/>
      <c r="P43" s="179"/>
      <c r="Q43" s="179"/>
      <c r="R43" s="179"/>
      <c r="S43" s="179"/>
      <c r="T43" s="179"/>
      <c r="U43" s="179"/>
      <c r="V43" s="179"/>
      <c r="W43" s="179"/>
      <c r="X43" s="116"/>
      <c r="Y43" s="179"/>
      <c r="Z43" s="179"/>
      <c r="AA43" s="179"/>
      <c r="AB43" s="179"/>
      <c r="AC43" s="179"/>
      <c r="AD43" s="176"/>
      <c r="AE43" s="179"/>
      <c r="AF43" s="176"/>
      <c r="AG43" s="176"/>
      <c r="AH43" s="176"/>
      <c r="AI43" s="176"/>
      <c r="AJ43" s="168">
        <f t="shared" si="12"/>
        <v>0</v>
      </c>
      <c r="AK43" s="169">
        <f t="shared" si="13"/>
        <v>0</v>
      </c>
      <c r="AL43" s="183"/>
      <c r="AM43" s="179"/>
      <c r="AN43" s="179"/>
      <c r="AO43" s="179"/>
      <c r="AP43" s="179"/>
      <c r="AQ43" s="179"/>
      <c r="AR43" s="179"/>
      <c r="AS43" s="179"/>
      <c r="AT43" s="116"/>
      <c r="AU43" s="179"/>
      <c r="AV43" s="179"/>
      <c r="AW43" s="179"/>
      <c r="AX43" s="179"/>
      <c r="AY43" s="116"/>
      <c r="AZ43" s="179"/>
      <c r="BA43" s="179"/>
      <c r="BB43" s="179"/>
      <c r="BC43" s="179"/>
      <c r="BD43" s="179"/>
      <c r="BE43" s="181"/>
      <c r="BF43" s="179"/>
      <c r="BG43" s="118">
        <f t="shared" si="14"/>
        <v>0</v>
      </c>
      <c r="BH43" s="122">
        <f t="shared" si="15"/>
        <v>0</v>
      </c>
      <c r="BI43" s="176"/>
      <c r="BJ43" s="179"/>
      <c r="BK43" s="179"/>
      <c r="BL43" s="179"/>
      <c r="BM43" s="179"/>
      <c r="BN43" s="179"/>
      <c r="BO43" s="179"/>
      <c r="BP43" s="179"/>
      <c r="BQ43" s="179"/>
      <c r="BR43" s="179"/>
      <c r="BS43" s="179"/>
      <c r="BT43" s="179"/>
      <c r="BU43" s="179"/>
      <c r="BV43" s="179"/>
      <c r="BW43" s="186"/>
      <c r="BX43" s="186"/>
      <c r="BY43" s="186"/>
      <c r="BZ43" s="186"/>
      <c r="CA43" s="186"/>
      <c r="CB43" s="186"/>
      <c r="CC43" s="186"/>
      <c r="CD43" s="186"/>
      <c r="CE43" s="172">
        <f t="shared" si="16"/>
        <v>0</v>
      </c>
      <c r="CF43" s="173">
        <f t="shared" si="17"/>
        <v>0</v>
      </c>
      <c r="CG43" s="179"/>
      <c r="CH43" s="186"/>
      <c r="CI43" s="186"/>
      <c r="CJ43" s="186"/>
      <c r="CK43" s="186"/>
      <c r="CL43" s="186"/>
      <c r="CM43" s="186"/>
      <c r="CN43" s="186"/>
      <c r="CO43" s="186"/>
      <c r="CP43" s="186"/>
      <c r="CQ43" s="186"/>
      <c r="CR43" s="186"/>
      <c r="CS43" s="175">
        <f t="shared" si="18"/>
        <v>0</v>
      </c>
      <c r="CT43" s="158">
        <f t="shared" si="19"/>
        <v>0</v>
      </c>
    </row>
    <row r="44" ht="15.75" customHeight="1">
      <c r="A44" s="131">
        <v>35.0</v>
      </c>
      <c r="B44" s="111" t="s">
        <v>120</v>
      </c>
      <c r="C44" s="112" t="s">
        <v>121</v>
      </c>
      <c r="D44" s="91">
        <f t="shared" si="6"/>
        <v>7</v>
      </c>
      <c r="E44" s="113">
        <f t="shared" si="7"/>
        <v>53.84615385</v>
      </c>
      <c r="F44" s="114" t="str">
        <f t="shared" si="8"/>
        <v>  </v>
      </c>
      <c r="G44" s="164" t="str">
        <f t="shared" si="9"/>
        <v>  </v>
      </c>
      <c r="H44" s="165"/>
      <c r="I44" s="116"/>
      <c r="J44" s="43"/>
      <c r="K44" s="116"/>
      <c r="L44" s="116"/>
      <c r="M44" s="118">
        <f t="shared" si="10"/>
        <v>0</v>
      </c>
      <c r="N44" s="119" t="str">
        <f t="shared" si="11"/>
        <v>#DIV/0!</v>
      </c>
      <c r="O44" s="195"/>
      <c r="P44" s="186"/>
      <c r="Q44" s="186"/>
      <c r="R44" s="186"/>
      <c r="S44" s="186"/>
      <c r="T44" s="186"/>
      <c r="U44" s="186"/>
      <c r="V44" s="186"/>
      <c r="W44" s="186"/>
      <c r="X44" s="116"/>
      <c r="Y44" s="200">
        <v>1.0</v>
      </c>
      <c r="Z44" s="186"/>
      <c r="AA44" s="186"/>
      <c r="AB44" s="186"/>
      <c r="AC44" s="200">
        <v>1.0</v>
      </c>
      <c r="AD44" s="195"/>
      <c r="AE44" s="186"/>
      <c r="AF44" s="195"/>
      <c r="AG44" s="195"/>
      <c r="AH44" s="197">
        <v>1.0</v>
      </c>
      <c r="AI44" s="197">
        <v>1.0</v>
      </c>
      <c r="AJ44" s="168">
        <f t="shared" si="12"/>
        <v>4</v>
      </c>
      <c r="AK44" s="169">
        <f t="shared" si="13"/>
        <v>66.66666667</v>
      </c>
      <c r="AL44" s="199"/>
      <c r="AM44" s="186"/>
      <c r="AN44" s="186"/>
      <c r="AO44" s="200">
        <v>1.0</v>
      </c>
      <c r="AP44" s="186"/>
      <c r="AQ44" s="186"/>
      <c r="AR44" s="186"/>
      <c r="AS44" s="186"/>
      <c r="AT44" s="116"/>
      <c r="AU44" s="186"/>
      <c r="AV44" s="186"/>
      <c r="AW44" s="186"/>
      <c r="AX44" s="186"/>
      <c r="AY44" s="116"/>
      <c r="AZ44" s="186"/>
      <c r="BA44" s="186"/>
      <c r="BB44" s="186"/>
      <c r="BC44" s="186"/>
      <c r="BD44" s="186"/>
      <c r="BE44" s="219">
        <v>1.0</v>
      </c>
      <c r="BF44" s="186"/>
      <c r="BG44" s="118">
        <f t="shared" si="14"/>
        <v>2</v>
      </c>
      <c r="BH44" s="122">
        <f t="shared" si="15"/>
        <v>50</v>
      </c>
      <c r="BI44" s="195"/>
      <c r="BJ44" s="186"/>
      <c r="BK44" s="186"/>
      <c r="BL44" s="200">
        <v>1.0</v>
      </c>
      <c r="BM44" s="186"/>
      <c r="BN44" s="186"/>
      <c r="BO44" s="186"/>
      <c r="BP44" s="186"/>
      <c r="BQ44" s="186"/>
      <c r="BR44" s="186"/>
      <c r="BS44" s="186"/>
      <c r="BT44" s="186"/>
      <c r="BU44" s="186"/>
      <c r="BV44" s="186"/>
      <c r="BW44" s="186"/>
      <c r="BX44" s="186"/>
      <c r="BY44" s="186"/>
      <c r="BZ44" s="186"/>
      <c r="CA44" s="186"/>
      <c r="CB44" s="186"/>
      <c r="CC44" s="186"/>
      <c r="CD44" s="186"/>
      <c r="CE44" s="172">
        <f t="shared" si="16"/>
        <v>1</v>
      </c>
      <c r="CF44" s="173">
        <f t="shared" si="17"/>
        <v>50</v>
      </c>
      <c r="CG44" s="186"/>
      <c r="CH44" s="186"/>
      <c r="CI44" s="186"/>
      <c r="CJ44" s="186"/>
      <c r="CK44" s="186"/>
      <c r="CL44" s="186"/>
      <c r="CM44" s="186"/>
      <c r="CN44" s="186"/>
      <c r="CO44" s="186"/>
      <c r="CP44" s="186"/>
      <c r="CQ44" s="186"/>
      <c r="CR44" s="186"/>
      <c r="CS44" s="175">
        <f t="shared" si="18"/>
        <v>0</v>
      </c>
      <c r="CT44" s="158">
        <f t="shared" si="19"/>
        <v>0</v>
      </c>
    </row>
    <row r="45" ht="15.75" customHeight="1">
      <c r="A45" s="146">
        <v>36.0</v>
      </c>
      <c r="B45" s="111" t="s">
        <v>122</v>
      </c>
      <c r="C45" s="112" t="s">
        <v>123</v>
      </c>
      <c r="D45" s="91">
        <f t="shared" si="6"/>
        <v>7</v>
      </c>
      <c r="E45" s="113">
        <f t="shared" si="7"/>
        <v>53.84615385</v>
      </c>
      <c r="F45" s="114" t="str">
        <f t="shared" si="8"/>
        <v>  </v>
      </c>
      <c r="G45" s="164" t="str">
        <f t="shared" si="9"/>
        <v>  </v>
      </c>
      <c r="H45" s="165"/>
      <c r="I45" s="116"/>
      <c r="J45" s="116"/>
      <c r="K45" s="116"/>
      <c r="L45" s="116"/>
      <c r="M45" s="118">
        <f t="shared" si="10"/>
        <v>0</v>
      </c>
      <c r="N45" s="119" t="str">
        <f t="shared" si="11"/>
        <v>#DIV/0!</v>
      </c>
      <c r="O45" s="195"/>
      <c r="P45" s="186"/>
      <c r="Q45" s="186"/>
      <c r="R45" s="186"/>
      <c r="S45" s="186"/>
      <c r="T45" s="186"/>
      <c r="U45" s="186"/>
      <c r="V45" s="186"/>
      <c r="W45" s="186"/>
      <c r="X45" s="138">
        <v>1.0</v>
      </c>
      <c r="Y45" s="200">
        <v>1.0</v>
      </c>
      <c r="Z45" s="186"/>
      <c r="AA45" s="186"/>
      <c r="AB45" s="186"/>
      <c r="AC45" s="186"/>
      <c r="AD45" s="116"/>
      <c r="AE45" s="186"/>
      <c r="AF45" s="195"/>
      <c r="AG45" s="195"/>
      <c r="AH45" s="116"/>
      <c r="AI45" s="195"/>
      <c r="AJ45" s="168">
        <f t="shared" si="12"/>
        <v>2</v>
      </c>
      <c r="AK45" s="169">
        <f t="shared" si="13"/>
        <v>33.33333333</v>
      </c>
      <c r="AL45" s="199"/>
      <c r="AM45" s="186"/>
      <c r="AN45" s="186"/>
      <c r="AO45" s="200">
        <v>1.0</v>
      </c>
      <c r="AP45" s="186"/>
      <c r="AQ45" s="186"/>
      <c r="AR45" s="186"/>
      <c r="AS45" s="186"/>
      <c r="AT45" s="138">
        <v>1.0</v>
      </c>
      <c r="AU45" s="186"/>
      <c r="AV45" s="186"/>
      <c r="AW45" s="186"/>
      <c r="AX45" s="186"/>
      <c r="AY45" s="138">
        <v>1.0</v>
      </c>
      <c r="AZ45" s="186"/>
      <c r="BA45" s="186"/>
      <c r="BB45" s="186"/>
      <c r="BC45" s="186"/>
      <c r="BD45" s="186"/>
      <c r="BE45" s="194"/>
      <c r="BF45" s="186"/>
      <c r="BG45" s="118">
        <f t="shared" si="14"/>
        <v>3</v>
      </c>
      <c r="BH45" s="122">
        <f t="shared" si="15"/>
        <v>75</v>
      </c>
      <c r="BI45" s="195"/>
      <c r="BJ45" s="186"/>
      <c r="BK45" s="186"/>
      <c r="BL45" s="200">
        <v>1.0</v>
      </c>
      <c r="BM45" s="186"/>
      <c r="BN45" s="186"/>
      <c r="BO45" s="186"/>
      <c r="BP45" s="186"/>
      <c r="BQ45" s="186"/>
      <c r="BR45" s="186"/>
      <c r="BS45" s="200">
        <v>1.0</v>
      </c>
      <c r="BT45" s="186"/>
      <c r="BU45" s="186"/>
      <c r="BV45" s="186"/>
      <c r="BW45" s="186"/>
      <c r="BX45" s="186"/>
      <c r="BY45" s="186"/>
      <c r="BZ45" s="186"/>
      <c r="CA45" s="186"/>
      <c r="CB45" s="186"/>
      <c r="CC45" s="186"/>
      <c r="CD45" s="186"/>
      <c r="CE45" s="172">
        <f t="shared" si="16"/>
        <v>2</v>
      </c>
      <c r="CF45" s="173">
        <f t="shared" si="17"/>
        <v>100</v>
      </c>
      <c r="CG45" s="116"/>
      <c r="CH45" s="186"/>
      <c r="CI45" s="186"/>
      <c r="CJ45" s="186"/>
      <c r="CK45" s="186"/>
      <c r="CL45" s="186"/>
      <c r="CM45" s="186"/>
      <c r="CN45" s="186"/>
      <c r="CO45" s="186"/>
      <c r="CP45" s="186"/>
      <c r="CQ45" s="186"/>
      <c r="CR45" s="186"/>
      <c r="CS45" s="175">
        <f t="shared" si="18"/>
        <v>0</v>
      </c>
      <c r="CT45" s="158">
        <f t="shared" si="19"/>
        <v>0</v>
      </c>
    </row>
    <row r="46" ht="15.75" customHeight="1">
      <c r="A46" s="50">
        <v>37.0</v>
      </c>
      <c r="B46" s="111" t="s">
        <v>124</v>
      </c>
      <c r="C46" s="112" t="s">
        <v>125</v>
      </c>
      <c r="D46" s="91">
        <f t="shared" si="6"/>
        <v>4</v>
      </c>
      <c r="E46" s="113">
        <f t="shared" si="7"/>
        <v>30.76923077</v>
      </c>
      <c r="F46" s="114">
        <f t="shared" si="8"/>
        <v>30.76923077</v>
      </c>
      <c r="G46" s="202" t="str">
        <f t="shared" si="9"/>
        <v>  </v>
      </c>
      <c r="H46" s="165"/>
      <c r="I46" s="116"/>
      <c r="J46" s="43"/>
      <c r="K46" s="116"/>
      <c r="L46" s="116"/>
      <c r="M46" s="118">
        <f t="shared" si="10"/>
        <v>0</v>
      </c>
      <c r="N46" s="119" t="str">
        <f t="shared" si="11"/>
        <v>#DIV/0!</v>
      </c>
      <c r="O46" s="176"/>
      <c r="P46" s="179"/>
      <c r="Q46" s="179"/>
      <c r="R46" s="179"/>
      <c r="S46" s="179"/>
      <c r="T46" s="179"/>
      <c r="U46" s="179"/>
      <c r="V46" s="179"/>
      <c r="W46" s="179"/>
      <c r="X46" s="116"/>
      <c r="Y46" s="179"/>
      <c r="Z46" s="179"/>
      <c r="AA46" s="179"/>
      <c r="AB46" s="179"/>
      <c r="AC46" s="179"/>
      <c r="AD46" s="176"/>
      <c r="AE46" s="179"/>
      <c r="AF46" s="176"/>
      <c r="AG46" s="176"/>
      <c r="AH46" s="138">
        <v>1.0</v>
      </c>
      <c r="AI46" s="182">
        <v>1.0</v>
      </c>
      <c r="AJ46" s="168">
        <f t="shared" si="12"/>
        <v>2</v>
      </c>
      <c r="AK46" s="169">
        <f t="shared" si="13"/>
        <v>33.33333333</v>
      </c>
      <c r="AL46" s="183"/>
      <c r="AM46" s="179"/>
      <c r="AN46" s="179"/>
      <c r="AO46" s="179"/>
      <c r="AP46" s="179"/>
      <c r="AQ46" s="179"/>
      <c r="AR46" s="179"/>
      <c r="AS46" s="179"/>
      <c r="AT46" s="116"/>
      <c r="AU46" s="179"/>
      <c r="AV46" s="179"/>
      <c r="AW46" s="179"/>
      <c r="AX46" s="179"/>
      <c r="AY46" s="116"/>
      <c r="AZ46" s="179"/>
      <c r="BA46" s="179"/>
      <c r="BB46" s="179"/>
      <c r="BC46" s="179"/>
      <c r="BD46" s="179"/>
      <c r="BE46" s="194"/>
      <c r="BF46" s="179"/>
      <c r="BG46" s="118">
        <f t="shared" si="14"/>
        <v>0</v>
      </c>
      <c r="BH46" s="122">
        <f t="shared" si="15"/>
        <v>0</v>
      </c>
      <c r="BI46" s="176"/>
      <c r="BJ46" s="179"/>
      <c r="BK46" s="179"/>
      <c r="BL46" s="184">
        <v>1.0</v>
      </c>
      <c r="BM46" s="179"/>
      <c r="BN46" s="179"/>
      <c r="BO46" s="179"/>
      <c r="BP46" s="179"/>
      <c r="BQ46" s="179"/>
      <c r="BR46" s="179"/>
      <c r="BS46" s="184">
        <v>1.0</v>
      </c>
      <c r="BT46" s="179"/>
      <c r="BU46" s="179"/>
      <c r="BV46" s="179"/>
      <c r="BW46" s="186"/>
      <c r="BX46" s="186"/>
      <c r="BY46" s="186"/>
      <c r="BZ46" s="186"/>
      <c r="CA46" s="186"/>
      <c r="CB46" s="186"/>
      <c r="CC46" s="186"/>
      <c r="CD46" s="186"/>
      <c r="CE46" s="172">
        <f t="shared" si="16"/>
        <v>2</v>
      </c>
      <c r="CF46" s="173">
        <f t="shared" si="17"/>
        <v>100</v>
      </c>
      <c r="CG46" s="116"/>
      <c r="CH46" s="186"/>
      <c r="CI46" s="186"/>
      <c r="CJ46" s="186"/>
      <c r="CK46" s="186"/>
      <c r="CL46" s="186"/>
      <c r="CM46" s="186"/>
      <c r="CN46" s="186"/>
      <c r="CO46" s="186"/>
      <c r="CP46" s="186"/>
      <c r="CQ46" s="186"/>
      <c r="CR46" s="186"/>
      <c r="CS46" s="175">
        <f t="shared" si="18"/>
        <v>0</v>
      </c>
      <c r="CT46" s="158">
        <f t="shared" si="19"/>
        <v>0</v>
      </c>
    </row>
    <row r="47" ht="15.75" customHeight="1">
      <c r="A47" s="131">
        <v>38.0</v>
      </c>
      <c r="B47" s="111" t="s">
        <v>126</v>
      </c>
      <c r="C47" s="112" t="s">
        <v>127</v>
      </c>
      <c r="D47" s="91">
        <f t="shared" si="6"/>
        <v>6</v>
      </c>
      <c r="E47" s="113">
        <f t="shared" si="7"/>
        <v>46.15384615</v>
      </c>
      <c r="F47" s="114">
        <f t="shared" si="8"/>
        <v>46.15384615</v>
      </c>
      <c r="G47" s="164" t="str">
        <f t="shared" si="9"/>
        <v>  </v>
      </c>
      <c r="H47" s="165"/>
      <c r="I47" s="116"/>
      <c r="J47" s="43"/>
      <c r="K47" s="116"/>
      <c r="L47" s="116"/>
      <c r="M47" s="118">
        <f t="shared" si="10"/>
        <v>0</v>
      </c>
      <c r="N47" s="119" t="str">
        <f t="shared" si="11"/>
        <v>#DIV/0!</v>
      </c>
      <c r="O47" s="176"/>
      <c r="P47" s="179"/>
      <c r="Q47" s="179"/>
      <c r="R47" s="179"/>
      <c r="S47" s="179"/>
      <c r="T47" s="179"/>
      <c r="U47" s="179"/>
      <c r="V47" s="179"/>
      <c r="W47" s="179"/>
      <c r="X47" s="116"/>
      <c r="Y47" s="184">
        <v>1.0</v>
      </c>
      <c r="Z47" s="179"/>
      <c r="AA47" s="179"/>
      <c r="AB47" s="179"/>
      <c r="AC47" s="184">
        <v>1.0</v>
      </c>
      <c r="AD47" s="176"/>
      <c r="AE47" s="179"/>
      <c r="AF47" s="176"/>
      <c r="AG47" s="176"/>
      <c r="AH47" s="182">
        <v>1.0</v>
      </c>
      <c r="AI47" s="176"/>
      <c r="AJ47" s="168">
        <f t="shared" si="12"/>
        <v>3</v>
      </c>
      <c r="AK47" s="169">
        <f t="shared" si="13"/>
        <v>50</v>
      </c>
      <c r="AL47" s="183"/>
      <c r="AM47" s="179"/>
      <c r="AN47" s="179"/>
      <c r="AO47" s="184">
        <v>1.0</v>
      </c>
      <c r="AP47" s="179"/>
      <c r="AQ47" s="179"/>
      <c r="AR47" s="179"/>
      <c r="AS47" s="179"/>
      <c r="AT47" s="116"/>
      <c r="AU47" s="179"/>
      <c r="AV47" s="179"/>
      <c r="AW47" s="179"/>
      <c r="AX47" s="179"/>
      <c r="AY47" s="138">
        <v>1.0</v>
      </c>
      <c r="AZ47" s="179"/>
      <c r="BA47" s="179"/>
      <c r="BB47" s="179"/>
      <c r="BC47" s="179"/>
      <c r="BD47" s="179"/>
      <c r="BE47" s="181"/>
      <c r="BF47" s="179"/>
      <c r="BG47" s="118">
        <f t="shared" si="14"/>
        <v>2</v>
      </c>
      <c r="BH47" s="122">
        <f t="shared" si="15"/>
        <v>50</v>
      </c>
      <c r="BI47" s="176"/>
      <c r="BJ47" s="179"/>
      <c r="BK47" s="179"/>
      <c r="BL47" s="179"/>
      <c r="BM47" s="179"/>
      <c r="BN47" s="179"/>
      <c r="BO47" s="179"/>
      <c r="BP47" s="179"/>
      <c r="BQ47" s="179"/>
      <c r="BR47" s="179"/>
      <c r="BS47" s="179"/>
      <c r="BT47" s="179"/>
      <c r="BU47" s="179"/>
      <c r="BV47" s="179"/>
      <c r="BW47" s="186"/>
      <c r="BX47" s="186"/>
      <c r="BY47" s="186"/>
      <c r="BZ47" s="186"/>
      <c r="CA47" s="186"/>
      <c r="CB47" s="186"/>
      <c r="CC47" s="186"/>
      <c r="CD47" s="186"/>
      <c r="CE47" s="172">
        <f t="shared" si="16"/>
        <v>0</v>
      </c>
      <c r="CF47" s="173">
        <f t="shared" si="17"/>
        <v>0</v>
      </c>
      <c r="CG47" s="184">
        <v>1.0</v>
      </c>
      <c r="CH47" s="186"/>
      <c r="CI47" s="186"/>
      <c r="CJ47" s="186"/>
      <c r="CK47" s="186"/>
      <c r="CL47" s="186"/>
      <c r="CM47" s="186"/>
      <c r="CN47" s="186"/>
      <c r="CO47" s="186"/>
      <c r="CP47" s="186"/>
      <c r="CQ47" s="186"/>
      <c r="CR47" s="186"/>
      <c r="CS47" s="175">
        <f t="shared" si="18"/>
        <v>1</v>
      </c>
      <c r="CT47" s="158">
        <f t="shared" si="19"/>
        <v>100</v>
      </c>
    </row>
    <row r="48" ht="15.75" customHeight="1">
      <c r="A48" s="146">
        <v>39.0</v>
      </c>
      <c r="B48" s="111" t="s">
        <v>128</v>
      </c>
      <c r="C48" s="112" t="s">
        <v>129</v>
      </c>
      <c r="D48" s="91">
        <f t="shared" si="6"/>
        <v>10</v>
      </c>
      <c r="E48" s="113">
        <f t="shared" si="7"/>
        <v>76.92307692</v>
      </c>
      <c r="F48" s="114" t="str">
        <f t="shared" si="8"/>
        <v>  </v>
      </c>
      <c r="G48" s="164" t="str">
        <f t="shared" si="9"/>
        <v>  </v>
      </c>
      <c r="H48" s="165"/>
      <c r="I48" s="116"/>
      <c r="J48" s="43"/>
      <c r="K48" s="116"/>
      <c r="L48" s="116"/>
      <c r="M48" s="118">
        <f t="shared" si="10"/>
        <v>0</v>
      </c>
      <c r="N48" s="119" t="str">
        <f t="shared" si="11"/>
        <v>#DIV/0!</v>
      </c>
      <c r="O48" s="176"/>
      <c r="P48" s="179"/>
      <c r="Q48" s="179"/>
      <c r="R48" s="179"/>
      <c r="S48" s="179"/>
      <c r="T48" s="179"/>
      <c r="U48" s="179"/>
      <c r="V48" s="179"/>
      <c r="W48" s="179"/>
      <c r="X48" s="138">
        <v>1.0</v>
      </c>
      <c r="Y48" s="184">
        <v>1.0</v>
      </c>
      <c r="Z48" s="179"/>
      <c r="AA48" s="179"/>
      <c r="AB48" s="179"/>
      <c r="AC48" s="184">
        <v>1.0</v>
      </c>
      <c r="AD48" s="138">
        <v>1.0</v>
      </c>
      <c r="AE48" s="179"/>
      <c r="AF48" s="176"/>
      <c r="AG48" s="176"/>
      <c r="AH48" s="138">
        <v>1.0</v>
      </c>
      <c r="AI48" s="182">
        <v>1.0</v>
      </c>
      <c r="AJ48" s="168">
        <f t="shared" si="12"/>
        <v>6</v>
      </c>
      <c r="AK48" s="169">
        <f t="shared" si="13"/>
        <v>100</v>
      </c>
      <c r="AL48" s="183"/>
      <c r="AM48" s="179"/>
      <c r="AN48" s="179"/>
      <c r="AO48" s="184">
        <v>1.0</v>
      </c>
      <c r="AP48" s="179"/>
      <c r="AQ48" s="179"/>
      <c r="AR48" s="179"/>
      <c r="AS48" s="179"/>
      <c r="AT48" s="138">
        <v>1.0</v>
      </c>
      <c r="AU48" s="179"/>
      <c r="AV48" s="179"/>
      <c r="AW48" s="179"/>
      <c r="AX48" s="179"/>
      <c r="AY48" s="138">
        <v>1.0</v>
      </c>
      <c r="AZ48" s="179"/>
      <c r="BA48" s="179"/>
      <c r="BB48" s="179"/>
      <c r="BC48" s="179"/>
      <c r="BD48" s="179"/>
      <c r="BE48" s="194"/>
      <c r="BF48" s="179"/>
      <c r="BG48" s="118">
        <f t="shared" si="14"/>
        <v>3</v>
      </c>
      <c r="BH48" s="122">
        <f t="shared" si="15"/>
        <v>75</v>
      </c>
      <c r="BI48" s="176"/>
      <c r="BJ48" s="179"/>
      <c r="BK48" s="179"/>
      <c r="BL48" s="179"/>
      <c r="BM48" s="179"/>
      <c r="BN48" s="179"/>
      <c r="BO48" s="179"/>
      <c r="BP48" s="179"/>
      <c r="BQ48" s="179"/>
      <c r="BR48" s="179"/>
      <c r="BS48" s="184">
        <v>1.0</v>
      </c>
      <c r="BT48" s="179"/>
      <c r="BU48" s="179"/>
      <c r="BV48" s="179"/>
      <c r="BW48" s="186"/>
      <c r="BX48" s="186"/>
      <c r="BY48" s="186"/>
      <c r="BZ48" s="186"/>
      <c r="CA48" s="186"/>
      <c r="CB48" s="186"/>
      <c r="CC48" s="186"/>
      <c r="CD48" s="186"/>
      <c r="CE48" s="172">
        <f t="shared" si="16"/>
        <v>1</v>
      </c>
      <c r="CF48" s="173">
        <f t="shared" si="17"/>
        <v>50</v>
      </c>
      <c r="CG48" s="138">
        <v>1.0</v>
      </c>
      <c r="CH48" s="186"/>
      <c r="CI48" s="186"/>
      <c r="CJ48" s="186"/>
      <c r="CK48" s="186"/>
      <c r="CL48" s="186"/>
      <c r="CM48" s="186"/>
      <c r="CN48" s="186"/>
      <c r="CO48" s="186"/>
      <c r="CP48" s="186"/>
      <c r="CQ48" s="186"/>
      <c r="CR48" s="186"/>
      <c r="CS48" s="175"/>
      <c r="CT48" s="158"/>
    </row>
    <row r="49" ht="15.75" customHeight="1">
      <c r="A49" s="50">
        <v>40.0</v>
      </c>
      <c r="B49" s="111" t="s">
        <v>130</v>
      </c>
      <c r="C49" s="112" t="s">
        <v>131</v>
      </c>
      <c r="D49" s="91">
        <f t="shared" si="6"/>
        <v>0</v>
      </c>
      <c r="E49" s="113">
        <f t="shared" si="7"/>
        <v>0</v>
      </c>
      <c r="F49" s="114">
        <f t="shared" si="8"/>
        <v>0</v>
      </c>
      <c r="G49" s="202">
        <f t="shared" si="9"/>
        <v>0</v>
      </c>
      <c r="H49" s="165"/>
      <c r="I49" s="116"/>
      <c r="J49" s="43"/>
      <c r="K49" s="116"/>
      <c r="L49" s="116"/>
      <c r="M49" s="118">
        <f t="shared" si="10"/>
        <v>0</v>
      </c>
      <c r="N49" s="119" t="str">
        <f t="shared" si="11"/>
        <v>#DIV/0!</v>
      </c>
      <c r="O49" s="176"/>
      <c r="P49" s="179"/>
      <c r="Q49" s="179"/>
      <c r="R49" s="179"/>
      <c r="S49" s="179"/>
      <c r="T49" s="179"/>
      <c r="U49" s="179"/>
      <c r="V49" s="179"/>
      <c r="W49" s="179"/>
      <c r="X49" s="116"/>
      <c r="Y49" s="179"/>
      <c r="Z49" s="179"/>
      <c r="AA49" s="179"/>
      <c r="AB49" s="179"/>
      <c r="AC49" s="179"/>
      <c r="AD49" s="176"/>
      <c r="AE49" s="179"/>
      <c r="AF49" s="176"/>
      <c r="AG49" s="176"/>
      <c r="AH49" s="176"/>
      <c r="AI49" s="176"/>
      <c r="AJ49" s="168">
        <f t="shared" si="12"/>
        <v>0</v>
      </c>
      <c r="AK49" s="169">
        <f t="shared" si="13"/>
        <v>0</v>
      </c>
      <c r="AL49" s="183"/>
      <c r="AM49" s="179"/>
      <c r="AN49" s="179"/>
      <c r="AO49" s="179"/>
      <c r="AP49" s="179"/>
      <c r="AQ49" s="179"/>
      <c r="AR49" s="179"/>
      <c r="AS49" s="179"/>
      <c r="AT49" s="116"/>
      <c r="AU49" s="179"/>
      <c r="AV49" s="179"/>
      <c r="AW49" s="179"/>
      <c r="AX49" s="179"/>
      <c r="AY49" s="116"/>
      <c r="AZ49" s="179"/>
      <c r="BA49" s="179"/>
      <c r="BB49" s="179"/>
      <c r="BC49" s="179"/>
      <c r="BD49" s="179"/>
      <c r="BE49" s="181"/>
      <c r="BF49" s="179"/>
      <c r="BG49" s="118">
        <f t="shared" si="14"/>
        <v>0</v>
      </c>
      <c r="BH49" s="122">
        <f t="shared" si="15"/>
        <v>0</v>
      </c>
      <c r="BI49" s="176"/>
      <c r="BJ49" s="179"/>
      <c r="BK49" s="179"/>
      <c r="BL49" s="179"/>
      <c r="BM49" s="179"/>
      <c r="BN49" s="179"/>
      <c r="BO49" s="179"/>
      <c r="BP49" s="179"/>
      <c r="BQ49" s="179"/>
      <c r="BR49" s="179"/>
      <c r="BS49" s="179"/>
      <c r="BT49" s="179"/>
      <c r="BU49" s="179"/>
      <c r="BV49" s="179"/>
      <c r="BW49" s="186"/>
      <c r="BX49" s="186"/>
      <c r="BY49" s="186"/>
      <c r="BZ49" s="186"/>
      <c r="CA49" s="186"/>
      <c r="CB49" s="186"/>
      <c r="CC49" s="186"/>
      <c r="CD49" s="186"/>
      <c r="CE49" s="172">
        <f t="shared" si="16"/>
        <v>0</v>
      </c>
      <c r="CF49" s="173">
        <f t="shared" si="17"/>
        <v>0</v>
      </c>
      <c r="CG49" s="179"/>
      <c r="CH49" s="186"/>
      <c r="CI49" s="186"/>
      <c r="CJ49" s="186"/>
      <c r="CK49" s="186"/>
      <c r="CL49" s="186"/>
      <c r="CM49" s="186"/>
      <c r="CN49" s="186"/>
      <c r="CO49" s="186"/>
      <c r="CP49" s="186"/>
      <c r="CQ49" s="186"/>
      <c r="CR49" s="186"/>
      <c r="CS49" s="175"/>
      <c r="CT49" s="158"/>
    </row>
    <row r="50" ht="15.75" customHeight="1">
      <c r="A50" s="131">
        <v>41.0</v>
      </c>
      <c r="B50" s="111" t="s">
        <v>132</v>
      </c>
      <c r="C50" s="112" t="s">
        <v>133</v>
      </c>
      <c r="D50" s="91">
        <f t="shared" si="6"/>
        <v>7</v>
      </c>
      <c r="E50" s="113">
        <f t="shared" si="7"/>
        <v>53.84615385</v>
      </c>
      <c r="F50" s="114" t="str">
        <f t="shared" si="8"/>
        <v>  </v>
      </c>
      <c r="G50" s="164" t="str">
        <f t="shared" si="9"/>
        <v>  </v>
      </c>
      <c r="H50" s="165"/>
      <c r="I50" s="116"/>
      <c r="J50" s="43"/>
      <c r="K50" s="116"/>
      <c r="L50" s="116"/>
      <c r="M50" s="118">
        <f t="shared" si="10"/>
        <v>0</v>
      </c>
      <c r="N50" s="119" t="str">
        <f t="shared" si="11"/>
        <v>#DIV/0!</v>
      </c>
      <c r="O50" s="176"/>
      <c r="P50" s="179"/>
      <c r="Q50" s="179"/>
      <c r="R50" s="179"/>
      <c r="S50" s="179"/>
      <c r="T50" s="179"/>
      <c r="U50" s="179"/>
      <c r="V50" s="179"/>
      <c r="W50" s="179"/>
      <c r="X50" s="138">
        <v>1.0</v>
      </c>
      <c r="Y50" s="200">
        <v>1.0</v>
      </c>
      <c r="Z50" s="179"/>
      <c r="AA50" s="179"/>
      <c r="AB50" s="179"/>
      <c r="AC50" s="179"/>
      <c r="AD50" s="116"/>
      <c r="AE50" s="179"/>
      <c r="AF50" s="176"/>
      <c r="AG50" s="176"/>
      <c r="AH50" s="195"/>
      <c r="AI50" s="182">
        <v>1.0</v>
      </c>
      <c r="AJ50" s="168">
        <f t="shared" si="12"/>
        <v>3</v>
      </c>
      <c r="AK50" s="169">
        <f t="shared" si="13"/>
        <v>50</v>
      </c>
      <c r="AL50" s="183"/>
      <c r="AM50" s="179"/>
      <c r="AN50" s="179"/>
      <c r="AO50" s="184">
        <v>1.0</v>
      </c>
      <c r="AP50" s="179"/>
      <c r="AQ50" s="179"/>
      <c r="AR50" s="179"/>
      <c r="AS50" s="179"/>
      <c r="AT50" s="116"/>
      <c r="AU50" s="179"/>
      <c r="AV50" s="179"/>
      <c r="AW50" s="179"/>
      <c r="AX50" s="179"/>
      <c r="AY50" s="138">
        <v>1.0</v>
      </c>
      <c r="AZ50" s="179"/>
      <c r="BA50" s="179"/>
      <c r="BB50" s="179"/>
      <c r="BC50" s="179"/>
      <c r="BD50" s="179"/>
      <c r="BE50" s="181"/>
      <c r="BF50" s="179"/>
      <c r="BG50" s="118">
        <f t="shared" si="14"/>
        <v>2</v>
      </c>
      <c r="BH50" s="122">
        <f t="shared" si="15"/>
        <v>50</v>
      </c>
      <c r="BI50" s="176"/>
      <c r="BJ50" s="179"/>
      <c r="BK50" s="179"/>
      <c r="BL50" s="184">
        <v>1.0</v>
      </c>
      <c r="BM50" s="179"/>
      <c r="BN50" s="179"/>
      <c r="BO50" s="179"/>
      <c r="BP50" s="179"/>
      <c r="BQ50" s="179"/>
      <c r="BR50" s="179"/>
      <c r="BS50" s="184">
        <v>1.0</v>
      </c>
      <c r="BT50" s="179"/>
      <c r="BU50" s="179"/>
      <c r="BV50" s="179"/>
      <c r="BW50" s="186"/>
      <c r="BX50" s="186"/>
      <c r="BY50" s="186"/>
      <c r="BZ50" s="186"/>
      <c r="CA50" s="186"/>
      <c r="CB50" s="186"/>
      <c r="CC50" s="186"/>
      <c r="CD50" s="186"/>
      <c r="CE50" s="172">
        <f t="shared" si="16"/>
        <v>2</v>
      </c>
      <c r="CF50" s="173">
        <f t="shared" si="17"/>
        <v>100</v>
      </c>
      <c r="CG50" s="116"/>
      <c r="CH50" s="186"/>
      <c r="CI50" s="186"/>
      <c r="CJ50" s="186"/>
      <c r="CK50" s="186"/>
      <c r="CL50" s="186"/>
      <c r="CM50" s="186"/>
      <c r="CN50" s="186"/>
      <c r="CO50" s="186"/>
      <c r="CP50" s="186"/>
      <c r="CQ50" s="186"/>
      <c r="CR50" s="186"/>
      <c r="CS50" s="175">
        <f t="shared" ref="CS50:CS51" si="20">SUM(CG50:CR50)</f>
        <v>0</v>
      </c>
      <c r="CT50" s="158">
        <f t="shared" ref="CT50:CT51" si="21">CS50/CS$9*100</f>
        <v>0</v>
      </c>
    </row>
    <row r="51" ht="15.75" customHeight="1">
      <c r="A51" s="146">
        <v>42.0</v>
      </c>
      <c r="B51" s="111" t="s">
        <v>134</v>
      </c>
      <c r="C51" s="112" t="s">
        <v>135</v>
      </c>
      <c r="D51" s="91">
        <f t="shared" si="6"/>
        <v>8</v>
      </c>
      <c r="E51" s="113">
        <f t="shared" si="7"/>
        <v>61.53846154</v>
      </c>
      <c r="F51" s="114" t="str">
        <f t="shared" si="8"/>
        <v>  </v>
      </c>
      <c r="G51" s="202" t="str">
        <f t="shared" si="9"/>
        <v>  </v>
      </c>
      <c r="H51" s="165"/>
      <c r="I51" s="116"/>
      <c r="J51" s="116"/>
      <c r="K51" s="116"/>
      <c r="L51" s="116"/>
      <c r="M51" s="118">
        <f t="shared" si="10"/>
        <v>0</v>
      </c>
      <c r="N51" s="119" t="str">
        <f>M51/M$51*100</f>
        <v>#DIV/0!</v>
      </c>
      <c r="O51" s="176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Z51" s="179"/>
      <c r="AA51" s="179"/>
      <c r="AB51" s="179"/>
      <c r="AC51" s="179"/>
      <c r="AD51" s="209">
        <v>1.0</v>
      </c>
      <c r="AE51" s="179"/>
      <c r="AF51" s="176"/>
      <c r="AG51" s="176"/>
      <c r="AH51" s="176"/>
      <c r="AI51" s="182">
        <v>1.0</v>
      </c>
      <c r="AJ51" s="168">
        <f t="shared" si="12"/>
        <v>2</v>
      </c>
      <c r="AK51" s="169">
        <f t="shared" si="13"/>
        <v>33.33333333</v>
      </c>
      <c r="AL51" s="183"/>
      <c r="AM51" s="179"/>
      <c r="AN51" s="179"/>
      <c r="AO51" s="184">
        <v>1.0</v>
      </c>
      <c r="AP51" s="179"/>
      <c r="AQ51" s="179"/>
      <c r="AR51" s="179"/>
      <c r="AS51" s="179"/>
      <c r="AT51" s="184">
        <v>1.0</v>
      </c>
      <c r="AU51" s="179"/>
      <c r="AV51" s="179"/>
      <c r="AW51" s="179"/>
      <c r="AX51" s="179"/>
      <c r="AY51" s="184">
        <v>1.0</v>
      </c>
      <c r="AZ51" s="179"/>
      <c r="BA51" s="179"/>
      <c r="BB51" s="179"/>
      <c r="BC51" s="179"/>
      <c r="BD51" s="179"/>
      <c r="BE51" s="194"/>
      <c r="BF51" s="179"/>
      <c r="BG51" s="118">
        <f t="shared" si="14"/>
        <v>3</v>
      </c>
      <c r="BH51" s="122">
        <f t="shared" si="15"/>
        <v>75</v>
      </c>
      <c r="BI51" s="176"/>
      <c r="BJ51" s="179"/>
      <c r="BK51" s="179"/>
      <c r="BL51" s="184">
        <v>1.0</v>
      </c>
      <c r="BM51" s="179"/>
      <c r="BN51" s="179"/>
      <c r="BO51" s="179"/>
      <c r="BP51" s="179"/>
      <c r="BQ51" s="179"/>
      <c r="BR51" s="179"/>
      <c r="BS51" s="184">
        <v>1.0</v>
      </c>
      <c r="BT51" s="179"/>
      <c r="BU51" s="179"/>
      <c r="BV51" s="179"/>
      <c r="BW51" s="186"/>
      <c r="BX51" s="186"/>
      <c r="BY51" s="186"/>
      <c r="BZ51" s="186"/>
      <c r="CA51" s="186"/>
      <c r="CB51" s="186"/>
      <c r="CC51" s="186"/>
      <c r="CD51" s="186"/>
      <c r="CE51" s="172">
        <f t="shared" si="16"/>
        <v>2</v>
      </c>
      <c r="CF51" s="173">
        <f t="shared" si="17"/>
        <v>100</v>
      </c>
      <c r="CG51" s="138">
        <v>1.0</v>
      </c>
      <c r="CH51" s="186"/>
      <c r="CI51" s="186"/>
      <c r="CJ51" s="186"/>
      <c r="CK51" s="186"/>
      <c r="CL51" s="186"/>
      <c r="CM51" s="186"/>
      <c r="CN51" s="186"/>
      <c r="CO51" s="186"/>
      <c r="CP51" s="186"/>
      <c r="CQ51" s="186"/>
      <c r="CR51" s="186"/>
      <c r="CS51" s="175">
        <f t="shared" si="20"/>
        <v>1</v>
      </c>
      <c r="CT51" s="158">
        <f t="shared" si="21"/>
        <v>100</v>
      </c>
    </row>
    <row r="52" ht="15.75" customHeight="1">
      <c r="A52" s="242" t="s">
        <v>136</v>
      </c>
      <c r="B52" s="243"/>
      <c r="C52" s="244"/>
      <c r="D52" s="245">
        <f t="shared" si="6"/>
        <v>11</v>
      </c>
      <c r="E52" s="246"/>
      <c r="F52" s="44"/>
      <c r="G52" s="156"/>
      <c r="H52" s="93">
        <f t="shared" ref="H52:L52" si="22">SUM(H53:H93)</f>
        <v>0</v>
      </c>
      <c r="I52" s="93">
        <f t="shared" si="22"/>
        <v>0</v>
      </c>
      <c r="J52" s="93">
        <f t="shared" si="22"/>
        <v>0</v>
      </c>
      <c r="K52" s="93">
        <f t="shared" si="22"/>
        <v>0</v>
      </c>
      <c r="L52" s="93">
        <f t="shared" si="22"/>
        <v>0</v>
      </c>
      <c r="M52" s="94">
        <f>COUNTIF(H52:L52,"&gt;0")</f>
        <v>0</v>
      </c>
      <c r="N52" s="96">
        <f>COUNTIF(H52:L52,"&gt;0")</f>
        <v>0</v>
      </c>
      <c r="O52" s="93">
        <f t="shared" ref="O52:AI52" si="23">SUM(O53:O93)</f>
        <v>0</v>
      </c>
      <c r="P52" s="93">
        <f t="shared" si="23"/>
        <v>0</v>
      </c>
      <c r="Q52" s="93">
        <f t="shared" si="23"/>
        <v>0</v>
      </c>
      <c r="R52" s="93">
        <f t="shared" si="23"/>
        <v>0</v>
      </c>
      <c r="S52" s="93">
        <f t="shared" si="23"/>
        <v>0</v>
      </c>
      <c r="T52" s="93">
        <f t="shared" si="23"/>
        <v>0</v>
      </c>
      <c r="U52" s="93">
        <f t="shared" si="23"/>
        <v>0</v>
      </c>
      <c r="V52" s="93">
        <f t="shared" si="23"/>
        <v>0</v>
      </c>
      <c r="W52" s="93">
        <f t="shared" si="23"/>
        <v>0</v>
      </c>
      <c r="X52" s="93">
        <f t="shared" si="23"/>
        <v>15</v>
      </c>
      <c r="Y52" s="93">
        <f t="shared" si="23"/>
        <v>18</v>
      </c>
      <c r="Z52" s="93">
        <f t="shared" si="23"/>
        <v>0</v>
      </c>
      <c r="AA52" s="93">
        <f t="shared" si="23"/>
        <v>0</v>
      </c>
      <c r="AB52" s="93">
        <f t="shared" si="23"/>
        <v>0</v>
      </c>
      <c r="AC52" s="93">
        <f t="shared" si="23"/>
        <v>13</v>
      </c>
      <c r="AD52" s="93">
        <f t="shared" si="23"/>
        <v>20</v>
      </c>
      <c r="AE52" s="93">
        <f t="shared" si="23"/>
        <v>0</v>
      </c>
      <c r="AF52" s="93">
        <f t="shared" si="23"/>
        <v>0</v>
      </c>
      <c r="AG52" s="93">
        <f t="shared" si="23"/>
        <v>0</v>
      </c>
      <c r="AH52" s="93">
        <f t="shared" si="23"/>
        <v>17</v>
      </c>
      <c r="AI52" s="93">
        <f t="shared" si="23"/>
        <v>18</v>
      </c>
      <c r="AJ52" s="247">
        <f>COUNTIF(O52:AI52,"&gt;0")</f>
        <v>6</v>
      </c>
      <c r="AK52" s="248">
        <f>SUM(M52+AJ52)</f>
        <v>6</v>
      </c>
      <c r="AL52" s="117">
        <f t="shared" ref="AL52:BD52" si="24">SUM(AL53:AL93)</f>
        <v>0</v>
      </c>
      <c r="AM52" s="117">
        <f t="shared" si="24"/>
        <v>0</v>
      </c>
      <c r="AN52" s="117">
        <f t="shared" si="24"/>
        <v>0</v>
      </c>
      <c r="AO52" s="117">
        <f t="shared" si="24"/>
        <v>14</v>
      </c>
      <c r="AP52" s="117">
        <f t="shared" si="24"/>
        <v>0</v>
      </c>
      <c r="AQ52" s="117">
        <f t="shared" si="24"/>
        <v>0</v>
      </c>
      <c r="AR52" s="117">
        <f t="shared" si="24"/>
        <v>0</v>
      </c>
      <c r="AS52" s="117">
        <f t="shared" si="24"/>
        <v>0</v>
      </c>
      <c r="AT52" s="117">
        <f t="shared" si="24"/>
        <v>0</v>
      </c>
      <c r="AU52" s="117">
        <f t="shared" si="24"/>
        <v>22</v>
      </c>
      <c r="AV52" s="117">
        <f t="shared" si="24"/>
        <v>0</v>
      </c>
      <c r="AW52" s="117">
        <f t="shared" si="24"/>
        <v>0</v>
      </c>
      <c r="AX52" s="117">
        <f t="shared" si="24"/>
        <v>0</v>
      </c>
      <c r="AY52" s="117">
        <f t="shared" si="24"/>
        <v>0</v>
      </c>
      <c r="AZ52" s="117">
        <f t="shared" si="24"/>
        <v>0</v>
      </c>
      <c r="BA52" s="117">
        <f t="shared" si="24"/>
        <v>0</v>
      </c>
      <c r="BB52" s="117">
        <f t="shared" si="24"/>
        <v>0</v>
      </c>
      <c r="BC52" s="117">
        <f t="shared" si="24"/>
        <v>0</v>
      </c>
      <c r="BD52" s="117">
        <f t="shared" si="24"/>
        <v>0</v>
      </c>
      <c r="BE52" s="181"/>
      <c r="BF52" s="117">
        <f>SUM(BF53:BF93)</f>
        <v>0</v>
      </c>
      <c r="BG52" s="44">
        <f>COUNTIF(AL52:BF52,"&gt;0")</f>
        <v>2</v>
      </c>
      <c r="BH52" s="249">
        <f>SUM(AK52+BG52)</f>
        <v>8</v>
      </c>
      <c r="BI52" s="117">
        <f t="shared" ref="BI52:CD52" si="25">SUM(BI53:BI93)</f>
        <v>0</v>
      </c>
      <c r="BJ52" s="117">
        <f t="shared" si="25"/>
        <v>0</v>
      </c>
      <c r="BK52" s="117">
        <f t="shared" si="25"/>
        <v>0</v>
      </c>
      <c r="BL52" s="117">
        <f t="shared" si="25"/>
        <v>25</v>
      </c>
      <c r="BM52" s="117">
        <f t="shared" si="25"/>
        <v>0</v>
      </c>
      <c r="BN52" s="117">
        <f t="shared" si="25"/>
        <v>0</v>
      </c>
      <c r="BO52" s="117">
        <f t="shared" si="25"/>
        <v>0</v>
      </c>
      <c r="BP52" s="117">
        <f t="shared" si="25"/>
        <v>0</v>
      </c>
      <c r="BQ52" s="117">
        <f t="shared" si="25"/>
        <v>0</v>
      </c>
      <c r="BR52" s="117">
        <f t="shared" si="25"/>
        <v>0</v>
      </c>
      <c r="BS52" s="117">
        <f t="shared" si="25"/>
        <v>14</v>
      </c>
      <c r="BT52" s="117">
        <f t="shared" si="25"/>
        <v>13</v>
      </c>
      <c r="BU52" s="117">
        <f t="shared" si="25"/>
        <v>0</v>
      </c>
      <c r="BV52" s="117">
        <f t="shared" si="25"/>
        <v>0</v>
      </c>
      <c r="BW52" s="117">
        <f t="shared" si="25"/>
        <v>0</v>
      </c>
      <c r="BX52" s="117">
        <f t="shared" si="25"/>
        <v>0</v>
      </c>
      <c r="BY52" s="117">
        <f t="shared" si="25"/>
        <v>0</v>
      </c>
      <c r="BZ52" s="117">
        <f t="shared" si="25"/>
        <v>0</v>
      </c>
      <c r="CA52" s="117">
        <f t="shared" si="25"/>
        <v>0</v>
      </c>
      <c r="CB52" s="117">
        <f t="shared" si="25"/>
        <v>0</v>
      </c>
      <c r="CC52" s="117">
        <f t="shared" si="25"/>
        <v>0</v>
      </c>
      <c r="CD52" s="117">
        <f t="shared" si="25"/>
        <v>0</v>
      </c>
      <c r="CE52" s="47">
        <f>COUNTIF(BI52:CD52,"&gt;0")</f>
        <v>3</v>
      </c>
      <c r="CF52" s="52">
        <f>SUM(BH52+CE52)</f>
        <v>11</v>
      </c>
      <c r="CG52" s="117">
        <f t="shared" ref="CG52:CR52" si="26">SUM(CG53:CG91)</f>
        <v>0</v>
      </c>
      <c r="CH52" s="117">
        <f t="shared" si="26"/>
        <v>0</v>
      </c>
      <c r="CI52" s="117">
        <f t="shared" si="26"/>
        <v>0</v>
      </c>
      <c r="CJ52" s="117">
        <f t="shared" si="26"/>
        <v>0</v>
      </c>
      <c r="CK52" s="117">
        <f t="shared" si="26"/>
        <v>0</v>
      </c>
      <c r="CL52" s="117">
        <f t="shared" si="26"/>
        <v>0</v>
      </c>
      <c r="CM52" s="117">
        <f t="shared" si="26"/>
        <v>0</v>
      </c>
      <c r="CN52" s="117">
        <f t="shared" si="26"/>
        <v>0</v>
      </c>
      <c r="CO52" s="117">
        <f t="shared" si="26"/>
        <v>0</v>
      </c>
      <c r="CP52" s="117">
        <f t="shared" si="26"/>
        <v>0</v>
      </c>
      <c r="CQ52" s="117">
        <f t="shared" si="26"/>
        <v>0</v>
      </c>
      <c r="CR52" s="117">
        <f t="shared" si="26"/>
        <v>0</v>
      </c>
      <c r="CS52" s="109">
        <f>COUNTIF(CG52:CR52,"&gt;0")</f>
        <v>0</v>
      </c>
      <c r="CT52" s="110">
        <f>SUM(CF52+CS52)</f>
        <v>11</v>
      </c>
    </row>
    <row r="53" ht="15.75" customHeight="1">
      <c r="A53" s="146">
        <v>43.0</v>
      </c>
      <c r="B53" s="111" t="s">
        <v>137</v>
      </c>
      <c r="C53" s="112" t="s">
        <v>138</v>
      </c>
      <c r="D53" s="250">
        <f t="shared" si="6"/>
        <v>5</v>
      </c>
      <c r="E53" s="113">
        <f t="shared" ref="E53:E93" si="27">(D53)/D$52*100</f>
        <v>45.45454545</v>
      </c>
      <c r="F53" s="114">
        <f t="shared" ref="F53:F93" si="28">IF(E53&lt;50,E53, "  ")</f>
        <v>45.45454545</v>
      </c>
      <c r="G53" s="202" t="str">
        <f t="shared" ref="G53:G93" si="29">IF(E53&lt;30,E53, "  ")</f>
        <v>  </v>
      </c>
      <c r="H53" s="192"/>
      <c r="I53" s="43"/>
      <c r="J53" s="43"/>
      <c r="K53" s="116"/>
      <c r="L53" s="116"/>
      <c r="M53" s="118">
        <f t="shared" ref="M53:M93" si="30">SUM(H53:L53)</f>
        <v>0</v>
      </c>
      <c r="N53" s="119" t="str">
        <f t="shared" ref="N53:N93" si="31">M53/M$52*100</f>
        <v>#DIV/0!</v>
      </c>
      <c r="O53" s="176"/>
      <c r="P53" s="179"/>
      <c r="Q53" s="179"/>
      <c r="R53" s="179"/>
      <c r="S53" s="179"/>
      <c r="T53" s="179"/>
      <c r="U53" s="179"/>
      <c r="V53" s="179"/>
      <c r="W53" s="179"/>
      <c r="X53" s="179"/>
      <c r="Y53" s="233">
        <v>1.0</v>
      </c>
      <c r="Z53" s="179"/>
      <c r="AA53" s="179"/>
      <c r="AB53" s="179"/>
      <c r="AC53" s="228"/>
      <c r="AD53" s="116"/>
      <c r="AE53" s="179"/>
      <c r="AF53" s="176"/>
      <c r="AG53" s="176"/>
      <c r="AH53" s="138">
        <v>1.0</v>
      </c>
      <c r="AI53" s="182">
        <v>1.0</v>
      </c>
      <c r="AJ53" s="251">
        <f t="shared" ref="AJ53:AJ93" si="32">SUM(O53:AI53)</f>
        <v>3</v>
      </c>
      <c r="AK53" s="169">
        <f t="shared" ref="AK53:AK93" si="33">AJ53/AJ$52*100</f>
        <v>50</v>
      </c>
      <c r="AL53" s="183"/>
      <c r="AM53" s="179"/>
      <c r="AN53" s="179"/>
      <c r="AO53" s="184">
        <v>1.0</v>
      </c>
      <c r="AP53" s="179"/>
      <c r="AQ53" s="179"/>
      <c r="AR53" s="179"/>
      <c r="AS53" s="179"/>
      <c r="AT53" s="138"/>
      <c r="AU53" s="179"/>
      <c r="AV53" s="179"/>
      <c r="AW53" s="179"/>
      <c r="AX53" s="179"/>
      <c r="AY53" s="179"/>
      <c r="AZ53" s="179"/>
      <c r="BA53" s="179"/>
      <c r="BB53" s="179"/>
      <c r="BC53" s="179"/>
      <c r="BD53" s="179"/>
      <c r="BE53" s="181"/>
      <c r="BF53" s="179"/>
      <c r="BG53" s="118">
        <f t="shared" ref="BG53:BG93" si="34">SUM(AL53:BF53)</f>
        <v>1</v>
      </c>
      <c r="BH53" s="122">
        <f t="shared" ref="BH53:BH93" si="35">BG53/BG$52*100</f>
        <v>50</v>
      </c>
      <c r="BI53" s="176"/>
      <c r="BJ53" s="179"/>
      <c r="BK53" s="179"/>
      <c r="BL53" s="184">
        <v>1.0</v>
      </c>
      <c r="BM53" s="179"/>
      <c r="BN53" s="179"/>
      <c r="BO53" s="179"/>
      <c r="BP53" s="179"/>
      <c r="BQ53" s="179"/>
      <c r="BR53" s="179"/>
      <c r="BS53" s="179"/>
      <c r="BT53" s="116"/>
      <c r="BU53" s="185"/>
      <c r="BV53" s="179"/>
      <c r="BW53" s="186"/>
      <c r="BX53" s="186"/>
      <c r="BY53" s="186"/>
      <c r="BZ53" s="186"/>
      <c r="CA53" s="186"/>
      <c r="CB53" s="186"/>
      <c r="CC53" s="186"/>
      <c r="CD53" s="186"/>
      <c r="CE53" s="172">
        <f t="shared" ref="CE53:CE93" si="36">SUM(BI53:CD53)</f>
        <v>1</v>
      </c>
      <c r="CF53" s="173">
        <f t="shared" ref="CF53:CF93" si="37">CE53/CE$9*100</f>
        <v>50</v>
      </c>
      <c r="CG53" s="199"/>
      <c r="CH53" s="186"/>
      <c r="CI53" s="186"/>
      <c r="CJ53" s="186"/>
      <c r="CK53" s="186"/>
      <c r="CL53" s="186"/>
      <c r="CM53" s="186"/>
      <c r="CN53" s="186"/>
      <c r="CO53" s="186"/>
      <c r="CP53" s="186"/>
      <c r="CQ53" s="186"/>
      <c r="CR53" s="186"/>
      <c r="CS53" s="175">
        <f t="shared" ref="CS53:CS93" si="38">SUM(CG53:CR53)</f>
        <v>0</v>
      </c>
      <c r="CT53" s="158">
        <f t="shared" ref="CT53:CT93" si="39">CS53/CS$9*100</f>
        <v>0</v>
      </c>
    </row>
    <row r="54" ht="15.75" customHeight="1">
      <c r="A54" s="131">
        <v>44.0</v>
      </c>
      <c r="B54" s="111" t="s">
        <v>139</v>
      </c>
      <c r="C54" s="112" t="s">
        <v>140</v>
      </c>
      <c r="D54" s="250">
        <f t="shared" si="6"/>
        <v>5</v>
      </c>
      <c r="E54" s="113">
        <f t="shared" si="27"/>
        <v>45.45454545</v>
      </c>
      <c r="F54" s="114">
        <f t="shared" si="28"/>
        <v>45.45454545</v>
      </c>
      <c r="G54" s="164" t="str">
        <f t="shared" si="29"/>
        <v>  </v>
      </c>
      <c r="H54" s="183"/>
      <c r="I54" s="228"/>
      <c r="J54" s="207"/>
      <c r="K54" s="179"/>
      <c r="L54" s="179"/>
      <c r="M54" s="118">
        <f t="shared" si="30"/>
        <v>0</v>
      </c>
      <c r="N54" s="119" t="str">
        <f t="shared" si="31"/>
        <v>#DIV/0!</v>
      </c>
      <c r="O54" s="176"/>
      <c r="P54" s="179"/>
      <c r="Q54" s="179"/>
      <c r="R54" s="179"/>
      <c r="S54" s="179"/>
      <c r="T54" s="179"/>
      <c r="U54" s="179"/>
      <c r="V54" s="179"/>
      <c r="W54" s="179"/>
      <c r="X54" s="138">
        <v>1.0</v>
      </c>
      <c r="Y54" s="184"/>
      <c r="Z54" s="179"/>
      <c r="AA54" s="179"/>
      <c r="AB54" s="179"/>
      <c r="AC54" s="179"/>
      <c r="AD54" s="116"/>
      <c r="AE54" s="179"/>
      <c r="AF54" s="176"/>
      <c r="AG54" s="176"/>
      <c r="AH54" s="116"/>
      <c r="AI54" s="182">
        <v>1.0</v>
      </c>
      <c r="AJ54" s="251">
        <f t="shared" si="32"/>
        <v>2</v>
      </c>
      <c r="AK54" s="169">
        <f t="shared" si="33"/>
        <v>33.33333333</v>
      </c>
      <c r="AL54" s="183"/>
      <c r="AM54" s="179"/>
      <c r="AN54" s="179"/>
      <c r="AO54" s="179"/>
      <c r="AP54" s="179"/>
      <c r="AQ54" s="179"/>
      <c r="AR54" s="179"/>
      <c r="AS54" s="179"/>
      <c r="AT54" s="116"/>
      <c r="AU54" s="184">
        <v>1.0</v>
      </c>
      <c r="AV54" s="179"/>
      <c r="AW54" s="179"/>
      <c r="AX54" s="179"/>
      <c r="AY54" s="179"/>
      <c r="AZ54" s="179"/>
      <c r="BA54" s="179"/>
      <c r="BB54" s="179"/>
      <c r="BC54" s="179"/>
      <c r="BD54" s="179"/>
      <c r="BE54" s="219">
        <v>1.0</v>
      </c>
      <c r="BF54" s="179"/>
      <c r="BG54" s="118">
        <f t="shared" si="34"/>
        <v>2</v>
      </c>
      <c r="BH54" s="122">
        <f t="shared" si="35"/>
        <v>100</v>
      </c>
      <c r="BI54" s="176"/>
      <c r="BJ54" s="179"/>
      <c r="BK54" s="179"/>
      <c r="BL54" s="184">
        <v>1.0</v>
      </c>
      <c r="BM54" s="179"/>
      <c r="BN54" s="179"/>
      <c r="BO54" s="179"/>
      <c r="BP54" s="179"/>
      <c r="BQ54" s="179"/>
      <c r="BR54" s="179"/>
      <c r="BS54" s="179"/>
      <c r="BT54" s="116"/>
      <c r="BU54" s="198"/>
      <c r="BV54" s="179"/>
      <c r="BW54" s="186"/>
      <c r="BX54" s="186"/>
      <c r="BY54" s="186"/>
      <c r="BZ54" s="186"/>
      <c r="CA54" s="186"/>
      <c r="CB54" s="186"/>
      <c r="CC54" s="186"/>
      <c r="CD54" s="186"/>
      <c r="CE54" s="172">
        <f t="shared" si="36"/>
        <v>1</v>
      </c>
      <c r="CF54" s="173">
        <f t="shared" si="37"/>
        <v>50</v>
      </c>
      <c r="CG54" s="199"/>
      <c r="CH54" s="186"/>
      <c r="CI54" s="186"/>
      <c r="CJ54" s="186"/>
      <c r="CK54" s="186"/>
      <c r="CL54" s="186"/>
      <c r="CM54" s="186"/>
      <c r="CN54" s="186"/>
      <c r="CO54" s="186"/>
      <c r="CP54" s="186"/>
      <c r="CQ54" s="186"/>
      <c r="CR54" s="186"/>
      <c r="CS54" s="175">
        <f t="shared" si="38"/>
        <v>0</v>
      </c>
      <c r="CT54" s="158">
        <f t="shared" si="39"/>
        <v>0</v>
      </c>
    </row>
    <row r="55" ht="15.75" customHeight="1">
      <c r="A55" s="146">
        <v>45.0</v>
      </c>
      <c r="B55" s="111" t="s">
        <v>141</v>
      </c>
      <c r="C55" s="112" t="s">
        <v>142</v>
      </c>
      <c r="D55" s="250">
        <f t="shared" si="6"/>
        <v>9</v>
      </c>
      <c r="E55" s="113">
        <f t="shared" si="27"/>
        <v>81.81818182</v>
      </c>
      <c r="F55" s="114" t="str">
        <f t="shared" si="28"/>
        <v>  </v>
      </c>
      <c r="G55" s="164" t="str">
        <f t="shared" si="29"/>
        <v>  </v>
      </c>
      <c r="H55" s="183"/>
      <c r="I55" s="186"/>
      <c r="J55" s="179"/>
      <c r="K55" s="179"/>
      <c r="L55" s="179"/>
      <c r="M55" s="118">
        <f t="shared" si="30"/>
        <v>0</v>
      </c>
      <c r="N55" s="119" t="str">
        <f t="shared" si="31"/>
        <v>#DIV/0!</v>
      </c>
      <c r="O55" s="195"/>
      <c r="P55" s="186"/>
      <c r="Q55" s="186"/>
      <c r="R55" s="186"/>
      <c r="S55" s="186"/>
      <c r="T55" s="186"/>
      <c r="U55" s="186"/>
      <c r="V55" s="186"/>
      <c r="W55" s="186"/>
      <c r="X55" s="138">
        <v>1.0</v>
      </c>
      <c r="Y55" s="184">
        <v>1.0</v>
      </c>
      <c r="Z55" s="186"/>
      <c r="AA55" s="186"/>
      <c r="AB55" s="186"/>
      <c r="AC55" s="179"/>
      <c r="AD55" s="138">
        <v>1.0</v>
      </c>
      <c r="AE55" s="186"/>
      <c r="AF55" s="195"/>
      <c r="AG55" s="195"/>
      <c r="AH55" s="182">
        <v>1.0</v>
      </c>
      <c r="AI55" s="197">
        <v>1.0</v>
      </c>
      <c r="AJ55" s="251">
        <f t="shared" si="32"/>
        <v>5</v>
      </c>
      <c r="AK55" s="169">
        <f t="shared" si="33"/>
        <v>83.33333333</v>
      </c>
      <c r="AL55" s="199"/>
      <c r="AM55" s="186"/>
      <c r="AN55" s="186"/>
      <c r="AO55" s="186"/>
      <c r="AP55" s="186"/>
      <c r="AQ55" s="186"/>
      <c r="AR55" s="186"/>
      <c r="AS55" s="186"/>
      <c r="AT55" s="138"/>
      <c r="AU55" s="200">
        <v>1.0</v>
      </c>
      <c r="AV55" s="186"/>
      <c r="AW55" s="186"/>
      <c r="AX55" s="186"/>
      <c r="AY55" s="186"/>
      <c r="AZ55" s="186"/>
      <c r="BA55" s="186"/>
      <c r="BB55" s="186"/>
      <c r="BC55" s="186"/>
      <c r="BD55" s="186"/>
      <c r="BE55" s="188">
        <v>1.0</v>
      </c>
      <c r="BF55" s="186"/>
      <c r="BG55" s="118">
        <f t="shared" si="34"/>
        <v>2</v>
      </c>
      <c r="BH55" s="122">
        <f t="shared" si="35"/>
        <v>100</v>
      </c>
      <c r="BI55" s="195"/>
      <c r="BJ55" s="186"/>
      <c r="BK55" s="186"/>
      <c r="BL55" s="186"/>
      <c r="BM55" s="186"/>
      <c r="BN55" s="186"/>
      <c r="BO55" s="186"/>
      <c r="BP55" s="186"/>
      <c r="BQ55" s="186"/>
      <c r="BR55" s="186"/>
      <c r="BS55" s="200">
        <v>1.0</v>
      </c>
      <c r="BT55" s="138">
        <v>1.0</v>
      </c>
      <c r="BU55" s="252"/>
      <c r="BV55" s="186"/>
      <c r="BW55" s="186"/>
      <c r="BX55" s="186"/>
      <c r="BY55" s="186"/>
      <c r="BZ55" s="186"/>
      <c r="CA55" s="186"/>
      <c r="CB55" s="186"/>
      <c r="CC55" s="186"/>
      <c r="CD55" s="186"/>
      <c r="CE55" s="172">
        <f t="shared" si="36"/>
        <v>2</v>
      </c>
      <c r="CF55" s="173">
        <f t="shared" si="37"/>
        <v>100</v>
      </c>
      <c r="CG55" s="199"/>
      <c r="CH55" s="186"/>
      <c r="CI55" s="186"/>
      <c r="CJ55" s="186"/>
      <c r="CK55" s="186"/>
      <c r="CL55" s="186"/>
      <c r="CM55" s="186"/>
      <c r="CN55" s="186"/>
      <c r="CO55" s="186"/>
      <c r="CP55" s="186"/>
      <c r="CQ55" s="186"/>
      <c r="CR55" s="186"/>
      <c r="CS55" s="175">
        <f t="shared" si="38"/>
        <v>0</v>
      </c>
      <c r="CT55" s="158">
        <f t="shared" si="39"/>
        <v>0</v>
      </c>
    </row>
    <row r="56" ht="15.75" customHeight="1">
      <c r="A56" s="146">
        <v>46.0</v>
      </c>
      <c r="B56" s="111" t="s">
        <v>143</v>
      </c>
      <c r="C56" s="112" t="s">
        <v>144</v>
      </c>
      <c r="D56" s="250">
        <f t="shared" si="6"/>
        <v>8</v>
      </c>
      <c r="E56" s="113">
        <f t="shared" si="27"/>
        <v>72.72727273</v>
      </c>
      <c r="F56" s="114" t="str">
        <f t="shared" si="28"/>
        <v>  </v>
      </c>
      <c r="G56" s="164" t="str">
        <f t="shared" si="29"/>
        <v>  </v>
      </c>
      <c r="H56" s="183"/>
      <c r="I56" s="179"/>
      <c r="J56" s="179"/>
      <c r="K56" s="207"/>
      <c r="L56" s="207"/>
      <c r="M56" s="118">
        <f t="shared" si="30"/>
        <v>0</v>
      </c>
      <c r="N56" s="119" t="str">
        <f t="shared" si="31"/>
        <v>#DIV/0!</v>
      </c>
      <c r="O56" s="206"/>
      <c r="P56" s="207"/>
      <c r="Q56" s="207"/>
      <c r="R56" s="207"/>
      <c r="S56" s="207"/>
      <c r="T56" s="207"/>
      <c r="U56" s="207"/>
      <c r="V56" s="207"/>
      <c r="W56" s="207"/>
      <c r="X56" s="138">
        <v>1.0</v>
      </c>
      <c r="Y56" s="184">
        <v>1.0</v>
      </c>
      <c r="Z56" s="207"/>
      <c r="AA56" s="207"/>
      <c r="AB56" s="207"/>
      <c r="AC56" s="179"/>
      <c r="AD56" s="138">
        <v>1.0</v>
      </c>
      <c r="AE56" s="207"/>
      <c r="AF56" s="206"/>
      <c r="AG56" s="206"/>
      <c r="AH56" s="138">
        <v>1.0</v>
      </c>
      <c r="AI56" s="209">
        <v>1.0</v>
      </c>
      <c r="AJ56" s="251">
        <f t="shared" si="32"/>
        <v>5</v>
      </c>
      <c r="AK56" s="169">
        <f t="shared" si="33"/>
        <v>83.33333333</v>
      </c>
      <c r="AL56" s="212"/>
      <c r="AM56" s="207"/>
      <c r="AN56" s="207"/>
      <c r="AO56" s="234">
        <v>1.0</v>
      </c>
      <c r="AP56" s="207"/>
      <c r="AQ56" s="207"/>
      <c r="AR56" s="207"/>
      <c r="AS56" s="207"/>
      <c r="AT56" s="116"/>
      <c r="AU56" s="207"/>
      <c r="AV56" s="207"/>
      <c r="AW56" s="207"/>
      <c r="AX56" s="207"/>
      <c r="AY56" s="207"/>
      <c r="AZ56" s="207"/>
      <c r="BA56" s="207"/>
      <c r="BB56" s="207"/>
      <c r="BC56" s="207"/>
      <c r="BD56" s="207"/>
      <c r="BE56" s="188">
        <v>1.0</v>
      </c>
      <c r="BF56" s="207"/>
      <c r="BG56" s="118">
        <f t="shared" si="34"/>
        <v>2</v>
      </c>
      <c r="BH56" s="122">
        <f t="shared" si="35"/>
        <v>100</v>
      </c>
      <c r="BI56" s="206"/>
      <c r="BJ56" s="207"/>
      <c r="BK56" s="207"/>
      <c r="BL56" s="234">
        <v>1.0</v>
      </c>
      <c r="BM56" s="207"/>
      <c r="BN56" s="207"/>
      <c r="BO56" s="207"/>
      <c r="BP56" s="207"/>
      <c r="BQ56" s="207"/>
      <c r="BR56" s="207"/>
      <c r="BS56" s="207"/>
      <c r="BT56" s="116"/>
      <c r="BU56" s="253"/>
      <c r="BV56" s="207"/>
      <c r="BW56" s="186"/>
      <c r="BX56" s="186"/>
      <c r="BY56" s="186"/>
      <c r="BZ56" s="186"/>
      <c r="CA56" s="186"/>
      <c r="CB56" s="186"/>
      <c r="CC56" s="186"/>
      <c r="CD56" s="186"/>
      <c r="CE56" s="172">
        <f t="shared" si="36"/>
        <v>1</v>
      </c>
      <c r="CF56" s="173">
        <f t="shared" si="37"/>
        <v>50</v>
      </c>
      <c r="CG56" s="199"/>
      <c r="CH56" s="186"/>
      <c r="CI56" s="186"/>
      <c r="CJ56" s="186"/>
      <c r="CK56" s="186"/>
      <c r="CL56" s="186"/>
      <c r="CM56" s="186"/>
      <c r="CN56" s="186"/>
      <c r="CO56" s="186"/>
      <c r="CP56" s="186"/>
      <c r="CQ56" s="186"/>
      <c r="CR56" s="186"/>
      <c r="CS56" s="175">
        <f t="shared" si="38"/>
        <v>0</v>
      </c>
      <c r="CT56" s="158">
        <f t="shared" si="39"/>
        <v>0</v>
      </c>
    </row>
    <row r="57" ht="15.75" customHeight="1">
      <c r="A57" s="131">
        <v>47.0</v>
      </c>
      <c r="B57" s="111" t="s">
        <v>145</v>
      </c>
      <c r="C57" s="112" t="s">
        <v>146</v>
      </c>
      <c r="D57" s="250">
        <f t="shared" si="6"/>
        <v>8</v>
      </c>
      <c r="E57" s="113">
        <f t="shared" si="27"/>
        <v>72.72727273</v>
      </c>
      <c r="F57" s="114" t="str">
        <f t="shared" si="28"/>
        <v>  </v>
      </c>
      <c r="G57" s="164" t="str">
        <f t="shared" si="29"/>
        <v>  </v>
      </c>
      <c r="H57" s="183"/>
      <c r="I57" s="207"/>
      <c r="J57" s="179"/>
      <c r="K57" s="179"/>
      <c r="L57" s="179"/>
      <c r="M57" s="118">
        <f t="shared" si="30"/>
        <v>0</v>
      </c>
      <c r="N57" s="119" t="str">
        <f t="shared" si="31"/>
        <v>#DIV/0!</v>
      </c>
      <c r="O57" s="227"/>
      <c r="P57" s="228"/>
      <c r="Q57" s="228"/>
      <c r="R57" s="228"/>
      <c r="S57" s="228"/>
      <c r="T57" s="228"/>
      <c r="U57" s="228"/>
      <c r="V57" s="228"/>
      <c r="W57" s="228"/>
      <c r="X57" s="138">
        <v>1.0</v>
      </c>
      <c r="Y57" s="184">
        <v>1.0</v>
      </c>
      <c r="Z57" s="228"/>
      <c r="AA57" s="228"/>
      <c r="AB57" s="228"/>
      <c r="AC57" s="179"/>
      <c r="AD57" s="138">
        <v>1.0</v>
      </c>
      <c r="AE57" s="228"/>
      <c r="AF57" s="227"/>
      <c r="AG57" s="227"/>
      <c r="AH57" s="138">
        <v>1.0</v>
      </c>
      <c r="AI57" s="229">
        <v>1.0</v>
      </c>
      <c r="AJ57" s="251">
        <f t="shared" si="32"/>
        <v>5</v>
      </c>
      <c r="AK57" s="169">
        <f t="shared" si="33"/>
        <v>83.33333333</v>
      </c>
      <c r="AL57" s="232"/>
      <c r="AM57" s="228"/>
      <c r="AN57" s="228"/>
      <c r="AO57" s="233">
        <v>1.0</v>
      </c>
      <c r="AP57" s="228"/>
      <c r="AQ57" s="228"/>
      <c r="AR57" s="228"/>
      <c r="AS57" s="228"/>
      <c r="AT57" s="116"/>
      <c r="AU57" s="228"/>
      <c r="AV57" s="228"/>
      <c r="AW57" s="228"/>
      <c r="AX57" s="228"/>
      <c r="AY57" s="228"/>
      <c r="AZ57" s="228"/>
      <c r="BA57" s="228"/>
      <c r="BB57" s="228"/>
      <c r="BC57" s="228"/>
      <c r="BD57" s="228"/>
      <c r="BE57" s="219">
        <v>1.0</v>
      </c>
      <c r="BF57" s="228"/>
      <c r="BG57" s="118">
        <f t="shared" si="34"/>
        <v>2</v>
      </c>
      <c r="BH57" s="122">
        <f t="shared" si="35"/>
        <v>100</v>
      </c>
      <c r="BI57" s="227"/>
      <c r="BJ57" s="228"/>
      <c r="BK57" s="228"/>
      <c r="BL57" s="233">
        <v>1.0</v>
      </c>
      <c r="BM57" s="228"/>
      <c r="BN57" s="228"/>
      <c r="BO57" s="228"/>
      <c r="BP57" s="228"/>
      <c r="BQ57" s="228"/>
      <c r="BR57" s="228"/>
      <c r="BS57" s="228"/>
      <c r="BT57" s="116"/>
      <c r="BU57" s="185"/>
      <c r="BV57" s="228"/>
      <c r="BW57" s="186"/>
      <c r="BX57" s="186"/>
      <c r="BY57" s="186"/>
      <c r="BZ57" s="186"/>
      <c r="CA57" s="186"/>
      <c r="CB57" s="186"/>
      <c r="CC57" s="186"/>
      <c r="CD57" s="186"/>
      <c r="CE57" s="172">
        <f t="shared" si="36"/>
        <v>1</v>
      </c>
      <c r="CF57" s="173">
        <f t="shared" si="37"/>
        <v>50</v>
      </c>
      <c r="CG57" s="199"/>
      <c r="CH57" s="186"/>
      <c r="CI57" s="186"/>
      <c r="CJ57" s="186"/>
      <c r="CK57" s="186"/>
      <c r="CL57" s="186"/>
      <c r="CM57" s="186"/>
      <c r="CN57" s="186"/>
      <c r="CO57" s="186"/>
      <c r="CP57" s="186"/>
      <c r="CQ57" s="186"/>
      <c r="CR57" s="186"/>
      <c r="CS57" s="175">
        <f t="shared" si="38"/>
        <v>0</v>
      </c>
      <c r="CT57" s="158">
        <f t="shared" si="39"/>
        <v>0</v>
      </c>
    </row>
    <row r="58" ht="15.75" customHeight="1">
      <c r="A58" s="146">
        <v>48.0</v>
      </c>
      <c r="B58" s="111" t="s">
        <v>147</v>
      </c>
      <c r="C58" s="112" t="s">
        <v>148</v>
      </c>
      <c r="D58" s="250">
        <f t="shared" si="6"/>
        <v>6</v>
      </c>
      <c r="E58" s="113">
        <f t="shared" si="27"/>
        <v>54.54545455</v>
      </c>
      <c r="F58" s="114" t="str">
        <f t="shared" si="28"/>
        <v>  </v>
      </c>
      <c r="G58" s="202" t="str">
        <f t="shared" si="29"/>
        <v>  </v>
      </c>
      <c r="H58" s="183"/>
      <c r="I58" s="179"/>
      <c r="J58" s="179"/>
      <c r="K58" s="179"/>
      <c r="L58" s="179"/>
      <c r="M58" s="118">
        <f t="shared" si="30"/>
        <v>0</v>
      </c>
      <c r="N58" s="119" t="str">
        <f t="shared" si="31"/>
        <v>#DIV/0!</v>
      </c>
      <c r="O58" s="176"/>
      <c r="P58" s="179"/>
      <c r="Q58" s="179"/>
      <c r="R58" s="179"/>
      <c r="S58" s="179"/>
      <c r="T58" s="179"/>
      <c r="U58" s="179"/>
      <c r="V58" s="179"/>
      <c r="W58" s="179"/>
      <c r="X58" s="138">
        <v>1.0</v>
      </c>
      <c r="Y58" s="184">
        <v>1.0</v>
      </c>
      <c r="Z58" s="179"/>
      <c r="AA58" s="179"/>
      <c r="AB58" s="179"/>
      <c r="AC58" s="184">
        <v>1.0</v>
      </c>
      <c r="AD58" s="138">
        <v>1.0</v>
      </c>
      <c r="AE58" s="179"/>
      <c r="AF58" s="176"/>
      <c r="AG58" s="176"/>
      <c r="AH58" s="176"/>
      <c r="AI58" s="176"/>
      <c r="AJ58" s="251">
        <f t="shared" si="32"/>
        <v>4</v>
      </c>
      <c r="AK58" s="169">
        <f t="shared" si="33"/>
        <v>66.66666667</v>
      </c>
      <c r="AL58" s="183"/>
      <c r="AM58" s="179"/>
      <c r="AN58" s="179"/>
      <c r="AO58" s="179"/>
      <c r="AP58" s="179"/>
      <c r="AQ58" s="179"/>
      <c r="AR58" s="179"/>
      <c r="AS58" s="179"/>
      <c r="AT58" s="138"/>
      <c r="AU58" s="184">
        <v>1.0</v>
      </c>
      <c r="AV58" s="179"/>
      <c r="AW58" s="179"/>
      <c r="AX58" s="179"/>
      <c r="AY58" s="179"/>
      <c r="AZ58" s="179"/>
      <c r="BA58" s="179"/>
      <c r="BB58" s="179"/>
      <c r="BC58" s="179"/>
      <c r="BD58" s="179"/>
      <c r="BE58" s="181"/>
      <c r="BF58" s="179"/>
      <c r="BG58" s="118">
        <f t="shared" si="34"/>
        <v>1</v>
      </c>
      <c r="BH58" s="122">
        <f t="shared" si="35"/>
        <v>50</v>
      </c>
      <c r="BI58" s="176"/>
      <c r="BJ58" s="179"/>
      <c r="BK58" s="179"/>
      <c r="BL58" s="184">
        <v>1.0</v>
      </c>
      <c r="BM58" s="179"/>
      <c r="BN58" s="179"/>
      <c r="BO58" s="179"/>
      <c r="BP58" s="179"/>
      <c r="BQ58" s="179"/>
      <c r="BR58" s="179"/>
      <c r="BS58" s="179"/>
      <c r="BT58" s="116"/>
      <c r="BU58" s="185"/>
      <c r="BV58" s="179"/>
      <c r="BW58" s="186"/>
      <c r="BX58" s="186"/>
      <c r="BY58" s="186"/>
      <c r="BZ58" s="186"/>
      <c r="CA58" s="186"/>
      <c r="CB58" s="186"/>
      <c r="CC58" s="186"/>
      <c r="CD58" s="186"/>
      <c r="CE58" s="172">
        <f t="shared" si="36"/>
        <v>1</v>
      </c>
      <c r="CF58" s="173">
        <f t="shared" si="37"/>
        <v>50</v>
      </c>
      <c r="CG58" s="199"/>
      <c r="CH58" s="186"/>
      <c r="CI58" s="186"/>
      <c r="CJ58" s="186"/>
      <c r="CK58" s="186"/>
      <c r="CL58" s="186"/>
      <c r="CM58" s="186"/>
      <c r="CN58" s="186"/>
      <c r="CO58" s="186"/>
      <c r="CP58" s="186"/>
      <c r="CQ58" s="186"/>
      <c r="CR58" s="186"/>
      <c r="CS58" s="175">
        <f t="shared" si="38"/>
        <v>0</v>
      </c>
      <c r="CT58" s="158">
        <f t="shared" si="39"/>
        <v>0</v>
      </c>
    </row>
    <row r="59" ht="15.75" customHeight="1">
      <c r="A59" s="146">
        <v>49.0</v>
      </c>
      <c r="B59" s="111" t="s">
        <v>149</v>
      </c>
      <c r="C59" s="112" t="s">
        <v>150</v>
      </c>
      <c r="D59" s="250">
        <f t="shared" si="6"/>
        <v>5</v>
      </c>
      <c r="E59" s="113">
        <f t="shared" si="27"/>
        <v>45.45454545</v>
      </c>
      <c r="F59" s="114">
        <f t="shared" si="28"/>
        <v>45.45454545</v>
      </c>
      <c r="G59" s="164" t="str">
        <f t="shared" si="29"/>
        <v>  </v>
      </c>
      <c r="H59" s="183"/>
      <c r="I59" s="179"/>
      <c r="J59" s="179"/>
      <c r="K59" s="179"/>
      <c r="L59" s="179"/>
      <c r="M59" s="118">
        <f t="shared" si="30"/>
        <v>0</v>
      </c>
      <c r="N59" s="119" t="str">
        <f t="shared" si="31"/>
        <v>#DIV/0!</v>
      </c>
      <c r="O59" s="176"/>
      <c r="P59" s="179"/>
      <c r="Q59" s="179"/>
      <c r="R59" s="179"/>
      <c r="S59" s="179"/>
      <c r="T59" s="179"/>
      <c r="U59" s="179"/>
      <c r="V59" s="179"/>
      <c r="W59" s="179"/>
      <c r="X59" s="116"/>
      <c r="Y59" s="179"/>
      <c r="Z59" s="179"/>
      <c r="AA59" s="179"/>
      <c r="AB59" s="179"/>
      <c r="AC59" s="179"/>
      <c r="AD59" s="182">
        <v>1.0</v>
      </c>
      <c r="AE59" s="179"/>
      <c r="AF59" s="176"/>
      <c r="AG59" s="176"/>
      <c r="AH59" s="138">
        <v>1.0</v>
      </c>
      <c r="AI59" s="182">
        <v>1.0</v>
      </c>
      <c r="AJ59" s="251">
        <f t="shared" si="32"/>
        <v>3</v>
      </c>
      <c r="AK59" s="169">
        <f t="shared" si="33"/>
        <v>50</v>
      </c>
      <c r="AL59" s="183"/>
      <c r="AM59" s="179"/>
      <c r="AN59" s="179"/>
      <c r="AO59" s="179"/>
      <c r="AP59" s="179"/>
      <c r="AQ59" s="179"/>
      <c r="AR59" s="179"/>
      <c r="AS59" s="179"/>
      <c r="AT59" s="116"/>
      <c r="AU59" s="184">
        <v>1.0</v>
      </c>
      <c r="AV59" s="179"/>
      <c r="AW59" s="179"/>
      <c r="AX59" s="179"/>
      <c r="AY59" s="179"/>
      <c r="AZ59" s="179"/>
      <c r="BA59" s="179"/>
      <c r="BB59" s="179"/>
      <c r="BC59" s="179"/>
      <c r="BD59" s="179"/>
      <c r="BE59" s="194"/>
      <c r="BF59" s="179"/>
      <c r="BG59" s="118">
        <f t="shared" si="34"/>
        <v>1</v>
      </c>
      <c r="BH59" s="122">
        <f t="shared" si="35"/>
        <v>50</v>
      </c>
      <c r="BI59" s="176"/>
      <c r="BJ59" s="179"/>
      <c r="BK59" s="179"/>
      <c r="BL59" s="184">
        <v>1.0</v>
      </c>
      <c r="BM59" s="179"/>
      <c r="BN59" s="179"/>
      <c r="BO59" s="179"/>
      <c r="BP59" s="179"/>
      <c r="BQ59" s="179"/>
      <c r="BR59" s="179"/>
      <c r="BS59" s="179"/>
      <c r="BT59" s="116"/>
      <c r="BU59" s="185"/>
      <c r="BV59" s="179"/>
      <c r="BW59" s="186"/>
      <c r="BX59" s="186"/>
      <c r="BY59" s="186"/>
      <c r="BZ59" s="186"/>
      <c r="CA59" s="186"/>
      <c r="CB59" s="186"/>
      <c r="CC59" s="186"/>
      <c r="CD59" s="186"/>
      <c r="CE59" s="172">
        <f t="shared" si="36"/>
        <v>1</v>
      </c>
      <c r="CF59" s="173">
        <f t="shared" si="37"/>
        <v>50</v>
      </c>
      <c r="CG59" s="199"/>
      <c r="CH59" s="186"/>
      <c r="CI59" s="186"/>
      <c r="CJ59" s="186"/>
      <c r="CK59" s="186"/>
      <c r="CL59" s="186"/>
      <c r="CM59" s="186"/>
      <c r="CN59" s="186"/>
      <c r="CO59" s="186"/>
      <c r="CP59" s="186"/>
      <c r="CQ59" s="186"/>
      <c r="CR59" s="186"/>
      <c r="CS59" s="175">
        <f t="shared" si="38"/>
        <v>0</v>
      </c>
      <c r="CT59" s="158">
        <f t="shared" si="39"/>
        <v>0</v>
      </c>
    </row>
    <row r="60" ht="15.75" customHeight="1">
      <c r="A60" s="131">
        <v>50.0</v>
      </c>
      <c r="B60" s="111" t="s">
        <v>151</v>
      </c>
      <c r="C60" s="112" t="s">
        <v>152</v>
      </c>
      <c r="D60" s="250">
        <f t="shared" si="6"/>
        <v>9</v>
      </c>
      <c r="E60" s="113">
        <f t="shared" si="27"/>
        <v>81.81818182</v>
      </c>
      <c r="F60" s="114" t="str">
        <f t="shared" si="28"/>
        <v>  </v>
      </c>
      <c r="G60" s="164" t="str">
        <f t="shared" si="29"/>
        <v>  </v>
      </c>
      <c r="H60" s="212"/>
      <c r="I60" s="179"/>
      <c r="J60" s="207"/>
      <c r="K60" s="179"/>
      <c r="L60" s="179"/>
      <c r="M60" s="118">
        <f t="shared" si="30"/>
        <v>0</v>
      </c>
      <c r="N60" s="119" t="str">
        <f t="shared" si="31"/>
        <v>#DIV/0!</v>
      </c>
      <c r="O60" s="176"/>
      <c r="P60" s="179"/>
      <c r="Q60" s="179"/>
      <c r="R60" s="179"/>
      <c r="S60" s="179"/>
      <c r="T60" s="179"/>
      <c r="U60" s="179"/>
      <c r="V60" s="179"/>
      <c r="W60" s="179"/>
      <c r="X60" s="138">
        <v>1.0</v>
      </c>
      <c r="Y60" s="200">
        <v>1.0</v>
      </c>
      <c r="Z60" s="179"/>
      <c r="AA60" s="179"/>
      <c r="AB60" s="179"/>
      <c r="AC60" s="200">
        <v>1.0</v>
      </c>
      <c r="AD60" s="138">
        <v>1.0</v>
      </c>
      <c r="AE60" s="179"/>
      <c r="AF60" s="176"/>
      <c r="AG60" s="176"/>
      <c r="AH60" s="138">
        <v>1.0</v>
      </c>
      <c r="AI60" s="182">
        <v>1.0</v>
      </c>
      <c r="AJ60" s="251">
        <f t="shared" si="32"/>
        <v>6</v>
      </c>
      <c r="AK60" s="169">
        <f t="shared" si="33"/>
        <v>100</v>
      </c>
      <c r="AL60" s="183"/>
      <c r="AM60" s="179"/>
      <c r="AN60" s="179"/>
      <c r="AO60" s="184">
        <v>1.0</v>
      </c>
      <c r="AP60" s="179"/>
      <c r="AQ60" s="179"/>
      <c r="AR60" s="179"/>
      <c r="AS60" s="179"/>
      <c r="AT60" s="138"/>
      <c r="AU60" s="184">
        <v>1.0</v>
      </c>
      <c r="AV60" s="179"/>
      <c r="AW60" s="179"/>
      <c r="AX60" s="179"/>
      <c r="AY60" s="179"/>
      <c r="AZ60" s="179"/>
      <c r="BA60" s="179"/>
      <c r="BB60" s="179"/>
      <c r="BC60" s="179"/>
      <c r="BD60" s="179"/>
      <c r="BE60" s="181"/>
      <c r="BF60" s="179"/>
      <c r="BG60" s="118">
        <f t="shared" si="34"/>
        <v>2</v>
      </c>
      <c r="BH60" s="122">
        <f t="shared" si="35"/>
        <v>100</v>
      </c>
      <c r="BI60" s="176"/>
      <c r="BJ60" s="179"/>
      <c r="BK60" s="179"/>
      <c r="BL60" s="184">
        <v>1.0</v>
      </c>
      <c r="BM60" s="179"/>
      <c r="BN60" s="179"/>
      <c r="BO60" s="179"/>
      <c r="BP60" s="179"/>
      <c r="BQ60" s="179"/>
      <c r="BR60" s="179"/>
      <c r="BS60" s="179"/>
      <c r="BT60" s="116"/>
      <c r="BU60" s="185"/>
      <c r="BV60" s="179"/>
      <c r="BW60" s="186"/>
      <c r="BX60" s="186"/>
      <c r="BY60" s="186"/>
      <c r="BZ60" s="186"/>
      <c r="CA60" s="186"/>
      <c r="CB60" s="186"/>
      <c r="CC60" s="186"/>
      <c r="CD60" s="186"/>
      <c r="CE60" s="172">
        <f t="shared" si="36"/>
        <v>1</v>
      </c>
      <c r="CF60" s="173">
        <f t="shared" si="37"/>
        <v>50</v>
      </c>
      <c r="CG60" s="199"/>
      <c r="CH60" s="186"/>
      <c r="CI60" s="186"/>
      <c r="CJ60" s="186"/>
      <c r="CK60" s="186"/>
      <c r="CL60" s="186"/>
      <c r="CM60" s="186"/>
      <c r="CN60" s="186"/>
      <c r="CO60" s="186"/>
      <c r="CP60" s="186"/>
      <c r="CQ60" s="186"/>
      <c r="CR60" s="186"/>
      <c r="CS60" s="175">
        <f t="shared" si="38"/>
        <v>0</v>
      </c>
      <c r="CT60" s="158">
        <f t="shared" si="39"/>
        <v>0</v>
      </c>
    </row>
    <row r="61" ht="15.75" customHeight="1">
      <c r="A61" s="146">
        <v>51.0</v>
      </c>
      <c r="B61" s="111" t="s">
        <v>153</v>
      </c>
      <c r="C61" s="112" t="s">
        <v>154</v>
      </c>
      <c r="D61" s="250">
        <f t="shared" si="6"/>
        <v>3</v>
      </c>
      <c r="E61" s="113">
        <f t="shared" si="27"/>
        <v>27.27272727</v>
      </c>
      <c r="F61" s="114">
        <f t="shared" si="28"/>
        <v>27.27272727</v>
      </c>
      <c r="G61" s="202">
        <f t="shared" si="29"/>
        <v>27.27272727</v>
      </c>
      <c r="H61" s="183"/>
      <c r="I61" s="228"/>
      <c r="J61" s="179"/>
      <c r="K61" s="179"/>
      <c r="L61" s="179"/>
      <c r="M61" s="118">
        <f t="shared" si="30"/>
        <v>0</v>
      </c>
      <c r="N61" s="119" t="str">
        <f t="shared" si="31"/>
        <v>#DIV/0!</v>
      </c>
      <c r="O61" s="176"/>
      <c r="P61" s="179"/>
      <c r="Q61" s="179"/>
      <c r="R61" s="179"/>
      <c r="S61" s="179"/>
      <c r="T61" s="179"/>
      <c r="U61" s="179"/>
      <c r="V61" s="179"/>
      <c r="W61" s="179"/>
      <c r="X61" s="116"/>
      <c r="Y61" s="200"/>
      <c r="Z61" s="179"/>
      <c r="AA61" s="179"/>
      <c r="AB61" s="179"/>
      <c r="AC61" s="186"/>
      <c r="AD61" s="195"/>
      <c r="AE61" s="179"/>
      <c r="AF61" s="176"/>
      <c r="AG61" s="176"/>
      <c r="AH61" s="197">
        <v>1.0</v>
      </c>
      <c r="AI61" s="176"/>
      <c r="AJ61" s="251">
        <f t="shared" si="32"/>
        <v>1</v>
      </c>
      <c r="AK61" s="169">
        <f t="shared" si="33"/>
        <v>16.66666667</v>
      </c>
      <c r="AL61" s="183"/>
      <c r="AM61" s="179"/>
      <c r="AN61" s="179"/>
      <c r="AO61" s="184">
        <v>1.0</v>
      </c>
      <c r="AP61" s="179"/>
      <c r="AQ61" s="179"/>
      <c r="AR61" s="179"/>
      <c r="AS61" s="179"/>
      <c r="AT61" s="116"/>
      <c r="AU61" s="179"/>
      <c r="AV61" s="179"/>
      <c r="AW61" s="179"/>
      <c r="AX61" s="179"/>
      <c r="AY61" s="179"/>
      <c r="AZ61" s="179"/>
      <c r="BA61" s="179"/>
      <c r="BB61" s="179"/>
      <c r="BC61" s="179"/>
      <c r="BD61" s="179"/>
      <c r="BE61" s="194"/>
      <c r="BF61" s="179"/>
      <c r="BG61" s="118">
        <f t="shared" si="34"/>
        <v>1</v>
      </c>
      <c r="BH61" s="122">
        <f t="shared" si="35"/>
        <v>50</v>
      </c>
      <c r="BI61" s="176"/>
      <c r="BJ61" s="179"/>
      <c r="BK61" s="179"/>
      <c r="BL61" s="184">
        <v>1.0</v>
      </c>
      <c r="BM61" s="179"/>
      <c r="BN61" s="179"/>
      <c r="BO61" s="179"/>
      <c r="BP61" s="179"/>
      <c r="BQ61" s="179"/>
      <c r="BR61" s="179"/>
      <c r="BS61" s="179"/>
      <c r="BT61" s="116"/>
      <c r="BU61" s="185"/>
      <c r="BV61" s="179"/>
      <c r="BW61" s="186"/>
      <c r="BX61" s="186"/>
      <c r="BY61" s="186"/>
      <c r="BZ61" s="186"/>
      <c r="CA61" s="186"/>
      <c r="CB61" s="186"/>
      <c r="CC61" s="186"/>
      <c r="CD61" s="186"/>
      <c r="CE61" s="172">
        <f t="shared" si="36"/>
        <v>1</v>
      </c>
      <c r="CF61" s="173">
        <f t="shared" si="37"/>
        <v>50</v>
      </c>
      <c r="CG61" s="199"/>
      <c r="CH61" s="186"/>
      <c r="CI61" s="186"/>
      <c r="CJ61" s="186"/>
      <c r="CK61" s="186"/>
      <c r="CL61" s="186"/>
      <c r="CM61" s="186"/>
      <c r="CN61" s="186"/>
      <c r="CO61" s="186"/>
      <c r="CP61" s="186"/>
      <c r="CQ61" s="186"/>
      <c r="CR61" s="186"/>
      <c r="CS61" s="175">
        <f t="shared" si="38"/>
        <v>0</v>
      </c>
      <c r="CT61" s="158">
        <f t="shared" si="39"/>
        <v>0</v>
      </c>
    </row>
    <row r="62" ht="15.75" customHeight="1">
      <c r="A62" s="146">
        <v>52.0</v>
      </c>
      <c r="B62" s="111" t="s">
        <v>155</v>
      </c>
      <c r="C62" s="112" t="s">
        <v>156</v>
      </c>
      <c r="D62" s="250">
        <f t="shared" si="6"/>
        <v>6</v>
      </c>
      <c r="E62" s="113">
        <f t="shared" si="27"/>
        <v>54.54545455</v>
      </c>
      <c r="F62" s="114" t="str">
        <f t="shared" si="28"/>
        <v>  </v>
      </c>
      <c r="G62" s="202" t="str">
        <f t="shared" si="29"/>
        <v>  </v>
      </c>
      <c r="H62" s="183"/>
      <c r="I62" s="207"/>
      <c r="J62" s="207"/>
      <c r="K62" s="179"/>
      <c r="L62" s="179"/>
      <c r="M62" s="118">
        <f t="shared" si="30"/>
        <v>0</v>
      </c>
      <c r="N62" s="119" t="str">
        <f t="shared" si="31"/>
        <v>#DIV/0!</v>
      </c>
      <c r="O62" s="176"/>
      <c r="P62" s="179"/>
      <c r="Q62" s="179"/>
      <c r="R62" s="179"/>
      <c r="S62" s="179"/>
      <c r="T62" s="179"/>
      <c r="U62" s="179"/>
      <c r="V62" s="179"/>
      <c r="W62" s="179"/>
      <c r="X62" s="116"/>
      <c r="Y62" s="179"/>
      <c r="Z62" s="179"/>
      <c r="AA62" s="179"/>
      <c r="AB62" s="179"/>
      <c r="AC62" s="184">
        <v>1.0</v>
      </c>
      <c r="AD62" s="138">
        <v>1.0</v>
      </c>
      <c r="AE62" s="179"/>
      <c r="AF62" s="176"/>
      <c r="AG62" s="176"/>
      <c r="AH62" s="182">
        <v>1.0</v>
      </c>
      <c r="AI62" s="182">
        <v>1.0</v>
      </c>
      <c r="AJ62" s="251">
        <f t="shared" si="32"/>
        <v>4</v>
      </c>
      <c r="AK62" s="169">
        <f t="shared" si="33"/>
        <v>66.66666667</v>
      </c>
      <c r="AL62" s="183"/>
      <c r="AM62" s="179"/>
      <c r="AN62" s="179"/>
      <c r="AO62" s="179"/>
      <c r="AP62" s="179"/>
      <c r="AQ62" s="179"/>
      <c r="AR62" s="179"/>
      <c r="AS62" s="179"/>
      <c r="AT62" s="116"/>
      <c r="AU62" s="179"/>
      <c r="AV62" s="179"/>
      <c r="AW62" s="179"/>
      <c r="AX62" s="179"/>
      <c r="AY62" s="179"/>
      <c r="AZ62" s="179"/>
      <c r="BA62" s="179"/>
      <c r="BB62" s="179"/>
      <c r="BC62" s="179"/>
      <c r="BD62" s="179"/>
      <c r="BE62" s="194"/>
      <c r="BF62" s="179"/>
      <c r="BG62" s="118">
        <f t="shared" si="34"/>
        <v>0</v>
      </c>
      <c r="BH62" s="122">
        <f t="shared" si="35"/>
        <v>0</v>
      </c>
      <c r="BI62" s="176"/>
      <c r="BJ62" s="179"/>
      <c r="BK62" s="179"/>
      <c r="BL62" s="179"/>
      <c r="BM62" s="179"/>
      <c r="BN62" s="179"/>
      <c r="BO62" s="179"/>
      <c r="BP62" s="179"/>
      <c r="BQ62" s="179"/>
      <c r="BR62" s="179"/>
      <c r="BS62" s="184">
        <v>1.0</v>
      </c>
      <c r="BT62" s="138">
        <v>1.0</v>
      </c>
      <c r="BU62" s="185"/>
      <c r="BV62" s="179"/>
      <c r="BW62" s="186"/>
      <c r="BX62" s="186"/>
      <c r="BY62" s="186"/>
      <c r="BZ62" s="186"/>
      <c r="CA62" s="186"/>
      <c r="CB62" s="186"/>
      <c r="CC62" s="186"/>
      <c r="CD62" s="186"/>
      <c r="CE62" s="172">
        <f t="shared" si="36"/>
        <v>2</v>
      </c>
      <c r="CF62" s="173">
        <f t="shared" si="37"/>
        <v>100</v>
      </c>
      <c r="CG62" s="199"/>
      <c r="CH62" s="186"/>
      <c r="CI62" s="186"/>
      <c r="CJ62" s="186"/>
      <c r="CK62" s="186"/>
      <c r="CL62" s="186"/>
      <c r="CM62" s="186"/>
      <c r="CN62" s="186"/>
      <c r="CO62" s="186"/>
      <c r="CP62" s="186"/>
      <c r="CQ62" s="186"/>
      <c r="CR62" s="186"/>
      <c r="CS62" s="175">
        <f t="shared" si="38"/>
        <v>0</v>
      </c>
      <c r="CT62" s="158">
        <f t="shared" si="39"/>
        <v>0</v>
      </c>
    </row>
    <row r="63" ht="15.75" customHeight="1">
      <c r="A63" s="131">
        <v>53.0</v>
      </c>
      <c r="B63" s="111" t="s">
        <v>157</v>
      </c>
      <c r="C63" s="112" t="s">
        <v>158</v>
      </c>
      <c r="D63" s="250">
        <f t="shared" si="6"/>
        <v>2</v>
      </c>
      <c r="E63" s="113">
        <f t="shared" si="27"/>
        <v>18.18181818</v>
      </c>
      <c r="F63" s="114">
        <f t="shared" si="28"/>
        <v>18.18181818</v>
      </c>
      <c r="G63" s="202">
        <f t="shared" si="29"/>
        <v>18.18181818</v>
      </c>
      <c r="H63" s="183"/>
      <c r="I63" s="179"/>
      <c r="J63" s="179"/>
      <c r="K63" s="179"/>
      <c r="L63" s="179"/>
      <c r="M63" s="118">
        <f t="shared" si="30"/>
        <v>0</v>
      </c>
      <c r="N63" s="119" t="str">
        <f t="shared" si="31"/>
        <v>#DIV/0!</v>
      </c>
      <c r="O63" s="176"/>
      <c r="P63" s="179"/>
      <c r="Q63" s="179"/>
      <c r="R63" s="179"/>
      <c r="S63" s="179"/>
      <c r="T63" s="179"/>
      <c r="U63" s="179"/>
      <c r="V63" s="179"/>
      <c r="W63" s="179"/>
      <c r="X63" s="116"/>
      <c r="Y63" s="179"/>
      <c r="Z63" s="179"/>
      <c r="AA63" s="179"/>
      <c r="AB63" s="179"/>
      <c r="AC63" s="179"/>
      <c r="AD63" s="116"/>
      <c r="AE63" s="179"/>
      <c r="AF63" s="176"/>
      <c r="AG63" s="176"/>
      <c r="AH63" s="116"/>
      <c r="AI63" s="176"/>
      <c r="AJ63" s="251">
        <f t="shared" si="32"/>
        <v>0</v>
      </c>
      <c r="AK63" s="169">
        <f t="shared" si="33"/>
        <v>0</v>
      </c>
      <c r="AL63" s="183"/>
      <c r="AM63" s="179"/>
      <c r="AN63" s="179"/>
      <c r="AO63" s="179"/>
      <c r="AP63" s="179"/>
      <c r="AQ63" s="179"/>
      <c r="AR63" s="179"/>
      <c r="AS63" s="179"/>
      <c r="AT63" s="116"/>
      <c r="AU63" s="184">
        <v>1.0</v>
      </c>
      <c r="AV63" s="179"/>
      <c r="AW63" s="179"/>
      <c r="AX63" s="179"/>
      <c r="AY63" s="179"/>
      <c r="AZ63" s="179"/>
      <c r="BA63" s="179"/>
      <c r="BB63" s="179"/>
      <c r="BC63" s="179"/>
      <c r="BD63" s="179"/>
      <c r="BE63" s="194"/>
      <c r="BF63" s="179"/>
      <c r="BG63" s="118">
        <f t="shared" si="34"/>
        <v>1</v>
      </c>
      <c r="BH63" s="122">
        <f t="shared" si="35"/>
        <v>50</v>
      </c>
      <c r="BI63" s="176"/>
      <c r="BJ63" s="179"/>
      <c r="BK63" s="179"/>
      <c r="BL63" s="184">
        <v>1.0</v>
      </c>
      <c r="BM63" s="179"/>
      <c r="BN63" s="179"/>
      <c r="BO63" s="179"/>
      <c r="BP63" s="179"/>
      <c r="BQ63" s="179"/>
      <c r="BR63" s="179"/>
      <c r="BS63" s="179"/>
      <c r="BT63" s="116"/>
      <c r="BU63" s="198"/>
      <c r="BV63" s="179"/>
      <c r="BW63" s="186"/>
      <c r="BX63" s="186"/>
      <c r="BY63" s="186"/>
      <c r="BZ63" s="186"/>
      <c r="CA63" s="186"/>
      <c r="CB63" s="186"/>
      <c r="CC63" s="186"/>
      <c r="CD63" s="186"/>
      <c r="CE63" s="172">
        <f t="shared" si="36"/>
        <v>1</v>
      </c>
      <c r="CF63" s="173">
        <f t="shared" si="37"/>
        <v>50</v>
      </c>
      <c r="CG63" s="199"/>
      <c r="CH63" s="186"/>
      <c r="CI63" s="186"/>
      <c r="CJ63" s="186"/>
      <c r="CK63" s="186"/>
      <c r="CL63" s="186"/>
      <c r="CM63" s="186"/>
      <c r="CN63" s="186"/>
      <c r="CO63" s="186"/>
      <c r="CP63" s="186"/>
      <c r="CQ63" s="186"/>
      <c r="CR63" s="186"/>
      <c r="CS63" s="175">
        <f t="shared" si="38"/>
        <v>0</v>
      </c>
      <c r="CT63" s="158">
        <f t="shared" si="39"/>
        <v>0</v>
      </c>
    </row>
    <row r="64" ht="15.75" customHeight="1">
      <c r="A64" s="146">
        <v>54.0</v>
      </c>
      <c r="B64" s="111" t="s">
        <v>159</v>
      </c>
      <c r="C64" s="112" t="s">
        <v>160</v>
      </c>
      <c r="D64" s="250">
        <f t="shared" si="6"/>
        <v>4</v>
      </c>
      <c r="E64" s="113">
        <f t="shared" si="27"/>
        <v>36.36363636</v>
      </c>
      <c r="F64" s="114">
        <f t="shared" si="28"/>
        <v>36.36363636</v>
      </c>
      <c r="G64" s="164" t="str">
        <f t="shared" si="29"/>
        <v>  </v>
      </c>
      <c r="H64" s="183"/>
      <c r="I64" s="186"/>
      <c r="J64" s="207"/>
      <c r="K64" s="179"/>
      <c r="L64" s="179"/>
      <c r="M64" s="118">
        <f t="shared" si="30"/>
        <v>0</v>
      </c>
      <c r="N64" s="119" t="str">
        <f t="shared" si="31"/>
        <v>#DIV/0!</v>
      </c>
      <c r="O64" s="195"/>
      <c r="P64" s="186"/>
      <c r="Q64" s="186"/>
      <c r="R64" s="186"/>
      <c r="S64" s="186"/>
      <c r="T64" s="186"/>
      <c r="U64" s="186"/>
      <c r="V64" s="186"/>
      <c r="W64" s="186"/>
      <c r="X64" s="116"/>
      <c r="Y64" s="234"/>
      <c r="Z64" s="186"/>
      <c r="AA64" s="186"/>
      <c r="AB64" s="186"/>
      <c r="AC64" s="207"/>
      <c r="AD64" s="138">
        <v>1.0</v>
      </c>
      <c r="AE64" s="186"/>
      <c r="AF64" s="195"/>
      <c r="AG64" s="195"/>
      <c r="AH64" s="116"/>
      <c r="AI64" s="197">
        <v>1.0</v>
      </c>
      <c r="AJ64" s="251">
        <f t="shared" si="32"/>
        <v>2</v>
      </c>
      <c r="AK64" s="169">
        <f t="shared" si="33"/>
        <v>33.33333333</v>
      </c>
      <c r="AL64" s="199"/>
      <c r="AM64" s="186"/>
      <c r="AN64" s="186"/>
      <c r="AO64" s="186"/>
      <c r="AP64" s="186"/>
      <c r="AQ64" s="186"/>
      <c r="AR64" s="186"/>
      <c r="AS64" s="186"/>
      <c r="AT64" s="138"/>
      <c r="AU64" s="200">
        <v>1.0</v>
      </c>
      <c r="AV64" s="186"/>
      <c r="AW64" s="186"/>
      <c r="AX64" s="186"/>
      <c r="AY64" s="186"/>
      <c r="AZ64" s="186"/>
      <c r="BA64" s="186"/>
      <c r="BB64" s="186"/>
      <c r="BC64" s="186"/>
      <c r="BD64" s="186"/>
      <c r="BE64" s="194"/>
      <c r="BF64" s="186"/>
      <c r="BG64" s="118">
        <f t="shared" si="34"/>
        <v>1</v>
      </c>
      <c r="BH64" s="122">
        <f t="shared" si="35"/>
        <v>50</v>
      </c>
      <c r="BI64" s="195"/>
      <c r="BJ64" s="186"/>
      <c r="BK64" s="186"/>
      <c r="BL64" s="200">
        <v>1.0</v>
      </c>
      <c r="BM64" s="186"/>
      <c r="BN64" s="186"/>
      <c r="BO64" s="186"/>
      <c r="BP64" s="186"/>
      <c r="BQ64" s="186"/>
      <c r="BR64" s="186"/>
      <c r="BS64" s="186"/>
      <c r="BT64" s="116"/>
      <c r="BU64" s="198"/>
      <c r="BV64" s="186"/>
      <c r="BW64" s="186"/>
      <c r="BX64" s="186"/>
      <c r="BY64" s="186"/>
      <c r="BZ64" s="186"/>
      <c r="CA64" s="186"/>
      <c r="CB64" s="186"/>
      <c r="CC64" s="186"/>
      <c r="CD64" s="186"/>
      <c r="CE64" s="172">
        <f t="shared" si="36"/>
        <v>1</v>
      </c>
      <c r="CF64" s="173">
        <f t="shared" si="37"/>
        <v>50</v>
      </c>
      <c r="CG64" s="199"/>
      <c r="CH64" s="186"/>
      <c r="CI64" s="186"/>
      <c r="CJ64" s="186"/>
      <c r="CK64" s="186"/>
      <c r="CL64" s="186"/>
      <c r="CM64" s="186"/>
      <c r="CN64" s="186"/>
      <c r="CO64" s="186"/>
      <c r="CP64" s="186"/>
      <c r="CQ64" s="186"/>
      <c r="CR64" s="186"/>
      <c r="CS64" s="175">
        <f t="shared" si="38"/>
        <v>0</v>
      </c>
      <c r="CT64" s="158">
        <f t="shared" si="39"/>
        <v>0</v>
      </c>
    </row>
    <row r="65" ht="15.75" customHeight="1">
      <c r="A65" s="146">
        <v>55.0</v>
      </c>
      <c r="B65" s="111" t="s">
        <v>161</v>
      </c>
      <c r="C65" s="112" t="s">
        <v>162</v>
      </c>
      <c r="D65" s="250">
        <f t="shared" si="6"/>
        <v>6</v>
      </c>
      <c r="E65" s="113">
        <f t="shared" si="27"/>
        <v>54.54545455</v>
      </c>
      <c r="F65" s="114" t="str">
        <f t="shared" si="28"/>
        <v>  </v>
      </c>
      <c r="G65" s="202" t="str">
        <f t="shared" si="29"/>
        <v>  </v>
      </c>
      <c r="H65" s="183"/>
      <c r="I65" s="186"/>
      <c r="J65" s="186"/>
      <c r="K65" s="179"/>
      <c r="L65" s="179"/>
      <c r="M65" s="118">
        <f t="shared" si="30"/>
        <v>0</v>
      </c>
      <c r="N65" s="119" t="str">
        <f t="shared" si="31"/>
        <v>#DIV/0!</v>
      </c>
      <c r="O65" s="195"/>
      <c r="P65" s="186"/>
      <c r="Q65" s="186"/>
      <c r="R65" s="186"/>
      <c r="S65" s="186"/>
      <c r="T65" s="186"/>
      <c r="U65" s="186"/>
      <c r="V65" s="186"/>
      <c r="W65" s="186"/>
      <c r="X65" s="116"/>
      <c r="Y65" s="179"/>
      <c r="Z65" s="186"/>
      <c r="AA65" s="186"/>
      <c r="AB65" s="186"/>
      <c r="AC65" s="184">
        <v>1.0</v>
      </c>
      <c r="AD65" s="182">
        <v>1.0</v>
      </c>
      <c r="AE65" s="186"/>
      <c r="AF65" s="195"/>
      <c r="AG65" s="195"/>
      <c r="AH65" s="176"/>
      <c r="AI65" s="195"/>
      <c r="AJ65" s="251">
        <f t="shared" si="32"/>
        <v>2</v>
      </c>
      <c r="AK65" s="169">
        <f t="shared" si="33"/>
        <v>33.33333333</v>
      </c>
      <c r="AL65" s="199"/>
      <c r="AM65" s="186"/>
      <c r="AN65" s="186"/>
      <c r="AO65" s="186"/>
      <c r="AP65" s="186"/>
      <c r="AQ65" s="186"/>
      <c r="AR65" s="186"/>
      <c r="AS65" s="186"/>
      <c r="AT65" s="138"/>
      <c r="AU65" s="200">
        <v>1.0</v>
      </c>
      <c r="AV65" s="186"/>
      <c r="AW65" s="186"/>
      <c r="AX65" s="186"/>
      <c r="AY65" s="186"/>
      <c r="AZ65" s="186"/>
      <c r="BA65" s="186"/>
      <c r="BB65" s="186"/>
      <c r="BC65" s="186"/>
      <c r="BD65" s="186"/>
      <c r="BE65" s="181"/>
      <c r="BF65" s="186"/>
      <c r="BG65" s="118">
        <f t="shared" si="34"/>
        <v>1</v>
      </c>
      <c r="BH65" s="122">
        <f t="shared" si="35"/>
        <v>50</v>
      </c>
      <c r="BI65" s="195"/>
      <c r="BJ65" s="186"/>
      <c r="BK65" s="186"/>
      <c r="BL65" s="200">
        <v>1.0</v>
      </c>
      <c r="BM65" s="186"/>
      <c r="BN65" s="186"/>
      <c r="BO65" s="186"/>
      <c r="BP65" s="186"/>
      <c r="BQ65" s="186"/>
      <c r="BR65" s="186"/>
      <c r="BS65" s="200">
        <v>1.0</v>
      </c>
      <c r="BT65" s="138">
        <v>1.0</v>
      </c>
      <c r="BU65" s="185"/>
      <c r="BV65" s="186"/>
      <c r="BW65" s="186"/>
      <c r="BX65" s="186"/>
      <c r="BY65" s="186"/>
      <c r="BZ65" s="186"/>
      <c r="CA65" s="186"/>
      <c r="CB65" s="186"/>
      <c r="CC65" s="186"/>
      <c r="CD65" s="186"/>
      <c r="CE65" s="172">
        <f t="shared" si="36"/>
        <v>3</v>
      </c>
      <c r="CF65" s="173">
        <f t="shared" si="37"/>
        <v>150</v>
      </c>
      <c r="CG65" s="199"/>
      <c r="CH65" s="186"/>
      <c r="CI65" s="186"/>
      <c r="CJ65" s="186"/>
      <c r="CK65" s="186"/>
      <c r="CL65" s="186"/>
      <c r="CM65" s="186"/>
      <c r="CN65" s="186"/>
      <c r="CO65" s="186"/>
      <c r="CP65" s="186"/>
      <c r="CQ65" s="186"/>
      <c r="CR65" s="186"/>
      <c r="CS65" s="175">
        <f t="shared" si="38"/>
        <v>0</v>
      </c>
      <c r="CT65" s="158">
        <f t="shared" si="39"/>
        <v>0</v>
      </c>
    </row>
    <row r="66" ht="15.75" customHeight="1">
      <c r="A66" s="131">
        <v>56.0</v>
      </c>
      <c r="B66" s="111" t="s">
        <v>163</v>
      </c>
      <c r="C66" s="112" t="s">
        <v>164</v>
      </c>
      <c r="D66" s="250">
        <f t="shared" si="6"/>
        <v>7</v>
      </c>
      <c r="E66" s="113">
        <f t="shared" si="27"/>
        <v>63.63636364</v>
      </c>
      <c r="F66" s="114" t="str">
        <f t="shared" si="28"/>
        <v>  </v>
      </c>
      <c r="G66" s="164" t="str">
        <f t="shared" si="29"/>
        <v>  </v>
      </c>
      <c r="H66" s="183"/>
      <c r="I66" s="207"/>
      <c r="J66" s="207"/>
      <c r="K66" s="179"/>
      <c r="L66" s="179"/>
      <c r="M66" s="118">
        <f t="shared" si="30"/>
        <v>0</v>
      </c>
      <c r="N66" s="119" t="str">
        <f t="shared" si="31"/>
        <v>#DIV/0!</v>
      </c>
      <c r="O66" s="176"/>
      <c r="P66" s="179"/>
      <c r="Q66" s="179"/>
      <c r="R66" s="179"/>
      <c r="S66" s="179"/>
      <c r="T66" s="179"/>
      <c r="U66" s="179"/>
      <c r="V66" s="179"/>
      <c r="W66" s="179"/>
      <c r="X66" s="138">
        <v>1.0</v>
      </c>
      <c r="Y66" s="179"/>
      <c r="Z66" s="179"/>
      <c r="AA66" s="179"/>
      <c r="AB66" s="179"/>
      <c r="AC66" s="184">
        <v>1.0</v>
      </c>
      <c r="AD66" s="182">
        <v>1.0</v>
      </c>
      <c r="AE66" s="179"/>
      <c r="AF66" s="176"/>
      <c r="AG66" s="176"/>
      <c r="AH66" s="138">
        <v>1.0</v>
      </c>
      <c r="AI66" s="182">
        <v>1.0</v>
      </c>
      <c r="AJ66" s="251">
        <f t="shared" si="32"/>
        <v>5</v>
      </c>
      <c r="AK66" s="169">
        <f t="shared" si="33"/>
        <v>83.33333333</v>
      </c>
      <c r="AL66" s="183"/>
      <c r="AM66" s="179"/>
      <c r="AN66" s="179"/>
      <c r="AO66" s="179"/>
      <c r="AP66" s="179"/>
      <c r="AQ66" s="179"/>
      <c r="AR66" s="179"/>
      <c r="AS66" s="179"/>
      <c r="AT66" s="116"/>
      <c r="AU66" s="184">
        <v>1.0</v>
      </c>
      <c r="AV66" s="179"/>
      <c r="AW66" s="179"/>
      <c r="AX66" s="179"/>
      <c r="AY66" s="179"/>
      <c r="AZ66" s="179"/>
      <c r="BA66" s="179"/>
      <c r="BB66" s="179"/>
      <c r="BC66" s="179"/>
      <c r="BD66" s="179"/>
      <c r="BE66" s="194"/>
      <c r="BF66" s="179"/>
      <c r="BG66" s="118">
        <f t="shared" si="34"/>
        <v>1</v>
      </c>
      <c r="BH66" s="122">
        <f t="shared" si="35"/>
        <v>50</v>
      </c>
      <c r="BI66" s="176"/>
      <c r="BJ66" s="179"/>
      <c r="BK66" s="179"/>
      <c r="BL66" s="179"/>
      <c r="BM66" s="179"/>
      <c r="BN66" s="179"/>
      <c r="BO66" s="179"/>
      <c r="BP66" s="179"/>
      <c r="BQ66" s="179"/>
      <c r="BR66" s="179"/>
      <c r="BS66" s="184">
        <v>1.0</v>
      </c>
      <c r="BT66" s="116"/>
      <c r="BU66" s="252"/>
      <c r="BV66" s="179"/>
      <c r="BW66" s="186"/>
      <c r="BX66" s="186"/>
      <c r="BY66" s="186"/>
      <c r="BZ66" s="186"/>
      <c r="CA66" s="186"/>
      <c r="CB66" s="186"/>
      <c r="CC66" s="186"/>
      <c r="CD66" s="186"/>
      <c r="CE66" s="172">
        <f t="shared" si="36"/>
        <v>1</v>
      </c>
      <c r="CF66" s="173">
        <f t="shared" si="37"/>
        <v>50</v>
      </c>
      <c r="CG66" s="199"/>
      <c r="CH66" s="186"/>
      <c r="CI66" s="186"/>
      <c r="CJ66" s="186"/>
      <c r="CK66" s="186"/>
      <c r="CL66" s="186"/>
      <c r="CM66" s="186"/>
      <c r="CN66" s="186"/>
      <c r="CO66" s="186"/>
      <c r="CP66" s="186"/>
      <c r="CQ66" s="186"/>
      <c r="CR66" s="186"/>
      <c r="CS66" s="175">
        <f t="shared" si="38"/>
        <v>0</v>
      </c>
      <c r="CT66" s="158">
        <f t="shared" si="39"/>
        <v>0</v>
      </c>
    </row>
    <row r="67" ht="15.75" customHeight="1">
      <c r="A67" s="146">
        <v>57.0</v>
      </c>
      <c r="B67" s="111" t="s">
        <v>165</v>
      </c>
      <c r="C67" s="112" t="s">
        <v>166</v>
      </c>
      <c r="D67" s="250">
        <f t="shared" si="6"/>
        <v>9</v>
      </c>
      <c r="E67" s="113">
        <f t="shared" si="27"/>
        <v>81.81818182</v>
      </c>
      <c r="F67" s="114" t="str">
        <f t="shared" si="28"/>
        <v>  </v>
      </c>
      <c r="G67" s="202" t="str">
        <f t="shared" si="29"/>
        <v>  </v>
      </c>
      <c r="H67" s="212"/>
      <c r="I67" s="179"/>
      <c r="J67" s="179"/>
      <c r="K67" s="179"/>
      <c r="L67" s="179"/>
      <c r="M67" s="118">
        <f t="shared" si="30"/>
        <v>0</v>
      </c>
      <c r="N67" s="119" t="str">
        <f t="shared" si="31"/>
        <v>#DIV/0!</v>
      </c>
      <c r="O67" s="176"/>
      <c r="P67" s="179"/>
      <c r="Q67" s="179"/>
      <c r="R67" s="179"/>
      <c r="S67" s="179"/>
      <c r="T67" s="179"/>
      <c r="U67" s="179"/>
      <c r="V67" s="179"/>
      <c r="W67" s="179"/>
      <c r="X67" s="138">
        <v>1.0</v>
      </c>
      <c r="Y67" s="184">
        <v>1.0</v>
      </c>
      <c r="Z67" s="179"/>
      <c r="AA67" s="179"/>
      <c r="AB67" s="179"/>
      <c r="AC67" s="184">
        <v>1.0</v>
      </c>
      <c r="AD67" s="138">
        <v>1.0</v>
      </c>
      <c r="AE67" s="179"/>
      <c r="AF67" s="176"/>
      <c r="AG67" s="176"/>
      <c r="AH67" s="138">
        <v>1.0</v>
      </c>
      <c r="AI67" s="182">
        <v>1.0</v>
      </c>
      <c r="AJ67" s="251">
        <f t="shared" si="32"/>
        <v>6</v>
      </c>
      <c r="AK67" s="169">
        <f t="shared" si="33"/>
        <v>100</v>
      </c>
      <c r="AL67" s="183"/>
      <c r="AM67" s="179"/>
      <c r="AN67" s="179"/>
      <c r="AO67" s="184">
        <v>1.0</v>
      </c>
      <c r="AP67" s="179"/>
      <c r="AQ67" s="179"/>
      <c r="AR67" s="179"/>
      <c r="AS67" s="179"/>
      <c r="AT67" s="116"/>
      <c r="AU67" s="184">
        <v>1.0</v>
      </c>
      <c r="AV67" s="179"/>
      <c r="AW67" s="179"/>
      <c r="AX67" s="179"/>
      <c r="AY67" s="179"/>
      <c r="AZ67" s="179"/>
      <c r="BA67" s="179"/>
      <c r="BB67" s="179"/>
      <c r="BC67" s="179"/>
      <c r="BD67" s="179"/>
      <c r="BE67" s="194"/>
      <c r="BF67" s="179"/>
      <c r="BG67" s="118">
        <f t="shared" si="34"/>
        <v>2</v>
      </c>
      <c r="BH67" s="122">
        <f t="shared" si="35"/>
        <v>100</v>
      </c>
      <c r="BI67" s="176"/>
      <c r="BJ67" s="179"/>
      <c r="BK67" s="179"/>
      <c r="BL67" s="184">
        <v>1.0</v>
      </c>
      <c r="BM67" s="179"/>
      <c r="BN67" s="179"/>
      <c r="BO67" s="179"/>
      <c r="BP67" s="179"/>
      <c r="BQ67" s="179"/>
      <c r="BR67" s="179"/>
      <c r="BS67" s="179"/>
      <c r="BT67" s="116"/>
      <c r="BU67" s="185"/>
      <c r="BV67" s="179"/>
      <c r="BW67" s="186"/>
      <c r="BX67" s="186"/>
      <c r="BY67" s="186"/>
      <c r="BZ67" s="186"/>
      <c r="CA67" s="186"/>
      <c r="CB67" s="186"/>
      <c r="CC67" s="186"/>
      <c r="CD67" s="186"/>
      <c r="CE67" s="172">
        <f t="shared" si="36"/>
        <v>1</v>
      </c>
      <c r="CF67" s="173">
        <f t="shared" si="37"/>
        <v>50</v>
      </c>
      <c r="CG67" s="199"/>
      <c r="CH67" s="186"/>
      <c r="CI67" s="186"/>
      <c r="CJ67" s="186"/>
      <c r="CK67" s="186"/>
      <c r="CL67" s="186"/>
      <c r="CM67" s="186"/>
      <c r="CN67" s="186"/>
      <c r="CO67" s="186"/>
      <c r="CP67" s="186"/>
      <c r="CQ67" s="186"/>
      <c r="CR67" s="186"/>
      <c r="CS67" s="175">
        <f t="shared" si="38"/>
        <v>0</v>
      </c>
      <c r="CT67" s="158">
        <f t="shared" si="39"/>
        <v>0</v>
      </c>
    </row>
    <row r="68" ht="15.75" customHeight="1">
      <c r="A68" s="146">
        <v>58.0</v>
      </c>
      <c r="B68" s="111" t="s">
        <v>167</v>
      </c>
      <c r="C68" s="112" t="s">
        <v>168</v>
      </c>
      <c r="D68" s="250">
        <f t="shared" si="6"/>
        <v>11</v>
      </c>
      <c r="E68" s="113">
        <f t="shared" si="27"/>
        <v>100</v>
      </c>
      <c r="F68" s="114" t="str">
        <f t="shared" si="28"/>
        <v>  </v>
      </c>
      <c r="G68" s="202" t="str">
        <f t="shared" si="29"/>
        <v>  </v>
      </c>
      <c r="H68" s="183"/>
      <c r="I68" s="179"/>
      <c r="J68" s="179"/>
      <c r="K68" s="179"/>
      <c r="L68" s="179"/>
      <c r="M68" s="118">
        <f t="shared" si="30"/>
        <v>0</v>
      </c>
      <c r="N68" s="119" t="str">
        <f t="shared" si="31"/>
        <v>#DIV/0!</v>
      </c>
      <c r="O68" s="206"/>
      <c r="P68" s="207"/>
      <c r="Q68" s="207"/>
      <c r="R68" s="207"/>
      <c r="S68" s="207"/>
      <c r="T68" s="207"/>
      <c r="U68" s="207"/>
      <c r="V68" s="207"/>
      <c r="W68" s="207"/>
      <c r="X68" s="138">
        <v>1.0</v>
      </c>
      <c r="Y68" s="184">
        <v>1.0</v>
      </c>
      <c r="Z68" s="207"/>
      <c r="AA68" s="207"/>
      <c r="AB68" s="207"/>
      <c r="AC68" s="184">
        <v>1.0</v>
      </c>
      <c r="AD68" s="138">
        <v>1.0</v>
      </c>
      <c r="AE68" s="207"/>
      <c r="AF68" s="206"/>
      <c r="AG68" s="206"/>
      <c r="AH68" s="182">
        <v>1.0</v>
      </c>
      <c r="AI68" s="209">
        <v>1.0</v>
      </c>
      <c r="AJ68" s="251">
        <f t="shared" si="32"/>
        <v>6</v>
      </c>
      <c r="AK68" s="169">
        <f t="shared" si="33"/>
        <v>100</v>
      </c>
      <c r="AL68" s="212"/>
      <c r="AM68" s="207"/>
      <c r="AN68" s="207"/>
      <c r="AO68" s="234">
        <v>1.0</v>
      </c>
      <c r="AP68" s="207"/>
      <c r="AQ68" s="207"/>
      <c r="AR68" s="207"/>
      <c r="AS68" s="207"/>
      <c r="AT68" s="138"/>
      <c r="AU68" s="234">
        <v>1.0</v>
      </c>
      <c r="AV68" s="207"/>
      <c r="AW68" s="207"/>
      <c r="AX68" s="207"/>
      <c r="AY68" s="207"/>
      <c r="AZ68" s="207"/>
      <c r="BA68" s="207"/>
      <c r="BB68" s="207"/>
      <c r="BC68" s="207"/>
      <c r="BD68" s="207"/>
      <c r="BE68" s="194"/>
      <c r="BF68" s="207"/>
      <c r="BG68" s="118">
        <f t="shared" si="34"/>
        <v>2</v>
      </c>
      <c r="BH68" s="122">
        <f t="shared" si="35"/>
        <v>100</v>
      </c>
      <c r="BI68" s="206"/>
      <c r="BJ68" s="207"/>
      <c r="BK68" s="207"/>
      <c r="BL68" s="234">
        <v>1.0</v>
      </c>
      <c r="BM68" s="207"/>
      <c r="BN68" s="207"/>
      <c r="BO68" s="207"/>
      <c r="BP68" s="207"/>
      <c r="BQ68" s="207"/>
      <c r="BR68" s="207"/>
      <c r="BS68" s="234">
        <v>1.0</v>
      </c>
      <c r="BT68" s="138">
        <v>1.0</v>
      </c>
      <c r="BU68" s="185"/>
      <c r="BV68" s="207"/>
      <c r="BW68" s="186"/>
      <c r="BX68" s="186"/>
      <c r="BY68" s="186"/>
      <c r="BZ68" s="186"/>
      <c r="CA68" s="186"/>
      <c r="CB68" s="186"/>
      <c r="CC68" s="186"/>
      <c r="CD68" s="186"/>
      <c r="CE68" s="172">
        <f t="shared" si="36"/>
        <v>3</v>
      </c>
      <c r="CF68" s="173">
        <f t="shared" si="37"/>
        <v>150</v>
      </c>
      <c r="CG68" s="199"/>
      <c r="CH68" s="186"/>
      <c r="CI68" s="186"/>
      <c r="CJ68" s="186"/>
      <c r="CK68" s="186"/>
      <c r="CL68" s="186"/>
      <c r="CM68" s="43"/>
      <c r="CN68" s="186"/>
      <c r="CO68" s="186"/>
      <c r="CP68" s="186"/>
      <c r="CQ68" s="186"/>
      <c r="CR68" s="186"/>
      <c r="CS68" s="175">
        <f t="shared" si="38"/>
        <v>0</v>
      </c>
      <c r="CT68" s="158">
        <f t="shared" si="39"/>
        <v>0</v>
      </c>
    </row>
    <row r="69" ht="15.75" customHeight="1">
      <c r="A69" s="131">
        <v>59.0</v>
      </c>
      <c r="B69" s="111" t="s">
        <v>169</v>
      </c>
      <c r="C69" s="112" t="s">
        <v>170</v>
      </c>
      <c r="D69" s="250">
        <f t="shared" si="6"/>
        <v>5</v>
      </c>
      <c r="E69" s="113">
        <f t="shared" si="27"/>
        <v>45.45454545</v>
      </c>
      <c r="F69" s="114">
        <f t="shared" si="28"/>
        <v>45.45454545</v>
      </c>
      <c r="G69" s="202" t="str">
        <f t="shared" si="29"/>
        <v>  </v>
      </c>
      <c r="H69" s="183"/>
      <c r="I69" s="179"/>
      <c r="J69" s="179"/>
      <c r="K69" s="179"/>
      <c r="L69" s="179"/>
      <c r="M69" s="118">
        <f t="shared" si="30"/>
        <v>0</v>
      </c>
      <c r="N69" s="119" t="str">
        <f t="shared" si="31"/>
        <v>#DIV/0!</v>
      </c>
      <c r="O69" s="176"/>
      <c r="P69" s="179"/>
      <c r="Q69" s="179"/>
      <c r="R69" s="179"/>
      <c r="S69" s="179"/>
      <c r="T69" s="179"/>
      <c r="U69" s="179"/>
      <c r="V69" s="179"/>
      <c r="W69" s="179"/>
      <c r="X69" s="116"/>
      <c r="Y69" s="207"/>
      <c r="Z69" s="179"/>
      <c r="AA69" s="179"/>
      <c r="AB69" s="179"/>
      <c r="AC69" s="207"/>
      <c r="AD69" s="116"/>
      <c r="AE69" s="179"/>
      <c r="AF69" s="176"/>
      <c r="AG69" s="176"/>
      <c r="AH69" s="209">
        <v>1.0</v>
      </c>
      <c r="AI69" s="182">
        <v>1.0</v>
      </c>
      <c r="AJ69" s="251">
        <f t="shared" si="32"/>
        <v>2</v>
      </c>
      <c r="AK69" s="169">
        <f t="shared" si="33"/>
        <v>33.33333333</v>
      </c>
      <c r="AL69" s="183"/>
      <c r="AM69" s="179"/>
      <c r="AN69" s="179"/>
      <c r="AO69" s="184">
        <v>1.0</v>
      </c>
      <c r="AP69" s="179"/>
      <c r="AQ69" s="179"/>
      <c r="AR69" s="179"/>
      <c r="AS69" s="179"/>
      <c r="AT69" s="138"/>
      <c r="AU69" s="184">
        <v>1.0</v>
      </c>
      <c r="AV69" s="179"/>
      <c r="AW69" s="179"/>
      <c r="AX69" s="179"/>
      <c r="AY69" s="179"/>
      <c r="AZ69" s="179"/>
      <c r="BA69" s="179"/>
      <c r="BB69" s="179"/>
      <c r="BC69" s="179"/>
      <c r="BD69" s="179"/>
      <c r="BE69" s="181"/>
      <c r="BF69" s="179"/>
      <c r="BG69" s="118">
        <f t="shared" si="34"/>
        <v>2</v>
      </c>
      <c r="BH69" s="122">
        <f t="shared" si="35"/>
        <v>100</v>
      </c>
      <c r="BI69" s="176"/>
      <c r="BJ69" s="179"/>
      <c r="BK69" s="179"/>
      <c r="BL69" s="179"/>
      <c r="BM69" s="179"/>
      <c r="BN69" s="179"/>
      <c r="BO69" s="179"/>
      <c r="BP69" s="179"/>
      <c r="BQ69" s="179"/>
      <c r="BR69" s="179"/>
      <c r="BS69" s="184">
        <v>1.0</v>
      </c>
      <c r="BT69" s="116"/>
      <c r="BU69" s="185"/>
      <c r="BV69" s="179"/>
      <c r="BW69" s="186"/>
      <c r="BX69" s="186"/>
      <c r="BY69" s="186"/>
      <c r="BZ69" s="186"/>
      <c r="CA69" s="186"/>
      <c r="CB69" s="186"/>
      <c r="CC69" s="186"/>
      <c r="CD69" s="186"/>
      <c r="CE69" s="172">
        <f t="shared" si="36"/>
        <v>1</v>
      </c>
      <c r="CF69" s="173">
        <f t="shared" si="37"/>
        <v>50</v>
      </c>
      <c r="CG69" s="199"/>
      <c r="CH69" s="186"/>
      <c r="CI69" s="186"/>
      <c r="CJ69" s="186"/>
      <c r="CK69" s="186"/>
      <c r="CL69" s="186"/>
      <c r="CM69" s="186"/>
      <c r="CN69" s="186"/>
      <c r="CO69" s="186"/>
      <c r="CP69" s="186"/>
      <c r="CQ69" s="186"/>
      <c r="CR69" s="186"/>
      <c r="CS69" s="175">
        <f t="shared" si="38"/>
        <v>0</v>
      </c>
      <c r="CT69" s="158">
        <f t="shared" si="39"/>
        <v>0</v>
      </c>
    </row>
    <row r="70" ht="15.75" customHeight="1">
      <c r="A70" s="146">
        <v>60.0</v>
      </c>
      <c r="B70" s="111" t="s">
        <v>171</v>
      </c>
      <c r="C70" s="112" t="s">
        <v>172</v>
      </c>
      <c r="D70" s="250">
        <f t="shared" si="6"/>
        <v>1</v>
      </c>
      <c r="E70" s="113">
        <f t="shared" si="27"/>
        <v>9.090909091</v>
      </c>
      <c r="F70" s="114">
        <f t="shared" si="28"/>
        <v>9.090909091</v>
      </c>
      <c r="G70" s="202">
        <f t="shared" si="29"/>
        <v>9.090909091</v>
      </c>
      <c r="H70" s="183"/>
      <c r="I70" s="179"/>
      <c r="J70" s="186"/>
      <c r="K70" s="179"/>
      <c r="L70" s="179"/>
      <c r="M70" s="118">
        <f t="shared" si="30"/>
        <v>0</v>
      </c>
      <c r="N70" s="119" t="str">
        <f t="shared" si="31"/>
        <v>#DIV/0!</v>
      </c>
      <c r="O70" s="176"/>
      <c r="P70" s="179"/>
      <c r="Q70" s="179"/>
      <c r="R70" s="179"/>
      <c r="S70" s="179"/>
      <c r="T70" s="179"/>
      <c r="U70" s="179"/>
      <c r="V70" s="179"/>
      <c r="W70" s="179"/>
      <c r="X70" s="116"/>
      <c r="Y70" s="179"/>
      <c r="Z70" s="179"/>
      <c r="AA70" s="179"/>
      <c r="AB70" s="179"/>
      <c r="AC70" s="179"/>
      <c r="AD70" s="176"/>
      <c r="AE70" s="179"/>
      <c r="AF70" s="176"/>
      <c r="AG70" s="176"/>
      <c r="AH70" s="138"/>
      <c r="AI70" s="176"/>
      <c r="AJ70" s="251">
        <f t="shared" si="32"/>
        <v>0</v>
      </c>
      <c r="AK70" s="169">
        <f t="shared" si="33"/>
        <v>0</v>
      </c>
      <c r="AL70" s="183"/>
      <c r="AM70" s="179"/>
      <c r="AN70" s="179"/>
      <c r="AO70" s="179"/>
      <c r="AP70" s="179"/>
      <c r="AQ70" s="179"/>
      <c r="AR70" s="179"/>
      <c r="AS70" s="179"/>
      <c r="AT70" s="116"/>
      <c r="AU70" s="179"/>
      <c r="AV70" s="179"/>
      <c r="AW70" s="179"/>
      <c r="AX70" s="179"/>
      <c r="AY70" s="179"/>
      <c r="AZ70" s="179"/>
      <c r="BA70" s="179"/>
      <c r="BB70" s="179"/>
      <c r="BC70" s="179"/>
      <c r="BD70" s="179"/>
      <c r="BE70" s="181"/>
      <c r="BF70" s="179"/>
      <c r="BG70" s="118">
        <f t="shared" si="34"/>
        <v>0</v>
      </c>
      <c r="BH70" s="122">
        <f t="shared" si="35"/>
        <v>0</v>
      </c>
      <c r="BI70" s="176"/>
      <c r="BJ70" s="179"/>
      <c r="BK70" s="179"/>
      <c r="BL70" s="179"/>
      <c r="BM70" s="179"/>
      <c r="BN70" s="179"/>
      <c r="BO70" s="179"/>
      <c r="BP70" s="179"/>
      <c r="BQ70" s="179"/>
      <c r="BR70" s="179"/>
      <c r="BS70" s="184">
        <v>1.0</v>
      </c>
      <c r="BT70" s="116"/>
      <c r="BU70" s="185"/>
      <c r="BV70" s="179"/>
      <c r="BW70" s="186"/>
      <c r="BX70" s="186"/>
      <c r="BY70" s="186"/>
      <c r="BZ70" s="186"/>
      <c r="CA70" s="186"/>
      <c r="CB70" s="186"/>
      <c r="CC70" s="186"/>
      <c r="CD70" s="186"/>
      <c r="CE70" s="172">
        <f t="shared" si="36"/>
        <v>1</v>
      </c>
      <c r="CF70" s="173">
        <f t="shared" si="37"/>
        <v>50</v>
      </c>
      <c r="CG70" s="199"/>
      <c r="CH70" s="186"/>
      <c r="CI70" s="186"/>
      <c r="CJ70" s="186"/>
      <c r="CK70" s="186"/>
      <c r="CL70" s="186"/>
      <c r="CM70" s="186"/>
      <c r="CN70" s="186"/>
      <c r="CO70" s="186"/>
      <c r="CP70" s="186"/>
      <c r="CQ70" s="186"/>
      <c r="CR70" s="186"/>
      <c r="CS70" s="175">
        <f t="shared" si="38"/>
        <v>0</v>
      </c>
      <c r="CT70" s="158">
        <f t="shared" si="39"/>
        <v>0</v>
      </c>
    </row>
    <row r="71" ht="15.75" customHeight="1">
      <c r="A71" s="146">
        <v>61.0</v>
      </c>
      <c r="B71" s="111" t="s">
        <v>173</v>
      </c>
      <c r="C71" s="112" t="s">
        <v>174</v>
      </c>
      <c r="D71" s="250">
        <f t="shared" si="6"/>
        <v>2</v>
      </c>
      <c r="E71" s="113">
        <f t="shared" si="27"/>
        <v>18.18181818</v>
      </c>
      <c r="F71" s="114">
        <f t="shared" si="28"/>
        <v>18.18181818</v>
      </c>
      <c r="G71" s="202">
        <f t="shared" si="29"/>
        <v>18.18181818</v>
      </c>
      <c r="H71" s="183"/>
      <c r="I71" s="179"/>
      <c r="J71" s="179"/>
      <c r="K71" s="179"/>
      <c r="L71" s="179"/>
      <c r="M71" s="118">
        <f t="shared" si="30"/>
        <v>0</v>
      </c>
      <c r="N71" s="119" t="str">
        <f t="shared" si="31"/>
        <v>#DIV/0!</v>
      </c>
      <c r="O71" s="176"/>
      <c r="P71" s="179"/>
      <c r="Q71" s="179"/>
      <c r="R71" s="179"/>
      <c r="S71" s="179"/>
      <c r="T71" s="179"/>
      <c r="U71" s="179"/>
      <c r="V71" s="179"/>
      <c r="W71" s="179"/>
      <c r="X71" s="116"/>
      <c r="Y71" s="179"/>
      <c r="Z71" s="179"/>
      <c r="AA71" s="179"/>
      <c r="AB71" s="179"/>
      <c r="AC71" s="179"/>
      <c r="AD71" s="116"/>
      <c r="AE71" s="179"/>
      <c r="AF71" s="176"/>
      <c r="AG71" s="176"/>
      <c r="AH71" s="138">
        <v>1.0</v>
      </c>
      <c r="AI71" s="176"/>
      <c r="AJ71" s="251">
        <f t="shared" si="32"/>
        <v>1</v>
      </c>
      <c r="AK71" s="169">
        <f t="shared" si="33"/>
        <v>16.66666667</v>
      </c>
      <c r="AL71" s="183"/>
      <c r="AM71" s="179"/>
      <c r="AN71" s="179"/>
      <c r="AO71" s="179"/>
      <c r="AP71" s="179"/>
      <c r="AQ71" s="179"/>
      <c r="AR71" s="179"/>
      <c r="AS71" s="179"/>
      <c r="AT71" s="138"/>
      <c r="AU71" s="184"/>
      <c r="AV71" s="179"/>
      <c r="AW71" s="179"/>
      <c r="AX71" s="179"/>
      <c r="AY71" s="179"/>
      <c r="AZ71" s="179"/>
      <c r="BA71" s="179"/>
      <c r="BB71" s="179"/>
      <c r="BC71" s="179"/>
      <c r="BD71" s="179"/>
      <c r="BE71" s="181"/>
      <c r="BF71" s="179"/>
      <c r="BG71" s="118">
        <f t="shared" si="34"/>
        <v>0</v>
      </c>
      <c r="BH71" s="122">
        <f t="shared" si="35"/>
        <v>0</v>
      </c>
      <c r="BI71" s="176"/>
      <c r="BJ71" s="179"/>
      <c r="BK71" s="179"/>
      <c r="BL71" s="184">
        <v>1.0</v>
      </c>
      <c r="BM71" s="179"/>
      <c r="BN71" s="179"/>
      <c r="BO71" s="179"/>
      <c r="BP71" s="179"/>
      <c r="BQ71" s="179"/>
      <c r="BR71" s="179"/>
      <c r="BS71" s="179"/>
      <c r="BT71" s="116"/>
      <c r="BU71" s="252"/>
      <c r="BV71" s="179"/>
      <c r="BW71" s="186"/>
      <c r="BX71" s="186"/>
      <c r="BY71" s="186"/>
      <c r="BZ71" s="186"/>
      <c r="CA71" s="186"/>
      <c r="CB71" s="186"/>
      <c r="CC71" s="186"/>
      <c r="CD71" s="186"/>
      <c r="CE71" s="172">
        <f t="shared" si="36"/>
        <v>1</v>
      </c>
      <c r="CF71" s="173">
        <f t="shared" si="37"/>
        <v>50</v>
      </c>
      <c r="CG71" s="199"/>
      <c r="CH71" s="186"/>
      <c r="CI71" s="186"/>
      <c r="CJ71" s="186"/>
      <c r="CK71" s="186"/>
      <c r="CL71" s="186"/>
      <c r="CM71" s="186"/>
      <c r="CN71" s="186"/>
      <c r="CO71" s="186"/>
      <c r="CP71" s="186"/>
      <c r="CQ71" s="186"/>
      <c r="CR71" s="186"/>
      <c r="CS71" s="175">
        <f t="shared" si="38"/>
        <v>0</v>
      </c>
      <c r="CT71" s="158">
        <f t="shared" si="39"/>
        <v>0</v>
      </c>
    </row>
    <row r="72" ht="15.75" customHeight="1">
      <c r="A72" s="131">
        <v>62.0</v>
      </c>
      <c r="B72" s="111" t="s">
        <v>175</v>
      </c>
      <c r="C72" s="112" t="s">
        <v>176</v>
      </c>
      <c r="D72" s="250">
        <f t="shared" si="6"/>
        <v>0</v>
      </c>
      <c r="E72" s="113">
        <f t="shared" si="27"/>
        <v>0</v>
      </c>
      <c r="F72" s="114">
        <f t="shared" si="28"/>
        <v>0</v>
      </c>
      <c r="G72" s="202">
        <f t="shared" si="29"/>
        <v>0</v>
      </c>
      <c r="H72" s="183"/>
      <c r="I72" s="179"/>
      <c r="J72" s="179"/>
      <c r="K72" s="179"/>
      <c r="L72" s="179"/>
      <c r="M72" s="118">
        <f t="shared" si="30"/>
        <v>0</v>
      </c>
      <c r="N72" s="119" t="str">
        <f t="shared" si="31"/>
        <v>#DIV/0!</v>
      </c>
      <c r="O72" s="176"/>
      <c r="P72" s="179"/>
      <c r="Q72" s="179"/>
      <c r="R72" s="179"/>
      <c r="S72" s="179"/>
      <c r="T72" s="179"/>
      <c r="U72" s="179"/>
      <c r="V72" s="179"/>
      <c r="W72" s="179"/>
      <c r="X72" s="116"/>
      <c r="Y72" s="179"/>
      <c r="Z72" s="179"/>
      <c r="AA72" s="179"/>
      <c r="AB72" s="179"/>
      <c r="AC72" s="179"/>
      <c r="AD72" s="176"/>
      <c r="AE72" s="179"/>
      <c r="AF72" s="176"/>
      <c r="AG72" s="176"/>
      <c r="AH72" s="176"/>
      <c r="AI72" s="176"/>
      <c r="AJ72" s="251">
        <f t="shared" si="32"/>
        <v>0</v>
      </c>
      <c r="AK72" s="169">
        <f t="shared" si="33"/>
        <v>0</v>
      </c>
      <c r="AL72" s="183"/>
      <c r="AM72" s="179"/>
      <c r="AN72" s="179"/>
      <c r="AO72" s="179"/>
      <c r="AP72" s="179"/>
      <c r="AQ72" s="179"/>
      <c r="AR72" s="179"/>
      <c r="AS72" s="179"/>
      <c r="AT72" s="116"/>
      <c r="AU72" s="179"/>
      <c r="AV72" s="179"/>
      <c r="AW72" s="179"/>
      <c r="AX72" s="179"/>
      <c r="AY72" s="179"/>
      <c r="AZ72" s="179"/>
      <c r="BA72" s="179"/>
      <c r="BB72" s="179"/>
      <c r="BC72" s="179"/>
      <c r="BD72" s="179"/>
      <c r="BE72" s="194"/>
      <c r="BF72" s="179"/>
      <c r="BG72" s="118">
        <f t="shared" si="34"/>
        <v>0</v>
      </c>
      <c r="BH72" s="122">
        <f t="shared" si="35"/>
        <v>0</v>
      </c>
      <c r="BI72" s="176"/>
      <c r="BJ72" s="179"/>
      <c r="BK72" s="179"/>
      <c r="BL72" s="179"/>
      <c r="BM72" s="179"/>
      <c r="BN72" s="179"/>
      <c r="BO72" s="179"/>
      <c r="BP72" s="179"/>
      <c r="BQ72" s="179"/>
      <c r="BR72" s="179"/>
      <c r="BS72" s="179"/>
      <c r="BT72" s="116"/>
      <c r="BU72" s="185"/>
      <c r="BV72" s="179"/>
      <c r="BW72" s="186"/>
      <c r="BX72" s="186"/>
      <c r="BY72" s="186"/>
      <c r="BZ72" s="186"/>
      <c r="CA72" s="186"/>
      <c r="CB72" s="186"/>
      <c r="CC72" s="186"/>
      <c r="CD72" s="186"/>
      <c r="CE72" s="172">
        <f t="shared" si="36"/>
        <v>0</v>
      </c>
      <c r="CF72" s="173">
        <f t="shared" si="37"/>
        <v>0</v>
      </c>
      <c r="CG72" s="199"/>
      <c r="CH72" s="186"/>
      <c r="CI72" s="186"/>
      <c r="CJ72" s="186"/>
      <c r="CK72" s="186"/>
      <c r="CL72" s="186"/>
      <c r="CM72" s="186"/>
      <c r="CN72" s="186"/>
      <c r="CO72" s="186"/>
      <c r="CP72" s="186"/>
      <c r="CQ72" s="186"/>
      <c r="CR72" s="186"/>
      <c r="CS72" s="175">
        <f t="shared" si="38"/>
        <v>0</v>
      </c>
      <c r="CT72" s="158">
        <f t="shared" si="39"/>
        <v>0</v>
      </c>
    </row>
    <row r="73" ht="15.75" customHeight="1">
      <c r="A73" s="146">
        <v>63.0</v>
      </c>
      <c r="B73" s="111" t="s">
        <v>177</v>
      </c>
      <c r="C73" s="112" t="s">
        <v>178</v>
      </c>
      <c r="D73" s="250">
        <f t="shared" si="6"/>
        <v>5</v>
      </c>
      <c r="E73" s="113">
        <f t="shared" si="27"/>
        <v>45.45454545</v>
      </c>
      <c r="F73" s="114">
        <f t="shared" si="28"/>
        <v>45.45454545</v>
      </c>
      <c r="G73" s="202" t="str">
        <f t="shared" si="29"/>
        <v>  </v>
      </c>
      <c r="H73" s="212"/>
      <c r="I73" s="207"/>
      <c r="J73" s="207"/>
      <c r="K73" s="207"/>
      <c r="L73" s="207"/>
      <c r="M73" s="118">
        <f t="shared" si="30"/>
        <v>0</v>
      </c>
      <c r="N73" s="119" t="str">
        <f t="shared" si="31"/>
        <v>#DIV/0!</v>
      </c>
      <c r="O73" s="206"/>
      <c r="P73" s="207"/>
      <c r="Q73" s="207"/>
      <c r="R73" s="207"/>
      <c r="S73" s="207"/>
      <c r="T73" s="207"/>
      <c r="U73" s="207"/>
      <c r="V73" s="207"/>
      <c r="W73" s="207"/>
      <c r="X73" s="116"/>
      <c r="Y73" s="184"/>
      <c r="Z73" s="207"/>
      <c r="AA73" s="207"/>
      <c r="AB73" s="207"/>
      <c r="AC73" s="179"/>
      <c r="AD73" s="138">
        <v>1.0</v>
      </c>
      <c r="AE73" s="207"/>
      <c r="AF73" s="206"/>
      <c r="AG73" s="206"/>
      <c r="AH73" s="116"/>
      <c r="AI73" s="209">
        <v>1.0</v>
      </c>
      <c r="AJ73" s="251">
        <f t="shared" si="32"/>
        <v>2</v>
      </c>
      <c r="AK73" s="169">
        <f t="shared" si="33"/>
        <v>33.33333333</v>
      </c>
      <c r="AL73" s="212"/>
      <c r="AM73" s="207"/>
      <c r="AN73" s="207"/>
      <c r="AO73" s="207"/>
      <c r="AP73" s="207"/>
      <c r="AQ73" s="207"/>
      <c r="AR73" s="207"/>
      <c r="AS73" s="207"/>
      <c r="AT73" s="138"/>
      <c r="AU73" s="234">
        <v>1.0</v>
      </c>
      <c r="AV73" s="207"/>
      <c r="AW73" s="207"/>
      <c r="AX73" s="207"/>
      <c r="AY73" s="207"/>
      <c r="AZ73" s="207"/>
      <c r="BA73" s="207"/>
      <c r="BB73" s="207"/>
      <c r="BC73" s="207"/>
      <c r="BD73" s="207"/>
      <c r="BE73" s="188">
        <v>1.0</v>
      </c>
      <c r="BF73" s="207"/>
      <c r="BG73" s="118">
        <f t="shared" si="34"/>
        <v>2</v>
      </c>
      <c r="BH73" s="122">
        <f t="shared" si="35"/>
        <v>100</v>
      </c>
      <c r="BI73" s="206"/>
      <c r="BJ73" s="207"/>
      <c r="BK73" s="207"/>
      <c r="BL73" s="234">
        <v>1.0</v>
      </c>
      <c r="BM73" s="207"/>
      <c r="BN73" s="207"/>
      <c r="BO73" s="207"/>
      <c r="BP73" s="207"/>
      <c r="BQ73" s="207"/>
      <c r="BR73" s="207"/>
      <c r="BS73" s="207"/>
      <c r="BT73" s="116"/>
      <c r="BU73" s="185"/>
      <c r="BV73" s="207"/>
      <c r="BW73" s="186"/>
      <c r="BX73" s="186"/>
      <c r="BY73" s="186"/>
      <c r="BZ73" s="186"/>
      <c r="CA73" s="186"/>
      <c r="CB73" s="186"/>
      <c r="CC73" s="186"/>
      <c r="CD73" s="186"/>
      <c r="CE73" s="172">
        <f t="shared" si="36"/>
        <v>1</v>
      </c>
      <c r="CF73" s="173">
        <f t="shared" si="37"/>
        <v>50</v>
      </c>
      <c r="CG73" s="199"/>
      <c r="CH73" s="186"/>
      <c r="CI73" s="186"/>
      <c r="CJ73" s="186"/>
      <c r="CK73" s="186"/>
      <c r="CL73" s="186"/>
      <c r="CM73" s="186"/>
      <c r="CN73" s="186"/>
      <c r="CO73" s="186"/>
      <c r="CP73" s="186"/>
      <c r="CQ73" s="186"/>
      <c r="CR73" s="186"/>
      <c r="CS73" s="175">
        <f t="shared" si="38"/>
        <v>0</v>
      </c>
      <c r="CT73" s="158">
        <f t="shared" si="39"/>
        <v>0</v>
      </c>
    </row>
    <row r="74" ht="15.75" customHeight="1">
      <c r="A74" s="146">
        <v>64.0</v>
      </c>
      <c r="B74" s="111" t="s">
        <v>179</v>
      </c>
      <c r="C74" s="112" t="s">
        <v>180</v>
      </c>
      <c r="D74" s="250">
        <f t="shared" si="6"/>
        <v>3</v>
      </c>
      <c r="E74" s="113">
        <f t="shared" si="27"/>
        <v>27.27272727</v>
      </c>
      <c r="F74" s="114">
        <f t="shared" si="28"/>
        <v>27.27272727</v>
      </c>
      <c r="G74" s="202">
        <f t="shared" si="29"/>
        <v>27.27272727</v>
      </c>
      <c r="H74" s="183"/>
      <c r="I74" s="179"/>
      <c r="J74" s="179"/>
      <c r="K74" s="179"/>
      <c r="L74" s="179"/>
      <c r="M74" s="118">
        <f t="shared" si="30"/>
        <v>0</v>
      </c>
      <c r="N74" s="119" t="str">
        <f t="shared" si="31"/>
        <v>#DIV/0!</v>
      </c>
      <c r="O74" s="176"/>
      <c r="P74" s="179"/>
      <c r="Q74" s="179"/>
      <c r="R74" s="179"/>
      <c r="S74" s="179"/>
      <c r="T74" s="179"/>
      <c r="U74" s="179"/>
      <c r="V74" s="179"/>
      <c r="W74" s="179"/>
      <c r="X74" s="116"/>
      <c r="Y74" s="184">
        <v>1.0</v>
      </c>
      <c r="Z74" s="179"/>
      <c r="AA74" s="179"/>
      <c r="AB74" s="179"/>
      <c r="AC74" s="179"/>
      <c r="AD74" s="176"/>
      <c r="AE74" s="179"/>
      <c r="AF74" s="176"/>
      <c r="AG74" s="176"/>
      <c r="AH74" s="176"/>
      <c r="AI74" s="176"/>
      <c r="AJ74" s="251">
        <f t="shared" si="32"/>
        <v>1</v>
      </c>
      <c r="AK74" s="169">
        <f t="shared" si="33"/>
        <v>16.66666667</v>
      </c>
      <c r="AL74" s="183"/>
      <c r="AM74" s="179"/>
      <c r="AN74" s="179"/>
      <c r="AO74" s="179"/>
      <c r="AP74" s="179"/>
      <c r="AQ74" s="179"/>
      <c r="AR74" s="179"/>
      <c r="AS74" s="179"/>
      <c r="AT74" s="116"/>
      <c r="AU74" s="179"/>
      <c r="AV74" s="179"/>
      <c r="AW74" s="179"/>
      <c r="AX74" s="179"/>
      <c r="AY74" s="179"/>
      <c r="AZ74" s="179"/>
      <c r="BA74" s="179"/>
      <c r="BB74" s="179"/>
      <c r="BC74" s="179"/>
      <c r="BD74" s="179"/>
      <c r="BE74" s="194"/>
      <c r="BF74" s="179"/>
      <c r="BG74" s="118">
        <f t="shared" si="34"/>
        <v>0</v>
      </c>
      <c r="BH74" s="122">
        <f t="shared" si="35"/>
        <v>0</v>
      </c>
      <c r="BI74" s="176"/>
      <c r="BJ74" s="179"/>
      <c r="BK74" s="179"/>
      <c r="BL74" s="179"/>
      <c r="BM74" s="179"/>
      <c r="BN74" s="179"/>
      <c r="BO74" s="179"/>
      <c r="BP74" s="179"/>
      <c r="BQ74" s="179"/>
      <c r="BR74" s="179"/>
      <c r="BS74" s="184">
        <v>1.0</v>
      </c>
      <c r="BT74" s="138">
        <v>1.0</v>
      </c>
      <c r="BU74" s="185"/>
      <c r="BV74" s="179"/>
      <c r="BW74" s="186"/>
      <c r="BX74" s="186"/>
      <c r="BY74" s="186"/>
      <c r="BZ74" s="186"/>
      <c r="CA74" s="186"/>
      <c r="CB74" s="186"/>
      <c r="CC74" s="186"/>
      <c r="CD74" s="186"/>
      <c r="CE74" s="172">
        <f t="shared" si="36"/>
        <v>2</v>
      </c>
      <c r="CF74" s="173">
        <f t="shared" si="37"/>
        <v>100</v>
      </c>
      <c r="CG74" s="199"/>
      <c r="CH74" s="186"/>
      <c r="CI74" s="186"/>
      <c r="CJ74" s="186"/>
      <c r="CK74" s="186"/>
      <c r="CL74" s="186"/>
      <c r="CM74" s="186"/>
      <c r="CN74" s="186"/>
      <c r="CO74" s="186"/>
      <c r="CP74" s="186"/>
      <c r="CQ74" s="186"/>
      <c r="CR74" s="186"/>
      <c r="CS74" s="175">
        <f t="shared" si="38"/>
        <v>0</v>
      </c>
      <c r="CT74" s="158">
        <f t="shared" si="39"/>
        <v>0</v>
      </c>
    </row>
    <row r="75" ht="15.75" customHeight="1">
      <c r="A75" s="131">
        <v>65.0</v>
      </c>
      <c r="B75" s="111" t="s">
        <v>181</v>
      </c>
      <c r="C75" s="112" t="s">
        <v>182</v>
      </c>
      <c r="D75" s="250">
        <f t="shared" si="6"/>
        <v>5</v>
      </c>
      <c r="E75" s="113">
        <f t="shared" si="27"/>
        <v>45.45454545</v>
      </c>
      <c r="F75" s="114">
        <f t="shared" si="28"/>
        <v>45.45454545</v>
      </c>
      <c r="G75" s="164" t="str">
        <f t="shared" si="29"/>
        <v>  </v>
      </c>
      <c r="H75" s="183"/>
      <c r="I75" s="179"/>
      <c r="J75" s="179"/>
      <c r="K75" s="179"/>
      <c r="L75" s="179"/>
      <c r="M75" s="118">
        <f t="shared" si="30"/>
        <v>0</v>
      </c>
      <c r="N75" s="119" t="str">
        <f t="shared" si="31"/>
        <v>#DIV/0!</v>
      </c>
      <c r="O75" s="176"/>
      <c r="P75" s="179"/>
      <c r="Q75" s="179"/>
      <c r="R75" s="179"/>
      <c r="S75" s="179"/>
      <c r="T75" s="179"/>
      <c r="U75" s="179"/>
      <c r="V75" s="179"/>
      <c r="W75" s="179"/>
      <c r="X75" s="116"/>
      <c r="Y75" s="184"/>
      <c r="Z75" s="179"/>
      <c r="AA75" s="179"/>
      <c r="AB75" s="179"/>
      <c r="AC75" s="179"/>
      <c r="AD75" s="138">
        <v>1.0</v>
      </c>
      <c r="AE75" s="179"/>
      <c r="AF75" s="176"/>
      <c r="AG75" s="176"/>
      <c r="AH75" s="116"/>
      <c r="AI75" s="182">
        <v>1.0</v>
      </c>
      <c r="AJ75" s="251">
        <f t="shared" si="32"/>
        <v>2</v>
      </c>
      <c r="AK75" s="169">
        <f t="shared" si="33"/>
        <v>33.33333333</v>
      </c>
      <c r="AL75" s="183"/>
      <c r="AM75" s="179"/>
      <c r="AN75" s="179"/>
      <c r="AO75" s="184">
        <v>1.0</v>
      </c>
      <c r="AP75" s="179"/>
      <c r="AQ75" s="179"/>
      <c r="AR75" s="179"/>
      <c r="AS75" s="179"/>
      <c r="AT75" s="116"/>
      <c r="AU75" s="184">
        <v>1.0</v>
      </c>
      <c r="AV75" s="179"/>
      <c r="AW75" s="179"/>
      <c r="AX75" s="179"/>
      <c r="AY75" s="179"/>
      <c r="AZ75" s="179"/>
      <c r="BA75" s="179"/>
      <c r="BB75" s="179"/>
      <c r="BC75" s="179"/>
      <c r="BD75" s="179"/>
      <c r="BE75" s="181"/>
      <c r="BF75" s="179"/>
      <c r="BG75" s="118">
        <f t="shared" si="34"/>
        <v>2</v>
      </c>
      <c r="BH75" s="122">
        <f t="shared" si="35"/>
        <v>100</v>
      </c>
      <c r="BI75" s="176"/>
      <c r="BJ75" s="179"/>
      <c r="BK75" s="179"/>
      <c r="BL75" s="184">
        <v>1.0</v>
      </c>
      <c r="BM75" s="179"/>
      <c r="BN75" s="179"/>
      <c r="BO75" s="179"/>
      <c r="BP75" s="179"/>
      <c r="BQ75" s="179"/>
      <c r="BR75" s="179"/>
      <c r="BS75" s="179"/>
      <c r="BT75" s="116"/>
      <c r="BU75" s="185"/>
      <c r="BV75" s="179"/>
      <c r="BW75" s="186"/>
      <c r="BX75" s="186"/>
      <c r="BY75" s="186"/>
      <c r="BZ75" s="186"/>
      <c r="CA75" s="186"/>
      <c r="CB75" s="186"/>
      <c r="CC75" s="186"/>
      <c r="CD75" s="186"/>
      <c r="CE75" s="172">
        <f t="shared" si="36"/>
        <v>1</v>
      </c>
      <c r="CF75" s="173">
        <f t="shared" si="37"/>
        <v>50</v>
      </c>
      <c r="CG75" s="199"/>
      <c r="CH75" s="186"/>
      <c r="CI75" s="186"/>
      <c r="CJ75" s="186"/>
      <c r="CK75" s="186"/>
      <c r="CL75" s="186"/>
      <c r="CM75" s="186"/>
      <c r="CN75" s="186"/>
      <c r="CO75" s="186"/>
      <c r="CP75" s="186"/>
      <c r="CQ75" s="186"/>
      <c r="CR75" s="186"/>
      <c r="CS75" s="175">
        <f t="shared" si="38"/>
        <v>0</v>
      </c>
      <c r="CT75" s="158">
        <f t="shared" si="39"/>
        <v>0</v>
      </c>
    </row>
    <row r="76" ht="15.75" customHeight="1">
      <c r="A76" s="146">
        <v>66.0</v>
      </c>
      <c r="B76" s="111" t="s">
        <v>183</v>
      </c>
      <c r="C76" s="112" t="s">
        <v>184</v>
      </c>
      <c r="D76" s="250">
        <f t="shared" si="6"/>
        <v>0</v>
      </c>
      <c r="E76" s="113">
        <f t="shared" si="27"/>
        <v>0</v>
      </c>
      <c r="F76" s="114">
        <f t="shared" si="28"/>
        <v>0</v>
      </c>
      <c r="G76" s="202">
        <f t="shared" si="29"/>
        <v>0</v>
      </c>
      <c r="H76" s="183"/>
      <c r="I76" s="179"/>
      <c r="J76" s="179"/>
      <c r="K76" s="179"/>
      <c r="L76" s="179"/>
      <c r="M76" s="118">
        <f t="shared" si="30"/>
        <v>0</v>
      </c>
      <c r="N76" s="119" t="str">
        <f t="shared" si="31"/>
        <v>#DIV/0!</v>
      </c>
      <c r="O76" s="176"/>
      <c r="P76" s="179"/>
      <c r="Q76" s="179"/>
      <c r="R76" s="179"/>
      <c r="S76" s="179"/>
      <c r="T76" s="179"/>
      <c r="U76" s="179"/>
      <c r="V76" s="179"/>
      <c r="W76" s="179"/>
      <c r="X76" s="116"/>
      <c r="Y76" s="179"/>
      <c r="Z76" s="179"/>
      <c r="AA76" s="179"/>
      <c r="AB76" s="179"/>
      <c r="AC76" s="179"/>
      <c r="AD76" s="176"/>
      <c r="AE76" s="179"/>
      <c r="AF76" s="176"/>
      <c r="AG76" s="176"/>
      <c r="AH76" s="176"/>
      <c r="AI76" s="176"/>
      <c r="AJ76" s="251">
        <f t="shared" si="32"/>
        <v>0</v>
      </c>
      <c r="AK76" s="169">
        <f t="shared" si="33"/>
        <v>0</v>
      </c>
      <c r="AL76" s="183"/>
      <c r="AM76" s="179"/>
      <c r="AN76" s="179"/>
      <c r="AO76" s="179"/>
      <c r="AP76" s="179"/>
      <c r="AQ76" s="179"/>
      <c r="AR76" s="179"/>
      <c r="AS76" s="179"/>
      <c r="AT76" s="116"/>
      <c r="AU76" s="179"/>
      <c r="AV76" s="179"/>
      <c r="AW76" s="179"/>
      <c r="AX76" s="179"/>
      <c r="AY76" s="179"/>
      <c r="AZ76" s="179"/>
      <c r="BA76" s="179"/>
      <c r="BB76" s="179"/>
      <c r="BC76" s="179"/>
      <c r="BD76" s="179"/>
      <c r="BE76" s="181"/>
      <c r="BF76" s="179"/>
      <c r="BG76" s="118">
        <f t="shared" si="34"/>
        <v>0</v>
      </c>
      <c r="BH76" s="122">
        <f t="shared" si="35"/>
        <v>0</v>
      </c>
      <c r="BI76" s="176"/>
      <c r="BJ76" s="179"/>
      <c r="BK76" s="179"/>
      <c r="BL76" s="179"/>
      <c r="BM76" s="179"/>
      <c r="BN76" s="179"/>
      <c r="BO76" s="179"/>
      <c r="BP76" s="179"/>
      <c r="BQ76" s="179"/>
      <c r="BR76" s="179"/>
      <c r="BS76" s="179"/>
      <c r="BT76" s="116"/>
      <c r="BU76" s="185"/>
      <c r="BV76" s="179"/>
      <c r="BW76" s="186"/>
      <c r="BX76" s="186"/>
      <c r="BY76" s="186"/>
      <c r="BZ76" s="186"/>
      <c r="CA76" s="186"/>
      <c r="CB76" s="186"/>
      <c r="CC76" s="186"/>
      <c r="CD76" s="186"/>
      <c r="CE76" s="172">
        <f t="shared" si="36"/>
        <v>0</v>
      </c>
      <c r="CF76" s="173">
        <f t="shared" si="37"/>
        <v>0</v>
      </c>
      <c r="CG76" s="199"/>
      <c r="CH76" s="186"/>
      <c r="CI76" s="186"/>
      <c r="CJ76" s="186"/>
      <c r="CK76" s="186"/>
      <c r="CL76" s="186"/>
      <c r="CM76" s="186"/>
      <c r="CN76" s="186"/>
      <c r="CO76" s="186"/>
      <c r="CP76" s="186"/>
      <c r="CQ76" s="186"/>
      <c r="CR76" s="186"/>
      <c r="CS76" s="175">
        <f t="shared" si="38"/>
        <v>0</v>
      </c>
      <c r="CT76" s="158">
        <f t="shared" si="39"/>
        <v>0</v>
      </c>
    </row>
    <row r="77" ht="15.75" customHeight="1">
      <c r="A77" s="146">
        <v>67.0</v>
      </c>
      <c r="B77" s="111" t="s">
        <v>185</v>
      </c>
      <c r="C77" s="112" t="s">
        <v>186</v>
      </c>
      <c r="D77" s="250">
        <f t="shared" si="6"/>
        <v>8</v>
      </c>
      <c r="E77" s="113">
        <f t="shared" si="27"/>
        <v>72.72727273</v>
      </c>
      <c r="F77" s="114" t="str">
        <f t="shared" si="28"/>
        <v>  </v>
      </c>
      <c r="G77" s="202" t="str">
        <f t="shared" si="29"/>
        <v>  </v>
      </c>
      <c r="H77" s="183"/>
      <c r="I77" s="179"/>
      <c r="J77" s="179"/>
      <c r="K77" s="179"/>
      <c r="L77" s="179"/>
      <c r="M77" s="118">
        <f t="shared" si="30"/>
        <v>0</v>
      </c>
      <c r="N77" s="119" t="str">
        <f t="shared" si="31"/>
        <v>#DIV/0!</v>
      </c>
      <c r="O77" s="176"/>
      <c r="P77" s="179"/>
      <c r="Q77" s="179"/>
      <c r="R77" s="179"/>
      <c r="S77" s="179"/>
      <c r="T77" s="179"/>
      <c r="U77" s="179"/>
      <c r="V77" s="179"/>
      <c r="W77" s="179"/>
      <c r="X77" s="138">
        <v>1.0</v>
      </c>
      <c r="Y77" s="184">
        <v>1.0</v>
      </c>
      <c r="Z77" s="179"/>
      <c r="AA77" s="179"/>
      <c r="AB77" s="179"/>
      <c r="AC77" s="179"/>
      <c r="AD77" s="116"/>
      <c r="AE77" s="179"/>
      <c r="AF77" s="176"/>
      <c r="AG77" s="176"/>
      <c r="AH77" s="182">
        <v>1.0</v>
      </c>
      <c r="AI77" s="176"/>
      <c r="AJ77" s="251">
        <f t="shared" si="32"/>
        <v>3</v>
      </c>
      <c r="AK77" s="169">
        <f t="shared" si="33"/>
        <v>50</v>
      </c>
      <c r="AL77" s="183"/>
      <c r="AM77" s="179"/>
      <c r="AN77" s="179"/>
      <c r="AO77" s="184">
        <v>1.0</v>
      </c>
      <c r="AP77" s="179"/>
      <c r="AQ77" s="179"/>
      <c r="AR77" s="179"/>
      <c r="AS77" s="179"/>
      <c r="AT77" s="116"/>
      <c r="AU77" s="184">
        <v>1.0</v>
      </c>
      <c r="AV77" s="179"/>
      <c r="AW77" s="179"/>
      <c r="AX77" s="179"/>
      <c r="AY77" s="179"/>
      <c r="AZ77" s="179"/>
      <c r="BA77" s="179"/>
      <c r="BB77" s="179"/>
      <c r="BC77" s="179"/>
      <c r="BD77" s="179"/>
      <c r="BE77" s="181"/>
      <c r="BF77" s="179"/>
      <c r="BG77" s="118">
        <f t="shared" si="34"/>
        <v>2</v>
      </c>
      <c r="BH77" s="122">
        <f t="shared" si="35"/>
        <v>100</v>
      </c>
      <c r="BI77" s="176"/>
      <c r="BJ77" s="179"/>
      <c r="BK77" s="179"/>
      <c r="BL77" s="184">
        <v>1.0</v>
      </c>
      <c r="BM77" s="179"/>
      <c r="BN77" s="179"/>
      <c r="BO77" s="179"/>
      <c r="BP77" s="179"/>
      <c r="BQ77" s="179"/>
      <c r="BR77" s="179"/>
      <c r="BS77" s="184">
        <v>1.0</v>
      </c>
      <c r="BT77" s="138">
        <v>1.0</v>
      </c>
      <c r="BU77" s="185"/>
      <c r="BV77" s="179"/>
      <c r="BW77" s="186"/>
      <c r="BX77" s="186"/>
      <c r="BY77" s="186"/>
      <c r="BZ77" s="186"/>
      <c r="CA77" s="186"/>
      <c r="CB77" s="186"/>
      <c r="CC77" s="186"/>
      <c r="CD77" s="186"/>
      <c r="CE77" s="172">
        <f t="shared" si="36"/>
        <v>3</v>
      </c>
      <c r="CF77" s="173">
        <f t="shared" si="37"/>
        <v>150</v>
      </c>
      <c r="CG77" s="199"/>
      <c r="CH77" s="186"/>
      <c r="CI77" s="186"/>
      <c r="CJ77" s="186"/>
      <c r="CK77" s="186"/>
      <c r="CL77" s="186"/>
      <c r="CM77" s="186"/>
      <c r="CN77" s="186"/>
      <c r="CO77" s="186"/>
      <c r="CP77" s="186"/>
      <c r="CQ77" s="186"/>
      <c r="CR77" s="186"/>
      <c r="CS77" s="175">
        <f t="shared" si="38"/>
        <v>0</v>
      </c>
      <c r="CT77" s="158">
        <f t="shared" si="39"/>
        <v>0</v>
      </c>
    </row>
    <row r="78" ht="15.75" customHeight="1">
      <c r="A78" s="131">
        <v>68.0</v>
      </c>
      <c r="B78" s="161" t="s">
        <v>187</v>
      </c>
      <c r="C78" s="162" t="s">
        <v>188</v>
      </c>
      <c r="D78" s="250">
        <f t="shared" si="6"/>
        <v>3</v>
      </c>
      <c r="E78" s="113">
        <f t="shared" si="27"/>
        <v>27.27272727</v>
      </c>
      <c r="F78" s="114">
        <f t="shared" si="28"/>
        <v>27.27272727</v>
      </c>
      <c r="G78" s="202">
        <f t="shared" si="29"/>
        <v>27.27272727</v>
      </c>
      <c r="H78" s="183"/>
      <c r="I78" s="179"/>
      <c r="J78" s="179"/>
      <c r="K78" s="179"/>
      <c r="L78" s="179"/>
      <c r="M78" s="118">
        <f t="shared" si="30"/>
        <v>0</v>
      </c>
      <c r="N78" s="119" t="str">
        <f t="shared" si="31"/>
        <v>#DIV/0!</v>
      </c>
      <c r="O78" s="176"/>
      <c r="P78" s="179"/>
      <c r="Q78" s="179"/>
      <c r="R78" s="179"/>
      <c r="S78" s="179"/>
      <c r="T78" s="179"/>
      <c r="U78" s="179"/>
      <c r="V78" s="179"/>
      <c r="W78" s="179"/>
      <c r="X78" s="116"/>
      <c r="Y78" s="179"/>
      <c r="Z78" s="179"/>
      <c r="AA78" s="179"/>
      <c r="AB78" s="179"/>
      <c r="AC78" s="179"/>
      <c r="AD78" s="182">
        <v>1.0</v>
      </c>
      <c r="AE78" s="179"/>
      <c r="AF78" s="176"/>
      <c r="AG78" s="176"/>
      <c r="AH78" s="176"/>
      <c r="AI78" s="176"/>
      <c r="AJ78" s="251">
        <f t="shared" si="32"/>
        <v>1</v>
      </c>
      <c r="AK78" s="169">
        <f t="shared" si="33"/>
        <v>16.66666667</v>
      </c>
      <c r="AL78" s="183"/>
      <c r="AM78" s="179"/>
      <c r="AN78" s="179"/>
      <c r="AO78" s="179"/>
      <c r="AP78" s="179"/>
      <c r="AQ78" s="179"/>
      <c r="AR78" s="179"/>
      <c r="AS78" s="179"/>
      <c r="AT78" s="116"/>
      <c r="AU78" s="179"/>
      <c r="AV78" s="179"/>
      <c r="AW78" s="179"/>
      <c r="AX78" s="179"/>
      <c r="AY78" s="179"/>
      <c r="AZ78" s="179"/>
      <c r="BA78" s="179"/>
      <c r="BB78" s="179"/>
      <c r="BC78" s="179"/>
      <c r="BD78" s="179"/>
      <c r="BE78" s="194"/>
      <c r="BF78" s="179"/>
      <c r="BG78" s="118">
        <f t="shared" si="34"/>
        <v>0</v>
      </c>
      <c r="BH78" s="122">
        <f t="shared" si="35"/>
        <v>0</v>
      </c>
      <c r="BI78" s="176"/>
      <c r="BJ78" s="179"/>
      <c r="BK78" s="179"/>
      <c r="BL78" s="179"/>
      <c r="BM78" s="179"/>
      <c r="BN78" s="179"/>
      <c r="BO78" s="179"/>
      <c r="BP78" s="179"/>
      <c r="BQ78" s="179"/>
      <c r="BR78" s="179"/>
      <c r="BS78" s="184">
        <v>1.0</v>
      </c>
      <c r="BT78" s="138">
        <v>1.0</v>
      </c>
      <c r="BU78" s="185"/>
      <c r="BV78" s="179"/>
      <c r="BW78" s="186"/>
      <c r="BX78" s="186"/>
      <c r="BY78" s="186"/>
      <c r="BZ78" s="186"/>
      <c r="CA78" s="186"/>
      <c r="CB78" s="186"/>
      <c r="CC78" s="186"/>
      <c r="CD78" s="186"/>
      <c r="CE78" s="172">
        <f t="shared" si="36"/>
        <v>2</v>
      </c>
      <c r="CF78" s="173">
        <f t="shared" si="37"/>
        <v>100</v>
      </c>
      <c r="CG78" s="199"/>
      <c r="CH78" s="186"/>
      <c r="CI78" s="186"/>
      <c r="CJ78" s="186"/>
      <c r="CK78" s="186"/>
      <c r="CL78" s="186"/>
      <c r="CM78" s="186"/>
      <c r="CN78" s="186"/>
      <c r="CO78" s="186"/>
      <c r="CP78" s="186"/>
      <c r="CQ78" s="186"/>
      <c r="CR78" s="186"/>
      <c r="CS78" s="175">
        <f t="shared" si="38"/>
        <v>0</v>
      </c>
      <c r="CT78" s="158">
        <f t="shared" si="39"/>
        <v>0</v>
      </c>
    </row>
    <row r="79" ht="15.75" customHeight="1">
      <c r="A79" s="146">
        <v>69.0</v>
      </c>
      <c r="B79" s="161" t="s">
        <v>189</v>
      </c>
      <c r="C79" s="162" t="s">
        <v>190</v>
      </c>
      <c r="D79" s="250">
        <f t="shared" si="6"/>
        <v>3</v>
      </c>
      <c r="E79" s="113">
        <f t="shared" si="27"/>
        <v>27.27272727</v>
      </c>
      <c r="F79" s="114">
        <f t="shared" si="28"/>
        <v>27.27272727</v>
      </c>
      <c r="G79" s="202">
        <f t="shared" si="29"/>
        <v>27.27272727</v>
      </c>
      <c r="H79" s="183"/>
      <c r="I79" s="179"/>
      <c r="J79" s="179"/>
      <c r="K79" s="179"/>
      <c r="L79" s="179"/>
      <c r="M79" s="118">
        <f t="shared" si="30"/>
        <v>0</v>
      </c>
      <c r="N79" s="119" t="str">
        <f t="shared" si="31"/>
        <v>#DIV/0!</v>
      </c>
      <c r="O79" s="176"/>
      <c r="P79" s="179"/>
      <c r="Q79" s="179"/>
      <c r="R79" s="179"/>
      <c r="S79" s="179"/>
      <c r="T79" s="179"/>
      <c r="U79" s="179"/>
      <c r="V79" s="179"/>
      <c r="W79" s="179"/>
      <c r="X79" s="138">
        <v>1.0</v>
      </c>
      <c r="Y79" s="179"/>
      <c r="Z79" s="179"/>
      <c r="AA79" s="179"/>
      <c r="AB79" s="179"/>
      <c r="AC79" s="179"/>
      <c r="AD79" s="116"/>
      <c r="AE79" s="179"/>
      <c r="AF79" s="176"/>
      <c r="AG79" s="176"/>
      <c r="AH79" s="176"/>
      <c r="AI79" s="182">
        <v>1.0</v>
      </c>
      <c r="AJ79" s="251">
        <f t="shared" si="32"/>
        <v>2</v>
      </c>
      <c r="AK79" s="169">
        <f t="shared" si="33"/>
        <v>33.33333333</v>
      </c>
      <c r="AL79" s="183"/>
      <c r="AM79" s="179"/>
      <c r="AN79" s="179"/>
      <c r="AO79" s="179"/>
      <c r="AP79" s="179"/>
      <c r="AQ79" s="179"/>
      <c r="AR79" s="179"/>
      <c r="AS79" s="179"/>
      <c r="AT79" s="138"/>
      <c r="AU79" s="184">
        <v>1.0</v>
      </c>
      <c r="AV79" s="179"/>
      <c r="AW79" s="179"/>
      <c r="AX79" s="179"/>
      <c r="AY79" s="179"/>
      <c r="AZ79" s="179"/>
      <c r="BA79" s="179"/>
      <c r="BB79" s="179"/>
      <c r="BC79" s="179"/>
      <c r="BD79" s="179"/>
      <c r="BE79" s="181"/>
      <c r="BF79" s="179"/>
      <c r="BG79" s="118">
        <f t="shared" si="34"/>
        <v>1</v>
      </c>
      <c r="BH79" s="122">
        <f t="shared" si="35"/>
        <v>50</v>
      </c>
      <c r="BI79" s="176"/>
      <c r="BJ79" s="179"/>
      <c r="BK79" s="179"/>
      <c r="BL79" s="179"/>
      <c r="BM79" s="179"/>
      <c r="BN79" s="179"/>
      <c r="BO79" s="179"/>
      <c r="BP79" s="179"/>
      <c r="BQ79" s="179"/>
      <c r="BR79" s="179"/>
      <c r="BS79" s="179"/>
      <c r="BT79" s="116"/>
      <c r="BU79" s="185"/>
      <c r="BV79" s="179"/>
      <c r="BW79" s="186"/>
      <c r="BX79" s="186"/>
      <c r="BY79" s="186"/>
      <c r="BZ79" s="186"/>
      <c r="CA79" s="186"/>
      <c r="CB79" s="186"/>
      <c r="CC79" s="186"/>
      <c r="CD79" s="186"/>
      <c r="CE79" s="172">
        <f t="shared" si="36"/>
        <v>0</v>
      </c>
      <c r="CF79" s="173">
        <f t="shared" si="37"/>
        <v>0</v>
      </c>
      <c r="CG79" s="199"/>
      <c r="CH79" s="186"/>
      <c r="CI79" s="186"/>
      <c r="CJ79" s="186"/>
      <c r="CK79" s="186"/>
      <c r="CL79" s="186"/>
      <c r="CM79" s="186"/>
      <c r="CN79" s="186"/>
      <c r="CO79" s="186"/>
      <c r="CP79" s="186"/>
      <c r="CQ79" s="186"/>
      <c r="CR79" s="186"/>
      <c r="CS79" s="175">
        <f t="shared" si="38"/>
        <v>0</v>
      </c>
      <c r="CT79" s="158">
        <f t="shared" si="39"/>
        <v>0</v>
      </c>
    </row>
    <row r="80" ht="15.75" customHeight="1">
      <c r="A80" s="146">
        <v>70.0</v>
      </c>
      <c r="B80" s="111" t="s">
        <v>191</v>
      </c>
      <c r="C80" s="112" t="s">
        <v>192</v>
      </c>
      <c r="D80" s="250">
        <f t="shared" si="6"/>
        <v>5</v>
      </c>
      <c r="E80" s="113">
        <f t="shared" si="27"/>
        <v>45.45454545</v>
      </c>
      <c r="F80" s="114">
        <f t="shared" si="28"/>
        <v>45.45454545</v>
      </c>
      <c r="G80" s="202" t="str">
        <f t="shared" si="29"/>
        <v>  </v>
      </c>
      <c r="H80" s="183"/>
      <c r="I80" s="179"/>
      <c r="J80" s="179"/>
      <c r="K80" s="179"/>
      <c r="L80" s="179"/>
      <c r="M80" s="118">
        <f t="shared" si="30"/>
        <v>0</v>
      </c>
      <c r="N80" s="119" t="str">
        <f t="shared" si="31"/>
        <v>#DIV/0!</v>
      </c>
      <c r="O80" s="176"/>
      <c r="P80" s="179"/>
      <c r="Q80" s="179"/>
      <c r="R80" s="179"/>
      <c r="S80" s="179"/>
      <c r="T80" s="179"/>
      <c r="U80" s="179"/>
      <c r="V80" s="179"/>
      <c r="W80" s="179"/>
      <c r="X80" s="138">
        <v>1.0</v>
      </c>
      <c r="Y80" s="184">
        <v>1.0</v>
      </c>
      <c r="Z80" s="179"/>
      <c r="AA80" s="179"/>
      <c r="AB80" s="179"/>
      <c r="AC80" s="184">
        <v>1.0</v>
      </c>
      <c r="AD80" s="116"/>
      <c r="AE80" s="179"/>
      <c r="AF80" s="176"/>
      <c r="AG80" s="176"/>
      <c r="AH80" s="116"/>
      <c r="AI80" s="176"/>
      <c r="AJ80" s="251">
        <f t="shared" si="32"/>
        <v>3</v>
      </c>
      <c r="AK80" s="169">
        <f t="shared" si="33"/>
        <v>50</v>
      </c>
      <c r="AL80" s="183"/>
      <c r="AM80" s="179"/>
      <c r="AN80" s="179"/>
      <c r="AO80" s="184">
        <v>1.0</v>
      </c>
      <c r="AP80" s="179"/>
      <c r="AQ80" s="179"/>
      <c r="AR80" s="179"/>
      <c r="AS80" s="179"/>
      <c r="AT80" s="138"/>
      <c r="AU80" s="179"/>
      <c r="AV80" s="179"/>
      <c r="AW80" s="179"/>
      <c r="AX80" s="179"/>
      <c r="AY80" s="179"/>
      <c r="AZ80" s="179"/>
      <c r="BA80" s="179"/>
      <c r="BB80" s="179"/>
      <c r="BC80" s="179"/>
      <c r="BD80" s="179"/>
      <c r="BE80" s="181"/>
      <c r="BF80" s="179"/>
      <c r="BG80" s="118">
        <f t="shared" si="34"/>
        <v>1</v>
      </c>
      <c r="BH80" s="122">
        <f t="shared" si="35"/>
        <v>50</v>
      </c>
      <c r="BI80" s="176"/>
      <c r="BJ80" s="179"/>
      <c r="BK80" s="179"/>
      <c r="BL80" s="184">
        <v>1.0</v>
      </c>
      <c r="BM80" s="179"/>
      <c r="BN80" s="179"/>
      <c r="BO80" s="179"/>
      <c r="BP80" s="179"/>
      <c r="BQ80" s="179"/>
      <c r="BR80" s="179"/>
      <c r="BS80" s="179"/>
      <c r="BT80" s="116"/>
      <c r="BU80" s="185"/>
      <c r="BV80" s="179"/>
      <c r="BW80" s="186"/>
      <c r="BX80" s="186"/>
      <c r="BY80" s="186"/>
      <c r="BZ80" s="186"/>
      <c r="CA80" s="186"/>
      <c r="CB80" s="186"/>
      <c r="CC80" s="186"/>
      <c r="CD80" s="186"/>
      <c r="CE80" s="172">
        <f t="shared" si="36"/>
        <v>1</v>
      </c>
      <c r="CF80" s="173">
        <f t="shared" si="37"/>
        <v>50</v>
      </c>
      <c r="CG80" s="199"/>
      <c r="CH80" s="186"/>
      <c r="CI80" s="186"/>
      <c r="CJ80" s="186"/>
      <c r="CK80" s="186"/>
      <c r="CL80" s="186"/>
      <c r="CM80" s="186"/>
      <c r="CN80" s="186"/>
      <c r="CO80" s="186"/>
      <c r="CP80" s="186"/>
      <c r="CQ80" s="186"/>
      <c r="CR80" s="186"/>
      <c r="CS80" s="175">
        <f t="shared" si="38"/>
        <v>0</v>
      </c>
      <c r="CT80" s="158">
        <f t="shared" si="39"/>
        <v>0</v>
      </c>
    </row>
    <row r="81" ht="15.75" customHeight="1">
      <c r="A81" s="131">
        <v>71.0</v>
      </c>
      <c r="B81" s="111" t="s">
        <v>193</v>
      </c>
      <c r="C81" s="112" t="s">
        <v>194</v>
      </c>
      <c r="D81" s="250">
        <f t="shared" si="6"/>
        <v>5</v>
      </c>
      <c r="E81" s="113">
        <f t="shared" si="27"/>
        <v>45.45454545</v>
      </c>
      <c r="F81" s="114">
        <f t="shared" si="28"/>
        <v>45.45454545</v>
      </c>
      <c r="G81" s="202" t="str">
        <f t="shared" si="29"/>
        <v>  </v>
      </c>
      <c r="H81" s="183"/>
      <c r="I81" s="179"/>
      <c r="J81" s="179"/>
      <c r="K81" s="179"/>
      <c r="L81" s="179"/>
      <c r="M81" s="118">
        <f t="shared" si="30"/>
        <v>0</v>
      </c>
      <c r="N81" s="119" t="str">
        <f t="shared" si="31"/>
        <v>#DIV/0!</v>
      </c>
      <c r="O81" s="176"/>
      <c r="P81" s="179"/>
      <c r="Q81" s="179"/>
      <c r="R81" s="179"/>
      <c r="S81" s="179"/>
      <c r="T81" s="179"/>
      <c r="U81" s="179"/>
      <c r="V81" s="179"/>
      <c r="W81" s="179"/>
      <c r="X81" s="116"/>
      <c r="Y81" s="179"/>
      <c r="Z81" s="179"/>
      <c r="AA81" s="179"/>
      <c r="AB81" s="179"/>
      <c r="AC81" s="179"/>
      <c r="AD81" s="176"/>
      <c r="AE81" s="179"/>
      <c r="AF81" s="176"/>
      <c r="AG81" s="176"/>
      <c r="AH81" s="138">
        <v>1.0</v>
      </c>
      <c r="AI81" s="176"/>
      <c r="AJ81" s="251">
        <f t="shared" si="32"/>
        <v>1</v>
      </c>
      <c r="AK81" s="169">
        <f t="shared" si="33"/>
        <v>16.66666667</v>
      </c>
      <c r="AL81" s="183"/>
      <c r="AM81" s="179"/>
      <c r="AN81" s="179"/>
      <c r="AO81" s="179"/>
      <c r="AP81" s="179"/>
      <c r="AQ81" s="179"/>
      <c r="AR81" s="179"/>
      <c r="AS81" s="179"/>
      <c r="AT81" s="138"/>
      <c r="AU81" s="184">
        <v>1.0</v>
      </c>
      <c r="AV81" s="179"/>
      <c r="AW81" s="179"/>
      <c r="AX81" s="179"/>
      <c r="AY81" s="179"/>
      <c r="AZ81" s="179"/>
      <c r="BA81" s="179"/>
      <c r="BB81" s="179"/>
      <c r="BC81" s="179"/>
      <c r="BD81" s="179"/>
      <c r="BE81" s="181"/>
      <c r="BF81" s="179"/>
      <c r="BG81" s="118">
        <f t="shared" si="34"/>
        <v>1</v>
      </c>
      <c r="BH81" s="122">
        <f t="shared" si="35"/>
        <v>50</v>
      </c>
      <c r="BI81" s="176"/>
      <c r="BJ81" s="179"/>
      <c r="BK81" s="179"/>
      <c r="BL81" s="184">
        <v>1.0</v>
      </c>
      <c r="BM81" s="179"/>
      <c r="BN81" s="179"/>
      <c r="BO81" s="179"/>
      <c r="BP81" s="179"/>
      <c r="BQ81" s="179"/>
      <c r="BR81" s="179"/>
      <c r="BS81" s="184">
        <v>1.0</v>
      </c>
      <c r="BT81" s="138">
        <v>1.0</v>
      </c>
      <c r="BU81" s="185"/>
      <c r="BV81" s="179"/>
      <c r="BW81" s="186"/>
      <c r="BX81" s="186"/>
      <c r="BY81" s="186"/>
      <c r="BZ81" s="186"/>
      <c r="CA81" s="186"/>
      <c r="CB81" s="186"/>
      <c r="CC81" s="186"/>
      <c r="CD81" s="186"/>
      <c r="CE81" s="172">
        <f t="shared" si="36"/>
        <v>3</v>
      </c>
      <c r="CF81" s="173">
        <f t="shared" si="37"/>
        <v>150</v>
      </c>
      <c r="CG81" s="199"/>
      <c r="CH81" s="186"/>
      <c r="CI81" s="186"/>
      <c r="CJ81" s="186"/>
      <c r="CK81" s="186"/>
      <c r="CL81" s="186"/>
      <c r="CM81" s="186"/>
      <c r="CN81" s="186"/>
      <c r="CO81" s="186"/>
      <c r="CP81" s="186"/>
      <c r="CQ81" s="186"/>
      <c r="CR81" s="186"/>
      <c r="CS81" s="175">
        <f t="shared" si="38"/>
        <v>0</v>
      </c>
      <c r="CT81" s="158">
        <f t="shared" si="39"/>
        <v>0</v>
      </c>
    </row>
    <row r="82" ht="15.75" customHeight="1">
      <c r="A82" s="146">
        <v>72.0</v>
      </c>
      <c r="B82" s="111" t="s">
        <v>195</v>
      </c>
      <c r="C82" s="112" t="s">
        <v>196</v>
      </c>
      <c r="D82" s="250">
        <f t="shared" si="6"/>
        <v>2</v>
      </c>
      <c r="E82" s="113">
        <f t="shared" si="27"/>
        <v>18.18181818</v>
      </c>
      <c r="F82" s="114">
        <f t="shared" si="28"/>
        <v>18.18181818</v>
      </c>
      <c r="G82" s="202">
        <f t="shared" si="29"/>
        <v>18.18181818</v>
      </c>
      <c r="H82" s="183"/>
      <c r="I82" s="179"/>
      <c r="J82" s="179"/>
      <c r="K82" s="179"/>
      <c r="L82" s="179"/>
      <c r="M82" s="118">
        <f t="shared" si="30"/>
        <v>0</v>
      </c>
      <c r="N82" s="119" t="str">
        <f t="shared" si="31"/>
        <v>#DIV/0!</v>
      </c>
      <c r="O82" s="176"/>
      <c r="P82" s="179"/>
      <c r="Q82" s="179"/>
      <c r="R82" s="179"/>
      <c r="S82" s="179"/>
      <c r="T82" s="179"/>
      <c r="U82" s="179"/>
      <c r="V82" s="179"/>
      <c r="W82" s="179"/>
      <c r="X82" s="116"/>
      <c r="Y82" s="179"/>
      <c r="Z82" s="179"/>
      <c r="AA82" s="179"/>
      <c r="AB82" s="179"/>
      <c r="AC82" s="179"/>
      <c r="AD82" s="116"/>
      <c r="AE82" s="179"/>
      <c r="AF82" s="176"/>
      <c r="AG82" s="176"/>
      <c r="AH82" s="116"/>
      <c r="AI82" s="176"/>
      <c r="AJ82" s="251">
        <f t="shared" si="32"/>
        <v>0</v>
      </c>
      <c r="AK82" s="169">
        <f t="shared" si="33"/>
        <v>0</v>
      </c>
      <c r="AL82" s="183"/>
      <c r="AM82" s="179"/>
      <c r="AN82" s="179"/>
      <c r="AO82" s="179"/>
      <c r="AP82" s="179"/>
      <c r="AQ82" s="179"/>
      <c r="AR82" s="179"/>
      <c r="AS82" s="179"/>
      <c r="AT82" s="138"/>
      <c r="AU82" s="179"/>
      <c r="AV82" s="179"/>
      <c r="AW82" s="179"/>
      <c r="AX82" s="179"/>
      <c r="AY82" s="179"/>
      <c r="AZ82" s="179"/>
      <c r="BA82" s="179"/>
      <c r="BB82" s="179"/>
      <c r="BC82" s="179"/>
      <c r="BD82" s="179"/>
      <c r="BE82" s="181"/>
      <c r="BF82" s="179"/>
      <c r="BG82" s="118">
        <f t="shared" si="34"/>
        <v>0</v>
      </c>
      <c r="BH82" s="122">
        <f t="shared" si="35"/>
        <v>0</v>
      </c>
      <c r="BI82" s="176"/>
      <c r="BJ82" s="179"/>
      <c r="BK82" s="179"/>
      <c r="BL82" s="184">
        <v>1.0</v>
      </c>
      <c r="BM82" s="179"/>
      <c r="BN82" s="179"/>
      <c r="BO82" s="179"/>
      <c r="BP82" s="179"/>
      <c r="BQ82" s="179"/>
      <c r="BR82" s="179"/>
      <c r="BS82" s="179"/>
      <c r="BT82" s="138">
        <v>1.0</v>
      </c>
      <c r="BU82" s="185"/>
      <c r="BV82" s="179"/>
      <c r="BW82" s="186"/>
      <c r="BX82" s="186"/>
      <c r="BY82" s="186"/>
      <c r="BZ82" s="186"/>
      <c r="CA82" s="186"/>
      <c r="CB82" s="186"/>
      <c r="CC82" s="186"/>
      <c r="CD82" s="186"/>
      <c r="CE82" s="172">
        <f t="shared" si="36"/>
        <v>2</v>
      </c>
      <c r="CF82" s="173">
        <f t="shared" si="37"/>
        <v>100</v>
      </c>
      <c r="CG82" s="199"/>
      <c r="CH82" s="186"/>
      <c r="CI82" s="186"/>
      <c r="CJ82" s="186"/>
      <c r="CK82" s="186"/>
      <c r="CL82" s="186"/>
      <c r="CM82" s="186"/>
      <c r="CN82" s="186"/>
      <c r="CO82" s="186"/>
      <c r="CP82" s="186"/>
      <c r="CQ82" s="186"/>
      <c r="CR82" s="186"/>
      <c r="CS82" s="175">
        <f t="shared" si="38"/>
        <v>0</v>
      </c>
      <c r="CT82" s="158">
        <f t="shared" si="39"/>
        <v>0</v>
      </c>
    </row>
    <row r="83" ht="15.75" customHeight="1">
      <c r="A83" s="146">
        <v>73.0</v>
      </c>
      <c r="B83" s="111" t="s">
        <v>197</v>
      </c>
      <c r="C83" s="112" t="s">
        <v>198</v>
      </c>
      <c r="D83" s="250">
        <f t="shared" si="6"/>
        <v>2</v>
      </c>
      <c r="E83" s="113">
        <f t="shared" si="27"/>
        <v>18.18181818</v>
      </c>
      <c r="F83" s="114">
        <f t="shared" si="28"/>
        <v>18.18181818</v>
      </c>
      <c r="G83" s="202">
        <f t="shared" si="29"/>
        <v>18.18181818</v>
      </c>
      <c r="H83" s="183"/>
      <c r="I83" s="179"/>
      <c r="J83" s="179"/>
      <c r="K83" s="179"/>
      <c r="L83" s="179"/>
      <c r="M83" s="118">
        <f t="shared" si="30"/>
        <v>0</v>
      </c>
      <c r="N83" s="119" t="str">
        <f t="shared" si="31"/>
        <v>#DIV/0!</v>
      </c>
      <c r="O83" s="176"/>
      <c r="P83" s="179"/>
      <c r="Q83" s="179"/>
      <c r="R83" s="179"/>
      <c r="S83" s="179"/>
      <c r="T83" s="179"/>
      <c r="U83" s="179"/>
      <c r="V83" s="179"/>
      <c r="W83" s="179"/>
      <c r="X83" s="116"/>
      <c r="Y83" s="184">
        <v>1.0</v>
      </c>
      <c r="Z83" s="179"/>
      <c r="AA83" s="179"/>
      <c r="AB83" s="179"/>
      <c r="AC83" s="179"/>
      <c r="AD83" s="176"/>
      <c r="AE83" s="179"/>
      <c r="AF83" s="176"/>
      <c r="AG83" s="176"/>
      <c r="AH83" s="176"/>
      <c r="AI83" s="176"/>
      <c r="AJ83" s="251">
        <f t="shared" si="32"/>
        <v>1</v>
      </c>
      <c r="AK83" s="169">
        <f t="shared" si="33"/>
        <v>16.66666667</v>
      </c>
      <c r="AL83" s="183"/>
      <c r="AM83" s="179"/>
      <c r="AN83" s="179"/>
      <c r="AO83" s="179"/>
      <c r="AP83" s="179"/>
      <c r="AQ83" s="179"/>
      <c r="AR83" s="179"/>
      <c r="AS83" s="179"/>
      <c r="AT83" s="116"/>
      <c r="AU83" s="184">
        <v>1.0</v>
      </c>
      <c r="AV83" s="179"/>
      <c r="AW83" s="179"/>
      <c r="AX83" s="179"/>
      <c r="AY83" s="179"/>
      <c r="AZ83" s="179"/>
      <c r="BA83" s="179"/>
      <c r="BB83" s="179"/>
      <c r="BC83" s="179"/>
      <c r="BD83" s="179"/>
      <c r="BE83" s="181"/>
      <c r="BF83" s="179"/>
      <c r="BG83" s="118">
        <f t="shared" si="34"/>
        <v>1</v>
      </c>
      <c r="BH83" s="122">
        <f t="shared" si="35"/>
        <v>50</v>
      </c>
      <c r="BI83" s="176"/>
      <c r="BJ83" s="179"/>
      <c r="BK83" s="179"/>
      <c r="BL83" s="179"/>
      <c r="BM83" s="179"/>
      <c r="BN83" s="179"/>
      <c r="BO83" s="179"/>
      <c r="BP83" s="179"/>
      <c r="BQ83" s="179"/>
      <c r="BR83" s="179"/>
      <c r="BS83" s="179"/>
      <c r="BT83" s="116"/>
      <c r="BU83" s="185"/>
      <c r="BV83" s="179"/>
      <c r="BW83" s="186"/>
      <c r="BX83" s="186"/>
      <c r="BY83" s="186"/>
      <c r="BZ83" s="186"/>
      <c r="CA83" s="186"/>
      <c r="CB83" s="186"/>
      <c r="CC83" s="186"/>
      <c r="CD83" s="186"/>
      <c r="CE83" s="172">
        <f t="shared" si="36"/>
        <v>0</v>
      </c>
      <c r="CF83" s="173">
        <f t="shared" si="37"/>
        <v>0</v>
      </c>
      <c r="CG83" s="199"/>
      <c r="CH83" s="186"/>
      <c r="CI83" s="186"/>
      <c r="CJ83" s="186"/>
      <c r="CK83" s="186"/>
      <c r="CL83" s="186"/>
      <c r="CM83" s="186"/>
      <c r="CN83" s="186"/>
      <c r="CO83" s="186"/>
      <c r="CP83" s="186"/>
      <c r="CQ83" s="186"/>
      <c r="CR83" s="186"/>
      <c r="CS83" s="175">
        <f t="shared" si="38"/>
        <v>0</v>
      </c>
      <c r="CT83" s="158">
        <f t="shared" si="39"/>
        <v>0</v>
      </c>
    </row>
    <row r="84" ht="15.75" customHeight="1">
      <c r="A84" s="131">
        <v>74.0</v>
      </c>
      <c r="B84" s="111" t="s">
        <v>199</v>
      </c>
      <c r="C84" s="112" t="s">
        <v>200</v>
      </c>
      <c r="D84" s="250">
        <f t="shared" si="6"/>
        <v>2</v>
      </c>
      <c r="E84" s="113">
        <f t="shared" si="27"/>
        <v>18.18181818</v>
      </c>
      <c r="F84" s="114">
        <f t="shared" si="28"/>
        <v>18.18181818</v>
      </c>
      <c r="G84" s="202">
        <f t="shared" si="29"/>
        <v>18.18181818</v>
      </c>
      <c r="H84" s="183"/>
      <c r="I84" s="179"/>
      <c r="J84" s="179"/>
      <c r="K84" s="179"/>
      <c r="L84" s="179"/>
      <c r="M84" s="118">
        <f t="shared" si="30"/>
        <v>0</v>
      </c>
      <c r="N84" s="119" t="str">
        <f t="shared" si="31"/>
        <v>#DIV/0!</v>
      </c>
      <c r="O84" s="176"/>
      <c r="P84" s="179"/>
      <c r="Q84" s="179"/>
      <c r="R84" s="179"/>
      <c r="S84" s="179"/>
      <c r="T84" s="179"/>
      <c r="U84" s="179"/>
      <c r="V84" s="179"/>
      <c r="W84" s="179"/>
      <c r="X84" s="116"/>
      <c r="Y84" s="179"/>
      <c r="Z84" s="179"/>
      <c r="AA84" s="179"/>
      <c r="AB84" s="179"/>
      <c r="AC84" s="184">
        <v>1.0</v>
      </c>
      <c r="AD84" s="182">
        <v>1.0</v>
      </c>
      <c r="AE84" s="179"/>
      <c r="AF84" s="176"/>
      <c r="AG84" s="176"/>
      <c r="AH84" s="176"/>
      <c r="AI84" s="176"/>
      <c r="AJ84" s="251">
        <f t="shared" si="32"/>
        <v>2</v>
      </c>
      <c r="AK84" s="169">
        <f t="shared" si="33"/>
        <v>33.33333333</v>
      </c>
      <c r="AL84" s="183"/>
      <c r="AM84" s="179"/>
      <c r="AN84" s="179"/>
      <c r="AO84" s="179"/>
      <c r="AP84" s="179"/>
      <c r="AQ84" s="179"/>
      <c r="AR84" s="179"/>
      <c r="AS84" s="179"/>
      <c r="AT84" s="116"/>
      <c r="AU84" s="184"/>
      <c r="AV84" s="179"/>
      <c r="AW84" s="179"/>
      <c r="AX84" s="179"/>
      <c r="AY84" s="179"/>
      <c r="AZ84" s="179"/>
      <c r="BA84" s="179"/>
      <c r="BB84" s="179"/>
      <c r="BC84" s="179"/>
      <c r="BD84" s="179"/>
      <c r="BE84" s="181"/>
      <c r="BF84" s="179"/>
      <c r="BG84" s="118">
        <f t="shared" si="34"/>
        <v>0</v>
      </c>
      <c r="BH84" s="122">
        <f t="shared" si="35"/>
        <v>0</v>
      </c>
      <c r="BI84" s="176"/>
      <c r="BJ84" s="179"/>
      <c r="BK84" s="179"/>
      <c r="BL84" s="179"/>
      <c r="BM84" s="179"/>
      <c r="BN84" s="179"/>
      <c r="BO84" s="179"/>
      <c r="BP84" s="179"/>
      <c r="BQ84" s="179"/>
      <c r="BR84" s="179"/>
      <c r="BS84" s="179"/>
      <c r="BT84" s="116"/>
      <c r="BU84" s="185"/>
      <c r="BV84" s="179"/>
      <c r="BW84" s="186"/>
      <c r="BX84" s="186"/>
      <c r="BY84" s="186"/>
      <c r="BZ84" s="186"/>
      <c r="CA84" s="186"/>
      <c r="CB84" s="186"/>
      <c r="CC84" s="186"/>
      <c r="CD84" s="186"/>
      <c r="CE84" s="172">
        <f t="shared" si="36"/>
        <v>0</v>
      </c>
      <c r="CF84" s="173">
        <f t="shared" si="37"/>
        <v>0</v>
      </c>
      <c r="CG84" s="199"/>
      <c r="CH84" s="186"/>
      <c r="CI84" s="186"/>
      <c r="CJ84" s="186"/>
      <c r="CK84" s="186"/>
      <c r="CL84" s="186"/>
      <c r="CM84" s="186"/>
      <c r="CN84" s="186"/>
      <c r="CO84" s="186"/>
      <c r="CP84" s="186"/>
      <c r="CQ84" s="186"/>
      <c r="CR84" s="186"/>
      <c r="CS84" s="175">
        <f t="shared" si="38"/>
        <v>0</v>
      </c>
      <c r="CT84" s="158">
        <f t="shared" si="39"/>
        <v>0</v>
      </c>
    </row>
    <row r="85" ht="15.75" customHeight="1">
      <c r="A85" s="146">
        <v>75.0</v>
      </c>
      <c r="B85" s="111" t="s">
        <v>201</v>
      </c>
      <c r="C85" s="112" t="s">
        <v>202</v>
      </c>
      <c r="D85" s="250">
        <f t="shared" si="6"/>
        <v>2</v>
      </c>
      <c r="E85" s="113">
        <f t="shared" si="27"/>
        <v>18.18181818</v>
      </c>
      <c r="F85" s="114">
        <f t="shared" si="28"/>
        <v>18.18181818</v>
      </c>
      <c r="G85" s="202">
        <f t="shared" si="29"/>
        <v>18.18181818</v>
      </c>
      <c r="H85" s="183"/>
      <c r="I85" s="179"/>
      <c r="J85" s="179"/>
      <c r="K85" s="179"/>
      <c r="L85" s="179"/>
      <c r="M85" s="118">
        <f t="shared" si="30"/>
        <v>0</v>
      </c>
      <c r="N85" s="119" t="str">
        <f t="shared" si="31"/>
        <v>#DIV/0!</v>
      </c>
      <c r="O85" s="176"/>
      <c r="P85" s="179"/>
      <c r="Q85" s="179"/>
      <c r="R85" s="179"/>
      <c r="S85" s="179"/>
      <c r="T85" s="179"/>
      <c r="U85" s="179"/>
      <c r="V85" s="179"/>
      <c r="W85" s="179"/>
      <c r="X85" s="116"/>
      <c r="Y85" s="262">
        <v>1.0</v>
      </c>
      <c r="Z85" s="179"/>
      <c r="AA85" s="179"/>
      <c r="AB85" s="179"/>
      <c r="AC85" s="163"/>
      <c r="AD85" s="163"/>
      <c r="AE85" s="179"/>
      <c r="AF85" s="176"/>
      <c r="AG85" s="176"/>
      <c r="AH85" s="163"/>
      <c r="AI85" s="176"/>
      <c r="AJ85" s="251">
        <f t="shared" si="32"/>
        <v>1</v>
      </c>
      <c r="AK85" s="169">
        <f t="shared" si="33"/>
        <v>16.66666667</v>
      </c>
      <c r="AL85" s="183"/>
      <c r="AM85" s="179"/>
      <c r="AN85" s="179"/>
      <c r="AO85" s="179"/>
      <c r="AP85" s="179"/>
      <c r="AQ85" s="179"/>
      <c r="AR85" s="179"/>
      <c r="AS85" s="179"/>
      <c r="AT85" s="116"/>
      <c r="AU85" s="184">
        <v>1.0</v>
      </c>
      <c r="AV85" s="179"/>
      <c r="AW85" s="179"/>
      <c r="AX85" s="179"/>
      <c r="AY85" s="179"/>
      <c r="AZ85" s="179"/>
      <c r="BA85" s="179"/>
      <c r="BB85" s="179"/>
      <c r="BC85" s="179"/>
      <c r="BD85" s="179"/>
      <c r="BE85" s="181"/>
      <c r="BF85" s="179"/>
      <c r="BG85" s="118">
        <f t="shared" si="34"/>
        <v>1</v>
      </c>
      <c r="BH85" s="122">
        <f t="shared" si="35"/>
        <v>50</v>
      </c>
      <c r="BI85" s="176"/>
      <c r="BJ85" s="179"/>
      <c r="BK85" s="179"/>
      <c r="BL85" s="179"/>
      <c r="BM85" s="179"/>
      <c r="BN85" s="179"/>
      <c r="BO85" s="179"/>
      <c r="BP85" s="179"/>
      <c r="BQ85" s="179"/>
      <c r="BR85" s="179"/>
      <c r="BS85" s="179"/>
      <c r="BT85" s="116"/>
      <c r="BU85" s="185"/>
      <c r="BV85" s="179"/>
      <c r="BW85" s="186"/>
      <c r="BX85" s="186"/>
      <c r="BY85" s="186"/>
      <c r="BZ85" s="186"/>
      <c r="CA85" s="186"/>
      <c r="CB85" s="186"/>
      <c r="CC85" s="186"/>
      <c r="CD85" s="186"/>
      <c r="CE85" s="172">
        <f t="shared" si="36"/>
        <v>0</v>
      </c>
      <c r="CF85" s="173">
        <f t="shared" si="37"/>
        <v>0</v>
      </c>
      <c r="CG85" s="199"/>
      <c r="CH85" s="186"/>
      <c r="CI85" s="186"/>
      <c r="CJ85" s="186"/>
      <c r="CK85" s="186"/>
      <c r="CL85" s="186"/>
      <c r="CM85" s="186"/>
      <c r="CN85" s="186"/>
      <c r="CO85" s="186"/>
      <c r="CP85" s="186"/>
      <c r="CQ85" s="186"/>
      <c r="CR85" s="186"/>
      <c r="CS85" s="175">
        <f t="shared" si="38"/>
        <v>0</v>
      </c>
      <c r="CT85" s="158">
        <f t="shared" si="39"/>
        <v>0</v>
      </c>
    </row>
    <row r="86" ht="15.75" customHeight="1">
      <c r="A86" s="146">
        <v>76.0</v>
      </c>
      <c r="B86" s="111" t="s">
        <v>203</v>
      </c>
      <c r="C86" s="112" t="s">
        <v>204</v>
      </c>
      <c r="D86" s="250">
        <f t="shared" si="6"/>
        <v>3</v>
      </c>
      <c r="E86" s="113">
        <f t="shared" si="27"/>
        <v>27.27272727</v>
      </c>
      <c r="F86" s="114">
        <f t="shared" si="28"/>
        <v>27.27272727</v>
      </c>
      <c r="G86" s="202">
        <f t="shared" si="29"/>
        <v>27.27272727</v>
      </c>
      <c r="H86" s="183"/>
      <c r="I86" s="179"/>
      <c r="J86" s="179"/>
      <c r="K86" s="179"/>
      <c r="L86" s="179"/>
      <c r="M86" s="118">
        <f t="shared" si="30"/>
        <v>0</v>
      </c>
      <c r="N86" s="119" t="str">
        <f t="shared" si="31"/>
        <v>#DIV/0!</v>
      </c>
      <c r="O86" s="176"/>
      <c r="P86" s="179"/>
      <c r="Q86" s="179"/>
      <c r="R86" s="179"/>
      <c r="S86" s="179"/>
      <c r="T86" s="179"/>
      <c r="U86" s="179"/>
      <c r="V86" s="179"/>
      <c r="W86" s="179"/>
      <c r="X86" s="116"/>
      <c r="Y86" s="262">
        <v>1.0</v>
      </c>
      <c r="Z86" s="179"/>
      <c r="AA86" s="179"/>
      <c r="AB86" s="179"/>
      <c r="AC86" s="262">
        <v>1.0</v>
      </c>
      <c r="AD86" s="262">
        <v>1.0</v>
      </c>
      <c r="AE86" s="179"/>
      <c r="AF86" s="176"/>
      <c r="AG86" s="176"/>
      <c r="AH86" s="163"/>
      <c r="AI86" s="176"/>
      <c r="AJ86" s="251">
        <f t="shared" si="32"/>
        <v>3</v>
      </c>
      <c r="AK86" s="169">
        <f t="shared" si="33"/>
        <v>50</v>
      </c>
      <c r="AL86" s="183"/>
      <c r="AM86" s="179"/>
      <c r="AN86" s="179"/>
      <c r="AO86" s="179"/>
      <c r="AP86" s="179"/>
      <c r="AQ86" s="179"/>
      <c r="AR86" s="179"/>
      <c r="AS86" s="179"/>
      <c r="AT86" s="138"/>
      <c r="AU86" s="179"/>
      <c r="AV86" s="179"/>
      <c r="AW86" s="179"/>
      <c r="AX86" s="179"/>
      <c r="AY86" s="179"/>
      <c r="AZ86" s="179"/>
      <c r="BA86" s="179"/>
      <c r="BB86" s="179"/>
      <c r="BC86" s="179"/>
      <c r="BD86" s="179"/>
      <c r="BE86" s="181"/>
      <c r="BF86" s="179"/>
      <c r="BG86" s="118">
        <f t="shared" si="34"/>
        <v>0</v>
      </c>
      <c r="BH86" s="122">
        <f t="shared" si="35"/>
        <v>0</v>
      </c>
      <c r="BI86" s="176"/>
      <c r="BJ86" s="179"/>
      <c r="BK86" s="179"/>
      <c r="BL86" s="179"/>
      <c r="BM86" s="179"/>
      <c r="BN86" s="179"/>
      <c r="BO86" s="179"/>
      <c r="BP86" s="179"/>
      <c r="BQ86" s="179"/>
      <c r="BR86" s="179"/>
      <c r="BS86" s="179"/>
      <c r="BT86" s="116"/>
      <c r="BU86" s="185"/>
      <c r="BV86" s="179"/>
      <c r="BW86" s="186"/>
      <c r="BX86" s="186"/>
      <c r="BY86" s="186"/>
      <c r="BZ86" s="186"/>
      <c r="CA86" s="186"/>
      <c r="CB86" s="186"/>
      <c r="CC86" s="186"/>
      <c r="CD86" s="186"/>
      <c r="CE86" s="172">
        <f t="shared" si="36"/>
        <v>0</v>
      </c>
      <c r="CF86" s="173">
        <f t="shared" si="37"/>
        <v>0</v>
      </c>
      <c r="CG86" s="199"/>
      <c r="CH86" s="186"/>
      <c r="CI86" s="186"/>
      <c r="CJ86" s="186"/>
      <c r="CK86" s="186"/>
      <c r="CL86" s="186"/>
      <c r="CM86" s="186"/>
      <c r="CN86" s="186"/>
      <c r="CO86" s="186"/>
      <c r="CP86" s="186"/>
      <c r="CQ86" s="186"/>
      <c r="CR86" s="186"/>
      <c r="CS86" s="175">
        <f t="shared" si="38"/>
        <v>0</v>
      </c>
      <c r="CT86" s="158">
        <f t="shared" si="39"/>
        <v>0</v>
      </c>
    </row>
    <row r="87" ht="15.75" customHeight="1">
      <c r="A87" s="131">
        <v>77.0</v>
      </c>
      <c r="B87" s="126" t="s">
        <v>205</v>
      </c>
      <c r="C87" s="260" t="s">
        <v>206</v>
      </c>
      <c r="D87" s="250">
        <f t="shared" si="6"/>
        <v>2</v>
      </c>
      <c r="E87" s="113">
        <f t="shared" si="27"/>
        <v>18.18181818</v>
      </c>
      <c r="F87" s="114">
        <f t="shared" si="28"/>
        <v>18.18181818</v>
      </c>
      <c r="G87" s="202">
        <f t="shared" si="29"/>
        <v>18.18181818</v>
      </c>
      <c r="H87" s="183"/>
      <c r="I87" s="179"/>
      <c r="J87" s="179"/>
      <c r="K87" s="179"/>
      <c r="L87" s="179"/>
      <c r="M87" s="118">
        <f t="shared" si="30"/>
        <v>0</v>
      </c>
      <c r="N87" s="119" t="str">
        <f t="shared" si="31"/>
        <v>#DIV/0!</v>
      </c>
      <c r="O87" s="176"/>
      <c r="P87" s="179"/>
      <c r="Q87" s="179"/>
      <c r="R87" s="179"/>
      <c r="S87" s="179"/>
      <c r="T87" s="179"/>
      <c r="U87" s="179"/>
      <c r="V87" s="179"/>
      <c r="W87" s="179"/>
      <c r="X87" s="116"/>
      <c r="Y87" s="163"/>
      <c r="Z87" s="179"/>
      <c r="AA87" s="179"/>
      <c r="AB87" s="179"/>
      <c r="AC87" s="163"/>
      <c r="AD87" s="116"/>
      <c r="AE87" s="179"/>
      <c r="AF87" s="176"/>
      <c r="AG87" s="176"/>
      <c r="AH87" s="116"/>
      <c r="AI87" s="176"/>
      <c r="AJ87" s="251">
        <f t="shared" si="32"/>
        <v>0</v>
      </c>
      <c r="AK87" s="169">
        <f t="shared" si="33"/>
        <v>0</v>
      </c>
      <c r="AL87" s="183"/>
      <c r="AM87" s="179"/>
      <c r="AN87" s="179"/>
      <c r="AO87" s="179"/>
      <c r="AP87" s="179"/>
      <c r="AQ87" s="179"/>
      <c r="AR87" s="179"/>
      <c r="AS87" s="179"/>
      <c r="AT87" s="138"/>
      <c r="AU87" s="179"/>
      <c r="AV87" s="179"/>
      <c r="AW87" s="179"/>
      <c r="AX87" s="179"/>
      <c r="AY87" s="179"/>
      <c r="AZ87" s="179"/>
      <c r="BA87" s="179"/>
      <c r="BB87" s="179"/>
      <c r="BC87" s="179"/>
      <c r="BD87" s="179"/>
      <c r="BE87" s="194"/>
      <c r="BF87" s="179"/>
      <c r="BG87" s="118">
        <f t="shared" si="34"/>
        <v>0</v>
      </c>
      <c r="BH87" s="122">
        <f t="shared" si="35"/>
        <v>0</v>
      </c>
      <c r="BI87" s="176"/>
      <c r="BJ87" s="179"/>
      <c r="BK87" s="179"/>
      <c r="BL87" s="184">
        <v>1.0</v>
      </c>
      <c r="BM87" s="179"/>
      <c r="BN87" s="179"/>
      <c r="BO87" s="179"/>
      <c r="BP87" s="179"/>
      <c r="BQ87" s="179"/>
      <c r="BR87" s="179"/>
      <c r="BS87" s="179"/>
      <c r="BT87" s="138">
        <v>1.0</v>
      </c>
      <c r="BU87" s="171"/>
      <c r="BV87" s="179"/>
      <c r="BW87" s="186"/>
      <c r="BX87" s="186"/>
      <c r="BY87" s="186"/>
      <c r="BZ87" s="186"/>
      <c r="CA87" s="186"/>
      <c r="CB87" s="186"/>
      <c r="CC87" s="186"/>
      <c r="CD87" s="186"/>
      <c r="CE87" s="172">
        <f t="shared" si="36"/>
        <v>2</v>
      </c>
      <c r="CF87" s="173">
        <f t="shared" si="37"/>
        <v>100</v>
      </c>
      <c r="CG87" s="199"/>
      <c r="CH87" s="186"/>
      <c r="CI87" s="186"/>
      <c r="CJ87" s="186"/>
      <c r="CK87" s="186"/>
      <c r="CL87" s="186"/>
      <c r="CM87" s="186"/>
      <c r="CN87" s="186"/>
      <c r="CO87" s="186"/>
      <c r="CP87" s="186"/>
      <c r="CQ87" s="186"/>
      <c r="CR87" s="186"/>
      <c r="CS87" s="175">
        <f t="shared" si="38"/>
        <v>0</v>
      </c>
      <c r="CT87" s="158">
        <f t="shared" si="39"/>
        <v>0</v>
      </c>
    </row>
    <row r="88" ht="15.75" customHeight="1">
      <c r="A88" s="146">
        <v>78.0</v>
      </c>
      <c r="B88" s="111" t="s">
        <v>207</v>
      </c>
      <c r="C88" s="112" t="s">
        <v>208</v>
      </c>
      <c r="D88" s="250">
        <f t="shared" si="6"/>
        <v>7</v>
      </c>
      <c r="E88" s="113">
        <f t="shared" si="27"/>
        <v>63.63636364</v>
      </c>
      <c r="F88" s="114" t="str">
        <f t="shared" si="28"/>
        <v>  </v>
      </c>
      <c r="G88" s="164" t="str">
        <f t="shared" si="29"/>
        <v>  </v>
      </c>
      <c r="H88" s="183"/>
      <c r="I88" s="179"/>
      <c r="J88" s="179"/>
      <c r="K88" s="179"/>
      <c r="L88" s="179"/>
      <c r="M88" s="118">
        <f t="shared" si="30"/>
        <v>0</v>
      </c>
      <c r="N88" s="119" t="str">
        <f t="shared" si="31"/>
        <v>#DIV/0!</v>
      </c>
      <c r="O88" s="176"/>
      <c r="P88" s="179"/>
      <c r="Q88" s="179"/>
      <c r="R88" s="179"/>
      <c r="S88" s="179"/>
      <c r="T88" s="179"/>
      <c r="U88" s="179"/>
      <c r="V88" s="179"/>
      <c r="W88" s="179"/>
      <c r="X88" s="116"/>
      <c r="Y88" s="262">
        <v>1.0</v>
      </c>
      <c r="Z88" s="179"/>
      <c r="AA88" s="179"/>
      <c r="AB88" s="179"/>
      <c r="AC88" s="163"/>
      <c r="AD88" s="138">
        <v>1.0</v>
      </c>
      <c r="AE88" s="179"/>
      <c r="AF88" s="176"/>
      <c r="AG88" s="176"/>
      <c r="AH88" s="116"/>
      <c r="AI88" s="182">
        <v>1.0</v>
      </c>
      <c r="AJ88" s="251">
        <f t="shared" si="32"/>
        <v>3</v>
      </c>
      <c r="AK88" s="169">
        <f t="shared" si="33"/>
        <v>50</v>
      </c>
      <c r="AL88" s="183"/>
      <c r="AM88" s="179"/>
      <c r="AN88" s="179"/>
      <c r="AO88" s="184">
        <v>1.0</v>
      </c>
      <c r="AP88" s="179"/>
      <c r="AQ88" s="179"/>
      <c r="AR88" s="179"/>
      <c r="AS88" s="179"/>
      <c r="AT88" s="138"/>
      <c r="AU88" s="179"/>
      <c r="AV88" s="179"/>
      <c r="AW88" s="179"/>
      <c r="AX88" s="179"/>
      <c r="AY88" s="179"/>
      <c r="AZ88" s="179"/>
      <c r="BA88" s="179"/>
      <c r="BB88" s="179"/>
      <c r="BC88" s="179"/>
      <c r="BD88" s="179"/>
      <c r="BE88" s="188">
        <v>1.0</v>
      </c>
      <c r="BF88" s="179"/>
      <c r="BG88" s="118">
        <f t="shared" si="34"/>
        <v>2</v>
      </c>
      <c r="BH88" s="122">
        <f t="shared" si="35"/>
        <v>100</v>
      </c>
      <c r="BI88" s="176"/>
      <c r="BJ88" s="179"/>
      <c r="BK88" s="179"/>
      <c r="BL88" s="179"/>
      <c r="BM88" s="179"/>
      <c r="BN88" s="179"/>
      <c r="BO88" s="179"/>
      <c r="BP88" s="179"/>
      <c r="BQ88" s="179"/>
      <c r="BR88" s="179"/>
      <c r="BS88" s="184">
        <v>1.0</v>
      </c>
      <c r="BT88" s="138">
        <v>1.0</v>
      </c>
      <c r="BU88" s="171"/>
      <c r="BV88" s="179"/>
      <c r="BW88" s="186"/>
      <c r="BX88" s="186"/>
      <c r="BY88" s="186"/>
      <c r="BZ88" s="186"/>
      <c r="CA88" s="186"/>
      <c r="CB88" s="186"/>
      <c r="CC88" s="186"/>
      <c r="CD88" s="186"/>
      <c r="CE88" s="172">
        <f t="shared" si="36"/>
        <v>2</v>
      </c>
      <c r="CF88" s="173">
        <f t="shared" si="37"/>
        <v>100</v>
      </c>
      <c r="CG88" s="199"/>
      <c r="CH88" s="163"/>
      <c r="CI88" s="186"/>
      <c r="CJ88" s="186"/>
      <c r="CK88" s="186"/>
      <c r="CL88" s="186"/>
      <c r="CM88" s="163"/>
      <c r="CN88" s="186"/>
      <c r="CO88" s="186"/>
      <c r="CP88" s="186"/>
      <c r="CQ88" s="186"/>
      <c r="CR88" s="186"/>
      <c r="CS88" s="175">
        <f t="shared" si="38"/>
        <v>0</v>
      </c>
      <c r="CT88" s="158">
        <f t="shared" si="39"/>
        <v>0</v>
      </c>
    </row>
    <row r="89" ht="15.75" customHeight="1">
      <c r="A89" s="146">
        <v>79.0</v>
      </c>
      <c r="B89" s="111" t="s">
        <v>209</v>
      </c>
      <c r="C89" s="112" t="s">
        <v>210</v>
      </c>
      <c r="D89" s="250">
        <f t="shared" si="6"/>
        <v>6</v>
      </c>
      <c r="E89" s="113">
        <f t="shared" si="27"/>
        <v>54.54545455</v>
      </c>
      <c r="F89" s="114" t="str">
        <f t="shared" si="28"/>
        <v>  </v>
      </c>
      <c r="G89" s="164" t="str">
        <f t="shared" si="29"/>
        <v>  </v>
      </c>
      <c r="H89" s="183"/>
      <c r="I89" s="179"/>
      <c r="J89" s="179"/>
      <c r="K89" s="166"/>
      <c r="L89" s="166"/>
      <c r="M89" s="118">
        <f t="shared" si="30"/>
        <v>0</v>
      </c>
      <c r="N89" s="119" t="str">
        <f t="shared" si="31"/>
        <v>#DIV/0!</v>
      </c>
      <c r="O89" s="176"/>
      <c r="P89" s="179"/>
      <c r="Q89" s="179"/>
      <c r="R89" s="179"/>
      <c r="S89" s="179"/>
      <c r="T89" s="179"/>
      <c r="U89" s="179"/>
      <c r="V89" s="179"/>
      <c r="W89" s="179"/>
      <c r="X89" s="138">
        <v>1.0</v>
      </c>
      <c r="Y89" s="163"/>
      <c r="Z89" s="179"/>
      <c r="AA89" s="179"/>
      <c r="AB89" s="179"/>
      <c r="AC89" s="163"/>
      <c r="AD89" s="116"/>
      <c r="AE89" s="179"/>
      <c r="AF89" s="176"/>
      <c r="AG89" s="176"/>
      <c r="AH89" s="262">
        <v>1.0</v>
      </c>
      <c r="AI89" s="176"/>
      <c r="AJ89" s="251">
        <f t="shared" si="32"/>
        <v>2</v>
      </c>
      <c r="AK89" s="169">
        <f t="shared" si="33"/>
        <v>33.33333333</v>
      </c>
      <c r="AL89" s="183"/>
      <c r="AM89" s="179"/>
      <c r="AN89" s="179"/>
      <c r="AO89" s="179"/>
      <c r="AP89" s="179"/>
      <c r="AQ89" s="179"/>
      <c r="AR89" s="179"/>
      <c r="AS89" s="179"/>
      <c r="AT89" s="138"/>
      <c r="AU89" s="184">
        <v>1.0</v>
      </c>
      <c r="AV89" s="179"/>
      <c r="AW89" s="179"/>
      <c r="AX89" s="179"/>
      <c r="AY89" s="179"/>
      <c r="AZ89" s="179"/>
      <c r="BA89" s="179"/>
      <c r="BB89" s="179"/>
      <c r="BC89" s="179"/>
      <c r="BD89" s="179"/>
      <c r="BE89" s="194"/>
      <c r="BF89" s="179"/>
      <c r="BG89" s="118">
        <f t="shared" si="34"/>
        <v>1</v>
      </c>
      <c r="BH89" s="122">
        <f t="shared" si="35"/>
        <v>50</v>
      </c>
      <c r="BI89" s="176"/>
      <c r="BJ89" s="179"/>
      <c r="BK89" s="179"/>
      <c r="BL89" s="184">
        <v>1.0</v>
      </c>
      <c r="BM89" s="179"/>
      <c r="BN89" s="179"/>
      <c r="BO89" s="179"/>
      <c r="BP89" s="179"/>
      <c r="BQ89" s="179"/>
      <c r="BR89" s="179"/>
      <c r="BS89" s="184">
        <v>1.0</v>
      </c>
      <c r="BT89" s="138">
        <v>1.0</v>
      </c>
      <c r="BU89" s="171"/>
      <c r="BV89" s="179"/>
      <c r="BW89" s="186"/>
      <c r="BX89" s="186"/>
      <c r="BY89" s="186"/>
      <c r="BZ89" s="186"/>
      <c r="CA89" s="186"/>
      <c r="CB89" s="186"/>
      <c r="CC89" s="186"/>
      <c r="CD89" s="186"/>
      <c r="CE89" s="172">
        <f t="shared" si="36"/>
        <v>3</v>
      </c>
      <c r="CF89" s="173">
        <f t="shared" si="37"/>
        <v>150</v>
      </c>
      <c r="CG89" s="199"/>
      <c r="CH89" s="163"/>
      <c r="CI89" s="186"/>
      <c r="CJ89" s="186"/>
      <c r="CK89" s="186"/>
      <c r="CL89" s="186"/>
      <c r="CM89" s="163"/>
      <c r="CN89" s="186"/>
      <c r="CO89" s="186"/>
      <c r="CP89" s="186"/>
      <c r="CQ89" s="186"/>
      <c r="CR89" s="186"/>
      <c r="CS89" s="175">
        <f t="shared" si="38"/>
        <v>0</v>
      </c>
      <c r="CT89" s="158">
        <f t="shared" si="39"/>
        <v>0</v>
      </c>
    </row>
    <row r="90" ht="15.75" customHeight="1">
      <c r="A90" s="131">
        <v>80.0</v>
      </c>
      <c r="B90" s="111" t="s">
        <v>211</v>
      </c>
      <c r="C90" s="112" t="s">
        <v>212</v>
      </c>
      <c r="D90" s="250">
        <f t="shared" si="6"/>
        <v>5</v>
      </c>
      <c r="E90" s="113">
        <f t="shared" si="27"/>
        <v>45.45454545</v>
      </c>
      <c r="F90" s="114">
        <f t="shared" si="28"/>
        <v>45.45454545</v>
      </c>
      <c r="G90" s="164" t="str">
        <f t="shared" si="29"/>
        <v>  </v>
      </c>
      <c r="H90" s="183"/>
      <c r="I90" s="179"/>
      <c r="J90" s="179"/>
      <c r="K90" s="166"/>
      <c r="L90" s="166"/>
      <c r="M90" s="118">
        <f t="shared" si="30"/>
        <v>0</v>
      </c>
      <c r="N90" s="119" t="str">
        <f t="shared" si="31"/>
        <v>#DIV/0!</v>
      </c>
      <c r="O90" s="176"/>
      <c r="P90" s="179"/>
      <c r="Q90" s="179"/>
      <c r="R90" s="179"/>
      <c r="S90" s="179"/>
      <c r="T90" s="179"/>
      <c r="U90" s="179"/>
      <c r="V90" s="179"/>
      <c r="W90" s="179"/>
      <c r="X90" s="116"/>
      <c r="Y90" s="262">
        <v>1.0</v>
      </c>
      <c r="Z90" s="179"/>
      <c r="AA90" s="179"/>
      <c r="AB90" s="179"/>
      <c r="AC90" s="262">
        <v>1.0</v>
      </c>
      <c r="AD90" s="116"/>
      <c r="AE90" s="179"/>
      <c r="AF90" s="176"/>
      <c r="AG90" s="176"/>
      <c r="AH90" s="163"/>
      <c r="AI90" s="182">
        <v>1.0</v>
      </c>
      <c r="AJ90" s="251">
        <f t="shared" si="32"/>
        <v>3</v>
      </c>
      <c r="AK90" s="169">
        <f t="shared" si="33"/>
        <v>50</v>
      </c>
      <c r="AL90" s="183"/>
      <c r="AM90" s="179"/>
      <c r="AN90" s="179"/>
      <c r="AO90" s="184">
        <v>1.0</v>
      </c>
      <c r="AP90" s="179"/>
      <c r="AQ90" s="179"/>
      <c r="AR90" s="179"/>
      <c r="AS90" s="179"/>
      <c r="AT90" s="138"/>
      <c r="AU90" s="179"/>
      <c r="AV90" s="179"/>
      <c r="AW90" s="179"/>
      <c r="AX90" s="179"/>
      <c r="AY90" s="179"/>
      <c r="AZ90" s="179"/>
      <c r="BA90" s="179"/>
      <c r="BB90" s="179"/>
      <c r="BC90" s="179"/>
      <c r="BD90" s="179"/>
      <c r="BE90" s="181"/>
      <c r="BF90" s="179"/>
      <c r="BG90" s="118">
        <f t="shared" si="34"/>
        <v>1</v>
      </c>
      <c r="BH90" s="122">
        <f t="shared" si="35"/>
        <v>50</v>
      </c>
      <c r="BI90" s="176"/>
      <c r="BJ90" s="179"/>
      <c r="BK90" s="179"/>
      <c r="BL90" s="184">
        <v>1.0</v>
      </c>
      <c r="BM90" s="179"/>
      <c r="BN90" s="179"/>
      <c r="BO90" s="179"/>
      <c r="BP90" s="179"/>
      <c r="BQ90" s="179"/>
      <c r="BR90" s="179"/>
      <c r="BS90" s="179"/>
      <c r="BT90" s="116"/>
      <c r="BU90" s="171"/>
      <c r="BV90" s="179"/>
      <c r="BW90" s="186"/>
      <c r="BX90" s="186"/>
      <c r="BY90" s="186"/>
      <c r="BZ90" s="186"/>
      <c r="CA90" s="186"/>
      <c r="CB90" s="186"/>
      <c r="CC90" s="186"/>
      <c r="CD90" s="186"/>
      <c r="CE90" s="172">
        <f t="shared" si="36"/>
        <v>1</v>
      </c>
      <c r="CF90" s="173">
        <f t="shared" si="37"/>
        <v>50</v>
      </c>
      <c r="CG90" s="199"/>
      <c r="CH90" s="163"/>
      <c r="CI90" s="186"/>
      <c r="CJ90" s="186"/>
      <c r="CK90" s="186"/>
      <c r="CL90" s="186"/>
      <c r="CM90" s="163"/>
      <c r="CN90" s="186"/>
      <c r="CO90" s="186"/>
      <c r="CP90" s="186"/>
      <c r="CQ90" s="186"/>
      <c r="CR90" s="186"/>
      <c r="CS90" s="175">
        <f t="shared" si="38"/>
        <v>0</v>
      </c>
      <c r="CT90" s="158">
        <f t="shared" si="39"/>
        <v>0</v>
      </c>
    </row>
    <row r="91" ht="15.75" customHeight="1">
      <c r="A91" s="146">
        <v>81.0</v>
      </c>
      <c r="B91" s="111" t="s">
        <v>213</v>
      </c>
      <c r="C91" s="112" t="s">
        <v>214</v>
      </c>
      <c r="D91" s="250">
        <f t="shared" si="6"/>
        <v>7</v>
      </c>
      <c r="E91" s="113">
        <f t="shared" si="27"/>
        <v>63.63636364</v>
      </c>
      <c r="F91" s="114" t="str">
        <f t="shared" si="28"/>
        <v>  </v>
      </c>
      <c r="G91" s="164" t="str">
        <f t="shared" si="29"/>
        <v>  </v>
      </c>
      <c r="H91" s="183"/>
      <c r="I91" s="179"/>
      <c r="J91" s="179"/>
      <c r="K91" s="166"/>
      <c r="L91" s="166"/>
      <c r="M91" s="118">
        <f t="shared" si="30"/>
        <v>0</v>
      </c>
      <c r="N91" s="119" t="str">
        <f t="shared" si="31"/>
        <v>#DIV/0!</v>
      </c>
      <c r="O91" s="176"/>
      <c r="P91" s="179"/>
      <c r="Q91" s="179"/>
      <c r="R91" s="179"/>
      <c r="S91" s="179"/>
      <c r="T91" s="179"/>
      <c r="U91" s="179"/>
      <c r="V91" s="179"/>
      <c r="W91" s="179"/>
      <c r="X91" s="138">
        <v>1.0</v>
      </c>
      <c r="Y91" s="262">
        <v>1.0</v>
      </c>
      <c r="Z91" s="179"/>
      <c r="AA91" s="179"/>
      <c r="AB91" s="179"/>
      <c r="AC91" s="262">
        <v>1.0</v>
      </c>
      <c r="AD91" s="262">
        <v>1.0</v>
      </c>
      <c r="AE91" s="179"/>
      <c r="AF91" s="176"/>
      <c r="AG91" s="176"/>
      <c r="AH91" s="138">
        <v>1.0</v>
      </c>
      <c r="AI91" s="176"/>
      <c r="AJ91" s="251">
        <f t="shared" si="32"/>
        <v>5</v>
      </c>
      <c r="AK91" s="169">
        <f t="shared" si="33"/>
        <v>83.33333333</v>
      </c>
      <c r="AL91" s="183"/>
      <c r="AM91" s="179"/>
      <c r="AN91" s="179"/>
      <c r="AO91" s="179"/>
      <c r="AP91" s="179"/>
      <c r="AQ91" s="179"/>
      <c r="AR91" s="179"/>
      <c r="AS91" s="179"/>
      <c r="AT91" s="138"/>
      <c r="AU91" s="184">
        <v>1.0</v>
      </c>
      <c r="AV91" s="179"/>
      <c r="AW91" s="179"/>
      <c r="AX91" s="179"/>
      <c r="AY91" s="179"/>
      <c r="AZ91" s="179"/>
      <c r="BA91" s="179"/>
      <c r="BB91" s="179"/>
      <c r="BC91" s="179"/>
      <c r="BD91" s="179"/>
      <c r="BE91" s="194"/>
      <c r="BF91" s="179"/>
      <c r="BG91" s="118">
        <f t="shared" si="34"/>
        <v>1</v>
      </c>
      <c r="BH91" s="122">
        <f t="shared" si="35"/>
        <v>50</v>
      </c>
      <c r="BI91" s="176"/>
      <c r="BJ91" s="179"/>
      <c r="BK91" s="179"/>
      <c r="BL91" s="184">
        <v>1.0</v>
      </c>
      <c r="BM91" s="179"/>
      <c r="BN91" s="179"/>
      <c r="BO91" s="179"/>
      <c r="BP91" s="179"/>
      <c r="BQ91" s="179"/>
      <c r="BR91" s="179"/>
      <c r="BS91" s="179"/>
      <c r="BT91" s="116"/>
      <c r="BU91" s="171"/>
      <c r="BV91" s="179"/>
      <c r="BW91" s="186"/>
      <c r="BX91" s="186"/>
      <c r="BY91" s="186"/>
      <c r="BZ91" s="186"/>
      <c r="CA91" s="186"/>
      <c r="CB91" s="186"/>
      <c r="CC91" s="186"/>
      <c r="CD91" s="186"/>
      <c r="CE91" s="172">
        <f t="shared" si="36"/>
        <v>1</v>
      </c>
      <c r="CF91" s="173">
        <f t="shared" si="37"/>
        <v>50</v>
      </c>
      <c r="CG91" s="199"/>
      <c r="CH91" s="163"/>
      <c r="CI91" s="186"/>
      <c r="CJ91" s="186"/>
      <c r="CK91" s="186"/>
      <c r="CL91" s="186"/>
      <c r="CM91" s="163"/>
      <c r="CN91" s="186"/>
      <c r="CO91" s="186"/>
      <c r="CP91" s="186"/>
      <c r="CQ91" s="186"/>
      <c r="CR91" s="186"/>
      <c r="CS91" s="175">
        <f t="shared" si="38"/>
        <v>0</v>
      </c>
      <c r="CT91" s="158">
        <f t="shared" si="39"/>
        <v>0</v>
      </c>
    </row>
    <row r="92" ht="15.75" customHeight="1">
      <c r="A92" s="146">
        <v>82.0</v>
      </c>
      <c r="B92" s="111" t="s">
        <v>215</v>
      </c>
      <c r="C92" s="112" t="s">
        <v>216</v>
      </c>
      <c r="D92" s="250">
        <f t="shared" si="6"/>
        <v>9</v>
      </c>
      <c r="E92" s="113">
        <f t="shared" si="27"/>
        <v>81.81818182</v>
      </c>
      <c r="F92" s="114" t="str">
        <f t="shared" si="28"/>
        <v>  </v>
      </c>
      <c r="G92" s="164" t="str">
        <f t="shared" si="29"/>
        <v>  </v>
      </c>
      <c r="H92" s="163"/>
      <c r="I92" s="163"/>
      <c r="J92" s="163"/>
      <c r="K92" s="163"/>
      <c r="L92" s="163"/>
      <c r="M92" s="118">
        <f t="shared" si="30"/>
        <v>0</v>
      </c>
      <c r="N92" s="119" t="str">
        <f t="shared" si="31"/>
        <v>#DIV/0!</v>
      </c>
      <c r="O92" s="163"/>
      <c r="P92" s="163"/>
      <c r="Q92" s="163"/>
      <c r="R92" s="163"/>
      <c r="S92" s="163"/>
      <c r="T92" s="163"/>
      <c r="U92" s="163"/>
      <c r="V92" s="163"/>
      <c r="W92" s="163"/>
      <c r="X92" s="138">
        <v>1.0</v>
      </c>
      <c r="Y92" s="262">
        <v>1.0</v>
      </c>
      <c r="Z92" s="163"/>
      <c r="AA92" s="163"/>
      <c r="AB92" s="163"/>
      <c r="AC92" s="262">
        <v>1.0</v>
      </c>
      <c r="AD92" s="138">
        <v>1.0</v>
      </c>
      <c r="AE92" s="163"/>
      <c r="AF92" s="263"/>
      <c r="AG92" s="263"/>
      <c r="AH92" s="116"/>
      <c r="AI92" s="263"/>
      <c r="AJ92" s="251">
        <f t="shared" si="32"/>
        <v>4</v>
      </c>
      <c r="AK92" s="169">
        <f t="shared" si="33"/>
        <v>66.66666667</v>
      </c>
      <c r="AL92" s="163"/>
      <c r="AM92" s="163"/>
      <c r="AN92" s="163"/>
      <c r="AO92" s="262">
        <v>1.0</v>
      </c>
      <c r="AP92" s="163"/>
      <c r="AQ92" s="163"/>
      <c r="AR92" s="163"/>
      <c r="AS92" s="163"/>
      <c r="AT92" s="138"/>
      <c r="AU92" s="262">
        <v>1.0</v>
      </c>
      <c r="AV92" s="163"/>
      <c r="AW92" s="163"/>
      <c r="AX92" s="163"/>
      <c r="AY92" s="163"/>
      <c r="AZ92" s="163"/>
      <c r="BA92" s="163"/>
      <c r="BB92" s="163"/>
      <c r="BC92" s="163"/>
      <c r="BD92" s="163"/>
      <c r="BE92" s="181"/>
      <c r="BF92" s="163"/>
      <c r="BG92" s="118">
        <f t="shared" si="34"/>
        <v>2</v>
      </c>
      <c r="BH92" s="122">
        <f t="shared" si="35"/>
        <v>100</v>
      </c>
      <c r="BI92" s="163"/>
      <c r="BJ92" s="163"/>
      <c r="BK92" s="163"/>
      <c r="BL92" s="262">
        <v>1.0</v>
      </c>
      <c r="BM92" s="163"/>
      <c r="BN92" s="163"/>
      <c r="BO92" s="163"/>
      <c r="BP92" s="163"/>
      <c r="BQ92" s="163"/>
      <c r="BR92" s="163"/>
      <c r="BS92" s="262">
        <v>1.0</v>
      </c>
      <c r="BT92" s="138">
        <v>1.0</v>
      </c>
      <c r="BU92" s="171"/>
      <c r="BV92" s="163"/>
      <c r="BW92" s="163"/>
      <c r="BX92" s="163"/>
      <c r="BY92" s="163"/>
      <c r="BZ92" s="163"/>
      <c r="CA92" s="163"/>
      <c r="CB92" s="163"/>
      <c r="CC92" s="163"/>
      <c r="CD92" s="163"/>
      <c r="CE92" s="172">
        <f t="shared" si="36"/>
        <v>3</v>
      </c>
      <c r="CF92" s="173">
        <f t="shared" si="37"/>
        <v>150</v>
      </c>
      <c r="CG92" s="163"/>
      <c r="CH92" s="163"/>
      <c r="CI92" s="163"/>
      <c r="CJ92" s="163"/>
      <c r="CK92" s="163"/>
      <c r="CL92" s="163"/>
      <c r="CM92" s="163"/>
      <c r="CN92" s="163"/>
      <c r="CO92" s="163"/>
      <c r="CP92" s="163"/>
      <c r="CQ92" s="163"/>
      <c r="CR92" s="163"/>
      <c r="CS92" s="175">
        <f t="shared" si="38"/>
        <v>0</v>
      </c>
      <c r="CT92" s="158">
        <f t="shared" si="39"/>
        <v>0</v>
      </c>
    </row>
    <row r="93" ht="15.75" customHeight="1">
      <c r="A93" s="131">
        <v>83.0</v>
      </c>
      <c r="B93" s="111" t="s">
        <v>217</v>
      </c>
      <c r="C93" s="112" t="s">
        <v>218</v>
      </c>
      <c r="D93" s="250">
        <f t="shared" si="6"/>
        <v>0</v>
      </c>
      <c r="E93" s="113">
        <f t="shared" si="27"/>
        <v>0</v>
      </c>
      <c r="F93" s="114">
        <f t="shared" si="28"/>
        <v>0</v>
      </c>
      <c r="G93" s="202">
        <f t="shared" si="29"/>
        <v>0</v>
      </c>
      <c r="H93" s="163"/>
      <c r="I93" s="163"/>
      <c r="J93" s="163"/>
      <c r="K93" s="163"/>
      <c r="L93" s="163"/>
      <c r="M93" s="118">
        <f t="shared" si="30"/>
        <v>0</v>
      </c>
      <c r="N93" s="119" t="str">
        <f t="shared" si="31"/>
        <v>#DIV/0!</v>
      </c>
      <c r="O93" s="163"/>
      <c r="P93" s="163"/>
      <c r="Q93" s="163"/>
      <c r="R93" s="163"/>
      <c r="S93" s="163"/>
      <c r="T93" s="163"/>
      <c r="U93" s="163"/>
      <c r="V93" s="163"/>
      <c r="W93" s="163"/>
      <c r="X93" s="116"/>
      <c r="Y93" s="163"/>
      <c r="Z93" s="163"/>
      <c r="AA93" s="163"/>
      <c r="AB93" s="163"/>
      <c r="AC93" s="163"/>
      <c r="AD93" s="163"/>
      <c r="AE93" s="163"/>
      <c r="AF93" s="263"/>
      <c r="AG93" s="263"/>
      <c r="AH93" s="163"/>
      <c r="AI93" s="263"/>
      <c r="AJ93" s="251">
        <f t="shared" si="32"/>
        <v>0</v>
      </c>
      <c r="AK93" s="169">
        <f t="shared" si="33"/>
        <v>0</v>
      </c>
      <c r="AL93" s="163"/>
      <c r="AM93" s="163"/>
      <c r="AN93" s="163"/>
      <c r="AO93" s="163"/>
      <c r="AP93" s="163"/>
      <c r="AQ93" s="163"/>
      <c r="AR93" s="163"/>
      <c r="AS93" s="163"/>
      <c r="AT93" s="116"/>
      <c r="AU93" s="163"/>
      <c r="AV93" s="163"/>
      <c r="AW93" s="163"/>
      <c r="AX93" s="163"/>
      <c r="AY93" s="163"/>
      <c r="AZ93" s="163"/>
      <c r="BA93" s="163"/>
      <c r="BB93" s="163"/>
      <c r="BC93" s="163"/>
      <c r="BD93" s="163"/>
      <c r="BE93" s="163"/>
      <c r="BF93" s="163"/>
      <c r="BG93" s="118">
        <f t="shared" si="34"/>
        <v>0</v>
      </c>
      <c r="BH93" s="122">
        <f t="shared" si="35"/>
        <v>0</v>
      </c>
      <c r="BI93" s="163"/>
      <c r="BJ93" s="163"/>
      <c r="BK93" s="163"/>
      <c r="BL93" s="163"/>
      <c r="BM93" s="163"/>
      <c r="BN93" s="163"/>
      <c r="BO93" s="163"/>
      <c r="BP93" s="163"/>
      <c r="BQ93" s="163"/>
      <c r="BR93" s="163"/>
      <c r="BS93" s="163"/>
      <c r="BT93" s="116"/>
      <c r="BU93" s="171"/>
      <c r="BV93" s="163"/>
      <c r="BW93" s="163"/>
      <c r="BX93" s="163"/>
      <c r="BY93" s="163"/>
      <c r="BZ93" s="163"/>
      <c r="CA93" s="163"/>
      <c r="CB93" s="163"/>
      <c r="CC93" s="163"/>
      <c r="CD93" s="163"/>
      <c r="CE93" s="172">
        <f t="shared" si="36"/>
        <v>0</v>
      </c>
      <c r="CF93" s="173">
        <f t="shared" si="37"/>
        <v>0</v>
      </c>
      <c r="CG93" s="163"/>
      <c r="CH93" s="163"/>
      <c r="CI93" s="163"/>
      <c r="CJ93" s="163"/>
      <c r="CK93" s="163"/>
      <c r="CL93" s="163"/>
      <c r="CM93" s="163"/>
      <c r="CN93" s="163"/>
      <c r="CO93" s="163"/>
      <c r="CP93" s="163"/>
      <c r="CQ93" s="163"/>
      <c r="CR93" s="163"/>
      <c r="CS93" s="175">
        <f t="shared" si="38"/>
        <v>0</v>
      </c>
      <c r="CT93" s="158">
        <f t="shared" si="39"/>
        <v>0</v>
      </c>
    </row>
    <row r="94" ht="15.75" customHeight="1">
      <c r="A94" s="9"/>
      <c r="B94" s="11"/>
      <c r="C94" s="11"/>
      <c r="D94" s="9"/>
      <c r="E94" s="9"/>
      <c r="F94" s="9"/>
      <c r="G94" s="9"/>
      <c r="H94" s="11"/>
      <c r="I94" s="11"/>
      <c r="J94" s="11"/>
      <c r="K94" s="11"/>
      <c r="L94" s="11"/>
      <c r="M94" s="9"/>
      <c r="N94" s="9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9"/>
      <c r="AK94" s="13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9"/>
      <c r="BH94" s="15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9"/>
      <c r="CF94" s="9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</row>
    <row r="95" ht="15.75" customHeight="1">
      <c r="A95" s="9"/>
      <c r="B95" s="11"/>
      <c r="C95" s="11"/>
      <c r="D95" s="9"/>
      <c r="E95" s="9"/>
      <c r="F95" s="9"/>
      <c r="G95" s="9"/>
      <c r="H95" s="11"/>
      <c r="I95" s="11"/>
      <c r="J95" s="11"/>
      <c r="K95" s="11"/>
      <c r="L95" s="11"/>
      <c r="M95" s="9"/>
      <c r="N95" s="9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9"/>
      <c r="AK95" s="13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9"/>
      <c r="BH95" s="15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9"/>
      <c r="CF95" s="9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</row>
    <row r="96" ht="15.75" customHeight="1">
      <c r="A96" s="9"/>
      <c r="B96" s="11"/>
      <c r="C96" s="11"/>
      <c r="D96" s="9"/>
      <c r="E96" s="9"/>
      <c r="F96" s="9"/>
      <c r="G96" s="9"/>
      <c r="H96" s="11"/>
      <c r="I96" s="11"/>
      <c r="J96" s="11"/>
      <c r="K96" s="11"/>
      <c r="L96" s="11"/>
      <c r="M96" s="9"/>
      <c r="N96" s="9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9"/>
      <c r="AK96" s="13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9"/>
      <c r="BH96" s="15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9"/>
      <c r="CF96" s="9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</row>
    <row r="97" ht="15.75" customHeight="1">
      <c r="A97" s="9"/>
      <c r="B97" s="11"/>
      <c r="C97" s="11"/>
      <c r="D97" s="9"/>
      <c r="E97" s="9"/>
      <c r="F97" s="9"/>
      <c r="G97" s="9"/>
      <c r="H97" s="11"/>
      <c r="I97" s="11"/>
      <c r="J97" s="11"/>
      <c r="K97" s="11"/>
      <c r="L97" s="11"/>
      <c r="M97" s="9"/>
      <c r="N97" s="9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9"/>
      <c r="AK97" s="13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9"/>
      <c r="BH97" s="15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9"/>
      <c r="CF97" s="9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</row>
    <row r="98" ht="15.75" customHeight="1">
      <c r="A98" s="9"/>
      <c r="B98" s="11"/>
      <c r="C98" s="11"/>
      <c r="D98" s="9"/>
      <c r="E98" s="9"/>
      <c r="F98" s="9"/>
      <c r="G98" s="9"/>
      <c r="H98" s="11"/>
      <c r="I98" s="11"/>
      <c r="J98" s="11"/>
      <c r="K98" s="11"/>
      <c r="L98" s="11"/>
      <c r="M98" s="9"/>
      <c r="N98" s="9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9"/>
      <c r="AK98" s="13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9"/>
      <c r="BH98" s="15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9"/>
      <c r="CF98" s="9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</row>
    <row r="99" ht="15.75" customHeight="1">
      <c r="A99" s="9"/>
      <c r="B99" s="11"/>
      <c r="C99" s="11"/>
      <c r="D99" s="9"/>
      <c r="E99" s="9"/>
      <c r="F99" s="9"/>
      <c r="G99" s="9"/>
      <c r="H99" s="11"/>
      <c r="I99" s="11"/>
      <c r="J99" s="11"/>
      <c r="K99" s="11"/>
      <c r="L99" s="11"/>
      <c r="M99" s="9"/>
      <c r="N99" s="9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9"/>
      <c r="AK99" s="13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9"/>
      <c r="BH99" s="15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9"/>
      <c r="CF99" s="9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</row>
    <row r="100" ht="15.75" customHeight="1">
      <c r="A100" s="9"/>
      <c r="B100" s="11"/>
      <c r="C100" s="11"/>
      <c r="D100" s="9"/>
      <c r="E100" s="9"/>
      <c r="F100" s="9"/>
      <c r="G100" s="9"/>
      <c r="H100" s="11"/>
      <c r="I100" s="11"/>
      <c r="J100" s="11"/>
      <c r="K100" s="11"/>
      <c r="L100" s="11"/>
      <c r="M100" s="9"/>
      <c r="N100" s="9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9"/>
      <c r="AK100" s="13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9"/>
      <c r="BH100" s="15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9"/>
      <c r="CF100" s="9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</row>
    <row r="101" ht="15.75" customHeight="1">
      <c r="A101" s="9"/>
      <c r="B101" s="11"/>
      <c r="C101" s="11"/>
      <c r="D101" s="9"/>
      <c r="E101" s="9"/>
      <c r="F101" s="9"/>
      <c r="G101" s="9"/>
      <c r="H101" s="11"/>
      <c r="I101" s="11"/>
      <c r="J101" s="11"/>
      <c r="K101" s="11"/>
      <c r="L101" s="11"/>
      <c r="M101" s="9"/>
      <c r="N101" s="9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9"/>
      <c r="AK101" s="13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9"/>
      <c r="BH101" s="15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9"/>
      <c r="CF101" s="9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</row>
    <row r="102" ht="15.75" customHeight="1">
      <c r="A102" s="9"/>
      <c r="B102" s="11"/>
      <c r="C102" s="11"/>
      <c r="D102" s="9"/>
      <c r="E102" s="9"/>
      <c r="F102" s="9"/>
      <c r="G102" s="9"/>
      <c r="H102" s="11"/>
      <c r="I102" s="11"/>
      <c r="J102" s="11"/>
      <c r="K102" s="11"/>
      <c r="L102" s="11"/>
      <c r="M102" s="9"/>
      <c r="N102" s="9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9"/>
      <c r="AK102" s="13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9"/>
      <c r="BH102" s="15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9"/>
      <c r="CF102" s="9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</row>
    <row r="103" ht="15.75" customHeight="1">
      <c r="A103" s="9"/>
      <c r="B103" s="11"/>
      <c r="C103" s="11"/>
      <c r="D103" s="9"/>
      <c r="E103" s="9"/>
      <c r="F103" s="9"/>
      <c r="G103" s="9"/>
      <c r="H103" s="11"/>
      <c r="I103" s="11"/>
      <c r="J103" s="11"/>
      <c r="K103" s="11"/>
      <c r="L103" s="11"/>
      <c r="M103" s="9"/>
      <c r="N103" s="9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9"/>
      <c r="AK103" s="13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9"/>
      <c r="BH103" s="15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9"/>
      <c r="CF103" s="9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</row>
    <row r="104" ht="15.75" customHeight="1">
      <c r="A104" s="9"/>
      <c r="B104" s="11"/>
      <c r="C104" s="11"/>
      <c r="D104" s="9"/>
      <c r="E104" s="9"/>
      <c r="F104" s="9"/>
      <c r="G104" s="9"/>
      <c r="H104" s="11"/>
      <c r="I104" s="11"/>
      <c r="J104" s="11"/>
      <c r="K104" s="11"/>
      <c r="L104" s="11"/>
      <c r="M104" s="9"/>
      <c r="N104" s="9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9"/>
      <c r="AK104" s="13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9"/>
      <c r="BH104" s="15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9"/>
      <c r="CF104" s="9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</row>
    <row r="105" ht="15.75" customHeight="1">
      <c r="A105" s="9"/>
      <c r="B105" s="11"/>
      <c r="C105" s="11"/>
      <c r="D105" s="9"/>
      <c r="E105" s="9"/>
      <c r="F105" s="9"/>
      <c r="G105" s="9"/>
      <c r="H105" s="11"/>
      <c r="I105" s="11"/>
      <c r="J105" s="11"/>
      <c r="K105" s="11"/>
      <c r="L105" s="11"/>
      <c r="M105" s="9"/>
      <c r="N105" s="9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9"/>
      <c r="AK105" s="13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9"/>
      <c r="BH105" s="15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9"/>
      <c r="CF105" s="9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</row>
    <row r="106" ht="15.75" customHeight="1">
      <c r="A106" s="9"/>
      <c r="B106" s="11"/>
      <c r="C106" s="11"/>
      <c r="D106" s="9"/>
      <c r="E106" s="9"/>
      <c r="F106" s="9"/>
      <c r="G106" s="9"/>
      <c r="H106" s="11"/>
      <c r="I106" s="11"/>
      <c r="J106" s="11"/>
      <c r="K106" s="11"/>
      <c r="L106" s="11"/>
      <c r="M106" s="9"/>
      <c r="N106" s="9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9"/>
      <c r="AK106" s="13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9"/>
      <c r="BH106" s="15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9"/>
      <c r="CF106" s="9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</row>
    <row r="107" ht="15.75" customHeight="1">
      <c r="A107" s="9"/>
      <c r="B107" s="11"/>
      <c r="C107" s="11"/>
      <c r="D107" s="9"/>
      <c r="E107" s="9"/>
      <c r="F107" s="9"/>
      <c r="G107" s="9"/>
      <c r="H107" s="11"/>
      <c r="I107" s="11"/>
      <c r="J107" s="11"/>
      <c r="K107" s="11"/>
      <c r="L107" s="11"/>
      <c r="M107" s="9"/>
      <c r="N107" s="9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9"/>
      <c r="AK107" s="13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9"/>
      <c r="BH107" s="15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9"/>
      <c r="CF107" s="9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</row>
    <row r="108" ht="15.75" customHeight="1">
      <c r="A108" s="9"/>
      <c r="B108" s="11"/>
      <c r="C108" s="11"/>
      <c r="D108" s="9"/>
      <c r="E108" s="9"/>
      <c r="F108" s="9"/>
      <c r="G108" s="9"/>
      <c r="H108" s="11"/>
      <c r="I108" s="11"/>
      <c r="J108" s="11"/>
      <c r="K108" s="11"/>
      <c r="L108" s="11"/>
      <c r="M108" s="9"/>
      <c r="N108" s="9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9"/>
      <c r="AK108" s="13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9"/>
      <c r="BH108" s="15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9"/>
      <c r="CF108" s="9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</row>
    <row r="109" ht="15.75" customHeight="1">
      <c r="A109" s="9"/>
      <c r="B109" s="11"/>
      <c r="C109" s="11"/>
      <c r="D109" s="9"/>
      <c r="E109" s="9"/>
      <c r="F109" s="9"/>
      <c r="G109" s="9"/>
      <c r="H109" s="11"/>
      <c r="I109" s="11"/>
      <c r="J109" s="11"/>
      <c r="K109" s="11"/>
      <c r="L109" s="11"/>
      <c r="M109" s="9"/>
      <c r="N109" s="9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9"/>
      <c r="AK109" s="13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9"/>
      <c r="BH109" s="15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9"/>
      <c r="CF109" s="9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</row>
    <row r="110" ht="15.75" customHeight="1">
      <c r="A110" s="9"/>
      <c r="B110" s="11"/>
      <c r="C110" s="11"/>
      <c r="D110" s="9"/>
      <c r="E110" s="9"/>
      <c r="F110" s="9"/>
      <c r="G110" s="9"/>
      <c r="H110" s="11"/>
      <c r="I110" s="11"/>
      <c r="J110" s="11"/>
      <c r="K110" s="11"/>
      <c r="L110" s="11"/>
      <c r="M110" s="9"/>
      <c r="N110" s="9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9"/>
      <c r="AK110" s="13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9"/>
      <c r="BH110" s="15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9"/>
      <c r="CF110" s="9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</row>
    <row r="111" ht="15.75" customHeight="1">
      <c r="A111" s="9"/>
      <c r="B111" s="11"/>
      <c r="C111" s="11"/>
      <c r="D111" s="9"/>
      <c r="E111" s="9"/>
      <c r="F111" s="9"/>
      <c r="G111" s="9"/>
      <c r="H111" s="11"/>
      <c r="I111" s="11"/>
      <c r="J111" s="11"/>
      <c r="K111" s="11"/>
      <c r="L111" s="11"/>
      <c r="M111" s="9"/>
      <c r="N111" s="9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9"/>
      <c r="AK111" s="13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9"/>
      <c r="BH111" s="15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9"/>
      <c r="CF111" s="9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</row>
    <row r="112" ht="15.75" customHeight="1">
      <c r="A112" s="9"/>
      <c r="B112" s="11"/>
      <c r="C112" s="11"/>
      <c r="D112" s="9"/>
      <c r="E112" s="9"/>
      <c r="F112" s="9"/>
      <c r="G112" s="9"/>
      <c r="H112" s="11"/>
      <c r="I112" s="11"/>
      <c r="J112" s="11"/>
      <c r="K112" s="11"/>
      <c r="L112" s="11"/>
      <c r="M112" s="9"/>
      <c r="N112" s="9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9"/>
      <c r="AK112" s="13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9"/>
      <c r="BH112" s="15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9"/>
      <c r="CF112" s="9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</row>
    <row r="113" ht="15.75" customHeight="1">
      <c r="A113" s="9"/>
      <c r="B113" s="11"/>
      <c r="C113" s="11"/>
      <c r="D113" s="9"/>
      <c r="E113" s="9"/>
      <c r="F113" s="9"/>
      <c r="G113" s="9"/>
      <c r="H113" s="11"/>
      <c r="I113" s="11"/>
      <c r="J113" s="11"/>
      <c r="K113" s="11"/>
      <c r="L113" s="11"/>
      <c r="M113" s="9"/>
      <c r="N113" s="9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9"/>
      <c r="AK113" s="13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9"/>
      <c r="BH113" s="15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9"/>
      <c r="CF113" s="9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</row>
    <row r="114" ht="15.75" customHeight="1">
      <c r="A114" s="9"/>
      <c r="B114" s="11"/>
      <c r="C114" s="11"/>
      <c r="D114" s="9"/>
      <c r="E114" s="9"/>
      <c r="F114" s="9"/>
      <c r="G114" s="9"/>
      <c r="H114" s="11"/>
      <c r="I114" s="11"/>
      <c r="J114" s="11"/>
      <c r="K114" s="11"/>
      <c r="L114" s="11"/>
      <c r="M114" s="9"/>
      <c r="N114" s="9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9"/>
      <c r="AK114" s="13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9"/>
      <c r="BH114" s="15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9"/>
      <c r="CF114" s="9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</row>
    <row r="115" ht="15.75" customHeight="1">
      <c r="A115" s="9"/>
      <c r="B115" s="11"/>
      <c r="C115" s="11"/>
      <c r="D115" s="9"/>
      <c r="E115" s="9"/>
      <c r="F115" s="9"/>
      <c r="G115" s="9"/>
      <c r="H115" s="11"/>
      <c r="I115" s="11"/>
      <c r="J115" s="11"/>
      <c r="K115" s="11"/>
      <c r="L115" s="11"/>
      <c r="M115" s="9"/>
      <c r="N115" s="9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9"/>
      <c r="AK115" s="13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9"/>
      <c r="BH115" s="15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9"/>
      <c r="CF115" s="9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</row>
    <row r="116" ht="15.75" customHeight="1">
      <c r="A116" s="9"/>
      <c r="B116" s="11"/>
      <c r="C116" s="11"/>
      <c r="D116" s="9"/>
      <c r="E116" s="9"/>
      <c r="F116" s="9"/>
      <c r="G116" s="9"/>
      <c r="H116" s="11"/>
      <c r="I116" s="11"/>
      <c r="J116" s="11"/>
      <c r="K116" s="11"/>
      <c r="L116" s="11"/>
      <c r="M116" s="9"/>
      <c r="N116" s="9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9"/>
      <c r="AK116" s="13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9"/>
      <c r="BH116" s="15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9"/>
      <c r="CF116" s="9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</row>
    <row r="117" ht="15.75" customHeight="1">
      <c r="A117" s="9"/>
      <c r="B117" s="11"/>
      <c r="C117" s="11"/>
      <c r="D117" s="9"/>
      <c r="E117" s="9"/>
      <c r="F117" s="9"/>
      <c r="G117" s="9"/>
      <c r="H117" s="11"/>
      <c r="I117" s="11"/>
      <c r="J117" s="11"/>
      <c r="K117" s="11"/>
      <c r="L117" s="11"/>
      <c r="M117" s="9"/>
      <c r="N117" s="9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9"/>
      <c r="AK117" s="13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9"/>
      <c r="BH117" s="15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9"/>
      <c r="CF117" s="9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</row>
    <row r="118" ht="15.75" customHeight="1">
      <c r="A118" s="9"/>
      <c r="B118" s="11"/>
      <c r="C118" s="11"/>
      <c r="D118" s="9"/>
      <c r="E118" s="9"/>
      <c r="F118" s="9"/>
      <c r="G118" s="9"/>
      <c r="H118" s="11"/>
      <c r="I118" s="11"/>
      <c r="J118" s="11"/>
      <c r="K118" s="11"/>
      <c r="L118" s="11"/>
      <c r="M118" s="9"/>
      <c r="N118" s="9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9"/>
      <c r="AK118" s="13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9"/>
      <c r="BH118" s="15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9"/>
      <c r="CF118" s="9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</row>
    <row r="119" ht="15.75" customHeight="1">
      <c r="A119" s="9"/>
      <c r="B119" s="11"/>
      <c r="C119" s="11"/>
      <c r="D119" s="9"/>
      <c r="E119" s="9"/>
      <c r="F119" s="9"/>
      <c r="G119" s="9"/>
      <c r="H119" s="11"/>
      <c r="I119" s="11"/>
      <c r="J119" s="11"/>
      <c r="K119" s="11"/>
      <c r="L119" s="11"/>
      <c r="M119" s="9"/>
      <c r="N119" s="9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9"/>
      <c r="AK119" s="13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9"/>
      <c r="BH119" s="15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9"/>
      <c r="CF119" s="9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</row>
    <row r="120" ht="15.75" customHeight="1">
      <c r="A120" s="9"/>
      <c r="B120" s="11"/>
      <c r="C120" s="11"/>
      <c r="D120" s="9"/>
      <c r="E120" s="9"/>
      <c r="F120" s="9"/>
      <c r="G120" s="9"/>
      <c r="H120" s="11"/>
      <c r="I120" s="11"/>
      <c r="J120" s="11"/>
      <c r="K120" s="11"/>
      <c r="L120" s="11"/>
      <c r="M120" s="9"/>
      <c r="N120" s="9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9"/>
      <c r="AK120" s="13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9"/>
      <c r="BH120" s="15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9"/>
      <c r="CF120" s="9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</row>
    <row r="121" ht="15.75" customHeight="1">
      <c r="A121" s="9"/>
      <c r="B121" s="11"/>
      <c r="C121" s="11"/>
      <c r="D121" s="9"/>
      <c r="E121" s="9"/>
      <c r="F121" s="9"/>
      <c r="G121" s="9"/>
      <c r="H121" s="11"/>
      <c r="I121" s="11"/>
      <c r="J121" s="11"/>
      <c r="K121" s="11"/>
      <c r="L121" s="11"/>
      <c r="M121" s="9"/>
      <c r="N121" s="9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9"/>
      <c r="AK121" s="13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9"/>
      <c r="BH121" s="15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9"/>
      <c r="CF121" s="9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</row>
    <row r="122" ht="15.75" customHeight="1">
      <c r="A122" s="9"/>
      <c r="B122" s="11"/>
      <c r="C122" s="11"/>
      <c r="D122" s="9"/>
      <c r="E122" s="9"/>
      <c r="F122" s="9"/>
      <c r="G122" s="9"/>
      <c r="H122" s="11"/>
      <c r="I122" s="11"/>
      <c r="J122" s="11"/>
      <c r="K122" s="11"/>
      <c r="L122" s="11"/>
      <c r="M122" s="9"/>
      <c r="N122" s="9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9"/>
      <c r="AK122" s="13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9"/>
      <c r="BH122" s="15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9"/>
      <c r="CF122" s="9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</row>
    <row r="123" ht="15.75" customHeight="1">
      <c r="A123" s="9"/>
      <c r="B123" s="11"/>
      <c r="C123" s="11"/>
      <c r="D123" s="9"/>
      <c r="E123" s="9"/>
      <c r="F123" s="9"/>
      <c r="G123" s="9"/>
      <c r="H123" s="11"/>
      <c r="I123" s="11"/>
      <c r="J123" s="11"/>
      <c r="K123" s="11"/>
      <c r="L123" s="11"/>
      <c r="M123" s="9"/>
      <c r="N123" s="9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9"/>
      <c r="AK123" s="13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9"/>
      <c r="BH123" s="15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9"/>
      <c r="CF123" s="9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</row>
    <row r="124" ht="15.75" customHeight="1">
      <c r="A124" s="9"/>
      <c r="B124" s="11"/>
      <c r="C124" s="11"/>
      <c r="D124" s="9"/>
      <c r="E124" s="9"/>
      <c r="F124" s="9"/>
      <c r="G124" s="9"/>
      <c r="H124" s="11"/>
      <c r="I124" s="11"/>
      <c r="J124" s="11"/>
      <c r="K124" s="11"/>
      <c r="L124" s="11"/>
      <c r="M124" s="9"/>
      <c r="N124" s="9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9"/>
      <c r="AK124" s="13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9"/>
      <c r="BH124" s="15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9"/>
      <c r="CF124" s="9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</row>
    <row r="125" ht="15.75" customHeight="1">
      <c r="A125" s="9"/>
      <c r="B125" s="11"/>
      <c r="C125" s="11"/>
      <c r="D125" s="9"/>
      <c r="E125" s="9"/>
      <c r="F125" s="9"/>
      <c r="G125" s="9"/>
      <c r="H125" s="11"/>
      <c r="I125" s="11"/>
      <c r="J125" s="11"/>
      <c r="K125" s="11"/>
      <c r="L125" s="11"/>
      <c r="M125" s="9"/>
      <c r="N125" s="9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9"/>
      <c r="AK125" s="13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9"/>
      <c r="BH125" s="15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9"/>
      <c r="CF125" s="9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</row>
    <row r="126" ht="15.75" customHeight="1">
      <c r="A126" s="9"/>
      <c r="B126" s="11"/>
      <c r="C126" s="11"/>
      <c r="D126" s="9"/>
      <c r="E126" s="9"/>
      <c r="F126" s="9"/>
      <c r="G126" s="9"/>
      <c r="H126" s="11"/>
      <c r="I126" s="11"/>
      <c r="J126" s="11"/>
      <c r="K126" s="11"/>
      <c r="L126" s="11"/>
      <c r="M126" s="9"/>
      <c r="N126" s="9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9"/>
      <c r="AK126" s="13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9"/>
      <c r="BH126" s="15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9"/>
      <c r="CF126" s="9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</row>
    <row r="127" ht="15.75" customHeight="1">
      <c r="A127" s="9"/>
      <c r="B127" s="11"/>
      <c r="C127" s="11"/>
      <c r="D127" s="9"/>
      <c r="E127" s="9"/>
      <c r="F127" s="9"/>
      <c r="G127" s="9"/>
      <c r="H127" s="11"/>
      <c r="I127" s="11"/>
      <c r="J127" s="11"/>
      <c r="K127" s="11"/>
      <c r="L127" s="11"/>
      <c r="M127" s="9"/>
      <c r="N127" s="9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9"/>
      <c r="AK127" s="13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9"/>
      <c r="BH127" s="15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9"/>
      <c r="CF127" s="9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</row>
    <row r="128" ht="15.75" customHeight="1">
      <c r="A128" s="9"/>
      <c r="B128" s="11"/>
      <c r="C128" s="11"/>
      <c r="D128" s="9"/>
      <c r="E128" s="9"/>
      <c r="F128" s="9"/>
      <c r="G128" s="9"/>
      <c r="H128" s="11"/>
      <c r="I128" s="11"/>
      <c r="J128" s="11"/>
      <c r="K128" s="11"/>
      <c r="L128" s="11"/>
      <c r="M128" s="9"/>
      <c r="N128" s="9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9"/>
      <c r="AK128" s="13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9"/>
      <c r="BH128" s="15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9"/>
      <c r="CF128" s="9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</row>
    <row r="129" ht="15.75" customHeight="1">
      <c r="A129" s="9"/>
      <c r="B129" s="11"/>
      <c r="C129" s="11"/>
      <c r="D129" s="9"/>
      <c r="E129" s="9"/>
      <c r="F129" s="9"/>
      <c r="G129" s="9"/>
      <c r="H129" s="11"/>
      <c r="I129" s="11"/>
      <c r="J129" s="11"/>
      <c r="K129" s="11"/>
      <c r="L129" s="11"/>
      <c r="M129" s="9"/>
      <c r="N129" s="9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9"/>
      <c r="AK129" s="13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9"/>
      <c r="BH129" s="15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9"/>
      <c r="CF129" s="9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</row>
    <row r="130" ht="15.75" customHeight="1">
      <c r="A130" s="9"/>
      <c r="B130" s="11"/>
      <c r="C130" s="11"/>
      <c r="D130" s="9"/>
      <c r="E130" s="9"/>
      <c r="F130" s="9"/>
      <c r="G130" s="9"/>
      <c r="H130" s="11"/>
      <c r="I130" s="11"/>
      <c r="J130" s="11"/>
      <c r="K130" s="11"/>
      <c r="L130" s="11"/>
      <c r="M130" s="9"/>
      <c r="N130" s="9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9"/>
      <c r="AK130" s="13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9"/>
      <c r="BH130" s="15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9"/>
      <c r="CF130" s="9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</row>
    <row r="131" ht="15.75" customHeight="1">
      <c r="A131" s="9"/>
      <c r="B131" s="11"/>
      <c r="C131" s="11"/>
      <c r="D131" s="9"/>
      <c r="E131" s="9"/>
      <c r="F131" s="9"/>
      <c r="G131" s="9"/>
      <c r="H131" s="11"/>
      <c r="I131" s="11"/>
      <c r="J131" s="11"/>
      <c r="K131" s="11"/>
      <c r="L131" s="11"/>
      <c r="M131" s="9"/>
      <c r="N131" s="9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9"/>
      <c r="AK131" s="13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9"/>
      <c r="BH131" s="15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9"/>
      <c r="CF131" s="9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</row>
    <row r="132" ht="15.75" customHeight="1">
      <c r="A132" s="9"/>
      <c r="B132" s="11"/>
      <c r="C132" s="11"/>
      <c r="D132" s="9"/>
      <c r="E132" s="9"/>
      <c r="F132" s="9"/>
      <c r="G132" s="9"/>
      <c r="H132" s="11"/>
      <c r="I132" s="11"/>
      <c r="J132" s="11"/>
      <c r="K132" s="11"/>
      <c r="L132" s="11"/>
      <c r="M132" s="9"/>
      <c r="N132" s="9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9"/>
      <c r="AK132" s="13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9"/>
      <c r="BH132" s="15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9"/>
      <c r="CF132" s="9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</row>
    <row r="133" ht="15.75" customHeight="1">
      <c r="A133" s="9"/>
      <c r="B133" s="11"/>
      <c r="C133" s="11"/>
      <c r="D133" s="9"/>
      <c r="E133" s="9"/>
      <c r="F133" s="9"/>
      <c r="G133" s="9"/>
      <c r="H133" s="11"/>
      <c r="I133" s="11"/>
      <c r="J133" s="11"/>
      <c r="K133" s="11"/>
      <c r="L133" s="11"/>
      <c r="M133" s="9"/>
      <c r="N133" s="9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9"/>
      <c r="AK133" s="13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9"/>
      <c r="BH133" s="15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9"/>
      <c r="CF133" s="9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</row>
    <row r="134" ht="15.75" customHeight="1">
      <c r="A134" s="9"/>
      <c r="B134" s="11"/>
      <c r="C134" s="11"/>
      <c r="D134" s="9"/>
      <c r="E134" s="9"/>
      <c r="F134" s="9"/>
      <c r="G134" s="9"/>
      <c r="H134" s="11"/>
      <c r="I134" s="11"/>
      <c r="J134" s="11"/>
      <c r="K134" s="11"/>
      <c r="L134" s="11"/>
      <c r="M134" s="9"/>
      <c r="N134" s="9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9"/>
      <c r="AK134" s="13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9"/>
      <c r="BH134" s="15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9"/>
      <c r="CF134" s="9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</row>
    <row r="135" ht="15.75" customHeight="1">
      <c r="A135" s="9"/>
      <c r="B135" s="11"/>
      <c r="C135" s="11"/>
      <c r="D135" s="9"/>
      <c r="E135" s="9"/>
      <c r="F135" s="9"/>
      <c r="G135" s="9"/>
      <c r="H135" s="11"/>
      <c r="I135" s="11"/>
      <c r="J135" s="11"/>
      <c r="K135" s="11"/>
      <c r="L135" s="11"/>
      <c r="M135" s="9"/>
      <c r="N135" s="9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9"/>
      <c r="AK135" s="13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9"/>
      <c r="BH135" s="15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9"/>
      <c r="CF135" s="9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</row>
    <row r="136" ht="15.75" customHeight="1">
      <c r="A136" s="9"/>
      <c r="B136" s="11"/>
      <c r="C136" s="11"/>
      <c r="D136" s="9"/>
      <c r="E136" s="9"/>
      <c r="F136" s="9"/>
      <c r="G136" s="9"/>
      <c r="H136" s="11"/>
      <c r="I136" s="11"/>
      <c r="J136" s="11"/>
      <c r="K136" s="11"/>
      <c r="L136" s="11"/>
      <c r="M136" s="9"/>
      <c r="N136" s="9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9"/>
      <c r="AK136" s="13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9"/>
      <c r="BH136" s="15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9"/>
      <c r="CF136" s="9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</row>
    <row r="137" ht="15.75" customHeight="1">
      <c r="A137" s="9"/>
      <c r="B137" s="11"/>
      <c r="C137" s="11"/>
      <c r="D137" s="9"/>
      <c r="E137" s="9"/>
      <c r="F137" s="9"/>
      <c r="G137" s="9"/>
      <c r="H137" s="11"/>
      <c r="I137" s="11"/>
      <c r="J137" s="11"/>
      <c r="K137" s="11"/>
      <c r="L137" s="11"/>
      <c r="M137" s="9"/>
      <c r="N137" s="9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9"/>
      <c r="AK137" s="13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9"/>
      <c r="BH137" s="15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9"/>
      <c r="CF137" s="9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</row>
    <row r="138" ht="15.75" customHeight="1">
      <c r="A138" s="9"/>
      <c r="B138" s="11"/>
      <c r="C138" s="11"/>
      <c r="D138" s="9"/>
      <c r="E138" s="9"/>
      <c r="F138" s="9"/>
      <c r="G138" s="9"/>
      <c r="H138" s="11"/>
      <c r="I138" s="11"/>
      <c r="J138" s="11"/>
      <c r="K138" s="11"/>
      <c r="L138" s="11"/>
      <c r="M138" s="9"/>
      <c r="N138" s="9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9"/>
      <c r="AK138" s="13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9"/>
      <c r="BH138" s="15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9"/>
      <c r="CF138" s="9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</row>
    <row r="139" ht="15.75" customHeight="1">
      <c r="A139" s="9"/>
      <c r="B139" s="11"/>
      <c r="C139" s="11"/>
      <c r="D139" s="9"/>
      <c r="E139" s="9"/>
      <c r="F139" s="9"/>
      <c r="G139" s="9"/>
      <c r="H139" s="11"/>
      <c r="I139" s="11"/>
      <c r="J139" s="11"/>
      <c r="K139" s="11"/>
      <c r="L139" s="11"/>
      <c r="M139" s="9"/>
      <c r="N139" s="9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9"/>
      <c r="AK139" s="13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9"/>
      <c r="BH139" s="15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9"/>
      <c r="CF139" s="9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</row>
    <row r="140" ht="15.75" customHeight="1">
      <c r="A140" s="9"/>
      <c r="B140" s="11"/>
      <c r="C140" s="11"/>
      <c r="D140" s="9"/>
      <c r="E140" s="9"/>
      <c r="F140" s="9"/>
      <c r="G140" s="9"/>
      <c r="H140" s="11"/>
      <c r="I140" s="11"/>
      <c r="J140" s="11"/>
      <c r="K140" s="11"/>
      <c r="L140" s="11"/>
      <c r="M140" s="9"/>
      <c r="N140" s="9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9"/>
      <c r="AK140" s="13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9"/>
      <c r="BH140" s="15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9"/>
      <c r="CF140" s="9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</row>
    <row r="141" ht="15.75" customHeight="1">
      <c r="A141" s="9"/>
      <c r="B141" s="11"/>
      <c r="C141" s="11"/>
      <c r="D141" s="9"/>
      <c r="E141" s="9"/>
      <c r="F141" s="9"/>
      <c r="G141" s="9"/>
      <c r="H141" s="11"/>
      <c r="I141" s="11"/>
      <c r="J141" s="11"/>
      <c r="K141" s="11"/>
      <c r="L141" s="11"/>
      <c r="M141" s="9"/>
      <c r="N141" s="9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9"/>
      <c r="AK141" s="13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9"/>
      <c r="BH141" s="15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9"/>
      <c r="CF141" s="9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</row>
    <row r="142" ht="15.75" customHeight="1">
      <c r="A142" s="9"/>
      <c r="B142" s="11"/>
      <c r="C142" s="11"/>
      <c r="D142" s="9"/>
      <c r="E142" s="9"/>
      <c r="F142" s="9"/>
      <c r="G142" s="9"/>
      <c r="H142" s="11"/>
      <c r="I142" s="11"/>
      <c r="J142" s="11"/>
      <c r="K142" s="11"/>
      <c r="L142" s="11"/>
      <c r="M142" s="9"/>
      <c r="N142" s="9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9"/>
      <c r="AK142" s="13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9"/>
      <c r="BH142" s="15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9"/>
      <c r="CF142" s="9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</row>
    <row r="143" ht="15.75" customHeight="1">
      <c r="A143" s="9"/>
      <c r="B143" s="11"/>
      <c r="C143" s="11"/>
      <c r="D143" s="9"/>
      <c r="E143" s="9"/>
      <c r="F143" s="9"/>
      <c r="G143" s="9"/>
      <c r="H143" s="11"/>
      <c r="I143" s="11"/>
      <c r="J143" s="11"/>
      <c r="K143" s="11"/>
      <c r="L143" s="11"/>
      <c r="M143" s="9"/>
      <c r="N143" s="9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9"/>
      <c r="AK143" s="13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9"/>
      <c r="BH143" s="15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9"/>
      <c r="CF143" s="9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</row>
    <row r="144" ht="15.75" customHeight="1">
      <c r="A144" s="9"/>
      <c r="B144" s="11"/>
      <c r="C144" s="11"/>
      <c r="D144" s="9"/>
      <c r="E144" s="9"/>
      <c r="F144" s="9"/>
      <c r="G144" s="9"/>
      <c r="H144" s="11"/>
      <c r="I144" s="11"/>
      <c r="J144" s="11"/>
      <c r="K144" s="11"/>
      <c r="L144" s="11"/>
      <c r="M144" s="9"/>
      <c r="N144" s="9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9"/>
      <c r="AK144" s="13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9"/>
      <c r="BH144" s="15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9"/>
      <c r="CF144" s="9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</row>
    <row r="145" ht="15.75" customHeight="1">
      <c r="A145" s="9"/>
      <c r="B145" s="11"/>
      <c r="C145" s="11"/>
      <c r="D145" s="9"/>
      <c r="E145" s="9"/>
      <c r="F145" s="9"/>
      <c r="G145" s="9"/>
      <c r="H145" s="11"/>
      <c r="I145" s="11"/>
      <c r="J145" s="11"/>
      <c r="K145" s="11"/>
      <c r="L145" s="11"/>
      <c r="M145" s="9"/>
      <c r="N145" s="9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9"/>
      <c r="AK145" s="13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9"/>
      <c r="BH145" s="15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9"/>
      <c r="CF145" s="9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</row>
    <row r="146" ht="15.75" customHeight="1">
      <c r="A146" s="9"/>
      <c r="B146" s="11"/>
      <c r="C146" s="11"/>
      <c r="D146" s="9"/>
      <c r="E146" s="9"/>
      <c r="F146" s="9"/>
      <c r="G146" s="9"/>
      <c r="H146" s="11"/>
      <c r="I146" s="11"/>
      <c r="J146" s="11"/>
      <c r="K146" s="11"/>
      <c r="L146" s="11"/>
      <c r="M146" s="9"/>
      <c r="N146" s="9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9"/>
      <c r="AK146" s="13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9"/>
      <c r="BH146" s="15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9"/>
      <c r="CF146" s="9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</row>
    <row r="147" ht="15.75" customHeight="1">
      <c r="A147" s="9"/>
      <c r="B147" s="11"/>
      <c r="C147" s="11"/>
      <c r="D147" s="9"/>
      <c r="E147" s="9"/>
      <c r="F147" s="9"/>
      <c r="G147" s="9"/>
      <c r="H147" s="11"/>
      <c r="I147" s="11"/>
      <c r="J147" s="11"/>
      <c r="K147" s="11"/>
      <c r="L147" s="11"/>
      <c r="M147" s="9"/>
      <c r="N147" s="9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9"/>
      <c r="AK147" s="13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9"/>
      <c r="BH147" s="15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9"/>
      <c r="CF147" s="9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</row>
    <row r="148" ht="15.75" customHeight="1">
      <c r="A148" s="9"/>
      <c r="B148" s="11"/>
      <c r="C148" s="11"/>
      <c r="D148" s="9"/>
      <c r="E148" s="9"/>
      <c r="F148" s="9"/>
      <c r="G148" s="9"/>
      <c r="H148" s="11"/>
      <c r="I148" s="11"/>
      <c r="J148" s="11"/>
      <c r="K148" s="11"/>
      <c r="L148" s="11"/>
      <c r="M148" s="9"/>
      <c r="N148" s="9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9"/>
      <c r="AK148" s="13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9"/>
      <c r="BH148" s="15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9"/>
      <c r="CF148" s="9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</row>
    <row r="149" ht="15.75" customHeight="1">
      <c r="A149" s="9"/>
      <c r="B149" s="11"/>
      <c r="C149" s="11"/>
      <c r="D149" s="9"/>
      <c r="E149" s="9"/>
      <c r="F149" s="9"/>
      <c r="G149" s="9"/>
      <c r="H149" s="11"/>
      <c r="I149" s="11"/>
      <c r="J149" s="11"/>
      <c r="K149" s="11"/>
      <c r="L149" s="11"/>
      <c r="M149" s="9"/>
      <c r="N149" s="9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9"/>
      <c r="AK149" s="13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9"/>
      <c r="BH149" s="15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9"/>
      <c r="CF149" s="9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</row>
    <row r="150" ht="15.75" customHeight="1">
      <c r="A150" s="9"/>
      <c r="B150" s="11"/>
      <c r="C150" s="11"/>
      <c r="D150" s="9"/>
      <c r="E150" s="9"/>
      <c r="F150" s="9"/>
      <c r="G150" s="9"/>
      <c r="H150" s="11"/>
      <c r="I150" s="11"/>
      <c r="J150" s="11"/>
      <c r="K150" s="11"/>
      <c r="L150" s="11"/>
      <c r="M150" s="9"/>
      <c r="N150" s="9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9"/>
      <c r="AK150" s="13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9"/>
      <c r="BH150" s="15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9"/>
      <c r="CF150" s="9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</row>
    <row r="151" ht="15.75" customHeight="1">
      <c r="A151" s="9"/>
      <c r="B151" s="11"/>
      <c r="C151" s="11"/>
      <c r="D151" s="9"/>
      <c r="E151" s="9"/>
      <c r="F151" s="9"/>
      <c r="G151" s="9"/>
      <c r="H151" s="11"/>
      <c r="I151" s="11"/>
      <c r="J151" s="11"/>
      <c r="K151" s="11"/>
      <c r="L151" s="11"/>
      <c r="M151" s="9"/>
      <c r="N151" s="9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9"/>
      <c r="AK151" s="13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9"/>
      <c r="BH151" s="15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9"/>
      <c r="CF151" s="9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</row>
    <row r="152" ht="15.75" customHeight="1">
      <c r="A152" s="9"/>
      <c r="B152" s="11"/>
      <c r="C152" s="11"/>
      <c r="D152" s="9"/>
      <c r="E152" s="9"/>
      <c r="F152" s="9"/>
      <c r="G152" s="9"/>
      <c r="H152" s="11"/>
      <c r="I152" s="11"/>
      <c r="J152" s="11"/>
      <c r="K152" s="11"/>
      <c r="L152" s="11"/>
      <c r="M152" s="9"/>
      <c r="N152" s="9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9"/>
      <c r="AK152" s="13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9"/>
      <c r="BH152" s="15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9"/>
      <c r="CF152" s="9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</row>
    <row r="153" ht="15.75" customHeight="1">
      <c r="A153" s="9"/>
      <c r="B153" s="11"/>
      <c r="C153" s="11"/>
      <c r="D153" s="9"/>
      <c r="E153" s="9"/>
      <c r="F153" s="9"/>
      <c r="G153" s="9"/>
      <c r="H153" s="11"/>
      <c r="I153" s="11"/>
      <c r="J153" s="11"/>
      <c r="K153" s="11"/>
      <c r="L153" s="11"/>
      <c r="M153" s="9"/>
      <c r="N153" s="9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9"/>
      <c r="AK153" s="13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9"/>
      <c r="BH153" s="15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9"/>
      <c r="CF153" s="9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</row>
    <row r="154" ht="15.75" customHeight="1">
      <c r="A154" s="9"/>
      <c r="B154" s="11"/>
      <c r="C154" s="11"/>
      <c r="D154" s="9"/>
      <c r="E154" s="9"/>
      <c r="F154" s="9"/>
      <c r="G154" s="9"/>
      <c r="H154" s="11"/>
      <c r="I154" s="11"/>
      <c r="J154" s="11"/>
      <c r="K154" s="11"/>
      <c r="L154" s="11"/>
      <c r="M154" s="9"/>
      <c r="N154" s="9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9"/>
      <c r="AK154" s="13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9"/>
      <c r="BH154" s="15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9"/>
      <c r="CF154" s="9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</row>
    <row r="155" ht="15.75" customHeight="1">
      <c r="A155" s="9"/>
      <c r="B155" s="11"/>
      <c r="C155" s="11"/>
      <c r="D155" s="9"/>
      <c r="E155" s="9"/>
      <c r="F155" s="9"/>
      <c r="G155" s="9"/>
      <c r="H155" s="11"/>
      <c r="I155" s="11"/>
      <c r="J155" s="11"/>
      <c r="K155" s="11"/>
      <c r="L155" s="11"/>
      <c r="M155" s="9"/>
      <c r="N155" s="9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9"/>
      <c r="AK155" s="13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9"/>
      <c r="BH155" s="15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9"/>
      <c r="CF155" s="9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</row>
    <row r="156" ht="15.75" customHeight="1">
      <c r="A156" s="9"/>
      <c r="B156" s="11"/>
      <c r="C156" s="11"/>
      <c r="D156" s="9"/>
      <c r="E156" s="9"/>
      <c r="F156" s="9"/>
      <c r="G156" s="9"/>
      <c r="H156" s="11"/>
      <c r="I156" s="11"/>
      <c r="J156" s="11"/>
      <c r="K156" s="11"/>
      <c r="L156" s="11"/>
      <c r="M156" s="9"/>
      <c r="N156" s="9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9"/>
      <c r="AK156" s="13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9"/>
      <c r="BH156" s="15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9"/>
      <c r="CF156" s="9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</row>
    <row r="157" ht="15.75" customHeight="1">
      <c r="A157" s="9"/>
      <c r="B157" s="11"/>
      <c r="C157" s="11"/>
      <c r="D157" s="9"/>
      <c r="E157" s="9"/>
      <c r="F157" s="9"/>
      <c r="G157" s="9"/>
      <c r="H157" s="11"/>
      <c r="I157" s="11"/>
      <c r="J157" s="11"/>
      <c r="K157" s="11"/>
      <c r="L157" s="11"/>
      <c r="M157" s="9"/>
      <c r="N157" s="9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9"/>
      <c r="AK157" s="13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9"/>
      <c r="BH157" s="15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9"/>
      <c r="CF157" s="9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</row>
    <row r="158" ht="15.75" customHeight="1">
      <c r="A158" s="9"/>
      <c r="B158" s="11"/>
      <c r="C158" s="11"/>
      <c r="D158" s="9"/>
      <c r="E158" s="9"/>
      <c r="F158" s="9"/>
      <c r="G158" s="9"/>
      <c r="H158" s="11"/>
      <c r="I158" s="11"/>
      <c r="J158" s="11"/>
      <c r="K158" s="11"/>
      <c r="L158" s="11"/>
      <c r="M158" s="9"/>
      <c r="N158" s="9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9"/>
      <c r="AK158" s="13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9"/>
      <c r="BH158" s="15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9"/>
      <c r="CF158" s="9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</row>
    <row r="159" ht="15.75" customHeight="1">
      <c r="A159" s="9"/>
      <c r="B159" s="11"/>
      <c r="C159" s="11"/>
      <c r="D159" s="9"/>
      <c r="E159" s="9"/>
      <c r="F159" s="9"/>
      <c r="G159" s="9"/>
      <c r="H159" s="11"/>
      <c r="I159" s="11"/>
      <c r="J159" s="11"/>
      <c r="K159" s="11"/>
      <c r="L159" s="11"/>
      <c r="M159" s="9"/>
      <c r="N159" s="9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9"/>
      <c r="AK159" s="13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9"/>
      <c r="BH159" s="15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9"/>
      <c r="CF159" s="9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</row>
    <row r="160" ht="15.75" customHeight="1">
      <c r="A160" s="9"/>
      <c r="B160" s="11"/>
      <c r="C160" s="11"/>
      <c r="D160" s="9"/>
      <c r="E160" s="9"/>
      <c r="F160" s="9"/>
      <c r="G160" s="9"/>
      <c r="H160" s="11"/>
      <c r="I160" s="11"/>
      <c r="J160" s="11"/>
      <c r="K160" s="11"/>
      <c r="L160" s="11"/>
      <c r="M160" s="9"/>
      <c r="N160" s="9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9"/>
      <c r="AK160" s="13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9"/>
      <c r="BH160" s="15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9"/>
      <c r="CF160" s="9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  <c r="CS160" s="11"/>
      <c r="CT160" s="11"/>
    </row>
    <row r="161" ht="15.75" customHeight="1">
      <c r="A161" s="9"/>
      <c r="B161" s="11"/>
      <c r="C161" s="11"/>
      <c r="D161" s="9"/>
      <c r="E161" s="9"/>
      <c r="F161" s="9"/>
      <c r="G161" s="9"/>
      <c r="H161" s="11"/>
      <c r="I161" s="11"/>
      <c r="J161" s="11"/>
      <c r="K161" s="11"/>
      <c r="L161" s="11"/>
      <c r="M161" s="9"/>
      <c r="N161" s="9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9"/>
      <c r="AK161" s="13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9"/>
      <c r="BH161" s="15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9"/>
      <c r="CF161" s="9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</row>
    <row r="162" ht="15.75" customHeight="1">
      <c r="A162" s="9"/>
      <c r="B162" s="11"/>
      <c r="C162" s="11"/>
      <c r="D162" s="9"/>
      <c r="E162" s="9"/>
      <c r="F162" s="9"/>
      <c r="G162" s="9"/>
      <c r="H162" s="11"/>
      <c r="I162" s="11"/>
      <c r="J162" s="11"/>
      <c r="K162" s="11"/>
      <c r="L162" s="11"/>
      <c r="M162" s="9"/>
      <c r="N162" s="9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9"/>
      <c r="AK162" s="13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9"/>
      <c r="BH162" s="15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9"/>
      <c r="CF162" s="9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</row>
    <row r="163" ht="15.75" customHeight="1">
      <c r="A163" s="9"/>
      <c r="B163" s="11"/>
      <c r="C163" s="11"/>
      <c r="D163" s="9"/>
      <c r="E163" s="9"/>
      <c r="F163" s="9"/>
      <c r="G163" s="9"/>
      <c r="H163" s="11"/>
      <c r="I163" s="11"/>
      <c r="J163" s="11"/>
      <c r="K163" s="11"/>
      <c r="L163" s="11"/>
      <c r="M163" s="9"/>
      <c r="N163" s="9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9"/>
      <c r="AK163" s="13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9"/>
      <c r="BH163" s="15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9"/>
      <c r="CF163" s="9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</row>
    <row r="164" ht="15.75" customHeight="1">
      <c r="A164" s="9"/>
      <c r="B164" s="11"/>
      <c r="C164" s="11"/>
      <c r="D164" s="9"/>
      <c r="E164" s="9"/>
      <c r="F164" s="9"/>
      <c r="G164" s="9"/>
      <c r="H164" s="11"/>
      <c r="I164" s="11"/>
      <c r="J164" s="11"/>
      <c r="K164" s="11"/>
      <c r="L164" s="11"/>
      <c r="M164" s="9"/>
      <c r="N164" s="9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9"/>
      <c r="AK164" s="13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9"/>
      <c r="BH164" s="15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9"/>
      <c r="CF164" s="9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</row>
    <row r="165" ht="15.75" customHeight="1">
      <c r="A165" s="9"/>
      <c r="B165" s="11"/>
      <c r="C165" s="11"/>
      <c r="D165" s="9"/>
      <c r="E165" s="9"/>
      <c r="F165" s="9"/>
      <c r="G165" s="9"/>
      <c r="H165" s="11"/>
      <c r="I165" s="11"/>
      <c r="J165" s="11"/>
      <c r="K165" s="11"/>
      <c r="L165" s="11"/>
      <c r="M165" s="9"/>
      <c r="N165" s="9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9"/>
      <c r="AK165" s="13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9"/>
      <c r="BH165" s="15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9"/>
      <c r="CF165" s="9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</row>
    <row r="166" ht="15.75" customHeight="1">
      <c r="A166" s="9"/>
      <c r="B166" s="11"/>
      <c r="C166" s="11"/>
      <c r="D166" s="9"/>
      <c r="E166" s="9"/>
      <c r="F166" s="9"/>
      <c r="G166" s="9"/>
      <c r="H166" s="11"/>
      <c r="I166" s="11"/>
      <c r="J166" s="11"/>
      <c r="K166" s="11"/>
      <c r="L166" s="11"/>
      <c r="M166" s="9"/>
      <c r="N166" s="9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9"/>
      <c r="AK166" s="13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9"/>
      <c r="BH166" s="15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9"/>
      <c r="CF166" s="9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</row>
    <row r="167" ht="15.75" customHeight="1">
      <c r="A167" s="9"/>
      <c r="B167" s="11"/>
      <c r="C167" s="11"/>
      <c r="D167" s="9"/>
      <c r="E167" s="9"/>
      <c r="F167" s="9"/>
      <c r="G167" s="9"/>
      <c r="H167" s="11"/>
      <c r="I167" s="11"/>
      <c r="J167" s="11"/>
      <c r="K167" s="11"/>
      <c r="L167" s="11"/>
      <c r="M167" s="9"/>
      <c r="N167" s="9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9"/>
      <c r="AK167" s="13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9"/>
      <c r="BH167" s="15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9"/>
      <c r="CF167" s="9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</row>
    <row r="168" ht="15.75" customHeight="1">
      <c r="A168" s="9"/>
      <c r="B168" s="11"/>
      <c r="C168" s="11"/>
      <c r="D168" s="9"/>
      <c r="E168" s="9"/>
      <c r="F168" s="9"/>
      <c r="G168" s="9"/>
      <c r="H168" s="11"/>
      <c r="I168" s="11"/>
      <c r="J168" s="11"/>
      <c r="K168" s="11"/>
      <c r="L168" s="11"/>
      <c r="M168" s="9"/>
      <c r="N168" s="9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9"/>
      <c r="AK168" s="13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9"/>
      <c r="BH168" s="15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9"/>
      <c r="CF168" s="9"/>
      <c r="CG168" s="11"/>
      <c r="CH168" s="11"/>
      <c r="CI168" s="11"/>
      <c r="CJ168" s="11"/>
      <c r="CK168" s="11"/>
      <c r="CL168" s="11"/>
      <c r="CM168" s="11"/>
      <c r="CN168" s="11"/>
      <c r="CO168" s="11"/>
      <c r="CP168" s="11"/>
      <c r="CQ168" s="11"/>
      <c r="CR168" s="11"/>
      <c r="CS168" s="11"/>
      <c r="CT168" s="11"/>
    </row>
    <row r="169" ht="15.75" customHeight="1">
      <c r="A169" s="9"/>
      <c r="B169" s="11"/>
      <c r="C169" s="11"/>
      <c r="D169" s="9"/>
      <c r="E169" s="9"/>
      <c r="F169" s="9"/>
      <c r="G169" s="9"/>
      <c r="H169" s="11"/>
      <c r="I169" s="11"/>
      <c r="J169" s="11"/>
      <c r="K169" s="11"/>
      <c r="L169" s="11"/>
      <c r="M169" s="9"/>
      <c r="N169" s="9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9"/>
      <c r="AK169" s="13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9"/>
      <c r="BH169" s="15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9"/>
      <c r="CF169" s="9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</row>
    <row r="170" ht="15.75" customHeight="1">
      <c r="A170" s="9"/>
      <c r="B170" s="11"/>
      <c r="C170" s="11"/>
      <c r="D170" s="9"/>
      <c r="E170" s="9"/>
      <c r="F170" s="9"/>
      <c r="G170" s="9"/>
      <c r="H170" s="11"/>
      <c r="I170" s="11"/>
      <c r="J170" s="11"/>
      <c r="K170" s="11"/>
      <c r="L170" s="11"/>
      <c r="M170" s="9"/>
      <c r="N170" s="9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9"/>
      <c r="AK170" s="13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9"/>
      <c r="BH170" s="15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9"/>
      <c r="CF170" s="9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</row>
    <row r="171" ht="15.75" customHeight="1">
      <c r="A171" s="9"/>
      <c r="B171" s="11"/>
      <c r="C171" s="11"/>
      <c r="D171" s="9"/>
      <c r="E171" s="9"/>
      <c r="F171" s="9"/>
      <c r="G171" s="9"/>
      <c r="H171" s="11"/>
      <c r="I171" s="11"/>
      <c r="J171" s="11"/>
      <c r="K171" s="11"/>
      <c r="L171" s="11"/>
      <c r="M171" s="9"/>
      <c r="N171" s="9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9"/>
      <c r="AK171" s="13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9"/>
      <c r="BH171" s="15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9"/>
      <c r="CF171" s="9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</row>
    <row r="172" ht="15.75" customHeight="1">
      <c r="A172" s="9"/>
      <c r="B172" s="11"/>
      <c r="C172" s="11"/>
      <c r="D172" s="9"/>
      <c r="E172" s="9"/>
      <c r="F172" s="9"/>
      <c r="G172" s="9"/>
      <c r="H172" s="11"/>
      <c r="I172" s="11"/>
      <c r="J172" s="11"/>
      <c r="K172" s="11"/>
      <c r="L172" s="11"/>
      <c r="M172" s="9"/>
      <c r="N172" s="9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9"/>
      <c r="AK172" s="13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9"/>
      <c r="BH172" s="15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9"/>
      <c r="CF172" s="9"/>
      <c r="CG172" s="11"/>
      <c r="CH172" s="11"/>
      <c r="CI172" s="11"/>
      <c r="CJ172" s="11"/>
      <c r="CK172" s="11"/>
      <c r="CL172" s="11"/>
      <c r="CM172" s="11"/>
      <c r="CN172" s="11"/>
      <c r="CO172" s="11"/>
      <c r="CP172" s="11"/>
      <c r="CQ172" s="11"/>
      <c r="CR172" s="11"/>
      <c r="CS172" s="11"/>
      <c r="CT172" s="11"/>
    </row>
    <row r="173" ht="15.75" customHeight="1">
      <c r="A173" s="9"/>
      <c r="B173" s="11"/>
      <c r="C173" s="11"/>
      <c r="D173" s="9"/>
      <c r="E173" s="9"/>
      <c r="F173" s="9"/>
      <c r="G173" s="9"/>
      <c r="H173" s="11"/>
      <c r="I173" s="11"/>
      <c r="J173" s="11"/>
      <c r="K173" s="11"/>
      <c r="L173" s="11"/>
      <c r="M173" s="9"/>
      <c r="N173" s="9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9"/>
      <c r="AK173" s="13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9"/>
      <c r="BH173" s="15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9"/>
      <c r="CF173" s="9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</row>
    <row r="174" ht="15.75" customHeight="1">
      <c r="A174" s="9"/>
      <c r="B174" s="11"/>
      <c r="C174" s="11"/>
      <c r="D174" s="9"/>
      <c r="E174" s="9"/>
      <c r="F174" s="9"/>
      <c r="G174" s="9"/>
      <c r="H174" s="11"/>
      <c r="I174" s="11"/>
      <c r="J174" s="11"/>
      <c r="K174" s="11"/>
      <c r="L174" s="11"/>
      <c r="M174" s="9"/>
      <c r="N174" s="9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9"/>
      <c r="AK174" s="13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9"/>
      <c r="BH174" s="15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9"/>
      <c r="CF174" s="9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/>
      <c r="CQ174" s="11"/>
      <c r="CR174" s="11"/>
      <c r="CS174" s="11"/>
      <c r="CT174" s="11"/>
    </row>
    <row r="175" ht="15.75" customHeight="1">
      <c r="A175" s="9"/>
      <c r="B175" s="11"/>
      <c r="C175" s="11"/>
      <c r="D175" s="9"/>
      <c r="E175" s="9"/>
      <c r="F175" s="9"/>
      <c r="G175" s="9"/>
      <c r="H175" s="11"/>
      <c r="I175" s="11"/>
      <c r="J175" s="11"/>
      <c r="K175" s="11"/>
      <c r="L175" s="11"/>
      <c r="M175" s="9"/>
      <c r="N175" s="9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9"/>
      <c r="AK175" s="13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9"/>
      <c r="BH175" s="15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9"/>
      <c r="CF175" s="9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</row>
    <row r="176" ht="15.75" customHeight="1">
      <c r="A176" s="9"/>
      <c r="B176" s="11"/>
      <c r="C176" s="11"/>
      <c r="D176" s="9"/>
      <c r="E176" s="9"/>
      <c r="F176" s="9"/>
      <c r="G176" s="9"/>
      <c r="H176" s="11"/>
      <c r="I176" s="11"/>
      <c r="J176" s="11"/>
      <c r="K176" s="11"/>
      <c r="L176" s="11"/>
      <c r="M176" s="9"/>
      <c r="N176" s="9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9"/>
      <c r="AK176" s="13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9"/>
      <c r="BH176" s="15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9"/>
      <c r="CF176" s="9"/>
      <c r="CG176" s="11"/>
      <c r="CH176" s="11"/>
      <c r="CI176" s="11"/>
      <c r="CJ176" s="11"/>
      <c r="CK176" s="11"/>
      <c r="CL176" s="11"/>
      <c r="CM176" s="11"/>
      <c r="CN176" s="11"/>
      <c r="CO176" s="11"/>
      <c r="CP176" s="11"/>
      <c r="CQ176" s="11"/>
      <c r="CR176" s="11"/>
      <c r="CS176" s="11"/>
      <c r="CT176" s="11"/>
    </row>
    <row r="177" ht="15.75" customHeight="1">
      <c r="A177" s="9"/>
      <c r="B177" s="11"/>
      <c r="C177" s="11"/>
      <c r="D177" s="9"/>
      <c r="E177" s="9"/>
      <c r="F177" s="9"/>
      <c r="G177" s="9"/>
      <c r="H177" s="11"/>
      <c r="I177" s="11"/>
      <c r="J177" s="11"/>
      <c r="K177" s="11"/>
      <c r="L177" s="11"/>
      <c r="M177" s="9"/>
      <c r="N177" s="9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9"/>
      <c r="AK177" s="13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9"/>
      <c r="BH177" s="15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9"/>
      <c r="CF177" s="9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</row>
    <row r="178" ht="15.75" customHeight="1">
      <c r="A178" s="9"/>
      <c r="B178" s="11"/>
      <c r="C178" s="11"/>
      <c r="D178" s="9"/>
      <c r="E178" s="9"/>
      <c r="F178" s="9"/>
      <c r="G178" s="9"/>
      <c r="H178" s="11"/>
      <c r="I178" s="11"/>
      <c r="J178" s="11"/>
      <c r="K178" s="11"/>
      <c r="L178" s="11"/>
      <c r="M178" s="9"/>
      <c r="N178" s="9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9"/>
      <c r="AK178" s="13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9"/>
      <c r="BH178" s="15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9"/>
      <c r="CF178" s="9"/>
      <c r="CG178" s="11"/>
      <c r="CH178" s="11"/>
      <c r="CI178" s="11"/>
      <c r="CJ178" s="11"/>
      <c r="CK178" s="11"/>
      <c r="CL178" s="11"/>
      <c r="CM178" s="11"/>
      <c r="CN178" s="11"/>
      <c r="CO178" s="11"/>
      <c r="CP178" s="11"/>
      <c r="CQ178" s="11"/>
      <c r="CR178" s="11"/>
      <c r="CS178" s="11"/>
      <c r="CT178" s="11"/>
    </row>
    <row r="179" ht="15.75" customHeight="1">
      <c r="A179" s="9"/>
      <c r="B179" s="11"/>
      <c r="C179" s="11"/>
      <c r="D179" s="9"/>
      <c r="E179" s="9"/>
      <c r="F179" s="9"/>
      <c r="G179" s="9"/>
      <c r="H179" s="11"/>
      <c r="I179" s="11"/>
      <c r="J179" s="11"/>
      <c r="K179" s="11"/>
      <c r="L179" s="11"/>
      <c r="M179" s="9"/>
      <c r="N179" s="9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9"/>
      <c r="AK179" s="13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9"/>
      <c r="BH179" s="15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9"/>
      <c r="CF179" s="9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</row>
    <row r="180" ht="15.75" customHeight="1">
      <c r="A180" s="9"/>
      <c r="B180" s="11"/>
      <c r="C180" s="11"/>
      <c r="D180" s="9"/>
      <c r="E180" s="9"/>
      <c r="F180" s="9"/>
      <c r="G180" s="9"/>
      <c r="H180" s="11"/>
      <c r="I180" s="11"/>
      <c r="J180" s="11"/>
      <c r="K180" s="11"/>
      <c r="L180" s="11"/>
      <c r="M180" s="9"/>
      <c r="N180" s="9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9"/>
      <c r="AK180" s="13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9"/>
      <c r="BH180" s="15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9"/>
      <c r="CF180" s="9"/>
      <c r="CG180" s="11"/>
      <c r="CH180" s="11"/>
      <c r="CI180" s="11"/>
      <c r="CJ180" s="11"/>
      <c r="CK180" s="11"/>
      <c r="CL180" s="11"/>
      <c r="CM180" s="11"/>
      <c r="CN180" s="11"/>
      <c r="CO180" s="11"/>
      <c r="CP180" s="11"/>
      <c r="CQ180" s="11"/>
      <c r="CR180" s="11"/>
      <c r="CS180" s="11"/>
      <c r="CT180" s="11"/>
    </row>
    <row r="181" ht="15.75" customHeight="1">
      <c r="A181" s="9"/>
      <c r="B181" s="11"/>
      <c r="C181" s="11"/>
      <c r="D181" s="9"/>
      <c r="E181" s="9"/>
      <c r="F181" s="9"/>
      <c r="G181" s="9"/>
      <c r="H181" s="11"/>
      <c r="I181" s="11"/>
      <c r="J181" s="11"/>
      <c r="K181" s="11"/>
      <c r="L181" s="11"/>
      <c r="M181" s="9"/>
      <c r="N181" s="9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9"/>
      <c r="AK181" s="13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9"/>
      <c r="BH181" s="15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9"/>
      <c r="CF181" s="9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</row>
    <row r="182" ht="15.75" customHeight="1">
      <c r="A182" s="9"/>
      <c r="B182" s="11"/>
      <c r="C182" s="11"/>
      <c r="D182" s="9"/>
      <c r="E182" s="9"/>
      <c r="F182" s="9"/>
      <c r="G182" s="9"/>
      <c r="H182" s="11"/>
      <c r="I182" s="11"/>
      <c r="J182" s="11"/>
      <c r="K182" s="11"/>
      <c r="L182" s="11"/>
      <c r="M182" s="9"/>
      <c r="N182" s="9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9"/>
      <c r="AK182" s="13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9"/>
      <c r="BH182" s="15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9"/>
      <c r="CF182" s="9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</row>
    <row r="183" ht="15.75" customHeight="1">
      <c r="A183" s="9"/>
      <c r="B183" s="11"/>
      <c r="C183" s="11"/>
      <c r="D183" s="9"/>
      <c r="E183" s="9"/>
      <c r="F183" s="9"/>
      <c r="G183" s="9"/>
      <c r="H183" s="11"/>
      <c r="I183" s="11"/>
      <c r="J183" s="11"/>
      <c r="K183" s="11"/>
      <c r="L183" s="11"/>
      <c r="M183" s="9"/>
      <c r="N183" s="9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9"/>
      <c r="AK183" s="13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9"/>
      <c r="BH183" s="15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9"/>
      <c r="CF183" s="9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</row>
    <row r="184" ht="15.75" customHeight="1">
      <c r="A184" s="9"/>
      <c r="B184" s="11"/>
      <c r="C184" s="11"/>
      <c r="D184" s="9"/>
      <c r="E184" s="9"/>
      <c r="F184" s="9"/>
      <c r="G184" s="9"/>
      <c r="H184" s="11"/>
      <c r="I184" s="11"/>
      <c r="J184" s="11"/>
      <c r="K184" s="11"/>
      <c r="L184" s="11"/>
      <c r="M184" s="9"/>
      <c r="N184" s="9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9"/>
      <c r="AK184" s="13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9"/>
      <c r="BH184" s="15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9"/>
      <c r="CF184" s="9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</row>
    <row r="185" ht="15.75" customHeight="1">
      <c r="A185" s="9"/>
      <c r="B185" s="11"/>
      <c r="C185" s="11"/>
      <c r="D185" s="9"/>
      <c r="E185" s="9"/>
      <c r="F185" s="9"/>
      <c r="G185" s="9"/>
      <c r="H185" s="11"/>
      <c r="I185" s="11"/>
      <c r="J185" s="11"/>
      <c r="K185" s="11"/>
      <c r="L185" s="11"/>
      <c r="M185" s="9"/>
      <c r="N185" s="9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9"/>
      <c r="AK185" s="13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9"/>
      <c r="BH185" s="15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9"/>
      <c r="CF185" s="9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</row>
    <row r="186" ht="15.75" customHeight="1">
      <c r="A186" s="9"/>
      <c r="B186" s="11"/>
      <c r="C186" s="11"/>
      <c r="D186" s="9"/>
      <c r="E186" s="9"/>
      <c r="F186" s="9"/>
      <c r="G186" s="9"/>
      <c r="H186" s="11"/>
      <c r="I186" s="11"/>
      <c r="J186" s="11"/>
      <c r="K186" s="11"/>
      <c r="L186" s="11"/>
      <c r="M186" s="9"/>
      <c r="N186" s="9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9"/>
      <c r="AK186" s="13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9"/>
      <c r="BH186" s="15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9"/>
      <c r="CF186" s="9"/>
      <c r="CG186" s="11"/>
      <c r="CH186" s="11"/>
      <c r="CI186" s="11"/>
      <c r="CJ186" s="11"/>
      <c r="CK186" s="11"/>
      <c r="CL186" s="11"/>
      <c r="CM186" s="11"/>
      <c r="CN186" s="11"/>
      <c r="CO186" s="11"/>
      <c r="CP186" s="11"/>
      <c r="CQ186" s="11"/>
      <c r="CR186" s="11"/>
      <c r="CS186" s="11"/>
      <c r="CT186" s="11"/>
    </row>
    <row r="187" ht="15.75" customHeight="1">
      <c r="A187" s="9"/>
      <c r="B187" s="11"/>
      <c r="C187" s="11"/>
      <c r="D187" s="9"/>
      <c r="E187" s="9"/>
      <c r="F187" s="9"/>
      <c r="G187" s="9"/>
      <c r="H187" s="11"/>
      <c r="I187" s="11"/>
      <c r="J187" s="11"/>
      <c r="K187" s="11"/>
      <c r="L187" s="11"/>
      <c r="M187" s="9"/>
      <c r="N187" s="9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9"/>
      <c r="AK187" s="13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9"/>
      <c r="BH187" s="15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9"/>
      <c r="CF187" s="9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</row>
    <row r="188" ht="15.75" customHeight="1">
      <c r="A188" s="9"/>
      <c r="B188" s="11"/>
      <c r="C188" s="11"/>
      <c r="D188" s="9"/>
      <c r="E188" s="9"/>
      <c r="F188" s="9"/>
      <c r="G188" s="9"/>
      <c r="H188" s="11"/>
      <c r="I188" s="11"/>
      <c r="J188" s="11"/>
      <c r="K188" s="11"/>
      <c r="L188" s="11"/>
      <c r="M188" s="9"/>
      <c r="N188" s="9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9"/>
      <c r="AK188" s="13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9"/>
      <c r="BH188" s="15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9"/>
      <c r="CF188" s="9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  <c r="CT188" s="11"/>
    </row>
    <row r="189" ht="15.75" customHeight="1">
      <c r="A189" s="9"/>
      <c r="B189" s="11"/>
      <c r="C189" s="11"/>
      <c r="D189" s="9"/>
      <c r="E189" s="9"/>
      <c r="F189" s="9"/>
      <c r="G189" s="9"/>
      <c r="H189" s="11"/>
      <c r="I189" s="11"/>
      <c r="J189" s="11"/>
      <c r="K189" s="11"/>
      <c r="L189" s="11"/>
      <c r="M189" s="9"/>
      <c r="N189" s="9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9"/>
      <c r="AK189" s="13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9"/>
      <c r="BH189" s="15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9"/>
      <c r="CF189" s="9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</row>
    <row r="190" ht="15.75" customHeight="1">
      <c r="A190" s="9"/>
      <c r="B190" s="11"/>
      <c r="C190" s="11"/>
      <c r="D190" s="9"/>
      <c r="E190" s="9"/>
      <c r="F190" s="9"/>
      <c r="G190" s="9"/>
      <c r="H190" s="11"/>
      <c r="I190" s="11"/>
      <c r="J190" s="11"/>
      <c r="K190" s="11"/>
      <c r="L190" s="11"/>
      <c r="M190" s="9"/>
      <c r="N190" s="9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9"/>
      <c r="AK190" s="13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9"/>
      <c r="BH190" s="15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9"/>
      <c r="CF190" s="9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</row>
    <row r="191" ht="15.75" customHeight="1">
      <c r="A191" s="9"/>
      <c r="B191" s="11"/>
      <c r="C191" s="11"/>
      <c r="D191" s="9"/>
      <c r="E191" s="9"/>
      <c r="F191" s="9"/>
      <c r="G191" s="9"/>
      <c r="H191" s="11"/>
      <c r="I191" s="11"/>
      <c r="J191" s="11"/>
      <c r="K191" s="11"/>
      <c r="L191" s="11"/>
      <c r="M191" s="9"/>
      <c r="N191" s="9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9"/>
      <c r="AK191" s="13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9"/>
      <c r="BH191" s="15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9"/>
      <c r="CF191" s="9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</row>
    <row r="192" ht="15.75" customHeight="1">
      <c r="A192" s="9"/>
      <c r="B192" s="11"/>
      <c r="C192" s="11"/>
      <c r="D192" s="9"/>
      <c r="E192" s="9"/>
      <c r="F192" s="9"/>
      <c r="G192" s="9"/>
      <c r="H192" s="11"/>
      <c r="I192" s="11"/>
      <c r="J192" s="11"/>
      <c r="K192" s="11"/>
      <c r="L192" s="11"/>
      <c r="M192" s="9"/>
      <c r="N192" s="9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9"/>
      <c r="AK192" s="13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9"/>
      <c r="BH192" s="15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9"/>
      <c r="CF192" s="9"/>
      <c r="CG192" s="11"/>
      <c r="CH192" s="11"/>
      <c r="CI192" s="11"/>
      <c r="CJ192" s="11"/>
      <c r="CK192" s="11"/>
      <c r="CL192" s="11"/>
      <c r="CM192" s="11"/>
      <c r="CN192" s="11"/>
      <c r="CO192" s="11"/>
      <c r="CP192" s="11"/>
      <c r="CQ192" s="11"/>
      <c r="CR192" s="11"/>
      <c r="CS192" s="11"/>
      <c r="CT192" s="11"/>
    </row>
    <row r="193" ht="15.75" customHeight="1">
      <c r="A193" s="9"/>
      <c r="B193" s="11"/>
      <c r="C193" s="11"/>
      <c r="D193" s="9"/>
      <c r="E193" s="9"/>
      <c r="F193" s="9"/>
      <c r="G193" s="9"/>
      <c r="H193" s="11"/>
      <c r="I193" s="11"/>
      <c r="J193" s="11"/>
      <c r="K193" s="11"/>
      <c r="L193" s="11"/>
      <c r="M193" s="9"/>
      <c r="N193" s="9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9"/>
      <c r="AK193" s="13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9"/>
      <c r="BH193" s="15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9"/>
      <c r="CF193" s="9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</row>
    <row r="194" ht="15.75" customHeight="1">
      <c r="A194" s="9"/>
      <c r="B194" s="11"/>
      <c r="C194" s="11"/>
      <c r="D194" s="9"/>
      <c r="E194" s="9"/>
      <c r="F194" s="9"/>
      <c r="G194" s="9"/>
      <c r="H194" s="11"/>
      <c r="I194" s="11"/>
      <c r="J194" s="11"/>
      <c r="K194" s="11"/>
      <c r="L194" s="11"/>
      <c r="M194" s="9"/>
      <c r="N194" s="9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9"/>
      <c r="AK194" s="13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9"/>
      <c r="BH194" s="15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9"/>
      <c r="CF194" s="9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</row>
    <row r="195" ht="15.75" customHeight="1">
      <c r="A195" s="9"/>
      <c r="B195" s="11"/>
      <c r="C195" s="11"/>
      <c r="D195" s="9"/>
      <c r="E195" s="9"/>
      <c r="F195" s="9"/>
      <c r="G195" s="9"/>
      <c r="H195" s="11"/>
      <c r="I195" s="11"/>
      <c r="J195" s="11"/>
      <c r="K195" s="11"/>
      <c r="L195" s="11"/>
      <c r="M195" s="9"/>
      <c r="N195" s="9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9"/>
      <c r="AK195" s="13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9"/>
      <c r="BH195" s="15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9"/>
      <c r="CF195" s="9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</row>
    <row r="196" ht="15.75" customHeight="1">
      <c r="A196" s="9"/>
      <c r="B196" s="11"/>
      <c r="C196" s="11"/>
      <c r="D196" s="9"/>
      <c r="E196" s="9"/>
      <c r="F196" s="9"/>
      <c r="G196" s="9"/>
      <c r="H196" s="11"/>
      <c r="I196" s="11"/>
      <c r="J196" s="11"/>
      <c r="K196" s="11"/>
      <c r="L196" s="11"/>
      <c r="M196" s="9"/>
      <c r="N196" s="9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9"/>
      <c r="AK196" s="13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9"/>
      <c r="BH196" s="15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9"/>
      <c r="CF196" s="9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</row>
    <row r="197" ht="15.75" customHeight="1">
      <c r="A197" s="9"/>
      <c r="B197" s="11"/>
      <c r="C197" s="11"/>
      <c r="D197" s="9"/>
      <c r="E197" s="9"/>
      <c r="F197" s="9"/>
      <c r="G197" s="9"/>
      <c r="H197" s="11"/>
      <c r="I197" s="11"/>
      <c r="J197" s="11"/>
      <c r="K197" s="11"/>
      <c r="L197" s="11"/>
      <c r="M197" s="9"/>
      <c r="N197" s="9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9"/>
      <c r="AK197" s="13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9"/>
      <c r="BH197" s="15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9"/>
      <c r="CF197" s="9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</row>
    <row r="198" ht="15.75" customHeight="1">
      <c r="A198" s="9"/>
      <c r="B198" s="11"/>
      <c r="C198" s="11"/>
      <c r="D198" s="9"/>
      <c r="E198" s="9"/>
      <c r="F198" s="9"/>
      <c r="G198" s="9"/>
      <c r="H198" s="11"/>
      <c r="I198" s="11"/>
      <c r="J198" s="11"/>
      <c r="K198" s="11"/>
      <c r="L198" s="11"/>
      <c r="M198" s="9"/>
      <c r="N198" s="9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9"/>
      <c r="AK198" s="13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9"/>
      <c r="BH198" s="15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9"/>
      <c r="CF198" s="9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</row>
    <row r="199" ht="15.75" customHeight="1">
      <c r="A199" s="9"/>
      <c r="B199" s="11"/>
      <c r="C199" s="11"/>
      <c r="D199" s="9"/>
      <c r="E199" s="9"/>
      <c r="F199" s="9"/>
      <c r="G199" s="9"/>
      <c r="H199" s="11"/>
      <c r="I199" s="11"/>
      <c r="J199" s="11"/>
      <c r="K199" s="11"/>
      <c r="L199" s="11"/>
      <c r="M199" s="9"/>
      <c r="N199" s="9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9"/>
      <c r="AK199" s="13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9"/>
      <c r="BH199" s="15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9"/>
      <c r="CF199" s="9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</row>
    <row r="200" ht="15.75" customHeight="1">
      <c r="A200" s="9"/>
      <c r="B200" s="11"/>
      <c r="C200" s="11"/>
      <c r="D200" s="9"/>
      <c r="E200" s="9"/>
      <c r="F200" s="9"/>
      <c r="G200" s="9"/>
      <c r="H200" s="11"/>
      <c r="I200" s="11"/>
      <c r="J200" s="11"/>
      <c r="K200" s="11"/>
      <c r="L200" s="11"/>
      <c r="M200" s="9"/>
      <c r="N200" s="9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9"/>
      <c r="AK200" s="13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9"/>
      <c r="BH200" s="15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9"/>
      <c r="CF200" s="9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</row>
    <row r="201" ht="15.75" customHeight="1">
      <c r="A201" s="9"/>
      <c r="B201" s="11"/>
      <c r="C201" s="11"/>
      <c r="D201" s="9"/>
      <c r="E201" s="9"/>
      <c r="F201" s="9"/>
      <c r="G201" s="9"/>
      <c r="H201" s="11"/>
      <c r="I201" s="11"/>
      <c r="J201" s="11"/>
      <c r="K201" s="11"/>
      <c r="L201" s="11"/>
      <c r="M201" s="9"/>
      <c r="N201" s="9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9"/>
      <c r="AK201" s="13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9"/>
      <c r="BH201" s="15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9"/>
      <c r="CF201" s="9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</row>
    <row r="202" ht="15.75" customHeight="1">
      <c r="A202" s="9"/>
      <c r="B202" s="11"/>
      <c r="C202" s="11"/>
      <c r="D202" s="9"/>
      <c r="E202" s="9"/>
      <c r="F202" s="9"/>
      <c r="G202" s="9"/>
      <c r="H202" s="11"/>
      <c r="I202" s="11"/>
      <c r="J202" s="11"/>
      <c r="K202" s="11"/>
      <c r="L202" s="11"/>
      <c r="M202" s="9"/>
      <c r="N202" s="9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9"/>
      <c r="AK202" s="13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9"/>
      <c r="BH202" s="15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9"/>
      <c r="CF202" s="9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</row>
    <row r="203" ht="15.75" customHeight="1">
      <c r="A203" s="9"/>
      <c r="B203" s="11"/>
      <c r="C203" s="11"/>
      <c r="D203" s="9"/>
      <c r="E203" s="9"/>
      <c r="F203" s="9"/>
      <c r="G203" s="9"/>
      <c r="H203" s="11"/>
      <c r="I203" s="11"/>
      <c r="J203" s="11"/>
      <c r="K203" s="11"/>
      <c r="L203" s="11"/>
      <c r="M203" s="9"/>
      <c r="N203" s="9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9"/>
      <c r="AK203" s="13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9"/>
      <c r="BH203" s="15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9"/>
      <c r="CF203" s="9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</row>
    <row r="204" ht="15.75" customHeight="1">
      <c r="A204" s="9"/>
      <c r="B204" s="11"/>
      <c r="C204" s="11"/>
      <c r="D204" s="9"/>
      <c r="E204" s="9"/>
      <c r="F204" s="9"/>
      <c r="G204" s="9"/>
      <c r="H204" s="11"/>
      <c r="I204" s="11"/>
      <c r="J204" s="11"/>
      <c r="K204" s="11"/>
      <c r="L204" s="11"/>
      <c r="M204" s="9"/>
      <c r="N204" s="9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9"/>
      <c r="AK204" s="13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9"/>
      <c r="BH204" s="15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9"/>
      <c r="CF204" s="9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</row>
    <row r="205" ht="15.75" customHeight="1">
      <c r="A205" s="9"/>
      <c r="B205" s="11"/>
      <c r="C205" s="11"/>
      <c r="D205" s="9"/>
      <c r="E205" s="9"/>
      <c r="F205" s="9"/>
      <c r="G205" s="9"/>
      <c r="H205" s="11"/>
      <c r="I205" s="11"/>
      <c r="J205" s="11"/>
      <c r="K205" s="11"/>
      <c r="L205" s="11"/>
      <c r="M205" s="9"/>
      <c r="N205" s="9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9"/>
      <c r="AK205" s="13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9"/>
      <c r="BH205" s="15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9"/>
      <c r="CF205" s="9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</row>
    <row r="206" ht="15.75" customHeight="1">
      <c r="A206" s="9"/>
      <c r="B206" s="11"/>
      <c r="C206" s="11"/>
      <c r="D206" s="9"/>
      <c r="E206" s="9"/>
      <c r="F206" s="9"/>
      <c r="G206" s="9"/>
      <c r="H206" s="11"/>
      <c r="I206" s="11"/>
      <c r="J206" s="11"/>
      <c r="K206" s="11"/>
      <c r="L206" s="11"/>
      <c r="M206" s="9"/>
      <c r="N206" s="9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9"/>
      <c r="AK206" s="13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9"/>
      <c r="BH206" s="15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9"/>
      <c r="CF206" s="9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</row>
    <row r="207" ht="15.75" customHeight="1">
      <c r="A207" s="9"/>
      <c r="B207" s="11"/>
      <c r="C207" s="11"/>
      <c r="D207" s="9"/>
      <c r="E207" s="9"/>
      <c r="F207" s="9"/>
      <c r="G207" s="9"/>
      <c r="H207" s="11"/>
      <c r="I207" s="11"/>
      <c r="J207" s="11"/>
      <c r="K207" s="11"/>
      <c r="L207" s="11"/>
      <c r="M207" s="9"/>
      <c r="N207" s="9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9"/>
      <c r="AK207" s="13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9"/>
      <c r="BH207" s="15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9"/>
      <c r="CF207" s="9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</row>
    <row r="208" ht="15.75" customHeight="1">
      <c r="A208" s="9"/>
      <c r="B208" s="11"/>
      <c r="C208" s="11"/>
      <c r="D208" s="9"/>
      <c r="E208" s="9"/>
      <c r="F208" s="9"/>
      <c r="G208" s="9"/>
      <c r="H208" s="11"/>
      <c r="I208" s="11"/>
      <c r="J208" s="11"/>
      <c r="K208" s="11"/>
      <c r="L208" s="11"/>
      <c r="M208" s="9"/>
      <c r="N208" s="9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9"/>
      <c r="AK208" s="13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9"/>
      <c r="BH208" s="15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9"/>
      <c r="CF208" s="9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</row>
    <row r="209" ht="15.75" customHeight="1">
      <c r="A209" s="9"/>
      <c r="B209" s="11"/>
      <c r="C209" s="11"/>
      <c r="D209" s="9"/>
      <c r="E209" s="9"/>
      <c r="F209" s="9"/>
      <c r="G209" s="9"/>
      <c r="H209" s="11"/>
      <c r="I209" s="11"/>
      <c r="J209" s="11"/>
      <c r="K209" s="11"/>
      <c r="L209" s="11"/>
      <c r="M209" s="9"/>
      <c r="N209" s="9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9"/>
      <c r="AK209" s="13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9"/>
      <c r="BH209" s="15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9"/>
      <c r="CF209" s="9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</row>
    <row r="210" ht="15.75" customHeight="1">
      <c r="A210" s="9"/>
      <c r="B210" s="11"/>
      <c r="C210" s="11"/>
      <c r="D210" s="9"/>
      <c r="E210" s="9"/>
      <c r="F210" s="9"/>
      <c r="G210" s="9"/>
      <c r="H210" s="11"/>
      <c r="I210" s="11"/>
      <c r="J210" s="11"/>
      <c r="K210" s="11"/>
      <c r="L210" s="11"/>
      <c r="M210" s="9"/>
      <c r="N210" s="9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9"/>
      <c r="AK210" s="13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9"/>
      <c r="BH210" s="15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9"/>
      <c r="CF210" s="9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</row>
    <row r="211" ht="15.75" customHeight="1">
      <c r="A211" s="9"/>
      <c r="B211" s="11"/>
      <c r="C211" s="11"/>
      <c r="D211" s="9"/>
      <c r="E211" s="9"/>
      <c r="F211" s="9"/>
      <c r="G211" s="9"/>
      <c r="H211" s="11"/>
      <c r="I211" s="11"/>
      <c r="J211" s="11"/>
      <c r="K211" s="11"/>
      <c r="L211" s="11"/>
      <c r="M211" s="9"/>
      <c r="N211" s="9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9"/>
      <c r="AK211" s="13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9"/>
      <c r="BH211" s="15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9"/>
      <c r="CF211" s="9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</row>
    <row r="212" ht="15.75" customHeight="1">
      <c r="A212" s="9"/>
      <c r="B212" s="11"/>
      <c r="C212" s="11"/>
      <c r="D212" s="9"/>
      <c r="E212" s="9"/>
      <c r="F212" s="9"/>
      <c r="G212" s="9"/>
      <c r="H212" s="11"/>
      <c r="I212" s="11"/>
      <c r="J212" s="11"/>
      <c r="K212" s="11"/>
      <c r="L212" s="11"/>
      <c r="M212" s="9"/>
      <c r="N212" s="9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9"/>
      <c r="AK212" s="13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9"/>
      <c r="BH212" s="15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9"/>
      <c r="CF212" s="9"/>
      <c r="CG212" s="11"/>
      <c r="CH212" s="11"/>
      <c r="CI212" s="11"/>
      <c r="CJ212" s="11"/>
      <c r="CK212" s="11"/>
      <c r="CL212" s="11"/>
      <c r="CM212" s="11"/>
      <c r="CN212" s="11"/>
      <c r="CO212" s="11"/>
      <c r="CP212" s="11"/>
      <c r="CQ212" s="11"/>
      <c r="CR212" s="11"/>
      <c r="CS212" s="11"/>
      <c r="CT212" s="11"/>
    </row>
    <row r="213" ht="15.75" customHeight="1">
      <c r="A213" s="9"/>
      <c r="B213" s="11"/>
      <c r="C213" s="11"/>
      <c r="D213" s="9"/>
      <c r="E213" s="9"/>
      <c r="F213" s="9"/>
      <c r="G213" s="9"/>
      <c r="H213" s="11"/>
      <c r="I213" s="11"/>
      <c r="J213" s="11"/>
      <c r="K213" s="11"/>
      <c r="L213" s="11"/>
      <c r="M213" s="9"/>
      <c r="N213" s="9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9"/>
      <c r="AK213" s="13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9"/>
      <c r="BH213" s="15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9"/>
      <c r="CF213" s="9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</row>
    <row r="214" ht="15.75" customHeight="1">
      <c r="A214" s="9"/>
      <c r="B214" s="11"/>
      <c r="C214" s="11"/>
      <c r="D214" s="9"/>
      <c r="E214" s="9"/>
      <c r="F214" s="9"/>
      <c r="G214" s="9"/>
      <c r="H214" s="11"/>
      <c r="I214" s="11"/>
      <c r="J214" s="11"/>
      <c r="K214" s="11"/>
      <c r="L214" s="11"/>
      <c r="M214" s="9"/>
      <c r="N214" s="9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9"/>
      <c r="AK214" s="13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9"/>
      <c r="BH214" s="15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9"/>
      <c r="CF214" s="9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  <c r="CT214" s="11"/>
    </row>
    <row r="215" ht="15.75" customHeight="1">
      <c r="A215" s="9"/>
      <c r="B215" s="11"/>
      <c r="C215" s="11"/>
      <c r="D215" s="9"/>
      <c r="E215" s="9"/>
      <c r="F215" s="9"/>
      <c r="G215" s="9"/>
      <c r="H215" s="11"/>
      <c r="I215" s="11"/>
      <c r="J215" s="11"/>
      <c r="K215" s="11"/>
      <c r="L215" s="11"/>
      <c r="M215" s="9"/>
      <c r="N215" s="9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9"/>
      <c r="AK215" s="13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9"/>
      <c r="BH215" s="15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9"/>
      <c r="CF215" s="9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</row>
    <row r="216" ht="15.75" customHeight="1">
      <c r="A216" s="9"/>
      <c r="B216" s="11"/>
      <c r="C216" s="11"/>
      <c r="D216" s="9"/>
      <c r="E216" s="9"/>
      <c r="F216" s="9"/>
      <c r="G216" s="9"/>
      <c r="H216" s="11"/>
      <c r="I216" s="11"/>
      <c r="J216" s="11"/>
      <c r="K216" s="11"/>
      <c r="L216" s="11"/>
      <c r="M216" s="9"/>
      <c r="N216" s="9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9"/>
      <c r="AK216" s="13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9"/>
      <c r="BH216" s="15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9"/>
      <c r="CF216" s="9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</row>
    <row r="217" ht="15.75" customHeight="1">
      <c r="A217" s="9"/>
      <c r="B217" s="11"/>
      <c r="C217" s="11"/>
      <c r="D217" s="9"/>
      <c r="E217" s="9"/>
      <c r="F217" s="9"/>
      <c r="G217" s="9"/>
      <c r="H217" s="11"/>
      <c r="I217" s="11"/>
      <c r="J217" s="11"/>
      <c r="K217" s="11"/>
      <c r="L217" s="11"/>
      <c r="M217" s="9"/>
      <c r="N217" s="9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9"/>
      <c r="AK217" s="13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9"/>
      <c r="BH217" s="15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9"/>
      <c r="CF217" s="9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</row>
    <row r="218" ht="15.75" customHeight="1">
      <c r="A218" s="9"/>
      <c r="B218" s="11"/>
      <c r="C218" s="11"/>
      <c r="D218" s="9"/>
      <c r="E218" s="9"/>
      <c r="F218" s="9"/>
      <c r="G218" s="9"/>
      <c r="H218" s="11"/>
      <c r="I218" s="11"/>
      <c r="J218" s="11"/>
      <c r="K218" s="11"/>
      <c r="L218" s="11"/>
      <c r="M218" s="9"/>
      <c r="N218" s="9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9"/>
      <c r="AK218" s="13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9"/>
      <c r="BH218" s="15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9"/>
      <c r="CF218" s="9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</row>
    <row r="219" ht="15.75" customHeight="1">
      <c r="A219" s="9"/>
      <c r="B219" s="11"/>
      <c r="C219" s="11"/>
      <c r="D219" s="9"/>
      <c r="E219" s="9"/>
      <c r="F219" s="9"/>
      <c r="G219" s="9"/>
      <c r="H219" s="11"/>
      <c r="I219" s="11"/>
      <c r="J219" s="11"/>
      <c r="K219" s="11"/>
      <c r="L219" s="11"/>
      <c r="M219" s="9"/>
      <c r="N219" s="9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9"/>
      <c r="AK219" s="13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9"/>
      <c r="BH219" s="15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9"/>
      <c r="CF219" s="9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</row>
    <row r="220" ht="15.75" customHeight="1">
      <c r="A220" s="9"/>
      <c r="B220" s="11"/>
      <c r="C220" s="11"/>
      <c r="D220" s="9"/>
      <c r="E220" s="9"/>
      <c r="F220" s="9"/>
      <c r="G220" s="9"/>
      <c r="H220" s="11"/>
      <c r="I220" s="11"/>
      <c r="J220" s="11"/>
      <c r="K220" s="11"/>
      <c r="L220" s="11"/>
      <c r="M220" s="9"/>
      <c r="N220" s="9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9"/>
      <c r="AK220" s="13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9"/>
      <c r="BH220" s="15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9"/>
      <c r="CF220" s="9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</row>
    <row r="221" ht="15.75" customHeight="1">
      <c r="A221" s="9"/>
      <c r="B221" s="11"/>
      <c r="C221" s="11"/>
      <c r="D221" s="9"/>
      <c r="E221" s="9"/>
      <c r="F221" s="9"/>
      <c r="G221" s="9"/>
      <c r="H221" s="11"/>
      <c r="I221" s="11"/>
      <c r="J221" s="11"/>
      <c r="K221" s="11"/>
      <c r="L221" s="11"/>
      <c r="M221" s="9"/>
      <c r="N221" s="9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9"/>
      <c r="AK221" s="13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9"/>
      <c r="BH221" s="15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9"/>
      <c r="CF221" s="9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</row>
    <row r="222" ht="15.75" customHeight="1">
      <c r="A222" s="9"/>
      <c r="B222" s="11"/>
      <c r="C222" s="11"/>
      <c r="D222" s="9"/>
      <c r="E222" s="9"/>
      <c r="F222" s="9"/>
      <c r="G222" s="9"/>
      <c r="H222" s="11"/>
      <c r="I222" s="11"/>
      <c r="J222" s="11"/>
      <c r="K222" s="11"/>
      <c r="L222" s="11"/>
      <c r="M222" s="9"/>
      <c r="N222" s="9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9"/>
      <c r="AK222" s="13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9"/>
      <c r="BH222" s="15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9"/>
      <c r="CF222" s="9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</row>
    <row r="223" ht="15.75" customHeight="1">
      <c r="A223" s="9"/>
      <c r="B223" s="11"/>
      <c r="C223" s="11"/>
      <c r="D223" s="9"/>
      <c r="E223" s="9"/>
      <c r="F223" s="9"/>
      <c r="G223" s="9"/>
      <c r="H223" s="11"/>
      <c r="I223" s="11"/>
      <c r="J223" s="11"/>
      <c r="K223" s="11"/>
      <c r="L223" s="11"/>
      <c r="M223" s="9"/>
      <c r="N223" s="9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9"/>
      <c r="AK223" s="13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9"/>
      <c r="BH223" s="15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9"/>
      <c r="CF223" s="9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</row>
    <row r="224" ht="15.75" customHeight="1">
      <c r="A224" s="9"/>
      <c r="B224" s="11"/>
      <c r="C224" s="11"/>
      <c r="D224" s="9"/>
      <c r="E224" s="9"/>
      <c r="F224" s="9"/>
      <c r="G224" s="9"/>
      <c r="H224" s="11"/>
      <c r="I224" s="11"/>
      <c r="J224" s="11"/>
      <c r="K224" s="11"/>
      <c r="L224" s="11"/>
      <c r="M224" s="9"/>
      <c r="N224" s="9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9"/>
      <c r="AK224" s="13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9"/>
      <c r="BH224" s="15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9"/>
      <c r="CF224" s="9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</row>
    <row r="225" ht="15.75" customHeight="1">
      <c r="A225" s="9"/>
      <c r="B225" s="11"/>
      <c r="C225" s="11"/>
      <c r="D225" s="9"/>
      <c r="E225" s="9"/>
      <c r="F225" s="9"/>
      <c r="G225" s="9"/>
      <c r="H225" s="11"/>
      <c r="I225" s="11"/>
      <c r="J225" s="11"/>
      <c r="K225" s="11"/>
      <c r="L225" s="11"/>
      <c r="M225" s="9"/>
      <c r="N225" s="9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9"/>
      <c r="AK225" s="13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9"/>
      <c r="BH225" s="15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9"/>
      <c r="CF225" s="9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</row>
    <row r="226" ht="15.75" customHeight="1">
      <c r="A226" s="9"/>
      <c r="B226" s="11"/>
      <c r="C226" s="11"/>
      <c r="D226" s="9"/>
      <c r="E226" s="9"/>
      <c r="F226" s="9"/>
      <c r="G226" s="9"/>
      <c r="H226" s="11"/>
      <c r="I226" s="11"/>
      <c r="J226" s="11"/>
      <c r="K226" s="11"/>
      <c r="L226" s="11"/>
      <c r="M226" s="9"/>
      <c r="N226" s="9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9"/>
      <c r="AK226" s="13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9"/>
      <c r="BH226" s="15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9"/>
      <c r="CF226" s="9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</row>
    <row r="227" ht="15.75" customHeight="1">
      <c r="A227" s="9"/>
      <c r="B227" s="11"/>
      <c r="C227" s="11"/>
      <c r="D227" s="9"/>
      <c r="E227" s="9"/>
      <c r="F227" s="9"/>
      <c r="G227" s="9"/>
      <c r="H227" s="11"/>
      <c r="I227" s="11"/>
      <c r="J227" s="11"/>
      <c r="K227" s="11"/>
      <c r="L227" s="11"/>
      <c r="M227" s="9"/>
      <c r="N227" s="9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9"/>
      <c r="AK227" s="13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9"/>
      <c r="BH227" s="15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9"/>
      <c r="CF227" s="9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</row>
    <row r="228" ht="15.75" customHeight="1">
      <c r="A228" s="9"/>
      <c r="B228" s="11"/>
      <c r="C228" s="11"/>
      <c r="D228" s="9"/>
      <c r="E228" s="9"/>
      <c r="F228" s="9"/>
      <c r="G228" s="9"/>
      <c r="H228" s="11"/>
      <c r="I228" s="11"/>
      <c r="J228" s="11"/>
      <c r="K228" s="11"/>
      <c r="L228" s="11"/>
      <c r="M228" s="9"/>
      <c r="N228" s="9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9"/>
      <c r="AK228" s="13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9"/>
      <c r="BH228" s="15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9"/>
      <c r="CF228" s="9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</row>
    <row r="229" ht="15.75" customHeight="1">
      <c r="A229" s="9"/>
      <c r="B229" s="11"/>
      <c r="C229" s="11"/>
      <c r="D229" s="9"/>
      <c r="E229" s="9"/>
      <c r="F229" s="9"/>
      <c r="G229" s="9"/>
      <c r="H229" s="11"/>
      <c r="I229" s="11"/>
      <c r="J229" s="11"/>
      <c r="K229" s="11"/>
      <c r="L229" s="11"/>
      <c r="M229" s="9"/>
      <c r="N229" s="9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9"/>
      <c r="AK229" s="13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9"/>
      <c r="BH229" s="15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9"/>
      <c r="CF229" s="9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</row>
    <row r="230" ht="15.75" customHeight="1">
      <c r="A230" s="9"/>
      <c r="B230" s="11"/>
      <c r="C230" s="11"/>
      <c r="D230" s="9"/>
      <c r="E230" s="9"/>
      <c r="F230" s="9"/>
      <c r="G230" s="9"/>
      <c r="H230" s="11"/>
      <c r="I230" s="11"/>
      <c r="J230" s="11"/>
      <c r="K230" s="11"/>
      <c r="L230" s="11"/>
      <c r="M230" s="9"/>
      <c r="N230" s="9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9"/>
      <c r="AK230" s="13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9"/>
      <c r="BH230" s="15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9"/>
      <c r="CF230" s="9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</row>
    <row r="231" ht="15.75" customHeight="1">
      <c r="A231" s="9"/>
      <c r="B231" s="11"/>
      <c r="C231" s="11"/>
      <c r="D231" s="9"/>
      <c r="E231" s="9"/>
      <c r="F231" s="9"/>
      <c r="G231" s="9"/>
      <c r="H231" s="11"/>
      <c r="I231" s="11"/>
      <c r="J231" s="11"/>
      <c r="K231" s="11"/>
      <c r="L231" s="11"/>
      <c r="M231" s="9"/>
      <c r="N231" s="9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9"/>
      <c r="AK231" s="13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9"/>
      <c r="BH231" s="15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9"/>
      <c r="CF231" s="9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</row>
    <row r="232" ht="15.75" customHeight="1">
      <c r="A232" s="9"/>
      <c r="B232" s="11"/>
      <c r="C232" s="11"/>
      <c r="D232" s="9"/>
      <c r="E232" s="9"/>
      <c r="F232" s="9"/>
      <c r="G232" s="9"/>
      <c r="H232" s="11"/>
      <c r="I232" s="11"/>
      <c r="J232" s="11"/>
      <c r="K232" s="11"/>
      <c r="L232" s="11"/>
      <c r="M232" s="9"/>
      <c r="N232" s="9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9"/>
      <c r="AK232" s="13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9"/>
      <c r="BH232" s="15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9"/>
      <c r="CF232" s="9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</row>
    <row r="233" ht="15.75" customHeight="1">
      <c r="A233" s="9"/>
      <c r="B233" s="11"/>
      <c r="C233" s="11"/>
      <c r="D233" s="9"/>
      <c r="E233" s="9"/>
      <c r="F233" s="9"/>
      <c r="G233" s="9"/>
      <c r="H233" s="11"/>
      <c r="I233" s="11"/>
      <c r="J233" s="11"/>
      <c r="K233" s="11"/>
      <c r="L233" s="11"/>
      <c r="M233" s="9"/>
      <c r="N233" s="9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9"/>
      <c r="AK233" s="13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9"/>
      <c r="BH233" s="15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9"/>
      <c r="CF233" s="9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</row>
    <row r="234" ht="15.75" customHeight="1">
      <c r="A234" s="9"/>
      <c r="B234" s="11"/>
      <c r="C234" s="11"/>
      <c r="D234" s="9"/>
      <c r="E234" s="9"/>
      <c r="F234" s="9"/>
      <c r="G234" s="9"/>
      <c r="H234" s="11"/>
      <c r="I234" s="11"/>
      <c r="J234" s="11"/>
      <c r="K234" s="11"/>
      <c r="L234" s="11"/>
      <c r="M234" s="9"/>
      <c r="N234" s="9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9"/>
      <c r="AK234" s="13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9"/>
      <c r="BH234" s="15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9"/>
      <c r="CF234" s="9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</row>
    <row r="235" ht="15.75" customHeight="1">
      <c r="A235" s="9"/>
      <c r="B235" s="11"/>
      <c r="C235" s="11"/>
      <c r="D235" s="9"/>
      <c r="E235" s="9"/>
      <c r="F235" s="9"/>
      <c r="G235" s="9"/>
      <c r="H235" s="11"/>
      <c r="I235" s="11"/>
      <c r="J235" s="11"/>
      <c r="K235" s="11"/>
      <c r="L235" s="11"/>
      <c r="M235" s="9"/>
      <c r="N235" s="9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9"/>
      <c r="AK235" s="13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9"/>
      <c r="BH235" s="15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9"/>
      <c r="CF235" s="9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</row>
    <row r="236" ht="15.75" customHeight="1">
      <c r="A236" s="9"/>
      <c r="B236" s="11"/>
      <c r="C236" s="11"/>
      <c r="D236" s="9"/>
      <c r="E236" s="9"/>
      <c r="F236" s="9"/>
      <c r="G236" s="9"/>
      <c r="H236" s="11"/>
      <c r="I236" s="11"/>
      <c r="J236" s="11"/>
      <c r="K236" s="11"/>
      <c r="L236" s="11"/>
      <c r="M236" s="9"/>
      <c r="N236" s="9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9"/>
      <c r="AK236" s="13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9"/>
      <c r="BH236" s="15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9"/>
      <c r="CF236" s="9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</row>
    <row r="237" ht="15.75" customHeight="1">
      <c r="A237" s="9"/>
      <c r="B237" s="11"/>
      <c r="C237" s="11"/>
      <c r="D237" s="9"/>
      <c r="E237" s="9"/>
      <c r="F237" s="9"/>
      <c r="G237" s="9"/>
      <c r="H237" s="11"/>
      <c r="I237" s="11"/>
      <c r="J237" s="11"/>
      <c r="K237" s="11"/>
      <c r="L237" s="11"/>
      <c r="M237" s="9"/>
      <c r="N237" s="9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9"/>
      <c r="AK237" s="13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9"/>
      <c r="BH237" s="15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9"/>
      <c r="CF237" s="9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</row>
    <row r="238" ht="15.75" customHeight="1">
      <c r="A238" s="9"/>
      <c r="B238" s="11"/>
      <c r="C238" s="11"/>
      <c r="D238" s="9"/>
      <c r="E238" s="9"/>
      <c r="F238" s="9"/>
      <c r="G238" s="9"/>
      <c r="H238" s="11"/>
      <c r="I238" s="11"/>
      <c r="J238" s="11"/>
      <c r="K238" s="11"/>
      <c r="L238" s="11"/>
      <c r="M238" s="9"/>
      <c r="N238" s="9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9"/>
      <c r="AK238" s="13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9"/>
      <c r="BH238" s="15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9"/>
      <c r="CF238" s="9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</row>
    <row r="239" ht="15.75" customHeight="1">
      <c r="A239" s="9"/>
      <c r="B239" s="11"/>
      <c r="C239" s="11"/>
      <c r="D239" s="9"/>
      <c r="E239" s="9"/>
      <c r="F239" s="9"/>
      <c r="G239" s="9"/>
      <c r="H239" s="11"/>
      <c r="I239" s="11"/>
      <c r="J239" s="11"/>
      <c r="K239" s="11"/>
      <c r="L239" s="11"/>
      <c r="M239" s="9"/>
      <c r="N239" s="9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9"/>
      <c r="AK239" s="13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9"/>
      <c r="BH239" s="15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9"/>
      <c r="CF239" s="9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</row>
    <row r="240" ht="15.75" customHeight="1">
      <c r="A240" s="9"/>
      <c r="B240" s="11"/>
      <c r="C240" s="11"/>
      <c r="D240" s="9"/>
      <c r="E240" s="9"/>
      <c r="F240" s="9"/>
      <c r="G240" s="9"/>
      <c r="H240" s="11"/>
      <c r="I240" s="11"/>
      <c r="J240" s="11"/>
      <c r="K240" s="11"/>
      <c r="L240" s="11"/>
      <c r="M240" s="9"/>
      <c r="N240" s="9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9"/>
      <c r="AK240" s="13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9"/>
      <c r="BH240" s="15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9"/>
      <c r="CF240" s="9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</row>
    <row r="241" ht="15.75" customHeight="1">
      <c r="A241" s="9"/>
      <c r="B241" s="11"/>
      <c r="C241" s="11"/>
      <c r="D241" s="9"/>
      <c r="E241" s="9"/>
      <c r="F241" s="9"/>
      <c r="G241" s="9"/>
      <c r="H241" s="11"/>
      <c r="I241" s="11"/>
      <c r="J241" s="11"/>
      <c r="K241" s="11"/>
      <c r="L241" s="11"/>
      <c r="M241" s="9"/>
      <c r="N241" s="9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9"/>
      <c r="AK241" s="13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9"/>
      <c r="BH241" s="15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9"/>
      <c r="CF241" s="9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</row>
    <row r="242" ht="15.75" customHeight="1">
      <c r="A242" s="9"/>
      <c r="B242" s="11"/>
      <c r="C242" s="11"/>
      <c r="D242" s="9"/>
      <c r="E242" s="9"/>
      <c r="F242" s="9"/>
      <c r="G242" s="9"/>
      <c r="H242" s="11"/>
      <c r="I242" s="11"/>
      <c r="J242" s="11"/>
      <c r="K242" s="11"/>
      <c r="L242" s="11"/>
      <c r="M242" s="9"/>
      <c r="N242" s="9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9"/>
      <c r="AK242" s="13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9"/>
      <c r="BH242" s="15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9"/>
      <c r="CF242" s="9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</row>
    <row r="243" ht="15.75" customHeight="1">
      <c r="A243" s="9"/>
      <c r="B243" s="11"/>
      <c r="C243" s="11"/>
      <c r="D243" s="9"/>
      <c r="E243" s="9"/>
      <c r="F243" s="9"/>
      <c r="G243" s="9"/>
      <c r="H243" s="11"/>
      <c r="I243" s="11"/>
      <c r="J243" s="11"/>
      <c r="K243" s="11"/>
      <c r="L243" s="11"/>
      <c r="M243" s="9"/>
      <c r="N243" s="9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9"/>
      <c r="AK243" s="13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9"/>
      <c r="BH243" s="15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9"/>
      <c r="CF243" s="9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</row>
    <row r="244" ht="15.75" customHeight="1">
      <c r="A244" s="9"/>
      <c r="B244" s="11"/>
      <c r="C244" s="11"/>
      <c r="D244" s="9"/>
      <c r="E244" s="9"/>
      <c r="F244" s="9"/>
      <c r="G244" s="9"/>
      <c r="H244" s="11"/>
      <c r="I244" s="11"/>
      <c r="J244" s="11"/>
      <c r="K244" s="11"/>
      <c r="L244" s="11"/>
      <c r="M244" s="9"/>
      <c r="N244" s="9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9"/>
      <c r="AK244" s="13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9"/>
      <c r="BH244" s="15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9"/>
      <c r="CF244" s="9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1"/>
    </row>
    <row r="245" ht="15.75" customHeight="1">
      <c r="A245" s="9"/>
      <c r="B245" s="11"/>
      <c r="C245" s="11"/>
      <c r="D245" s="9"/>
      <c r="E245" s="9"/>
      <c r="F245" s="9"/>
      <c r="G245" s="9"/>
      <c r="H245" s="11"/>
      <c r="I245" s="11"/>
      <c r="J245" s="11"/>
      <c r="K245" s="11"/>
      <c r="L245" s="11"/>
      <c r="M245" s="9"/>
      <c r="N245" s="9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9"/>
      <c r="AK245" s="13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9"/>
      <c r="BH245" s="15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9"/>
      <c r="CF245" s="9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</row>
    <row r="246" ht="15.75" customHeight="1">
      <c r="A246" s="9"/>
      <c r="B246" s="11"/>
      <c r="C246" s="11"/>
      <c r="D246" s="9"/>
      <c r="E246" s="9"/>
      <c r="F246" s="9"/>
      <c r="G246" s="9"/>
      <c r="H246" s="11"/>
      <c r="I246" s="11"/>
      <c r="J246" s="11"/>
      <c r="K246" s="11"/>
      <c r="L246" s="11"/>
      <c r="M246" s="9"/>
      <c r="N246" s="9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9"/>
      <c r="AK246" s="13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9"/>
      <c r="BH246" s="15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9"/>
      <c r="CF246" s="9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</row>
    <row r="247" ht="15.75" customHeight="1">
      <c r="A247" s="9"/>
      <c r="B247" s="11"/>
      <c r="C247" s="11"/>
      <c r="D247" s="9"/>
      <c r="E247" s="9"/>
      <c r="F247" s="9"/>
      <c r="G247" s="9"/>
      <c r="H247" s="11"/>
      <c r="I247" s="11"/>
      <c r="J247" s="11"/>
      <c r="K247" s="11"/>
      <c r="L247" s="11"/>
      <c r="M247" s="9"/>
      <c r="N247" s="9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9"/>
      <c r="AK247" s="13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9"/>
      <c r="BH247" s="15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9"/>
      <c r="CF247" s="9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</row>
    <row r="248" ht="15.75" customHeight="1">
      <c r="A248" s="9"/>
      <c r="B248" s="11"/>
      <c r="C248" s="11"/>
      <c r="D248" s="9"/>
      <c r="E248" s="9"/>
      <c r="F248" s="9"/>
      <c r="G248" s="9"/>
      <c r="H248" s="11"/>
      <c r="I248" s="11"/>
      <c r="J248" s="11"/>
      <c r="K248" s="11"/>
      <c r="L248" s="11"/>
      <c r="M248" s="9"/>
      <c r="N248" s="9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9"/>
      <c r="AK248" s="13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9"/>
      <c r="BH248" s="15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9"/>
      <c r="CF248" s="9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</row>
    <row r="249" ht="15.75" customHeight="1">
      <c r="A249" s="9"/>
      <c r="B249" s="11"/>
      <c r="C249" s="11"/>
      <c r="D249" s="9"/>
      <c r="E249" s="9"/>
      <c r="F249" s="9"/>
      <c r="G249" s="9"/>
      <c r="H249" s="11"/>
      <c r="I249" s="11"/>
      <c r="J249" s="11"/>
      <c r="K249" s="11"/>
      <c r="L249" s="11"/>
      <c r="M249" s="9"/>
      <c r="N249" s="9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9"/>
      <c r="AK249" s="13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9"/>
      <c r="BH249" s="15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9"/>
      <c r="CF249" s="9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</row>
    <row r="250" ht="15.75" customHeight="1">
      <c r="A250" s="9"/>
      <c r="B250" s="11"/>
      <c r="C250" s="11"/>
      <c r="D250" s="9"/>
      <c r="E250" s="9"/>
      <c r="F250" s="9"/>
      <c r="G250" s="9"/>
      <c r="H250" s="11"/>
      <c r="I250" s="11"/>
      <c r="J250" s="11"/>
      <c r="K250" s="11"/>
      <c r="L250" s="11"/>
      <c r="M250" s="9"/>
      <c r="N250" s="9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9"/>
      <c r="AK250" s="13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9"/>
      <c r="BH250" s="15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9"/>
      <c r="CF250" s="9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</row>
    <row r="251" ht="15.75" customHeight="1">
      <c r="A251" s="9"/>
      <c r="B251" s="11"/>
      <c r="C251" s="11"/>
      <c r="D251" s="9"/>
      <c r="E251" s="9"/>
      <c r="F251" s="9"/>
      <c r="G251" s="9"/>
      <c r="H251" s="11"/>
      <c r="I251" s="11"/>
      <c r="J251" s="11"/>
      <c r="K251" s="11"/>
      <c r="L251" s="11"/>
      <c r="M251" s="9"/>
      <c r="N251" s="9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9"/>
      <c r="AK251" s="13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9"/>
      <c r="BH251" s="15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9"/>
      <c r="CF251" s="9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</row>
    <row r="252" ht="15.75" customHeight="1">
      <c r="A252" s="9"/>
      <c r="B252" s="11"/>
      <c r="C252" s="11"/>
      <c r="D252" s="9"/>
      <c r="E252" s="9"/>
      <c r="F252" s="9"/>
      <c r="G252" s="9"/>
      <c r="H252" s="11"/>
      <c r="I252" s="11"/>
      <c r="J252" s="11"/>
      <c r="K252" s="11"/>
      <c r="L252" s="11"/>
      <c r="M252" s="9"/>
      <c r="N252" s="9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9"/>
      <c r="AK252" s="13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9"/>
      <c r="BH252" s="15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9"/>
      <c r="CF252" s="9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</row>
    <row r="253" ht="15.75" customHeight="1">
      <c r="A253" s="9"/>
      <c r="B253" s="11"/>
      <c r="C253" s="11"/>
      <c r="D253" s="9"/>
      <c r="E253" s="9"/>
      <c r="F253" s="9"/>
      <c r="G253" s="9"/>
      <c r="H253" s="11"/>
      <c r="I253" s="11"/>
      <c r="J253" s="11"/>
      <c r="K253" s="11"/>
      <c r="L253" s="11"/>
      <c r="M253" s="9"/>
      <c r="N253" s="9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9"/>
      <c r="AK253" s="13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9"/>
      <c r="BH253" s="15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9"/>
      <c r="CF253" s="9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</row>
    <row r="254" ht="15.75" customHeight="1">
      <c r="A254" s="9"/>
      <c r="B254" s="11"/>
      <c r="C254" s="11"/>
      <c r="D254" s="9"/>
      <c r="E254" s="9"/>
      <c r="F254" s="9"/>
      <c r="G254" s="9"/>
      <c r="H254" s="11"/>
      <c r="I254" s="11"/>
      <c r="J254" s="11"/>
      <c r="K254" s="11"/>
      <c r="L254" s="11"/>
      <c r="M254" s="9"/>
      <c r="N254" s="9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9"/>
      <c r="AK254" s="13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9"/>
      <c r="BH254" s="15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9"/>
      <c r="CF254" s="9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</row>
    <row r="255" ht="15.75" customHeight="1">
      <c r="A255" s="9"/>
      <c r="B255" s="11"/>
      <c r="C255" s="11"/>
      <c r="D255" s="9"/>
      <c r="E255" s="9"/>
      <c r="F255" s="9"/>
      <c r="G255" s="9"/>
      <c r="H255" s="11"/>
      <c r="I255" s="11"/>
      <c r="J255" s="11"/>
      <c r="K255" s="11"/>
      <c r="L255" s="11"/>
      <c r="M255" s="9"/>
      <c r="N255" s="9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9"/>
      <c r="AK255" s="13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9"/>
      <c r="BH255" s="15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9"/>
      <c r="CF255" s="9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</row>
    <row r="256" ht="15.75" customHeight="1">
      <c r="A256" s="9"/>
      <c r="B256" s="11"/>
      <c r="C256" s="11"/>
      <c r="D256" s="9"/>
      <c r="E256" s="9"/>
      <c r="F256" s="9"/>
      <c r="G256" s="9"/>
      <c r="H256" s="11"/>
      <c r="I256" s="11"/>
      <c r="J256" s="11"/>
      <c r="K256" s="11"/>
      <c r="L256" s="11"/>
      <c r="M256" s="9"/>
      <c r="N256" s="9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9"/>
      <c r="AK256" s="13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9"/>
      <c r="BH256" s="15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9"/>
      <c r="CF256" s="9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</row>
    <row r="257" ht="15.75" customHeight="1">
      <c r="A257" s="9"/>
      <c r="B257" s="11"/>
      <c r="C257" s="11"/>
      <c r="D257" s="9"/>
      <c r="E257" s="9"/>
      <c r="F257" s="9"/>
      <c r="G257" s="9"/>
      <c r="H257" s="11"/>
      <c r="I257" s="11"/>
      <c r="J257" s="11"/>
      <c r="K257" s="11"/>
      <c r="L257" s="11"/>
      <c r="M257" s="9"/>
      <c r="N257" s="9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9"/>
      <c r="AK257" s="13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9"/>
      <c r="BH257" s="15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9"/>
      <c r="CF257" s="9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</row>
    <row r="258" ht="15.75" customHeight="1">
      <c r="A258" s="9"/>
      <c r="B258" s="11"/>
      <c r="C258" s="11"/>
      <c r="D258" s="9"/>
      <c r="E258" s="9"/>
      <c r="F258" s="9"/>
      <c r="G258" s="9"/>
      <c r="H258" s="11"/>
      <c r="I258" s="11"/>
      <c r="J258" s="11"/>
      <c r="K258" s="11"/>
      <c r="L258" s="11"/>
      <c r="M258" s="9"/>
      <c r="N258" s="9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9"/>
      <c r="AK258" s="13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9"/>
      <c r="BH258" s="15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9"/>
      <c r="CF258" s="9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</row>
    <row r="259" ht="15.75" customHeight="1">
      <c r="A259" s="9"/>
      <c r="B259" s="11"/>
      <c r="C259" s="11"/>
      <c r="D259" s="9"/>
      <c r="E259" s="9"/>
      <c r="F259" s="9"/>
      <c r="G259" s="9"/>
      <c r="H259" s="11"/>
      <c r="I259" s="11"/>
      <c r="J259" s="11"/>
      <c r="K259" s="11"/>
      <c r="L259" s="11"/>
      <c r="M259" s="9"/>
      <c r="N259" s="9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9"/>
      <c r="AK259" s="13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9"/>
      <c r="BH259" s="15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9"/>
      <c r="CF259" s="9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</row>
    <row r="260" ht="15.75" customHeight="1">
      <c r="A260" s="9"/>
      <c r="B260" s="11"/>
      <c r="C260" s="11"/>
      <c r="D260" s="9"/>
      <c r="E260" s="9"/>
      <c r="F260" s="9"/>
      <c r="G260" s="9"/>
      <c r="H260" s="11"/>
      <c r="I260" s="11"/>
      <c r="J260" s="11"/>
      <c r="K260" s="11"/>
      <c r="L260" s="11"/>
      <c r="M260" s="9"/>
      <c r="N260" s="9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9"/>
      <c r="AK260" s="13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9"/>
      <c r="BH260" s="15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9"/>
      <c r="CF260" s="9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</row>
    <row r="261" ht="15.75" customHeight="1">
      <c r="A261" s="9"/>
      <c r="B261" s="11"/>
      <c r="C261" s="11"/>
      <c r="D261" s="9"/>
      <c r="E261" s="9"/>
      <c r="F261" s="9"/>
      <c r="G261" s="9"/>
      <c r="H261" s="11"/>
      <c r="I261" s="11"/>
      <c r="J261" s="11"/>
      <c r="K261" s="11"/>
      <c r="L261" s="11"/>
      <c r="M261" s="9"/>
      <c r="N261" s="9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9"/>
      <c r="AK261" s="13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9"/>
      <c r="BH261" s="15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9"/>
      <c r="CF261" s="9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</row>
    <row r="262" ht="15.75" customHeight="1">
      <c r="A262" s="9"/>
      <c r="B262" s="11"/>
      <c r="C262" s="11"/>
      <c r="D262" s="9"/>
      <c r="E262" s="9"/>
      <c r="F262" s="9"/>
      <c r="G262" s="9"/>
      <c r="H262" s="11"/>
      <c r="I262" s="11"/>
      <c r="J262" s="11"/>
      <c r="K262" s="11"/>
      <c r="L262" s="11"/>
      <c r="M262" s="9"/>
      <c r="N262" s="9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9"/>
      <c r="AK262" s="13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9"/>
      <c r="BH262" s="15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9"/>
      <c r="CF262" s="9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</row>
    <row r="263" ht="15.75" customHeight="1">
      <c r="A263" s="9"/>
      <c r="B263" s="11"/>
      <c r="C263" s="11"/>
      <c r="D263" s="9"/>
      <c r="E263" s="9"/>
      <c r="F263" s="9"/>
      <c r="G263" s="9"/>
      <c r="H263" s="11"/>
      <c r="I263" s="11"/>
      <c r="J263" s="11"/>
      <c r="K263" s="11"/>
      <c r="L263" s="11"/>
      <c r="M263" s="9"/>
      <c r="N263" s="9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9"/>
      <c r="AK263" s="13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9"/>
      <c r="BH263" s="15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9"/>
      <c r="CF263" s="9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</row>
    <row r="264" ht="15.75" customHeight="1">
      <c r="A264" s="9"/>
      <c r="B264" s="11"/>
      <c r="C264" s="11"/>
      <c r="D264" s="9"/>
      <c r="E264" s="9"/>
      <c r="F264" s="9"/>
      <c r="G264" s="9"/>
      <c r="H264" s="11"/>
      <c r="I264" s="11"/>
      <c r="J264" s="11"/>
      <c r="K264" s="11"/>
      <c r="L264" s="11"/>
      <c r="M264" s="9"/>
      <c r="N264" s="9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9"/>
      <c r="AK264" s="13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9"/>
      <c r="BH264" s="15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9"/>
      <c r="CF264" s="9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</row>
    <row r="265" ht="15.75" customHeight="1">
      <c r="A265" s="9"/>
      <c r="B265" s="11"/>
      <c r="C265" s="11"/>
      <c r="D265" s="9"/>
      <c r="E265" s="9"/>
      <c r="F265" s="9"/>
      <c r="G265" s="9"/>
      <c r="H265" s="11"/>
      <c r="I265" s="11"/>
      <c r="J265" s="11"/>
      <c r="K265" s="11"/>
      <c r="L265" s="11"/>
      <c r="M265" s="9"/>
      <c r="N265" s="9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9"/>
      <c r="AK265" s="13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9"/>
      <c r="BH265" s="15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9"/>
      <c r="CF265" s="9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</row>
    <row r="266" ht="15.75" customHeight="1">
      <c r="A266" s="9"/>
      <c r="B266" s="11"/>
      <c r="C266" s="11"/>
      <c r="D266" s="9"/>
      <c r="E266" s="9"/>
      <c r="F266" s="9"/>
      <c r="G266" s="9"/>
      <c r="H266" s="11"/>
      <c r="I266" s="11"/>
      <c r="J266" s="11"/>
      <c r="K266" s="11"/>
      <c r="L266" s="11"/>
      <c r="M266" s="9"/>
      <c r="N266" s="9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9"/>
      <c r="AK266" s="13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9"/>
      <c r="BH266" s="15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9"/>
      <c r="CF266" s="9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</row>
    <row r="267" ht="15.75" customHeight="1">
      <c r="A267" s="9"/>
      <c r="B267" s="11"/>
      <c r="C267" s="11"/>
      <c r="D267" s="9"/>
      <c r="E267" s="9"/>
      <c r="F267" s="9"/>
      <c r="G267" s="9"/>
      <c r="H267" s="11"/>
      <c r="I267" s="11"/>
      <c r="J267" s="11"/>
      <c r="K267" s="11"/>
      <c r="L267" s="11"/>
      <c r="M267" s="9"/>
      <c r="N267" s="9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9"/>
      <c r="AK267" s="13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9"/>
      <c r="BH267" s="15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9"/>
      <c r="CF267" s="9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</row>
    <row r="268" ht="15.75" customHeight="1">
      <c r="A268" s="9"/>
      <c r="B268" s="11"/>
      <c r="C268" s="11"/>
      <c r="D268" s="9"/>
      <c r="E268" s="9"/>
      <c r="F268" s="9"/>
      <c r="G268" s="9"/>
      <c r="H268" s="11"/>
      <c r="I268" s="11"/>
      <c r="J268" s="11"/>
      <c r="K268" s="11"/>
      <c r="L268" s="11"/>
      <c r="M268" s="9"/>
      <c r="N268" s="9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9"/>
      <c r="AK268" s="13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9"/>
      <c r="BH268" s="15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9"/>
      <c r="CF268" s="9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</row>
    <row r="269" ht="15.75" customHeight="1">
      <c r="A269" s="9"/>
      <c r="B269" s="11"/>
      <c r="C269" s="11"/>
      <c r="D269" s="9"/>
      <c r="E269" s="9"/>
      <c r="F269" s="9"/>
      <c r="G269" s="9"/>
      <c r="H269" s="11"/>
      <c r="I269" s="11"/>
      <c r="J269" s="11"/>
      <c r="K269" s="11"/>
      <c r="L269" s="11"/>
      <c r="M269" s="9"/>
      <c r="N269" s="9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9"/>
      <c r="AK269" s="13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9"/>
      <c r="BH269" s="15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9"/>
      <c r="CF269" s="9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</row>
    <row r="270" ht="15.75" customHeight="1">
      <c r="A270" s="9"/>
      <c r="B270" s="11"/>
      <c r="C270" s="11"/>
      <c r="D270" s="9"/>
      <c r="E270" s="9"/>
      <c r="F270" s="9"/>
      <c r="G270" s="9"/>
      <c r="H270" s="11"/>
      <c r="I270" s="11"/>
      <c r="J270" s="11"/>
      <c r="K270" s="11"/>
      <c r="L270" s="11"/>
      <c r="M270" s="9"/>
      <c r="N270" s="9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9"/>
      <c r="AK270" s="13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9"/>
      <c r="BH270" s="15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9"/>
      <c r="CF270" s="9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</row>
    <row r="271" ht="15.75" customHeight="1">
      <c r="A271" s="9"/>
      <c r="B271" s="11"/>
      <c r="C271" s="11"/>
      <c r="D271" s="9"/>
      <c r="E271" s="9"/>
      <c r="F271" s="9"/>
      <c r="G271" s="9"/>
      <c r="H271" s="11"/>
      <c r="I271" s="11"/>
      <c r="J271" s="11"/>
      <c r="K271" s="11"/>
      <c r="L271" s="11"/>
      <c r="M271" s="9"/>
      <c r="N271" s="9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9"/>
      <c r="AK271" s="13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9"/>
      <c r="BH271" s="15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9"/>
      <c r="CF271" s="9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</row>
    <row r="272" ht="15.75" customHeight="1">
      <c r="A272" s="9"/>
      <c r="B272" s="11"/>
      <c r="C272" s="11"/>
      <c r="D272" s="9"/>
      <c r="E272" s="9"/>
      <c r="F272" s="9"/>
      <c r="G272" s="9"/>
      <c r="H272" s="11"/>
      <c r="I272" s="11"/>
      <c r="J272" s="11"/>
      <c r="K272" s="11"/>
      <c r="L272" s="11"/>
      <c r="M272" s="9"/>
      <c r="N272" s="9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9"/>
      <c r="AK272" s="13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9"/>
      <c r="BH272" s="15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9"/>
      <c r="CF272" s="9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</row>
    <row r="273" ht="15.75" customHeight="1">
      <c r="A273" s="9"/>
      <c r="B273" s="11"/>
      <c r="C273" s="11"/>
      <c r="D273" s="9"/>
      <c r="E273" s="9"/>
      <c r="F273" s="9"/>
      <c r="G273" s="9"/>
      <c r="H273" s="11"/>
      <c r="I273" s="11"/>
      <c r="J273" s="11"/>
      <c r="K273" s="11"/>
      <c r="L273" s="11"/>
      <c r="M273" s="9"/>
      <c r="N273" s="9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9"/>
      <c r="AK273" s="13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9"/>
      <c r="BH273" s="15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9"/>
      <c r="CF273" s="9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</row>
    <row r="274" ht="15.75" customHeight="1">
      <c r="A274" s="9"/>
      <c r="B274" s="11"/>
      <c r="C274" s="11"/>
      <c r="D274" s="9"/>
      <c r="E274" s="9"/>
      <c r="F274" s="9"/>
      <c r="G274" s="9"/>
      <c r="H274" s="11"/>
      <c r="I274" s="11"/>
      <c r="J274" s="11"/>
      <c r="K274" s="11"/>
      <c r="L274" s="11"/>
      <c r="M274" s="9"/>
      <c r="N274" s="9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9"/>
      <c r="AK274" s="13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9"/>
      <c r="BH274" s="15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9"/>
      <c r="CF274" s="9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</row>
  </sheetData>
  <mergeCells count="13">
    <mergeCell ref="A4:B4"/>
    <mergeCell ref="A5:B5"/>
    <mergeCell ref="A6:B6"/>
    <mergeCell ref="A52:B52"/>
    <mergeCell ref="C5:F5"/>
    <mergeCell ref="C6:F6"/>
    <mergeCell ref="A1:B1"/>
    <mergeCell ref="C1:F1"/>
    <mergeCell ref="A2:B2"/>
    <mergeCell ref="C2:F2"/>
    <mergeCell ref="A3:B3"/>
    <mergeCell ref="C3:F3"/>
    <mergeCell ref="C4:F4"/>
  </mergeCells>
  <conditionalFormatting sqref="H9:CR9 H52:N52 AJ52:BD52 BF52:CR52">
    <cfRule type="cellIs" dxfId="0" priority="1" operator="lessThan">
      <formula>1</formula>
    </cfRule>
  </conditionalFormatting>
  <conditionalFormatting sqref="H9:CR9 H52:N52 AJ52:BD52 BF52:CR52">
    <cfRule type="cellIs" dxfId="0" priority="2" operator="lessThan">
      <formula>1</formula>
    </cfRule>
  </conditionalFormatting>
  <hyperlinks>
    <hyperlink r:id="rId1" ref="A9"/>
  </hyperlinks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4.29"/>
    <col customWidth="1" min="2" max="2" width="17.57"/>
    <col customWidth="1" min="3" max="3" width="27.86"/>
    <col customWidth="1" min="4" max="4" width="8.14"/>
    <col customWidth="1" min="5" max="5" width="8.0"/>
    <col customWidth="1" min="6" max="6" width="6.71"/>
    <col customWidth="1" min="7" max="7" width="6.57"/>
    <col customWidth="1" min="8" max="8" width="1.43"/>
    <col customWidth="1" min="9" max="9" width="2.14"/>
    <col customWidth="1" min="10" max="10" width="1.57"/>
    <col customWidth="1" min="11" max="11" width="1.71"/>
    <col customWidth="1" min="12" max="12" width="1.29"/>
    <col customWidth="1" min="13" max="13" width="4.71"/>
    <col customWidth="1" min="14" max="14" width="6.57"/>
    <col customWidth="1" min="15" max="36" width="3.71"/>
    <col customWidth="1" min="37" max="37" width="5.86"/>
    <col customWidth="1" min="38" max="58" width="3.71"/>
    <col customWidth="1" min="59" max="59" width="4.0"/>
    <col customWidth="1" min="60" max="60" width="5.71"/>
    <col customWidth="1" min="61" max="82" width="3.71"/>
    <col customWidth="1" min="83" max="83" width="4.0"/>
    <col customWidth="1" min="84" max="84" width="5.57"/>
    <col customWidth="1" min="85" max="88" width="3.71"/>
    <col customWidth="1" min="89" max="89" width="3.43"/>
    <col customWidth="1" min="90" max="100" width="3.71"/>
    <col customWidth="1" min="101" max="101" width="5.29"/>
    <col customWidth="1" min="102" max="102" width="6.29"/>
    <col customWidth="1" min="103" max="103" width="4.71"/>
    <col customWidth="1" min="104" max="104" width="4.57"/>
    <col customWidth="1" min="105" max="105" width="5.14"/>
    <col customWidth="1" min="106" max="106" width="4.43"/>
    <col customWidth="1" min="107" max="107" width="4.29"/>
    <col customWidth="1" min="108" max="109" width="4.14"/>
    <col customWidth="1" min="110" max="110" width="3.43"/>
    <col customWidth="1" min="111" max="111" width="3.86"/>
    <col customWidth="1" min="112" max="112" width="4.43"/>
    <col customWidth="1" min="113" max="113" width="3.57"/>
    <col customWidth="1" min="114" max="114" width="4.0"/>
    <col customWidth="1" min="115" max="116" width="5.86"/>
  </cols>
  <sheetData>
    <row r="1">
      <c r="A1" s="1" t="s">
        <v>221</v>
      </c>
      <c r="B1" s="2"/>
      <c r="C1" s="4"/>
      <c r="D1" s="6"/>
      <c r="E1" s="6"/>
      <c r="F1" s="8"/>
      <c r="G1" s="9"/>
      <c r="H1" s="9"/>
      <c r="I1" s="9"/>
      <c r="J1" s="9"/>
      <c r="K1" s="9"/>
      <c r="L1" s="9"/>
      <c r="M1" s="9"/>
      <c r="N1" s="9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9"/>
      <c r="AK1" s="12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9"/>
      <c r="BH1" s="14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9"/>
      <c r="CF1" s="9"/>
      <c r="CG1" s="11"/>
      <c r="CH1" s="11"/>
      <c r="CI1" s="11"/>
      <c r="CJ1" s="11"/>
      <c r="CK1" s="11"/>
      <c r="CL1" s="11"/>
      <c r="CM1" s="11"/>
      <c r="CN1" s="11" t="s">
        <v>4</v>
      </c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</row>
    <row r="2">
      <c r="A2" s="17" t="s">
        <v>5</v>
      </c>
      <c r="B2" s="18"/>
      <c r="C2" s="19" t="s">
        <v>222</v>
      </c>
      <c r="D2" s="22"/>
      <c r="E2" s="22"/>
      <c r="F2" s="5"/>
      <c r="G2" s="9"/>
      <c r="H2" s="23"/>
      <c r="I2" s="23"/>
      <c r="J2" s="23"/>
      <c r="K2" s="23"/>
      <c r="L2" s="23"/>
      <c r="M2" s="23"/>
      <c r="N2" s="23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9"/>
      <c r="AK2" s="12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9"/>
      <c r="BH2" s="14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9"/>
      <c r="CF2" s="9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</row>
    <row r="3">
      <c r="A3" s="17" t="s">
        <v>9</v>
      </c>
      <c r="B3" s="18"/>
      <c r="C3" s="19" t="s">
        <v>223</v>
      </c>
      <c r="D3" s="22"/>
      <c r="E3" s="22"/>
      <c r="F3" s="5"/>
      <c r="G3" s="9"/>
      <c r="H3" s="23"/>
      <c r="I3" s="23"/>
      <c r="J3" s="23"/>
      <c r="K3" s="23"/>
      <c r="L3" s="23"/>
      <c r="M3" s="23"/>
      <c r="N3" s="23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9"/>
      <c r="AK3" s="12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9"/>
      <c r="BH3" s="14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9"/>
      <c r="CF3" s="9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</row>
    <row r="4">
      <c r="A4" s="17" t="s">
        <v>12</v>
      </c>
      <c r="B4" s="18"/>
      <c r="C4" s="27" t="s">
        <v>221</v>
      </c>
      <c r="D4" s="6"/>
      <c r="E4" s="6"/>
      <c r="F4" s="2"/>
      <c r="G4" s="9"/>
      <c r="H4" s="9"/>
      <c r="I4" s="9"/>
      <c r="J4" s="9"/>
      <c r="K4" s="9"/>
      <c r="L4" s="9"/>
      <c r="M4" s="9"/>
      <c r="N4" s="9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9"/>
      <c r="AK4" s="12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9"/>
      <c r="BH4" s="14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9"/>
      <c r="CF4" s="9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</row>
    <row r="5">
      <c r="A5" s="17" t="s">
        <v>14</v>
      </c>
      <c r="B5" s="18"/>
      <c r="C5" s="28">
        <v>46104.0</v>
      </c>
      <c r="D5" s="22"/>
      <c r="E5" s="22"/>
      <c r="F5" s="5"/>
      <c r="G5" s="31"/>
      <c r="H5" s="9"/>
      <c r="I5" s="9"/>
      <c r="J5" s="9"/>
      <c r="K5" s="9"/>
      <c r="L5" s="9"/>
      <c r="M5" s="9"/>
      <c r="N5" s="9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9"/>
      <c r="AK5" s="12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9"/>
      <c r="BH5" s="14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9"/>
      <c r="CF5" s="9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</row>
    <row r="6">
      <c r="A6" s="32" t="s">
        <v>15</v>
      </c>
      <c r="B6" s="33"/>
      <c r="C6" s="34"/>
      <c r="D6" s="38"/>
      <c r="E6" s="38"/>
      <c r="F6" s="39"/>
      <c r="G6" s="37"/>
      <c r="H6" s="9"/>
      <c r="I6" s="9"/>
      <c r="J6" s="9"/>
      <c r="K6" s="9"/>
      <c r="L6" s="9"/>
      <c r="M6" s="9"/>
      <c r="N6" s="9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9"/>
      <c r="AK6" s="12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9"/>
      <c r="BH6" s="14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9"/>
      <c r="CF6" s="9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</row>
    <row r="7">
      <c r="A7" s="31"/>
      <c r="B7" s="40"/>
      <c r="C7" s="41"/>
      <c r="D7" s="31"/>
      <c r="E7" s="31"/>
      <c r="F7" s="42"/>
      <c r="G7" s="37"/>
      <c r="H7" s="50">
        <v>1.0</v>
      </c>
      <c r="I7" s="51">
        <v>2.0</v>
      </c>
      <c r="J7" s="51">
        <v>3.0</v>
      </c>
      <c r="K7" s="51">
        <v>4.0</v>
      </c>
      <c r="L7" s="53">
        <v>5.0</v>
      </c>
      <c r="M7" s="54"/>
      <c r="N7" s="54"/>
      <c r="O7" s="45">
        <v>1.0</v>
      </c>
      <c r="P7" s="45">
        <v>2.0</v>
      </c>
      <c r="Q7" s="45">
        <v>3.0</v>
      </c>
      <c r="R7" s="45">
        <v>4.0</v>
      </c>
      <c r="S7" s="45">
        <v>5.0</v>
      </c>
      <c r="T7" s="45">
        <v>6.0</v>
      </c>
      <c r="U7" s="45">
        <v>7.0</v>
      </c>
      <c r="V7" s="45">
        <v>8.0</v>
      </c>
      <c r="W7" s="45">
        <v>9.0</v>
      </c>
      <c r="X7" s="45">
        <v>10.0</v>
      </c>
      <c r="Y7" s="45">
        <v>11.0</v>
      </c>
      <c r="Z7" s="45">
        <v>12.0</v>
      </c>
      <c r="AA7" s="45">
        <v>13.0</v>
      </c>
      <c r="AB7" s="45">
        <v>14.0</v>
      </c>
      <c r="AC7" s="45">
        <v>15.0</v>
      </c>
      <c r="AD7" s="45">
        <v>16.0</v>
      </c>
      <c r="AE7" s="45">
        <v>17.0</v>
      </c>
      <c r="AF7" s="45">
        <v>18.0</v>
      </c>
      <c r="AG7" s="45">
        <v>19.0</v>
      </c>
      <c r="AH7" s="45">
        <v>20.0</v>
      </c>
      <c r="AI7" s="45">
        <v>21.0</v>
      </c>
      <c r="AJ7" s="54"/>
      <c r="AK7" s="57"/>
      <c r="AL7" s="45">
        <v>1.0</v>
      </c>
      <c r="AM7" s="45">
        <v>2.0</v>
      </c>
      <c r="AN7" s="45">
        <v>3.0</v>
      </c>
      <c r="AO7" s="45">
        <v>4.0</v>
      </c>
      <c r="AP7" s="45">
        <v>5.0</v>
      </c>
      <c r="AQ7" s="45">
        <v>6.0</v>
      </c>
      <c r="AR7" s="45">
        <v>7.0</v>
      </c>
      <c r="AS7" s="45">
        <v>8.0</v>
      </c>
      <c r="AT7" s="45">
        <v>9.0</v>
      </c>
      <c r="AU7" s="45">
        <v>10.0</v>
      </c>
      <c r="AV7" s="45">
        <v>11.0</v>
      </c>
      <c r="AW7" s="45">
        <v>12.0</v>
      </c>
      <c r="AX7" s="45">
        <v>13.0</v>
      </c>
      <c r="AY7" s="45">
        <v>14.0</v>
      </c>
      <c r="AZ7" s="45">
        <v>15.0</v>
      </c>
      <c r="BA7" s="45">
        <v>16.0</v>
      </c>
      <c r="BB7" s="45">
        <v>17.0</v>
      </c>
      <c r="BC7" s="45">
        <v>18.0</v>
      </c>
      <c r="BD7" s="45">
        <v>19.0</v>
      </c>
      <c r="BE7" s="45">
        <v>20.0</v>
      </c>
      <c r="BF7" s="45">
        <v>21.0</v>
      </c>
      <c r="BG7" s="47"/>
      <c r="BH7" s="63"/>
      <c r="BI7" s="49">
        <v>1.0</v>
      </c>
      <c r="BJ7" s="49">
        <v>2.0</v>
      </c>
      <c r="BK7" s="49">
        <v>3.0</v>
      </c>
      <c r="BL7" s="49">
        <v>4.0</v>
      </c>
      <c r="BM7" s="49">
        <v>5.0</v>
      </c>
      <c r="BN7" s="49">
        <v>6.0</v>
      </c>
      <c r="BO7" s="49">
        <v>7.0</v>
      </c>
      <c r="BP7" s="49">
        <v>8.0</v>
      </c>
      <c r="BQ7" s="49">
        <v>9.0</v>
      </c>
      <c r="BR7" s="49">
        <v>10.0</v>
      </c>
      <c r="BS7" s="49">
        <v>11.0</v>
      </c>
      <c r="BT7" s="49">
        <v>12.0</v>
      </c>
      <c r="BU7" s="49">
        <v>13.0</v>
      </c>
      <c r="BV7" s="49">
        <v>14.0</v>
      </c>
      <c r="BW7" s="49">
        <v>15.0</v>
      </c>
      <c r="BX7" s="49">
        <v>16.0</v>
      </c>
      <c r="BY7" s="49">
        <v>17.0</v>
      </c>
      <c r="BZ7" s="49">
        <v>18.0</v>
      </c>
      <c r="CA7" s="49">
        <v>19.0</v>
      </c>
      <c r="CB7" s="49">
        <v>20.0</v>
      </c>
      <c r="CC7" s="49">
        <v>21.0</v>
      </c>
      <c r="CD7" s="49">
        <v>22.0</v>
      </c>
      <c r="CE7" s="47"/>
      <c r="CF7" s="47"/>
      <c r="CG7" s="49">
        <v>1.0</v>
      </c>
      <c r="CH7" s="49">
        <v>2.0</v>
      </c>
      <c r="CI7" s="49">
        <v>3.0</v>
      </c>
      <c r="CJ7" s="49">
        <v>4.0</v>
      </c>
      <c r="CK7" s="49">
        <v>5.0</v>
      </c>
      <c r="CL7" s="49">
        <v>6.0</v>
      </c>
      <c r="CM7" s="49">
        <v>7.0</v>
      </c>
      <c r="CN7" s="49">
        <v>8.0</v>
      </c>
      <c r="CO7" s="49">
        <v>9.0</v>
      </c>
      <c r="CP7" s="49">
        <v>10.0</v>
      </c>
      <c r="CQ7" s="49">
        <v>11.0</v>
      </c>
      <c r="CR7" s="49">
        <v>12.0</v>
      </c>
      <c r="CS7" s="49">
        <v>13.0</v>
      </c>
      <c r="CT7" s="49">
        <v>14.0</v>
      </c>
      <c r="CU7" s="49">
        <v>15.0</v>
      </c>
      <c r="CV7" s="49">
        <v>16.0</v>
      </c>
      <c r="CW7" s="55"/>
      <c r="CX7" s="55"/>
      <c r="CY7" s="69"/>
      <c r="CZ7" s="69"/>
      <c r="DA7" s="69"/>
      <c r="DB7" s="69"/>
      <c r="DC7" s="69"/>
      <c r="DD7" s="69"/>
      <c r="DE7" s="69"/>
      <c r="DF7" s="69"/>
      <c r="DG7" s="69"/>
      <c r="DH7" s="69"/>
      <c r="DI7" s="69"/>
      <c r="DJ7" s="69"/>
      <c r="DK7" s="55"/>
      <c r="DL7" s="55"/>
    </row>
    <row r="8" ht="78.75" customHeight="1">
      <c r="A8" s="56"/>
      <c r="B8" s="49"/>
      <c r="C8" s="49"/>
      <c r="D8" s="72" t="s">
        <v>17</v>
      </c>
      <c r="E8" s="73" t="s">
        <v>18</v>
      </c>
      <c r="F8" s="61" t="s">
        <v>19</v>
      </c>
      <c r="G8" s="61" t="s">
        <v>20</v>
      </c>
      <c r="H8" s="62">
        <v>46104.0</v>
      </c>
      <c r="I8" s="62">
        <v>46105.0</v>
      </c>
      <c r="J8" s="62">
        <v>46106.0</v>
      </c>
      <c r="K8" s="62">
        <v>46107.0</v>
      </c>
      <c r="L8" s="64">
        <v>46111.0</v>
      </c>
      <c r="M8" s="76" t="s">
        <v>29</v>
      </c>
      <c r="N8" s="78" t="s">
        <v>30</v>
      </c>
      <c r="O8" s="62">
        <v>46113.0</v>
      </c>
      <c r="P8" s="62">
        <v>46114.0</v>
      </c>
      <c r="Q8" s="62">
        <v>46115.0</v>
      </c>
      <c r="R8" s="62">
        <v>46118.0</v>
      </c>
      <c r="S8" s="62">
        <v>46119.0</v>
      </c>
      <c r="T8" s="62">
        <v>46120.0</v>
      </c>
      <c r="U8" s="62">
        <v>46121.0</v>
      </c>
      <c r="V8" s="62">
        <v>46122.0</v>
      </c>
      <c r="W8" s="62">
        <v>46125.0</v>
      </c>
      <c r="X8" s="62">
        <v>46127.0</v>
      </c>
      <c r="Y8" s="62">
        <v>46128.0</v>
      </c>
      <c r="Z8" s="62">
        <v>46129.0</v>
      </c>
      <c r="AA8" s="62">
        <v>46132.0</v>
      </c>
      <c r="AB8" s="62">
        <v>46133.0</v>
      </c>
      <c r="AC8" s="62">
        <v>46134.0</v>
      </c>
      <c r="AD8" s="62">
        <v>46135.0</v>
      </c>
      <c r="AE8" s="62">
        <v>46136.0</v>
      </c>
      <c r="AF8" s="62">
        <v>46139.0</v>
      </c>
      <c r="AG8" s="62">
        <v>46140.0</v>
      </c>
      <c r="AH8" s="62">
        <v>46141.0</v>
      </c>
      <c r="AI8" s="62">
        <v>46142.0</v>
      </c>
      <c r="AJ8" s="76" t="s">
        <v>34</v>
      </c>
      <c r="AK8" s="78" t="s">
        <v>35</v>
      </c>
      <c r="AL8" s="62">
        <v>46143.0</v>
      </c>
      <c r="AM8" s="62">
        <v>46146.0</v>
      </c>
      <c r="AN8" s="62">
        <v>46147.0</v>
      </c>
      <c r="AO8" s="62">
        <v>46148.0</v>
      </c>
      <c r="AP8" s="62">
        <v>46149.0</v>
      </c>
      <c r="AQ8" s="62">
        <v>46150.0</v>
      </c>
      <c r="AR8" s="62">
        <v>46153.0</v>
      </c>
      <c r="AS8" s="62">
        <v>46154.0</v>
      </c>
      <c r="AT8" s="62">
        <v>46155.0</v>
      </c>
      <c r="AU8" s="62">
        <v>46156.0</v>
      </c>
      <c r="AV8" s="62">
        <v>46157.0</v>
      </c>
      <c r="AW8" s="62">
        <v>46160.0</v>
      </c>
      <c r="AX8" s="62">
        <v>46161.0</v>
      </c>
      <c r="AY8" s="62">
        <v>46162.0</v>
      </c>
      <c r="AZ8" s="62">
        <v>46163.0</v>
      </c>
      <c r="BA8" s="62">
        <v>46164.0</v>
      </c>
      <c r="BB8" s="62">
        <v>46167.0</v>
      </c>
      <c r="BC8" s="62">
        <v>46168.0</v>
      </c>
      <c r="BD8" s="62">
        <v>46169.0</v>
      </c>
      <c r="BE8" s="62">
        <v>46170.0</v>
      </c>
      <c r="BF8" s="62">
        <v>46171.0</v>
      </c>
      <c r="BG8" s="70" t="s">
        <v>36</v>
      </c>
      <c r="BH8" s="82" t="s">
        <v>37</v>
      </c>
      <c r="BI8" s="62">
        <v>46174.0</v>
      </c>
      <c r="BJ8" s="62">
        <v>46175.0</v>
      </c>
      <c r="BK8" s="62">
        <v>46176.0</v>
      </c>
      <c r="BL8" s="62">
        <v>46177.0</v>
      </c>
      <c r="BM8" s="62">
        <v>46178.0</v>
      </c>
      <c r="BN8" s="62">
        <v>46181.0</v>
      </c>
      <c r="BO8" s="62">
        <v>46182.0</v>
      </c>
      <c r="BP8" s="62">
        <v>46183.0</v>
      </c>
      <c r="BQ8" s="62">
        <v>46184.0</v>
      </c>
      <c r="BR8" s="62">
        <v>46185.0</v>
      </c>
      <c r="BS8" s="64">
        <v>46188.0</v>
      </c>
      <c r="BT8" s="64">
        <v>46189.0</v>
      </c>
      <c r="BU8" s="64">
        <v>46190.0</v>
      </c>
      <c r="BV8" s="64">
        <v>46191.0</v>
      </c>
      <c r="BW8" s="64">
        <v>46192.0</v>
      </c>
      <c r="BX8" s="64">
        <v>46195.0</v>
      </c>
      <c r="BY8" s="64">
        <v>46196.0</v>
      </c>
      <c r="BZ8" s="64">
        <v>46197.0</v>
      </c>
      <c r="CA8" s="64">
        <v>46198.0</v>
      </c>
      <c r="CB8" s="64">
        <v>46199.0</v>
      </c>
      <c r="CC8" s="64">
        <v>46202.0</v>
      </c>
      <c r="CD8" s="64">
        <v>46203.0</v>
      </c>
      <c r="CE8" s="70" t="s">
        <v>39</v>
      </c>
      <c r="CF8" s="86" t="s">
        <v>41</v>
      </c>
      <c r="CG8" s="64">
        <v>46204.0</v>
      </c>
      <c r="CH8" s="87">
        <v>46206.0</v>
      </c>
      <c r="CI8" s="79"/>
      <c r="CJ8" s="79"/>
      <c r="CK8" s="79"/>
      <c r="CL8" s="79"/>
      <c r="CM8" s="79"/>
      <c r="CN8" s="79"/>
      <c r="CO8" s="88"/>
      <c r="CP8" s="88"/>
      <c r="CQ8" s="88"/>
      <c r="CR8" s="88"/>
      <c r="CS8" s="88"/>
      <c r="CT8" s="89"/>
      <c r="CU8" s="88"/>
      <c r="CV8" s="88"/>
      <c r="CW8" s="70" t="s">
        <v>43</v>
      </c>
      <c r="CX8" s="86" t="s">
        <v>44</v>
      </c>
      <c r="CY8" s="90"/>
      <c r="CZ8" s="90"/>
      <c r="DA8" s="90"/>
      <c r="DB8" s="90"/>
      <c r="DC8" s="90"/>
      <c r="DD8" s="90"/>
      <c r="DE8" s="90"/>
      <c r="DF8" s="90"/>
      <c r="DG8" s="90"/>
      <c r="DH8" s="90"/>
      <c r="DI8" s="90"/>
      <c r="DJ8" s="90"/>
      <c r="DK8" s="70" t="s">
        <v>45</v>
      </c>
      <c r="DL8" s="86" t="s">
        <v>46</v>
      </c>
    </row>
    <row r="9">
      <c r="A9" s="84" t="s">
        <v>225</v>
      </c>
      <c r="B9" s="95" t="s">
        <v>48</v>
      </c>
      <c r="C9" s="97" t="s">
        <v>42</v>
      </c>
      <c r="D9" s="98">
        <f t="shared" ref="D9:D92" si="8">SUM(M9+AJ9+BG9+CE9+CW9+DK9)</f>
        <v>35</v>
      </c>
      <c r="E9" s="99"/>
      <c r="F9" s="100"/>
      <c r="G9" s="100"/>
      <c r="H9" s="101">
        <f t="shared" ref="H9:L9" si="1">SUM(H11:H92)</f>
        <v>0</v>
      </c>
      <c r="I9" s="101">
        <f t="shared" si="1"/>
        <v>0</v>
      </c>
      <c r="J9" s="101">
        <f t="shared" si="1"/>
        <v>0</v>
      </c>
      <c r="K9" s="101">
        <f t="shared" si="1"/>
        <v>0</v>
      </c>
      <c r="L9" s="101">
        <f t="shared" si="1"/>
        <v>0</v>
      </c>
      <c r="M9" s="104">
        <f>COUNTIF(H9:L9,"&gt;0")</f>
        <v>0</v>
      </c>
      <c r="N9" s="104">
        <f>COUNTIF(H9:K9,"&gt;0")</f>
        <v>0</v>
      </c>
      <c r="O9" s="105">
        <f t="shared" ref="O9:AI9" si="2">SUM(O11:O92)</f>
        <v>0</v>
      </c>
      <c r="P9" s="105">
        <f t="shared" si="2"/>
        <v>0</v>
      </c>
      <c r="Q9" s="105">
        <f t="shared" si="2"/>
        <v>0</v>
      </c>
      <c r="R9" s="105">
        <f t="shared" si="2"/>
        <v>0</v>
      </c>
      <c r="S9" s="105">
        <f t="shared" si="2"/>
        <v>0</v>
      </c>
      <c r="T9" s="105">
        <f t="shared" si="2"/>
        <v>0</v>
      </c>
      <c r="U9" s="105">
        <f t="shared" si="2"/>
        <v>0</v>
      </c>
      <c r="V9" s="105">
        <f t="shared" si="2"/>
        <v>0</v>
      </c>
      <c r="W9" s="105">
        <f t="shared" si="2"/>
        <v>18</v>
      </c>
      <c r="X9" s="105">
        <f t="shared" si="2"/>
        <v>44</v>
      </c>
      <c r="Y9" s="105">
        <f t="shared" si="2"/>
        <v>0</v>
      </c>
      <c r="Z9" s="105">
        <f t="shared" si="2"/>
        <v>40</v>
      </c>
      <c r="AA9" s="105">
        <f t="shared" si="2"/>
        <v>43</v>
      </c>
      <c r="AB9" s="105">
        <f t="shared" si="2"/>
        <v>45</v>
      </c>
      <c r="AC9" s="105">
        <f t="shared" si="2"/>
        <v>39</v>
      </c>
      <c r="AD9" s="105">
        <f t="shared" si="2"/>
        <v>40</v>
      </c>
      <c r="AE9" s="105">
        <f t="shared" si="2"/>
        <v>14</v>
      </c>
      <c r="AF9" s="105">
        <f t="shared" si="2"/>
        <v>35</v>
      </c>
      <c r="AG9" s="105">
        <f t="shared" si="2"/>
        <v>40</v>
      </c>
      <c r="AH9" s="105">
        <f t="shared" si="2"/>
        <v>0</v>
      </c>
      <c r="AI9" s="105">
        <f t="shared" si="2"/>
        <v>0</v>
      </c>
      <c r="AJ9" s="104">
        <f>COUNTIF(O9:AI9,"&gt;0")</f>
        <v>10</v>
      </c>
      <c r="AK9" s="108">
        <f>SUM(M9+AJ9)</f>
        <v>10</v>
      </c>
      <c r="AL9" s="105">
        <f t="shared" ref="AL9:BF9" si="3">SUM(AL11:AL92)</f>
        <v>5</v>
      </c>
      <c r="AM9" s="105">
        <f t="shared" si="3"/>
        <v>42</v>
      </c>
      <c r="AN9" s="105">
        <f t="shared" si="3"/>
        <v>31</v>
      </c>
      <c r="AO9" s="105">
        <f t="shared" si="3"/>
        <v>48</v>
      </c>
      <c r="AP9" s="105">
        <f t="shared" si="3"/>
        <v>0</v>
      </c>
      <c r="AQ9" s="105">
        <f t="shared" si="3"/>
        <v>7</v>
      </c>
      <c r="AR9" s="105">
        <f t="shared" si="3"/>
        <v>41</v>
      </c>
      <c r="AS9" s="105">
        <f t="shared" si="3"/>
        <v>35</v>
      </c>
      <c r="AT9" s="105">
        <f t="shared" si="3"/>
        <v>0</v>
      </c>
      <c r="AU9" s="105">
        <f t="shared" si="3"/>
        <v>46</v>
      </c>
      <c r="AV9" s="105">
        <f t="shared" si="3"/>
        <v>23</v>
      </c>
      <c r="AW9" s="105">
        <f t="shared" si="3"/>
        <v>32</v>
      </c>
      <c r="AX9" s="105">
        <f t="shared" si="3"/>
        <v>0</v>
      </c>
      <c r="AY9" s="105">
        <f t="shared" si="3"/>
        <v>0</v>
      </c>
      <c r="AZ9" s="105">
        <f t="shared" si="3"/>
        <v>0</v>
      </c>
      <c r="BA9" s="105">
        <f t="shared" si="3"/>
        <v>64</v>
      </c>
      <c r="BB9" s="105">
        <f t="shared" si="3"/>
        <v>16</v>
      </c>
      <c r="BC9" s="105">
        <f t="shared" si="3"/>
        <v>0</v>
      </c>
      <c r="BD9" s="105">
        <f t="shared" si="3"/>
        <v>0</v>
      </c>
      <c r="BE9" s="105">
        <f t="shared" si="3"/>
        <v>15</v>
      </c>
      <c r="BF9" s="105">
        <f t="shared" si="3"/>
        <v>0</v>
      </c>
      <c r="BG9" s="47">
        <f>COUNTIF(AM9:BF9,"&gt;0")</f>
        <v>12</v>
      </c>
      <c r="BH9" s="63">
        <f>SUM(AK9+BG9)</f>
        <v>22</v>
      </c>
      <c r="BI9" s="107">
        <f t="shared" ref="BI9:CD9" si="4">SUM(BI11:BI92)</f>
        <v>0</v>
      </c>
      <c r="BJ9" s="107">
        <f t="shared" si="4"/>
        <v>0</v>
      </c>
      <c r="BK9" s="107">
        <f t="shared" si="4"/>
        <v>0</v>
      </c>
      <c r="BL9" s="107">
        <f t="shared" si="4"/>
        <v>48</v>
      </c>
      <c r="BM9" s="107">
        <f t="shared" si="4"/>
        <v>0</v>
      </c>
      <c r="BN9" s="107">
        <f t="shared" si="4"/>
        <v>0</v>
      </c>
      <c r="BO9" s="107">
        <f t="shared" si="4"/>
        <v>39</v>
      </c>
      <c r="BP9" s="107">
        <f t="shared" si="4"/>
        <v>50</v>
      </c>
      <c r="BQ9" s="107">
        <f t="shared" si="4"/>
        <v>0</v>
      </c>
      <c r="BR9" s="107">
        <f t="shared" si="4"/>
        <v>0</v>
      </c>
      <c r="BS9" s="107">
        <f t="shared" si="4"/>
        <v>47</v>
      </c>
      <c r="BT9" s="107">
        <f t="shared" si="4"/>
        <v>51</v>
      </c>
      <c r="BU9" s="107">
        <f t="shared" si="4"/>
        <v>39</v>
      </c>
      <c r="BV9" s="107">
        <f t="shared" si="4"/>
        <v>44</v>
      </c>
      <c r="BW9" s="107">
        <f t="shared" si="4"/>
        <v>32</v>
      </c>
      <c r="BX9" s="107">
        <f t="shared" si="4"/>
        <v>0</v>
      </c>
      <c r="BY9" s="107">
        <f t="shared" si="4"/>
        <v>46</v>
      </c>
      <c r="BZ9" s="107">
        <f t="shared" si="4"/>
        <v>0</v>
      </c>
      <c r="CA9" s="107">
        <f t="shared" si="4"/>
        <v>27</v>
      </c>
      <c r="CB9" s="107">
        <f t="shared" si="4"/>
        <v>0</v>
      </c>
      <c r="CC9" s="107">
        <f t="shared" si="4"/>
        <v>0</v>
      </c>
      <c r="CD9" s="107">
        <f t="shared" si="4"/>
        <v>40</v>
      </c>
      <c r="CE9" s="47">
        <f>COUNTIF(BI9:CD9,"&gt;0")</f>
        <v>11</v>
      </c>
      <c r="CF9" s="115">
        <f>SUM(BH9+CE9)</f>
        <v>33</v>
      </c>
      <c r="CG9" s="117">
        <f t="shared" ref="CG9:CR9" si="5">SUM(CG11:CG85)</f>
        <v>47</v>
      </c>
      <c r="CH9" s="107">
        <f t="shared" si="5"/>
        <v>24</v>
      </c>
      <c r="CI9" s="107">
        <f t="shared" si="5"/>
        <v>0</v>
      </c>
      <c r="CJ9" s="107">
        <f t="shared" si="5"/>
        <v>0</v>
      </c>
      <c r="CK9" s="107">
        <f t="shared" si="5"/>
        <v>0</v>
      </c>
      <c r="CL9" s="107">
        <f t="shared" si="5"/>
        <v>0</v>
      </c>
      <c r="CM9" s="107">
        <f t="shared" si="5"/>
        <v>0</v>
      </c>
      <c r="CN9" s="107">
        <f t="shared" si="5"/>
        <v>0</v>
      </c>
      <c r="CO9" s="107">
        <f t="shared" si="5"/>
        <v>0</v>
      </c>
      <c r="CP9" s="107">
        <f t="shared" si="5"/>
        <v>0</v>
      </c>
      <c r="CQ9" s="107">
        <f t="shared" si="5"/>
        <v>0</v>
      </c>
      <c r="CR9" s="107">
        <f t="shared" si="5"/>
        <v>0</v>
      </c>
      <c r="CS9" s="107">
        <f t="shared" ref="CS9:CT9" si="6">SUM(CS10:CS92)</f>
        <v>0</v>
      </c>
      <c r="CT9" s="107">
        <f t="shared" si="6"/>
        <v>0</v>
      </c>
      <c r="CU9" s="107">
        <f>SUM(CU11:CU92)</f>
        <v>0</v>
      </c>
      <c r="CV9" s="117">
        <f>SUM(CV11:CV85)</f>
        <v>0</v>
      </c>
      <c r="CW9" s="109">
        <f>COUNTIF(CG9:CV9,"&gt;0")</f>
        <v>2</v>
      </c>
      <c r="CX9" s="123">
        <f>SUM(CF9+CW9)</f>
        <v>35</v>
      </c>
      <c r="CY9" s="117">
        <f t="shared" ref="CY9:DJ9" si="7">SUM(CY11:CY85)</f>
        <v>0</v>
      </c>
      <c r="CZ9" s="117">
        <f t="shared" si="7"/>
        <v>0</v>
      </c>
      <c r="DA9" s="117">
        <f t="shared" si="7"/>
        <v>0</v>
      </c>
      <c r="DB9" s="117">
        <f t="shared" si="7"/>
        <v>0</v>
      </c>
      <c r="DC9" s="117">
        <f t="shared" si="7"/>
        <v>0</v>
      </c>
      <c r="DD9" s="117">
        <f t="shared" si="7"/>
        <v>0</v>
      </c>
      <c r="DE9" s="117">
        <f t="shared" si="7"/>
        <v>0</v>
      </c>
      <c r="DF9" s="117">
        <f t="shared" si="7"/>
        <v>0</v>
      </c>
      <c r="DG9" s="117">
        <f t="shared" si="7"/>
        <v>0</v>
      </c>
      <c r="DH9" s="117">
        <f t="shared" si="7"/>
        <v>0</v>
      </c>
      <c r="DI9" s="117">
        <f t="shared" si="7"/>
        <v>0</v>
      </c>
      <c r="DJ9" s="117">
        <f t="shared" si="7"/>
        <v>0</v>
      </c>
      <c r="DK9" s="109">
        <f>COUNTIF(CY9:DJ9,"&gt;0")</f>
        <v>0</v>
      </c>
      <c r="DL9" s="123">
        <f>SUM(CX9+DK9)</f>
        <v>35</v>
      </c>
    </row>
    <row r="10">
      <c r="A10" s="50">
        <v>1.0</v>
      </c>
      <c r="B10" s="126" t="s">
        <v>51</v>
      </c>
      <c r="C10" s="127" t="s">
        <v>52</v>
      </c>
      <c r="D10" s="98">
        <f t="shared" si="8"/>
        <v>0</v>
      </c>
      <c r="E10" s="130">
        <f t="shared" ref="E10:E92" si="9">(D10)/D$9*100</f>
        <v>0</v>
      </c>
      <c r="F10" s="132">
        <f t="shared" ref="F10:F92" si="10">IF(E10&lt;50,E10, "  ")</f>
        <v>0</v>
      </c>
      <c r="G10" s="134">
        <f t="shared" ref="G10:G92" si="11">IF(E10&lt;30,E10, "  ")</f>
        <v>0</v>
      </c>
      <c r="H10" s="136"/>
      <c r="I10" s="136"/>
      <c r="J10" s="136"/>
      <c r="K10" s="136"/>
      <c r="L10" s="137"/>
      <c r="M10" s="139">
        <f t="shared" ref="M10:M92" si="12">SUM(H10:L10)</f>
        <v>0</v>
      </c>
      <c r="N10" s="140" t="str">
        <f t="shared" ref="N10:N92" si="13">M10/M$9*100</f>
        <v>#DIV/0!</v>
      </c>
      <c r="O10" s="141"/>
      <c r="P10" s="141"/>
      <c r="Q10" s="116"/>
      <c r="R10" s="141"/>
      <c r="S10" s="141"/>
      <c r="T10" s="141"/>
      <c r="U10" s="141"/>
      <c r="V10" s="141"/>
      <c r="W10" s="141"/>
      <c r="X10" s="177"/>
      <c r="Y10" s="141"/>
      <c r="Z10" s="142"/>
      <c r="AA10" s="143"/>
      <c r="AB10" s="141"/>
      <c r="AC10" s="141"/>
      <c r="AD10" s="144"/>
      <c r="AE10" s="144"/>
      <c r="AF10" s="144"/>
      <c r="AG10" s="144"/>
      <c r="AH10" s="144"/>
      <c r="AI10" s="144"/>
      <c r="AJ10" s="139">
        <f t="shared" ref="AJ10:AJ92" si="14">SUM(O10:AI10)</f>
        <v>0</v>
      </c>
      <c r="AK10" s="140">
        <f t="shared" ref="AK10:AK92" si="15">AJ10/AJ$9*100</f>
        <v>0</v>
      </c>
      <c r="AL10" s="147"/>
      <c r="AM10" s="141"/>
      <c r="AN10" s="141"/>
      <c r="AO10" s="141"/>
      <c r="AP10" s="141"/>
      <c r="AQ10" s="141"/>
      <c r="AR10" s="141"/>
      <c r="AS10" s="148"/>
      <c r="AT10" s="141"/>
      <c r="AU10" s="141"/>
      <c r="AV10" s="141"/>
      <c r="AW10" s="141"/>
      <c r="AX10" s="141"/>
      <c r="AY10" s="141"/>
      <c r="AZ10" s="136"/>
      <c r="BA10" s="136"/>
      <c r="BB10" s="137"/>
      <c r="BC10" s="137"/>
      <c r="BD10" s="137"/>
      <c r="BE10" s="137"/>
      <c r="BF10" s="137"/>
      <c r="BG10" s="139">
        <f t="shared" ref="BG10:BG92" si="16">SUM(AM10:BF10)</f>
        <v>0</v>
      </c>
      <c r="BH10" s="152">
        <f t="shared" ref="BH10:BH92" si="17">BG10/BG$9*100</f>
        <v>0</v>
      </c>
      <c r="BI10" s="141"/>
      <c r="BJ10" s="136"/>
      <c r="BK10" s="136"/>
      <c r="BL10" s="141"/>
      <c r="BM10" s="141"/>
      <c r="BN10" s="141"/>
      <c r="BO10" s="141"/>
      <c r="BP10" s="141"/>
      <c r="BQ10" s="147"/>
      <c r="BR10" s="148"/>
      <c r="BS10" s="144"/>
      <c r="BT10" s="142"/>
      <c r="BU10" s="277"/>
      <c r="BV10" s="153"/>
      <c r="BW10" s="154"/>
      <c r="BX10" s="153"/>
      <c r="BY10" s="141"/>
      <c r="BZ10" s="144"/>
      <c r="CA10" s="116"/>
      <c r="CB10" s="144"/>
      <c r="CC10" s="144"/>
      <c r="CD10" s="144"/>
      <c r="CE10" s="124">
        <f t="shared" ref="CE10:CE92" si="18">SUM(BI10:CD10)</f>
        <v>0</v>
      </c>
      <c r="CF10" s="159">
        <f t="shared" ref="CF10:CF92" si="19">CE10/CE$9*100</f>
        <v>0</v>
      </c>
      <c r="CG10" s="160"/>
      <c r="CH10" s="43"/>
      <c r="CI10" s="43"/>
      <c r="CJ10" s="43"/>
      <c r="CK10" s="43"/>
      <c r="CL10" s="43"/>
      <c r="CM10" s="163"/>
      <c r="CN10" s="163"/>
      <c r="CO10" s="163"/>
      <c r="CP10" s="166"/>
      <c r="CQ10" s="166"/>
      <c r="CR10" s="166"/>
      <c r="CS10" s="166"/>
      <c r="CT10" s="166"/>
      <c r="CU10" s="166"/>
      <c r="CV10" s="167"/>
      <c r="CW10" s="128">
        <f t="shared" ref="CW10:CW92" si="20">SUM(CG10:CV10)</f>
        <v>0</v>
      </c>
      <c r="CX10" s="170">
        <f t="shared" ref="CX10:CX92" si="21">CW10/CW$9*100</f>
        <v>0</v>
      </c>
      <c r="CY10" s="171"/>
      <c r="CZ10" s="171"/>
      <c r="DA10" s="171"/>
      <c r="DB10" s="171"/>
      <c r="DC10" s="171"/>
      <c r="DD10" s="171"/>
      <c r="DE10" s="171"/>
      <c r="DF10" s="171"/>
      <c r="DG10" s="171"/>
      <c r="DH10" s="171"/>
      <c r="DI10" s="171"/>
      <c r="DJ10" s="171"/>
      <c r="DK10" s="128">
        <f t="shared" ref="DK10:DK92" si="22">SUM(CY10:DJ10)</f>
        <v>0</v>
      </c>
      <c r="DL10" s="129" t="str">
        <f t="shared" ref="DL10:DL92" si="23">DK10/DK$9*100</f>
        <v>#DIV/0!</v>
      </c>
    </row>
    <row r="11">
      <c r="A11" s="131">
        <v>2.0</v>
      </c>
      <c r="B11" s="111" t="s">
        <v>53</v>
      </c>
      <c r="C11" s="112" t="s">
        <v>61</v>
      </c>
      <c r="D11" s="98">
        <f t="shared" si="8"/>
        <v>28</v>
      </c>
      <c r="E11" s="130">
        <f t="shared" si="9"/>
        <v>80</v>
      </c>
      <c r="F11" s="132" t="str">
        <f t="shared" si="10"/>
        <v>  </v>
      </c>
      <c r="G11" s="178" t="str">
        <f t="shared" si="11"/>
        <v>  </v>
      </c>
      <c r="H11" s="180"/>
      <c r="I11" s="180"/>
      <c r="J11" s="180"/>
      <c r="K11" s="180"/>
      <c r="L11" s="181"/>
      <c r="M11" s="139">
        <f t="shared" si="12"/>
        <v>0</v>
      </c>
      <c r="N11" s="140" t="str">
        <f t="shared" si="13"/>
        <v>#DIV/0!</v>
      </c>
      <c r="O11" s="116"/>
      <c r="P11" s="116"/>
      <c r="Q11" s="116"/>
      <c r="R11" s="116"/>
      <c r="S11" s="116"/>
      <c r="T11" s="116"/>
      <c r="U11" s="116"/>
      <c r="V11" s="116"/>
      <c r="W11" s="138">
        <v>1.0</v>
      </c>
      <c r="X11" s="138">
        <v>1.0</v>
      </c>
      <c r="Y11" s="116"/>
      <c r="Z11" s="210">
        <v>1.0</v>
      </c>
      <c r="AA11" s="187">
        <v>1.0</v>
      </c>
      <c r="AB11" s="138">
        <v>1.0</v>
      </c>
      <c r="AC11" s="138">
        <v>1.0</v>
      </c>
      <c r="AD11" s="116"/>
      <c r="AE11" s="116"/>
      <c r="AF11" s="188">
        <v>1.0</v>
      </c>
      <c r="AG11" s="188">
        <v>1.0</v>
      </c>
      <c r="AH11" s="116"/>
      <c r="AI11" s="116"/>
      <c r="AJ11" s="139">
        <f t="shared" si="14"/>
        <v>8</v>
      </c>
      <c r="AK11" s="140">
        <f t="shared" si="15"/>
        <v>80</v>
      </c>
      <c r="AL11" s="220">
        <v>1.0</v>
      </c>
      <c r="AM11" s="138">
        <v>1.0</v>
      </c>
      <c r="AN11" s="116"/>
      <c r="AO11" s="138">
        <v>1.0</v>
      </c>
      <c r="AP11" s="116"/>
      <c r="AQ11" s="116"/>
      <c r="AR11" s="138">
        <v>1.0</v>
      </c>
      <c r="AS11" s="166"/>
      <c r="AT11" s="116"/>
      <c r="AU11" s="116"/>
      <c r="AV11" s="116"/>
      <c r="AW11" s="138">
        <v>1.0</v>
      </c>
      <c r="AX11" s="116"/>
      <c r="AY11" s="116"/>
      <c r="AZ11" s="116"/>
      <c r="BA11" s="215">
        <v>1.0</v>
      </c>
      <c r="BB11" s="138">
        <v>1.0</v>
      </c>
      <c r="BC11" s="116"/>
      <c r="BD11" s="194"/>
      <c r="BE11" s="188">
        <v>1.0</v>
      </c>
      <c r="BF11" s="194"/>
      <c r="BG11" s="139">
        <f t="shared" si="16"/>
        <v>7</v>
      </c>
      <c r="BH11" s="152">
        <f t="shared" si="17"/>
        <v>58.33333333</v>
      </c>
      <c r="BI11" s="116"/>
      <c r="BJ11" s="116"/>
      <c r="BK11" s="180"/>
      <c r="BL11" s="138">
        <v>1.0</v>
      </c>
      <c r="BM11" s="116"/>
      <c r="BN11" s="116"/>
      <c r="BO11" s="138">
        <v>1.0</v>
      </c>
      <c r="BP11" s="138">
        <v>1.0</v>
      </c>
      <c r="BQ11" s="116"/>
      <c r="BR11" s="166"/>
      <c r="BS11" s="196">
        <v>1.0</v>
      </c>
      <c r="BT11" s="138">
        <v>1.0</v>
      </c>
      <c r="BU11" s="145">
        <v>1.0</v>
      </c>
      <c r="BV11" s="138">
        <v>1.0</v>
      </c>
      <c r="BW11" s="216">
        <v>1.0</v>
      </c>
      <c r="BX11" s="116"/>
      <c r="BY11" s="138">
        <v>1.0</v>
      </c>
      <c r="BZ11" s="194"/>
      <c r="CA11" s="138">
        <v>1.0</v>
      </c>
      <c r="CB11" s="116"/>
      <c r="CC11" s="194"/>
      <c r="CD11" s="188">
        <v>1.0</v>
      </c>
      <c r="CE11" s="124">
        <f t="shared" si="18"/>
        <v>11</v>
      </c>
      <c r="CF11" s="159">
        <f t="shared" si="19"/>
        <v>100</v>
      </c>
      <c r="CG11" s="138">
        <v>1.0</v>
      </c>
      <c r="CH11" s="138">
        <v>1.0</v>
      </c>
      <c r="CI11" s="43"/>
      <c r="CJ11" s="116"/>
      <c r="CK11" s="116"/>
      <c r="CL11" s="43"/>
      <c r="CM11" s="116"/>
      <c r="CN11" s="163"/>
      <c r="CO11" s="116"/>
      <c r="CP11" s="116"/>
      <c r="CQ11" s="116"/>
      <c r="CR11" s="116"/>
      <c r="CS11" s="116"/>
      <c r="CT11" s="116"/>
      <c r="CU11" s="116"/>
      <c r="CV11" s="194"/>
      <c r="CW11" s="128">
        <f t="shared" si="20"/>
        <v>2</v>
      </c>
      <c r="CX11" s="170">
        <f t="shared" si="21"/>
        <v>100</v>
      </c>
      <c r="CY11" s="171"/>
      <c r="CZ11" s="171"/>
      <c r="DA11" s="171"/>
      <c r="DB11" s="171"/>
      <c r="DC11" s="171"/>
      <c r="DD11" s="171"/>
      <c r="DE11" s="171"/>
      <c r="DF11" s="171"/>
      <c r="DG11" s="171"/>
      <c r="DH11" s="171"/>
      <c r="DI11" s="171"/>
      <c r="DJ11" s="171"/>
      <c r="DK11" s="128">
        <f t="shared" si="22"/>
        <v>0</v>
      </c>
      <c r="DL11" s="129" t="str">
        <f t="shared" si="23"/>
        <v>#DIV/0!</v>
      </c>
    </row>
    <row r="12" ht="16.5" customHeight="1">
      <c r="A12" s="146">
        <v>3.0</v>
      </c>
      <c r="B12" s="111" t="s">
        <v>55</v>
      </c>
      <c r="C12" s="112" t="s">
        <v>56</v>
      </c>
      <c r="D12" s="98">
        <f t="shared" si="8"/>
        <v>18</v>
      </c>
      <c r="E12" s="130">
        <f t="shared" si="9"/>
        <v>51.42857143</v>
      </c>
      <c r="F12" s="114" t="str">
        <f t="shared" si="10"/>
        <v>  </v>
      </c>
      <c r="G12" s="149" t="str">
        <f t="shared" si="11"/>
        <v>  </v>
      </c>
      <c r="H12" s="180"/>
      <c r="I12" s="203"/>
      <c r="J12" s="180"/>
      <c r="K12" s="180"/>
      <c r="L12" s="204"/>
      <c r="M12" s="139">
        <f t="shared" si="12"/>
        <v>0</v>
      </c>
      <c r="N12" s="140" t="str">
        <f t="shared" si="13"/>
        <v>#DIV/0!</v>
      </c>
      <c r="O12" s="116"/>
      <c r="P12" s="116"/>
      <c r="Q12" s="116"/>
      <c r="R12" s="116"/>
      <c r="S12" s="116"/>
      <c r="T12" s="116"/>
      <c r="U12" s="116"/>
      <c r="V12" s="116"/>
      <c r="W12" s="116"/>
      <c r="X12" s="138">
        <v>1.0</v>
      </c>
      <c r="Y12" s="116"/>
      <c r="Z12" s="210">
        <v>1.0</v>
      </c>
      <c r="AA12" s="187">
        <v>1.0</v>
      </c>
      <c r="AB12" s="138">
        <v>1.0</v>
      </c>
      <c r="AC12" s="138">
        <v>1.0</v>
      </c>
      <c r="AD12" s="116"/>
      <c r="AE12" s="116"/>
      <c r="AF12" s="196">
        <v>1.0</v>
      </c>
      <c r="AG12" s="165"/>
      <c r="AH12" s="165"/>
      <c r="AI12" s="165"/>
      <c r="AJ12" s="139">
        <f t="shared" si="14"/>
        <v>6</v>
      </c>
      <c r="AK12" s="205">
        <f t="shared" si="15"/>
        <v>60</v>
      </c>
      <c r="AL12" s="116"/>
      <c r="AM12" s="138">
        <v>1.0</v>
      </c>
      <c r="AN12" s="116"/>
      <c r="AO12" s="138">
        <v>1.0</v>
      </c>
      <c r="AP12" s="116"/>
      <c r="AQ12" s="116"/>
      <c r="AR12" s="138">
        <v>1.0</v>
      </c>
      <c r="AS12" s="191">
        <v>1.0</v>
      </c>
      <c r="AT12" s="116"/>
      <c r="AU12" s="138">
        <v>1.0</v>
      </c>
      <c r="AV12" s="116"/>
      <c r="AW12" s="138">
        <v>1.0</v>
      </c>
      <c r="AX12" s="116"/>
      <c r="AY12" s="116"/>
      <c r="AZ12" s="180"/>
      <c r="BA12" s="180"/>
      <c r="BB12" s="204"/>
      <c r="BC12" s="204"/>
      <c r="BD12" s="181"/>
      <c r="BE12" s="181"/>
      <c r="BF12" s="181"/>
      <c r="BG12" s="139">
        <f t="shared" si="16"/>
        <v>6</v>
      </c>
      <c r="BH12" s="208">
        <f t="shared" si="17"/>
        <v>50</v>
      </c>
      <c r="BI12" s="116"/>
      <c r="BJ12" s="180"/>
      <c r="BK12" s="180"/>
      <c r="BL12" s="138">
        <v>1.0</v>
      </c>
      <c r="BM12" s="116"/>
      <c r="BN12" s="116"/>
      <c r="BO12" s="116"/>
      <c r="BP12" s="116"/>
      <c r="BQ12" s="211"/>
      <c r="BR12" s="166"/>
      <c r="BS12" s="116"/>
      <c r="BT12" s="138">
        <v>1.0</v>
      </c>
      <c r="BU12" s="145">
        <v>1.0</v>
      </c>
      <c r="BV12" s="145">
        <v>1.0</v>
      </c>
      <c r="BW12" s="198"/>
      <c r="BX12" s="116"/>
      <c r="BY12" s="138">
        <v>1.0</v>
      </c>
      <c r="BZ12" s="165"/>
      <c r="CA12" s="116"/>
      <c r="CB12" s="165"/>
      <c r="CC12" s="165"/>
      <c r="CD12" s="165"/>
      <c r="CE12" s="124">
        <f t="shared" si="18"/>
        <v>5</v>
      </c>
      <c r="CF12" s="173">
        <f t="shared" si="19"/>
        <v>45.45454545</v>
      </c>
      <c r="CG12" s="138">
        <v>1.0</v>
      </c>
      <c r="CH12" s="116"/>
      <c r="CI12" s="43"/>
      <c r="CJ12" s="116"/>
      <c r="CK12" s="43"/>
      <c r="CL12" s="43"/>
      <c r="CM12" s="163"/>
      <c r="CN12" s="163"/>
      <c r="CO12" s="163"/>
      <c r="CP12" s="166"/>
      <c r="CQ12" s="166"/>
      <c r="CR12" s="166"/>
      <c r="CS12" s="166"/>
      <c r="CT12" s="116"/>
      <c r="CU12" s="116"/>
      <c r="CV12" s="213"/>
      <c r="CW12" s="128">
        <f t="shared" si="20"/>
        <v>1</v>
      </c>
      <c r="CX12" s="214">
        <f t="shared" si="21"/>
        <v>50</v>
      </c>
      <c r="CY12" s="171"/>
      <c r="CZ12" s="171"/>
      <c r="DA12" s="171"/>
      <c r="DB12" s="171"/>
      <c r="DC12" s="171"/>
      <c r="DD12" s="171"/>
      <c r="DE12" s="171"/>
      <c r="DF12" s="171"/>
      <c r="DG12" s="171"/>
      <c r="DH12" s="171"/>
      <c r="DI12" s="171"/>
      <c r="DJ12" s="171"/>
      <c r="DK12" s="128">
        <f t="shared" si="22"/>
        <v>0</v>
      </c>
      <c r="DL12" s="158" t="str">
        <f t="shared" si="23"/>
        <v>#DIV/0!</v>
      </c>
    </row>
    <row r="13">
      <c r="A13" s="50">
        <v>4.0</v>
      </c>
      <c r="B13" s="161" t="s">
        <v>57</v>
      </c>
      <c r="C13" s="162" t="s">
        <v>58</v>
      </c>
      <c r="D13" s="98">
        <f t="shared" si="8"/>
        <v>20</v>
      </c>
      <c r="E13" s="130">
        <f t="shared" si="9"/>
        <v>57.14285714</v>
      </c>
      <c r="F13" s="114" t="str">
        <f t="shared" si="10"/>
        <v>  </v>
      </c>
      <c r="G13" s="149" t="str">
        <f t="shared" si="11"/>
        <v>  </v>
      </c>
      <c r="H13" s="180"/>
      <c r="I13" s="180"/>
      <c r="J13" s="180"/>
      <c r="K13" s="180"/>
      <c r="L13" s="204"/>
      <c r="M13" s="139">
        <f t="shared" si="12"/>
        <v>0</v>
      </c>
      <c r="N13" s="140" t="str">
        <f t="shared" si="13"/>
        <v>#DIV/0!</v>
      </c>
      <c r="O13" s="116"/>
      <c r="P13" s="116"/>
      <c r="Q13" s="180"/>
      <c r="R13" s="116"/>
      <c r="S13" s="116"/>
      <c r="T13" s="116"/>
      <c r="U13" s="116"/>
      <c r="V13" s="116"/>
      <c r="W13" s="116"/>
      <c r="X13" s="138">
        <v>1.0</v>
      </c>
      <c r="Y13" s="116"/>
      <c r="Z13" s="210">
        <v>1.0</v>
      </c>
      <c r="AA13" s="187">
        <v>1.0</v>
      </c>
      <c r="AB13" s="138">
        <v>1.0</v>
      </c>
      <c r="AC13" s="138">
        <v>1.0</v>
      </c>
      <c r="AD13" s="138">
        <v>1.0</v>
      </c>
      <c r="AE13" s="116"/>
      <c r="AF13" s="196">
        <v>1.0</v>
      </c>
      <c r="AG13" s="165"/>
      <c r="AH13" s="165"/>
      <c r="AI13" s="165"/>
      <c r="AJ13" s="139">
        <f t="shared" si="14"/>
        <v>7</v>
      </c>
      <c r="AK13" s="205">
        <f t="shared" si="15"/>
        <v>70</v>
      </c>
      <c r="AL13" s="116"/>
      <c r="AM13" s="138">
        <v>1.0</v>
      </c>
      <c r="AN13" s="116"/>
      <c r="AO13" s="138">
        <v>1.0</v>
      </c>
      <c r="AP13" s="116"/>
      <c r="AQ13" s="116"/>
      <c r="AR13" s="138">
        <v>1.0</v>
      </c>
      <c r="AS13" s="191">
        <v>1.0</v>
      </c>
      <c r="AT13" s="116"/>
      <c r="AU13" s="138">
        <v>1.0</v>
      </c>
      <c r="AV13" s="116"/>
      <c r="AW13" s="138">
        <v>1.0</v>
      </c>
      <c r="AX13" s="116"/>
      <c r="AY13" s="116"/>
      <c r="AZ13" s="180"/>
      <c r="BA13" s="180"/>
      <c r="BB13" s="204"/>
      <c r="BC13" s="204"/>
      <c r="BD13" s="181"/>
      <c r="BE13" s="181"/>
      <c r="BF13" s="181"/>
      <c r="BG13" s="139">
        <f t="shared" si="16"/>
        <v>6</v>
      </c>
      <c r="BH13" s="208">
        <f t="shared" si="17"/>
        <v>50</v>
      </c>
      <c r="BI13" s="116"/>
      <c r="BJ13" s="180"/>
      <c r="BK13" s="180"/>
      <c r="BL13" s="138">
        <v>1.0</v>
      </c>
      <c r="BM13" s="116"/>
      <c r="BN13" s="116"/>
      <c r="BO13" s="138">
        <v>1.0</v>
      </c>
      <c r="BP13" s="116"/>
      <c r="BQ13" s="211"/>
      <c r="BR13" s="166"/>
      <c r="BS13" s="116"/>
      <c r="BT13" s="138">
        <v>1.0</v>
      </c>
      <c r="BU13" s="145">
        <v>1.0</v>
      </c>
      <c r="BV13" s="145">
        <v>1.0</v>
      </c>
      <c r="BW13" s="198"/>
      <c r="BX13" s="116"/>
      <c r="BY13" s="138">
        <v>1.0</v>
      </c>
      <c r="BZ13" s="165"/>
      <c r="CA13" s="116"/>
      <c r="CB13" s="165"/>
      <c r="CC13" s="165"/>
      <c r="CD13" s="165"/>
      <c r="CE13" s="124">
        <f t="shared" si="18"/>
        <v>6</v>
      </c>
      <c r="CF13" s="173">
        <f t="shared" si="19"/>
        <v>54.54545455</v>
      </c>
      <c r="CG13" s="138">
        <v>1.0</v>
      </c>
      <c r="CH13" s="116"/>
      <c r="CI13" s="43"/>
      <c r="CJ13" s="116"/>
      <c r="CK13" s="116"/>
      <c r="CL13" s="43"/>
      <c r="CM13" s="163"/>
      <c r="CN13" s="116"/>
      <c r="CO13" s="116"/>
      <c r="CP13" s="166"/>
      <c r="CQ13" s="213"/>
      <c r="CR13" s="213"/>
      <c r="CS13" s="116"/>
      <c r="CT13" s="116"/>
      <c r="CU13" s="116"/>
      <c r="CV13" s="213"/>
      <c r="CW13" s="128">
        <f t="shared" si="20"/>
        <v>1</v>
      </c>
      <c r="CX13" s="214">
        <f t="shared" si="21"/>
        <v>50</v>
      </c>
      <c r="CY13" s="171"/>
      <c r="CZ13" s="171"/>
      <c r="DA13" s="171"/>
      <c r="DB13" s="171"/>
      <c r="DC13" s="171"/>
      <c r="DD13" s="171"/>
      <c r="DE13" s="171"/>
      <c r="DF13" s="171"/>
      <c r="DG13" s="171"/>
      <c r="DH13" s="171"/>
      <c r="DI13" s="171"/>
      <c r="DJ13" s="171"/>
      <c r="DK13" s="128">
        <f t="shared" si="22"/>
        <v>0</v>
      </c>
      <c r="DL13" s="158" t="str">
        <f t="shared" si="23"/>
        <v>#DIV/0!</v>
      </c>
    </row>
    <row r="14">
      <c r="A14" s="131">
        <v>5.0</v>
      </c>
      <c r="B14" s="111" t="s">
        <v>59</v>
      </c>
      <c r="C14" s="112" t="s">
        <v>60</v>
      </c>
      <c r="D14" s="98">
        <f t="shared" si="8"/>
        <v>20</v>
      </c>
      <c r="E14" s="130">
        <f t="shared" si="9"/>
        <v>57.14285714</v>
      </c>
      <c r="F14" s="114" t="str">
        <f t="shared" si="10"/>
        <v>  </v>
      </c>
      <c r="G14" s="149" t="str">
        <f t="shared" si="11"/>
        <v>  </v>
      </c>
      <c r="H14" s="180"/>
      <c r="I14" s="180"/>
      <c r="J14" s="221"/>
      <c r="K14" s="180"/>
      <c r="L14" s="204"/>
      <c r="M14" s="139">
        <f t="shared" si="12"/>
        <v>0</v>
      </c>
      <c r="N14" s="140" t="str">
        <f t="shared" si="13"/>
        <v>#DIV/0!</v>
      </c>
      <c r="O14" s="116"/>
      <c r="P14" s="116"/>
      <c r="Q14" s="116"/>
      <c r="R14" s="179"/>
      <c r="S14" s="116"/>
      <c r="T14" s="116"/>
      <c r="U14" s="116"/>
      <c r="V14" s="179"/>
      <c r="W14" s="138">
        <v>1.0</v>
      </c>
      <c r="X14" s="138">
        <v>1.0</v>
      </c>
      <c r="Y14" s="179"/>
      <c r="Z14" s="210">
        <v>1.0</v>
      </c>
      <c r="AA14" s="187">
        <v>1.0</v>
      </c>
      <c r="AB14" s="138">
        <v>1.0</v>
      </c>
      <c r="AC14" s="184">
        <v>1.0</v>
      </c>
      <c r="AD14" s="116"/>
      <c r="AE14" s="116"/>
      <c r="AF14" s="182">
        <v>1.0</v>
      </c>
      <c r="AG14" s="182">
        <v>1.0</v>
      </c>
      <c r="AH14" s="116"/>
      <c r="AI14" s="116"/>
      <c r="AJ14" s="139">
        <f t="shared" si="14"/>
        <v>8</v>
      </c>
      <c r="AK14" s="205">
        <f t="shared" si="15"/>
        <v>80</v>
      </c>
      <c r="AL14" s="235">
        <v>1.0</v>
      </c>
      <c r="AM14" s="179"/>
      <c r="AN14" s="179"/>
      <c r="AO14" s="116"/>
      <c r="AP14" s="116"/>
      <c r="AQ14" s="116"/>
      <c r="AR14" s="116"/>
      <c r="AS14" s="166"/>
      <c r="AT14" s="116"/>
      <c r="AU14" s="138">
        <v>1.0</v>
      </c>
      <c r="AV14" s="138">
        <v>1.0</v>
      </c>
      <c r="AW14" s="184">
        <v>1.0</v>
      </c>
      <c r="AX14" s="116"/>
      <c r="AY14" s="116"/>
      <c r="AZ14" s="116"/>
      <c r="BA14" s="215">
        <v>1.0</v>
      </c>
      <c r="BB14" s="138">
        <v>1.0</v>
      </c>
      <c r="BC14" s="116"/>
      <c r="BD14" s="194"/>
      <c r="BE14" s="188">
        <v>1.0</v>
      </c>
      <c r="BF14" s="194"/>
      <c r="BG14" s="139">
        <f t="shared" si="16"/>
        <v>6</v>
      </c>
      <c r="BH14" s="208">
        <f t="shared" si="17"/>
        <v>50</v>
      </c>
      <c r="BI14" s="116"/>
      <c r="BJ14" s="116"/>
      <c r="BK14" s="180"/>
      <c r="BL14" s="138">
        <v>1.0</v>
      </c>
      <c r="BM14" s="116"/>
      <c r="BN14" s="116"/>
      <c r="BO14" s="138">
        <v>1.0</v>
      </c>
      <c r="BP14" s="138">
        <v>1.0</v>
      </c>
      <c r="BQ14" s="116"/>
      <c r="BR14" s="166"/>
      <c r="BS14" s="196">
        <v>1.0</v>
      </c>
      <c r="BT14" s="116"/>
      <c r="BU14" s="43"/>
      <c r="BV14" s="116"/>
      <c r="BW14" s="198"/>
      <c r="BX14" s="116"/>
      <c r="BY14" s="138">
        <v>1.0</v>
      </c>
      <c r="BZ14" s="165"/>
      <c r="CA14" s="165"/>
      <c r="CB14" s="165"/>
      <c r="CC14" s="165"/>
      <c r="CD14" s="165"/>
      <c r="CE14" s="124">
        <f t="shared" si="18"/>
        <v>5</v>
      </c>
      <c r="CF14" s="173">
        <f t="shared" si="19"/>
        <v>45.45454545</v>
      </c>
      <c r="CG14" s="138">
        <v>1.0</v>
      </c>
      <c r="CH14" s="116"/>
      <c r="CI14" s="116"/>
      <c r="CJ14" s="116"/>
      <c r="CK14" s="116"/>
      <c r="CL14" s="186"/>
      <c r="CM14" s="116"/>
      <c r="CN14" s="116"/>
      <c r="CO14" s="223"/>
      <c r="CP14" s="116"/>
      <c r="CQ14" s="165"/>
      <c r="CR14" s="165"/>
      <c r="CS14" s="116"/>
      <c r="CT14" s="116"/>
      <c r="CU14" s="165"/>
      <c r="CV14" s="165"/>
      <c r="CW14" s="128">
        <f t="shared" si="20"/>
        <v>1</v>
      </c>
      <c r="CX14" s="214">
        <f t="shared" si="21"/>
        <v>50</v>
      </c>
      <c r="CY14" s="171"/>
      <c r="CZ14" s="171"/>
      <c r="DA14" s="171"/>
      <c r="DB14" s="171"/>
      <c r="DC14" s="171"/>
      <c r="DD14" s="171"/>
      <c r="DE14" s="171"/>
      <c r="DF14" s="171"/>
      <c r="DG14" s="171"/>
      <c r="DH14" s="171"/>
      <c r="DI14" s="171"/>
      <c r="DJ14" s="171"/>
      <c r="DK14" s="128">
        <f t="shared" si="22"/>
        <v>0</v>
      </c>
      <c r="DL14" s="158" t="str">
        <f t="shared" si="23"/>
        <v>#DIV/0!</v>
      </c>
    </row>
    <row r="15">
      <c r="A15" s="146">
        <v>6.0</v>
      </c>
      <c r="B15" s="111" t="s">
        <v>62</v>
      </c>
      <c r="C15" s="112" t="s">
        <v>63</v>
      </c>
      <c r="D15" s="98">
        <f t="shared" si="8"/>
        <v>20</v>
      </c>
      <c r="E15" s="130">
        <f t="shared" si="9"/>
        <v>57.14285714</v>
      </c>
      <c r="F15" s="92" t="str">
        <f t="shared" si="10"/>
        <v>  </v>
      </c>
      <c r="G15" s="149" t="str">
        <f t="shared" si="11"/>
        <v>  </v>
      </c>
      <c r="H15" s="203"/>
      <c r="I15" s="224"/>
      <c r="J15" s="180"/>
      <c r="K15" s="180"/>
      <c r="L15" s="204"/>
      <c r="M15" s="139">
        <f t="shared" si="12"/>
        <v>0</v>
      </c>
      <c r="N15" s="140" t="str">
        <f t="shared" si="13"/>
        <v>#DIV/0!</v>
      </c>
      <c r="O15" s="116"/>
      <c r="P15" s="116"/>
      <c r="Q15" s="116"/>
      <c r="R15" s="186"/>
      <c r="S15" s="116"/>
      <c r="T15" s="116"/>
      <c r="U15" s="116"/>
      <c r="V15" s="186"/>
      <c r="W15" s="116"/>
      <c r="X15" s="116"/>
      <c r="Y15" s="186"/>
      <c r="Z15" s="210">
        <v>1.0</v>
      </c>
      <c r="AA15" s="187">
        <v>1.0</v>
      </c>
      <c r="AB15" s="138">
        <v>1.0</v>
      </c>
      <c r="AC15" s="200">
        <v>1.0</v>
      </c>
      <c r="AD15" s="116"/>
      <c r="AE15" s="116"/>
      <c r="AF15" s="197">
        <v>1.0</v>
      </c>
      <c r="AG15" s="197">
        <v>1.0</v>
      </c>
      <c r="AH15" s="116"/>
      <c r="AI15" s="116"/>
      <c r="AJ15" s="139">
        <f t="shared" si="14"/>
        <v>6</v>
      </c>
      <c r="AK15" s="205">
        <f t="shared" si="15"/>
        <v>60</v>
      </c>
      <c r="AL15" s="237">
        <v>1.0</v>
      </c>
      <c r="AM15" s="116"/>
      <c r="AN15" s="186"/>
      <c r="AO15" s="138">
        <v>1.0</v>
      </c>
      <c r="AP15" s="116"/>
      <c r="AQ15" s="116"/>
      <c r="AR15" s="116"/>
      <c r="AS15" s="166"/>
      <c r="AT15" s="116"/>
      <c r="AU15" s="138">
        <v>1.0</v>
      </c>
      <c r="AV15" s="138">
        <v>1.0</v>
      </c>
      <c r="AW15" s="200">
        <v>1.0</v>
      </c>
      <c r="AX15" s="116"/>
      <c r="AY15" s="116"/>
      <c r="AZ15" s="116"/>
      <c r="BA15" s="215">
        <v>1.0</v>
      </c>
      <c r="BB15" s="116"/>
      <c r="BC15" s="116"/>
      <c r="BD15" s="194"/>
      <c r="BE15" s="188">
        <v>1.0</v>
      </c>
      <c r="BF15" s="194"/>
      <c r="BG15" s="139">
        <f t="shared" si="16"/>
        <v>6</v>
      </c>
      <c r="BH15" s="208">
        <f t="shared" si="17"/>
        <v>50</v>
      </c>
      <c r="BI15" s="116"/>
      <c r="BJ15" s="116"/>
      <c r="BK15" s="180"/>
      <c r="BL15" s="138">
        <v>1.0</v>
      </c>
      <c r="BM15" s="116"/>
      <c r="BN15" s="116"/>
      <c r="BO15" s="138">
        <v>1.0</v>
      </c>
      <c r="BP15" s="138">
        <v>1.0</v>
      </c>
      <c r="BQ15" s="116"/>
      <c r="BR15" s="166"/>
      <c r="BS15" s="196">
        <v>1.0</v>
      </c>
      <c r="BT15" s="116"/>
      <c r="BU15" s="43"/>
      <c r="BV15" s="138">
        <v>1.0</v>
      </c>
      <c r="BW15" s="198"/>
      <c r="BX15" s="116"/>
      <c r="BY15" s="138">
        <v>1.0</v>
      </c>
      <c r="BZ15" s="165"/>
      <c r="CA15" s="138">
        <v>1.0</v>
      </c>
      <c r="CB15" s="116"/>
      <c r="CC15" s="165"/>
      <c r="CD15" s="165"/>
      <c r="CE15" s="124">
        <f t="shared" si="18"/>
        <v>7</v>
      </c>
      <c r="CF15" s="173">
        <f t="shared" si="19"/>
        <v>63.63636364</v>
      </c>
      <c r="CG15" s="138">
        <v>1.0</v>
      </c>
      <c r="CH15" s="116"/>
      <c r="CI15" s="116"/>
      <c r="CJ15" s="116"/>
      <c r="CK15" s="116"/>
      <c r="CL15" s="186"/>
      <c r="CM15" s="116"/>
      <c r="CN15" s="116"/>
      <c r="CO15" s="116"/>
      <c r="CP15" s="116"/>
      <c r="CQ15" s="165"/>
      <c r="CR15" s="165"/>
      <c r="CS15" s="116"/>
      <c r="CT15" s="116"/>
      <c r="CU15" s="165"/>
      <c r="CV15" s="165"/>
      <c r="CW15" s="128">
        <f t="shared" si="20"/>
        <v>1</v>
      </c>
      <c r="CX15" s="214">
        <f t="shared" si="21"/>
        <v>50</v>
      </c>
      <c r="CY15" s="171"/>
      <c r="CZ15" s="171"/>
      <c r="DA15" s="171"/>
      <c r="DB15" s="171"/>
      <c r="DC15" s="171"/>
      <c r="DD15" s="171"/>
      <c r="DE15" s="171"/>
      <c r="DF15" s="171"/>
      <c r="DG15" s="171"/>
      <c r="DH15" s="171"/>
      <c r="DI15" s="171"/>
      <c r="DJ15" s="171"/>
      <c r="DK15" s="128">
        <f t="shared" si="22"/>
        <v>0</v>
      </c>
      <c r="DL15" s="158" t="str">
        <f t="shared" si="23"/>
        <v>#DIV/0!</v>
      </c>
    </row>
    <row r="16">
      <c r="A16" s="50">
        <v>7.0</v>
      </c>
      <c r="B16" s="111" t="s">
        <v>64</v>
      </c>
      <c r="C16" s="112" t="s">
        <v>65</v>
      </c>
      <c r="D16" s="98">
        <f t="shared" si="8"/>
        <v>7</v>
      </c>
      <c r="E16" s="130">
        <f t="shared" si="9"/>
        <v>20</v>
      </c>
      <c r="F16" s="114">
        <f t="shared" si="10"/>
        <v>20</v>
      </c>
      <c r="G16" s="226">
        <f t="shared" si="11"/>
        <v>20</v>
      </c>
      <c r="H16" s="180"/>
      <c r="I16" s="221"/>
      <c r="J16" s="203"/>
      <c r="K16" s="180"/>
      <c r="L16" s="204"/>
      <c r="M16" s="139">
        <f t="shared" si="12"/>
        <v>0</v>
      </c>
      <c r="N16" s="140" t="str">
        <f t="shared" si="13"/>
        <v>#DIV/0!</v>
      </c>
      <c r="O16" s="116"/>
      <c r="P16" s="116"/>
      <c r="Q16" s="116"/>
      <c r="R16" s="179"/>
      <c r="S16" s="116"/>
      <c r="T16" s="116"/>
      <c r="U16" s="116"/>
      <c r="V16" s="179"/>
      <c r="W16" s="116"/>
      <c r="X16" s="116"/>
      <c r="Y16" s="179"/>
      <c r="Z16" s="185"/>
      <c r="AA16" s="217"/>
      <c r="AB16" s="138">
        <v>1.0</v>
      </c>
      <c r="AC16" s="179"/>
      <c r="AD16" s="176"/>
      <c r="AE16" s="176"/>
      <c r="AF16" s="176"/>
      <c r="AG16" s="182">
        <v>1.0</v>
      </c>
      <c r="AH16" s="116"/>
      <c r="AI16" s="176"/>
      <c r="AJ16" s="139">
        <f t="shared" si="14"/>
        <v>2</v>
      </c>
      <c r="AK16" s="205">
        <f t="shared" si="15"/>
        <v>20</v>
      </c>
      <c r="AL16" s="222"/>
      <c r="AM16" s="138">
        <v>1.0</v>
      </c>
      <c r="AN16" s="179"/>
      <c r="AO16" s="116"/>
      <c r="AP16" s="116"/>
      <c r="AQ16" s="116"/>
      <c r="AR16" s="116"/>
      <c r="AS16" s="166"/>
      <c r="AT16" s="116"/>
      <c r="AU16" s="116"/>
      <c r="AV16" s="116"/>
      <c r="AW16" s="179"/>
      <c r="AX16" s="116"/>
      <c r="AY16" s="116"/>
      <c r="AZ16" s="180"/>
      <c r="BA16" s="215">
        <v>1.0</v>
      </c>
      <c r="BB16" s="204"/>
      <c r="BC16" s="204"/>
      <c r="BD16" s="181"/>
      <c r="BE16" s="181"/>
      <c r="BF16" s="181"/>
      <c r="BG16" s="139">
        <f t="shared" si="16"/>
        <v>2</v>
      </c>
      <c r="BH16" s="208">
        <f t="shared" si="17"/>
        <v>16.66666667</v>
      </c>
      <c r="BI16" s="116"/>
      <c r="BJ16" s="116"/>
      <c r="BK16" s="180"/>
      <c r="BL16" s="116"/>
      <c r="BM16" s="116"/>
      <c r="BN16" s="116"/>
      <c r="BO16" s="116"/>
      <c r="BP16" s="116"/>
      <c r="BQ16" s="211"/>
      <c r="BR16" s="166"/>
      <c r="BS16" s="116"/>
      <c r="BT16" s="185"/>
      <c r="BU16" s="43"/>
      <c r="BV16" s="145">
        <v>1.0</v>
      </c>
      <c r="BW16" s="198"/>
      <c r="BX16" s="43"/>
      <c r="BY16" s="116"/>
      <c r="BZ16" s="165"/>
      <c r="CA16" s="116"/>
      <c r="CB16" s="165"/>
      <c r="CC16" s="165"/>
      <c r="CD16" s="196">
        <v>1.0</v>
      </c>
      <c r="CE16" s="124">
        <f t="shared" si="18"/>
        <v>2</v>
      </c>
      <c r="CF16" s="173">
        <f t="shared" si="19"/>
        <v>18.18181818</v>
      </c>
      <c r="CG16" s="184">
        <v>1.0</v>
      </c>
      <c r="CH16" s="238"/>
      <c r="CI16" s="186"/>
      <c r="CJ16" s="186"/>
      <c r="CK16" s="231"/>
      <c r="CL16" s="186"/>
      <c r="CM16" s="223"/>
      <c r="CN16" s="223"/>
      <c r="CO16" s="223"/>
      <c r="CP16" s="166"/>
      <c r="CQ16" s="213"/>
      <c r="CR16" s="213"/>
      <c r="CS16" s="213"/>
      <c r="CT16" s="116"/>
      <c r="CU16" s="213"/>
      <c r="CV16" s="213"/>
      <c r="CW16" s="128">
        <f t="shared" si="20"/>
        <v>1</v>
      </c>
      <c r="CX16" s="214">
        <f t="shared" si="21"/>
        <v>50</v>
      </c>
      <c r="CY16" s="171"/>
      <c r="CZ16" s="171"/>
      <c r="DA16" s="171"/>
      <c r="DB16" s="171"/>
      <c r="DC16" s="171"/>
      <c r="DD16" s="171"/>
      <c r="DE16" s="171"/>
      <c r="DF16" s="171"/>
      <c r="DG16" s="171"/>
      <c r="DH16" s="171"/>
      <c r="DI16" s="171"/>
      <c r="DJ16" s="171"/>
      <c r="DK16" s="128">
        <f t="shared" si="22"/>
        <v>0</v>
      </c>
      <c r="DL16" s="158" t="str">
        <f t="shared" si="23"/>
        <v>#DIV/0!</v>
      </c>
    </row>
    <row r="17">
      <c r="A17" s="131">
        <v>8.0</v>
      </c>
      <c r="B17" s="111" t="s">
        <v>66</v>
      </c>
      <c r="C17" s="112" t="s">
        <v>67</v>
      </c>
      <c r="D17" s="98">
        <f t="shared" si="8"/>
        <v>14</v>
      </c>
      <c r="E17" s="130">
        <f t="shared" si="9"/>
        <v>40</v>
      </c>
      <c r="F17" s="114">
        <f t="shared" si="10"/>
        <v>40</v>
      </c>
      <c r="G17" s="149" t="str">
        <f t="shared" si="11"/>
        <v>  </v>
      </c>
      <c r="H17" s="180"/>
      <c r="I17" s="203"/>
      <c r="J17" s="203"/>
      <c r="K17" s="180"/>
      <c r="L17" s="204"/>
      <c r="M17" s="139">
        <f t="shared" si="12"/>
        <v>0</v>
      </c>
      <c r="N17" s="140" t="str">
        <f t="shared" si="13"/>
        <v>#DIV/0!</v>
      </c>
      <c r="O17" s="116"/>
      <c r="P17" s="116"/>
      <c r="Q17" s="116"/>
      <c r="R17" s="207"/>
      <c r="S17" s="207"/>
      <c r="T17" s="116"/>
      <c r="U17" s="116"/>
      <c r="V17" s="207"/>
      <c r="W17" s="116"/>
      <c r="X17" s="116"/>
      <c r="Y17" s="207"/>
      <c r="Z17" s="210">
        <v>1.0</v>
      </c>
      <c r="AA17" s="187">
        <v>1.0</v>
      </c>
      <c r="AB17" s="138">
        <v>1.0</v>
      </c>
      <c r="AC17" s="234">
        <v>1.0</v>
      </c>
      <c r="AD17" s="209">
        <v>1.0</v>
      </c>
      <c r="AE17" s="138">
        <v>1.0</v>
      </c>
      <c r="AF17" s="206"/>
      <c r="AG17" s="206"/>
      <c r="AH17" s="116"/>
      <c r="AI17" s="206"/>
      <c r="AJ17" s="139">
        <f t="shared" si="14"/>
        <v>6</v>
      </c>
      <c r="AK17" s="205">
        <f t="shared" si="15"/>
        <v>60</v>
      </c>
      <c r="AL17" s="240">
        <v>1.0</v>
      </c>
      <c r="AM17" s="116"/>
      <c r="AN17" s="207"/>
      <c r="AO17" s="207"/>
      <c r="AP17" s="116"/>
      <c r="AQ17" s="116"/>
      <c r="AR17" s="116"/>
      <c r="AS17" s="166"/>
      <c r="AT17" s="116"/>
      <c r="AU17" s="116"/>
      <c r="AV17" s="138">
        <v>1.0</v>
      </c>
      <c r="AW17" s="207"/>
      <c r="AX17" s="116"/>
      <c r="AY17" s="116"/>
      <c r="AZ17" s="180"/>
      <c r="BA17" s="180"/>
      <c r="BB17" s="204"/>
      <c r="BC17" s="204"/>
      <c r="BD17" s="181"/>
      <c r="BE17" s="181"/>
      <c r="BF17" s="181"/>
      <c r="BG17" s="139">
        <f t="shared" si="16"/>
        <v>1</v>
      </c>
      <c r="BH17" s="208">
        <f t="shared" si="17"/>
        <v>8.333333333</v>
      </c>
      <c r="BI17" s="116"/>
      <c r="BJ17" s="116"/>
      <c r="BK17" s="180"/>
      <c r="BL17" s="116"/>
      <c r="BM17" s="116"/>
      <c r="BN17" s="116"/>
      <c r="BO17" s="138">
        <v>1.0</v>
      </c>
      <c r="BP17" s="138">
        <v>1.0</v>
      </c>
      <c r="BQ17" s="211"/>
      <c r="BR17" s="166"/>
      <c r="BS17" s="165"/>
      <c r="BT17" s="185"/>
      <c r="BU17" s="43"/>
      <c r="BV17" s="43"/>
      <c r="BW17" s="216">
        <v>1.0</v>
      </c>
      <c r="BX17" s="43"/>
      <c r="BY17" s="138">
        <v>1.0</v>
      </c>
      <c r="BZ17" s="165"/>
      <c r="CA17" s="196">
        <v>1.0</v>
      </c>
      <c r="CB17" s="116"/>
      <c r="CC17" s="165"/>
      <c r="CD17" s="165"/>
      <c r="CE17" s="124">
        <f t="shared" si="18"/>
        <v>5</v>
      </c>
      <c r="CF17" s="173">
        <f t="shared" si="19"/>
        <v>45.45454545</v>
      </c>
      <c r="CG17" s="234">
        <v>1.0</v>
      </c>
      <c r="CH17" s="138">
        <v>1.0</v>
      </c>
      <c r="CI17" s="116"/>
      <c r="CJ17" s="186"/>
      <c r="CK17" s="116"/>
      <c r="CL17" s="186"/>
      <c r="CM17" s="223"/>
      <c r="CN17" s="116"/>
      <c r="CO17" s="223"/>
      <c r="CP17" s="116"/>
      <c r="CQ17" s="165"/>
      <c r="CR17" s="165"/>
      <c r="CS17" s="116"/>
      <c r="CT17" s="116"/>
      <c r="CU17" s="116"/>
      <c r="CV17" s="165"/>
      <c r="CW17" s="128">
        <f t="shared" si="20"/>
        <v>2</v>
      </c>
      <c r="CX17" s="214">
        <f t="shared" si="21"/>
        <v>100</v>
      </c>
      <c r="CY17" s="171"/>
      <c r="CZ17" s="171"/>
      <c r="DA17" s="171"/>
      <c r="DB17" s="171"/>
      <c r="DC17" s="171"/>
      <c r="DD17" s="171"/>
      <c r="DE17" s="171"/>
      <c r="DF17" s="171"/>
      <c r="DG17" s="171"/>
      <c r="DH17" s="171"/>
      <c r="DI17" s="171"/>
      <c r="DJ17" s="171"/>
      <c r="DK17" s="128">
        <f t="shared" si="22"/>
        <v>0</v>
      </c>
      <c r="DL17" s="158" t="str">
        <f t="shared" si="23"/>
        <v>#DIV/0!</v>
      </c>
    </row>
    <row r="18" ht="15.0" customHeight="1">
      <c r="A18" s="146">
        <v>9.0</v>
      </c>
      <c r="B18" s="111" t="s">
        <v>68</v>
      </c>
      <c r="C18" s="112" t="s">
        <v>69</v>
      </c>
      <c r="D18" s="98">
        <f t="shared" si="8"/>
        <v>14</v>
      </c>
      <c r="E18" s="130">
        <f t="shared" si="9"/>
        <v>40</v>
      </c>
      <c r="F18" s="114">
        <f t="shared" si="10"/>
        <v>40</v>
      </c>
      <c r="G18" s="149" t="str">
        <f t="shared" si="11"/>
        <v>  </v>
      </c>
      <c r="H18" s="180"/>
      <c r="I18" s="203"/>
      <c r="J18" s="180"/>
      <c r="K18" s="180"/>
      <c r="L18" s="204"/>
      <c r="M18" s="139">
        <f t="shared" si="12"/>
        <v>0</v>
      </c>
      <c r="N18" s="140" t="str">
        <f t="shared" si="13"/>
        <v>#DIV/0!</v>
      </c>
      <c r="O18" s="116"/>
      <c r="P18" s="116"/>
      <c r="Q18" s="180"/>
      <c r="R18" s="186"/>
      <c r="S18" s="116"/>
      <c r="T18" s="116"/>
      <c r="U18" s="116"/>
      <c r="V18" s="186"/>
      <c r="W18" s="116"/>
      <c r="X18" s="138">
        <v>1.0</v>
      </c>
      <c r="Y18" s="186"/>
      <c r="Z18" s="185"/>
      <c r="AA18" s="217"/>
      <c r="AB18" s="116"/>
      <c r="AC18" s="186"/>
      <c r="AD18" s="197">
        <v>1.0</v>
      </c>
      <c r="AE18" s="116"/>
      <c r="AF18" s="195"/>
      <c r="AG18" s="195"/>
      <c r="AH18" s="116"/>
      <c r="AI18" s="195"/>
      <c r="AJ18" s="139">
        <f t="shared" si="14"/>
        <v>2</v>
      </c>
      <c r="AK18" s="205">
        <f t="shared" si="15"/>
        <v>20</v>
      </c>
      <c r="AL18" s="116"/>
      <c r="AM18" s="138">
        <v>1.0</v>
      </c>
      <c r="AN18" s="186"/>
      <c r="AO18" s="138">
        <v>1.0</v>
      </c>
      <c r="AP18" s="186"/>
      <c r="AQ18" s="116"/>
      <c r="AR18" s="138">
        <v>1.0</v>
      </c>
      <c r="AS18" s="166"/>
      <c r="AT18" s="116"/>
      <c r="AU18" s="138">
        <v>1.0</v>
      </c>
      <c r="AV18" s="116"/>
      <c r="AW18" s="200">
        <v>1.0</v>
      </c>
      <c r="AX18" s="116"/>
      <c r="AY18" s="116"/>
      <c r="AZ18" s="180"/>
      <c r="BA18" s="215">
        <v>1.0</v>
      </c>
      <c r="BB18" s="116"/>
      <c r="BC18" s="204"/>
      <c r="BD18" s="181"/>
      <c r="BE18" s="181"/>
      <c r="BF18" s="181"/>
      <c r="BG18" s="139">
        <f t="shared" si="16"/>
        <v>6</v>
      </c>
      <c r="BH18" s="208">
        <f t="shared" si="17"/>
        <v>50</v>
      </c>
      <c r="BI18" s="116"/>
      <c r="BJ18" s="180"/>
      <c r="BK18" s="180"/>
      <c r="BL18" s="138">
        <v>1.0</v>
      </c>
      <c r="BM18" s="116"/>
      <c r="BN18" s="116"/>
      <c r="BO18" s="138">
        <v>1.0</v>
      </c>
      <c r="BP18" s="116"/>
      <c r="BQ18" s="116"/>
      <c r="BR18" s="166"/>
      <c r="BS18" s="138">
        <v>1.0</v>
      </c>
      <c r="BT18" s="185"/>
      <c r="BU18" s="43"/>
      <c r="BV18" s="145">
        <v>1.0</v>
      </c>
      <c r="BW18" s="198"/>
      <c r="BX18" s="116"/>
      <c r="BY18" s="138">
        <v>1.0</v>
      </c>
      <c r="BZ18" s="165"/>
      <c r="CA18" s="116"/>
      <c r="CB18" s="116"/>
      <c r="CC18" s="165"/>
      <c r="CD18" s="165"/>
      <c r="CE18" s="124">
        <f t="shared" si="18"/>
        <v>5</v>
      </c>
      <c r="CF18" s="173">
        <f t="shared" si="19"/>
        <v>45.45454545</v>
      </c>
      <c r="CG18" s="138">
        <v>1.0</v>
      </c>
      <c r="CH18" s="238"/>
      <c r="CI18" s="186"/>
      <c r="CJ18" s="116"/>
      <c r="CK18" s="116"/>
      <c r="CL18" s="186"/>
      <c r="CM18" s="223"/>
      <c r="CN18" s="116"/>
      <c r="CO18" s="223"/>
      <c r="CP18" s="166"/>
      <c r="CQ18" s="213"/>
      <c r="CR18" s="213"/>
      <c r="CS18" s="116"/>
      <c r="CT18" s="213"/>
      <c r="CU18" s="213"/>
      <c r="CV18" s="213"/>
      <c r="CW18" s="128">
        <f t="shared" si="20"/>
        <v>1</v>
      </c>
      <c r="CX18" s="214">
        <f t="shared" si="21"/>
        <v>50</v>
      </c>
      <c r="CY18" s="171"/>
      <c r="CZ18" s="171"/>
      <c r="DA18" s="171"/>
      <c r="DB18" s="171"/>
      <c r="DC18" s="171"/>
      <c r="DD18" s="171"/>
      <c r="DE18" s="171"/>
      <c r="DF18" s="171"/>
      <c r="DG18" s="171"/>
      <c r="DH18" s="171"/>
      <c r="DI18" s="171"/>
      <c r="DJ18" s="171"/>
      <c r="DK18" s="128">
        <f t="shared" si="22"/>
        <v>0</v>
      </c>
      <c r="DL18" s="158" t="str">
        <f t="shared" si="23"/>
        <v>#DIV/0!</v>
      </c>
    </row>
    <row r="19">
      <c r="A19" s="50">
        <v>10.0</v>
      </c>
      <c r="B19" s="111" t="s">
        <v>70</v>
      </c>
      <c r="C19" s="112" t="s">
        <v>71</v>
      </c>
      <c r="D19" s="98">
        <f t="shared" si="8"/>
        <v>21</v>
      </c>
      <c r="E19" s="130">
        <f t="shared" si="9"/>
        <v>60</v>
      </c>
      <c r="F19" s="114" t="str">
        <f t="shared" si="10"/>
        <v>  </v>
      </c>
      <c r="G19" s="149" t="str">
        <f t="shared" si="11"/>
        <v>  </v>
      </c>
      <c r="H19" s="180"/>
      <c r="I19" s="180"/>
      <c r="J19" s="180"/>
      <c r="K19" s="180"/>
      <c r="L19" s="204"/>
      <c r="M19" s="139">
        <f t="shared" si="12"/>
        <v>0</v>
      </c>
      <c r="N19" s="140" t="str">
        <f t="shared" si="13"/>
        <v>#DIV/0!</v>
      </c>
      <c r="O19" s="116"/>
      <c r="P19" s="116"/>
      <c r="Q19" s="180"/>
      <c r="R19" s="179"/>
      <c r="S19" s="179"/>
      <c r="T19" s="116"/>
      <c r="U19" s="116"/>
      <c r="V19" s="179"/>
      <c r="W19" s="116"/>
      <c r="X19" s="138">
        <v>1.0</v>
      </c>
      <c r="Y19" s="179"/>
      <c r="Z19" s="210">
        <v>1.0</v>
      </c>
      <c r="AA19" s="187">
        <v>1.0</v>
      </c>
      <c r="AB19" s="138">
        <v>1.0</v>
      </c>
      <c r="AC19" s="184">
        <v>1.0</v>
      </c>
      <c r="AD19" s="138">
        <v>1.0</v>
      </c>
      <c r="AE19" s="116"/>
      <c r="AF19" s="176"/>
      <c r="AG19" s="182">
        <v>1.0</v>
      </c>
      <c r="AH19" s="116"/>
      <c r="AI19" s="176"/>
      <c r="AJ19" s="139">
        <f t="shared" si="14"/>
        <v>7</v>
      </c>
      <c r="AK19" s="205">
        <f t="shared" si="15"/>
        <v>70</v>
      </c>
      <c r="AL19" s="222"/>
      <c r="AM19" s="184">
        <v>1.0</v>
      </c>
      <c r="AN19" s="184">
        <v>1.0</v>
      </c>
      <c r="AO19" s="138">
        <v>1.0</v>
      </c>
      <c r="AP19" s="116"/>
      <c r="AQ19" s="116"/>
      <c r="AR19" s="138">
        <v>1.0</v>
      </c>
      <c r="AS19" s="166"/>
      <c r="AT19" s="116"/>
      <c r="AU19" s="138">
        <v>1.0</v>
      </c>
      <c r="AV19" s="138">
        <v>1.0</v>
      </c>
      <c r="AW19" s="184">
        <v>1.0</v>
      </c>
      <c r="AX19" s="116"/>
      <c r="AY19" s="116"/>
      <c r="AZ19" s="116"/>
      <c r="BA19" s="215">
        <v>1.0</v>
      </c>
      <c r="BB19" s="116"/>
      <c r="BC19" s="116"/>
      <c r="BD19" s="194"/>
      <c r="BE19" s="188">
        <v>1.0</v>
      </c>
      <c r="BF19" s="194"/>
      <c r="BG19" s="139">
        <f t="shared" si="16"/>
        <v>9</v>
      </c>
      <c r="BH19" s="208">
        <f t="shared" si="17"/>
        <v>75</v>
      </c>
      <c r="BI19" s="116"/>
      <c r="BJ19" s="116"/>
      <c r="BK19" s="180"/>
      <c r="BL19" s="116"/>
      <c r="BM19" s="116"/>
      <c r="BN19" s="116"/>
      <c r="BO19" s="116"/>
      <c r="BP19" s="138">
        <v>1.0</v>
      </c>
      <c r="BQ19" s="211"/>
      <c r="BR19" s="166"/>
      <c r="BS19" s="138">
        <v>1.0</v>
      </c>
      <c r="BT19" s="138">
        <v>1.0</v>
      </c>
      <c r="BU19" s="145">
        <v>1.0</v>
      </c>
      <c r="BV19" s="43"/>
      <c r="BW19" s="198"/>
      <c r="BX19" s="116"/>
      <c r="BY19" s="138">
        <v>1.0</v>
      </c>
      <c r="BZ19" s="165"/>
      <c r="CA19" s="116"/>
      <c r="CB19" s="165"/>
      <c r="CC19" s="165"/>
      <c r="CD19" s="165"/>
      <c r="CE19" s="124">
        <f t="shared" si="18"/>
        <v>5</v>
      </c>
      <c r="CF19" s="173">
        <f t="shared" si="19"/>
        <v>45.45454545</v>
      </c>
      <c r="CG19" s="116"/>
      <c r="CH19" s="238"/>
      <c r="CI19" s="186"/>
      <c r="CJ19" s="116"/>
      <c r="CK19" s="116"/>
      <c r="CL19" s="186"/>
      <c r="CM19" s="116"/>
      <c r="CN19" s="223"/>
      <c r="CO19" s="116"/>
      <c r="CP19" s="166"/>
      <c r="CQ19" s="213"/>
      <c r="CR19" s="213"/>
      <c r="CS19" s="116"/>
      <c r="CT19" s="213"/>
      <c r="CU19" s="213"/>
      <c r="CV19" s="213"/>
      <c r="CW19" s="128">
        <f t="shared" si="20"/>
        <v>0</v>
      </c>
      <c r="CX19" s="214">
        <f t="shared" si="21"/>
        <v>0</v>
      </c>
      <c r="CY19" s="171"/>
      <c r="CZ19" s="171"/>
      <c r="DA19" s="171"/>
      <c r="DB19" s="171"/>
      <c r="DC19" s="171"/>
      <c r="DD19" s="171"/>
      <c r="DE19" s="171"/>
      <c r="DF19" s="171"/>
      <c r="DG19" s="171"/>
      <c r="DH19" s="171"/>
      <c r="DI19" s="171"/>
      <c r="DJ19" s="171"/>
      <c r="DK19" s="128">
        <f t="shared" si="22"/>
        <v>0</v>
      </c>
      <c r="DL19" s="158" t="str">
        <f t="shared" si="23"/>
        <v>#DIV/0!</v>
      </c>
    </row>
    <row r="20">
      <c r="A20" s="131">
        <v>11.0</v>
      </c>
      <c r="B20" s="111" t="s">
        <v>72</v>
      </c>
      <c r="C20" s="112" t="s">
        <v>73</v>
      </c>
      <c r="D20" s="98">
        <f t="shared" si="8"/>
        <v>25</v>
      </c>
      <c r="E20" s="130">
        <f t="shared" si="9"/>
        <v>71.42857143</v>
      </c>
      <c r="F20" s="92" t="str">
        <f t="shared" si="10"/>
        <v>  </v>
      </c>
      <c r="G20" s="149" t="str">
        <f t="shared" si="11"/>
        <v>  </v>
      </c>
      <c r="H20" s="180"/>
      <c r="I20" s="180"/>
      <c r="J20" s="221"/>
      <c r="K20" s="180"/>
      <c r="L20" s="204"/>
      <c r="M20" s="139">
        <f t="shared" si="12"/>
        <v>0</v>
      </c>
      <c r="N20" s="140" t="str">
        <f t="shared" si="13"/>
        <v>#DIV/0!</v>
      </c>
      <c r="O20" s="116"/>
      <c r="P20" s="116"/>
      <c r="Q20" s="116"/>
      <c r="R20" s="186"/>
      <c r="S20" s="116"/>
      <c r="T20" s="116"/>
      <c r="U20" s="116"/>
      <c r="V20" s="186"/>
      <c r="W20" s="138">
        <v>1.0</v>
      </c>
      <c r="X20" s="138">
        <v>1.0</v>
      </c>
      <c r="Y20" s="186"/>
      <c r="Z20" s="210">
        <v>1.0</v>
      </c>
      <c r="AA20" s="187">
        <v>1.0</v>
      </c>
      <c r="AB20" s="138">
        <v>1.0</v>
      </c>
      <c r="AC20" s="200">
        <v>1.0</v>
      </c>
      <c r="AD20" s="138">
        <v>1.0</v>
      </c>
      <c r="AE20" s="116"/>
      <c r="AF20" s="197">
        <v>1.0</v>
      </c>
      <c r="AG20" s="197">
        <v>1.0</v>
      </c>
      <c r="AH20" s="116"/>
      <c r="AI20" s="116"/>
      <c r="AJ20" s="139">
        <f t="shared" si="14"/>
        <v>9</v>
      </c>
      <c r="AK20" s="205">
        <f t="shared" si="15"/>
        <v>90</v>
      </c>
      <c r="AL20" s="138">
        <v>1.0</v>
      </c>
      <c r="AM20" s="138">
        <v>1.0</v>
      </c>
      <c r="AN20" s="186"/>
      <c r="AO20" s="138">
        <v>1.0</v>
      </c>
      <c r="AP20" s="116"/>
      <c r="AQ20" s="138">
        <v>1.0</v>
      </c>
      <c r="AR20" s="138">
        <v>1.0</v>
      </c>
      <c r="AS20" s="191">
        <v>1.0</v>
      </c>
      <c r="AT20" s="116"/>
      <c r="AU20" s="138">
        <v>1.0</v>
      </c>
      <c r="AV20" s="116"/>
      <c r="AW20" s="186"/>
      <c r="AX20" s="116"/>
      <c r="AY20" s="116"/>
      <c r="AZ20" s="116"/>
      <c r="BA20" s="215">
        <v>1.0</v>
      </c>
      <c r="BB20" s="116"/>
      <c r="BC20" s="116"/>
      <c r="BD20" s="194"/>
      <c r="BE20" s="194"/>
      <c r="BF20" s="194"/>
      <c r="BG20" s="139">
        <f t="shared" si="16"/>
        <v>7</v>
      </c>
      <c r="BH20" s="208">
        <f t="shared" si="17"/>
        <v>58.33333333</v>
      </c>
      <c r="BI20" s="116"/>
      <c r="BJ20" s="116"/>
      <c r="BK20" s="180"/>
      <c r="BL20" s="138">
        <v>1.0</v>
      </c>
      <c r="BM20" s="116"/>
      <c r="BN20" s="116"/>
      <c r="BO20" s="138">
        <v>1.0</v>
      </c>
      <c r="BP20" s="138">
        <v>1.0</v>
      </c>
      <c r="BQ20" s="116"/>
      <c r="BR20" s="166"/>
      <c r="BS20" s="138">
        <v>1.0</v>
      </c>
      <c r="BT20" s="138">
        <v>1.0</v>
      </c>
      <c r="BU20" s="145">
        <v>1.0</v>
      </c>
      <c r="BV20" s="145">
        <v>1.0</v>
      </c>
      <c r="BW20" s="198"/>
      <c r="BX20" s="116"/>
      <c r="BY20" s="138">
        <v>1.0</v>
      </c>
      <c r="BZ20" s="165"/>
      <c r="CA20" s="116"/>
      <c r="CB20" s="116"/>
      <c r="CC20" s="165"/>
      <c r="CD20" s="196">
        <v>1.0</v>
      </c>
      <c r="CE20" s="124">
        <f t="shared" si="18"/>
        <v>9</v>
      </c>
      <c r="CF20" s="173">
        <f t="shared" si="19"/>
        <v>81.81818182</v>
      </c>
      <c r="CG20" s="116"/>
      <c r="CH20" s="116"/>
      <c r="CI20" s="116"/>
      <c r="CJ20" s="116"/>
      <c r="CK20" s="116"/>
      <c r="CL20" s="186"/>
      <c r="CM20" s="223"/>
      <c r="CN20" s="116"/>
      <c r="CO20" s="116"/>
      <c r="CP20" s="166"/>
      <c r="CQ20" s="213"/>
      <c r="CR20" s="213"/>
      <c r="CS20" s="116"/>
      <c r="CT20" s="116"/>
      <c r="CU20" s="213"/>
      <c r="CV20" s="213"/>
      <c r="CW20" s="128">
        <f t="shared" si="20"/>
        <v>0</v>
      </c>
      <c r="CX20" s="214">
        <f t="shared" si="21"/>
        <v>0</v>
      </c>
      <c r="CY20" s="171"/>
      <c r="CZ20" s="171"/>
      <c r="DA20" s="171"/>
      <c r="DB20" s="171"/>
      <c r="DC20" s="171"/>
      <c r="DD20" s="171"/>
      <c r="DE20" s="171"/>
      <c r="DF20" s="171"/>
      <c r="DG20" s="171"/>
      <c r="DH20" s="171"/>
      <c r="DI20" s="171"/>
      <c r="DJ20" s="171"/>
      <c r="DK20" s="128">
        <f t="shared" si="22"/>
        <v>0</v>
      </c>
      <c r="DL20" s="158" t="str">
        <f t="shared" si="23"/>
        <v>#DIV/0!</v>
      </c>
    </row>
    <row r="21" ht="15.75" customHeight="1">
      <c r="A21" s="146">
        <v>12.0</v>
      </c>
      <c r="B21" s="111" t="s">
        <v>74</v>
      </c>
      <c r="C21" s="112" t="s">
        <v>75</v>
      </c>
      <c r="D21" s="98">
        <f t="shared" si="8"/>
        <v>16</v>
      </c>
      <c r="E21" s="130">
        <f t="shared" si="9"/>
        <v>45.71428571</v>
      </c>
      <c r="F21" s="114">
        <f t="shared" si="10"/>
        <v>45.71428571</v>
      </c>
      <c r="G21" s="149" t="str">
        <f t="shared" si="11"/>
        <v>  </v>
      </c>
      <c r="H21" s="180"/>
      <c r="I21" s="180"/>
      <c r="J21" s="180"/>
      <c r="K21" s="203"/>
      <c r="L21" s="239"/>
      <c r="M21" s="139">
        <f t="shared" si="12"/>
        <v>0</v>
      </c>
      <c r="N21" s="140" t="str">
        <f t="shared" si="13"/>
        <v>#DIV/0!</v>
      </c>
      <c r="O21" s="116"/>
      <c r="P21" s="116"/>
      <c r="Q21" s="116"/>
      <c r="R21" s="179"/>
      <c r="S21" s="116"/>
      <c r="T21" s="116"/>
      <c r="U21" s="116"/>
      <c r="V21" s="179"/>
      <c r="W21" s="116"/>
      <c r="X21" s="138">
        <v>1.0</v>
      </c>
      <c r="Y21" s="179"/>
      <c r="Z21" s="210">
        <v>1.0</v>
      </c>
      <c r="AA21" s="187">
        <v>1.0</v>
      </c>
      <c r="AB21" s="116"/>
      <c r="AC21" s="184">
        <v>1.0</v>
      </c>
      <c r="AD21" s="176"/>
      <c r="AE21" s="176"/>
      <c r="AF21" s="176"/>
      <c r="AG21" s="182">
        <v>1.0</v>
      </c>
      <c r="AH21" s="176"/>
      <c r="AI21" s="176"/>
      <c r="AJ21" s="139">
        <f t="shared" si="14"/>
        <v>5</v>
      </c>
      <c r="AK21" s="205">
        <f t="shared" si="15"/>
        <v>50</v>
      </c>
      <c r="AL21" s="222"/>
      <c r="AM21" s="138">
        <v>1.0</v>
      </c>
      <c r="AN21" s="179"/>
      <c r="AO21" s="184">
        <v>1.0</v>
      </c>
      <c r="AP21" s="116"/>
      <c r="AQ21" s="138">
        <v>1.0</v>
      </c>
      <c r="AR21" s="116"/>
      <c r="AS21" s="166"/>
      <c r="AT21" s="116"/>
      <c r="AU21" s="138">
        <v>1.0</v>
      </c>
      <c r="AV21" s="116"/>
      <c r="AW21" s="184">
        <v>1.0</v>
      </c>
      <c r="AX21" s="116"/>
      <c r="AY21" s="116"/>
      <c r="AZ21" s="180"/>
      <c r="BA21" s="215">
        <v>1.0</v>
      </c>
      <c r="BB21" s="204"/>
      <c r="BC21" s="204"/>
      <c r="BD21" s="181"/>
      <c r="BE21" s="181"/>
      <c r="BF21" s="181"/>
      <c r="BG21" s="139">
        <f t="shared" si="16"/>
        <v>6</v>
      </c>
      <c r="BH21" s="208">
        <f t="shared" si="17"/>
        <v>50</v>
      </c>
      <c r="BI21" s="116"/>
      <c r="BJ21" s="116"/>
      <c r="BK21" s="180"/>
      <c r="BL21" s="116"/>
      <c r="BM21" s="116"/>
      <c r="BN21" s="116"/>
      <c r="BO21" s="138">
        <v>1.0</v>
      </c>
      <c r="BP21" s="116"/>
      <c r="BQ21" s="116"/>
      <c r="BR21" s="166"/>
      <c r="BS21" s="196">
        <v>1.0</v>
      </c>
      <c r="BT21" s="116"/>
      <c r="BU21" s="43"/>
      <c r="BV21" s="43"/>
      <c r="BW21" s="198"/>
      <c r="BX21" s="43"/>
      <c r="BY21" s="138">
        <v>1.0</v>
      </c>
      <c r="BZ21" s="165"/>
      <c r="CA21" s="116"/>
      <c r="CB21" s="116"/>
      <c r="CC21" s="165"/>
      <c r="CD21" s="165"/>
      <c r="CE21" s="124">
        <f t="shared" si="18"/>
        <v>3</v>
      </c>
      <c r="CF21" s="173">
        <f t="shared" si="19"/>
        <v>27.27272727</v>
      </c>
      <c r="CG21" s="138">
        <v>1.0</v>
      </c>
      <c r="CH21" s="138">
        <v>1.0</v>
      </c>
      <c r="CI21" s="116"/>
      <c r="CJ21" s="116"/>
      <c r="CK21" s="116"/>
      <c r="CL21" s="186"/>
      <c r="CM21" s="223"/>
      <c r="CN21" s="116"/>
      <c r="CO21" s="223"/>
      <c r="CP21" s="166"/>
      <c r="CQ21" s="213"/>
      <c r="CR21" s="213"/>
      <c r="CS21" s="116"/>
      <c r="CT21" s="116"/>
      <c r="CU21" s="213"/>
      <c r="CV21" s="213"/>
      <c r="CW21" s="128">
        <f t="shared" si="20"/>
        <v>2</v>
      </c>
      <c r="CX21" s="214">
        <f t="shared" si="21"/>
        <v>100</v>
      </c>
      <c r="CY21" s="171"/>
      <c r="CZ21" s="171"/>
      <c r="DA21" s="171"/>
      <c r="DB21" s="171"/>
      <c r="DC21" s="171"/>
      <c r="DD21" s="171"/>
      <c r="DE21" s="171"/>
      <c r="DF21" s="171"/>
      <c r="DG21" s="171"/>
      <c r="DH21" s="171"/>
      <c r="DI21" s="171"/>
      <c r="DJ21" s="171"/>
      <c r="DK21" s="128">
        <f t="shared" si="22"/>
        <v>0</v>
      </c>
      <c r="DL21" s="158" t="str">
        <f t="shared" si="23"/>
        <v>#DIV/0!</v>
      </c>
    </row>
    <row r="22" ht="15.75" customHeight="1">
      <c r="A22" s="50">
        <v>13.0</v>
      </c>
      <c r="B22" s="111" t="s">
        <v>76</v>
      </c>
      <c r="C22" s="112" t="s">
        <v>77</v>
      </c>
      <c r="D22" s="98">
        <f t="shared" si="8"/>
        <v>16</v>
      </c>
      <c r="E22" s="130">
        <f t="shared" si="9"/>
        <v>45.71428571</v>
      </c>
      <c r="F22" s="114">
        <f t="shared" si="10"/>
        <v>45.71428571</v>
      </c>
      <c r="G22" s="149" t="str">
        <f t="shared" si="11"/>
        <v>  </v>
      </c>
      <c r="H22" s="203"/>
      <c r="I22" s="180"/>
      <c r="J22" s="180"/>
      <c r="K22" s="180"/>
      <c r="L22" s="204"/>
      <c r="M22" s="139">
        <f t="shared" si="12"/>
        <v>0</v>
      </c>
      <c r="N22" s="140" t="str">
        <f t="shared" si="13"/>
        <v>#DIV/0!</v>
      </c>
      <c r="O22" s="116"/>
      <c r="P22" s="116"/>
      <c r="Q22" s="116"/>
      <c r="R22" s="179"/>
      <c r="S22" s="116"/>
      <c r="T22" s="116"/>
      <c r="U22" s="116"/>
      <c r="V22" s="179"/>
      <c r="W22" s="116"/>
      <c r="X22" s="138">
        <v>1.0</v>
      </c>
      <c r="Y22" s="179"/>
      <c r="Z22" s="185"/>
      <c r="AA22" s="217"/>
      <c r="AB22" s="116"/>
      <c r="AC22" s="179"/>
      <c r="AD22" s="182">
        <v>1.0</v>
      </c>
      <c r="AE22" s="176"/>
      <c r="AF22" s="176"/>
      <c r="AG22" s="182">
        <v>1.0</v>
      </c>
      <c r="AH22" s="176"/>
      <c r="AI22" s="176"/>
      <c r="AJ22" s="139">
        <f t="shared" si="14"/>
        <v>3</v>
      </c>
      <c r="AK22" s="205">
        <f t="shared" si="15"/>
        <v>30</v>
      </c>
      <c r="AL22" s="116"/>
      <c r="AM22" s="138">
        <v>1.0</v>
      </c>
      <c r="AN22" s="179"/>
      <c r="AO22" s="184">
        <v>1.0</v>
      </c>
      <c r="AP22" s="116"/>
      <c r="AQ22" s="116"/>
      <c r="AR22" s="138">
        <v>1.0</v>
      </c>
      <c r="AS22" s="166"/>
      <c r="AT22" s="116"/>
      <c r="AU22" s="138">
        <v>1.0</v>
      </c>
      <c r="AV22" s="116"/>
      <c r="AW22" s="184">
        <v>1.0</v>
      </c>
      <c r="AX22" s="116"/>
      <c r="AY22" s="116"/>
      <c r="AZ22" s="180"/>
      <c r="BA22" s="215">
        <v>1.0</v>
      </c>
      <c r="BB22" s="204"/>
      <c r="BC22" s="204"/>
      <c r="BD22" s="181"/>
      <c r="BE22" s="181"/>
      <c r="BF22" s="181"/>
      <c r="BG22" s="139">
        <f t="shared" si="16"/>
        <v>6</v>
      </c>
      <c r="BH22" s="208">
        <f t="shared" si="17"/>
        <v>50</v>
      </c>
      <c r="BI22" s="116"/>
      <c r="BJ22" s="180"/>
      <c r="BK22" s="180"/>
      <c r="BL22" s="138">
        <v>1.0</v>
      </c>
      <c r="BM22" s="116"/>
      <c r="BN22" s="116"/>
      <c r="BO22" s="138">
        <v>1.0</v>
      </c>
      <c r="BP22" s="138">
        <v>1.0</v>
      </c>
      <c r="BQ22" s="116"/>
      <c r="BR22" s="166"/>
      <c r="BS22" s="138">
        <v>1.0</v>
      </c>
      <c r="BT22" s="138">
        <v>1.0</v>
      </c>
      <c r="BU22" s="43"/>
      <c r="BV22" s="43"/>
      <c r="BW22" s="198"/>
      <c r="BX22" s="116"/>
      <c r="BY22" s="138">
        <v>1.0</v>
      </c>
      <c r="BZ22" s="165"/>
      <c r="CA22" s="116"/>
      <c r="CB22" s="116"/>
      <c r="CC22" s="165"/>
      <c r="CD22" s="165"/>
      <c r="CE22" s="124">
        <f t="shared" si="18"/>
        <v>6</v>
      </c>
      <c r="CF22" s="173">
        <f t="shared" si="19"/>
        <v>54.54545455</v>
      </c>
      <c r="CG22" s="138">
        <v>1.0</v>
      </c>
      <c r="CH22" s="116"/>
      <c r="CI22" s="186"/>
      <c r="CJ22" s="116"/>
      <c r="CK22" s="116"/>
      <c r="CL22" s="186"/>
      <c r="CM22" s="223"/>
      <c r="CN22" s="116"/>
      <c r="CO22" s="116"/>
      <c r="CP22" s="166"/>
      <c r="CQ22" s="213"/>
      <c r="CR22" s="213"/>
      <c r="CS22" s="116"/>
      <c r="CT22" s="213"/>
      <c r="CU22" s="213"/>
      <c r="CV22" s="213"/>
      <c r="CW22" s="128">
        <f t="shared" si="20"/>
        <v>1</v>
      </c>
      <c r="CX22" s="214">
        <f t="shared" si="21"/>
        <v>50</v>
      </c>
      <c r="CY22" s="171"/>
      <c r="CZ22" s="171"/>
      <c r="DA22" s="171"/>
      <c r="DB22" s="171"/>
      <c r="DC22" s="171"/>
      <c r="DD22" s="171"/>
      <c r="DE22" s="171"/>
      <c r="DF22" s="171"/>
      <c r="DG22" s="171"/>
      <c r="DH22" s="171"/>
      <c r="DI22" s="171"/>
      <c r="DJ22" s="171"/>
      <c r="DK22" s="128">
        <f t="shared" si="22"/>
        <v>0</v>
      </c>
      <c r="DL22" s="158" t="str">
        <f t="shared" si="23"/>
        <v>#DIV/0!</v>
      </c>
    </row>
    <row r="23" ht="15.75" customHeight="1">
      <c r="A23" s="131">
        <v>14.0</v>
      </c>
      <c r="B23" s="111" t="s">
        <v>78</v>
      </c>
      <c r="C23" s="112" t="s">
        <v>79</v>
      </c>
      <c r="D23" s="98">
        <f t="shared" si="8"/>
        <v>12</v>
      </c>
      <c r="E23" s="130">
        <f t="shared" si="9"/>
        <v>34.28571429</v>
      </c>
      <c r="F23" s="114">
        <f t="shared" si="10"/>
        <v>34.28571429</v>
      </c>
      <c r="G23" s="149" t="str">
        <f t="shared" si="11"/>
        <v>  </v>
      </c>
      <c r="H23" s="180"/>
      <c r="I23" s="203"/>
      <c r="J23" s="180"/>
      <c r="K23" s="180"/>
      <c r="L23" s="204"/>
      <c r="M23" s="139">
        <f t="shared" si="12"/>
        <v>0</v>
      </c>
      <c r="N23" s="140" t="str">
        <f t="shared" si="13"/>
        <v>#DIV/0!</v>
      </c>
      <c r="O23" s="116"/>
      <c r="P23" s="116"/>
      <c r="Q23" s="180"/>
      <c r="R23" s="179"/>
      <c r="S23" s="179"/>
      <c r="T23" s="116"/>
      <c r="U23" s="116"/>
      <c r="V23" s="179"/>
      <c r="W23" s="116"/>
      <c r="X23" s="138">
        <v>1.0</v>
      </c>
      <c r="Y23" s="179"/>
      <c r="Z23" s="185"/>
      <c r="AA23" s="217"/>
      <c r="AB23" s="116"/>
      <c r="AC23" s="179"/>
      <c r="AD23" s="182">
        <v>1.0</v>
      </c>
      <c r="AE23" s="138">
        <v>1.0</v>
      </c>
      <c r="AF23" s="176"/>
      <c r="AG23" s="176"/>
      <c r="AH23" s="116"/>
      <c r="AI23" s="116"/>
      <c r="AJ23" s="139">
        <f t="shared" si="14"/>
        <v>3</v>
      </c>
      <c r="AK23" s="205">
        <f t="shared" si="15"/>
        <v>30</v>
      </c>
      <c r="AL23" s="116"/>
      <c r="AM23" s="184">
        <v>1.0</v>
      </c>
      <c r="AN23" s="184">
        <v>1.0</v>
      </c>
      <c r="AO23" s="184">
        <v>1.0</v>
      </c>
      <c r="AP23" s="116"/>
      <c r="AQ23" s="116"/>
      <c r="AR23" s="116"/>
      <c r="AS23" s="166"/>
      <c r="AT23" s="116"/>
      <c r="AU23" s="116"/>
      <c r="AV23" s="138">
        <v>1.0</v>
      </c>
      <c r="AW23" s="179"/>
      <c r="AX23" s="116"/>
      <c r="AY23" s="116"/>
      <c r="AZ23" s="116"/>
      <c r="BA23" s="215">
        <v>1.0</v>
      </c>
      <c r="BC23" s="204"/>
      <c r="BD23" s="181"/>
      <c r="BE23" s="181"/>
      <c r="BF23" s="181"/>
      <c r="BG23" s="139">
        <f t="shared" si="16"/>
        <v>5</v>
      </c>
      <c r="BH23" s="208">
        <f t="shared" si="17"/>
        <v>41.66666667</v>
      </c>
      <c r="BI23" s="116"/>
      <c r="BJ23" s="116"/>
      <c r="BK23" s="180"/>
      <c r="BL23" s="138">
        <v>1.0</v>
      </c>
      <c r="BM23" s="116"/>
      <c r="BN23" s="116"/>
      <c r="BO23" s="116"/>
      <c r="BP23" s="116"/>
      <c r="BQ23" s="116"/>
      <c r="BR23" s="166"/>
      <c r="BS23" s="165"/>
      <c r="BT23" s="116"/>
      <c r="BU23" s="43"/>
      <c r="BV23" s="116"/>
      <c r="BW23" s="198"/>
      <c r="BX23" s="43"/>
      <c r="BY23" s="138">
        <v>1.0</v>
      </c>
      <c r="BZ23" s="165"/>
      <c r="CA23" s="116"/>
      <c r="CB23" s="116"/>
      <c r="CC23" s="165"/>
      <c r="CD23" s="165"/>
      <c r="CE23" s="124">
        <f t="shared" si="18"/>
        <v>2</v>
      </c>
      <c r="CF23" s="173">
        <f t="shared" si="19"/>
        <v>18.18181818</v>
      </c>
      <c r="CG23" s="184">
        <v>1.0</v>
      </c>
      <c r="CH23" s="138">
        <v>1.0</v>
      </c>
      <c r="CI23" s="116"/>
      <c r="CJ23" s="186"/>
      <c r="CK23" s="231"/>
      <c r="CL23" s="186"/>
      <c r="CM23" s="116"/>
      <c r="CN23" s="223"/>
      <c r="CO23" s="116"/>
      <c r="CP23" s="166"/>
      <c r="CQ23" s="213"/>
      <c r="CR23" s="213"/>
      <c r="CS23" s="213"/>
      <c r="CT23" s="116"/>
      <c r="CU23" s="116"/>
      <c r="CV23" s="213"/>
      <c r="CW23" s="128">
        <f t="shared" si="20"/>
        <v>2</v>
      </c>
      <c r="CX23" s="214">
        <f t="shared" si="21"/>
        <v>100</v>
      </c>
      <c r="CY23" s="171"/>
      <c r="CZ23" s="171"/>
      <c r="DA23" s="171"/>
      <c r="DB23" s="171"/>
      <c r="DC23" s="171"/>
      <c r="DD23" s="171"/>
      <c r="DE23" s="171"/>
      <c r="DF23" s="171"/>
      <c r="DG23" s="171"/>
      <c r="DH23" s="171"/>
      <c r="DI23" s="171"/>
      <c r="DJ23" s="171"/>
      <c r="DK23" s="128">
        <f t="shared" si="22"/>
        <v>0</v>
      </c>
      <c r="DL23" s="158" t="str">
        <f t="shared" si="23"/>
        <v>#DIV/0!</v>
      </c>
    </row>
    <row r="24" ht="15.75" customHeight="1">
      <c r="A24" s="146">
        <v>15.0</v>
      </c>
      <c r="B24" s="111" t="s">
        <v>80</v>
      </c>
      <c r="C24" s="112" t="s">
        <v>81</v>
      </c>
      <c r="D24" s="98">
        <f t="shared" si="8"/>
        <v>12</v>
      </c>
      <c r="E24" s="130">
        <f t="shared" si="9"/>
        <v>34.28571429</v>
      </c>
      <c r="F24" s="114">
        <f t="shared" si="10"/>
        <v>34.28571429</v>
      </c>
      <c r="G24" s="149" t="str">
        <f t="shared" si="11"/>
        <v>  </v>
      </c>
      <c r="H24" s="180"/>
      <c r="I24" s="180"/>
      <c r="J24" s="180"/>
      <c r="K24" s="203"/>
      <c r="L24" s="239"/>
      <c r="M24" s="139">
        <f t="shared" si="12"/>
        <v>0</v>
      </c>
      <c r="N24" s="140" t="str">
        <f t="shared" si="13"/>
        <v>#DIV/0!</v>
      </c>
      <c r="O24" s="116"/>
      <c r="P24" s="116"/>
      <c r="Q24" s="116"/>
      <c r="R24" s="179"/>
      <c r="S24" s="179"/>
      <c r="T24" s="116"/>
      <c r="U24" s="116"/>
      <c r="V24" s="179"/>
      <c r="W24" s="116"/>
      <c r="X24" s="138">
        <v>1.0</v>
      </c>
      <c r="Y24" s="179"/>
      <c r="Z24" s="210">
        <v>1.0</v>
      </c>
      <c r="AA24" s="187">
        <v>1.0</v>
      </c>
      <c r="AB24" s="116"/>
      <c r="AC24" s="184">
        <v>1.0</v>
      </c>
      <c r="AD24" s="176"/>
      <c r="AE24" s="116"/>
      <c r="AF24" s="176"/>
      <c r="AG24" s="176"/>
      <c r="AH24" s="176"/>
      <c r="AI24" s="176"/>
      <c r="AJ24" s="139">
        <f t="shared" si="14"/>
        <v>4</v>
      </c>
      <c r="AK24" s="205">
        <f t="shared" si="15"/>
        <v>40</v>
      </c>
      <c r="AL24" s="222"/>
      <c r="AM24" s="138">
        <v>1.0</v>
      </c>
      <c r="AN24" s="179"/>
      <c r="AO24" s="179"/>
      <c r="AP24" s="116"/>
      <c r="AQ24" s="116"/>
      <c r="AR24" s="116"/>
      <c r="AS24" s="166"/>
      <c r="AT24" s="116"/>
      <c r="AU24" s="138">
        <v>1.0</v>
      </c>
      <c r="AV24" s="116"/>
      <c r="AW24" s="184">
        <v>1.0</v>
      </c>
      <c r="AX24" s="116"/>
      <c r="AY24" s="116"/>
      <c r="AZ24" s="180"/>
      <c r="BA24" s="215">
        <v>1.0</v>
      </c>
      <c r="BB24" s="204"/>
      <c r="BC24" s="204"/>
      <c r="BD24" s="181"/>
      <c r="BE24" s="181"/>
      <c r="BF24" s="181"/>
      <c r="BG24" s="139">
        <f t="shared" si="16"/>
        <v>4</v>
      </c>
      <c r="BH24" s="208">
        <f t="shared" si="17"/>
        <v>33.33333333</v>
      </c>
      <c r="BI24" s="116"/>
      <c r="BJ24" s="116"/>
      <c r="BK24" s="180"/>
      <c r="BL24" s="116"/>
      <c r="BM24" s="116"/>
      <c r="BN24" s="116"/>
      <c r="BO24" s="138">
        <v>1.0</v>
      </c>
      <c r="BP24" s="116"/>
      <c r="BQ24" s="116"/>
      <c r="BR24" s="166"/>
      <c r="BS24" s="138">
        <v>1.0</v>
      </c>
      <c r="BT24" s="116"/>
      <c r="BU24" s="43"/>
      <c r="BV24" s="43"/>
      <c r="BW24" s="198"/>
      <c r="BX24" s="116"/>
      <c r="BY24" s="138">
        <v>1.0</v>
      </c>
      <c r="BZ24" s="165"/>
      <c r="CA24" s="116"/>
      <c r="CB24" s="165"/>
      <c r="CC24" s="165"/>
      <c r="CD24" s="165"/>
      <c r="CE24" s="124">
        <f t="shared" si="18"/>
        <v>3</v>
      </c>
      <c r="CF24" s="173">
        <f t="shared" si="19"/>
        <v>27.27272727</v>
      </c>
      <c r="CG24" s="138">
        <v>1.0</v>
      </c>
      <c r="CH24" s="116"/>
      <c r="CI24" s="186"/>
      <c r="CJ24" s="116"/>
      <c r="CK24" s="116"/>
      <c r="CL24" s="186"/>
      <c r="CM24" s="223"/>
      <c r="CN24" s="116"/>
      <c r="CO24" s="116"/>
      <c r="CP24" s="166"/>
      <c r="CQ24" s="213"/>
      <c r="CR24" s="213"/>
      <c r="CS24" s="116"/>
      <c r="CT24" s="116"/>
      <c r="CU24" s="213"/>
      <c r="CV24" s="213"/>
      <c r="CW24" s="128">
        <f t="shared" si="20"/>
        <v>1</v>
      </c>
      <c r="CX24" s="214">
        <f t="shared" si="21"/>
        <v>50</v>
      </c>
      <c r="CY24" s="171"/>
      <c r="CZ24" s="171"/>
      <c r="DA24" s="171"/>
      <c r="DB24" s="171"/>
      <c r="DC24" s="171"/>
      <c r="DD24" s="171"/>
      <c r="DE24" s="171"/>
      <c r="DF24" s="171"/>
      <c r="DG24" s="171"/>
      <c r="DH24" s="171"/>
      <c r="DI24" s="171"/>
      <c r="DJ24" s="171"/>
      <c r="DK24" s="128">
        <f t="shared" si="22"/>
        <v>0</v>
      </c>
      <c r="DL24" s="158" t="str">
        <f t="shared" si="23"/>
        <v>#DIV/0!</v>
      </c>
    </row>
    <row r="25" ht="15.75" customHeight="1">
      <c r="A25" s="50">
        <v>16.0</v>
      </c>
      <c r="B25" s="111" t="s">
        <v>82</v>
      </c>
      <c r="C25" s="112" t="s">
        <v>83</v>
      </c>
      <c r="D25" s="98">
        <f t="shared" si="8"/>
        <v>16</v>
      </c>
      <c r="E25" s="130">
        <f t="shared" si="9"/>
        <v>45.71428571</v>
      </c>
      <c r="F25" s="114">
        <f t="shared" si="10"/>
        <v>45.71428571</v>
      </c>
      <c r="G25" s="149" t="str">
        <f t="shared" si="11"/>
        <v>  </v>
      </c>
      <c r="H25" s="180"/>
      <c r="I25" s="203"/>
      <c r="J25" s="203"/>
      <c r="K25" s="180"/>
      <c r="L25" s="204"/>
      <c r="M25" s="139">
        <f t="shared" si="12"/>
        <v>0</v>
      </c>
      <c r="N25" s="140" t="str">
        <f t="shared" si="13"/>
        <v>#DIV/0!</v>
      </c>
      <c r="O25" s="116"/>
      <c r="P25" s="116"/>
      <c r="Q25" s="180"/>
      <c r="R25" s="179"/>
      <c r="S25" s="179"/>
      <c r="T25" s="116"/>
      <c r="U25" s="116"/>
      <c r="V25" s="179"/>
      <c r="W25" s="116"/>
      <c r="X25" s="138">
        <v>1.0</v>
      </c>
      <c r="Y25" s="179"/>
      <c r="Z25" s="185"/>
      <c r="AA25" s="217"/>
      <c r="AB25" s="138">
        <v>1.0</v>
      </c>
      <c r="AC25" s="179"/>
      <c r="AD25" s="182">
        <v>1.0</v>
      </c>
      <c r="AE25" s="116"/>
      <c r="AF25" s="176"/>
      <c r="AG25" s="182">
        <v>1.0</v>
      </c>
      <c r="AH25" s="116"/>
      <c r="AI25" s="116"/>
      <c r="AJ25" s="139">
        <f t="shared" si="14"/>
        <v>4</v>
      </c>
      <c r="AK25" s="205">
        <f t="shared" si="15"/>
        <v>40</v>
      </c>
      <c r="AL25" s="116"/>
      <c r="AM25" s="138">
        <v>1.0</v>
      </c>
      <c r="AN25" s="184">
        <v>1.0</v>
      </c>
      <c r="AO25" s="138">
        <v>1.0</v>
      </c>
      <c r="AP25" s="116"/>
      <c r="AQ25" s="116"/>
      <c r="AR25" s="138">
        <v>1.0</v>
      </c>
      <c r="AS25" s="166"/>
      <c r="AT25" s="116"/>
      <c r="AU25" s="138">
        <v>1.0</v>
      </c>
      <c r="AV25" s="116"/>
      <c r="AW25" s="184">
        <v>1.0</v>
      </c>
      <c r="AX25" s="116"/>
      <c r="AY25" s="116"/>
      <c r="AZ25" s="180"/>
      <c r="BA25" s="215">
        <v>1.0</v>
      </c>
      <c r="BB25" s="116"/>
      <c r="BC25" s="204"/>
      <c r="BD25" s="181"/>
      <c r="BE25" s="181"/>
      <c r="BF25" s="181"/>
      <c r="BG25" s="139">
        <f t="shared" si="16"/>
        <v>7</v>
      </c>
      <c r="BH25" s="208">
        <f t="shared" si="17"/>
        <v>58.33333333</v>
      </c>
      <c r="BI25" s="116"/>
      <c r="BJ25" s="180"/>
      <c r="BK25" s="180"/>
      <c r="BL25" s="138">
        <v>1.0</v>
      </c>
      <c r="BM25" s="116"/>
      <c r="BN25" s="116"/>
      <c r="BO25" s="138">
        <v>1.0</v>
      </c>
      <c r="BP25" s="116"/>
      <c r="BQ25" s="116"/>
      <c r="BR25" s="166"/>
      <c r="BS25" s="138">
        <v>1.0</v>
      </c>
      <c r="BT25" s="185"/>
      <c r="BU25" s="43"/>
      <c r="BV25" s="43"/>
      <c r="BW25" s="198"/>
      <c r="BX25" s="116"/>
      <c r="BY25" s="138">
        <v>1.0</v>
      </c>
      <c r="BZ25" s="165"/>
      <c r="CA25" s="116"/>
      <c r="CB25" s="116"/>
      <c r="CC25" s="165"/>
      <c r="CD25" s="165"/>
      <c r="CE25" s="124">
        <f t="shared" si="18"/>
        <v>4</v>
      </c>
      <c r="CF25" s="173">
        <f t="shared" si="19"/>
        <v>36.36363636</v>
      </c>
      <c r="CG25" s="138">
        <v>1.0</v>
      </c>
      <c r="CH25" s="116"/>
      <c r="CI25" s="186"/>
      <c r="CJ25" s="116"/>
      <c r="CK25" s="116"/>
      <c r="CL25" s="186"/>
      <c r="CM25" s="223"/>
      <c r="CN25" s="223"/>
      <c r="CO25" s="116"/>
      <c r="CP25" s="166"/>
      <c r="CQ25" s="213"/>
      <c r="CR25" s="213"/>
      <c r="CS25" s="213"/>
      <c r="CT25" s="116"/>
      <c r="CU25" s="213"/>
      <c r="CV25" s="213"/>
      <c r="CW25" s="128">
        <f t="shared" si="20"/>
        <v>1</v>
      </c>
      <c r="CX25" s="214">
        <f t="shared" si="21"/>
        <v>50</v>
      </c>
      <c r="CY25" s="171"/>
      <c r="CZ25" s="171"/>
      <c r="DA25" s="171"/>
      <c r="DB25" s="171"/>
      <c r="DC25" s="171"/>
      <c r="DD25" s="171"/>
      <c r="DE25" s="171"/>
      <c r="DF25" s="171"/>
      <c r="DG25" s="171"/>
      <c r="DH25" s="171"/>
      <c r="DI25" s="171"/>
      <c r="DJ25" s="171"/>
      <c r="DK25" s="128">
        <f t="shared" si="22"/>
        <v>0</v>
      </c>
      <c r="DL25" s="158" t="str">
        <f t="shared" si="23"/>
        <v>#DIV/0!</v>
      </c>
    </row>
    <row r="26" ht="15.75" customHeight="1">
      <c r="A26" s="131">
        <v>17.0</v>
      </c>
      <c r="B26" s="111" t="s">
        <v>84</v>
      </c>
      <c r="C26" s="112" t="s">
        <v>85</v>
      </c>
      <c r="D26" s="98">
        <f t="shared" si="8"/>
        <v>21</v>
      </c>
      <c r="E26" s="130">
        <f t="shared" si="9"/>
        <v>60</v>
      </c>
      <c r="F26" s="92" t="str">
        <f t="shared" si="10"/>
        <v>  </v>
      </c>
      <c r="G26" s="149" t="str">
        <f t="shared" si="11"/>
        <v>  </v>
      </c>
      <c r="H26" s="180"/>
      <c r="I26" s="203"/>
      <c r="J26" s="180"/>
      <c r="K26" s="180"/>
      <c r="L26" s="204"/>
      <c r="M26" s="139">
        <f t="shared" si="12"/>
        <v>0</v>
      </c>
      <c r="N26" s="140" t="str">
        <f t="shared" si="13"/>
        <v>#DIV/0!</v>
      </c>
      <c r="O26" s="116"/>
      <c r="P26" s="116"/>
      <c r="Q26" s="180"/>
      <c r="R26" s="228"/>
      <c r="S26" s="228"/>
      <c r="T26" s="116"/>
      <c r="U26" s="116"/>
      <c r="V26" s="228"/>
      <c r="W26" s="138">
        <v>1.0</v>
      </c>
      <c r="X26" s="116"/>
      <c r="Y26" s="228"/>
      <c r="Z26" s="210">
        <v>1.0</v>
      </c>
      <c r="AA26" s="187">
        <v>1.0</v>
      </c>
      <c r="AB26" s="116"/>
      <c r="AC26" s="233">
        <v>1.0</v>
      </c>
      <c r="AD26" s="138">
        <v>1.0</v>
      </c>
      <c r="AE26" s="116"/>
      <c r="AF26" s="229">
        <v>1.0</v>
      </c>
      <c r="AG26" s="229">
        <v>1.0</v>
      </c>
      <c r="AH26" s="116"/>
      <c r="AI26" s="116"/>
      <c r="AJ26" s="139">
        <f t="shared" si="14"/>
        <v>7</v>
      </c>
      <c r="AK26" s="205">
        <f t="shared" si="15"/>
        <v>70</v>
      </c>
      <c r="AL26" s="116"/>
      <c r="AM26" s="116"/>
      <c r="AN26" s="228"/>
      <c r="AO26" s="116"/>
      <c r="AP26" s="116"/>
      <c r="AQ26" s="116"/>
      <c r="AR26" s="138">
        <v>1.0</v>
      </c>
      <c r="AS26" s="191">
        <v>1.0</v>
      </c>
      <c r="AT26" s="116"/>
      <c r="AU26" s="138">
        <v>1.0</v>
      </c>
      <c r="AV26" s="138">
        <v>1.0</v>
      </c>
      <c r="AW26" s="233">
        <v>1.0</v>
      </c>
      <c r="AX26" s="116"/>
      <c r="AY26" s="116"/>
      <c r="AZ26" s="180"/>
      <c r="BA26" s="215">
        <v>1.0</v>
      </c>
      <c r="BB26" s="204"/>
      <c r="BC26" s="204"/>
      <c r="BD26" s="181"/>
      <c r="BE26" s="219">
        <v>1.0</v>
      </c>
      <c r="BF26" s="181"/>
      <c r="BG26" s="139">
        <f t="shared" si="16"/>
        <v>7</v>
      </c>
      <c r="BH26" s="208">
        <f t="shared" si="17"/>
        <v>58.33333333</v>
      </c>
      <c r="BI26" s="116"/>
      <c r="BJ26" s="116"/>
      <c r="BK26" s="180"/>
      <c r="BL26" s="116"/>
      <c r="BM26" s="116"/>
      <c r="BN26" s="116"/>
      <c r="BO26" s="116"/>
      <c r="BP26" s="138">
        <v>1.0</v>
      </c>
      <c r="BQ26" s="116"/>
      <c r="BR26" s="166"/>
      <c r="BS26" s="138">
        <v>1.0</v>
      </c>
      <c r="BT26" s="210">
        <v>1.0</v>
      </c>
      <c r="BU26" s="145">
        <v>1.0</v>
      </c>
      <c r="BV26" s="43"/>
      <c r="BW26" s="198"/>
      <c r="BX26" s="116"/>
      <c r="BY26" s="138">
        <v>1.0</v>
      </c>
      <c r="BZ26" s="165"/>
      <c r="CA26" s="138">
        <v>1.0</v>
      </c>
      <c r="CB26" s="116"/>
      <c r="CC26" s="165"/>
      <c r="CD26" s="196">
        <v>1.0</v>
      </c>
      <c r="CE26" s="124">
        <f t="shared" si="18"/>
        <v>7</v>
      </c>
      <c r="CF26" s="173">
        <f t="shared" si="19"/>
        <v>63.63636364</v>
      </c>
      <c r="CG26" s="116"/>
      <c r="CH26" s="116"/>
      <c r="CI26" s="116"/>
      <c r="CJ26" s="186"/>
      <c r="CK26" s="116"/>
      <c r="CL26" s="186"/>
      <c r="CM26" s="116"/>
      <c r="CN26" s="116"/>
      <c r="CO26" s="116"/>
      <c r="CP26" s="166"/>
      <c r="CQ26" s="213"/>
      <c r="CR26" s="213"/>
      <c r="CS26" s="116"/>
      <c r="CT26" s="213"/>
      <c r="CU26" s="213"/>
      <c r="CV26" s="213"/>
      <c r="CW26" s="128">
        <f t="shared" si="20"/>
        <v>0</v>
      </c>
      <c r="CX26" s="214">
        <f t="shared" si="21"/>
        <v>0</v>
      </c>
      <c r="CY26" s="171"/>
      <c r="CZ26" s="171"/>
      <c r="DA26" s="171"/>
      <c r="DB26" s="171"/>
      <c r="DC26" s="171"/>
      <c r="DD26" s="171"/>
      <c r="DE26" s="171"/>
      <c r="DF26" s="171"/>
      <c r="DG26" s="171"/>
      <c r="DH26" s="171"/>
      <c r="DI26" s="171"/>
      <c r="DJ26" s="171"/>
      <c r="DK26" s="128">
        <f t="shared" si="22"/>
        <v>0</v>
      </c>
      <c r="DL26" s="158" t="str">
        <f t="shared" si="23"/>
        <v>#DIV/0!</v>
      </c>
    </row>
    <row r="27" ht="15.75" customHeight="1">
      <c r="A27" s="146">
        <v>18.0</v>
      </c>
      <c r="B27" s="111" t="s">
        <v>86</v>
      </c>
      <c r="C27" s="112" t="s">
        <v>87</v>
      </c>
      <c r="D27" s="98">
        <f t="shared" si="8"/>
        <v>16</v>
      </c>
      <c r="E27" s="130">
        <f t="shared" si="9"/>
        <v>45.71428571</v>
      </c>
      <c r="F27" s="114">
        <f t="shared" si="10"/>
        <v>45.71428571</v>
      </c>
      <c r="G27" s="149" t="str">
        <f t="shared" si="11"/>
        <v>  </v>
      </c>
      <c r="H27" s="180"/>
      <c r="I27" s="180"/>
      <c r="J27" s="203"/>
      <c r="K27" s="180"/>
      <c r="L27" s="204"/>
      <c r="M27" s="139">
        <f t="shared" si="12"/>
        <v>0</v>
      </c>
      <c r="N27" s="140" t="str">
        <f t="shared" si="13"/>
        <v>#DIV/0!</v>
      </c>
      <c r="O27" s="116"/>
      <c r="P27" s="116"/>
      <c r="Q27" s="180"/>
      <c r="R27" s="179"/>
      <c r="S27" s="116"/>
      <c r="T27" s="116"/>
      <c r="U27" s="116"/>
      <c r="V27" s="179"/>
      <c r="W27" s="116"/>
      <c r="X27" s="116"/>
      <c r="Y27" s="179"/>
      <c r="Z27" s="210">
        <v>1.0</v>
      </c>
      <c r="AA27" s="187">
        <v>1.0</v>
      </c>
      <c r="AB27" s="138">
        <v>1.0</v>
      </c>
      <c r="AC27" s="184">
        <v>1.0</v>
      </c>
      <c r="AD27" s="116"/>
      <c r="AE27" s="116"/>
      <c r="AF27" s="182">
        <v>1.0</v>
      </c>
      <c r="AG27" s="176"/>
      <c r="AH27" s="176"/>
      <c r="AI27" s="116"/>
      <c r="AJ27" s="139">
        <f t="shared" si="14"/>
        <v>5</v>
      </c>
      <c r="AK27" s="205">
        <f t="shared" si="15"/>
        <v>50</v>
      </c>
      <c r="AL27" s="116"/>
      <c r="AM27" s="184">
        <v>1.0</v>
      </c>
      <c r="AN27" s="179"/>
      <c r="AO27" s="116"/>
      <c r="AP27" s="179"/>
      <c r="AQ27" s="116"/>
      <c r="AR27" s="138">
        <v>1.0</v>
      </c>
      <c r="AS27" s="166"/>
      <c r="AT27" s="116"/>
      <c r="AU27" s="116"/>
      <c r="AV27" s="116"/>
      <c r="AW27" s="179"/>
      <c r="AX27" s="116"/>
      <c r="AY27" s="116"/>
      <c r="AZ27" s="116"/>
      <c r="BA27" s="215">
        <v>1.0</v>
      </c>
      <c r="BB27" s="204"/>
      <c r="BC27" s="204"/>
      <c r="BD27" s="181"/>
      <c r="BE27" s="181"/>
      <c r="BF27" s="181"/>
      <c r="BG27" s="139">
        <f t="shared" si="16"/>
        <v>3</v>
      </c>
      <c r="BH27" s="208">
        <f t="shared" si="17"/>
        <v>25</v>
      </c>
      <c r="BI27" s="116"/>
      <c r="BJ27" s="116"/>
      <c r="BK27" s="180"/>
      <c r="BL27" s="138">
        <v>1.0</v>
      </c>
      <c r="BM27" s="116"/>
      <c r="BN27" s="116"/>
      <c r="BO27" s="138">
        <v>1.0</v>
      </c>
      <c r="BP27" s="116"/>
      <c r="BQ27" s="116"/>
      <c r="BR27" s="166"/>
      <c r="BS27" s="138">
        <v>1.0</v>
      </c>
      <c r="BT27" s="185"/>
      <c r="BU27" s="145">
        <v>1.0</v>
      </c>
      <c r="BV27" s="43"/>
      <c r="BW27" s="198"/>
      <c r="BX27" s="43"/>
      <c r="BY27" s="116"/>
      <c r="BZ27" s="165"/>
      <c r="CA27" s="138">
        <v>1.0</v>
      </c>
      <c r="CB27" s="116"/>
      <c r="CC27" s="165"/>
      <c r="CD27" s="196">
        <v>1.0</v>
      </c>
      <c r="CE27" s="124">
        <f t="shared" si="18"/>
        <v>6</v>
      </c>
      <c r="CF27" s="173">
        <f t="shared" si="19"/>
        <v>54.54545455</v>
      </c>
      <c r="CG27" s="138">
        <v>1.0</v>
      </c>
      <c r="CH27" s="138">
        <v>1.0</v>
      </c>
      <c r="CI27" s="186"/>
      <c r="CJ27" s="116"/>
      <c r="CK27" s="116"/>
      <c r="CL27" s="186"/>
      <c r="CM27" s="223"/>
      <c r="CN27" s="116"/>
      <c r="CO27" s="223"/>
      <c r="CP27" s="166"/>
      <c r="CQ27" s="213"/>
      <c r="CR27" s="213"/>
      <c r="CS27" s="213"/>
      <c r="CT27" s="116"/>
      <c r="CU27" s="213"/>
      <c r="CV27" s="213"/>
      <c r="CW27" s="128">
        <f t="shared" si="20"/>
        <v>2</v>
      </c>
      <c r="CX27" s="214">
        <f t="shared" si="21"/>
        <v>100</v>
      </c>
      <c r="CY27" s="171"/>
      <c r="CZ27" s="171"/>
      <c r="DA27" s="171"/>
      <c r="DB27" s="171"/>
      <c r="DC27" s="171"/>
      <c r="DD27" s="171"/>
      <c r="DE27" s="171"/>
      <c r="DF27" s="171"/>
      <c r="DG27" s="171"/>
      <c r="DH27" s="171"/>
      <c r="DI27" s="171"/>
      <c r="DJ27" s="171"/>
      <c r="DK27" s="128">
        <f t="shared" si="22"/>
        <v>0</v>
      </c>
      <c r="DL27" s="158" t="str">
        <f t="shared" si="23"/>
        <v>#DIV/0!</v>
      </c>
    </row>
    <row r="28" ht="15.75" customHeight="1">
      <c r="A28" s="50">
        <v>19.0</v>
      </c>
      <c r="B28" s="111" t="s">
        <v>88</v>
      </c>
      <c r="C28" s="112" t="s">
        <v>89</v>
      </c>
      <c r="D28" s="98">
        <f t="shared" si="8"/>
        <v>22</v>
      </c>
      <c r="E28" s="130">
        <f t="shared" si="9"/>
        <v>62.85714286</v>
      </c>
      <c r="F28" s="92" t="str">
        <f t="shared" si="10"/>
        <v>  </v>
      </c>
      <c r="G28" s="149" t="str">
        <f t="shared" si="11"/>
        <v>  </v>
      </c>
      <c r="H28" s="180"/>
      <c r="I28" s="180"/>
      <c r="J28" s="180"/>
      <c r="K28" s="180"/>
      <c r="L28" s="204"/>
      <c r="M28" s="139">
        <f t="shared" si="12"/>
        <v>0</v>
      </c>
      <c r="N28" s="140" t="str">
        <f t="shared" si="13"/>
        <v>#DIV/0!</v>
      </c>
      <c r="O28" s="116"/>
      <c r="P28" s="116"/>
      <c r="Q28" s="180"/>
      <c r="R28" s="179"/>
      <c r="S28" s="179"/>
      <c r="T28" s="116"/>
      <c r="U28" s="116"/>
      <c r="V28" s="179"/>
      <c r="W28" s="116"/>
      <c r="X28" s="138">
        <v>1.0</v>
      </c>
      <c r="Y28" s="179"/>
      <c r="Z28" s="185"/>
      <c r="AA28" s="217"/>
      <c r="AB28" s="138">
        <v>1.0</v>
      </c>
      <c r="AC28" s="179"/>
      <c r="AD28" s="182">
        <v>1.0</v>
      </c>
      <c r="AE28" s="138">
        <v>1.0</v>
      </c>
      <c r="AF28" s="176"/>
      <c r="AG28" s="182">
        <v>1.0</v>
      </c>
      <c r="AH28" s="116"/>
      <c r="AI28" s="116"/>
      <c r="AJ28" s="139">
        <f t="shared" si="14"/>
        <v>5</v>
      </c>
      <c r="AK28" s="205">
        <f t="shared" si="15"/>
        <v>50</v>
      </c>
      <c r="AL28" s="116"/>
      <c r="AM28" s="184">
        <v>1.0</v>
      </c>
      <c r="AN28" s="184">
        <v>1.0</v>
      </c>
      <c r="AO28" s="184">
        <v>1.0</v>
      </c>
      <c r="AP28" s="116"/>
      <c r="AQ28" s="138">
        <v>1.0</v>
      </c>
      <c r="AR28" s="116"/>
      <c r="AS28" s="166"/>
      <c r="AT28" s="116"/>
      <c r="AU28" s="138">
        <v>1.0</v>
      </c>
      <c r="AV28" s="138">
        <v>1.0</v>
      </c>
      <c r="AW28" s="179"/>
      <c r="AX28" s="116"/>
      <c r="AY28" s="116"/>
      <c r="AZ28" s="116"/>
      <c r="BA28" s="215">
        <v>1.0</v>
      </c>
      <c r="BB28" s="204"/>
      <c r="BC28" s="204"/>
      <c r="BD28" s="181"/>
      <c r="BE28" s="181"/>
      <c r="BF28" s="181"/>
      <c r="BG28" s="139">
        <f t="shared" si="16"/>
        <v>7</v>
      </c>
      <c r="BH28" s="208">
        <f t="shared" si="17"/>
        <v>58.33333333</v>
      </c>
      <c r="BI28" s="116"/>
      <c r="BJ28" s="116"/>
      <c r="BK28" s="180"/>
      <c r="BL28" s="138">
        <v>1.0</v>
      </c>
      <c r="BM28" s="116"/>
      <c r="BN28" s="116"/>
      <c r="BO28" s="138">
        <v>1.0</v>
      </c>
      <c r="BP28" s="138">
        <v>1.0</v>
      </c>
      <c r="BQ28" s="211"/>
      <c r="BR28" s="166"/>
      <c r="BS28" s="196">
        <v>1.0</v>
      </c>
      <c r="BT28" s="210">
        <v>1.0</v>
      </c>
      <c r="BU28" s="43"/>
      <c r="BV28" s="138">
        <v>1.0</v>
      </c>
      <c r="BW28" s="216">
        <v>1.0</v>
      </c>
      <c r="BX28" s="43"/>
      <c r="BY28" s="138">
        <v>1.0</v>
      </c>
      <c r="BZ28" s="165"/>
      <c r="CA28" s="116"/>
      <c r="CB28" s="116"/>
      <c r="CC28" s="165"/>
      <c r="CD28" s="165"/>
      <c r="CE28" s="124">
        <f t="shared" si="18"/>
        <v>8</v>
      </c>
      <c r="CF28" s="173">
        <f t="shared" si="19"/>
        <v>72.72727273</v>
      </c>
      <c r="CG28" s="184">
        <v>1.0</v>
      </c>
      <c r="CH28" s="138">
        <v>1.0</v>
      </c>
      <c r="CI28" s="116"/>
      <c r="CJ28" s="186"/>
      <c r="CK28" s="116"/>
      <c r="CL28" s="186"/>
      <c r="CM28" s="116"/>
      <c r="CN28" s="223"/>
      <c r="CO28" s="116"/>
      <c r="CP28" s="166"/>
      <c r="CQ28" s="213"/>
      <c r="CR28" s="213"/>
      <c r="CS28" s="213"/>
      <c r="CT28" s="116"/>
      <c r="CU28" s="116"/>
      <c r="CV28" s="213"/>
      <c r="CW28" s="128">
        <f t="shared" si="20"/>
        <v>2</v>
      </c>
      <c r="CX28" s="214">
        <f t="shared" si="21"/>
        <v>100</v>
      </c>
      <c r="CY28" s="171"/>
      <c r="CZ28" s="171"/>
      <c r="DA28" s="171"/>
      <c r="DB28" s="171"/>
      <c r="DC28" s="171"/>
      <c r="DD28" s="171"/>
      <c r="DE28" s="171"/>
      <c r="DF28" s="171"/>
      <c r="DG28" s="171"/>
      <c r="DH28" s="171"/>
      <c r="DI28" s="171"/>
      <c r="DJ28" s="171"/>
      <c r="DK28" s="128">
        <f t="shared" si="22"/>
        <v>0</v>
      </c>
      <c r="DL28" s="158" t="str">
        <f t="shared" si="23"/>
        <v>#DIV/0!</v>
      </c>
    </row>
    <row r="29" ht="15.75" customHeight="1">
      <c r="A29" s="131">
        <v>20.0</v>
      </c>
      <c r="B29" s="111" t="s">
        <v>90</v>
      </c>
      <c r="C29" s="112" t="s">
        <v>91</v>
      </c>
      <c r="D29" s="98">
        <f t="shared" si="8"/>
        <v>14</v>
      </c>
      <c r="E29" s="130">
        <f t="shared" si="9"/>
        <v>40</v>
      </c>
      <c r="F29" s="114">
        <f t="shared" si="10"/>
        <v>40</v>
      </c>
      <c r="G29" s="149" t="str">
        <f t="shared" si="11"/>
        <v>  </v>
      </c>
      <c r="H29" s="180"/>
      <c r="I29" s="180"/>
      <c r="J29" s="180"/>
      <c r="K29" s="180"/>
      <c r="L29" s="204"/>
      <c r="M29" s="139">
        <f t="shared" si="12"/>
        <v>0</v>
      </c>
      <c r="N29" s="140" t="str">
        <f t="shared" si="13"/>
        <v>#DIV/0!</v>
      </c>
      <c r="O29" s="116"/>
      <c r="P29" s="116"/>
      <c r="Q29" s="180"/>
      <c r="R29" s="179"/>
      <c r="S29" s="116"/>
      <c r="T29" s="116"/>
      <c r="U29" s="116"/>
      <c r="V29" s="179"/>
      <c r="W29" s="116"/>
      <c r="X29" s="138">
        <v>1.0</v>
      </c>
      <c r="Y29" s="179"/>
      <c r="Z29" s="185"/>
      <c r="AA29" s="217"/>
      <c r="AB29" s="116"/>
      <c r="AC29" s="179"/>
      <c r="AD29" s="182">
        <v>1.0</v>
      </c>
      <c r="AE29" s="116"/>
      <c r="AF29" s="176"/>
      <c r="AG29" s="182">
        <v>1.0</v>
      </c>
      <c r="AH29" s="116"/>
      <c r="AI29" s="176"/>
      <c r="AJ29" s="139">
        <f t="shared" si="14"/>
        <v>3</v>
      </c>
      <c r="AK29" s="205">
        <f t="shared" si="15"/>
        <v>30</v>
      </c>
      <c r="AL29" s="116"/>
      <c r="AM29" s="116"/>
      <c r="AN29" s="179"/>
      <c r="AO29" s="138">
        <v>1.0</v>
      </c>
      <c r="AP29" s="116"/>
      <c r="AQ29" s="116"/>
      <c r="AR29" s="116"/>
      <c r="AS29" s="191">
        <v>1.0</v>
      </c>
      <c r="AT29" s="116"/>
      <c r="AU29" s="138">
        <v>1.0</v>
      </c>
      <c r="AV29" s="116"/>
      <c r="AW29" s="184">
        <v>1.0</v>
      </c>
      <c r="AX29" s="116"/>
      <c r="AY29" s="116"/>
      <c r="AZ29" s="180"/>
      <c r="BA29" s="215">
        <v>1.0</v>
      </c>
      <c r="BB29" s="204"/>
      <c r="BC29" s="204"/>
      <c r="BD29" s="181"/>
      <c r="BE29" s="181"/>
      <c r="BF29" s="181"/>
      <c r="BG29" s="139">
        <f t="shared" si="16"/>
        <v>5</v>
      </c>
      <c r="BH29" s="208">
        <f t="shared" si="17"/>
        <v>41.66666667</v>
      </c>
      <c r="BI29" s="116"/>
      <c r="BJ29" s="180"/>
      <c r="BK29" s="180"/>
      <c r="BL29" s="116"/>
      <c r="BM29" s="116"/>
      <c r="BN29" s="116"/>
      <c r="BO29" s="138">
        <v>1.0</v>
      </c>
      <c r="BP29" s="138">
        <v>1.0</v>
      </c>
      <c r="BQ29" s="116"/>
      <c r="BR29" s="166"/>
      <c r="BS29" s="116"/>
      <c r="BT29" s="210">
        <v>1.0</v>
      </c>
      <c r="BU29" s="43"/>
      <c r="BV29" s="145">
        <v>1.0</v>
      </c>
      <c r="BW29" s="198"/>
      <c r="BX29" s="116"/>
      <c r="BY29" s="138">
        <v>1.0</v>
      </c>
      <c r="BZ29" s="165"/>
      <c r="CA29" s="116"/>
      <c r="CB29" s="116"/>
      <c r="CC29" s="165"/>
      <c r="CD29" s="165"/>
      <c r="CE29" s="124">
        <f t="shared" si="18"/>
        <v>5</v>
      </c>
      <c r="CF29" s="173">
        <f t="shared" si="19"/>
        <v>45.45454545</v>
      </c>
      <c r="CG29" s="138">
        <v>1.0</v>
      </c>
      <c r="CH29" s="116"/>
      <c r="CI29" s="186"/>
      <c r="CJ29" s="116"/>
      <c r="CK29" s="116"/>
      <c r="CL29" s="186"/>
      <c r="CM29" s="223"/>
      <c r="CN29" s="116"/>
      <c r="CO29" s="223"/>
      <c r="CP29" s="166"/>
      <c r="CQ29" s="213"/>
      <c r="CR29" s="213"/>
      <c r="CS29" s="116"/>
      <c r="CT29" s="213"/>
      <c r="CU29" s="213"/>
      <c r="CV29" s="213"/>
      <c r="CW29" s="128">
        <f t="shared" si="20"/>
        <v>1</v>
      </c>
      <c r="CX29" s="214">
        <f t="shared" si="21"/>
        <v>50</v>
      </c>
      <c r="CY29" s="171"/>
      <c r="CZ29" s="171"/>
      <c r="DA29" s="171"/>
      <c r="DB29" s="171"/>
      <c r="DC29" s="171"/>
      <c r="DD29" s="171"/>
      <c r="DE29" s="171"/>
      <c r="DF29" s="171"/>
      <c r="DG29" s="171"/>
      <c r="DH29" s="171"/>
      <c r="DI29" s="171"/>
      <c r="DJ29" s="171"/>
      <c r="DK29" s="128">
        <f t="shared" si="22"/>
        <v>0</v>
      </c>
      <c r="DL29" s="158" t="str">
        <f t="shared" si="23"/>
        <v>#DIV/0!</v>
      </c>
    </row>
    <row r="30" ht="15.75" customHeight="1">
      <c r="A30" s="146">
        <v>21.0</v>
      </c>
      <c r="B30" s="111" t="s">
        <v>92</v>
      </c>
      <c r="C30" s="112" t="s">
        <v>93</v>
      </c>
      <c r="D30" s="98">
        <f t="shared" si="8"/>
        <v>1</v>
      </c>
      <c r="E30" s="130">
        <f t="shared" si="9"/>
        <v>2.857142857</v>
      </c>
      <c r="F30" s="114">
        <f t="shared" si="10"/>
        <v>2.857142857</v>
      </c>
      <c r="G30" s="226">
        <f t="shared" si="11"/>
        <v>2.857142857</v>
      </c>
      <c r="H30" s="180"/>
      <c r="I30" s="180"/>
      <c r="J30" s="180"/>
      <c r="K30" s="180"/>
      <c r="L30" s="204"/>
      <c r="M30" s="139">
        <f t="shared" si="12"/>
        <v>0</v>
      </c>
      <c r="N30" s="140" t="str">
        <f t="shared" si="13"/>
        <v>#DIV/0!</v>
      </c>
      <c r="O30" s="116"/>
      <c r="P30" s="116"/>
      <c r="Q30" s="180"/>
      <c r="R30" s="179"/>
      <c r="S30" s="179"/>
      <c r="T30" s="116"/>
      <c r="U30" s="116"/>
      <c r="V30" s="179"/>
      <c r="W30" s="116"/>
      <c r="X30" s="116"/>
      <c r="Y30" s="179"/>
      <c r="Z30" s="185"/>
      <c r="AA30" s="217"/>
      <c r="AB30" s="116"/>
      <c r="AC30" s="179"/>
      <c r="AD30" s="176"/>
      <c r="AE30" s="176"/>
      <c r="AF30" s="176"/>
      <c r="AG30" s="176"/>
      <c r="AH30" s="176"/>
      <c r="AI30" s="176"/>
      <c r="AJ30" s="139">
        <f t="shared" si="14"/>
        <v>0</v>
      </c>
      <c r="AK30" s="205">
        <f t="shared" si="15"/>
        <v>0</v>
      </c>
      <c r="AL30" s="222"/>
      <c r="AM30" s="179"/>
      <c r="AN30" s="179"/>
      <c r="AO30" s="179"/>
      <c r="AP30" s="179"/>
      <c r="AQ30" s="116"/>
      <c r="AR30" s="116"/>
      <c r="AS30" s="166"/>
      <c r="AT30" s="116"/>
      <c r="AU30" s="116"/>
      <c r="AV30" s="116"/>
      <c r="AW30" s="179"/>
      <c r="AX30" s="116"/>
      <c r="AY30" s="116"/>
      <c r="AZ30" s="180"/>
      <c r="BA30" s="180"/>
      <c r="BB30" s="204"/>
      <c r="BC30" s="204"/>
      <c r="BD30" s="181"/>
      <c r="BE30" s="181"/>
      <c r="BF30" s="181"/>
      <c r="BG30" s="139">
        <f t="shared" si="16"/>
        <v>0</v>
      </c>
      <c r="BH30" s="208">
        <f t="shared" si="17"/>
        <v>0</v>
      </c>
      <c r="BI30" s="116"/>
      <c r="BJ30" s="180"/>
      <c r="BK30" s="180"/>
      <c r="BL30" s="116"/>
      <c r="BM30" s="116"/>
      <c r="BN30" s="116"/>
      <c r="BO30" s="116"/>
      <c r="BP30" s="116"/>
      <c r="BQ30" s="211"/>
      <c r="BR30" s="166"/>
      <c r="BS30" s="165"/>
      <c r="BT30" s="185"/>
      <c r="BU30" s="43"/>
      <c r="BV30" s="145">
        <v>1.0</v>
      </c>
      <c r="BW30" s="198"/>
      <c r="BX30" s="43"/>
      <c r="BY30" s="116"/>
      <c r="BZ30" s="165"/>
      <c r="CA30" s="165"/>
      <c r="CB30" s="165"/>
      <c r="CC30" s="165"/>
      <c r="CD30" s="165"/>
      <c r="CE30" s="124">
        <f t="shared" si="18"/>
        <v>1</v>
      </c>
      <c r="CF30" s="173">
        <f t="shared" si="19"/>
        <v>9.090909091</v>
      </c>
      <c r="CG30" s="179"/>
      <c r="CH30" s="238"/>
      <c r="CI30" s="186"/>
      <c r="CJ30" s="186"/>
      <c r="CK30" s="231"/>
      <c r="CL30" s="186"/>
      <c r="CM30" s="223"/>
      <c r="CN30" s="223"/>
      <c r="CO30" s="223"/>
      <c r="CP30" s="166"/>
      <c r="CQ30" s="213"/>
      <c r="CR30" s="213"/>
      <c r="CS30" s="213"/>
      <c r="CT30" s="213"/>
      <c r="CU30" s="213"/>
      <c r="CV30" s="213"/>
      <c r="CW30" s="128">
        <f t="shared" si="20"/>
        <v>0</v>
      </c>
      <c r="CX30" s="214">
        <f t="shared" si="21"/>
        <v>0</v>
      </c>
      <c r="CY30" s="171"/>
      <c r="CZ30" s="171"/>
      <c r="DA30" s="171"/>
      <c r="DB30" s="171"/>
      <c r="DC30" s="171"/>
      <c r="DD30" s="171"/>
      <c r="DE30" s="171"/>
      <c r="DF30" s="171"/>
      <c r="DG30" s="171"/>
      <c r="DH30" s="171"/>
      <c r="DI30" s="171"/>
      <c r="DJ30" s="171"/>
      <c r="DK30" s="128">
        <f t="shared" si="22"/>
        <v>0</v>
      </c>
      <c r="DL30" s="158" t="str">
        <f t="shared" si="23"/>
        <v>#DIV/0!</v>
      </c>
    </row>
    <row r="31" ht="15.75" customHeight="1">
      <c r="A31" s="50">
        <v>22.0</v>
      </c>
      <c r="B31" s="111" t="s">
        <v>94</v>
      </c>
      <c r="C31" s="112" t="s">
        <v>95</v>
      </c>
      <c r="D31" s="98">
        <f t="shared" si="8"/>
        <v>14</v>
      </c>
      <c r="E31" s="130">
        <f t="shared" si="9"/>
        <v>40</v>
      </c>
      <c r="F31" s="114">
        <f t="shared" si="10"/>
        <v>40</v>
      </c>
      <c r="G31" s="149" t="str">
        <f t="shared" si="11"/>
        <v>  </v>
      </c>
      <c r="H31" s="180"/>
      <c r="I31" s="203"/>
      <c r="J31" s="203"/>
      <c r="K31" s="180"/>
      <c r="L31" s="204"/>
      <c r="M31" s="139">
        <f t="shared" si="12"/>
        <v>0</v>
      </c>
      <c r="N31" s="140" t="str">
        <f t="shared" si="13"/>
        <v>#DIV/0!</v>
      </c>
      <c r="O31" s="116"/>
      <c r="P31" s="116"/>
      <c r="Q31" s="180"/>
      <c r="R31" s="179"/>
      <c r="S31" s="179"/>
      <c r="T31" s="116"/>
      <c r="U31" s="116"/>
      <c r="V31" s="179"/>
      <c r="W31" s="116"/>
      <c r="X31" s="116"/>
      <c r="Y31" s="179"/>
      <c r="Z31" s="185"/>
      <c r="AA31" s="217"/>
      <c r="AB31" s="116"/>
      <c r="AC31" s="179"/>
      <c r="AD31" s="176"/>
      <c r="AE31" s="116"/>
      <c r="AF31" s="176"/>
      <c r="AG31" s="176"/>
      <c r="AH31" s="176"/>
      <c r="AI31" s="176"/>
      <c r="AJ31" s="139">
        <f t="shared" si="14"/>
        <v>0</v>
      </c>
      <c r="AK31" s="205">
        <f t="shared" si="15"/>
        <v>0</v>
      </c>
      <c r="AL31" s="116"/>
      <c r="AM31" s="116"/>
      <c r="AN31" s="184">
        <v>1.0</v>
      </c>
      <c r="AO31" s="184">
        <v>1.0</v>
      </c>
      <c r="AP31" s="116"/>
      <c r="AQ31" s="116"/>
      <c r="AR31" s="138">
        <v>1.0</v>
      </c>
      <c r="AS31" s="191">
        <v>1.0</v>
      </c>
      <c r="AT31" s="116"/>
      <c r="AU31" s="138">
        <v>1.0</v>
      </c>
      <c r="AV31" s="116"/>
      <c r="AW31" s="184">
        <v>1.0</v>
      </c>
      <c r="AX31" s="116"/>
      <c r="AY31" s="116"/>
      <c r="AZ31" s="180"/>
      <c r="BA31" s="215">
        <v>1.0</v>
      </c>
      <c r="BB31" s="116"/>
      <c r="BC31" s="116"/>
      <c r="BD31" s="194"/>
      <c r="BE31" s="194"/>
      <c r="BF31" s="194"/>
      <c r="BG31" s="139">
        <f t="shared" si="16"/>
        <v>7</v>
      </c>
      <c r="BH31" s="208">
        <f t="shared" si="17"/>
        <v>58.33333333</v>
      </c>
      <c r="BI31" s="116"/>
      <c r="BJ31" s="116"/>
      <c r="BK31" s="180"/>
      <c r="BL31" s="138">
        <v>1.0</v>
      </c>
      <c r="BM31" s="116"/>
      <c r="BN31" s="116"/>
      <c r="BO31" s="138">
        <v>1.0</v>
      </c>
      <c r="BP31" s="138">
        <v>1.0</v>
      </c>
      <c r="BQ31" s="116"/>
      <c r="BR31" s="166"/>
      <c r="BS31" s="116"/>
      <c r="BT31" s="138">
        <v>1.0</v>
      </c>
      <c r="BU31" s="43"/>
      <c r="BV31" s="145">
        <v>1.0</v>
      </c>
      <c r="BW31" s="216">
        <v>1.0</v>
      </c>
      <c r="BX31" s="116"/>
      <c r="BY31" s="116"/>
      <c r="BZ31" s="165"/>
      <c r="CA31" s="116"/>
      <c r="CB31" s="165"/>
      <c r="CC31" s="165"/>
      <c r="CD31" s="165"/>
      <c r="CE31" s="124">
        <f t="shared" si="18"/>
        <v>6</v>
      </c>
      <c r="CF31" s="173">
        <f t="shared" si="19"/>
        <v>54.54545455</v>
      </c>
      <c r="CG31" s="138">
        <v>1.0</v>
      </c>
      <c r="CH31" s="238"/>
      <c r="CI31" s="116"/>
      <c r="CJ31" s="116"/>
      <c r="CK31" s="231"/>
      <c r="CL31" s="186"/>
      <c r="CM31" s="116"/>
      <c r="CN31" s="223"/>
      <c r="CO31" s="116"/>
      <c r="CP31" s="166"/>
      <c r="CQ31" s="213"/>
      <c r="CR31" s="213"/>
      <c r="CS31" s="213"/>
      <c r="CT31" s="213"/>
      <c r="CU31" s="213"/>
      <c r="CV31" s="213"/>
      <c r="CW31" s="128">
        <f t="shared" si="20"/>
        <v>1</v>
      </c>
      <c r="CX31" s="214">
        <f t="shared" si="21"/>
        <v>50</v>
      </c>
      <c r="CY31" s="171"/>
      <c r="CZ31" s="171"/>
      <c r="DA31" s="171"/>
      <c r="DB31" s="171"/>
      <c r="DC31" s="171"/>
      <c r="DD31" s="171"/>
      <c r="DE31" s="171"/>
      <c r="DF31" s="171"/>
      <c r="DG31" s="171"/>
      <c r="DH31" s="171"/>
      <c r="DI31" s="171"/>
      <c r="DJ31" s="171"/>
      <c r="DK31" s="128">
        <f t="shared" si="22"/>
        <v>0</v>
      </c>
      <c r="DL31" s="158" t="str">
        <f t="shared" si="23"/>
        <v>#DIV/0!</v>
      </c>
    </row>
    <row r="32" ht="15.75" customHeight="1">
      <c r="A32" s="131">
        <v>23.0</v>
      </c>
      <c r="B32" s="111" t="s">
        <v>96</v>
      </c>
      <c r="C32" s="112" t="s">
        <v>97</v>
      </c>
      <c r="D32" s="98">
        <f t="shared" si="8"/>
        <v>20</v>
      </c>
      <c r="E32" s="130">
        <f t="shared" si="9"/>
        <v>57.14285714</v>
      </c>
      <c r="F32" s="92" t="str">
        <f t="shared" si="10"/>
        <v>  </v>
      </c>
      <c r="G32" s="149" t="str">
        <f t="shared" si="11"/>
        <v>  </v>
      </c>
      <c r="H32" s="180"/>
      <c r="I32" s="203"/>
      <c r="J32" s="180"/>
      <c r="K32" s="180"/>
      <c r="L32" s="204"/>
      <c r="M32" s="139">
        <f t="shared" si="12"/>
        <v>0</v>
      </c>
      <c r="N32" s="140" t="str">
        <f t="shared" si="13"/>
        <v>#DIV/0!</v>
      </c>
      <c r="O32" s="116"/>
      <c r="P32" s="116"/>
      <c r="Q32" s="180"/>
      <c r="R32" s="179"/>
      <c r="S32" s="116"/>
      <c r="T32" s="116"/>
      <c r="U32" s="116"/>
      <c r="V32" s="179"/>
      <c r="W32" s="116"/>
      <c r="X32" s="116"/>
      <c r="Y32" s="179"/>
      <c r="Z32" s="210">
        <v>1.0</v>
      </c>
      <c r="AA32" s="187">
        <v>1.0</v>
      </c>
      <c r="AB32" s="138">
        <v>1.0</v>
      </c>
      <c r="AC32" s="184">
        <v>1.0</v>
      </c>
      <c r="AD32" s="116"/>
      <c r="AE32" s="116"/>
      <c r="AF32" s="182">
        <v>1.0</v>
      </c>
      <c r="AG32" s="176"/>
      <c r="AH32" s="176"/>
      <c r="AI32" s="116"/>
      <c r="AJ32" s="139">
        <f t="shared" si="14"/>
        <v>5</v>
      </c>
      <c r="AK32" s="205">
        <f t="shared" si="15"/>
        <v>50</v>
      </c>
      <c r="AL32" s="116"/>
      <c r="AM32" s="184">
        <v>1.0</v>
      </c>
      <c r="AN32" s="179"/>
      <c r="AO32" s="138">
        <v>1.0</v>
      </c>
      <c r="AP32" s="116"/>
      <c r="AQ32" s="116"/>
      <c r="AR32" s="138">
        <v>1.0</v>
      </c>
      <c r="AS32" s="166"/>
      <c r="AT32" s="116"/>
      <c r="AU32" s="116"/>
      <c r="AV32" s="116"/>
      <c r="AW32" s="179"/>
      <c r="AX32" s="116"/>
      <c r="AY32" s="116"/>
      <c r="AZ32" s="116"/>
      <c r="BA32" s="215">
        <v>1.0</v>
      </c>
      <c r="BB32" s="116"/>
      <c r="BC32" s="204"/>
      <c r="BD32" s="181"/>
      <c r="BE32" s="219">
        <v>1.0</v>
      </c>
      <c r="BF32" s="181"/>
      <c r="BG32" s="139">
        <f t="shared" si="16"/>
        <v>5</v>
      </c>
      <c r="BH32" s="208">
        <f t="shared" si="17"/>
        <v>41.66666667</v>
      </c>
      <c r="BI32" s="116"/>
      <c r="BJ32" s="116"/>
      <c r="BK32" s="180"/>
      <c r="BL32" s="138">
        <v>1.0</v>
      </c>
      <c r="BM32" s="116"/>
      <c r="BN32" s="116"/>
      <c r="BO32" s="138">
        <v>1.0</v>
      </c>
      <c r="BP32" s="116"/>
      <c r="BQ32" s="116"/>
      <c r="BR32" s="166"/>
      <c r="BS32" s="138">
        <v>1.0</v>
      </c>
      <c r="BT32" s="116"/>
      <c r="BU32" s="145">
        <v>1.0</v>
      </c>
      <c r="BV32" s="145">
        <v>1.0</v>
      </c>
      <c r="BW32" s="216">
        <v>1.0</v>
      </c>
      <c r="BX32" s="43"/>
      <c r="BY32" s="116"/>
      <c r="BZ32" s="165"/>
      <c r="CA32" s="196">
        <v>1.0</v>
      </c>
      <c r="CB32" s="165"/>
      <c r="CC32" s="165"/>
      <c r="CD32" s="196">
        <v>1.0</v>
      </c>
      <c r="CE32" s="124">
        <f t="shared" si="18"/>
        <v>8</v>
      </c>
      <c r="CF32" s="173">
        <f t="shared" si="19"/>
        <v>72.72727273</v>
      </c>
      <c r="CG32" s="184">
        <v>1.0</v>
      </c>
      <c r="CH32" s="230">
        <v>1.0</v>
      </c>
      <c r="CI32" s="186"/>
      <c r="CJ32" s="186"/>
      <c r="CK32" s="116"/>
      <c r="CL32" s="186"/>
      <c r="CM32" s="223"/>
      <c r="CN32" s="116"/>
      <c r="CO32" s="223"/>
      <c r="CP32" s="166"/>
      <c r="CQ32" s="213"/>
      <c r="CR32" s="213"/>
      <c r="CS32" s="116"/>
      <c r="CT32" s="116"/>
      <c r="CU32" s="213"/>
      <c r="CV32" s="213"/>
      <c r="CW32" s="128">
        <f t="shared" si="20"/>
        <v>2</v>
      </c>
      <c r="CX32" s="214">
        <f t="shared" si="21"/>
        <v>100</v>
      </c>
      <c r="CY32" s="171"/>
      <c r="CZ32" s="171"/>
      <c r="DA32" s="171"/>
      <c r="DB32" s="171"/>
      <c r="DC32" s="171"/>
      <c r="DD32" s="171"/>
      <c r="DE32" s="171"/>
      <c r="DF32" s="171"/>
      <c r="DG32" s="171"/>
      <c r="DH32" s="171"/>
      <c r="DI32" s="171"/>
      <c r="DJ32" s="171"/>
      <c r="DK32" s="128">
        <f t="shared" si="22"/>
        <v>0</v>
      </c>
      <c r="DL32" s="158" t="str">
        <f t="shared" si="23"/>
        <v>#DIV/0!</v>
      </c>
    </row>
    <row r="33" ht="15.75" customHeight="1">
      <c r="A33" s="146">
        <v>24.0</v>
      </c>
      <c r="B33" s="111" t="s">
        <v>98</v>
      </c>
      <c r="C33" s="112" t="s">
        <v>99</v>
      </c>
      <c r="D33" s="98">
        <f t="shared" si="8"/>
        <v>18</v>
      </c>
      <c r="E33" s="130">
        <f t="shared" si="9"/>
        <v>51.42857143</v>
      </c>
      <c r="F33" s="114" t="str">
        <f t="shared" si="10"/>
        <v>  </v>
      </c>
      <c r="G33" s="149" t="str">
        <f t="shared" si="11"/>
        <v>  </v>
      </c>
      <c r="H33" s="180"/>
      <c r="I33" s="203"/>
      <c r="J33" s="180"/>
      <c r="K33" s="180"/>
      <c r="L33" s="204"/>
      <c r="M33" s="139">
        <f t="shared" si="12"/>
        <v>0</v>
      </c>
      <c r="N33" s="140" t="str">
        <f t="shared" si="13"/>
        <v>#DIV/0!</v>
      </c>
      <c r="O33" s="116"/>
      <c r="P33" s="116"/>
      <c r="Q33" s="116"/>
      <c r="R33" s="207"/>
      <c r="S33" s="207"/>
      <c r="T33" s="116"/>
      <c r="U33" s="116"/>
      <c r="V33" s="207"/>
      <c r="W33" s="116"/>
      <c r="X33" s="138">
        <v>1.0</v>
      </c>
      <c r="Y33" s="207"/>
      <c r="Z33" s="210">
        <v>1.0</v>
      </c>
      <c r="AA33" s="187">
        <v>1.0</v>
      </c>
      <c r="AB33" s="138">
        <v>1.0</v>
      </c>
      <c r="AC33" s="234">
        <v>1.0</v>
      </c>
      <c r="AD33" s="116"/>
      <c r="AE33" s="206"/>
      <c r="AF33" s="209">
        <v>1.0</v>
      </c>
      <c r="AG33" s="206"/>
      <c r="AH33" s="206"/>
      <c r="AI33" s="206"/>
      <c r="AJ33" s="139">
        <f t="shared" si="14"/>
        <v>6</v>
      </c>
      <c r="AK33" s="205">
        <f t="shared" si="15"/>
        <v>60</v>
      </c>
      <c r="AL33" s="116"/>
      <c r="AM33" s="138">
        <v>1.0</v>
      </c>
      <c r="AN33" s="207"/>
      <c r="AO33" s="116"/>
      <c r="AP33" s="116"/>
      <c r="AQ33" s="116"/>
      <c r="AR33" s="138">
        <v>1.0</v>
      </c>
      <c r="AS33" s="191">
        <v>1.0</v>
      </c>
      <c r="AT33" s="116"/>
      <c r="AU33" s="138">
        <v>1.0</v>
      </c>
      <c r="AV33" s="116"/>
      <c r="AW33" s="234">
        <v>1.0</v>
      </c>
      <c r="AX33" s="116"/>
      <c r="AY33" s="116"/>
      <c r="AZ33" s="180"/>
      <c r="BA33" s="180"/>
      <c r="BB33" s="204"/>
      <c r="BC33" s="204"/>
      <c r="BD33" s="181"/>
      <c r="BE33" s="181"/>
      <c r="BF33" s="181"/>
      <c r="BG33" s="139">
        <f t="shared" si="16"/>
        <v>5</v>
      </c>
      <c r="BH33" s="208">
        <f t="shared" si="17"/>
        <v>41.66666667</v>
      </c>
      <c r="BI33" s="116"/>
      <c r="BJ33" s="180"/>
      <c r="BK33" s="180"/>
      <c r="BL33" s="138">
        <v>1.0</v>
      </c>
      <c r="BM33" s="116"/>
      <c r="BN33" s="116"/>
      <c r="BO33" s="138">
        <v>1.0</v>
      </c>
      <c r="BP33" s="138">
        <v>1.0</v>
      </c>
      <c r="BQ33" s="211"/>
      <c r="BR33" s="166"/>
      <c r="BS33" s="116"/>
      <c r="BT33" s="138">
        <v>1.0</v>
      </c>
      <c r="BU33" s="43"/>
      <c r="BV33" s="145">
        <v>1.0</v>
      </c>
      <c r="BW33" s="198"/>
      <c r="BX33" s="116"/>
      <c r="BY33" s="138">
        <v>1.0</v>
      </c>
      <c r="BZ33" s="165"/>
      <c r="CA33" s="165"/>
      <c r="CB33" s="165"/>
      <c r="CC33" s="165"/>
      <c r="CD33" s="165"/>
      <c r="CE33" s="124">
        <f t="shared" si="18"/>
        <v>6</v>
      </c>
      <c r="CF33" s="173">
        <f t="shared" si="19"/>
        <v>54.54545455</v>
      </c>
      <c r="CG33" s="234">
        <v>1.0</v>
      </c>
      <c r="CH33" s="238"/>
      <c r="CI33" s="116"/>
      <c r="CJ33" s="116"/>
      <c r="CK33" s="116"/>
      <c r="CL33" s="186"/>
      <c r="CM33" s="223"/>
      <c r="CN33" s="116"/>
      <c r="CO33" s="116"/>
      <c r="CP33" s="166"/>
      <c r="CQ33" s="213"/>
      <c r="CR33" s="213"/>
      <c r="CS33" s="116"/>
      <c r="CT33" s="116"/>
      <c r="CU33" s="116"/>
      <c r="CV33" s="213"/>
      <c r="CW33" s="128">
        <f t="shared" si="20"/>
        <v>1</v>
      </c>
      <c r="CX33" s="214">
        <f t="shared" si="21"/>
        <v>50</v>
      </c>
      <c r="CY33" s="171"/>
      <c r="CZ33" s="171"/>
      <c r="DA33" s="171"/>
      <c r="DB33" s="171"/>
      <c r="DC33" s="171"/>
      <c r="DD33" s="171"/>
      <c r="DE33" s="171"/>
      <c r="DF33" s="171"/>
      <c r="DG33" s="171"/>
      <c r="DH33" s="171"/>
      <c r="DI33" s="171"/>
      <c r="DJ33" s="171"/>
      <c r="DK33" s="128">
        <f t="shared" si="22"/>
        <v>0</v>
      </c>
      <c r="DL33" s="158" t="str">
        <f t="shared" si="23"/>
        <v>#DIV/0!</v>
      </c>
    </row>
    <row r="34" ht="15.75" customHeight="1">
      <c r="A34" s="50">
        <v>25.0</v>
      </c>
      <c r="B34" s="111" t="s">
        <v>100</v>
      </c>
      <c r="C34" s="112" t="s">
        <v>101</v>
      </c>
      <c r="D34" s="98">
        <f t="shared" si="8"/>
        <v>23</v>
      </c>
      <c r="E34" s="130">
        <f t="shared" si="9"/>
        <v>65.71428571</v>
      </c>
      <c r="F34" s="92" t="str">
        <f t="shared" si="10"/>
        <v>  </v>
      </c>
      <c r="G34" s="149" t="str">
        <f t="shared" si="11"/>
        <v>  </v>
      </c>
      <c r="H34" s="180"/>
      <c r="I34" s="221"/>
      <c r="J34" s="221"/>
      <c r="K34" s="180"/>
      <c r="L34" s="204"/>
      <c r="M34" s="139">
        <f t="shared" si="12"/>
        <v>0</v>
      </c>
      <c r="N34" s="140" t="str">
        <f t="shared" si="13"/>
        <v>#DIV/0!</v>
      </c>
      <c r="O34" s="116"/>
      <c r="P34" s="116"/>
      <c r="Q34" s="180"/>
      <c r="R34" s="207"/>
      <c r="S34" s="207"/>
      <c r="T34" s="116"/>
      <c r="U34" s="116"/>
      <c r="V34" s="207"/>
      <c r="W34" s="116"/>
      <c r="X34" s="138">
        <v>1.0</v>
      </c>
      <c r="Y34" s="207"/>
      <c r="Z34" s="210">
        <v>1.0</v>
      </c>
      <c r="AA34" s="187">
        <v>1.0</v>
      </c>
      <c r="AB34" s="138">
        <v>1.0</v>
      </c>
      <c r="AC34" s="234">
        <v>1.0</v>
      </c>
      <c r="AD34" s="138">
        <v>1.0</v>
      </c>
      <c r="AE34" s="116"/>
      <c r="AF34" s="209">
        <v>1.0</v>
      </c>
      <c r="AG34" s="209">
        <v>1.0</v>
      </c>
      <c r="AH34" s="206"/>
      <c r="AI34" s="116"/>
      <c r="AJ34" s="139">
        <f t="shared" si="14"/>
        <v>8</v>
      </c>
      <c r="AK34" s="205">
        <f t="shared" si="15"/>
        <v>80</v>
      </c>
      <c r="AL34" s="116"/>
      <c r="AM34" s="138">
        <v>1.0</v>
      </c>
      <c r="AN34" s="234">
        <v>1.0</v>
      </c>
      <c r="AO34" s="116"/>
      <c r="AP34" s="207"/>
      <c r="AQ34" s="116"/>
      <c r="AR34" s="138">
        <v>1.0</v>
      </c>
      <c r="AS34" s="191">
        <v>1.0</v>
      </c>
      <c r="AT34" s="116"/>
      <c r="AU34" s="138">
        <v>1.0</v>
      </c>
      <c r="AV34" s="116"/>
      <c r="AW34" s="207"/>
      <c r="AX34" s="116"/>
      <c r="AY34" s="116"/>
      <c r="AZ34" s="116"/>
      <c r="BA34" s="215">
        <v>1.0</v>
      </c>
      <c r="BB34" s="138">
        <v>1.0</v>
      </c>
      <c r="BC34" s="204"/>
      <c r="BD34" s="181"/>
      <c r="BE34" s="181"/>
      <c r="BF34" s="181"/>
      <c r="BG34" s="139">
        <f t="shared" si="16"/>
        <v>7</v>
      </c>
      <c r="BH34" s="208">
        <f t="shared" si="17"/>
        <v>58.33333333</v>
      </c>
      <c r="BI34" s="116"/>
      <c r="BJ34" s="116"/>
      <c r="BK34" s="180"/>
      <c r="BL34" s="138">
        <v>1.0</v>
      </c>
      <c r="BM34" s="116"/>
      <c r="BN34" s="116"/>
      <c r="BO34" s="138">
        <v>1.0</v>
      </c>
      <c r="BP34" s="138">
        <v>1.0</v>
      </c>
      <c r="BQ34" s="211"/>
      <c r="BR34" s="116"/>
      <c r="BS34" s="138">
        <v>1.0</v>
      </c>
      <c r="BT34" s="138">
        <v>1.0</v>
      </c>
      <c r="BU34" s="43"/>
      <c r="BV34" s="145">
        <v>1.0</v>
      </c>
      <c r="BW34" s="198"/>
      <c r="BX34" s="43"/>
      <c r="BY34" s="138">
        <v>1.0</v>
      </c>
      <c r="BZ34" s="165"/>
      <c r="CA34" s="116"/>
      <c r="CB34" s="165"/>
      <c r="CC34" s="165"/>
      <c r="CD34" s="196">
        <v>1.0</v>
      </c>
      <c r="CE34" s="124">
        <f t="shared" si="18"/>
        <v>8</v>
      </c>
      <c r="CF34" s="173">
        <f t="shared" si="19"/>
        <v>72.72727273</v>
      </c>
      <c r="CG34" s="116"/>
      <c r="CH34" s="116"/>
      <c r="CI34" s="186"/>
      <c r="CJ34" s="116"/>
      <c r="CK34" s="116"/>
      <c r="CL34" s="186"/>
      <c r="CM34" s="116"/>
      <c r="CN34" s="116"/>
      <c r="CO34" s="116"/>
      <c r="CP34" s="166"/>
      <c r="CQ34" s="213"/>
      <c r="CR34" s="213"/>
      <c r="CS34" s="116"/>
      <c r="CT34" s="116"/>
      <c r="CU34" s="116"/>
      <c r="CV34" s="213"/>
      <c r="CW34" s="128">
        <f t="shared" si="20"/>
        <v>0</v>
      </c>
      <c r="CX34" s="214">
        <f t="shared" si="21"/>
        <v>0</v>
      </c>
      <c r="CY34" s="171"/>
      <c r="CZ34" s="171"/>
      <c r="DA34" s="171"/>
      <c r="DB34" s="171"/>
      <c r="DC34" s="171"/>
      <c r="DD34" s="171"/>
      <c r="DE34" s="171"/>
      <c r="DF34" s="171"/>
      <c r="DG34" s="171"/>
      <c r="DH34" s="171"/>
      <c r="DI34" s="171"/>
      <c r="DJ34" s="171"/>
      <c r="DK34" s="128">
        <f t="shared" si="22"/>
        <v>0</v>
      </c>
      <c r="DL34" s="158" t="str">
        <f t="shared" si="23"/>
        <v>#DIV/0!</v>
      </c>
    </row>
    <row r="35" ht="15.75" customHeight="1">
      <c r="A35" s="131">
        <v>26.0</v>
      </c>
      <c r="B35" s="111" t="s">
        <v>102</v>
      </c>
      <c r="C35" s="112" t="s">
        <v>103</v>
      </c>
      <c r="D35" s="98">
        <f t="shared" si="8"/>
        <v>14</v>
      </c>
      <c r="E35" s="130">
        <f t="shared" si="9"/>
        <v>40</v>
      </c>
      <c r="F35" s="114">
        <f t="shared" si="10"/>
        <v>40</v>
      </c>
      <c r="G35" s="149" t="str">
        <f t="shared" si="11"/>
        <v>  </v>
      </c>
      <c r="H35" s="203"/>
      <c r="I35" s="180"/>
      <c r="J35" s="180"/>
      <c r="K35" s="180"/>
      <c r="L35" s="204"/>
      <c r="M35" s="139">
        <f t="shared" si="12"/>
        <v>0</v>
      </c>
      <c r="N35" s="140" t="str">
        <f t="shared" si="13"/>
        <v>#DIV/0!</v>
      </c>
      <c r="O35" s="116"/>
      <c r="P35" s="116"/>
      <c r="Q35" s="180"/>
      <c r="R35" s="179"/>
      <c r="S35" s="116"/>
      <c r="T35" s="116"/>
      <c r="U35" s="116"/>
      <c r="V35" s="179"/>
      <c r="W35" s="116"/>
      <c r="X35" s="116"/>
      <c r="Y35" s="179"/>
      <c r="Z35" s="185"/>
      <c r="AA35" s="217"/>
      <c r="AB35" s="138">
        <v>1.0</v>
      </c>
      <c r="AC35" s="179"/>
      <c r="AD35" s="116"/>
      <c r="AE35" s="116"/>
      <c r="AF35" s="176"/>
      <c r="AG35" s="176"/>
      <c r="AH35" s="176"/>
      <c r="AI35" s="176"/>
      <c r="AJ35" s="139">
        <f t="shared" si="14"/>
        <v>1</v>
      </c>
      <c r="AK35" s="205">
        <f t="shared" si="15"/>
        <v>10</v>
      </c>
      <c r="AL35" s="222"/>
      <c r="AM35" s="179"/>
      <c r="AN35" s="179"/>
      <c r="AO35" s="138">
        <v>1.0</v>
      </c>
      <c r="AP35" s="179"/>
      <c r="AQ35" s="116"/>
      <c r="AR35" s="138">
        <v>1.0</v>
      </c>
      <c r="AS35" s="166"/>
      <c r="AT35" s="116"/>
      <c r="AU35" s="116"/>
      <c r="AV35" s="116"/>
      <c r="AW35" s="179"/>
      <c r="AX35" s="116"/>
      <c r="AY35" s="116"/>
      <c r="AZ35" s="116"/>
      <c r="BA35" s="215">
        <v>1.0</v>
      </c>
      <c r="BB35" s="116"/>
      <c r="BC35" s="204"/>
      <c r="BD35" s="181"/>
      <c r="BE35" s="219">
        <v>1.0</v>
      </c>
      <c r="BF35" s="181"/>
      <c r="BG35" s="139">
        <f t="shared" si="16"/>
        <v>4</v>
      </c>
      <c r="BH35" s="208">
        <f t="shared" si="17"/>
        <v>33.33333333</v>
      </c>
      <c r="BI35" s="116"/>
      <c r="BJ35" s="116"/>
      <c r="BK35" s="180"/>
      <c r="BL35" s="138">
        <v>1.0</v>
      </c>
      <c r="BM35" s="116"/>
      <c r="BN35" s="116"/>
      <c r="BO35" s="116"/>
      <c r="BP35" s="116"/>
      <c r="BQ35" s="116"/>
      <c r="BR35" s="166"/>
      <c r="BS35" s="138">
        <v>1.0</v>
      </c>
      <c r="BT35" s="116"/>
      <c r="BU35" s="145">
        <v>1.0</v>
      </c>
      <c r="BV35" s="145">
        <v>1.0</v>
      </c>
      <c r="BW35" s="216">
        <v>1.0</v>
      </c>
      <c r="BX35" s="43"/>
      <c r="BY35" s="116"/>
      <c r="BZ35" s="165"/>
      <c r="CA35" s="138">
        <v>1.0</v>
      </c>
      <c r="CB35" s="116"/>
      <c r="CC35" s="165"/>
      <c r="CD35" s="196">
        <v>1.0</v>
      </c>
      <c r="CE35" s="124">
        <f t="shared" si="18"/>
        <v>7</v>
      </c>
      <c r="CF35" s="173">
        <f t="shared" si="19"/>
        <v>63.63636364</v>
      </c>
      <c r="CG35" s="184">
        <v>1.0</v>
      </c>
      <c r="CH35" s="138">
        <v>1.0</v>
      </c>
      <c r="CI35" s="186"/>
      <c r="CJ35" s="116"/>
      <c r="CK35" s="116"/>
      <c r="CL35" s="186"/>
      <c r="CM35" s="223"/>
      <c r="CN35" s="223"/>
      <c r="CO35" s="223"/>
      <c r="CP35" s="166"/>
      <c r="CQ35" s="213"/>
      <c r="CR35" s="213"/>
      <c r="CS35" s="213"/>
      <c r="CT35" s="213"/>
      <c r="CU35" s="213"/>
      <c r="CV35" s="213"/>
      <c r="CW35" s="128">
        <f t="shared" si="20"/>
        <v>2</v>
      </c>
      <c r="CX35" s="214">
        <f t="shared" si="21"/>
        <v>100</v>
      </c>
      <c r="CY35" s="171"/>
      <c r="CZ35" s="171"/>
      <c r="DA35" s="171"/>
      <c r="DB35" s="171"/>
      <c r="DC35" s="171"/>
      <c r="DD35" s="171"/>
      <c r="DE35" s="171"/>
      <c r="DF35" s="171"/>
      <c r="DG35" s="171"/>
      <c r="DH35" s="171"/>
      <c r="DI35" s="171"/>
      <c r="DJ35" s="171"/>
      <c r="DK35" s="128">
        <f t="shared" si="22"/>
        <v>0</v>
      </c>
      <c r="DL35" s="158" t="str">
        <f t="shared" si="23"/>
        <v>#DIV/0!</v>
      </c>
    </row>
    <row r="36" ht="15.75" customHeight="1">
      <c r="A36" s="146">
        <v>27.0</v>
      </c>
      <c r="B36" s="111" t="s">
        <v>104</v>
      </c>
      <c r="C36" s="112" t="s">
        <v>105</v>
      </c>
      <c r="D36" s="98">
        <f t="shared" si="8"/>
        <v>21</v>
      </c>
      <c r="E36" s="130">
        <f t="shared" si="9"/>
        <v>60</v>
      </c>
      <c r="F36" s="92" t="str">
        <f t="shared" si="10"/>
        <v>  </v>
      </c>
      <c r="G36" s="149" t="str">
        <f t="shared" si="11"/>
        <v>  </v>
      </c>
      <c r="H36" s="180"/>
      <c r="I36" s="180"/>
      <c r="J36" s="180"/>
      <c r="K36" s="180"/>
      <c r="L36" s="204"/>
      <c r="M36" s="139">
        <f t="shared" si="12"/>
        <v>0</v>
      </c>
      <c r="N36" s="140" t="str">
        <f t="shared" si="13"/>
        <v>#DIV/0!</v>
      </c>
      <c r="O36" s="116"/>
      <c r="P36" s="116"/>
      <c r="Q36" s="180"/>
      <c r="R36" s="179"/>
      <c r="S36" s="179"/>
      <c r="T36" s="116"/>
      <c r="U36" s="116"/>
      <c r="V36" s="179"/>
      <c r="W36" s="116"/>
      <c r="X36" s="138">
        <v>1.0</v>
      </c>
      <c r="Y36" s="179"/>
      <c r="Z36" s="210">
        <v>1.0</v>
      </c>
      <c r="AA36" s="187">
        <v>1.0</v>
      </c>
      <c r="AB36" s="138">
        <v>1.0</v>
      </c>
      <c r="AC36" s="184">
        <v>1.0</v>
      </c>
      <c r="AD36" s="138">
        <v>1.0</v>
      </c>
      <c r="AE36" s="138">
        <v>1.0</v>
      </c>
      <c r="AF36" s="176"/>
      <c r="AG36" s="182">
        <v>1.0</v>
      </c>
      <c r="AH36" s="116"/>
      <c r="AI36" s="176"/>
      <c r="AJ36" s="139">
        <f t="shared" si="14"/>
        <v>8</v>
      </c>
      <c r="AK36" s="205">
        <f t="shared" si="15"/>
        <v>80</v>
      </c>
      <c r="AL36" s="222"/>
      <c r="AM36" s="184">
        <v>1.0</v>
      </c>
      <c r="AN36" s="184">
        <v>1.0</v>
      </c>
      <c r="AO36" s="138">
        <v>1.0</v>
      </c>
      <c r="AP36" s="116"/>
      <c r="AQ36" s="116"/>
      <c r="AR36" s="138">
        <v>1.0</v>
      </c>
      <c r="AS36" s="166"/>
      <c r="AT36" s="116"/>
      <c r="AU36" s="116"/>
      <c r="AV36" s="138">
        <v>1.0</v>
      </c>
      <c r="AW36" s="184">
        <v>1.0</v>
      </c>
      <c r="AX36" s="116"/>
      <c r="AY36" s="116"/>
      <c r="AZ36" s="116"/>
      <c r="BA36" s="215">
        <v>1.0</v>
      </c>
      <c r="BB36" s="116"/>
      <c r="BC36" s="116"/>
      <c r="BD36" s="194"/>
      <c r="BE36" s="188">
        <v>1.0</v>
      </c>
      <c r="BF36" s="194"/>
      <c r="BG36" s="139">
        <f t="shared" si="16"/>
        <v>8</v>
      </c>
      <c r="BH36" s="208">
        <f t="shared" si="17"/>
        <v>66.66666667</v>
      </c>
      <c r="BI36" s="116"/>
      <c r="BJ36" s="116"/>
      <c r="BK36" s="180"/>
      <c r="BL36" s="116"/>
      <c r="BM36" s="116"/>
      <c r="BN36" s="116"/>
      <c r="BO36" s="116"/>
      <c r="BP36" s="138">
        <v>1.0</v>
      </c>
      <c r="BQ36" s="211"/>
      <c r="BR36" s="166"/>
      <c r="BS36" s="138">
        <v>1.0</v>
      </c>
      <c r="BT36" s="138">
        <v>1.0</v>
      </c>
      <c r="BU36" s="145">
        <v>1.0</v>
      </c>
      <c r="BV36" s="43"/>
      <c r="BW36" s="198"/>
      <c r="BX36" s="116"/>
      <c r="BY36" s="138">
        <v>1.0</v>
      </c>
      <c r="BZ36" s="165"/>
      <c r="CA36" s="116"/>
      <c r="CB36" s="165"/>
      <c r="CC36" s="165"/>
      <c r="CD36" s="165"/>
      <c r="CE36" s="124">
        <f t="shared" si="18"/>
        <v>5</v>
      </c>
      <c r="CF36" s="173">
        <f t="shared" si="19"/>
        <v>45.45454545</v>
      </c>
      <c r="CG36" s="116"/>
      <c r="CH36" s="238"/>
      <c r="CI36" s="186"/>
      <c r="CJ36" s="116"/>
      <c r="CK36" s="116"/>
      <c r="CL36" s="186"/>
      <c r="CM36" s="116"/>
      <c r="CN36" s="223"/>
      <c r="CO36" s="116"/>
      <c r="CP36" s="166"/>
      <c r="CQ36" s="213"/>
      <c r="CR36" s="213"/>
      <c r="CS36" s="116"/>
      <c r="CT36" s="213"/>
      <c r="CU36" s="213"/>
      <c r="CV36" s="213"/>
      <c r="CW36" s="128">
        <f t="shared" si="20"/>
        <v>0</v>
      </c>
      <c r="CX36" s="214">
        <f t="shared" si="21"/>
        <v>0</v>
      </c>
      <c r="CY36" s="171"/>
      <c r="CZ36" s="171"/>
      <c r="DA36" s="171"/>
      <c r="DB36" s="171"/>
      <c r="DC36" s="171"/>
      <c r="DD36" s="171"/>
      <c r="DE36" s="171"/>
      <c r="DF36" s="171"/>
      <c r="DG36" s="171"/>
      <c r="DH36" s="171"/>
      <c r="DI36" s="171"/>
      <c r="DJ36" s="171"/>
      <c r="DK36" s="128">
        <f t="shared" si="22"/>
        <v>0</v>
      </c>
      <c r="DL36" s="158" t="str">
        <f t="shared" si="23"/>
        <v>#DIV/0!</v>
      </c>
    </row>
    <row r="37" ht="15.75" customHeight="1">
      <c r="A37" s="50">
        <v>28.0</v>
      </c>
      <c r="B37" s="111" t="s">
        <v>106</v>
      </c>
      <c r="C37" s="112" t="s">
        <v>107</v>
      </c>
      <c r="D37" s="98">
        <f t="shared" si="8"/>
        <v>13</v>
      </c>
      <c r="E37" s="130">
        <f t="shared" si="9"/>
        <v>37.14285714</v>
      </c>
      <c r="F37" s="114">
        <f t="shared" si="10"/>
        <v>37.14285714</v>
      </c>
      <c r="G37" s="149" t="str">
        <f t="shared" si="11"/>
        <v>  </v>
      </c>
      <c r="H37" s="180"/>
      <c r="I37" s="203"/>
      <c r="J37" s="203"/>
      <c r="K37" s="203"/>
      <c r="L37" s="239"/>
      <c r="M37" s="139">
        <f t="shared" si="12"/>
        <v>0</v>
      </c>
      <c r="N37" s="140" t="str">
        <f t="shared" si="13"/>
        <v>#DIV/0!</v>
      </c>
      <c r="O37" s="116"/>
      <c r="P37" s="116"/>
      <c r="Q37" s="180"/>
      <c r="R37" s="179"/>
      <c r="S37" s="179"/>
      <c r="T37" s="116"/>
      <c r="U37" s="116"/>
      <c r="V37" s="179"/>
      <c r="W37" s="116"/>
      <c r="X37" s="116"/>
      <c r="Y37" s="179"/>
      <c r="Z37" s="185"/>
      <c r="AA37" s="217"/>
      <c r="AB37" s="116"/>
      <c r="AC37" s="179"/>
      <c r="AD37" s="176"/>
      <c r="AE37" s="176"/>
      <c r="AF37" s="176"/>
      <c r="AG37" s="176"/>
      <c r="AH37" s="176"/>
      <c r="AI37" s="176"/>
      <c r="AJ37" s="139">
        <f t="shared" si="14"/>
        <v>0</v>
      </c>
      <c r="AK37" s="205">
        <f t="shared" si="15"/>
        <v>0</v>
      </c>
      <c r="AL37" s="222"/>
      <c r="AM37" s="184">
        <v>1.0</v>
      </c>
      <c r="AN37" s="184">
        <v>1.0</v>
      </c>
      <c r="AO37" s="184">
        <v>1.0</v>
      </c>
      <c r="AP37" s="179"/>
      <c r="AQ37" s="138">
        <v>1.0</v>
      </c>
      <c r="AR37" s="116"/>
      <c r="AS37" s="166"/>
      <c r="AT37" s="116"/>
      <c r="AU37" s="138">
        <v>1.0</v>
      </c>
      <c r="AV37" s="138">
        <v>1.0</v>
      </c>
      <c r="AW37" s="179"/>
      <c r="AX37" s="116"/>
      <c r="AY37" s="116"/>
      <c r="AZ37" s="116"/>
      <c r="BA37" s="215">
        <v>1.0</v>
      </c>
      <c r="BB37" s="116"/>
      <c r="BC37" s="204"/>
      <c r="BD37" s="181"/>
      <c r="BE37" s="181"/>
      <c r="BF37" s="181"/>
      <c r="BG37" s="139">
        <f t="shared" si="16"/>
        <v>7</v>
      </c>
      <c r="BH37" s="208">
        <f t="shared" si="17"/>
        <v>58.33333333</v>
      </c>
      <c r="BI37" s="116"/>
      <c r="BJ37" s="116"/>
      <c r="BK37" s="180"/>
      <c r="BL37" s="138">
        <v>1.0</v>
      </c>
      <c r="BM37" s="116"/>
      <c r="BN37" s="116"/>
      <c r="BO37" s="138">
        <v>1.0</v>
      </c>
      <c r="BP37" s="138">
        <v>1.0</v>
      </c>
      <c r="BQ37" s="116"/>
      <c r="BR37" s="166"/>
      <c r="BS37" s="116"/>
      <c r="BT37" s="138">
        <v>1.0</v>
      </c>
      <c r="BV37" s="138">
        <v>1.0</v>
      </c>
      <c r="BW37" s="216">
        <v>1.0</v>
      </c>
      <c r="BX37" s="43"/>
      <c r="BY37" s="116"/>
      <c r="BZ37" s="165"/>
      <c r="CA37" s="116"/>
      <c r="CB37" s="116"/>
      <c r="CC37" s="165"/>
      <c r="CD37" s="165"/>
      <c r="CE37" s="124">
        <f t="shared" si="18"/>
        <v>6</v>
      </c>
      <c r="CF37" s="173">
        <f t="shared" si="19"/>
        <v>54.54545455</v>
      </c>
      <c r="CG37" s="179"/>
      <c r="CH37" s="116"/>
      <c r="CI37" s="116"/>
      <c r="CJ37" s="186"/>
      <c r="CK37" s="231"/>
      <c r="CL37" s="186"/>
      <c r="CM37" s="116"/>
      <c r="CN37" s="223"/>
      <c r="CO37" s="116"/>
      <c r="CP37" s="166"/>
      <c r="CQ37" s="213"/>
      <c r="CR37" s="213"/>
      <c r="CS37" s="213"/>
      <c r="CT37" s="116"/>
      <c r="CU37" s="116"/>
      <c r="CV37" s="213"/>
      <c r="CW37" s="128">
        <f t="shared" si="20"/>
        <v>0</v>
      </c>
      <c r="CX37" s="214">
        <f t="shared" si="21"/>
        <v>0</v>
      </c>
      <c r="CY37" s="171"/>
      <c r="CZ37" s="171"/>
      <c r="DA37" s="171"/>
      <c r="DB37" s="171"/>
      <c r="DC37" s="171"/>
      <c r="DD37" s="171"/>
      <c r="DE37" s="171"/>
      <c r="DF37" s="171"/>
      <c r="DG37" s="171"/>
      <c r="DH37" s="171"/>
      <c r="DI37" s="171"/>
      <c r="DJ37" s="171"/>
      <c r="DK37" s="128">
        <f t="shared" si="22"/>
        <v>0</v>
      </c>
      <c r="DL37" s="158" t="str">
        <f t="shared" si="23"/>
        <v>#DIV/0!</v>
      </c>
    </row>
    <row r="38" ht="15.75" customHeight="1">
      <c r="A38" s="131">
        <v>29.0</v>
      </c>
      <c r="B38" s="111" t="s">
        <v>108</v>
      </c>
      <c r="C38" s="112" t="s">
        <v>109</v>
      </c>
      <c r="D38" s="98">
        <f t="shared" si="8"/>
        <v>17</v>
      </c>
      <c r="E38" s="130">
        <f t="shared" si="9"/>
        <v>48.57142857</v>
      </c>
      <c r="F38" s="114">
        <f t="shared" si="10"/>
        <v>48.57142857</v>
      </c>
      <c r="G38" s="149" t="str">
        <f t="shared" si="11"/>
        <v>  </v>
      </c>
      <c r="H38" s="180"/>
      <c r="I38" s="203"/>
      <c r="J38" s="203"/>
      <c r="K38" s="203"/>
      <c r="L38" s="239"/>
      <c r="M38" s="139">
        <f t="shared" si="12"/>
        <v>0</v>
      </c>
      <c r="N38" s="140" t="str">
        <f t="shared" si="13"/>
        <v>#DIV/0!</v>
      </c>
      <c r="O38" s="116"/>
      <c r="P38" s="116"/>
      <c r="Q38" s="180"/>
      <c r="R38" s="179"/>
      <c r="S38" s="116"/>
      <c r="T38" s="116"/>
      <c r="U38" s="116"/>
      <c r="V38" s="179"/>
      <c r="W38" s="116"/>
      <c r="X38" s="116"/>
      <c r="Y38" s="179"/>
      <c r="Z38" s="185"/>
      <c r="AA38" s="217"/>
      <c r="AB38" s="138">
        <v>1.0</v>
      </c>
      <c r="AC38" s="179"/>
      <c r="AD38" s="182">
        <v>1.0</v>
      </c>
      <c r="AE38" s="116"/>
      <c r="AF38" s="182">
        <v>1.0</v>
      </c>
      <c r="AG38" s="176"/>
      <c r="AH38" s="116"/>
      <c r="AI38" s="116"/>
      <c r="AJ38" s="139">
        <f t="shared" si="14"/>
        <v>3</v>
      </c>
      <c r="AK38" s="205">
        <f t="shared" si="15"/>
        <v>30</v>
      </c>
      <c r="AL38" s="222"/>
      <c r="AM38" s="184">
        <v>1.0</v>
      </c>
      <c r="AN38" s="184">
        <v>1.0</v>
      </c>
      <c r="AO38" s="184">
        <v>1.0</v>
      </c>
      <c r="AP38" s="179"/>
      <c r="AQ38" s="116"/>
      <c r="AR38" s="138">
        <v>1.0</v>
      </c>
      <c r="AS38" s="166"/>
      <c r="AT38" s="116"/>
      <c r="AU38" s="138">
        <v>1.0</v>
      </c>
      <c r="AV38" s="116"/>
      <c r="AW38" s="179"/>
      <c r="AX38" s="116"/>
      <c r="AY38" s="116"/>
      <c r="AZ38" s="180"/>
      <c r="BA38" s="215">
        <v>1.0</v>
      </c>
      <c r="BB38" s="204"/>
      <c r="BC38" s="204"/>
      <c r="BD38" s="181"/>
      <c r="BE38" s="181"/>
      <c r="BF38" s="181"/>
      <c r="BG38" s="139">
        <f t="shared" si="16"/>
        <v>6</v>
      </c>
      <c r="BH38" s="208">
        <f t="shared" si="17"/>
        <v>50</v>
      </c>
      <c r="BI38" s="116"/>
      <c r="BJ38" s="116"/>
      <c r="BK38" s="180"/>
      <c r="BL38" s="116"/>
      <c r="BM38" s="116"/>
      <c r="BN38" s="116"/>
      <c r="BO38" s="116"/>
      <c r="BP38" s="138">
        <v>1.0</v>
      </c>
      <c r="BQ38" s="211"/>
      <c r="BR38" s="116"/>
      <c r="BS38" s="138">
        <v>1.0</v>
      </c>
      <c r="BT38" s="138">
        <v>1.0</v>
      </c>
      <c r="BU38" s="145">
        <v>1.0</v>
      </c>
      <c r="BV38" s="43"/>
      <c r="BW38" s="216">
        <v>1.0</v>
      </c>
      <c r="BX38" s="116"/>
      <c r="BY38" s="138">
        <v>1.0</v>
      </c>
      <c r="BZ38" s="165"/>
      <c r="CA38" s="116"/>
      <c r="CB38" s="116"/>
      <c r="CC38" s="165"/>
      <c r="CD38" s="196">
        <v>1.0</v>
      </c>
      <c r="CE38" s="124">
        <f t="shared" si="18"/>
        <v>7</v>
      </c>
      <c r="CF38" s="173">
        <f t="shared" si="19"/>
        <v>63.63636364</v>
      </c>
      <c r="CG38" s="138">
        <v>1.0</v>
      </c>
      <c r="CH38" s="116"/>
      <c r="CI38" s="186"/>
      <c r="CJ38" s="116"/>
      <c r="CK38" s="116"/>
      <c r="CL38" s="186"/>
      <c r="CM38" s="223"/>
      <c r="CN38" s="223"/>
      <c r="CO38" s="116"/>
      <c r="CP38" s="166"/>
      <c r="CQ38" s="213"/>
      <c r="CR38" s="213"/>
      <c r="CS38" s="116"/>
      <c r="CT38" s="116"/>
      <c r="CU38" s="213"/>
      <c r="CV38" s="213"/>
      <c r="CW38" s="128">
        <f t="shared" si="20"/>
        <v>1</v>
      </c>
      <c r="CX38" s="214">
        <f t="shared" si="21"/>
        <v>50</v>
      </c>
      <c r="CY38" s="171"/>
      <c r="CZ38" s="171"/>
      <c r="DA38" s="171"/>
      <c r="DB38" s="171"/>
      <c r="DC38" s="171"/>
      <c r="DD38" s="171"/>
      <c r="DE38" s="171"/>
      <c r="DF38" s="171"/>
      <c r="DG38" s="171"/>
      <c r="DH38" s="171"/>
      <c r="DI38" s="171"/>
      <c r="DJ38" s="171"/>
      <c r="DK38" s="128">
        <f t="shared" si="22"/>
        <v>0</v>
      </c>
      <c r="DL38" s="158" t="str">
        <f t="shared" si="23"/>
        <v>#DIV/0!</v>
      </c>
    </row>
    <row r="39" ht="15.75" customHeight="1">
      <c r="A39" s="146">
        <v>30.0</v>
      </c>
      <c r="B39" s="111" t="s">
        <v>110</v>
      </c>
      <c r="C39" s="112" t="s">
        <v>111</v>
      </c>
      <c r="D39" s="98">
        <f t="shared" si="8"/>
        <v>20</v>
      </c>
      <c r="E39" s="130">
        <f t="shared" si="9"/>
        <v>57.14285714</v>
      </c>
      <c r="F39" s="92" t="str">
        <f t="shared" si="10"/>
        <v>  </v>
      </c>
      <c r="G39" s="149" t="str">
        <f t="shared" si="11"/>
        <v>  </v>
      </c>
      <c r="H39" s="180"/>
      <c r="I39" s="203"/>
      <c r="J39" s="203"/>
      <c r="K39" s="203"/>
      <c r="L39" s="239"/>
      <c r="M39" s="139">
        <f t="shared" si="12"/>
        <v>0</v>
      </c>
      <c r="N39" s="140" t="str">
        <f t="shared" si="13"/>
        <v>#DIV/0!</v>
      </c>
      <c r="O39" s="116"/>
      <c r="P39" s="116"/>
      <c r="Q39" s="180"/>
      <c r="R39" s="179"/>
      <c r="S39" s="116"/>
      <c r="T39" s="116"/>
      <c r="U39" s="116"/>
      <c r="V39" s="179"/>
      <c r="W39" s="116"/>
      <c r="X39" s="116"/>
      <c r="Y39" s="179"/>
      <c r="Z39" s="185"/>
      <c r="AA39" s="217"/>
      <c r="AB39" s="116"/>
      <c r="AC39" s="179"/>
      <c r="AD39" s="116"/>
      <c r="AE39" s="176"/>
      <c r="AF39" s="182">
        <v>1.0</v>
      </c>
      <c r="AG39" s="182">
        <v>1.0</v>
      </c>
      <c r="AH39" s="176"/>
      <c r="AI39" s="176"/>
      <c r="AJ39" s="139">
        <f t="shared" si="14"/>
        <v>2</v>
      </c>
      <c r="AK39" s="205">
        <f t="shared" si="15"/>
        <v>20</v>
      </c>
      <c r="AL39" s="116"/>
      <c r="AM39" s="138">
        <v>1.0</v>
      </c>
      <c r="AN39" s="184">
        <v>1.0</v>
      </c>
      <c r="AO39" s="138">
        <v>1.0</v>
      </c>
      <c r="AP39" s="116"/>
      <c r="AQ39" s="116"/>
      <c r="AR39" s="138">
        <v>1.0</v>
      </c>
      <c r="AS39" s="166"/>
      <c r="AT39" s="116"/>
      <c r="AU39" s="138">
        <v>1.0</v>
      </c>
      <c r="AV39" s="116"/>
      <c r="AW39" s="179"/>
      <c r="AX39" s="116"/>
      <c r="AY39" s="116"/>
      <c r="AZ39" s="116"/>
      <c r="BA39" s="215">
        <v>1.0</v>
      </c>
      <c r="BB39" s="138">
        <v>1.0</v>
      </c>
      <c r="BC39" s="116"/>
      <c r="BD39" s="194"/>
      <c r="BE39" s="194"/>
      <c r="BF39" s="194"/>
      <c r="BG39" s="139">
        <f t="shared" si="16"/>
        <v>7</v>
      </c>
      <c r="BH39" s="208">
        <f t="shared" si="17"/>
        <v>58.33333333</v>
      </c>
      <c r="BI39" s="116"/>
      <c r="BJ39" s="116"/>
      <c r="BK39" s="180"/>
      <c r="BL39" s="138">
        <v>1.0</v>
      </c>
      <c r="BM39" s="116"/>
      <c r="BN39" s="116"/>
      <c r="BO39" s="138">
        <v>1.0</v>
      </c>
      <c r="BP39" s="138">
        <v>1.0</v>
      </c>
      <c r="BQ39" s="116"/>
      <c r="BR39" s="166"/>
      <c r="BS39" s="138">
        <v>1.0</v>
      </c>
      <c r="BT39" s="138">
        <v>1.0</v>
      </c>
      <c r="BU39" s="145">
        <v>1.0</v>
      </c>
      <c r="BV39" s="145">
        <v>1.0</v>
      </c>
      <c r="BW39" s="198"/>
      <c r="BX39" s="116"/>
      <c r="BY39" s="138">
        <v>1.0</v>
      </c>
      <c r="BZ39" s="165"/>
      <c r="CA39" s="138">
        <v>1.0</v>
      </c>
      <c r="CB39" s="116"/>
      <c r="CC39" s="165"/>
      <c r="CD39" s="196">
        <v>1.0</v>
      </c>
      <c r="CE39" s="124">
        <f t="shared" si="18"/>
        <v>10</v>
      </c>
      <c r="CF39" s="173">
        <f t="shared" si="19"/>
        <v>90.90909091</v>
      </c>
      <c r="CG39" s="184">
        <v>1.0</v>
      </c>
      <c r="CH39" s="238"/>
      <c r="CI39" s="186"/>
      <c r="CJ39" s="186"/>
      <c r="CK39" s="116"/>
      <c r="CL39" s="186"/>
      <c r="CM39" s="223"/>
      <c r="CN39" s="223"/>
      <c r="CO39" s="116"/>
      <c r="CP39" s="166"/>
      <c r="CQ39" s="213"/>
      <c r="CR39" s="213"/>
      <c r="CS39" s="213"/>
      <c r="CT39" s="213"/>
      <c r="CU39" s="213"/>
      <c r="CV39" s="213"/>
      <c r="CW39" s="128">
        <f t="shared" si="20"/>
        <v>1</v>
      </c>
      <c r="CX39" s="214">
        <f t="shared" si="21"/>
        <v>50</v>
      </c>
      <c r="CY39" s="171"/>
      <c r="CZ39" s="171"/>
      <c r="DA39" s="171"/>
      <c r="DB39" s="171"/>
      <c r="DC39" s="171"/>
      <c r="DD39" s="171"/>
      <c r="DE39" s="171"/>
      <c r="DF39" s="171"/>
      <c r="DG39" s="171"/>
      <c r="DH39" s="171"/>
      <c r="DI39" s="171"/>
      <c r="DJ39" s="171"/>
      <c r="DK39" s="128">
        <f t="shared" si="22"/>
        <v>0</v>
      </c>
      <c r="DL39" s="158" t="str">
        <f t="shared" si="23"/>
        <v>#DIV/0!</v>
      </c>
    </row>
    <row r="40" ht="15.75" customHeight="1">
      <c r="A40" s="50">
        <v>31.0</v>
      </c>
      <c r="B40" s="111" t="s">
        <v>112</v>
      </c>
      <c r="C40" s="112" t="s">
        <v>113</v>
      </c>
      <c r="D40" s="98">
        <f t="shared" si="8"/>
        <v>24</v>
      </c>
      <c r="E40" s="130">
        <f t="shared" si="9"/>
        <v>68.57142857</v>
      </c>
      <c r="F40" s="114" t="str">
        <f t="shared" si="10"/>
        <v>  </v>
      </c>
      <c r="G40" s="149" t="str">
        <f t="shared" si="11"/>
        <v>  </v>
      </c>
      <c r="H40" s="180"/>
      <c r="I40" s="180"/>
      <c r="J40" s="180"/>
      <c r="K40" s="180"/>
      <c r="L40" s="204"/>
      <c r="M40" s="139">
        <f t="shared" si="12"/>
        <v>0</v>
      </c>
      <c r="N40" s="140" t="str">
        <f t="shared" si="13"/>
        <v>#DIV/0!</v>
      </c>
      <c r="O40" s="116"/>
      <c r="P40" s="116"/>
      <c r="Q40" s="116"/>
      <c r="R40" s="207"/>
      <c r="S40" s="116"/>
      <c r="T40" s="116"/>
      <c r="U40" s="116"/>
      <c r="V40" s="207"/>
      <c r="W40" s="138">
        <v>1.0</v>
      </c>
      <c r="X40" s="138">
        <v>1.0</v>
      </c>
      <c r="Y40" s="207"/>
      <c r="Z40" s="210">
        <v>1.0</v>
      </c>
      <c r="AA40" s="217"/>
      <c r="AB40" s="138">
        <v>1.0</v>
      </c>
      <c r="AC40" s="234">
        <v>1.0</v>
      </c>
      <c r="AD40" s="138">
        <v>1.0</v>
      </c>
      <c r="AE40" s="116"/>
      <c r="AF40" s="209">
        <v>1.0</v>
      </c>
      <c r="AG40" s="209">
        <v>1.0</v>
      </c>
      <c r="AH40" s="116"/>
      <c r="AI40" s="116"/>
      <c r="AJ40" s="139">
        <f t="shared" si="14"/>
        <v>8</v>
      </c>
      <c r="AK40" s="205">
        <f t="shared" si="15"/>
        <v>80</v>
      </c>
      <c r="AL40" s="236"/>
      <c r="AM40" s="138">
        <v>1.0</v>
      </c>
      <c r="AN40" s="207"/>
      <c r="AO40" s="138">
        <v>1.0</v>
      </c>
      <c r="AP40" s="116"/>
      <c r="AQ40" s="116"/>
      <c r="AR40" s="138">
        <v>1.0</v>
      </c>
      <c r="AS40" s="191">
        <v>1.0</v>
      </c>
      <c r="AT40" s="116"/>
      <c r="AU40" s="116"/>
      <c r="AV40" s="138">
        <v>1.0</v>
      </c>
      <c r="AW40" s="207"/>
      <c r="AX40" s="116"/>
      <c r="AY40" s="116"/>
      <c r="AZ40" s="116"/>
      <c r="BA40" s="215">
        <v>1.0</v>
      </c>
      <c r="BB40" s="116"/>
      <c r="BC40" s="116"/>
      <c r="BD40" s="194"/>
      <c r="BE40" s="188">
        <v>1.0</v>
      </c>
      <c r="BF40" s="194"/>
      <c r="BG40" s="139">
        <f t="shared" si="16"/>
        <v>7</v>
      </c>
      <c r="BH40" s="208">
        <f t="shared" si="17"/>
        <v>58.33333333</v>
      </c>
      <c r="BI40" s="116"/>
      <c r="BJ40" s="116"/>
      <c r="BK40" s="180"/>
      <c r="BL40" s="138">
        <v>1.0</v>
      </c>
      <c r="BM40" s="116"/>
      <c r="BN40" s="116"/>
      <c r="BO40" s="116"/>
      <c r="BP40" s="138">
        <v>1.0</v>
      </c>
      <c r="BQ40" s="116"/>
      <c r="BR40" s="166"/>
      <c r="BS40" s="196">
        <v>1.0</v>
      </c>
      <c r="BT40" s="138">
        <v>1.0</v>
      </c>
      <c r="BU40" s="241">
        <v>1.0</v>
      </c>
      <c r="BV40" s="116"/>
      <c r="BW40" s="216">
        <v>1.0</v>
      </c>
      <c r="BX40" s="116"/>
      <c r="BY40" s="138">
        <v>1.0</v>
      </c>
      <c r="BZ40" s="165"/>
      <c r="CA40" s="138">
        <v>1.0</v>
      </c>
      <c r="CB40" s="116"/>
      <c r="CC40" s="165"/>
      <c r="CD40" s="165"/>
      <c r="CE40" s="124">
        <f t="shared" si="18"/>
        <v>8</v>
      </c>
      <c r="CF40" s="173">
        <f t="shared" si="19"/>
        <v>72.72727273</v>
      </c>
      <c r="CG40" s="116"/>
      <c r="CH40" s="230">
        <v>1.0</v>
      </c>
      <c r="CI40" s="186"/>
      <c r="CJ40" s="116"/>
      <c r="CK40" s="116"/>
      <c r="CL40" s="186"/>
      <c r="CM40" s="223"/>
      <c r="CN40" s="116"/>
      <c r="CO40" s="116"/>
      <c r="CP40" s="166"/>
      <c r="CQ40" s="213"/>
      <c r="CR40" s="213"/>
      <c r="CS40" s="116"/>
      <c r="CT40" s="116"/>
      <c r="CU40" s="116"/>
      <c r="CV40" s="213"/>
      <c r="CW40" s="128">
        <f t="shared" si="20"/>
        <v>1</v>
      </c>
      <c r="CX40" s="214">
        <f t="shared" si="21"/>
        <v>50</v>
      </c>
      <c r="CY40" s="171"/>
      <c r="CZ40" s="171"/>
      <c r="DA40" s="171"/>
      <c r="DB40" s="171"/>
      <c r="DC40" s="171"/>
      <c r="DD40" s="171"/>
      <c r="DE40" s="171"/>
      <c r="DF40" s="171"/>
      <c r="DG40" s="171"/>
      <c r="DH40" s="171"/>
      <c r="DI40" s="171"/>
      <c r="DJ40" s="171"/>
      <c r="DK40" s="128">
        <f t="shared" si="22"/>
        <v>0</v>
      </c>
      <c r="DL40" s="158" t="str">
        <f t="shared" si="23"/>
        <v>#DIV/0!</v>
      </c>
    </row>
    <row r="41" ht="15.75" customHeight="1">
      <c r="A41" s="131">
        <v>32.0</v>
      </c>
      <c r="B41" s="111" t="s">
        <v>114</v>
      </c>
      <c r="C41" s="112" t="s">
        <v>115</v>
      </c>
      <c r="D41" s="98">
        <f t="shared" si="8"/>
        <v>17</v>
      </c>
      <c r="E41" s="130">
        <f t="shared" si="9"/>
        <v>48.57142857</v>
      </c>
      <c r="F41" s="114">
        <f t="shared" si="10"/>
        <v>48.57142857</v>
      </c>
      <c r="G41" s="149" t="str">
        <f t="shared" si="11"/>
        <v>  </v>
      </c>
      <c r="H41" s="180"/>
      <c r="I41" s="180"/>
      <c r="J41" s="180"/>
      <c r="K41" s="180"/>
      <c r="L41" s="204"/>
      <c r="M41" s="139">
        <f t="shared" si="12"/>
        <v>0</v>
      </c>
      <c r="N41" s="140" t="str">
        <f t="shared" si="13"/>
        <v>#DIV/0!</v>
      </c>
      <c r="O41" s="116"/>
      <c r="P41" s="116"/>
      <c r="Q41" s="180"/>
      <c r="R41" s="179"/>
      <c r="S41" s="179"/>
      <c r="T41" s="116"/>
      <c r="U41" s="116"/>
      <c r="V41" s="179"/>
      <c r="W41" s="116"/>
      <c r="X41" s="138">
        <v>1.0</v>
      </c>
      <c r="Y41" s="179"/>
      <c r="Z41" s="185"/>
      <c r="AA41" s="217"/>
      <c r="AB41" s="138">
        <v>1.0</v>
      </c>
      <c r="AC41" s="179"/>
      <c r="AD41" s="116"/>
      <c r="AE41" s="116"/>
      <c r="AF41" s="182">
        <v>1.0</v>
      </c>
      <c r="AG41" s="182">
        <v>1.0</v>
      </c>
      <c r="AH41" s="116"/>
      <c r="AI41" s="116"/>
      <c r="AJ41" s="139">
        <f t="shared" si="14"/>
        <v>4</v>
      </c>
      <c r="AK41" s="205">
        <f t="shared" si="15"/>
        <v>40</v>
      </c>
      <c r="AL41" s="116"/>
      <c r="AM41" s="138">
        <v>1.0</v>
      </c>
      <c r="AN41" s="184">
        <v>1.0</v>
      </c>
      <c r="AO41" s="116"/>
      <c r="AP41" s="116"/>
      <c r="AQ41" s="138">
        <v>1.0</v>
      </c>
      <c r="AR41" s="138">
        <v>1.0</v>
      </c>
      <c r="AS41" s="166"/>
      <c r="AT41" s="116"/>
      <c r="AU41" s="138">
        <v>1.0</v>
      </c>
      <c r="AV41" s="116"/>
      <c r="AW41" s="179"/>
      <c r="AX41" s="116"/>
      <c r="AY41" s="116"/>
      <c r="AZ41" s="116"/>
      <c r="BA41" s="215">
        <v>1.0</v>
      </c>
      <c r="BB41" s="116"/>
      <c r="BC41" s="116"/>
      <c r="BD41" s="194"/>
      <c r="BE41" s="194"/>
      <c r="BF41" s="194"/>
      <c r="BG41" s="139">
        <f t="shared" si="16"/>
        <v>6</v>
      </c>
      <c r="BH41" s="208">
        <f t="shared" si="17"/>
        <v>50</v>
      </c>
      <c r="BI41" s="116"/>
      <c r="BJ41" s="116"/>
      <c r="BK41" s="180"/>
      <c r="BL41" s="116"/>
      <c r="BM41" s="116"/>
      <c r="BN41" s="116"/>
      <c r="BO41" s="138">
        <v>1.0</v>
      </c>
      <c r="BP41" s="138">
        <v>1.0</v>
      </c>
      <c r="BQ41" s="116"/>
      <c r="BR41" s="116"/>
      <c r="BS41" s="138">
        <v>1.0</v>
      </c>
      <c r="BT41" s="210">
        <v>1.0</v>
      </c>
      <c r="BU41" s="43"/>
      <c r="BV41" s="43"/>
      <c r="BW41" s="216">
        <v>1.0</v>
      </c>
      <c r="BX41" s="116"/>
      <c r="BY41" s="138">
        <v>1.0</v>
      </c>
      <c r="BZ41" s="165"/>
      <c r="CA41" s="116"/>
      <c r="CB41" s="116"/>
      <c r="CC41" s="165"/>
      <c r="CD41" s="196">
        <v>1.0</v>
      </c>
      <c r="CE41" s="124">
        <f t="shared" si="18"/>
        <v>7</v>
      </c>
      <c r="CF41" s="173">
        <f t="shared" si="19"/>
        <v>63.63636364</v>
      </c>
      <c r="CG41" s="116"/>
      <c r="CH41" s="116"/>
      <c r="CI41" s="186"/>
      <c r="CJ41" s="116"/>
      <c r="CK41" s="116"/>
      <c r="CL41" s="186"/>
      <c r="CM41" s="223"/>
      <c r="CN41" s="116"/>
      <c r="CO41" s="116"/>
      <c r="CP41" s="166"/>
      <c r="CQ41" s="213"/>
      <c r="CR41" s="213"/>
      <c r="CS41" s="116"/>
      <c r="CT41" s="116"/>
      <c r="CU41" s="213"/>
      <c r="CV41" s="213"/>
      <c r="CW41" s="128">
        <f t="shared" si="20"/>
        <v>0</v>
      </c>
      <c r="CX41" s="214">
        <f t="shared" si="21"/>
        <v>0</v>
      </c>
      <c r="CY41" s="171"/>
      <c r="CZ41" s="171"/>
      <c r="DA41" s="171"/>
      <c r="DB41" s="171"/>
      <c r="DC41" s="171"/>
      <c r="DD41" s="171"/>
      <c r="DE41" s="171"/>
      <c r="DF41" s="171"/>
      <c r="DG41" s="171"/>
      <c r="DH41" s="171"/>
      <c r="DI41" s="171"/>
      <c r="DJ41" s="171"/>
      <c r="DK41" s="128">
        <f t="shared" si="22"/>
        <v>0</v>
      </c>
      <c r="DL41" s="158" t="str">
        <f t="shared" si="23"/>
        <v>#DIV/0!</v>
      </c>
    </row>
    <row r="42" ht="15.75" customHeight="1">
      <c r="A42" s="146">
        <v>33.0</v>
      </c>
      <c r="B42" s="111" t="s">
        <v>116</v>
      </c>
      <c r="C42" s="112" t="s">
        <v>117</v>
      </c>
      <c r="D42" s="98">
        <f t="shared" si="8"/>
        <v>14</v>
      </c>
      <c r="E42" s="130">
        <f t="shared" si="9"/>
        <v>40</v>
      </c>
      <c r="F42" s="114">
        <f t="shared" si="10"/>
        <v>40</v>
      </c>
      <c r="G42" s="226" t="str">
        <f t="shared" si="11"/>
        <v>  </v>
      </c>
      <c r="H42" s="203"/>
      <c r="I42" s="203"/>
      <c r="J42" s="203"/>
      <c r="K42" s="180"/>
      <c r="L42" s="204"/>
      <c r="M42" s="139">
        <f t="shared" si="12"/>
        <v>0</v>
      </c>
      <c r="N42" s="140" t="str">
        <f t="shared" si="13"/>
        <v>#DIV/0!</v>
      </c>
      <c r="O42" s="116"/>
      <c r="P42" s="116"/>
      <c r="Q42" s="180"/>
      <c r="R42" s="179"/>
      <c r="S42" s="179"/>
      <c r="T42" s="116"/>
      <c r="U42" s="116"/>
      <c r="V42" s="179"/>
      <c r="W42" s="116"/>
      <c r="X42" s="116"/>
      <c r="Y42" s="179"/>
      <c r="Z42" s="185"/>
      <c r="AA42" s="217"/>
      <c r="AB42" s="138">
        <v>1.0</v>
      </c>
      <c r="AC42" s="179"/>
      <c r="AD42" s="182">
        <v>1.0</v>
      </c>
      <c r="AE42" s="176"/>
      <c r="AF42" s="176"/>
      <c r="AG42" s="176"/>
      <c r="AH42" s="176"/>
      <c r="AI42" s="176"/>
      <c r="AJ42" s="139">
        <f t="shared" si="14"/>
        <v>2</v>
      </c>
      <c r="AK42" s="205">
        <f t="shared" si="15"/>
        <v>20</v>
      </c>
      <c r="AL42" s="222"/>
      <c r="AM42" s="116"/>
      <c r="AN42" s="184">
        <v>1.0</v>
      </c>
      <c r="AO42" s="179"/>
      <c r="AP42" s="179"/>
      <c r="AQ42" s="138">
        <v>1.0</v>
      </c>
      <c r="AR42" s="138">
        <v>1.0</v>
      </c>
      <c r="AS42" s="191">
        <v>1.0</v>
      </c>
      <c r="AT42" s="116"/>
      <c r="AU42" s="116"/>
      <c r="AV42" s="116"/>
      <c r="AW42" s="184">
        <v>1.0</v>
      </c>
      <c r="AX42" s="116"/>
      <c r="AY42" s="116"/>
      <c r="AZ42" s="180"/>
      <c r="BA42" s="215">
        <v>1.0</v>
      </c>
      <c r="BB42" s="204"/>
      <c r="BC42" s="204"/>
      <c r="BD42" s="181"/>
      <c r="BE42" s="181"/>
      <c r="BF42" s="181"/>
      <c r="BG42" s="139">
        <f t="shared" si="16"/>
        <v>6</v>
      </c>
      <c r="BH42" s="208">
        <f t="shared" si="17"/>
        <v>50</v>
      </c>
      <c r="BI42" s="116"/>
      <c r="BJ42" s="180"/>
      <c r="BK42" s="180"/>
      <c r="BL42" s="116"/>
      <c r="BM42" s="116"/>
      <c r="BN42" s="116"/>
      <c r="BO42" s="116"/>
      <c r="BP42" s="138">
        <v>1.0</v>
      </c>
      <c r="BQ42" s="211"/>
      <c r="BR42" s="166"/>
      <c r="BS42" s="196">
        <v>1.0</v>
      </c>
      <c r="BT42" s="210">
        <v>1.0</v>
      </c>
      <c r="BU42" s="43"/>
      <c r="BV42" s="145">
        <v>1.0</v>
      </c>
      <c r="BW42" s="216">
        <v>1.0</v>
      </c>
      <c r="BX42" s="43"/>
      <c r="BY42" s="138">
        <v>1.0</v>
      </c>
      <c r="BZ42" s="165"/>
      <c r="CA42" s="165"/>
      <c r="CB42" s="165"/>
      <c r="CC42" s="165"/>
      <c r="CD42" s="165"/>
      <c r="CE42" s="124">
        <f t="shared" si="18"/>
        <v>6</v>
      </c>
      <c r="CF42" s="173">
        <f t="shared" si="19"/>
        <v>54.54545455</v>
      </c>
      <c r="CG42" s="179"/>
      <c r="CH42" s="238"/>
      <c r="CI42" s="186"/>
      <c r="CJ42" s="186"/>
      <c r="CK42" s="116"/>
      <c r="CL42" s="186"/>
      <c r="CM42" s="223"/>
      <c r="CN42" s="223"/>
      <c r="CO42" s="223"/>
      <c r="CP42" s="166"/>
      <c r="CQ42" s="213"/>
      <c r="CR42" s="213"/>
      <c r="CS42" s="116"/>
      <c r="CT42" s="116"/>
      <c r="CU42" s="213"/>
      <c r="CV42" s="213"/>
      <c r="CW42" s="128">
        <f t="shared" si="20"/>
        <v>0</v>
      </c>
      <c r="CX42" s="214">
        <f t="shared" si="21"/>
        <v>0</v>
      </c>
      <c r="CY42" s="171"/>
      <c r="CZ42" s="171"/>
      <c r="DA42" s="171"/>
      <c r="DB42" s="171"/>
      <c r="DC42" s="171"/>
      <c r="DD42" s="171"/>
      <c r="DE42" s="171"/>
      <c r="DF42" s="171"/>
      <c r="DG42" s="171"/>
      <c r="DH42" s="171"/>
      <c r="DI42" s="171"/>
      <c r="DJ42" s="171"/>
      <c r="DK42" s="128">
        <f t="shared" si="22"/>
        <v>0</v>
      </c>
      <c r="DL42" s="158" t="str">
        <f t="shared" si="23"/>
        <v>#DIV/0!</v>
      </c>
    </row>
    <row r="43" ht="15.75" customHeight="1">
      <c r="A43" s="50">
        <v>34.0</v>
      </c>
      <c r="B43" s="111" t="s">
        <v>118</v>
      </c>
      <c r="C43" s="112" t="s">
        <v>119</v>
      </c>
      <c r="D43" s="98">
        <f t="shared" si="8"/>
        <v>1</v>
      </c>
      <c r="E43" s="130">
        <f t="shared" si="9"/>
        <v>2.857142857</v>
      </c>
      <c r="F43" s="114">
        <f t="shared" si="10"/>
        <v>2.857142857</v>
      </c>
      <c r="G43" s="226">
        <f t="shared" si="11"/>
        <v>2.857142857</v>
      </c>
      <c r="H43" s="180"/>
      <c r="I43" s="180"/>
      <c r="J43" s="180"/>
      <c r="K43" s="203"/>
      <c r="L43" s="239"/>
      <c r="M43" s="139">
        <f t="shared" si="12"/>
        <v>0</v>
      </c>
      <c r="N43" s="140" t="str">
        <f t="shared" si="13"/>
        <v>#DIV/0!</v>
      </c>
      <c r="O43" s="116"/>
      <c r="P43" s="116"/>
      <c r="Q43" s="180"/>
      <c r="R43" s="179"/>
      <c r="S43" s="116"/>
      <c r="T43" s="116"/>
      <c r="U43" s="116"/>
      <c r="V43" s="179"/>
      <c r="W43" s="116"/>
      <c r="X43" s="116"/>
      <c r="Y43" s="179"/>
      <c r="Z43" s="185"/>
      <c r="AA43" s="217"/>
      <c r="AB43" s="116"/>
      <c r="AC43" s="179"/>
      <c r="AD43" s="176"/>
      <c r="AE43" s="176"/>
      <c r="AF43" s="176"/>
      <c r="AG43" s="176"/>
      <c r="AH43" s="176"/>
      <c r="AI43" s="176"/>
      <c r="AJ43" s="139">
        <f t="shared" si="14"/>
        <v>0</v>
      </c>
      <c r="AK43" s="205">
        <f t="shared" si="15"/>
        <v>0</v>
      </c>
      <c r="AL43" s="222"/>
      <c r="AM43" s="179"/>
      <c r="AN43" s="179"/>
      <c r="AO43" s="179"/>
      <c r="AP43" s="179"/>
      <c r="AQ43" s="116"/>
      <c r="AR43" s="116"/>
      <c r="AS43" s="166"/>
      <c r="AT43" s="116"/>
      <c r="AU43" s="116"/>
      <c r="AV43" s="116"/>
      <c r="AW43" s="179"/>
      <c r="AX43" s="116"/>
      <c r="AY43" s="116"/>
      <c r="AZ43" s="180"/>
      <c r="BA43" s="215">
        <v>1.0</v>
      </c>
      <c r="BB43" s="204"/>
      <c r="BC43" s="204"/>
      <c r="BD43" s="181"/>
      <c r="BE43" s="181"/>
      <c r="BF43" s="181"/>
      <c r="BG43" s="139">
        <f t="shared" si="16"/>
        <v>1</v>
      </c>
      <c r="BH43" s="208">
        <f t="shared" si="17"/>
        <v>8.333333333</v>
      </c>
      <c r="BI43" s="116"/>
      <c r="BJ43" s="116"/>
      <c r="BK43" s="180"/>
      <c r="BL43" s="116"/>
      <c r="BM43" s="116"/>
      <c r="BN43" s="116"/>
      <c r="BO43" s="116"/>
      <c r="BP43" s="116"/>
      <c r="BQ43" s="116"/>
      <c r="BR43" s="166"/>
      <c r="BS43" s="165"/>
      <c r="BT43" s="138"/>
      <c r="BU43" s="43"/>
      <c r="BV43" s="43"/>
      <c r="BW43" s="198"/>
      <c r="BX43" s="43"/>
      <c r="BY43" s="116"/>
      <c r="BZ43" s="165"/>
      <c r="CA43" s="165"/>
      <c r="CB43" s="165"/>
      <c r="CC43" s="165"/>
      <c r="CD43" s="165"/>
      <c r="CE43" s="124">
        <f t="shared" si="18"/>
        <v>0</v>
      </c>
      <c r="CF43" s="173">
        <f t="shared" si="19"/>
        <v>0</v>
      </c>
      <c r="CG43" s="179"/>
      <c r="CH43" s="238"/>
      <c r="CI43" s="186"/>
      <c r="CJ43" s="116"/>
      <c r="CK43" s="231"/>
      <c r="CL43" s="186"/>
      <c r="CM43" s="223"/>
      <c r="CN43" s="223"/>
      <c r="CO43" s="116"/>
      <c r="CP43" s="166"/>
      <c r="CQ43" s="213"/>
      <c r="CR43" s="213"/>
      <c r="CS43" s="213"/>
      <c r="CT43" s="213"/>
      <c r="CU43" s="116"/>
      <c r="CV43" s="213"/>
      <c r="CW43" s="128">
        <f t="shared" si="20"/>
        <v>0</v>
      </c>
      <c r="CX43" s="214">
        <f t="shared" si="21"/>
        <v>0</v>
      </c>
      <c r="CY43" s="171"/>
      <c r="CZ43" s="171"/>
      <c r="DA43" s="171"/>
      <c r="DB43" s="171"/>
      <c r="DC43" s="171"/>
      <c r="DD43" s="171"/>
      <c r="DE43" s="171"/>
      <c r="DF43" s="171"/>
      <c r="DG43" s="171"/>
      <c r="DH43" s="171"/>
      <c r="DI43" s="171"/>
      <c r="DJ43" s="171"/>
      <c r="DK43" s="128">
        <f t="shared" si="22"/>
        <v>0</v>
      </c>
      <c r="DL43" s="158" t="str">
        <f t="shared" si="23"/>
        <v>#DIV/0!</v>
      </c>
    </row>
    <row r="44" ht="15.75" customHeight="1">
      <c r="A44" s="131">
        <v>35.0</v>
      </c>
      <c r="B44" s="111" t="s">
        <v>120</v>
      </c>
      <c r="C44" s="112" t="s">
        <v>121</v>
      </c>
      <c r="D44" s="98">
        <f t="shared" si="8"/>
        <v>10</v>
      </c>
      <c r="E44" s="130">
        <f t="shared" si="9"/>
        <v>28.57142857</v>
      </c>
      <c r="F44" s="114">
        <f t="shared" si="10"/>
        <v>28.57142857</v>
      </c>
      <c r="G44" s="226">
        <f t="shared" si="11"/>
        <v>28.57142857</v>
      </c>
      <c r="H44" s="180"/>
      <c r="I44" s="180"/>
      <c r="J44" s="221"/>
      <c r="K44" s="180"/>
      <c r="L44" s="204"/>
      <c r="M44" s="139">
        <f t="shared" si="12"/>
        <v>0</v>
      </c>
      <c r="N44" s="140" t="str">
        <f t="shared" si="13"/>
        <v>#DIV/0!</v>
      </c>
      <c r="O44" s="116"/>
      <c r="P44" s="116"/>
      <c r="Q44" s="116"/>
      <c r="R44" s="186"/>
      <c r="S44" s="186"/>
      <c r="T44" s="116"/>
      <c r="U44" s="116"/>
      <c r="V44" s="186"/>
      <c r="W44" s="116"/>
      <c r="X44" s="138">
        <v>1.0</v>
      </c>
      <c r="Y44" s="186"/>
      <c r="Z44" s="185"/>
      <c r="AA44" s="217"/>
      <c r="AB44" s="138">
        <v>1.0</v>
      </c>
      <c r="AC44" s="186"/>
      <c r="AD44" s="195"/>
      <c r="AE44" s="195"/>
      <c r="AF44" s="195"/>
      <c r="AG44" s="195"/>
      <c r="AH44" s="195"/>
      <c r="AI44" s="195"/>
      <c r="AJ44" s="139">
        <f t="shared" si="14"/>
        <v>2</v>
      </c>
      <c r="AK44" s="205">
        <f t="shared" si="15"/>
        <v>20</v>
      </c>
      <c r="AL44" s="225"/>
      <c r="AM44" s="186"/>
      <c r="AN44" s="186"/>
      <c r="AO44" s="200">
        <v>1.0</v>
      </c>
      <c r="AP44" s="186"/>
      <c r="AQ44" s="116"/>
      <c r="AR44" s="138">
        <v>1.0</v>
      </c>
      <c r="AS44" s="191">
        <v>1.0</v>
      </c>
      <c r="AT44" s="116"/>
      <c r="AU44" s="116"/>
      <c r="AV44" s="138">
        <v>1.0</v>
      </c>
      <c r="AW44" s="186"/>
      <c r="AX44" s="116"/>
      <c r="AY44" s="116"/>
      <c r="AZ44" s="180"/>
      <c r="BA44" s="180"/>
      <c r="BB44" s="204"/>
      <c r="BC44" s="204"/>
      <c r="BD44" s="181"/>
      <c r="BE44" s="219">
        <v>1.0</v>
      </c>
      <c r="BF44" s="181"/>
      <c r="BG44" s="139">
        <f t="shared" si="16"/>
        <v>5</v>
      </c>
      <c r="BH44" s="208">
        <f t="shared" si="17"/>
        <v>41.66666667</v>
      </c>
      <c r="BI44" s="116"/>
      <c r="BJ44" s="116"/>
      <c r="BK44" s="180"/>
      <c r="BL44" s="138">
        <v>1.0</v>
      </c>
      <c r="BM44" s="116"/>
      <c r="BN44" s="116"/>
      <c r="BO44" s="116"/>
      <c r="BP44" s="138">
        <v>1.0</v>
      </c>
      <c r="BQ44" s="211"/>
      <c r="BR44" s="166"/>
      <c r="BS44" s="165"/>
      <c r="BT44" s="210">
        <v>1.0</v>
      </c>
      <c r="BU44" s="43"/>
      <c r="BV44" s="43"/>
      <c r="BW44" s="198"/>
      <c r="BX44" s="43"/>
      <c r="BY44" s="116"/>
      <c r="BZ44" s="165"/>
      <c r="CA44" s="116"/>
      <c r="CB44" s="165"/>
      <c r="CC44" s="165"/>
      <c r="CD44" s="165"/>
      <c r="CE44" s="124">
        <f t="shared" si="18"/>
        <v>3</v>
      </c>
      <c r="CF44" s="173">
        <f t="shared" si="19"/>
        <v>27.27272727</v>
      </c>
      <c r="CG44" s="186"/>
      <c r="CH44" s="116"/>
      <c r="CI44" s="116"/>
      <c r="CJ44" s="186"/>
      <c r="CK44" s="231"/>
      <c r="CL44" s="186"/>
      <c r="CM44" s="223"/>
      <c r="CN44" s="223"/>
      <c r="CO44" s="223"/>
      <c r="CP44" s="166"/>
      <c r="CQ44" s="213"/>
      <c r="CR44" s="213"/>
      <c r="CS44" s="116"/>
      <c r="CT44" s="116"/>
      <c r="CU44" s="116"/>
      <c r="CV44" s="213"/>
      <c r="CW44" s="128">
        <f t="shared" si="20"/>
        <v>0</v>
      </c>
      <c r="CX44" s="214">
        <f t="shared" si="21"/>
        <v>0</v>
      </c>
      <c r="CY44" s="171"/>
      <c r="CZ44" s="171"/>
      <c r="DA44" s="171"/>
      <c r="DB44" s="171"/>
      <c r="DC44" s="171"/>
      <c r="DD44" s="171"/>
      <c r="DE44" s="171"/>
      <c r="DF44" s="171"/>
      <c r="DG44" s="171"/>
      <c r="DH44" s="171"/>
      <c r="DI44" s="171"/>
      <c r="DJ44" s="171"/>
      <c r="DK44" s="128">
        <f t="shared" si="22"/>
        <v>0</v>
      </c>
      <c r="DL44" s="158" t="str">
        <f t="shared" si="23"/>
        <v>#DIV/0!</v>
      </c>
    </row>
    <row r="45" ht="15.75" customHeight="1">
      <c r="A45" s="146">
        <v>36.0</v>
      </c>
      <c r="B45" s="111" t="s">
        <v>122</v>
      </c>
      <c r="C45" s="112" t="s">
        <v>123</v>
      </c>
      <c r="D45" s="98">
        <f t="shared" si="8"/>
        <v>22</v>
      </c>
      <c r="E45" s="130">
        <f t="shared" si="9"/>
        <v>62.85714286</v>
      </c>
      <c r="F45" s="92" t="str">
        <f t="shared" si="10"/>
        <v>  </v>
      </c>
      <c r="G45" s="149" t="str">
        <f t="shared" si="11"/>
        <v>  </v>
      </c>
      <c r="H45" s="180"/>
      <c r="I45" s="180"/>
      <c r="J45" s="180"/>
      <c r="K45" s="180"/>
      <c r="L45" s="204"/>
      <c r="M45" s="139">
        <f t="shared" si="12"/>
        <v>0</v>
      </c>
      <c r="N45" s="140" t="str">
        <f t="shared" si="13"/>
        <v>#DIV/0!</v>
      </c>
      <c r="O45" s="116"/>
      <c r="P45" s="116"/>
      <c r="Q45" s="180"/>
      <c r="R45" s="186"/>
      <c r="S45" s="116"/>
      <c r="T45" s="116"/>
      <c r="U45" s="116"/>
      <c r="V45" s="186"/>
      <c r="W45" s="116"/>
      <c r="X45" s="138">
        <v>1.0</v>
      </c>
      <c r="Y45" s="186"/>
      <c r="Z45" s="210">
        <v>1.0</v>
      </c>
      <c r="AA45" s="187">
        <v>1.0</v>
      </c>
      <c r="AB45" s="138">
        <v>1.0</v>
      </c>
      <c r="AC45" s="200">
        <v>1.0</v>
      </c>
      <c r="AD45" s="116"/>
      <c r="AE45" s="116"/>
      <c r="AF45" s="197">
        <v>1.0</v>
      </c>
      <c r="AG45" s="197">
        <v>1.0</v>
      </c>
      <c r="AH45" s="116"/>
      <c r="AI45" s="116"/>
      <c r="AJ45" s="139">
        <f t="shared" si="14"/>
        <v>7</v>
      </c>
      <c r="AK45" s="205">
        <f t="shared" si="15"/>
        <v>70</v>
      </c>
      <c r="AL45" s="225"/>
      <c r="AM45" s="186"/>
      <c r="AN45" s="186"/>
      <c r="AO45" s="184">
        <v>1.0</v>
      </c>
      <c r="AP45" s="179"/>
      <c r="AQ45" s="116"/>
      <c r="AR45" s="138">
        <v>1.0</v>
      </c>
      <c r="AS45" s="166"/>
      <c r="AT45" s="116"/>
      <c r="AU45" s="138">
        <v>1.0</v>
      </c>
      <c r="AV45" s="116"/>
      <c r="AW45" s="186"/>
      <c r="AX45" s="116"/>
      <c r="AY45" s="116"/>
      <c r="AZ45" s="116"/>
      <c r="BA45" s="215">
        <v>1.0</v>
      </c>
      <c r="BB45" s="138">
        <v>1.0</v>
      </c>
      <c r="BC45" s="116"/>
      <c r="BD45" s="194"/>
      <c r="BE45" s="194"/>
      <c r="BF45" s="194"/>
      <c r="BG45" s="139">
        <f t="shared" si="16"/>
        <v>5</v>
      </c>
      <c r="BH45" s="208">
        <f t="shared" si="17"/>
        <v>41.66666667</v>
      </c>
      <c r="BI45" s="116"/>
      <c r="BJ45" s="180"/>
      <c r="BK45" s="180"/>
      <c r="BL45" s="138">
        <v>1.0</v>
      </c>
      <c r="BM45" s="116"/>
      <c r="BN45" s="116"/>
      <c r="BO45" s="138">
        <v>1.0</v>
      </c>
      <c r="BP45" s="138">
        <v>1.0</v>
      </c>
      <c r="BQ45" s="211"/>
      <c r="BR45" s="116"/>
      <c r="BS45" s="138">
        <v>1.0</v>
      </c>
      <c r="BT45" s="138">
        <v>1.0</v>
      </c>
      <c r="BU45" s="145">
        <v>1.0</v>
      </c>
      <c r="BV45" s="145">
        <v>1.0</v>
      </c>
      <c r="BW45" s="198"/>
      <c r="BX45" s="116"/>
      <c r="BY45" s="138">
        <v>1.0</v>
      </c>
      <c r="BZ45" s="165"/>
      <c r="CA45" s="116"/>
      <c r="CB45" s="165"/>
      <c r="CC45" s="165"/>
      <c r="CD45" s="196">
        <v>1.0</v>
      </c>
      <c r="CE45" s="124">
        <f t="shared" si="18"/>
        <v>9</v>
      </c>
      <c r="CF45" s="173">
        <f t="shared" si="19"/>
        <v>81.81818182</v>
      </c>
      <c r="CG45" s="116"/>
      <c r="CH45" s="138">
        <v>1.0</v>
      </c>
      <c r="CI45" s="186"/>
      <c r="CJ45" s="116"/>
      <c r="CK45" s="116"/>
      <c r="CL45" s="186"/>
      <c r="CM45" s="116"/>
      <c r="CN45" s="116"/>
      <c r="CO45" s="116"/>
      <c r="CP45" s="166"/>
      <c r="CQ45" s="213"/>
      <c r="CR45" s="213"/>
      <c r="CS45" s="116"/>
      <c r="CT45" s="116"/>
      <c r="CU45" s="116"/>
      <c r="CV45" s="213"/>
      <c r="CW45" s="128">
        <f t="shared" si="20"/>
        <v>1</v>
      </c>
      <c r="CX45" s="214">
        <f t="shared" si="21"/>
        <v>50</v>
      </c>
      <c r="CY45" s="171"/>
      <c r="CZ45" s="171"/>
      <c r="DA45" s="171"/>
      <c r="DB45" s="171"/>
      <c r="DC45" s="171"/>
      <c r="DD45" s="171"/>
      <c r="DE45" s="171"/>
      <c r="DF45" s="171"/>
      <c r="DG45" s="171"/>
      <c r="DH45" s="171"/>
      <c r="DI45" s="171"/>
      <c r="DJ45" s="171"/>
      <c r="DK45" s="128">
        <f t="shared" si="22"/>
        <v>0</v>
      </c>
      <c r="DL45" s="158" t="str">
        <f t="shared" si="23"/>
        <v>#DIV/0!</v>
      </c>
    </row>
    <row r="46" ht="15.75" customHeight="1">
      <c r="A46" s="50">
        <v>37.0</v>
      </c>
      <c r="B46" s="111" t="s">
        <v>124</v>
      </c>
      <c r="C46" s="112" t="s">
        <v>125</v>
      </c>
      <c r="D46" s="98">
        <f t="shared" si="8"/>
        <v>19</v>
      </c>
      <c r="E46" s="130">
        <f t="shared" si="9"/>
        <v>54.28571429</v>
      </c>
      <c r="F46" s="114" t="str">
        <f t="shared" si="10"/>
        <v>  </v>
      </c>
      <c r="G46" s="226" t="str">
        <f t="shared" si="11"/>
        <v>  </v>
      </c>
      <c r="H46" s="180"/>
      <c r="I46" s="180"/>
      <c r="J46" s="221"/>
      <c r="K46" s="180"/>
      <c r="L46" s="204"/>
      <c r="M46" s="139">
        <f t="shared" si="12"/>
        <v>0</v>
      </c>
      <c r="N46" s="140" t="str">
        <f t="shared" si="13"/>
        <v>#DIV/0!</v>
      </c>
      <c r="O46" s="116"/>
      <c r="P46" s="116"/>
      <c r="Q46" s="180"/>
      <c r="R46" s="179"/>
      <c r="S46" s="179"/>
      <c r="T46" s="116"/>
      <c r="U46" s="116"/>
      <c r="V46" s="179"/>
      <c r="W46" s="116"/>
      <c r="X46" s="116"/>
      <c r="Y46" s="179"/>
      <c r="Z46" s="185"/>
      <c r="AA46" s="217"/>
      <c r="AB46" s="138">
        <v>1.0</v>
      </c>
      <c r="AC46" s="179"/>
      <c r="AD46" s="176"/>
      <c r="AE46" s="116"/>
      <c r="AF46" s="182">
        <v>1.0</v>
      </c>
      <c r="AG46" s="182">
        <v>1.0</v>
      </c>
      <c r="AH46" s="116"/>
      <c r="AI46" s="176"/>
      <c r="AJ46" s="139">
        <f t="shared" si="14"/>
        <v>3</v>
      </c>
      <c r="AK46" s="205">
        <f t="shared" si="15"/>
        <v>30</v>
      </c>
      <c r="AL46" s="116"/>
      <c r="AM46" s="138">
        <v>1.0</v>
      </c>
      <c r="AN46" s="184">
        <v>1.0</v>
      </c>
      <c r="AO46" s="138">
        <v>1.0</v>
      </c>
      <c r="AP46" s="116"/>
      <c r="AQ46" s="116"/>
      <c r="AR46" s="138">
        <v>1.0</v>
      </c>
      <c r="AS46" s="191">
        <v>1.0</v>
      </c>
      <c r="AT46" s="116"/>
      <c r="AU46" s="138">
        <v>1.0</v>
      </c>
      <c r="AV46" s="116"/>
      <c r="AW46" s="184">
        <v>1.0</v>
      </c>
      <c r="AX46" s="116"/>
      <c r="AY46" s="116"/>
      <c r="AZ46" s="116"/>
      <c r="BA46" s="215">
        <v>1.0</v>
      </c>
      <c r="BB46" s="116"/>
      <c r="BC46" s="116"/>
      <c r="BD46" s="194"/>
      <c r="BE46" s="194"/>
      <c r="BF46" s="194"/>
      <c r="BG46" s="139">
        <f t="shared" si="16"/>
        <v>8</v>
      </c>
      <c r="BH46" s="208">
        <f t="shared" si="17"/>
        <v>66.66666667</v>
      </c>
      <c r="BI46" s="116"/>
      <c r="BJ46" s="116"/>
      <c r="BK46" s="180"/>
      <c r="BL46" s="138">
        <v>1.0</v>
      </c>
      <c r="BM46" s="116"/>
      <c r="BN46" s="116"/>
      <c r="BO46" s="138">
        <v>1.0</v>
      </c>
      <c r="BP46" s="138">
        <v>1.0</v>
      </c>
      <c r="BQ46" s="116"/>
      <c r="BR46" s="166"/>
      <c r="BS46" s="138">
        <v>1.0</v>
      </c>
      <c r="BT46" s="210">
        <v>1.0</v>
      </c>
      <c r="BU46" s="43"/>
      <c r="BV46" s="145">
        <v>1.0</v>
      </c>
      <c r="BW46" s="216">
        <v>1.0</v>
      </c>
      <c r="BX46" s="116"/>
      <c r="BY46" s="116"/>
      <c r="BZ46" s="165"/>
      <c r="CA46" s="116"/>
      <c r="CB46" s="165"/>
      <c r="CC46" s="165"/>
      <c r="CD46" s="165"/>
      <c r="CE46" s="124">
        <f t="shared" si="18"/>
        <v>7</v>
      </c>
      <c r="CF46" s="173">
        <f t="shared" si="19"/>
        <v>63.63636364</v>
      </c>
      <c r="CG46" s="116"/>
      <c r="CH46" s="230">
        <v>1.0</v>
      </c>
      <c r="CI46" s="186"/>
      <c r="CJ46" s="186"/>
      <c r="CK46" s="116"/>
      <c r="CL46" s="186"/>
      <c r="CM46" s="116"/>
      <c r="CN46" s="223"/>
      <c r="CO46" s="116"/>
      <c r="CP46" s="166"/>
      <c r="CQ46" s="213"/>
      <c r="CR46" s="213"/>
      <c r="CS46" s="213"/>
      <c r="CT46" s="116"/>
      <c r="CU46" s="213"/>
      <c r="CV46" s="213"/>
      <c r="CW46" s="128">
        <f t="shared" si="20"/>
        <v>1</v>
      </c>
      <c r="CX46" s="214">
        <f t="shared" si="21"/>
        <v>50</v>
      </c>
      <c r="CY46" s="171"/>
      <c r="CZ46" s="171"/>
      <c r="DA46" s="171"/>
      <c r="DB46" s="171"/>
      <c r="DC46" s="171"/>
      <c r="DD46" s="171"/>
      <c r="DE46" s="171"/>
      <c r="DF46" s="171"/>
      <c r="DG46" s="171"/>
      <c r="DH46" s="171"/>
      <c r="DI46" s="171"/>
      <c r="DJ46" s="171"/>
      <c r="DK46" s="128">
        <f t="shared" si="22"/>
        <v>0</v>
      </c>
      <c r="DL46" s="158" t="str">
        <f t="shared" si="23"/>
        <v>#DIV/0!</v>
      </c>
    </row>
    <row r="47" ht="15.75" customHeight="1">
      <c r="A47" s="131">
        <v>38.0</v>
      </c>
      <c r="B47" s="111" t="s">
        <v>126</v>
      </c>
      <c r="C47" s="112" t="s">
        <v>127</v>
      </c>
      <c r="D47" s="98">
        <f t="shared" si="8"/>
        <v>11</v>
      </c>
      <c r="E47" s="130">
        <f t="shared" si="9"/>
        <v>31.42857143</v>
      </c>
      <c r="F47" s="114">
        <f t="shared" si="10"/>
        <v>31.42857143</v>
      </c>
      <c r="G47" s="226" t="str">
        <f t="shared" si="11"/>
        <v>  </v>
      </c>
      <c r="H47" s="180"/>
      <c r="I47" s="180"/>
      <c r="J47" s="180"/>
      <c r="K47" s="180"/>
      <c r="L47" s="204"/>
      <c r="M47" s="139">
        <f t="shared" si="12"/>
        <v>0</v>
      </c>
      <c r="N47" s="140" t="str">
        <f t="shared" si="13"/>
        <v>#DIV/0!</v>
      </c>
      <c r="O47" s="116"/>
      <c r="P47" s="116"/>
      <c r="Q47" s="180"/>
      <c r="R47" s="179"/>
      <c r="S47" s="116"/>
      <c r="T47" s="116"/>
      <c r="U47" s="116"/>
      <c r="V47" s="179"/>
      <c r="W47" s="116"/>
      <c r="X47" s="116"/>
      <c r="Y47" s="179"/>
      <c r="Z47" s="210">
        <v>1.0</v>
      </c>
      <c r="AA47" s="187">
        <v>1.0</v>
      </c>
      <c r="AB47" s="138">
        <v>1.0</v>
      </c>
      <c r="AC47" s="184">
        <v>1.0</v>
      </c>
      <c r="AD47" s="176"/>
      <c r="AE47" s="176"/>
      <c r="AF47" s="176"/>
      <c r="AG47" s="176"/>
      <c r="AH47" s="176"/>
      <c r="AI47" s="176"/>
      <c r="AJ47" s="139">
        <f t="shared" si="14"/>
        <v>4</v>
      </c>
      <c r="AK47" s="205">
        <f t="shared" si="15"/>
        <v>40</v>
      </c>
      <c r="AL47" s="116"/>
      <c r="AM47" s="184">
        <v>1.0</v>
      </c>
      <c r="AN47" s="179"/>
      <c r="AO47" s="179"/>
      <c r="AP47" s="179"/>
      <c r="AQ47" s="116"/>
      <c r="AR47" s="138">
        <v>1.0</v>
      </c>
      <c r="AS47" s="166"/>
      <c r="AT47" s="116"/>
      <c r="AU47" s="116"/>
      <c r="AV47" s="116"/>
      <c r="AW47" s="179"/>
      <c r="AX47" s="116"/>
      <c r="AY47" s="116"/>
      <c r="AZ47" s="180"/>
      <c r="BA47" s="180"/>
      <c r="BB47" s="204"/>
      <c r="BC47" s="204"/>
      <c r="BD47" s="181"/>
      <c r="BE47" s="181"/>
      <c r="BF47" s="181"/>
      <c r="BG47" s="139">
        <f t="shared" si="16"/>
        <v>2</v>
      </c>
      <c r="BH47" s="208">
        <f t="shared" si="17"/>
        <v>16.66666667</v>
      </c>
      <c r="BI47" s="116"/>
      <c r="BJ47" s="116"/>
      <c r="BK47" s="180"/>
      <c r="BL47" s="116"/>
      <c r="BM47" s="116"/>
      <c r="BN47" s="116"/>
      <c r="BO47" s="116"/>
      <c r="BP47" s="116"/>
      <c r="BQ47" s="211"/>
      <c r="BR47" s="166"/>
      <c r="BS47" s="116"/>
      <c r="BT47" s="185"/>
      <c r="BU47" s="43"/>
      <c r="BV47" s="43"/>
      <c r="BW47" s="216">
        <v>1.0</v>
      </c>
      <c r="BX47" s="43"/>
      <c r="BY47" s="138">
        <v>1.0</v>
      </c>
      <c r="BZ47" s="165"/>
      <c r="CA47" s="116"/>
      <c r="CB47" s="165"/>
      <c r="CC47" s="165"/>
      <c r="CD47" s="196">
        <v>1.0</v>
      </c>
      <c r="CE47" s="124">
        <f t="shared" si="18"/>
        <v>3</v>
      </c>
      <c r="CF47" s="173">
        <f t="shared" si="19"/>
        <v>27.27272727</v>
      </c>
      <c r="CG47" s="184">
        <v>1.0</v>
      </c>
      <c r="CH47" s="138">
        <v>1.0</v>
      </c>
      <c r="CI47" s="186"/>
      <c r="CJ47" s="186"/>
      <c r="CK47" s="231"/>
      <c r="CL47" s="186"/>
      <c r="CM47" s="223"/>
      <c r="CN47" s="223"/>
      <c r="CO47" s="223"/>
      <c r="CP47" s="166"/>
      <c r="CQ47" s="213"/>
      <c r="CR47" s="213"/>
      <c r="CS47" s="213"/>
      <c r="CT47" s="116"/>
      <c r="CU47" s="213"/>
      <c r="CV47" s="213"/>
      <c r="CW47" s="128">
        <f t="shared" si="20"/>
        <v>2</v>
      </c>
      <c r="CX47" s="214">
        <f t="shared" si="21"/>
        <v>100</v>
      </c>
      <c r="CY47" s="171"/>
      <c r="CZ47" s="171"/>
      <c r="DA47" s="171"/>
      <c r="DB47" s="171"/>
      <c r="DC47" s="171"/>
      <c r="DD47" s="171"/>
      <c r="DE47" s="171"/>
      <c r="DF47" s="171"/>
      <c r="DG47" s="171"/>
      <c r="DH47" s="171"/>
      <c r="DI47" s="171"/>
      <c r="DJ47" s="171"/>
      <c r="DK47" s="128">
        <f t="shared" si="22"/>
        <v>0</v>
      </c>
      <c r="DL47" s="158" t="str">
        <f t="shared" si="23"/>
        <v>#DIV/0!</v>
      </c>
    </row>
    <row r="48" ht="15.75" customHeight="1">
      <c r="A48" s="146">
        <v>39.0</v>
      </c>
      <c r="B48" s="111" t="s">
        <v>128</v>
      </c>
      <c r="C48" s="112" t="s">
        <v>129</v>
      </c>
      <c r="D48" s="98">
        <f t="shared" si="8"/>
        <v>22</v>
      </c>
      <c r="E48" s="130">
        <f t="shared" si="9"/>
        <v>62.85714286</v>
      </c>
      <c r="F48" s="92" t="str">
        <f t="shared" si="10"/>
        <v>  </v>
      </c>
      <c r="G48" s="149" t="str">
        <f t="shared" si="11"/>
        <v>  </v>
      </c>
      <c r="H48" s="203"/>
      <c r="I48" s="221"/>
      <c r="J48" s="221"/>
      <c r="K48" s="180"/>
      <c r="L48" s="204"/>
      <c r="M48" s="139">
        <f t="shared" si="12"/>
        <v>0</v>
      </c>
      <c r="N48" s="140" t="str">
        <f t="shared" si="13"/>
        <v>#DIV/0!</v>
      </c>
      <c r="O48" s="116"/>
      <c r="P48" s="116"/>
      <c r="Q48" s="116"/>
      <c r="R48" s="179"/>
      <c r="S48" s="179"/>
      <c r="T48" s="116"/>
      <c r="U48" s="116"/>
      <c r="V48" s="179"/>
      <c r="W48" s="138">
        <v>1.0</v>
      </c>
      <c r="X48" s="138">
        <v>1.0</v>
      </c>
      <c r="Y48" s="179"/>
      <c r="Z48" s="210">
        <v>1.0</v>
      </c>
      <c r="AA48" s="187">
        <v>1.0</v>
      </c>
      <c r="AB48" s="116"/>
      <c r="AC48" s="184">
        <v>1.0</v>
      </c>
      <c r="AD48" s="138">
        <v>1.0</v>
      </c>
      <c r="AE48" s="116"/>
      <c r="AF48" s="182">
        <v>1.0</v>
      </c>
      <c r="AG48" s="182">
        <v>1.0</v>
      </c>
      <c r="AH48" s="116"/>
      <c r="AI48" s="116"/>
      <c r="AJ48" s="139">
        <f t="shared" si="14"/>
        <v>8</v>
      </c>
      <c r="AK48" s="205">
        <f t="shared" si="15"/>
        <v>80</v>
      </c>
      <c r="AL48" s="116"/>
      <c r="AM48" s="138">
        <v>1.0</v>
      </c>
      <c r="AN48" s="184">
        <v>1.0</v>
      </c>
      <c r="AO48" s="138">
        <v>1.0</v>
      </c>
      <c r="AP48" s="116"/>
      <c r="AQ48" s="138">
        <v>1.0</v>
      </c>
      <c r="AR48" s="116"/>
      <c r="AS48" s="191">
        <v>1.0</v>
      </c>
      <c r="AT48" s="116"/>
      <c r="AU48" s="116"/>
      <c r="AV48" s="116"/>
      <c r="AW48" s="179"/>
      <c r="AX48" s="116"/>
      <c r="AY48" s="116"/>
      <c r="AZ48" s="116"/>
      <c r="BA48" s="180"/>
      <c r="BB48" s="116"/>
      <c r="BC48" s="116"/>
      <c r="BD48" s="194"/>
      <c r="BE48" s="194"/>
      <c r="BF48" s="194"/>
      <c r="BG48" s="139">
        <f t="shared" si="16"/>
        <v>5</v>
      </c>
      <c r="BH48" s="208">
        <f t="shared" si="17"/>
        <v>41.66666667</v>
      </c>
      <c r="BI48" s="116"/>
      <c r="BJ48" s="116"/>
      <c r="BK48" s="180"/>
      <c r="BL48" s="116"/>
      <c r="BM48" s="116"/>
      <c r="BN48" s="116"/>
      <c r="BO48" s="116"/>
      <c r="BP48" s="138">
        <v>1.0</v>
      </c>
      <c r="BQ48" s="116"/>
      <c r="BR48" s="116"/>
      <c r="BS48" s="138">
        <v>1.0</v>
      </c>
      <c r="BT48" s="116"/>
      <c r="BU48" s="145">
        <v>1.0</v>
      </c>
      <c r="BV48" s="145">
        <v>1.0</v>
      </c>
      <c r="BW48" s="198"/>
      <c r="BX48" s="116"/>
      <c r="BY48" s="138">
        <v>1.0</v>
      </c>
      <c r="BZ48" s="165"/>
      <c r="CA48" s="138">
        <v>1.0</v>
      </c>
      <c r="CB48" s="116"/>
      <c r="CC48" s="165"/>
      <c r="CD48" s="196">
        <v>1.0</v>
      </c>
      <c r="CE48" s="124">
        <f t="shared" si="18"/>
        <v>7</v>
      </c>
      <c r="CF48" s="173">
        <f t="shared" si="19"/>
        <v>63.63636364</v>
      </c>
      <c r="CG48" s="138">
        <v>1.0</v>
      </c>
      <c r="CH48" s="138">
        <v>1.0</v>
      </c>
      <c r="CI48" s="116"/>
      <c r="CJ48" s="116"/>
      <c r="CK48" s="116"/>
      <c r="CL48" s="186"/>
      <c r="CM48" s="223"/>
      <c r="CN48" s="116"/>
      <c r="CO48" s="223"/>
      <c r="CP48" s="166"/>
      <c r="CQ48" s="213"/>
      <c r="CR48" s="213"/>
      <c r="CS48" s="116"/>
      <c r="CT48" s="116"/>
      <c r="CU48" s="116"/>
      <c r="CV48" s="213"/>
      <c r="CW48" s="128">
        <f t="shared" si="20"/>
        <v>2</v>
      </c>
      <c r="CX48" s="214">
        <f t="shared" si="21"/>
        <v>100</v>
      </c>
      <c r="CY48" s="171"/>
      <c r="CZ48" s="171"/>
      <c r="DA48" s="171"/>
      <c r="DB48" s="171"/>
      <c r="DC48" s="171"/>
      <c r="DD48" s="171"/>
      <c r="DE48" s="171"/>
      <c r="DF48" s="171"/>
      <c r="DG48" s="171"/>
      <c r="DH48" s="171"/>
      <c r="DI48" s="171"/>
      <c r="DJ48" s="171"/>
      <c r="DK48" s="128">
        <f t="shared" si="22"/>
        <v>0</v>
      </c>
      <c r="DL48" s="158" t="str">
        <f t="shared" si="23"/>
        <v>#DIV/0!</v>
      </c>
    </row>
    <row r="49" ht="15.75" customHeight="1">
      <c r="A49" s="50">
        <v>40.0</v>
      </c>
      <c r="B49" s="111" t="s">
        <v>130</v>
      </c>
      <c r="C49" s="112" t="s">
        <v>131</v>
      </c>
      <c r="D49" s="98">
        <f t="shared" si="8"/>
        <v>0</v>
      </c>
      <c r="E49" s="130">
        <f t="shared" si="9"/>
        <v>0</v>
      </c>
      <c r="F49" s="114">
        <f t="shared" si="10"/>
        <v>0</v>
      </c>
      <c r="G49" s="226">
        <f t="shared" si="11"/>
        <v>0</v>
      </c>
      <c r="H49" s="254"/>
      <c r="I49" s="255"/>
      <c r="J49" s="256"/>
      <c r="K49" s="254"/>
      <c r="L49" s="257"/>
      <c r="M49" s="139">
        <f t="shared" si="12"/>
        <v>0</v>
      </c>
      <c r="N49" s="140" t="str">
        <f t="shared" si="13"/>
        <v>#DIV/0!</v>
      </c>
      <c r="O49" s="116"/>
      <c r="P49" s="116"/>
      <c r="Q49" s="180"/>
      <c r="R49" s="179"/>
      <c r="S49" s="179"/>
      <c r="T49" s="116"/>
      <c r="U49" s="116"/>
      <c r="V49" s="179"/>
      <c r="W49" s="116"/>
      <c r="X49" s="116"/>
      <c r="Y49" s="179"/>
      <c r="Z49" s="185"/>
      <c r="AA49" s="217"/>
      <c r="AB49" s="116"/>
      <c r="AC49" s="179"/>
      <c r="AD49" s="176"/>
      <c r="AE49" s="176"/>
      <c r="AF49" s="176"/>
      <c r="AG49" s="176"/>
      <c r="AH49" s="176"/>
      <c r="AI49" s="176"/>
      <c r="AJ49" s="139">
        <f t="shared" si="14"/>
        <v>0</v>
      </c>
      <c r="AK49" s="205">
        <f t="shared" si="15"/>
        <v>0</v>
      </c>
      <c r="AL49" s="222"/>
      <c r="AM49" s="179"/>
      <c r="AN49" s="179"/>
      <c r="AO49" s="186"/>
      <c r="AP49" s="186"/>
      <c r="AQ49" s="116"/>
      <c r="AR49" s="116"/>
      <c r="AS49" s="166"/>
      <c r="AT49" s="116"/>
      <c r="AU49" s="116"/>
      <c r="AV49" s="116"/>
      <c r="AW49" s="179"/>
      <c r="AX49" s="116"/>
      <c r="AY49" s="116"/>
      <c r="AZ49" s="180"/>
      <c r="BA49" s="180"/>
      <c r="BB49" s="204"/>
      <c r="BC49" s="204"/>
      <c r="BD49" s="181"/>
      <c r="BE49" s="181"/>
      <c r="BF49" s="181"/>
      <c r="BG49" s="139">
        <f t="shared" si="16"/>
        <v>0</v>
      </c>
      <c r="BH49" s="208">
        <f t="shared" si="17"/>
        <v>0</v>
      </c>
      <c r="BI49" s="116"/>
      <c r="BJ49" s="180"/>
      <c r="BK49" s="180"/>
      <c r="BL49" s="116"/>
      <c r="BM49" s="116"/>
      <c r="BN49" s="116"/>
      <c r="BO49" s="116"/>
      <c r="BP49" s="116"/>
      <c r="BQ49" s="116"/>
      <c r="BR49" s="166"/>
      <c r="BS49" s="165"/>
      <c r="BT49" s="185"/>
      <c r="BU49" s="43"/>
      <c r="BV49" s="43"/>
      <c r="BW49" s="198"/>
      <c r="BX49" s="43"/>
      <c r="BY49" s="116"/>
      <c r="BZ49" s="165"/>
      <c r="CA49" s="165"/>
      <c r="CB49" s="165"/>
      <c r="CC49" s="165"/>
      <c r="CD49" s="165"/>
      <c r="CE49" s="124">
        <f t="shared" si="18"/>
        <v>0</v>
      </c>
      <c r="CF49" s="173">
        <f t="shared" si="19"/>
        <v>0</v>
      </c>
      <c r="CG49" s="179"/>
      <c r="CH49" s="238"/>
      <c r="CI49" s="186"/>
      <c r="CJ49" s="186"/>
      <c r="CK49" s="116"/>
      <c r="CL49" s="186"/>
      <c r="CM49" s="223"/>
      <c r="CN49" s="223"/>
      <c r="CO49" s="223"/>
      <c r="CP49" s="166"/>
      <c r="CQ49" s="213"/>
      <c r="CR49" s="213"/>
      <c r="CS49" s="213"/>
      <c r="CT49" s="213"/>
      <c r="CU49" s="213"/>
      <c r="CV49" s="213"/>
      <c r="CW49" s="128">
        <f t="shared" si="20"/>
        <v>0</v>
      </c>
      <c r="CX49" s="214">
        <f t="shared" si="21"/>
        <v>0</v>
      </c>
      <c r="CY49" s="171"/>
      <c r="CZ49" s="171"/>
      <c r="DA49" s="171"/>
      <c r="DB49" s="171"/>
      <c r="DC49" s="171"/>
      <c r="DD49" s="171"/>
      <c r="DE49" s="171"/>
      <c r="DF49" s="171"/>
      <c r="DG49" s="171"/>
      <c r="DH49" s="171"/>
      <c r="DI49" s="171"/>
      <c r="DJ49" s="171"/>
      <c r="DK49" s="128">
        <f t="shared" si="22"/>
        <v>0</v>
      </c>
      <c r="DL49" s="158" t="str">
        <f t="shared" si="23"/>
        <v>#DIV/0!</v>
      </c>
    </row>
    <row r="50" ht="15.75" customHeight="1">
      <c r="A50" s="131">
        <v>41.0</v>
      </c>
      <c r="B50" s="111" t="s">
        <v>132</v>
      </c>
      <c r="C50" s="112" t="s">
        <v>133</v>
      </c>
      <c r="D50" s="98">
        <f t="shared" si="8"/>
        <v>17</v>
      </c>
      <c r="E50" s="130">
        <f t="shared" si="9"/>
        <v>48.57142857</v>
      </c>
      <c r="F50" s="114">
        <f t="shared" si="10"/>
        <v>48.57142857</v>
      </c>
      <c r="G50" s="149" t="str">
        <f t="shared" si="11"/>
        <v>  </v>
      </c>
      <c r="H50" s="254"/>
      <c r="I50" s="258"/>
      <c r="J50" s="254"/>
      <c r="K50" s="254"/>
      <c r="L50" s="257"/>
      <c r="M50" s="139">
        <f t="shared" si="12"/>
        <v>0</v>
      </c>
      <c r="N50" s="140" t="str">
        <f t="shared" si="13"/>
        <v>#DIV/0!</v>
      </c>
      <c r="O50" s="116"/>
      <c r="P50" s="116"/>
      <c r="Q50" s="180"/>
      <c r="R50" s="186"/>
      <c r="S50" s="186"/>
      <c r="T50" s="116"/>
      <c r="U50" s="116"/>
      <c r="V50" s="186"/>
      <c r="W50" s="116"/>
      <c r="X50" s="138">
        <v>1.0</v>
      </c>
      <c r="Y50" s="186"/>
      <c r="Z50" s="210">
        <v>1.0</v>
      </c>
      <c r="AA50" s="187">
        <v>1.0</v>
      </c>
      <c r="AB50" s="116"/>
      <c r="AC50" s="200">
        <v>1.0</v>
      </c>
      <c r="AD50" s="116"/>
      <c r="AE50" s="116"/>
      <c r="AF50" s="197">
        <v>1.0</v>
      </c>
      <c r="AG50" s="197">
        <v>1.0</v>
      </c>
      <c r="AH50" s="195"/>
      <c r="AI50" s="116"/>
      <c r="AJ50" s="139">
        <f t="shared" si="14"/>
        <v>6</v>
      </c>
      <c r="AK50" s="205">
        <f t="shared" si="15"/>
        <v>60</v>
      </c>
      <c r="AL50" s="225"/>
      <c r="AM50" s="138">
        <v>1.0</v>
      </c>
      <c r="AN50" s="186"/>
      <c r="AO50" s="116"/>
      <c r="AP50" s="207"/>
      <c r="AQ50" s="116"/>
      <c r="AR50" s="116"/>
      <c r="AS50" s="166"/>
      <c r="AT50" s="116"/>
      <c r="AU50" s="138">
        <v>1.0</v>
      </c>
      <c r="AV50" s="116"/>
      <c r="AW50" s="186"/>
      <c r="AX50" s="116"/>
      <c r="AY50" s="116"/>
      <c r="AZ50" s="180"/>
      <c r="BA50" s="215">
        <v>1.0</v>
      </c>
      <c r="BB50" s="116"/>
      <c r="BC50" s="204"/>
      <c r="BD50" s="181"/>
      <c r="BE50" s="181"/>
      <c r="BF50" s="181"/>
      <c r="BG50" s="139">
        <f t="shared" si="16"/>
        <v>3</v>
      </c>
      <c r="BH50" s="208">
        <f t="shared" si="17"/>
        <v>25</v>
      </c>
      <c r="BI50" s="116"/>
      <c r="BJ50" s="116"/>
      <c r="BK50" s="180"/>
      <c r="BL50" s="138">
        <v>1.0</v>
      </c>
      <c r="BM50" s="116"/>
      <c r="BN50" s="116"/>
      <c r="BO50" s="116"/>
      <c r="BP50" s="138">
        <v>1.0</v>
      </c>
      <c r="BQ50" s="211"/>
      <c r="BR50" s="166"/>
      <c r="BS50" s="138">
        <v>1.0</v>
      </c>
      <c r="BT50" s="138">
        <v>1.0</v>
      </c>
      <c r="BU50" s="145">
        <v>1.0</v>
      </c>
      <c r="BV50" s="43"/>
      <c r="BW50" s="216">
        <v>1.0</v>
      </c>
      <c r="BX50" s="116"/>
      <c r="BY50" s="138">
        <v>1.0</v>
      </c>
      <c r="BZ50" s="165"/>
      <c r="CA50" s="116"/>
      <c r="CB50" s="165"/>
      <c r="CC50" s="165"/>
      <c r="CD50" s="196">
        <v>1.0</v>
      </c>
      <c r="CE50" s="124">
        <f t="shared" si="18"/>
        <v>8</v>
      </c>
      <c r="CF50" s="173">
        <f t="shared" si="19"/>
        <v>72.72727273</v>
      </c>
      <c r="CG50" s="116"/>
      <c r="CH50" s="116"/>
      <c r="CI50" s="186"/>
      <c r="CJ50" s="116"/>
      <c r="CK50" s="231"/>
      <c r="CL50" s="186"/>
      <c r="CM50" s="223"/>
      <c r="CN50" s="116"/>
      <c r="CO50" s="116"/>
      <c r="CP50" s="166"/>
      <c r="CQ50" s="213"/>
      <c r="CR50" s="213"/>
      <c r="CS50" s="213"/>
      <c r="CT50" s="116"/>
      <c r="CU50" s="116"/>
      <c r="CV50" s="213"/>
      <c r="CW50" s="128">
        <f t="shared" si="20"/>
        <v>0</v>
      </c>
      <c r="CX50" s="214">
        <f t="shared" si="21"/>
        <v>0</v>
      </c>
      <c r="CY50" s="171"/>
      <c r="CZ50" s="171"/>
      <c r="DA50" s="171"/>
      <c r="DB50" s="171"/>
      <c r="DC50" s="171"/>
      <c r="DD50" s="171"/>
      <c r="DE50" s="171"/>
      <c r="DF50" s="171"/>
      <c r="DG50" s="171"/>
      <c r="DH50" s="171"/>
      <c r="DI50" s="171"/>
      <c r="DJ50" s="171"/>
      <c r="DK50" s="128">
        <f t="shared" si="22"/>
        <v>0</v>
      </c>
      <c r="DL50" s="158" t="str">
        <f t="shared" si="23"/>
        <v>#DIV/0!</v>
      </c>
    </row>
    <row r="51" ht="15.75" customHeight="1">
      <c r="A51" s="146">
        <v>42.0</v>
      </c>
      <c r="B51" s="111" t="s">
        <v>134</v>
      </c>
      <c r="C51" s="112" t="s">
        <v>135</v>
      </c>
      <c r="D51" s="98">
        <f t="shared" si="8"/>
        <v>17</v>
      </c>
      <c r="E51" s="130">
        <f t="shared" si="9"/>
        <v>48.57142857</v>
      </c>
      <c r="F51" s="114">
        <f t="shared" si="10"/>
        <v>48.57142857</v>
      </c>
      <c r="G51" s="149" t="str">
        <f t="shared" si="11"/>
        <v>  </v>
      </c>
      <c r="H51" s="254"/>
      <c r="I51" s="254"/>
      <c r="J51" s="254"/>
      <c r="K51" s="256"/>
      <c r="L51" s="259"/>
      <c r="M51" s="139">
        <f t="shared" si="12"/>
        <v>0</v>
      </c>
      <c r="N51" s="140" t="str">
        <f t="shared" si="13"/>
        <v>#DIV/0!</v>
      </c>
      <c r="O51" s="116"/>
      <c r="P51" s="116"/>
      <c r="Q51" s="116"/>
      <c r="R51" s="207"/>
      <c r="S51" s="116"/>
      <c r="T51" s="116"/>
      <c r="U51" s="116"/>
      <c r="V51" s="207"/>
      <c r="W51" s="116"/>
      <c r="X51" s="138">
        <v>1.0</v>
      </c>
      <c r="Y51" s="207"/>
      <c r="Z51" s="185"/>
      <c r="AA51" s="187">
        <v>1.0</v>
      </c>
      <c r="AB51" s="116"/>
      <c r="AC51" s="207"/>
      <c r="AD51" s="209">
        <v>1.0</v>
      </c>
      <c r="AE51" s="138">
        <v>1.0</v>
      </c>
      <c r="AF51" s="206"/>
      <c r="AG51" s="206"/>
      <c r="AH51" s="116"/>
      <c r="AI51" s="116"/>
      <c r="AJ51" s="139">
        <f t="shared" si="14"/>
        <v>4</v>
      </c>
      <c r="AK51" s="205">
        <f t="shared" si="15"/>
        <v>40</v>
      </c>
      <c r="AL51" s="116"/>
      <c r="AM51" s="116"/>
      <c r="AN51" s="234">
        <v>1.0</v>
      </c>
      <c r="AO51" s="138">
        <v>1.0</v>
      </c>
      <c r="AP51" s="228"/>
      <c r="AQ51" s="116"/>
      <c r="AR51" s="138">
        <v>1.0</v>
      </c>
      <c r="AS51" s="191">
        <v>1.0</v>
      </c>
      <c r="AT51" s="116"/>
      <c r="AU51" s="116"/>
      <c r="AV51" s="116"/>
      <c r="AW51" s="207"/>
      <c r="AX51" s="116"/>
      <c r="AY51" s="116"/>
      <c r="AZ51" s="116"/>
      <c r="BA51" s="215">
        <v>1.0</v>
      </c>
      <c r="BB51" s="138">
        <v>1.0</v>
      </c>
      <c r="BC51" s="116"/>
      <c r="BD51" s="194"/>
      <c r="BE51" s="194"/>
      <c r="BF51" s="194"/>
      <c r="BG51" s="139">
        <f t="shared" si="16"/>
        <v>6</v>
      </c>
      <c r="BH51" s="208">
        <f t="shared" si="17"/>
        <v>50</v>
      </c>
      <c r="BI51" s="116"/>
      <c r="BJ51" s="180"/>
      <c r="BK51" s="180"/>
      <c r="BL51" s="138">
        <v>1.0</v>
      </c>
      <c r="BM51" s="116"/>
      <c r="BN51" s="116"/>
      <c r="BO51" s="116"/>
      <c r="BP51" s="138">
        <v>1.0</v>
      </c>
      <c r="BQ51" s="116"/>
      <c r="BR51" s="166"/>
      <c r="BS51" s="116"/>
      <c r="BT51" s="138">
        <v>1.0</v>
      </c>
      <c r="BU51" s="145">
        <v>1.0</v>
      </c>
      <c r="BV51" s="43"/>
      <c r="BW51" s="198"/>
      <c r="BX51" s="116"/>
      <c r="BY51" s="116"/>
      <c r="BZ51" s="165"/>
      <c r="CA51" s="138">
        <v>1.0</v>
      </c>
      <c r="CB51" s="165"/>
      <c r="CC51" s="165"/>
      <c r="CD51" s="196">
        <v>1.0</v>
      </c>
      <c r="CE51" s="124">
        <f t="shared" si="18"/>
        <v>6</v>
      </c>
      <c r="CF51" s="173">
        <f t="shared" si="19"/>
        <v>54.54545455</v>
      </c>
      <c r="CG51" s="138">
        <v>1.0</v>
      </c>
      <c r="CH51" s="116"/>
      <c r="CI51" s="186"/>
      <c r="CJ51" s="116"/>
      <c r="CK51" s="116"/>
      <c r="CL51" s="186"/>
      <c r="CM51" s="116"/>
      <c r="CN51" s="223"/>
      <c r="CO51" s="116"/>
      <c r="CP51" s="166"/>
      <c r="CQ51" s="213"/>
      <c r="CR51" s="213"/>
      <c r="CS51" s="213"/>
      <c r="CT51" s="116"/>
      <c r="CU51" s="116"/>
      <c r="CV51" s="213"/>
      <c r="CW51" s="128">
        <f t="shared" si="20"/>
        <v>1</v>
      </c>
      <c r="CX51" s="214">
        <f t="shared" si="21"/>
        <v>50</v>
      </c>
      <c r="CY51" s="171"/>
      <c r="CZ51" s="171"/>
      <c r="DA51" s="171"/>
      <c r="DB51" s="171"/>
      <c r="DC51" s="171"/>
      <c r="DD51" s="171"/>
      <c r="DE51" s="171"/>
      <c r="DF51" s="171"/>
      <c r="DG51" s="171"/>
      <c r="DH51" s="171"/>
      <c r="DI51" s="171"/>
      <c r="DJ51" s="171"/>
      <c r="DK51" s="128">
        <f t="shared" si="22"/>
        <v>0</v>
      </c>
      <c r="DL51" s="158" t="str">
        <f t="shared" si="23"/>
        <v>#DIV/0!</v>
      </c>
    </row>
    <row r="52" ht="15.75" customHeight="1">
      <c r="A52" s="50">
        <v>43.0</v>
      </c>
      <c r="B52" s="111" t="s">
        <v>137</v>
      </c>
      <c r="C52" s="112" t="s">
        <v>138</v>
      </c>
      <c r="D52" s="98">
        <f t="shared" si="8"/>
        <v>20</v>
      </c>
      <c r="E52" s="130">
        <f t="shared" si="9"/>
        <v>57.14285714</v>
      </c>
      <c r="F52" s="92" t="str">
        <f t="shared" si="10"/>
        <v>  </v>
      </c>
      <c r="G52" s="149" t="str">
        <f t="shared" si="11"/>
        <v>  </v>
      </c>
      <c r="H52" s="254"/>
      <c r="I52" s="256"/>
      <c r="J52" s="254"/>
      <c r="K52" s="254"/>
      <c r="L52" s="257"/>
      <c r="M52" s="139">
        <f t="shared" si="12"/>
        <v>0</v>
      </c>
      <c r="N52" s="140" t="str">
        <f t="shared" si="13"/>
        <v>#DIV/0!</v>
      </c>
      <c r="O52" s="116"/>
      <c r="P52" s="116"/>
      <c r="Q52" s="180"/>
      <c r="R52" s="228"/>
      <c r="S52" s="116"/>
      <c r="T52" s="116"/>
      <c r="U52" s="116"/>
      <c r="V52" s="228"/>
      <c r="W52" s="116"/>
      <c r="X52" s="116"/>
      <c r="Y52" s="228"/>
      <c r="Z52" s="210">
        <v>1.0</v>
      </c>
      <c r="AA52" s="187">
        <v>1.0</v>
      </c>
      <c r="AB52" s="116"/>
      <c r="AC52" s="233">
        <v>1.0</v>
      </c>
      <c r="AD52" s="116"/>
      <c r="AE52" s="116"/>
      <c r="AF52" s="229">
        <v>1.0</v>
      </c>
      <c r="AG52" s="227"/>
      <c r="AH52" s="116"/>
      <c r="AI52" s="116"/>
      <c r="AJ52" s="139">
        <f t="shared" si="14"/>
        <v>4</v>
      </c>
      <c r="AK52" s="205">
        <f t="shared" si="15"/>
        <v>40</v>
      </c>
      <c r="AL52" s="261"/>
      <c r="AM52" s="116"/>
      <c r="AN52" s="233">
        <v>1.0</v>
      </c>
      <c r="AO52" s="138">
        <v>1.0</v>
      </c>
      <c r="AP52" s="116"/>
      <c r="AQ52" s="116"/>
      <c r="AR52" s="138">
        <v>1.0</v>
      </c>
      <c r="AS52" s="166"/>
      <c r="AT52" s="116"/>
      <c r="AU52" s="138">
        <v>1.0</v>
      </c>
      <c r="AV52" s="116"/>
      <c r="AW52" s="228"/>
      <c r="AX52" s="116"/>
      <c r="AY52" s="116"/>
      <c r="AZ52" s="180"/>
      <c r="BA52" s="215">
        <v>1.0</v>
      </c>
      <c r="BB52" s="116"/>
      <c r="BC52" s="204"/>
      <c r="BD52" s="181"/>
      <c r="BE52" s="181"/>
      <c r="BF52" s="181"/>
      <c r="BG52" s="139">
        <f t="shared" si="16"/>
        <v>5</v>
      </c>
      <c r="BH52" s="208">
        <f t="shared" si="17"/>
        <v>41.66666667</v>
      </c>
      <c r="BI52" s="116"/>
      <c r="BJ52" s="116"/>
      <c r="BK52" s="180"/>
      <c r="BL52" s="138">
        <v>1.0</v>
      </c>
      <c r="BM52" s="116"/>
      <c r="BN52" s="116"/>
      <c r="BO52" s="116"/>
      <c r="BP52" s="138">
        <v>1.0</v>
      </c>
      <c r="BQ52" s="116"/>
      <c r="BR52" s="166"/>
      <c r="BS52" s="138">
        <v>1.0</v>
      </c>
      <c r="BT52" s="210">
        <v>1.0</v>
      </c>
      <c r="BU52" s="145">
        <v>1.0</v>
      </c>
      <c r="BV52" s="145">
        <v>1.0</v>
      </c>
      <c r="BW52" s="216">
        <v>1.0</v>
      </c>
      <c r="BX52" s="43"/>
      <c r="BY52" s="138">
        <v>1.0</v>
      </c>
      <c r="BZ52" s="165"/>
      <c r="CA52" s="116"/>
      <c r="CB52" s="116"/>
      <c r="CC52" s="165"/>
      <c r="CD52" s="196">
        <v>1.0</v>
      </c>
      <c r="CE52" s="124">
        <f t="shared" si="18"/>
        <v>9</v>
      </c>
      <c r="CF52" s="173">
        <f t="shared" si="19"/>
        <v>81.81818182</v>
      </c>
      <c r="CG52" s="233">
        <v>1.0</v>
      </c>
      <c r="CH52" s="138">
        <v>1.0</v>
      </c>
      <c r="CI52" s="186"/>
      <c r="CJ52" s="116"/>
      <c r="CK52" s="116"/>
      <c r="CL52" s="186"/>
      <c r="CM52" s="223"/>
      <c r="CN52" s="223"/>
      <c r="CO52" s="223"/>
      <c r="CP52" s="166"/>
      <c r="CQ52" s="213"/>
      <c r="CR52" s="213"/>
      <c r="CS52" s="116"/>
      <c r="CT52" s="213"/>
      <c r="CU52" s="213"/>
      <c r="CV52" s="213"/>
      <c r="CW52" s="128">
        <f t="shared" si="20"/>
        <v>2</v>
      </c>
      <c r="CX52" s="214">
        <f t="shared" si="21"/>
        <v>100</v>
      </c>
      <c r="CY52" s="171"/>
      <c r="CZ52" s="171"/>
      <c r="DA52" s="171"/>
      <c r="DB52" s="171"/>
      <c r="DC52" s="171"/>
      <c r="DD52" s="171"/>
      <c r="DE52" s="171"/>
      <c r="DF52" s="171"/>
      <c r="DG52" s="171"/>
      <c r="DH52" s="171"/>
      <c r="DI52" s="171"/>
      <c r="DJ52" s="171"/>
      <c r="DK52" s="128">
        <f t="shared" si="22"/>
        <v>0</v>
      </c>
      <c r="DL52" s="158" t="str">
        <f t="shared" si="23"/>
        <v>#DIV/0!</v>
      </c>
    </row>
    <row r="53" ht="15.75" customHeight="1">
      <c r="A53" s="131">
        <v>44.0</v>
      </c>
      <c r="B53" s="111" t="s">
        <v>139</v>
      </c>
      <c r="C53" s="112" t="s">
        <v>140</v>
      </c>
      <c r="D53" s="98">
        <f t="shared" si="8"/>
        <v>17</v>
      </c>
      <c r="E53" s="130">
        <f t="shared" si="9"/>
        <v>48.57142857</v>
      </c>
      <c r="F53" s="114">
        <f t="shared" si="10"/>
        <v>48.57142857</v>
      </c>
      <c r="G53" s="149" t="str">
        <f t="shared" si="11"/>
        <v>  </v>
      </c>
      <c r="H53" s="254"/>
      <c r="I53" s="254"/>
      <c r="J53" s="254"/>
      <c r="K53" s="254"/>
      <c r="L53" s="257"/>
      <c r="M53" s="139">
        <f t="shared" si="12"/>
        <v>0</v>
      </c>
      <c r="N53" s="140" t="str">
        <f t="shared" si="13"/>
        <v>#DIV/0!</v>
      </c>
      <c r="O53" s="116"/>
      <c r="P53" s="116"/>
      <c r="Q53" s="180"/>
      <c r="R53" s="179"/>
      <c r="S53" s="179"/>
      <c r="T53" s="116"/>
      <c r="U53" s="116"/>
      <c r="V53" s="179"/>
      <c r="W53" s="138">
        <v>1.0</v>
      </c>
      <c r="X53" s="138">
        <v>1.0</v>
      </c>
      <c r="Y53" s="179"/>
      <c r="Z53" s="185"/>
      <c r="AA53" s="217"/>
      <c r="AB53" s="116"/>
      <c r="AC53" s="179"/>
      <c r="AD53" s="116"/>
      <c r="AE53" s="116"/>
      <c r="AF53" s="182">
        <v>1.0</v>
      </c>
      <c r="AG53" s="182">
        <v>1.0</v>
      </c>
      <c r="AH53" s="116"/>
      <c r="AI53" s="176"/>
      <c r="AJ53" s="139">
        <f t="shared" si="14"/>
        <v>4</v>
      </c>
      <c r="AK53" s="205">
        <f t="shared" si="15"/>
        <v>40</v>
      </c>
      <c r="AL53" s="116"/>
      <c r="AM53" s="116"/>
      <c r="AN53" s="184">
        <v>1.0</v>
      </c>
      <c r="AO53" s="116"/>
      <c r="AP53" s="179"/>
      <c r="AQ53" s="116"/>
      <c r="AR53" s="116"/>
      <c r="AS53" s="191">
        <v>1.0</v>
      </c>
      <c r="AT53" s="116"/>
      <c r="AU53" s="138">
        <v>1.0</v>
      </c>
      <c r="AV53" s="116"/>
      <c r="AW53" s="184">
        <v>1.0</v>
      </c>
      <c r="AX53" s="116"/>
      <c r="AY53" s="116"/>
      <c r="AZ53" s="180"/>
      <c r="BA53" s="215">
        <v>1.0</v>
      </c>
      <c r="BB53" s="116"/>
      <c r="BC53" s="204"/>
      <c r="BD53" s="181"/>
      <c r="BE53" s="181"/>
      <c r="BF53" s="181"/>
      <c r="BG53" s="139">
        <f t="shared" si="16"/>
        <v>5</v>
      </c>
      <c r="BH53" s="208">
        <f t="shared" si="17"/>
        <v>41.66666667</v>
      </c>
      <c r="BI53" s="116"/>
      <c r="BJ53" s="180"/>
      <c r="BK53" s="180"/>
      <c r="BL53" s="138">
        <v>1.0</v>
      </c>
      <c r="BM53" s="116"/>
      <c r="BN53" s="116"/>
      <c r="BO53" s="138">
        <v>1.0</v>
      </c>
      <c r="BP53" s="138">
        <v>1.0</v>
      </c>
      <c r="BQ53" s="116"/>
      <c r="BR53" s="166"/>
      <c r="BS53" s="138">
        <v>1.0</v>
      </c>
      <c r="BT53" s="210">
        <v>1.0</v>
      </c>
      <c r="BU53" s="43"/>
      <c r="BV53" s="145">
        <v>1.0</v>
      </c>
      <c r="BW53" s="198"/>
      <c r="BX53" s="116"/>
      <c r="BY53" s="138">
        <v>1.0</v>
      </c>
      <c r="BZ53" s="165"/>
      <c r="CA53" s="116"/>
      <c r="CB53" s="116"/>
      <c r="CC53" s="165"/>
      <c r="CD53" s="196">
        <v>1.0</v>
      </c>
      <c r="CE53" s="124">
        <f t="shared" si="18"/>
        <v>8</v>
      </c>
      <c r="CF53" s="173">
        <f t="shared" si="19"/>
        <v>72.72727273</v>
      </c>
      <c r="CG53" s="116"/>
      <c r="CH53" s="116"/>
      <c r="CI53" s="116"/>
      <c r="CJ53" s="116"/>
      <c r="CK53" s="231"/>
      <c r="CL53" s="186"/>
      <c r="CM53" s="116"/>
      <c r="CN53" s="116"/>
      <c r="CO53" s="116"/>
      <c r="CP53" s="166"/>
      <c r="CQ53" s="213"/>
      <c r="CR53" s="213"/>
      <c r="CS53" s="116"/>
      <c r="CT53" s="213"/>
      <c r="CU53" s="213"/>
      <c r="CV53" s="213"/>
      <c r="CW53" s="128">
        <f t="shared" si="20"/>
        <v>0</v>
      </c>
      <c r="CX53" s="214">
        <f t="shared" si="21"/>
        <v>0</v>
      </c>
      <c r="CY53" s="171"/>
      <c r="CZ53" s="171"/>
      <c r="DA53" s="171"/>
      <c r="DB53" s="171"/>
      <c r="DC53" s="171"/>
      <c r="DD53" s="171"/>
      <c r="DE53" s="171"/>
      <c r="DF53" s="171"/>
      <c r="DG53" s="171"/>
      <c r="DH53" s="171"/>
      <c r="DI53" s="171"/>
      <c r="DJ53" s="171"/>
      <c r="DK53" s="128">
        <f t="shared" si="22"/>
        <v>0</v>
      </c>
      <c r="DL53" s="158" t="str">
        <f t="shared" si="23"/>
        <v>#DIV/0!</v>
      </c>
    </row>
    <row r="54" ht="15.75" customHeight="1">
      <c r="A54" s="146">
        <v>45.0</v>
      </c>
      <c r="B54" s="111" t="s">
        <v>141</v>
      </c>
      <c r="C54" s="112" t="s">
        <v>142</v>
      </c>
      <c r="D54" s="98">
        <f t="shared" si="8"/>
        <v>20</v>
      </c>
      <c r="E54" s="130">
        <f t="shared" si="9"/>
        <v>57.14285714</v>
      </c>
      <c r="F54" s="92" t="str">
        <f t="shared" si="10"/>
        <v>  </v>
      </c>
      <c r="G54" s="149" t="str">
        <f t="shared" si="11"/>
        <v>  </v>
      </c>
      <c r="H54" s="254"/>
      <c r="I54" s="254"/>
      <c r="J54" s="254"/>
      <c r="K54" s="254"/>
      <c r="L54" s="257"/>
      <c r="M54" s="139">
        <f t="shared" si="12"/>
        <v>0</v>
      </c>
      <c r="N54" s="140" t="str">
        <f t="shared" si="13"/>
        <v>#DIV/0!</v>
      </c>
      <c r="O54" s="116"/>
      <c r="P54" s="116"/>
      <c r="Q54" s="116"/>
      <c r="R54" s="179"/>
      <c r="S54" s="179"/>
      <c r="T54" s="116"/>
      <c r="U54" s="116"/>
      <c r="V54" s="179"/>
      <c r="W54" s="138">
        <v>1.0</v>
      </c>
      <c r="X54" s="138">
        <v>1.0</v>
      </c>
      <c r="Y54" s="179"/>
      <c r="Z54" s="210">
        <v>1.0</v>
      </c>
      <c r="AA54" s="187">
        <v>1.0</v>
      </c>
      <c r="AB54" s="116"/>
      <c r="AC54" s="184">
        <v>1.0</v>
      </c>
      <c r="AD54" s="116"/>
      <c r="AE54" s="116"/>
      <c r="AF54" s="182">
        <v>1.0</v>
      </c>
      <c r="AG54" s="182">
        <v>1.0</v>
      </c>
      <c r="AH54" s="176"/>
      <c r="AI54" s="116"/>
      <c r="AJ54" s="139">
        <f t="shared" si="14"/>
        <v>7</v>
      </c>
      <c r="AK54" s="205">
        <f t="shared" si="15"/>
        <v>70</v>
      </c>
      <c r="AL54" s="116"/>
      <c r="AM54" s="116"/>
      <c r="AN54" s="179"/>
      <c r="AO54" s="116"/>
      <c r="AP54" s="116"/>
      <c r="AQ54" s="116"/>
      <c r="AR54" s="138">
        <v>1.0</v>
      </c>
      <c r="AS54" s="191">
        <v>1.0</v>
      </c>
      <c r="AT54" s="116"/>
      <c r="AU54" s="138">
        <v>1.0</v>
      </c>
      <c r="AV54" s="138">
        <v>1.0</v>
      </c>
      <c r="AW54" s="184">
        <v>1.0</v>
      </c>
      <c r="AX54" s="116"/>
      <c r="AY54" s="116"/>
      <c r="AZ54" s="180"/>
      <c r="BA54" s="215">
        <v>1.0</v>
      </c>
      <c r="BB54" s="116"/>
      <c r="BC54" s="204"/>
      <c r="BD54" s="181"/>
      <c r="BE54" s="219">
        <v>1.0</v>
      </c>
      <c r="BF54" s="181"/>
      <c r="BG54" s="139">
        <f t="shared" si="16"/>
        <v>7</v>
      </c>
      <c r="BH54" s="208">
        <f t="shared" si="17"/>
        <v>58.33333333</v>
      </c>
      <c r="BI54" s="116"/>
      <c r="BJ54" s="116"/>
      <c r="BK54" s="180"/>
      <c r="BL54" s="116"/>
      <c r="BM54" s="116"/>
      <c r="BN54" s="116"/>
      <c r="BO54" s="138">
        <v>1.0</v>
      </c>
      <c r="BP54" s="138">
        <v>1.0</v>
      </c>
      <c r="BQ54" s="116"/>
      <c r="BR54" s="166"/>
      <c r="BS54" s="138">
        <v>1.0</v>
      </c>
      <c r="BT54" s="138">
        <v>1.0</v>
      </c>
      <c r="BU54" s="145">
        <v>1.0</v>
      </c>
      <c r="BV54" s="43"/>
      <c r="BW54" s="198"/>
      <c r="BX54" s="116"/>
      <c r="BY54" s="116"/>
      <c r="BZ54" s="165"/>
      <c r="CA54" s="116"/>
      <c r="CB54" s="165"/>
      <c r="CC54" s="165"/>
      <c r="CD54" s="196">
        <v>1.0</v>
      </c>
      <c r="CE54" s="124">
        <f t="shared" si="18"/>
        <v>6</v>
      </c>
      <c r="CF54" s="173">
        <f t="shared" si="19"/>
        <v>54.54545455</v>
      </c>
      <c r="CG54" s="179"/>
      <c r="CH54" s="238"/>
      <c r="CI54" s="186"/>
      <c r="CJ54" s="116"/>
      <c r="CK54" s="116"/>
      <c r="CL54" s="186"/>
      <c r="CM54" s="116"/>
      <c r="CN54" s="116"/>
      <c r="CO54" s="116"/>
      <c r="CP54" s="166"/>
      <c r="CQ54" s="213"/>
      <c r="CR54" s="213"/>
      <c r="CS54" s="213"/>
      <c r="CT54" s="213"/>
      <c r="CU54" s="213"/>
      <c r="CV54" s="213"/>
      <c r="CW54" s="128">
        <f t="shared" si="20"/>
        <v>0</v>
      </c>
      <c r="CX54" s="214">
        <f t="shared" si="21"/>
        <v>0</v>
      </c>
      <c r="CY54" s="171"/>
      <c r="CZ54" s="171"/>
      <c r="DA54" s="171"/>
      <c r="DB54" s="171"/>
      <c r="DC54" s="171"/>
      <c r="DD54" s="171"/>
      <c r="DE54" s="171"/>
      <c r="DF54" s="171"/>
      <c r="DG54" s="171"/>
      <c r="DH54" s="171"/>
      <c r="DI54" s="171"/>
      <c r="DJ54" s="171"/>
      <c r="DK54" s="128">
        <f t="shared" si="22"/>
        <v>0</v>
      </c>
      <c r="DL54" s="158" t="str">
        <f t="shared" si="23"/>
        <v>#DIV/0!</v>
      </c>
    </row>
    <row r="55" ht="15.75" customHeight="1">
      <c r="A55" s="50">
        <v>46.0</v>
      </c>
      <c r="B55" s="111" t="s">
        <v>143</v>
      </c>
      <c r="C55" s="112" t="s">
        <v>144</v>
      </c>
      <c r="D55" s="98">
        <f t="shared" si="8"/>
        <v>19</v>
      </c>
      <c r="E55" s="130">
        <f t="shared" si="9"/>
        <v>54.28571429</v>
      </c>
      <c r="F55" s="114" t="str">
        <f t="shared" si="10"/>
        <v>  </v>
      </c>
      <c r="G55" s="149" t="str">
        <f t="shared" si="11"/>
        <v>  </v>
      </c>
      <c r="H55" s="256"/>
      <c r="I55" s="254"/>
      <c r="J55" s="256"/>
      <c r="K55" s="254"/>
      <c r="L55" s="257"/>
      <c r="M55" s="139">
        <f t="shared" si="12"/>
        <v>0</v>
      </c>
      <c r="N55" s="140" t="str">
        <f t="shared" si="13"/>
        <v>#DIV/0!</v>
      </c>
      <c r="O55" s="116"/>
      <c r="P55" s="116"/>
      <c r="Q55" s="116"/>
      <c r="R55" s="179"/>
      <c r="S55" s="179"/>
      <c r="T55" s="116"/>
      <c r="U55" s="116"/>
      <c r="V55" s="179"/>
      <c r="W55" s="138">
        <v>1.0</v>
      </c>
      <c r="X55" s="138">
        <v>1.0</v>
      </c>
      <c r="Y55" s="179"/>
      <c r="Z55" s="210">
        <v>1.0</v>
      </c>
      <c r="AA55" s="187">
        <v>1.0</v>
      </c>
      <c r="AB55" s="138">
        <v>1.0</v>
      </c>
      <c r="AC55" s="184">
        <v>1.0</v>
      </c>
      <c r="AD55" s="138">
        <v>1.0</v>
      </c>
      <c r="AE55" s="116"/>
      <c r="AF55" s="176"/>
      <c r="AG55" s="182">
        <v>1.0</v>
      </c>
      <c r="AH55" s="116"/>
      <c r="AI55" s="176"/>
      <c r="AJ55" s="139">
        <f t="shared" si="14"/>
        <v>8</v>
      </c>
      <c r="AK55" s="205">
        <f t="shared" si="15"/>
        <v>80</v>
      </c>
      <c r="AL55" s="222"/>
      <c r="AM55" s="179"/>
      <c r="AN55" s="184">
        <v>1.0</v>
      </c>
      <c r="AO55" s="138">
        <v>1.0</v>
      </c>
      <c r="AP55" s="116"/>
      <c r="AQ55" s="116"/>
      <c r="AR55" s="116"/>
      <c r="AS55" s="166"/>
      <c r="AT55" s="116"/>
      <c r="AU55" s="116"/>
      <c r="AV55" s="116"/>
      <c r="AW55" s="184">
        <v>1.0</v>
      </c>
      <c r="AX55" s="116"/>
      <c r="AY55" s="116"/>
      <c r="AZ55" s="116"/>
      <c r="BA55" s="215">
        <v>1.0</v>
      </c>
      <c r="BB55" s="116"/>
      <c r="BC55" s="116"/>
      <c r="BD55" s="194"/>
      <c r="BE55" s="194"/>
      <c r="BF55" s="194"/>
      <c r="BG55" s="139">
        <f t="shared" si="16"/>
        <v>4</v>
      </c>
      <c r="BH55" s="208">
        <f t="shared" si="17"/>
        <v>33.33333333</v>
      </c>
      <c r="BI55" s="116"/>
      <c r="BJ55" s="116"/>
      <c r="BK55" s="180"/>
      <c r="BL55" s="138">
        <v>1.0</v>
      </c>
      <c r="BM55" s="116"/>
      <c r="BN55" s="116"/>
      <c r="BO55" s="116"/>
      <c r="BP55" s="138">
        <v>1.0</v>
      </c>
      <c r="BQ55" s="211"/>
      <c r="BR55" s="166"/>
      <c r="BS55" s="138">
        <v>1.0</v>
      </c>
      <c r="BT55" s="138">
        <v>1.0</v>
      </c>
      <c r="BU55" s="43"/>
      <c r="BV55" s="145">
        <v>1.0</v>
      </c>
      <c r="BW55" s="198"/>
      <c r="BX55" s="116"/>
      <c r="BY55" s="138">
        <v>1.0</v>
      </c>
      <c r="BZ55" s="165"/>
      <c r="CA55" s="116"/>
      <c r="CB55" s="165"/>
      <c r="CC55" s="165"/>
      <c r="CD55" s="196">
        <v>1.0</v>
      </c>
      <c r="CE55" s="124">
        <f t="shared" si="18"/>
        <v>7</v>
      </c>
      <c r="CF55" s="173">
        <f t="shared" si="19"/>
        <v>63.63636364</v>
      </c>
      <c r="CG55" s="116"/>
      <c r="CH55" s="238"/>
      <c r="CI55" s="186"/>
      <c r="CJ55" s="116"/>
      <c r="CK55" s="116"/>
      <c r="CL55" s="186"/>
      <c r="CM55" s="116"/>
      <c r="CN55" s="223"/>
      <c r="CO55" s="116"/>
      <c r="CP55" s="166"/>
      <c r="CQ55" s="213"/>
      <c r="CR55" s="213"/>
      <c r="CS55" s="116"/>
      <c r="CT55" s="213"/>
      <c r="CU55" s="213"/>
      <c r="CV55" s="213"/>
      <c r="CW55" s="128">
        <f t="shared" si="20"/>
        <v>0</v>
      </c>
      <c r="CX55" s="214">
        <f t="shared" si="21"/>
        <v>0</v>
      </c>
      <c r="CY55" s="171"/>
      <c r="CZ55" s="171"/>
      <c r="DA55" s="171"/>
      <c r="DB55" s="171"/>
      <c r="DC55" s="171"/>
      <c r="DD55" s="171"/>
      <c r="DE55" s="171"/>
      <c r="DF55" s="171"/>
      <c r="DG55" s="171"/>
      <c r="DH55" s="171"/>
      <c r="DI55" s="171"/>
      <c r="DJ55" s="171"/>
      <c r="DK55" s="128">
        <f t="shared" si="22"/>
        <v>0</v>
      </c>
      <c r="DL55" s="158" t="str">
        <f t="shared" si="23"/>
        <v>#DIV/0!</v>
      </c>
    </row>
    <row r="56" ht="15.75" customHeight="1">
      <c r="A56" s="131">
        <v>47.0</v>
      </c>
      <c r="B56" s="111" t="s">
        <v>145</v>
      </c>
      <c r="C56" s="112" t="s">
        <v>146</v>
      </c>
      <c r="D56" s="98">
        <f t="shared" si="8"/>
        <v>20</v>
      </c>
      <c r="E56" s="130">
        <f t="shared" si="9"/>
        <v>57.14285714</v>
      </c>
      <c r="F56" s="92" t="str">
        <f t="shared" si="10"/>
        <v>  </v>
      </c>
      <c r="G56" s="149" t="str">
        <f t="shared" si="11"/>
        <v>  </v>
      </c>
      <c r="H56" s="254"/>
      <c r="I56" s="255"/>
      <c r="J56" s="254"/>
      <c r="K56" s="254"/>
      <c r="L56" s="257"/>
      <c r="M56" s="139">
        <f t="shared" si="12"/>
        <v>0</v>
      </c>
      <c r="N56" s="140" t="str">
        <f t="shared" si="13"/>
        <v>#DIV/0!</v>
      </c>
      <c r="O56" s="116"/>
      <c r="P56" s="116"/>
      <c r="Q56" s="116"/>
      <c r="R56" s="179"/>
      <c r="S56" s="116"/>
      <c r="T56" s="116"/>
      <c r="U56" s="116"/>
      <c r="V56" s="179"/>
      <c r="W56" s="138">
        <v>1.0</v>
      </c>
      <c r="X56" s="138">
        <v>1.0</v>
      </c>
      <c r="Y56" s="179"/>
      <c r="Z56" s="210">
        <v>1.0</v>
      </c>
      <c r="AA56" s="187">
        <v>1.0</v>
      </c>
      <c r="AB56" s="116"/>
      <c r="AC56" s="184">
        <v>1.0</v>
      </c>
      <c r="AD56" s="138">
        <v>1.0</v>
      </c>
      <c r="AE56" s="116"/>
      <c r="AF56" s="182">
        <v>1.0</v>
      </c>
      <c r="AG56" s="182">
        <v>1.0</v>
      </c>
      <c r="AH56" s="116"/>
      <c r="AI56" s="176"/>
      <c r="AJ56" s="139">
        <f t="shared" si="14"/>
        <v>8</v>
      </c>
      <c r="AK56" s="205">
        <f t="shared" si="15"/>
        <v>80</v>
      </c>
      <c r="AL56" s="116"/>
      <c r="AM56" s="138">
        <v>1.0</v>
      </c>
      <c r="AN56" s="179"/>
      <c r="AO56" s="184">
        <v>1.0</v>
      </c>
      <c r="AP56" s="179"/>
      <c r="AQ56" s="116"/>
      <c r="AR56" s="138">
        <v>1.0</v>
      </c>
      <c r="AS56" s="191">
        <v>1.0</v>
      </c>
      <c r="AT56" s="116"/>
      <c r="AU56" s="116"/>
      <c r="AV56" s="116"/>
      <c r="AW56" s="179"/>
      <c r="AX56" s="116"/>
      <c r="AY56" s="116"/>
      <c r="AZ56" s="116"/>
      <c r="BA56" s="215">
        <v>1.0</v>
      </c>
      <c r="BB56" s="116"/>
      <c r="BC56" s="116"/>
      <c r="BD56" s="194"/>
      <c r="BE56" s="188">
        <v>1.0</v>
      </c>
      <c r="BF56" s="194"/>
      <c r="BG56" s="139">
        <f t="shared" si="16"/>
        <v>6</v>
      </c>
      <c r="BH56" s="208">
        <f t="shared" si="17"/>
        <v>50</v>
      </c>
      <c r="BI56" s="116"/>
      <c r="BJ56" s="116"/>
      <c r="BK56" s="180"/>
      <c r="BL56" s="138">
        <v>1.0</v>
      </c>
      <c r="BM56" s="116"/>
      <c r="BN56" s="116"/>
      <c r="BO56" s="116"/>
      <c r="BP56" s="116"/>
      <c r="BQ56" s="116"/>
      <c r="BR56" s="116"/>
      <c r="BS56" s="116"/>
      <c r="BT56" s="138"/>
      <c r="BV56" s="116"/>
      <c r="BW56" s="216">
        <v>1.0</v>
      </c>
      <c r="BX56" s="116"/>
      <c r="BY56" s="138">
        <v>1.0</v>
      </c>
      <c r="BZ56" s="165"/>
      <c r="CA56" s="138">
        <v>1.0</v>
      </c>
      <c r="CB56" s="116"/>
      <c r="CC56" s="165"/>
      <c r="CD56" s="165"/>
      <c r="CE56" s="124">
        <f t="shared" si="18"/>
        <v>4</v>
      </c>
      <c r="CF56" s="173">
        <f t="shared" si="19"/>
        <v>36.36363636</v>
      </c>
      <c r="CG56" s="184">
        <v>1.0</v>
      </c>
      <c r="CH56" s="138">
        <v>1.0</v>
      </c>
      <c r="CI56" s="116"/>
      <c r="CJ56" s="116"/>
      <c r="CK56" s="116"/>
      <c r="CL56" s="186"/>
      <c r="CM56" s="116"/>
      <c r="CN56" s="116"/>
      <c r="CO56" s="116"/>
      <c r="CP56" s="166"/>
      <c r="CQ56" s="213"/>
      <c r="CR56" s="213"/>
      <c r="CS56" s="116"/>
      <c r="CT56" s="116"/>
      <c r="CU56" s="116"/>
      <c r="CV56" s="213"/>
      <c r="CW56" s="128">
        <f t="shared" si="20"/>
        <v>2</v>
      </c>
      <c r="CX56" s="214">
        <f t="shared" si="21"/>
        <v>100</v>
      </c>
      <c r="CY56" s="171"/>
      <c r="CZ56" s="171"/>
      <c r="DA56" s="171"/>
      <c r="DB56" s="171"/>
      <c r="DC56" s="171"/>
      <c r="DD56" s="171"/>
      <c r="DE56" s="171"/>
      <c r="DF56" s="171"/>
      <c r="DG56" s="171"/>
      <c r="DH56" s="171"/>
      <c r="DI56" s="171"/>
      <c r="DJ56" s="171"/>
      <c r="DK56" s="128">
        <f t="shared" si="22"/>
        <v>0</v>
      </c>
      <c r="DL56" s="158" t="str">
        <f t="shared" si="23"/>
        <v>#DIV/0!</v>
      </c>
    </row>
    <row r="57" ht="15.75" customHeight="1">
      <c r="A57" s="146">
        <v>48.0</v>
      </c>
      <c r="B57" s="111" t="s">
        <v>147</v>
      </c>
      <c r="C57" s="112" t="s">
        <v>148</v>
      </c>
      <c r="D57" s="98">
        <f t="shared" si="8"/>
        <v>21</v>
      </c>
      <c r="E57" s="130">
        <f t="shared" si="9"/>
        <v>60</v>
      </c>
      <c r="F57" s="114" t="str">
        <f t="shared" si="10"/>
        <v>  </v>
      </c>
      <c r="G57" s="226" t="str">
        <f t="shared" si="11"/>
        <v>  </v>
      </c>
      <c r="H57" s="254"/>
      <c r="I57" s="256"/>
      <c r="J57" s="256"/>
      <c r="K57" s="254"/>
      <c r="L57" s="257"/>
      <c r="M57" s="139">
        <f t="shared" si="12"/>
        <v>0</v>
      </c>
      <c r="N57" s="140" t="str">
        <f t="shared" si="13"/>
        <v>#DIV/0!</v>
      </c>
      <c r="O57" s="116"/>
      <c r="P57" s="116"/>
      <c r="Q57" s="180"/>
      <c r="R57" s="179"/>
      <c r="S57" s="179"/>
      <c r="T57" s="116"/>
      <c r="U57" s="116"/>
      <c r="V57" s="179"/>
      <c r="W57" s="138">
        <v>1.0</v>
      </c>
      <c r="X57" s="138">
        <v>1.0</v>
      </c>
      <c r="Y57" s="179"/>
      <c r="Z57" s="210">
        <v>1.0</v>
      </c>
      <c r="AA57" s="187">
        <v>1.0</v>
      </c>
      <c r="AB57" s="138">
        <v>1.0</v>
      </c>
      <c r="AC57" s="184">
        <v>1.0</v>
      </c>
      <c r="AD57" s="138">
        <v>1.0</v>
      </c>
      <c r="AE57" s="116"/>
      <c r="AF57" s="182">
        <v>1.0</v>
      </c>
      <c r="AG57" s="182">
        <v>1.0</v>
      </c>
      <c r="AH57" s="176"/>
      <c r="AI57" s="116"/>
      <c r="AJ57" s="139">
        <f t="shared" si="14"/>
        <v>9</v>
      </c>
      <c r="AK57" s="205">
        <f t="shared" si="15"/>
        <v>90</v>
      </c>
      <c r="AL57" s="116"/>
      <c r="AM57" s="138">
        <v>1.0</v>
      </c>
      <c r="AN57" s="179"/>
      <c r="AO57" s="116"/>
      <c r="AP57" s="116"/>
      <c r="AQ57" s="116"/>
      <c r="AR57" s="116"/>
      <c r="AS57" s="166"/>
      <c r="AT57" s="116"/>
      <c r="AU57" s="138">
        <v>1.0</v>
      </c>
      <c r="AV57" s="116"/>
      <c r="AW57" s="184">
        <v>1.0</v>
      </c>
      <c r="AX57" s="116"/>
      <c r="AY57" s="116"/>
      <c r="AZ57" s="180"/>
      <c r="BA57" s="215">
        <v>1.0</v>
      </c>
      <c r="BB57" s="116"/>
      <c r="BC57" s="204"/>
      <c r="BD57" s="181"/>
      <c r="BE57" s="219">
        <v>1.0</v>
      </c>
      <c r="BF57" s="181"/>
      <c r="BG57" s="139">
        <f t="shared" si="16"/>
        <v>5</v>
      </c>
      <c r="BH57" s="208">
        <f t="shared" si="17"/>
        <v>41.66666667</v>
      </c>
      <c r="BI57" s="116"/>
      <c r="BJ57" s="116"/>
      <c r="BK57" s="180"/>
      <c r="BL57" s="138">
        <v>1.0</v>
      </c>
      <c r="BM57" s="116"/>
      <c r="BN57" s="116"/>
      <c r="BO57" s="138">
        <v>1.0</v>
      </c>
      <c r="BP57" s="138">
        <v>1.0</v>
      </c>
      <c r="BQ57" s="116"/>
      <c r="BR57" s="166"/>
      <c r="BS57" s="138">
        <v>1.0</v>
      </c>
      <c r="BT57" s="138">
        <v>1.0</v>
      </c>
      <c r="BV57" s="145">
        <v>1.0</v>
      </c>
      <c r="BW57" s="198"/>
      <c r="BX57" s="116"/>
      <c r="BY57" s="138">
        <v>1.0</v>
      </c>
      <c r="BZ57" s="165"/>
      <c r="CA57" s="116"/>
      <c r="CB57" s="165"/>
      <c r="CC57" s="165"/>
      <c r="CD57" s="165"/>
      <c r="CE57" s="124">
        <f t="shared" si="18"/>
        <v>7</v>
      </c>
      <c r="CF57" s="173">
        <f t="shared" si="19"/>
        <v>63.63636364</v>
      </c>
      <c r="CG57" s="116"/>
      <c r="CH57" s="116"/>
      <c r="CI57" s="116"/>
      <c r="CJ57" s="116"/>
      <c r="CK57" s="116"/>
      <c r="CL57" s="186"/>
      <c r="CM57" s="116"/>
      <c r="CN57" s="116"/>
      <c r="CO57" s="116"/>
      <c r="CP57" s="166"/>
      <c r="CQ57" s="213"/>
      <c r="CR57" s="213"/>
      <c r="CS57" s="213"/>
      <c r="CT57" s="213"/>
      <c r="CU57" s="213"/>
      <c r="CV57" s="213"/>
      <c r="CW57" s="128">
        <f t="shared" si="20"/>
        <v>0</v>
      </c>
      <c r="CX57" s="214">
        <f t="shared" si="21"/>
        <v>0</v>
      </c>
      <c r="CY57" s="171"/>
      <c r="CZ57" s="171"/>
      <c r="DA57" s="171"/>
      <c r="DB57" s="171"/>
      <c r="DC57" s="171"/>
      <c r="DD57" s="171"/>
      <c r="DE57" s="171"/>
      <c r="DF57" s="171"/>
      <c r="DG57" s="171"/>
      <c r="DH57" s="171"/>
      <c r="DI57" s="171"/>
      <c r="DJ57" s="171"/>
      <c r="DK57" s="128">
        <f t="shared" si="22"/>
        <v>0</v>
      </c>
      <c r="DL57" s="158" t="str">
        <f t="shared" si="23"/>
        <v>#DIV/0!</v>
      </c>
    </row>
    <row r="58" ht="15.75" customHeight="1">
      <c r="A58" s="50">
        <v>49.0</v>
      </c>
      <c r="B58" s="111" t="s">
        <v>149</v>
      </c>
      <c r="C58" s="112" t="s">
        <v>150</v>
      </c>
      <c r="D58" s="98">
        <f t="shared" si="8"/>
        <v>18</v>
      </c>
      <c r="E58" s="130">
        <f t="shared" si="9"/>
        <v>51.42857143</v>
      </c>
      <c r="F58" s="114" t="str">
        <f t="shared" si="10"/>
        <v>  </v>
      </c>
      <c r="G58" s="149" t="str">
        <f t="shared" si="11"/>
        <v>  </v>
      </c>
      <c r="H58" s="254"/>
      <c r="I58" s="254"/>
      <c r="J58" s="254"/>
      <c r="K58" s="254"/>
      <c r="L58" s="257"/>
      <c r="M58" s="139">
        <f t="shared" si="12"/>
        <v>0</v>
      </c>
      <c r="N58" s="140" t="str">
        <f t="shared" si="13"/>
        <v>#DIV/0!</v>
      </c>
      <c r="O58" s="116"/>
      <c r="P58" s="116"/>
      <c r="Q58" s="180"/>
      <c r="R58" s="179"/>
      <c r="S58" s="179"/>
      <c r="T58" s="116"/>
      <c r="U58" s="116"/>
      <c r="V58" s="179"/>
      <c r="W58" s="116"/>
      <c r="X58" s="116"/>
      <c r="Y58" s="179"/>
      <c r="Z58" s="185"/>
      <c r="AA58" s="217"/>
      <c r="AB58" s="138">
        <v>1.0</v>
      </c>
      <c r="AC58" s="179"/>
      <c r="AD58" s="182">
        <v>1.0</v>
      </c>
      <c r="AE58" s="116"/>
      <c r="AF58" s="182">
        <v>1.0</v>
      </c>
      <c r="AG58" s="182">
        <v>1.0</v>
      </c>
      <c r="AH58" s="116"/>
      <c r="AI58" s="116"/>
      <c r="AJ58" s="139">
        <f t="shared" si="14"/>
        <v>4</v>
      </c>
      <c r="AK58" s="205">
        <f t="shared" si="15"/>
        <v>40</v>
      </c>
      <c r="AL58" s="116"/>
      <c r="AM58" s="116"/>
      <c r="AN58" s="184">
        <v>1.0</v>
      </c>
      <c r="AO58" s="116"/>
      <c r="AP58" s="186"/>
      <c r="AQ58" s="116"/>
      <c r="AR58" s="138">
        <v>1.0</v>
      </c>
      <c r="AS58" s="191">
        <v>1.0</v>
      </c>
      <c r="AT58" s="116"/>
      <c r="AU58" s="116"/>
      <c r="AV58" s="116"/>
      <c r="AW58" s="184">
        <v>1.0</v>
      </c>
      <c r="AX58" s="116"/>
      <c r="AY58" s="116"/>
      <c r="AZ58" s="116"/>
      <c r="BA58" s="215">
        <v>1.0</v>
      </c>
      <c r="BB58" s="116"/>
      <c r="BC58" s="204"/>
      <c r="BD58" s="181"/>
      <c r="BE58" s="181"/>
      <c r="BF58" s="181"/>
      <c r="BG58" s="139">
        <f t="shared" si="16"/>
        <v>5</v>
      </c>
      <c r="BH58" s="208">
        <f t="shared" si="17"/>
        <v>41.66666667</v>
      </c>
      <c r="BI58" s="116"/>
      <c r="BJ58" s="116"/>
      <c r="BK58" s="180"/>
      <c r="BL58" s="138">
        <v>1.0</v>
      </c>
      <c r="BM58" s="116"/>
      <c r="BN58" s="116"/>
      <c r="BO58" s="138">
        <v>1.0</v>
      </c>
      <c r="BP58" s="138">
        <v>1.0</v>
      </c>
      <c r="BQ58" s="116"/>
      <c r="BR58" s="166"/>
      <c r="BS58" s="138">
        <v>1.0</v>
      </c>
      <c r="BT58" s="138">
        <v>1.0</v>
      </c>
      <c r="BV58" s="145">
        <v>1.0</v>
      </c>
      <c r="BW58" s="216">
        <v>1.0</v>
      </c>
      <c r="BX58" s="43"/>
      <c r="BY58" s="116"/>
      <c r="BZ58" s="165"/>
      <c r="CA58" s="165"/>
      <c r="CB58" s="116"/>
      <c r="CC58" s="165"/>
      <c r="CD58" s="196">
        <v>1.0</v>
      </c>
      <c r="CE58" s="124">
        <f t="shared" si="18"/>
        <v>8</v>
      </c>
      <c r="CF58" s="173">
        <f t="shared" si="19"/>
        <v>72.72727273</v>
      </c>
      <c r="CG58" s="179"/>
      <c r="CH58" s="138">
        <v>1.0</v>
      </c>
      <c r="CI58" s="186"/>
      <c r="CJ58" s="116"/>
      <c r="CK58" s="116"/>
      <c r="CL58" s="186"/>
      <c r="CM58" s="223"/>
      <c r="CN58" s="223"/>
      <c r="CO58" s="116"/>
      <c r="CP58" s="166"/>
      <c r="CQ58" s="213"/>
      <c r="CR58" s="213"/>
      <c r="CS58" s="213"/>
      <c r="CT58" s="116"/>
      <c r="CU58" s="213"/>
      <c r="CV58" s="213"/>
      <c r="CW58" s="128">
        <f t="shared" si="20"/>
        <v>1</v>
      </c>
      <c r="CX58" s="214">
        <f t="shared" si="21"/>
        <v>50</v>
      </c>
      <c r="CY58" s="171"/>
      <c r="CZ58" s="171"/>
      <c r="DA58" s="171"/>
      <c r="DB58" s="171"/>
      <c r="DC58" s="171"/>
      <c r="DD58" s="171"/>
      <c r="DE58" s="171"/>
      <c r="DF58" s="171"/>
      <c r="DG58" s="171"/>
      <c r="DH58" s="171"/>
      <c r="DI58" s="171"/>
      <c r="DJ58" s="171"/>
      <c r="DK58" s="128">
        <f t="shared" si="22"/>
        <v>0</v>
      </c>
      <c r="DL58" s="158" t="str">
        <f t="shared" si="23"/>
        <v>#DIV/0!</v>
      </c>
    </row>
    <row r="59" ht="15.75" customHeight="1">
      <c r="A59" s="131">
        <v>50.0</v>
      </c>
      <c r="B59" s="111" t="s">
        <v>151</v>
      </c>
      <c r="C59" s="112" t="s">
        <v>152</v>
      </c>
      <c r="D59" s="98">
        <f t="shared" si="8"/>
        <v>26</v>
      </c>
      <c r="E59" s="130">
        <f t="shared" si="9"/>
        <v>74.28571429</v>
      </c>
      <c r="F59" s="92" t="str">
        <f t="shared" si="10"/>
        <v>  </v>
      </c>
      <c r="G59" s="149" t="str">
        <f t="shared" si="11"/>
        <v>  </v>
      </c>
      <c r="H59" s="254"/>
      <c r="I59" s="258"/>
      <c r="J59" s="256"/>
      <c r="K59" s="254"/>
      <c r="L59" s="257"/>
      <c r="M59" s="139">
        <f t="shared" si="12"/>
        <v>0</v>
      </c>
      <c r="N59" s="140" t="str">
        <f t="shared" si="13"/>
        <v>#DIV/0!</v>
      </c>
      <c r="O59" s="116"/>
      <c r="P59" s="116"/>
      <c r="Q59" s="116"/>
      <c r="R59" s="186"/>
      <c r="S59" s="186"/>
      <c r="T59" s="116"/>
      <c r="U59" s="116"/>
      <c r="V59" s="186"/>
      <c r="W59" s="138">
        <v>1.0</v>
      </c>
      <c r="X59" s="138">
        <v>1.0</v>
      </c>
      <c r="Y59" s="186"/>
      <c r="Z59" s="210">
        <v>1.0</v>
      </c>
      <c r="AA59" s="187">
        <v>1.0</v>
      </c>
      <c r="AB59" s="138">
        <v>1.0</v>
      </c>
      <c r="AC59" s="200">
        <v>1.0</v>
      </c>
      <c r="AD59" s="138">
        <v>1.0</v>
      </c>
      <c r="AE59" s="138">
        <v>1.0</v>
      </c>
      <c r="AF59" s="195"/>
      <c r="AG59" s="197">
        <v>1.0</v>
      </c>
      <c r="AH59" s="116"/>
      <c r="AI59" s="195"/>
      <c r="AJ59" s="139">
        <f t="shared" si="14"/>
        <v>9</v>
      </c>
      <c r="AK59" s="205">
        <f t="shared" si="15"/>
        <v>90</v>
      </c>
      <c r="AL59" s="116"/>
      <c r="AM59" s="116"/>
      <c r="AN59" s="186"/>
      <c r="AO59" s="138">
        <v>1.0</v>
      </c>
      <c r="AP59" s="116"/>
      <c r="AQ59" s="116"/>
      <c r="AR59" s="138">
        <v>1.0</v>
      </c>
      <c r="AS59" s="191">
        <v>1.0</v>
      </c>
      <c r="AT59" s="116"/>
      <c r="AU59" s="138">
        <v>1.0</v>
      </c>
      <c r="AV59" s="138">
        <v>1.0</v>
      </c>
      <c r="AW59" s="200">
        <v>1.0</v>
      </c>
      <c r="AX59" s="116"/>
      <c r="AY59" s="116"/>
      <c r="AZ59" s="116"/>
      <c r="BA59" s="215">
        <v>1.0</v>
      </c>
      <c r="BB59" s="116"/>
      <c r="BC59" s="116"/>
      <c r="BD59" s="194"/>
      <c r="BE59" s="194"/>
      <c r="BF59" s="194"/>
      <c r="BG59" s="139">
        <f t="shared" si="16"/>
        <v>7</v>
      </c>
      <c r="BH59" s="208">
        <f t="shared" si="17"/>
        <v>58.33333333</v>
      </c>
      <c r="BI59" s="116"/>
      <c r="BJ59" s="116"/>
      <c r="BK59" s="180"/>
      <c r="BL59" s="138">
        <v>1.0</v>
      </c>
      <c r="BM59" s="116"/>
      <c r="BN59" s="116"/>
      <c r="BO59" s="116"/>
      <c r="BP59" s="138">
        <v>1.0</v>
      </c>
      <c r="BQ59" s="116"/>
      <c r="BR59" s="166"/>
      <c r="BS59" s="116"/>
      <c r="BT59" s="138">
        <v>1.0</v>
      </c>
      <c r="BU59" s="241">
        <v>1.0</v>
      </c>
      <c r="BV59" s="138">
        <v>1.0</v>
      </c>
      <c r="BW59" s="216">
        <v>1.0</v>
      </c>
      <c r="BX59" s="116"/>
      <c r="BY59" s="138">
        <v>1.0</v>
      </c>
      <c r="BZ59" s="165"/>
      <c r="CA59" s="138">
        <v>1.0</v>
      </c>
      <c r="CB59" s="116"/>
      <c r="CC59" s="165"/>
      <c r="CD59" s="196">
        <v>1.0</v>
      </c>
      <c r="CE59" s="124">
        <f t="shared" si="18"/>
        <v>9</v>
      </c>
      <c r="CF59" s="173">
        <f t="shared" si="19"/>
        <v>81.81818182</v>
      </c>
      <c r="CG59" s="138">
        <v>1.0</v>
      </c>
      <c r="CH59" s="116"/>
      <c r="CI59" s="116"/>
      <c r="CJ59" s="116"/>
      <c r="CK59" s="116"/>
      <c r="CL59" s="186"/>
      <c r="CM59" s="116"/>
      <c r="CN59" s="116"/>
      <c r="CO59" s="116"/>
      <c r="CP59" s="166"/>
      <c r="CQ59" s="213"/>
      <c r="CR59" s="213"/>
      <c r="CS59" s="116"/>
      <c r="CT59" s="116"/>
      <c r="CU59" s="116"/>
      <c r="CV59" s="213"/>
      <c r="CW59" s="128">
        <f t="shared" si="20"/>
        <v>1</v>
      </c>
      <c r="CX59" s="214">
        <f t="shared" si="21"/>
        <v>50</v>
      </c>
      <c r="CY59" s="171"/>
      <c r="CZ59" s="171"/>
      <c r="DA59" s="171"/>
      <c r="DB59" s="171"/>
      <c r="DC59" s="171"/>
      <c r="DD59" s="171"/>
      <c r="DE59" s="171"/>
      <c r="DF59" s="171"/>
      <c r="DG59" s="171"/>
      <c r="DH59" s="171"/>
      <c r="DI59" s="171"/>
      <c r="DJ59" s="171"/>
      <c r="DK59" s="128">
        <f t="shared" si="22"/>
        <v>0</v>
      </c>
      <c r="DL59" s="158" t="str">
        <f t="shared" si="23"/>
        <v>#DIV/0!</v>
      </c>
    </row>
    <row r="60" ht="15.75" customHeight="1">
      <c r="A60" s="146">
        <v>51.0</v>
      </c>
      <c r="B60" s="111" t="s">
        <v>153</v>
      </c>
      <c r="C60" s="112" t="s">
        <v>154</v>
      </c>
      <c r="D60" s="98">
        <f t="shared" si="8"/>
        <v>11</v>
      </c>
      <c r="E60" s="130">
        <f t="shared" si="9"/>
        <v>31.42857143</v>
      </c>
      <c r="F60" s="114">
        <f t="shared" si="10"/>
        <v>31.42857143</v>
      </c>
      <c r="G60" s="226" t="str">
        <f t="shared" si="11"/>
        <v>  </v>
      </c>
      <c r="H60" s="254"/>
      <c r="I60" s="258"/>
      <c r="J60" s="258"/>
      <c r="K60" s="254"/>
      <c r="L60" s="257"/>
      <c r="M60" s="139">
        <f t="shared" si="12"/>
        <v>0</v>
      </c>
      <c r="N60" s="140" t="str">
        <f t="shared" si="13"/>
        <v>#DIV/0!</v>
      </c>
      <c r="O60" s="116"/>
      <c r="P60" s="116"/>
      <c r="Q60" s="180"/>
      <c r="R60" s="186"/>
      <c r="S60" s="186"/>
      <c r="T60" s="116"/>
      <c r="U60" s="116"/>
      <c r="V60" s="186"/>
      <c r="W60" s="116"/>
      <c r="X60" s="138">
        <v>1.0</v>
      </c>
      <c r="Y60" s="186"/>
      <c r="Z60" s="185"/>
      <c r="AA60" s="217"/>
      <c r="AB60" s="116"/>
      <c r="AC60" s="186"/>
      <c r="AD60" s="195"/>
      <c r="AE60" s="116"/>
      <c r="AF60" s="195"/>
      <c r="AG60" s="195"/>
      <c r="AH60" s="195"/>
      <c r="AI60" s="195"/>
      <c r="AJ60" s="139">
        <f t="shared" si="14"/>
        <v>1</v>
      </c>
      <c r="AK60" s="205">
        <f t="shared" si="15"/>
        <v>10</v>
      </c>
      <c r="AL60" s="225"/>
      <c r="AM60" s="116"/>
      <c r="AN60" s="200">
        <v>1.0</v>
      </c>
      <c r="AO60" s="138">
        <v>1.0</v>
      </c>
      <c r="AP60" s="179"/>
      <c r="AQ60" s="116"/>
      <c r="AR60" s="116"/>
      <c r="AS60" s="191">
        <v>1.0</v>
      </c>
      <c r="AT60" s="116"/>
      <c r="AU60" s="116"/>
      <c r="AV60" s="138">
        <v>1.0</v>
      </c>
      <c r="AW60" s="200">
        <v>1.0</v>
      </c>
      <c r="AX60" s="116"/>
      <c r="AY60" s="116"/>
      <c r="AZ60" s="180"/>
      <c r="BA60" s="215">
        <v>1.0</v>
      </c>
      <c r="BB60" s="204"/>
      <c r="BC60" s="204"/>
      <c r="BD60" s="181"/>
      <c r="BE60" s="181"/>
      <c r="BF60" s="181"/>
      <c r="BG60" s="139">
        <f t="shared" si="16"/>
        <v>6</v>
      </c>
      <c r="BH60" s="208">
        <f t="shared" si="17"/>
        <v>50</v>
      </c>
      <c r="BI60" s="116"/>
      <c r="BJ60" s="180"/>
      <c r="BK60" s="180"/>
      <c r="BL60" s="138">
        <v>1.0</v>
      </c>
      <c r="BM60" s="116"/>
      <c r="BN60" s="116"/>
      <c r="BO60" s="116"/>
      <c r="BP60" s="116"/>
      <c r="BQ60" s="211"/>
      <c r="BR60" s="166"/>
      <c r="BS60" s="165"/>
      <c r="BT60" s="185"/>
      <c r="BU60" s="43"/>
      <c r="BV60" s="43"/>
      <c r="BW60" s="216">
        <v>1.0</v>
      </c>
      <c r="BX60" s="43"/>
      <c r="BY60" s="116"/>
      <c r="BZ60" s="165"/>
      <c r="CA60" s="165"/>
      <c r="CB60" s="165"/>
      <c r="CC60" s="165"/>
      <c r="CD60" s="196">
        <v>1.0</v>
      </c>
      <c r="CE60" s="124">
        <f t="shared" si="18"/>
        <v>3</v>
      </c>
      <c r="CF60" s="173">
        <f t="shared" si="19"/>
        <v>27.27272727</v>
      </c>
      <c r="CG60" s="200">
        <v>1.0</v>
      </c>
      <c r="CH60" s="238"/>
      <c r="CI60" s="186"/>
      <c r="CJ60" s="186"/>
      <c r="CK60" s="231"/>
      <c r="CL60" s="186"/>
      <c r="CM60" s="223"/>
      <c r="CN60" s="223"/>
      <c r="CO60" s="223"/>
      <c r="CP60" s="166"/>
      <c r="CQ60" s="213"/>
      <c r="CR60" s="213"/>
      <c r="CS60" s="213"/>
      <c r="CT60" s="213"/>
      <c r="CU60" s="213"/>
      <c r="CV60" s="213"/>
      <c r="CW60" s="128">
        <f t="shared" si="20"/>
        <v>1</v>
      </c>
      <c r="CX60" s="214">
        <f t="shared" si="21"/>
        <v>50</v>
      </c>
      <c r="CY60" s="171"/>
      <c r="CZ60" s="171"/>
      <c r="DA60" s="171"/>
      <c r="DB60" s="171"/>
      <c r="DC60" s="171"/>
      <c r="DD60" s="171"/>
      <c r="DE60" s="171"/>
      <c r="DF60" s="171"/>
      <c r="DG60" s="171"/>
      <c r="DH60" s="171"/>
      <c r="DI60" s="171"/>
      <c r="DJ60" s="171"/>
      <c r="DK60" s="128">
        <f t="shared" si="22"/>
        <v>0</v>
      </c>
      <c r="DL60" s="158" t="str">
        <f t="shared" si="23"/>
        <v>#DIV/0!</v>
      </c>
    </row>
    <row r="61" ht="15.75" customHeight="1">
      <c r="A61" s="50">
        <v>52.0</v>
      </c>
      <c r="B61" s="111" t="s">
        <v>155</v>
      </c>
      <c r="C61" s="112" t="s">
        <v>156</v>
      </c>
      <c r="D61" s="98">
        <f t="shared" si="8"/>
        <v>14</v>
      </c>
      <c r="E61" s="130">
        <f t="shared" si="9"/>
        <v>40</v>
      </c>
      <c r="F61" s="114">
        <f t="shared" si="10"/>
        <v>40</v>
      </c>
      <c r="G61" s="149" t="str">
        <f t="shared" si="11"/>
        <v>  </v>
      </c>
      <c r="H61" s="254"/>
      <c r="I61" s="256"/>
      <c r="J61" s="256"/>
      <c r="K61" s="254"/>
      <c r="L61" s="257"/>
      <c r="M61" s="139">
        <f t="shared" si="12"/>
        <v>0</v>
      </c>
      <c r="N61" s="140" t="str">
        <f t="shared" si="13"/>
        <v>#DIV/0!</v>
      </c>
      <c r="O61" s="116"/>
      <c r="P61" s="116"/>
      <c r="Q61" s="116"/>
      <c r="R61" s="179"/>
      <c r="S61" s="116"/>
      <c r="T61" s="116"/>
      <c r="U61" s="116"/>
      <c r="V61" s="179"/>
      <c r="W61" s="116"/>
      <c r="X61" s="116"/>
      <c r="Y61" s="179"/>
      <c r="Z61" s="185"/>
      <c r="AA61" s="217"/>
      <c r="AB61" s="138">
        <v>1.0</v>
      </c>
      <c r="AC61" s="179"/>
      <c r="AD61" s="138">
        <v>1.0</v>
      </c>
      <c r="AE61" s="116"/>
      <c r="AF61" s="176"/>
      <c r="AG61" s="182">
        <v>1.0</v>
      </c>
      <c r="AH61" s="176"/>
      <c r="AI61" s="176"/>
      <c r="AJ61" s="139">
        <f t="shared" si="14"/>
        <v>3</v>
      </c>
      <c r="AK61" s="205">
        <f t="shared" si="15"/>
        <v>30</v>
      </c>
      <c r="AL61" s="116"/>
      <c r="AM61" s="138">
        <v>1.0</v>
      </c>
      <c r="AN61" s="184">
        <v>1.0</v>
      </c>
      <c r="AO61" s="138">
        <v>1.0</v>
      </c>
      <c r="AP61" s="116"/>
      <c r="AQ61" s="116"/>
      <c r="AR61" s="116"/>
      <c r="AS61" s="166"/>
      <c r="AT61" s="116"/>
      <c r="AU61" s="116"/>
      <c r="AV61" s="116"/>
      <c r="AW61" s="184">
        <v>1.0</v>
      </c>
      <c r="AX61" s="116"/>
      <c r="AY61" s="116"/>
      <c r="AZ61" s="180"/>
      <c r="BA61" s="215">
        <v>1.0</v>
      </c>
      <c r="BB61" s="116"/>
      <c r="BC61" s="116"/>
      <c r="BD61" s="194"/>
      <c r="BE61" s="194"/>
      <c r="BF61" s="194"/>
      <c r="BG61" s="139">
        <f t="shared" si="16"/>
        <v>5</v>
      </c>
      <c r="BH61" s="208">
        <f t="shared" si="17"/>
        <v>41.66666667</v>
      </c>
      <c r="BI61" s="116"/>
      <c r="BJ61" s="116"/>
      <c r="BK61" s="180"/>
      <c r="BL61" s="116"/>
      <c r="BM61" s="116"/>
      <c r="BN61" s="116"/>
      <c r="BO61" s="116"/>
      <c r="BP61" s="138">
        <v>1.0</v>
      </c>
      <c r="BQ61" s="211"/>
      <c r="BR61" s="166"/>
      <c r="BS61" s="116"/>
      <c r="BT61" s="138">
        <v>1.0</v>
      </c>
      <c r="BU61" s="145">
        <v>1.0</v>
      </c>
      <c r="BV61" s="43"/>
      <c r="BW61" s="198"/>
      <c r="BX61" s="116"/>
      <c r="BY61" s="116"/>
      <c r="BZ61" s="165"/>
      <c r="CA61" s="116"/>
      <c r="CB61" s="165"/>
      <c r="CC61" s="165"/>
      <c r="CD61" s="196">
        <v>1.0</v>
      </c>
      <c r="CE61" s="124">
        <f t="shared" si="18"/>
        <v>4</v>
      </c>
      <c r="CF61" s="173">
        <f t="shared" si="19"/>
        <v>36.36363636</v>
      </c>
      <c r="CG61" s="184">
        <v>1.0</v>
      </c>
      <c r="CH61" s="230">
        <v>1.0</v>
      </c>
      <c r="CI61" s="186"/>
      <c r="CJ61" s="116"/>
      <c r="CK61" s="116"/>
      <c r="CL61" s="186"/>
      <c r="CM61" s="223"/>
      <c r="CN61" s="223"/>
      <c r="CO61" s="116"/>
      <c r="CP61" s="166"/>
      <c r="CQ61" s="213"/>
      <c r="CR61" s="213"/>
      <c r="CS61" s="213"/>
      <c r="CT61" s="213"/>
      <c r="CU61" s="213"/>
      <c r="CV61" s="213"/>
      <c r="CW61" s="128">
        <f t="shared" si="20"/>
        <v>2</v>
      </c>
      <c r="CX61" s="214">
        <f t="shared" si="21"/>
        <v>100</v>
      </c>
      <c r="CY61" s="171"/>
      <c r="CZ61" s="171"/>
      <c r="DA61" s="171"/>
      <c r="DB61" s="171"/>
      <c r="DC61" s="171"/>
      <c r="DD61" s="171"/>
      <c r="DE61" s="171"/>
      <c r="DF61" s="171"/>
      <c r="DG61" s="171"/>
      <c r="DH61" s="171"/>
      <c r="DI61" s="171"/>
      <c r="DJ61" s="171"/>
      <c r="DK61" s="128">
        <f t="shared" si="22"/>
        <v>0</v>
      </c>
      <c r="DL61" s="158" t="str">
        <f t="shared" si="23"/>
        <v>#DIV/0!</v>
      </c>
    </row>
    <row r="62" ht="15.75" customHeight="1">
      <c r="A62" s="131">
        <v>53.0</v>
      </c>
      <c r="B62" s="111" t="s">
        <v>157</v>
      </c>
      <c r="C62" s="112" t="s">
        <v>158</v>
      </c>
      <c r="D62" s="98">
        <f t="shared" si="8"/>
        <v>17</v>
      </c>
      <c r="E62" s="130">
        <f t="shared" si="9"/>
        <v>48.57142857</v>
      </c>
      <c r="F62" s="114">
        <f t="shared" si="10"/>
        <v>48.57142857</v>
      </c>
      <c r="G62" s="149" t="str">
        <f t="shared" si="11"/>
        <v>  </v>
      </c>
      <c r="H62" s="256"/>
      <c r="I62" s="254"/>
      <c r="J62" s="254"/>
      <c r="K62" s="254"/>
      <c r="L62" s="257"/>
      <c r="M62" s="139">
        <f t="shared" si="12"/>
        <v>0</v>
      </c>
      <c r="N62" s="140" t="str">
        <f t="shared" si="13"/>
        <v>#DIV/0!</v>
      </c>
      <c r="O62" s="116"/>
      <c r="P62" s="116"/>
      <c r="Q62" s="116"/>
      <c r="R62" s="179"/>
      <c r="S62" s="179"/>
      <c r="T62" s="116"/>
      <c r="U62" s="116"/>
      <c r="V62" s="179"/>
      <c r="W62" s="116"/>
      <c r="X62" s="116"/>
      <c r="Y62" s="179"/>
      <c r="Z62" s="185"/>
      <c r="AA62" s="217"/>
      <c r="AB62" s="138">
        <v>1.0</v>
      </c>
      <c r="AC62" s="179"/>
      <c r="AD62" s="116"/>
      <c r="AE62" s="116"/>
      <c r="AF62" s="176"/>
      <c r="AG62" s="176"/>
      <c r="AH62" s="116"/>
      <c r="AI62" s="176"/>
      <c r="AJ62" s="139">
        <f t="shared" si="14"/>
        <v>1</v>
      </c>
      <c r="AK62" s="205">
        <f t="shared" si="15"/>
        <v>10</v>
      </c>
      <c r="AL62" s="116"/>
      <c r="AM62" s="138">
        <v>1.0</v>
      </c>
      <c r="AN62" s="184">
        <v>1.0</v>
      </c>
      <c r="AO62" s="234">
        <v>1.0</v>
      </c>
      <c r="AP62" s="116"/>
      <c r="AQ62" s="116"/>
      <c r="AR62" s="138">
        <v>1.0</v>
      </c>
      <c r="AS62" s="191">
        <v>1.0</v>
      </c>
      <c r="AT62" s="116"/>
      <c r="AU62" s="138">
        <v>1.0</v>
      </c>
      <c r="AV62" s="116"/>
      <c r="AW62" s="184">
        <v>1.0</v>
      </c>
      <c r="AX62" s="116"/>
      <c r="AY62" s="116"/>
      <c r="AZ62" s="116"/>
      <c r="BA62" s="215">
        <v>1.0</v>
      </c>
      <c r="BB62" s="116"/>
      <c r="BC62" s="116"/>
      <c r="BD62" s="194"/>
      <c r="BE62" s="194"/>
      <c r="BF62" s="194"/>
      <c r="BG62" s="139">
        <f t="shared" si="16"/>
        <v>8</v>
      </c>
      <c r="BH62" s="208">
        <f t="shared" si="17"/>
        <v>66.66666667</v>
      </c>
      <c r="BI62" s="116"/>
      <c r="BJ62" s="116"/>
      <c r="BK62" s="180"/>
      <c r="BL62" s="138">
        <v>1.0</v>
      </c>
      <c r="BM62" s="116"/>
      <c r="BN62" s="116"/>
      <c r="BO62" s="138">
        <v>1.0</v>
      </c>
      <c r="BP62" s="138">
        <v>1.0</v>
      </c>
      <c r="BQ62" s="211"/>
      <c r="BR62" s="166"/>
      <c r="BS62" s="196">
        <v>1.0</v>
      </c>
      <c r="BT62" s="210">
        <v>1.0</v>
      </c>
      <c r="BU62" s="145">
        <v>1.0</v>
      </c>
      <c r="BV62" s="43"/>
      <c r="BW62" s="216">
        <v>1.0</v>
      </c>
      <c r="BX62" s="116"/>
      <c r="BY62" s="116"/>
      <c r="BZ62" s="165"/>
      <c r="CA62" s="116"/>
      <c r="CB62" s="165"/>
      <c r="CC62" s="165"/>
      <c r="CD62" s="196">
        <v>1.0</v>
      </c>
      <c r="CE62" s="124">
        <f t="shared" si="18"/>
        <v>8</v>
      </c>
      <c r="CF62" s="173">
        <f t="shared" si="19"/>
        <v>72.72727273</v>
      </c>
      <c r="CG62" s="116"/>
      <c r="CH62" s="116"/>
      <c r="CI62" s="186"/>
      <c r="CJ62" s="116"/>
      <c r="CK62" s="116"/>
      <c r="CL62" s="186"/>
      <c r="CM62" s="116"/>
      <c r="CN62" s="223"/>
      <c r="CO62" s="116"/>
      <c r="CP62" s="166"/>
      <c r="CQ62" s="213"/>
      <c r="CR62" s="213"/>
      <c r="CS62" s="213"/>
      <c r="CT62" s="213"/>
      <c r="CU62" s="213"/>
      <c r="CV62" s="213"/>
      <c r="CW62" s="128">
        <f t="shared" si="20"/>
        <v>0</v>
      </c>
      <c r="CX62" s="214">
        <f t="shared" si="21"/>
        <v>0</v>
      </c>
      <c r="CY62" s="171"/>
      <c r="CZ62" s="171"/>
      <c r="DA62" s="171"/>
      <c r="DB62" s="171"/>
      <c r="DC62" s="171"/>
      <c r="DD62" s="171"/>
      <c r="DE62" s="171"/>
      <c r="DF62" s="171"/>
      <c r="DG62" s="171"/>
      <c r="DH62" s="171"/>
      <c r="DI62" s="171"/>
      <c r="DJ62" s="171"/>
      <c r="DK62" s="128">
        <f t="shared" si="22"/>
        <v>0</v>
      </c>
      <c r="DL62" s="158" t="str">
        <f t="shared" si="23"/>
        <v>#DIV/0!</v>
      </c>
    </row>
    <row r="63" ht="15.75" customHeight="1">
      <c r="A63" s="146">
        <v>54.0</v>
      </c>
      <c r="B63" s="111" t="s">
        <v>159</v>
      </c>
      <c r="C63" s="112" t="s">
        <v>160</v>
      </c>
      <c r="D63" s="98">
        <f t="shared" si="8"/>
        <v>14</v>
      </c>
      <c r="E63" s="130">
        <f t="shared" si="9"/>
        <v>40</v>
      </c>
      <c r="F63" s="114">
        <f t="shared" si="10"/>
        <v>40</v>
      </c>
      <c r="G63" s="149" t="str">
        <f t="shared" si="11"/>
        <v>  </v>
      </c>
      <c r="H63" s="254"/>
      <c r="I63" s="254"/>
      <c r="J63" s="254"/>
      <c r="K63" s="254"/>
      <c r="L63" s="257"/>
      <c r="M63" s="139">
        <f t="shared" si="12"/>
        <v>0</v>
      </c>
      <c r="N63" s="140" t="str">
        <f t="shared" si="13"/>
        <v>#DIV/0!</v>
      </c>
      <c r="O63" s="116"/>
      <c r="P63" s="116"/>
      <c r="Q63" s="180"/>
      <c r="R63" s="207"/>
      <c r="S63" s="207"/>
      <c r="T63" s="116"/>
      <c r="U63" s="116"/>
      <c r="V63" s="207"/>
      <c r="W63" s="116"/>
      <c r="X63" s="116"/>
      <c r="Y63" s="207"/>
      <c r="Z63" s="185"/>
      <c r="AA63" s="187">
        <v>1.0</v>
      </c>
      <c r="AB63" s="116"/>
      <c r="AC63" s="207"/>
      <c r="AD63" s="138">
        <v>1.0</v>
      </c>
      <c r="AE63" s="138">
        <v>1.0</v>
      </c>
      <c r="AF63" s="206"/>
      <c r="AG63" s="206"/>
      <c r="AH63" s="116"/>
      <c r="AI63" s="116"/>
      <c r="AJ63" s="139">
        <f t="shared" si="14"/>
        <v>3</v>
      </c>
      <c r="AK63" s="205">
        <f t="shared" si="15"/>
        <v>30</v>
      </c>
      <c r="AL63" s="116"/>
      <c r="AM63" s="116"/>
      <c r="AN63" s="234">
        <v>1.0</v>
      </c>
      <c r="AO63" s="138">
        <v>1.0</v>
      </c>
      <c r="AP63" s="186"/>
      <c r="AQ63" s="116"/>
      <c r="AR63" s="116"/>
      <c r="AS63" s="166"/>
      <c r="AT63" s="116"/>
      <c r="AU63" s="116"/>
      <c r="AV63" s="116"/>
      <c r="AW63" s="207"/>
      <c r="AX63" s="116"/>
      <c r="AY63" s="116"/>
      <c r="AZ63" s="116"/>
      <c r="BA63" s="215">
        <v>1.0</v>
      </c>
      <c r="BB63" s="116"/>
      <c r="BC63" s="116"/>
      <c r="BD63" s="194"/>
      <c r="BE63" s="194"/>
      <c r="BF63" s="194"/>
      <c r="BG63" s="139">
        <f t="shared" si="16"/>
        <v>3</v>
      </c>
      <c r="BH63" s="208">
        <f t="shared" si="17"/>
        <v>25</v>
      </c>
      <c r="BI63" s="116"/>
      <c r="BJ63" s="116"/>
      <c r="BK63" s="180"/>
      <c r="BL63" s="138">
        <v>1.0</v>
      </c>
      <c r="BM63" s="116"/>
      <c r="BN63" s="116"/>
      <c r="BO63" s="116"/>
      <c r="BP63" s="138">
        <v>1.0</v>
      </c>
      <c r="BQ63" s="116"/>
      <c r="BR63" s="166"/>
      <c r="BS63" s="116"/>
      <c r="BT63" s="138">
        <v>1.0</v>
      </c>
      <c r="BU63" s="241">
        <v>1.0</v>
      </c>
      <c r="BV63" s="138">
        <v>1.0</v>
      </c>
      <c r="BW63" s="198"/>
      <c r="BX63" s="116"/>
      <c r="BY63" s="116"/>
      <c r="BZ63" s="165"/>
      <c r="CA63" s="116"/>
      <c r="CB63" s="165"/>
      <c r="CC63" s="165"/>
      <c r="CD63" s="196">
        <v>1.0</v>
      </c>
      <c r="CE63" s="124">
        <f t="shared" si="18"/>
        <v>6</v>
      </c>
      <c r="CF63" s="173">
        <f t="shared" si="19"/>
        <v>54.54545455</v>
      </c>
      <c r="CG63" s="138">
        <v>1.0</v>
      </c>
      <c r="CH63" s="138">
        <v>1.0</v>
      </c>
      <c r="CI63" s="186"/>
      <c r="CJ63" s="116"/>
      <c r="CK63" s="116"/>
      <c r="CL63" s="186"/>
      <c r="CM63" s="223"/>
      <c r="CN63" s="223"/>
      <c r="CO63" s="116"/>
      <c r="CP63" s="166"/>
      <c r="CQ63" s="213"/>
      <c r="CR63" s="213"/>
      <c r="CS63" s="213"/>
      <c r="CT63" s="213"/>
      <c r="CU63" s="213"/>
      <c r="CV63" s="213"/>
      <c r="CW63" s="128">
        <f t="shared" si="20"/>
        <v>2</v>
      </c>
      <c r="CX63" s="214">
        <f t="shared" si="21"/>
        <v>100</v>
      </c>
      <c r="CY63" s="171"/>
      <c r="CZ63" s="171"/>
      <c r="DA63" s="171"/>
      <c r="DB63" s="171"/>
      <c r="DC63" s="171"/>
      <c r="DD63" s="171"/>
      <c r="DE63" s="171"/>
      <c r="DF63" s="171"/>
      <c r="DG63" s="171"/>
      <c r="DH63" s="171"/>
      <c r="DI63" s="171"/>
      <c r="DJ63" s="171"/>
      <c r="DK63" s="128">
        <f t="shared" si="22"/>
        <v>0</v>
      </c>
      <c r="DL63" s="158" t="str">
        <f t="shared" si="23"/>
        <v>#DIV/0!</v>
      </c>
    </row>
    <row r="64" ht="15.75" customHeight="1">
      <c r="A64" s="50">
        <v>55.0</v>
      </c>
      <c r="B64" s="111" t="s">
        <v>161</v>
      </c>
      <c r="C64" s="112" t="s">
        <v>162</v>
      </c>
      <c r="D64" s="98">
        <f t="shared" si="8"/>
        <v>18</v>
      </c>
      <c r="E64" s="130">
        <f t="shared" si="9"/>
        <v>51.42857143</v>
      </c>
      <c r="F64" s="114" t="str">
        <f t="shared" si="10"/>
        <v>  </v>
      </c>
      <c r="G64" s="149" t="str">
        <f t="shared" si="11"/>
        <v>  </v>
      </c>
      <c r="H64" s="254"/>
      <c r="I64" s="254"/>
      <c r="J64" s="254"/>
      <c r="K64" s="254"/>
      <c r="L64" s="257"/>
      <c r="M64" s="139">
        <f t="shared" si="12"/>
        <v>0</v>
      </c>
      <c r="N64" s="140" t="str">
        <f t="shared" si="13"/>
        <v>#DIV/0!</v>
      </c>
      <c r="O64" s="116"/>
      <c r="P64" s="116"/>
      <c r="Q64" s="180"/>
      <c r="R64" s="179"/>
      <c r="S64" s="179"/>
      <c r="T64" s="116"/>
      <c r="U64" s="116"/>
      <c r="V64" s="179"/>
      <c r="W64" s="116"/>
      <c r="X64" s="116"/>
      <c r="Y64" s="179"/>
      <c r="Z64" s="185"/>
      <c r="AA64" s="217"/>
      <c r="AB64" s="138">
        <v>1.0</v>
      </c>
      <c r="AC64" s="179"/>
      <c r="AD64" s="182">
        <v>1.0</v>
      </c>
      <c r="AE64" s="116"/>
      <c r="AF64" s="182">
        <v>1.0</v>
      </c>
      <c r="AG64" s="182">
        <v>1.0</v>
      </c>
      <c r="AH64" s="176"/>
      <c r="AI64" s="176"/>
      <c r="AJ64" s="139">
        <f t="shared" si="14"/>
        <v>4</v>
      </c>
      <c r="AK64" s="205">
        <f t="shared" si="15"/>
        <v>40</v>
      </c>
      <c r="AL64" s="116"/>
      <c r="AM64" s="116"/>
      <c r="AN64" s="179"/>
      <c r="AO64" s="179"/>
      <c r="AP64" s="116"/>
      <c r="AQ64" s="116"/>
      <c r="AR64" s="138">
        <v>1.0</v>
      </c>
      <c r="AS64" s="166"/>
      <c r="AT64" s="116"/>
      <c r="AU64" s="138">
        <v>1.0</v>
      </c>
      <c r="AV64" s="116"/>
      <c r="AW64" s="184">
        <v>1.0</v>
      </c>
      <c r="AX64" s="116"/>
      <c r="AY64" s="116"/>
      <c r="AZ64" s="116"/>
      <c r="BA64" s="215">
        <v>1.0</v>
      </c>
      <c r="BB64" s="138">
        <v>1.0</v>
      </c>
      <c r="BC64" s="116"/>
      <c r="BD64" s="194"/>
      <c r="BE64" s="194"/>
      <c r="BF64" s="194"/>
      <c r="BG64" s="139">
        <f t="shared" si="16"/>
        <v>5</v>
      </c>
      <c r="BH64" s="208">
        <f t="shared" si="17"/>
        <v>41.66666667</v>
      </c>
      <c r="BI64" s="116"/>
      <c r="BJ64" s="180"/>
      <c r="BK64" s="180"/>
      <c r="BL64" s="138">
        <v>1.0</v>
      </c>
      <c r="BM64" s="116"/>
      <c r="BN64" s="116"/>
      <c r="BO64" s="116"/>
      <c r="BP64" s="138">
        <v>1.0</v>
      </c>
      <c r="BQ64" s="116"/>
      <c r="BR64" s="166"/>
      <c r="BS64" s="138">
        <v>1.0</v>
      </c>
      <c r="BT64" s="138">
        <v>1.0</v>
      </c>
      <c r="BU64" s="43"/>
      <c r="BV64" s="145">
        <v>1.0</v>
      </c>
      <c r="BW64" s="216">
        <v>1.0</v>
      </c>
      <c r="BX64" s="116"/>
      <c r="BY64" s="116"/>
      <c r="BZ64" s="165"/>
      <c r="CA64" s="196">
        <v>1.0</v>
      </c>
      <c r="CB64" s="165"/>
      <c r="CC64" s="165"/>
      <c r="CD64" s="196">
        <v>1.0</v>
      </c>
      <c r="CE64" s="124">
        <f t="shared" si="18"/>
        <v>8</v>
      </c>
      <c r="CF64" s="173">
        <f t="shared" si="19"/>
        <v>72.72727273</v>
      </c>
      <c r="CG64" s="179"/>
      <c r="CH64" s="230">
        <v>1.0</v>
      </c>
      <c r="CI64" s="116"/>
      <c r="CJ64" s="116"/>
      <c r="CK64" s="116"/>
      <c r="CL64" s="186"/>
      <c r="CM64" s="116"/>
      <c r="CN64" s="223"/>
      <c r="CO64" s="223"/>
      <c r="CP64" s="166"/>
      <c r="CQ64" s="213"/>
      <c r="CR64" s="213"/>
      <c r="CS64" s="213"/>
      <c r="CT64" s="213"/>
      <c r="CU64" s="213"/>
      <c r="CV64" s="213"/>
      <c r="CW64" s="128">
        <f t="shared" si="20"/>
        <v>1</v>
      </c>
      <c r="CX64" s="214">
        <f t="shared" si="21"/>
        <v>50</v>
      </c>
      <c r="CY64" s="171"/>
      <c r="CZ64" s="171"/>
      <c r="DA64" s="171"/>
      <c r="DB64" s="171"/>
      <c r="DC64" s="171"/>
      <c r="DD64" s="171"/>
      <c r="DE64" s="171"/>
      <c r="DF64" s="171"/>
      <c r="DG64" s="171"/>
      <c r="DH64" s="171"/>
      <c r="DI64" s="171"/>
      <c r="DJ64" s="171"/>
      <c r="DK64" s="128">
        <f t="shared" si="22"/>
        <v>0</v>
      </c>
      <c r="DL64" s="158" t="str">
        <f t="shared" si="23"/>
        <v>#DIV/0!</v>
      </c>
    </row>
    <row r="65" ht="15.75" customHeight="1">
      <c r="A65" s="131">
        <v>56.0</v>
      </c>
      <c r="B65" s="111" t="s">
        <v>163</v>
      </c>
      <c r="C65" s="112" t="s">
        <v>164</v>
      </c>
      <c r="D65" s="98">
        <f t="shared" si="8"/>
        <v>22</v>
      </c>
      <c r="E65" s="130">
        <f t="shared" si="9"/>
        <v>62.85714286</v>
      </c>
      <c r="F65" s="114" t="str">
        <f t="shared" si="10"/>
        <v>  </v>
      </c>
      <c r="G65" s="149" t="str">
        <f t="shared" si="11"/>
        <v>  </v>
      </c>
      <c r="H65" s="254"/>
      <c r="I65" s="254"/>
      <c r="J65" s="258"/>
      <c r="K65" s="254"/>
      <c r="L65" s="257"/>
      <c r="M65" s="139">
        <f t="shared" si="12"/>
        <v>0</v>
      </c>
      <c r="N65" s="140" t="str">
        <f t="shared" si="13"/>
        <v>#DIV/0!</v>
      </c>
      <c r="O65" s="116"/>
      <c r="P65" s="116"/>
      <c r="Q65" s="116"/>
      <c r="R65" s="179"/>
      <c r="S65" s="116"/>
      <c r="T65" s="116"/>
      <c r="U65" s="116"/>
      <c r="V65" s="179"/>
      <c r="W65" s="138">
        <v>1.0</v>
      </c>
      <c r="X65" s="138">
        <v>1.0</v>
      </c>
      <c r="Y65" s="179"/>
      <c r="Z65" s="210">
        <v>1.0</v>
      </c>
      <c r="AA65" s="187">
        <v>1.0</v>
      </c>
      <c r="AB65" s="138">
        <v>1.0</v>
      </c>
      <c r="AC65" s="184">
        <v>1.0</v>
      </c>
      <c r="AD65" s="182">
        <v>1.0</v>
      </c>
      <c r="AE65" s="138">
        <v>1.0</v>
      </c>
      <c r="AF65" s="182">
        <v>1.0</v>
      </c>
      <c r="AG65" s="182">
        <v>1.0</v>
      </c>
      <c r="AH65" s="116"/>
      <c r="AI65" s="176"/>
      <c r="AJ65" s="139">
        <f t="shared" si="14"/>
        <v>10</v>
      </c>
      <c r="AK65" s="205">
        <f t="shared" si="15"/>
        <v>100</v>
      </c>
      <c r="AL65" s="116"/>
      <c r="AM65" s="184">
        <v>1.0</v>
      </c>
      <c r="AN65" s="179"/>
      <c r="AO65" s="138">
        <v>1.0</v>
      </c>
      <c r="AP65" s="116"/>
      <c r="AQ65" s="116"/>
      <c r="AR65" s="116"/>
      <c r="AS65" s="191">
        <v>1.0</v>
      </c>
      <c r="AT65" s="116"/>
      <c r="AU65" s="138">
        <v>1.0</v>
      </c>
      <c r="AV65" s="116"/>
      <c r="AW65" s="179"/>
      <c r="AX65" s="116"/>
      <c r="AY65" s="116"/>
      <c r="AZ65" s="180"/>
      <c r="BA65" s="215">
        <v>1.0</v>
      </c>
      <c r="BB65" s="204"/>
      <c r="BC65" s="204"/>
      <c r="BD65" s="181"/>
      <c r="BE65" s="181"/>
      <c r="BF65" s="181"/>
      <c r="BG65" s="139">
        <f t="shared" si="16"/>
        <v>5</v>
      </c>
      <c r="BH65" s="208">
        <f t="shared" si="17"/>
        <v>41.66666667</v>
      </c>
      <c r="BI65" s="116"/>
      <c r="BJ65" s="116"/>
      <c r="BK65" s="180"/>
      <c r="BL65" s="116"/>
      <c r="BM65" s="116"/>
      <c r="BN65" s="116"/>
      <c r="BO65" s="138">
        <v>1.0</v>
      </c>
      <c r="BP65" s="138">
        <v>1.0</v>
      </c>
      <c r="BQ65" s="211"/>
      <c r="BR65" s="116"/>
      <c r="BS65" s="116"/>
      <c r="BT65" s="138"/>
      <c r="BU65" s="43"/>
      <c r="BV65" s="43"/>
      <c r="BW65" s="216">
        <v>1.0</v>
      </c>
      <c r="BX65" s="116"/>
      <c r="BY65" s="138">
        <v>1.0</v>
      </c>
      <c r="BZ65" s="165"/>
      <c r="CA65" s="138">
        <v>1.0</v>
      </c>
      <c r="CB65" s="116"/>
      <c r="CC65" s="165"/>
      <c r="CD65" s="165"/>
      <c r="CE65" s="124">
        <f t="shared" si="18"/>
        <v>5</v>
      </c>
      <c r="CF65" s="173">
        <f t="shared" si="19"/>
        <v>45.45454545</v>
      </c>
      <c r="CG65" s="184">
        <v>1.0</v>
      </c>
      <c r="CH65" s="138">
        <v>1.0</v>
      </c>
      <c r="CI65" s="116"/>
      <c r="CJ65" s="186"/>
      <c r="CK65" s="116"/>
      <c r="CL65" s="186"/>
      <c r="CM65" s="223"/>
      <c r="CN65" s="116"/>
      <c r="CO65" s="116"/>
      <c r="CP65" s="116"/>
      <c r="CQ65" s="165"/>
      <c r="CR65" s="165"/>
      <c r="CS65" s="116"/>
      <c r="CT65" s="116"/>
      <c r="CU65" s="116"/>
      <c r="CV65" s="165"/>
      <c r="CW65" s="128">
        <f t="shared" si="20"/>
        <v>2</v>
      </c>
      <c r="CX65" s="214">
        <f t="shared" si="21"/>
        <v>100</v>
      </c>
      <c r="CY65" s="171"/>
      <c r="CZ65" s="171"/>
      <c r="DA65" s="171"/>
      <c r="DB65" s="171"/>
      <c r="DC65" s="171"/>
      <c r="DD65" s="171"/>
      <c r="DE65" s="171"/>
      <c r="DF65" s="171"/>
      <c r="DG65" s="171"/>
      <c r="DH65" s="171"/>
      <c r="DI65" s="171"/>
      <c r="DJ65" s="171"/>
      <c r="DK65" s="128">
        <f t="shared" si="22"/>
        <v>0</v>
      </c>
      <c r="DL65" s="158" t="str">
        <f t="shared" si="23"/>
        <v>#DIV/0!</v>
      </c>
    </row>
    <row r="66" ht="15.75" customHeight="1">
      <c r="A66" s="146">
        <v>57.0</v>
      </c>
      <c r="B66" s="111" t="s">
        <v>165</v>
      </c>
      <c r="C66" s="112" t="s">
        <v>166</v>
      </c>
      <c r="D66" s="98">
        <f t="shared" si="8"/>
        <v>27</v>
      </c>
      <c r="E66" s="130">
        <f t="shared" si="9"/>
        <v>77.14285714</v>
      </c>
      <c r="F66" s="114" t="str">
        <f t="shared" si="10"/>
        <v>  </v>
      </c>
      <c r="G66" s="226" t="str">
        <f t="shared" si="11"/>
        <v>  </v>
      </c>
      <c r="H66" s="254"/>
      <c r="I66" s="254"/>
      <c r="J66" s="254"/>
      <c r="K66" s="254"/>
      <c r="L66" s="257"/>
      <c r="M66" s="139">
        <f t="shared" si="12"/>
        <v>0</v>
      </c>
      <c r="N66" s="140" t="str">
        <f t="shared" si="13"/>
        <v>#DIV/0!</v>
      </c>
      <c r="O66" s="116"/>
      <c r="P66" s="116"/>
      <c r="Q66" s="116"/>
      <c r="R66" s="179"/>
      <c r="S66" s="116"/>
      <c r="T66" s="116"/>
      <c r="U66" s="116"/>
      <c r="V66" s="179"/>
      <c r="W66" s="138">
        <v>1.0</v>
      </c>
      <c r="X66" s="138">
        <v>1.0</v>
      </c>
      <c r="Y66" s="179"/>
      <c r="Z66" s="210">
        <v>1.0</v>
      </c>
      <c r="AA66" s="187">
        <v>1.0</v>
      </c>
      <c r="AB66" s="138">
        <v>1.0</v>
      </c>
      <c r="AC66" s="184">
        <v>1.0</v>
      </c>
      <c r="AD66" s="138">
        <v>1.0</v>
      </c>
      <c r="AE66" s="138">
        <v>1.0</v>
      </c>
      <c r="AF66" s="176"/>
      <c r="AG66" s="182">
        <v>1.0</v>
      </c>
      <c r="AH66" s="116"/>
      <c r="AI66" s="116"/>
      <c r="AJ66" s="139">
        <f t="shared" si="14"/>
        <v>9</v>
      </c>
      <c r="AK66" s="205">
        <f t="shared" si="15"/>
        <v>90</v>
      </c>
      <c r="AL66" s="116"/>
      <c r="AM66" s="116"/>
      <c r="AN66" s="179"/>
      <c r="AO66" s="138">
        <v>1.0</v>
      </c>
      <c r="AP66" s="116"/>
      <c r="AQ66" s="116"/>
      <c r="AR66" s="138">
        <v>1.0</v>
      </c>
      <c r="AS66" s="191">
        <v>1.0</v>
      </c>
      <c r="AT66" s="116"/>
      <c r="AU66" s="138">
        <v>1.0</v>
      </c>
      <c r="AV66" s="138">
        <v>1.0</v>
      </c>
      <c r="AW66" s="184">
        <v>1.0</v>
      </c>
      <c r="AX66" s="116"/>
      <c r="AY66" s="116"/>
      <c r="AZ66" s="116"/>
      <c r="BA66" s="215">
        <v>1.0</v>
      </c>
      <c r="BB66" s="116"/>
      <c r="BC66" s="116"/>
      <c r="BD66" s="194"/>
      <c r="BE66" s="194"/>
      <c r="BF66" s="194"/>
      <c r="BG66" s="139">
        <f t="shared" si="16"/>
        <v>7</v>
      </c>
      <c r="BH66" s="208">
        <f t="shared" si="17"/>
        <v>58.33333333</v>
      </c>
      <c r="BI66" s="116"/>
      <c r="BJ66" s="116"/>
      <c r="BK66" s="180"/>
      <c r="BL66" s="138">
        <v>1.0</v>
      </c>
      <c r="BM66" s="116"/>
      <c r="BN66" s="116"/>
      <c r="BO66" s="138">
        <v>1.0</v>
      </c>
      <c r="BP66" s="138">
        <v>1.0</v>
      </c>
      <c r="BQ66" s="116"/>
      <c r="BR66" s="116"/>
      <c r="BS66" s="116"/>
      <c r="BT66" s="210">
        <v>1.0</v>
      </c>
      <c r="BU66" s="145">
        <v>1.0</v>
      </c>
      <c r="BV66" s="145">
        <v>1.0</v>
      </c>
      <c r="BW66" s="216">
        <v>1.0</v>
      </c>
      <c r="BX66" s="116"/>
      <c r="BY66" s="138">
        <v>1.0</v>
      </c>
      <c r="BZ66" s="165"/>
      <c r="CA66" s="138">
        <v>1.0</v>
      </c>
      <c r="CB66" s="116"/>
      <c r="CC66" s="165"/>
      <c r="CD66" s="196">
        <v>1.0</v>
      </c>
      <c r="CE66" s="124">
        <f t="shared" si="18"/>
        <v>10</v>
      </c>
      <c r="CF66" s="173">
        <f t="shared" si="19"/>
        <v>90.90909091</v>
      </c>
      <c r="CG66" s="138">
        <v>1.0</v>
      </c>
      <c r="CH66" s="238"/>
      <c r="CI66" s="116"/>
      <c r="CJ66" s="116"/>
      <c r="CK66" s="116"/>
      <c r="CL66" s="186"/>
      <c r="CM66" s="116"/>
      <c r="CN66" s="116"/>
      <c r="CO66" s="223"/>
      <c r="CP66" s="166"/>
      <c r="CQ66" s="213"/>
      <c r="CR66" s="213"/>
      <c r="CS66" s="116"/>
      <c r="CT66" s="116"/>
      <c r="CU66" s="116"/>
      <c r="CV66" s="213"/>
      <c r="CW66" s="128">
        <f t="shared" si="20"/>
        <v>1</v>
      </c>
      <c r="CX66" s="214">
        <f t="shared" si="21"/>
        <v>50</v>
      </c>
      <c r="CY66" s="171"/>
      <c r="CZ66" s="171"/>
      <c r="DA66" s="171"/>
      <c r="DB66" s="171"/>
      <c r="DC66" s="171"/>
      <c r="DD66" s="171"/>
      <c r="DE66" s="171"/>
      <c r="DF66" s="171"/>
      <c r="DG66" s="171"/>
      <c r="DH66" s="171"/>
      <c r="DI66" s="171"/>
      <c r="DJ66" s="171"/>
      <c r="DK66" s="128">
        <f t="shared" si="22"/>
        <v>0</v>
      </c>
      <c r="DL66" s="158" t="str">
        <f t="shared" si="23"/>
        <v>#DIV/0!</v>
      </c>
    </row>
    <row r="67" ht="15.75" customHeight="1">
      <c r="A67" s="50">
        <v>58.0</v>
      </c>
      <c r="B67" s="111" t="s">
        <v>167</v>
      </c>
      <c r="C67" s="112" t="s">
        <v>168</v>
      </c>
      <c r="D67" s="98">
        <f t="shared" si="8"/>
        <v>23</v>
      </c>
      <c r="E67" s="130">
        <f t="shared" si="9"/>
        <v>65.71428571</v>
      </c>
      <c r="F67" s="92" t="str">
        <f t="shared" si="10"/>
        <v>  </v>
      </c>
      <c r="G67" s="149" t="str">
        <f t="shared" si="11"/>
        <v>  </v>
      </c>
      <c r="H67" s="254"/>
      <c r="I67" s="254"/>
      <c r="J67" s="254"/>
      <c r="K67" s="254"/>
      <c r="L67" s="257"/>
      <c r="M67" s="139">
        <f t="shared" si="12"/>
        <v>0</v>
      </c>
      <c r="N67" s="140" t="str">
        <f t="shared" si="13"/>
        <v>#DIV/0!</v>
      </c>
      <c r="O67" s="116"/>
      <c r="P67" s="116"/>
      <c r="Q67" s="180"/>
      <c r="R67" s="179"/>
      <c r="S67" s="116"/>
      <c r="T67" s="116"/>
      <c r="U67" s="116"/>
      <c r="V67" s="179"/>
      <c r="W67" s="116"/>
      <c r="X67" s="116"/>
      <c r="Y67" s="179"/>
      <c r="Z67" s="210">
        <v>1.0</v>
      </c>
      <c r="AA67" s="187">
        <v>1.0</v>
      </c>
      <c r="AB67" s="138">
        <v>1.0</v>
      </c>
      <c r="AC67" s="184">
        <v>1.0</v>
      </c>
      <c r="AD67" s="138">
        <v>1.0</v>
      </c>
      <c r="AE67" s="116"/>
      <c r="AF67" s="182">
        <v>1.0</v>
      </c>
      <c r="AG67" s="182">
        <v>1.0</v>
      </c>
      <c r="AH67" s="176"/>
      <c r="AI67" s="176"/>
      <c r="AJ67" s="139">
        <f t="shared" si="14"/>
        <v>7</v>
      </c>
      <c r="AK67" s="205">
        <f t="shared" si="15"/>
        <v>70</v>
      </c>
      <c r="AL67" s="116"/>
      <c r="AM67" s="138">
        <v>1.0</v>
      </c>
      <c r="AN67" s="184">
        <v>1.0</v>
      </c>
      <c r="AO67" s="138">
        <v>1.0</v>
      </c>
      <c r="AP67" s="116"/>
      <c r="AQ67" s="116"/>
      <c r="AR67" s="138">
        <v>1.0</v>
      </c>
      <c r="AS67" s="191">
        <v>1.0</v>
      </c>
      <c r="AT67" s="116"/>
      <c r="AU67" s="138">
        <v>1.0</v>
      </c>
      <c r="AV67" s="116"/>
      <c r="AW67" s="179"/>
      <c r="AX67" s="116"/>
      <c r="AY67" s="116"/>
      <c r="AZ67" s="116"/>
      <c r="BA67" s="215">
        <v>1.0</v>
      </c>
      <c r="BB67" s="138">
        <v>1.0</v>
      </c>
      <c r="BC67" s="116"/>
      <c r="BD67" s="194"/>
      <c r="BE67" s="194"/>
      <c r="BF67" s="194"/>
      <c r="BG67" s="139">
        <f t="shared" si="16"/>
        <v>8</v>
      </c>
      <c r="BH67" s="208">
        <f t="shared" si="17"/>
        <v>66.66666667</v>
      </c>
      <c r="BI67" s="116"/>
      <c r="BJ67" s="116"/>
      <c r="BK67" s="180"/>
      <c r="BL67" s="138">
        <v>1.0</v>
      </c>
      <c r="BM67" s="116"/>
      <c r="BN67" s="116"/>
      <c r="BO67" s="116"/>
      <c r="BP67" s="116"/>
      <c r="BQ67" s="116"/>
      <c r="BR67" s="166"/>
      <c r="BS67" s="138">
        <v>1.0</v>
      </c>
      <c r="BT67" s="116"/>
      <c r="BU67" s="145">
        <v>1.0</v>
      </c>
      <c r="BV67" s="145">
        <v>1.0</v>
      </c>
      <c r="BW67" s="198"/>
      <c r="BX67" s="116"/>
      <c r="BY67" s="138">
        <v>1.0</v>
      </c>
      <c r="BZ67" s="165"/>
      <c r="CA67" s="138">
        <v>1.0</v>
      </c>
      <c r="CB67" s="116"/>
      <c r="CC67" s="165"/>
      <c r="CD67" s="196">
        <v>1.0</v>
      </c>
      <c r="CE67" s="124">
        <f t="shared" si="18"/>
        <v>7</v>
      </c>
      <c r="CF67" s="173">
        <f t="shared" si="19"/>
        <v>63.63636364</v>
      </c>
      <c r="CG67" s="138">
        <v>1.0</v>
      </c>
      <c r="CH67" s="238"/>
      <c r="CI67" s="186"/>
      <c r="CJ67" s="186"/>
      <c r="CK67" s="116"/>
      <c r="CL67" s="186"/>
      <c r="CM67" s="223"/>
      <c r="CN67" s="223"/>
      <c r="CO67" s="116"/>
      <c r="CP67" s="166"/>
      <c r="CQ67" s="213"/>
      <c r="CR67" s="213"/>
      <c r="CS67" s="213"/>
      <c r="CT67" s="213"/>
      <c r="CU67" s="213"/>
      <c r="CV67" s="213"/>
      <c r="CW67" s="128">
        <f t="shared" si="20"/>
        <v>1</v>
      </c>
      <c r="CX67" s="214">
        <f t="shared" si="21"/>
        <v>50</v>
      </c>
      <c r="CY67" s="171"/>
      <c r="CZ67" s="171"/>
      <c r="DA67" s="171"/>
      <c r="DB67" s="171"/>
      <c r="DC67" s="171"/>
      <c r="DD67" s="171"/>
      <c r="DE67" s="171"/>
      <c r="DF67" s="171"/>
      <c r="DG67" s="171"/>
      <c r="DH67" s="171"/>
      <c r="DI67" s="171"/>
      <c r="DJ67" s="171"/>
      <c r="DK67" s="128">
        <f t="shared" si="22"/>
        <v>0</v>
      </c>
      <c r="DL67" s="158" t="str">
        <f t="shared" si="23"/>
        <v>#DIV/0!</v>
      </c>
    </row>
    <row r="68" ht="15.75" customHeight="1">
      <c r="A68" s="131">
        <v>59.0</v>
      </c>
      <c r="B68" s="111" t="s">
        <v>169</v>
      </c>
      <c r="C68" s="112" t="s">
        <v>170</v>
      </c>
      <c r="D68" s="98">
        <f t="shared" si="8"/>
        <v>15</v>
      </c>
      <c r="E68" s="130">
        <f t="shared" si="9"/>
        <v>42.85714286</v>
      </c>
      <c r="F68" s="114">
        <f t="shared" si="10"/>
        <v>42.85714286</v>
      </c>
      <c r="G68" s="149" t="str">
        <f t="shared" si="11"/>
        <v>  </v>
      </c>
      <c r="H68" s="256"/>
      <c r="I68" s="256"/>
      <c r="J68" s="256"/>
      <c r="K68" s="256"/>
      <c r="L68" s="259"/>
      <c r="M68" s="139">
        <f t="shared" si="12"/>
        <v>0</v>
      </c>
      <c r="N68" s="140" t="str">
        <f t="shared" si="13"/>
        <v>#DIV/0!</v>
      </c>
      <c r="O68" s="116"/>
      <c r="P68" s="116"/>
      <c r="Q68" s="116"/>
      <c r="R68" s="207"/>
      <c r="S68" s="116"/>
      <c r="T68" s="116"/>
      <c r="U68" s="116"/>
      <c r="V68" s="207"/>
      <c r="W68" s="116"/>
      <c r="X68" s="116"/>
      <c r="Y68" s="207"/>
      <c r="Z68" s="185"/>
      <c r="AA68" s="217"/>
      <c r="AB68" s="116"/>
      <c r="AC68" s="207"/>
      <c r="AD68" s="116"/>
      <c r="AE68" s="116"/>
      <c r="AF68" s="209">
        <v>1.0</v>
      </c>
      <c r="AG68" s="209">
        <v>1.0</v>
      </c>
      <c r="AH68" s="206"/>
      <c r="AI68" s="116"/>
      <c r="AJ68" s="139">
        <f t="shared" si="14"/>
        <v>2</v>
      </c>
      <c r="AK68" s="205">
        <f t="shared" si="15"/>
        <v>20</v>
      </c>
      <c r="AL68" s="116"/>
      <c r="AM68" s="138">
        <v>1.0</v>
      </c>
      <c r="AN68" s="207"/>
      <c r="AO68" s="138">
        <v>1.0</v>
      </c>
      <c r="AP68" s="116"/>
      <c r="AQ68" s="116"/>
      <c r="AR68" s="116"/>
      <c r="AS68" s="191">
        <v>1.0</v>
      </c>
      <c r="AT68" s="116"/>
      <c r="AU68" s="138">
        <v>1.0</v>
      </c>
      <c r="AV68" s="138">
        <v>1.0</v>
      </c>
      <c r="AW68" s="207"/>
      <c r="AX68" s="116"/>
      <c r="AY68" s="116"/>
      <c r="AZ68" s="116"/>
      <c r="BA68" s="180"/>
      <c r="BB68" s="138">
        <v>1.0</v>
      </c>
      <c r="BC68" s="116"/>
      <c r="BD68" s="194"/>
      <c r="BE68" s="194"/>
      <c r="BF68" s="194"/>
      <c r="BG68" s="139">
        <f t="shared" si="16"/>
        <v>6</v>
      </c>
      <c r="BH68" s="208">
        <f t="shared" si="17"/>
        <v>50</v>
      </c>
      <c r="BI68" s="116"/>
      <c r="BJ68" s="116"/>
      <c r="BK68" s="180"/>
      <c r="BL68" s="116"/>
      <c r="BM68" s="116"/>
      <c r="BN68" s="116"/>
      <c r="BO68" s="138">
        <v>1.0</v>
      </c>
      <c r="BP68" s="116"/>
      <c r="BQ68" s="211"/>
      <c r="BR68" s="116"/>
      <c r="BS68" s="138">
        <v>1.0</v>
      </c>
      <c r="BT68" s="116"/>
      <c r="BU68" s="43"/>
      <c r="BV68" s="43"/>
      <c r="BW68" s="198"/>
      <c r="BX68" s="43"/>
      <c r="BY68" s="138">
        <v>1.0</v>
      </c>
      <c r="BZ68" s="165"/>
      <c r="CA68" s="138">
        <v>1.0</v>
      </c>
      <c r="CB68" s="116"/>
      <c r="CC68" s="165"/>
      <c r="CD68" s="196">
        <v>1.0</v>
      </c>
      <c r="CE68" s="124">
        <f t="shared" si="18"/>
        <v>5</v>
      </c>
      <c r="CF68" s="173">
        <f t="shared" si="19"/>
        <v>45.45454545</v>
      </c>
      <c r="CG68" s="138">
        <v>1.0</v>
      </c>
      <c r="CH68" s="138">
        <v>1.0</v>
      </c>
      <c r="CI68" s="116"/>
      <c r="CJ68" s="116"/>
      <c r="CK68" s="116"/>
      <c r="CL68" s="186"/>
      <c r="CM68" s="223"/>
      <c r="CN68" s="116"/>
      <c r="CO68" s="223"/>
      <c r="CP68" s="166"/>
      <c r="CQ68" s="213"/>
      <c r="CR68" s="213"/>
      <c r="CS68" s="116"/>
      <c r="CT68" s="116"/>
      <c r="CU68" s="116"/>
      <c r="CV68" s="213"/>
      <c r="CW68" s="128">
        <f t="shared" si="20"/>
        <v>2</v>
      </c>
      <c r="CX68" s="214">
        <f t="shared" si="21"/>
        <v>100</v>
      </c>
      <c r="CY68" s="171"/>
      <c r="CZ68" s="171"/>
      <c r="DA68" s="171"/>
      <c r="DB68" s="171"/>
      <c r="DC68" s="171"/>
      <c r="DD68" s="171"/>
      <c r="DE68" s="171"/>
      <c r="DF68" s="171"/>
      <c r="DG68" s="171"/>
      <c r="DH68" s="171"/>
      <c r="DI68" s="171"/>
      <c r="DJ68" s="171"/>
      <c r="DK68" s="128">
        <f t="shared" si="22"/>
        <v>0</v>
      </c>
      <c r="DL68" s="158" t="str">
        <f t="shared" si="23"/>
        <v>#DIV/0!</v>
      </c>
    </row>
    <row r="69" ht="15.75" customHeight="1">
      <c r="A69" s="146">
        <v>60.0</v>
      </c>
      <c r="B69" s="111" t="s">
        <v>171</v>
      </c>
      <c r="C69" s="112" t="s">
        <v>172</v>
      </c>
      <c r="D69" s="98">
        <f t="shared" si="8"/>
        <v>14</v>
      </c>
      <c r="E69" s="130">
        <f t="shared" si="9"/>
        <v>40</v>
      </c>
      <c r="F69" s="114">
        <f t="shared" si="10"/>
        <v>40</v>
      </c>
      <c r="G69" s="226" t="str">
        <f t="shared" si="11"/>
        <v>  </v>
      </c>
      <c r="H69" s="254"/>
      <c r="I69" s="254"/>
      <c r="J69" s="254"/>
      <c r="K69" s="254"/>
      <c r="L69" s="257"/>
      <c r="M69" s="139">
        <f t="shared" si="12"/>
        <v>0</v>
      </c>
      <c r="N69" s="140" t="str">
        <f t="shared" si="13"/>
        <v>#DIV/0!</v>
      </c>
      <c r="O69" s="116"/>
      <c r="P69" s="116"/>
      <c r="Q69" s="116"/>
      <c r="R69" s="179"/>
      <c r="S69" s="179"/>
      <c r="T69" s="116"/>
      <c r="U69" s="116"/>
      <c r="V69" s="179"/>
      <c r="W69" s="138">
        <v>1.0</v>
      </c>
      <c r="X69" s="116"/>
      <c r="Y69" s="179"/>
      <c r="Z69" s="185"/>
      <c r="AA69" s="217"/>
      <c r="AB69" s="138">
        <v>1.0</v>
      </c>
      <c r="AC69" s="179"/>
      <c r="AD69" s="176"/>
      <c r="AE69" s="176"/>
      <c r="AF69" s="182">
        <v>1.0</v>
      </c>
      <c r="AG69" s="182">
        <v>1.0</v>
      </c>
      <c r="AH69" s="116"/>
      <c r="AI69" s="176"/>
      <c r="AJ69" s="139">
        <f t="shared" si="14"/>
        <v>4</v>
      </c>
      <c r="AK69" s="205">
        <f t="shared" si="15"/>
        <v>40</v>
      </c>
      <c r="AL69" s="222"/>
      <c r="AM69" s="179"/>
      <c r="AN69" s="179"/>
      <c r="AO69" s="179"/>
      <c r="AP69" s="116"/>
      <c r="AQ69" s="116"/>
      <c r="AR69" s="116"/>
      <c r="AS69" s="166"/>
      <c r="AT69" s="116"/>
      <c r="AU69" s="116"/>
      <c r="AV69" s="116"/>
      <c r="AW69" s="179"/>
      <c r="AX69" s="116"/>
      <c r="AY69" s="116"/>
      <c r="AZ69" s="180"/>
      <c r="BA69" s="180"/>
      <c r="BB69" s="204"/>
      <c r="BC69" s="204"/>
      <c r="BD69" s="181"/>
      <c r="BE69" s="181"/>
      <c r="BF69" s="181"/>
      <c r="BG69" s="139">
        <f t="shared" si="16"/>
        <v>0</v>
      </c>
      <c r="BH69" s="208">
        <f t="shared" si="17"/>
        <v>0</v>
      </c>
      <c r="BI69" s="116"/>
      <c r="BJ69" s="116"/>
      <c r="BK69" s="180"/>
      <c r="BL69" s="116"/>
      <c r="BM69" s="116"/>
      <c r="BN69" s="116"/>
      <c r="BO69" s="138">
        <v>1.0</v>
      </c>
      <c r="BP69" s="138">
        <v>1.0</v>
      </c>
      <c r="BQ69" s="211"/>
      <c r="BR69" s="116"/>
      <c r="BS69" s="196">
        <v>1.0</v>
      </c>
      <c r="BT69" s="185"/>
      <c r="BU69" s="145">
        <v>1.0</v>
      </c>
      <c r="BV69" s="145">
        <v>1.0</v>
      </c>
      <c r="BW69" s="216">
        <v>1.0</v>
      </c>
      <c r="BX69" s="116"/>
      <c r="BY69" s="138">
        <v>1.0</v>
      </c>
      <c r="BZ69" s="165"/>
      <c r="CA69" s="196">
        <v>1.0</v>
      </c>
      <c r="CB69" s="165"/>
      <c r="CC69" s="165"/>
      <c r="CD69" s="196">
        <v>1.0</v>
      </c>
      <c r="CE69" s="124">
        <f t="shared" si="18"/>
        <v>9</v>
      </c>
      <c r="CF69" s="173">
        <f t="shared" si="19"/>
        <v>81.81818182</v>
      </c>
      <c r="CG69" s="184">
        <v>1.0</v>
      </c>
      <c r="CH69" s="238"/>
      <c r="CI69" s="186"/>
      <c r="CJ69" s="186"/>
      <c r="CK69" s="231"/>
      <c r="CL69" s="186"/>
      <c r="CM69" s="223"/>
      <c r="CN69" s="116"/>
      <c r="CO69" s="223"/>
      <c r="CP69" s="166"/>
      <c r="CQ69" s="213"/>
      <c r="CR69" s="213"/>
      <c r="CS69" s="213"/>
      <c r="CT69" s="213"/>
      <c r="CU69" s="116"/>
      <c r="CV69" s="213"/>
      <c r="CW69" s="128">
        <f t="shared" si="20"/>
        <v>1</v>
      </c>
      <c r="CX69" s="214">
        <f t="shared" si="21"/>
        <v>50</v>
      </c>
      <c r="CY69" s="171"/>
      <c r="CZ69" s="171"/>
      <c r="DA69" s="171"/>
      <c r="DB69" s="171"/>
      <c r="DC69" s="171"/>
      <c r="DD69" s="171"/>
      <c r="DE69" s="171"/>
      <c r="DF69" s="171"/>
      <c r="DG69" s="171"/>
      <c r="DH69" s="171"/>
      <c r="DI69" s="171"/>
      <c r="DJ69" s="171"/>
      <c r="DK69" s="128">
        <f t="shared" si="22"/>
        <v>0</v>
      </c>
      <c r="DL69" s="158" t="str">
        <f t="shared" si="23"/>
        <v>#DIV/0!</v>
      </c>
    </row>
    <row r="70" ht="15.75" customHeight="1">
      <c r="A70" s="50">
        <v>61.0</v>
      </c>
      <c r="B70" s="111" t="s">
        <v>173</v>
      </c>
      <c r="C70" s="112" t="s">
        <v>174</v>
      </c>
      <c r="D70" s="98">
        <f t="shared" si="8"/>
        <v>12</v>
      </c>
      <c r="E70" s="130">
        <f t="shared" si="9"/>
        <v>34.28571429</v>
      </c>
      <c r="F70" s="114">
        <f t="shared" si="10"/>
        <v>34.28571429</v>
      </c>
      <c r="G70" s="149" t="str">
        <f t="shared" si="11"/>
        <v>  </v>
      </c>
      <c r="H70" s="254"/>
      <c r="I70" s="254"/>
      <c r="J70" s="254"/>
      <c r="K70" s="254"/>
      <c r="L70" s="257"/>
      <c r="M70" s="139">
        <f t="shared" si="12"/>
        <v>0</v>
      </c>
      <c r="N70" s="140" t="str">
        <f t="shared" si="13"/>
        <v>#DIV/0!</v>
      </c>
      <c r="O70" s="116"/>
      <c r="P70" s="116"/>
      <c r="Q70" s="180"/>
      <c r="R70" s="179"/>
      <c r="S70" s="179"/>
      <c r="T70" s="116"/>
      <c r="U70" s="116"/>
      <c r="V70" s="179"/>
      <c r="W70" s="116"/>
      <c r="X70" s="116"/>
      <c r="Y70" s="179"/>
      <c r="Z70" s="185"/>
      <c r="AA70" s="217"/>
      <c r="AB70" s="116"/>
      <c r="AC70" s="179"/>
      <c r="AD70" s="116"/>
      <c r="AE70" s="116"/>
      <c r="AF70" s="182">
        <v>1.0</v>
      </c>
      <c r="AG70" s="182">
        <v>1.0</v>
      </c>
      <c r="AH70" s="116"/>
      <c r="AI70" s="176"/>
      <c r="AJ70" s="139">
        <f t="shared" si="14"/>
        <v>2</v>
      </c>
      <c r="AK70" s="205">
        <f t="shared" si="15"/>
        <v>20</v>
      </c>
      <c r="AL70" s="222"/>
      <c r="AM70" s="116"/>
      <c r="AN70" s="184">
        <v>1.0</v>
      </c>
      <c r="AO70" s="116"/>
      <c r="AP70" s="179"/>
      <c r="AQ70" s="116"/>
      <c r="AR70" s="116"/>
      <c r="AS70" s="191">
        <v>1.0</v>
      </c>
      <c r="AT70" s="116"/>
      <c r="AU70" s="116"/>
      <c r="AV70" s="138">
        <v>1.0</v>
      </c>
      <c r="AW70" s="179"/>
      <c r="AX70" s="116"/>
      <c r="AY70" s="116"/>
      <c r="AZ70" s="180"/>
      <c r="BA70" s="215">
        <v>1.0</v>
      </c>
      <c r="BB70" s="204"/>
      <c r="BC70" s="204"/>
      <c r="BD70" s="181"/>
      <c r="BE70" s="181"/>
      <c r="BF70" s="181"/>
      <c r="BG70" s="139">
        <f t="shared" si="16"/>
        <v>4</v>
      </c>
      <c r="BH70" s="208">
        <f t="shared" si="17"/>
        <v>33.33333333</v>
      </c>
      <c r="BI70" s="116"/>
      <c r="BJ70" s="116"/>
      <c r="BK70" s="180"/>
      <c r="BL70" s="138">
        <v>1.0</v>
      </c>
      <c r="BM70" s="116"/>
      <c r="BN70" s="116"/>
      <c r="BO70" s="116"/>
      <c r="BP70" s="138">
        <v>1.0</v>
      </c>
      <c r="BQ70" s="116"/>
      <c r="BR70" s="166"/>
      <c r="BS70" s="165"/>
      <c r="BT70" s="138">
        <v>1.0</v>
      </c>
      <c r="BU70" s="145">
        <v>1.0</v>
      </c>
      <c r="BV70" s="145">
        <v>1.0</v>
      </c>
      <c r="BW70" s="198"/>
      <c r="BX70" s="116"/>
      <c r="BY70" s="116"/>
      <c r="BZ70" s="165"/>
      <c r="CA70" s="165"/>
      <c r="CB70" s="165"/>
      <c r="CC70" s="165"/>
      <c r="CD70" s="165"/>
      <c r="CE70" s="124">
        <f t="shared" si="18"/>
        <v>5</v>
      </c>
      <c r="CF70" s="173">
        <f t="shared" si="19"/>
        <v>45.45454545</v>
      </c>
      <c r="CG70" s="184">
        <v>1.0</v>
      </c>
      <c r="CH70" s="238"/>
      <c r="CI70" s="186"/>
      <c r="CJ70" s="116"/>
      <c r="CK70" s="231"/>
      <c r="CL70" s="186"/>
      <c r="CM70" s="223"/>
      <c r="CN70" s="223"/>
      <c r="CO70" s="116"/>
      <c r="CP70" s="166"/>
      <c r="CQ70" s="213"/>
      <c r="CR70" s="213"/>
      <c r="CS70" s="213"/>
      <c r="CT70" s="213"/>
      <c r="CU70" s="213"/>
      <c r="CV70" s="213"/>
      <c r="CW70" s="128">
        <f t="shared" si="20"/>
        <v>1</v>
      </c>
      <c r="CX70" s="214">
        <f t="shared" si="21"/>
        <v>50</v>
      </c>
      <c r="CY70" s="171"/>
      <c r="CZ70" s="171"/>
      <c r="DA70" s="171"/>
      <c r="DB70" s="171"/>
      <c r="DC70" s="171"/>
      <c r="DD70" s="171"/>
      <c r="DE70" s="171"/>
      <c r="DF70" s="171"/>
      <c r="DG70" s="171"/>
      <c r="DH70" s="171"/>
      <c r="DI70" s="171"/>
      <c r="DJ70" s="171"/>
      <c r="DK70" s="128">
        <f t="shared" si="22"/>
        <v>0</v>
      </c>
      <c r="DL70" s="158" t="str">
        <f t="shared" si="23"/>
        <v>#DIV/0!</v>
      </c>
    </row>
    <row r="71" ht="15.75" customHeight="1">
      <c r="A71" s="131">
        <v>62.0</v>
      </c>
      <c r="B71" s="111" t="s">
        <v>175</v>
      </c>
      <c r="C71" s="112" t="s">
        <v>176</v>
      </c>
      <c r="D71" s="98">
        <f t="shared" si="8"/>
        <v>5</v>
      </c>
      <c r="E71" s="130">
        <f t="shared" si="9"/>
        <v>14.28571429</v>
      </c>
      <c r="F71" s="114">
        <f t="shared" si="10"/>
        <v>14.28571429</v>
      </c>
      <c r="G71" s="226">
        <f t="shared" si="11"/>
        <v>14.28571429</v>
      </c>
      <c r="H71" s="254"/>
      <c r="I71" s="254"/>
      <c r="J71" s="254"/>
      <c r="K71" s="254"/>
      <c r="L71" s="257"/>
      <c r="M71" s="139">
        <f t="shared" si="12"/>
        <v>0</v>
      </c>
      <c r="N71" s="140" t="str">
        <f t="shared" si="13"/>
        <v>#DIV/0!</v>
      </c>
      <c r="O71" s="116"/>
      <c r="P71" s="116"/>
      <c r="Q71" s="180"/>
      <c r="R71" s="179"/>
      <c r="S71" s="179"/>
      <c r="T71" s="116"/>
      <c r="U71" s="116"/>
      <c r="V71" s="179"/>
      <c r="W71" s="116"/>
      <c r="X71" s="116"/>
      <c r="Y71" s="179"/>
      <c r="Z71" s="185"/>
      <c r="AA71" s="217"/>
      <c r="AB71" s="116"/>
      <c r="AC71" s="179"/>
      <c r="AD71" s="176"/>
      <c r="AE71" s="116"/>
      <c r="AF71" s="176"/>
      <c r="AG71" s="176"/>
      <c r="AH71" s="176"/>
      <c r="AI71" s="176"/>
      <c r="AJ71" s="139">
        <f t="shared" si="14"/>
        <v>0</v>
      </c>
      <c r="AK71" s="205">
        <f t="shared" si="15"/>
        <v>0</v>
      </c>
      <c r="AL71" s="222"/>
      <c r="AM71" s="179"/>
      <c r="AN71" s="179"/>
      <c r="AO71" s="184">
        <v>1.0</v>
      </c>
      <c r="AP71" s="179"/>
      <c r="AQ71" s="116"/>
      <c r="AR71" s="116"/>
      <c r="AS71" s="166"/>
      <c r="AT71" s="116"/>
      <c r="AU71" s="116"/>
      <c r="AV71" s="138">
        <v>1.0</v>
      </c>
      <c r="AW71" s="179"/>
      <c r="AX71" s="116"/>
      <c r="AY71" s="116"/>
      <c r="AZ71" s="180"/>
      <c r="BA71" s="215">
        <v>1.0</v>
      </c>
      <c r="BB71" s="204"/>
      <c r="BC71" s="204"/>
      <c r="BD71" s="181"/>
      <c r="BE71" s="181"/>
      <c r="BF71" s="181"/>
      <c r="BG71" s="139">
        <f t="shared" si="16"/>
        <v>3</v>
      </c>
      <c r="BH71" s="208">
        <f t="shared" si="17"/>
        <v>25</v>
      </c>
      <c r="BI71" s="116"/>
      <c r="BJ71" s="116"/>
      <c r="BK71" s="180"/>
      <c r="BL71" s="116"/>
      <c r="BM71" s="116"/>
      <c r="BN71" s="116"/>
      <c r="BO71" s="116"/>
      <c r="BP71" s="116"/>
      <c r="BQ71" s="211"/>
      <c r="BR71" s="166"/>
      <c r="BS71" s="196">
        <v>1.0</v>
      </c>
      <c r="BT71" s="116"/>
      <c r="BU71" s="43"/>
      <c r="BV71" s="145">
        <v>1.0</v>
      </c>
      <c r="BW71" s="198"/>
      <c r="BX71" s="43"/>
      <c r="BY71" s="116"/>
      <c r="BZ71" s="165"/>
      <c r="CA71" s="165"/>
      <c r="CB71" s="165"/>
      <c r="CC71" s="165"/>
      <c r="CD71" s="165"/>
      <c r="CE71" s="124">
        <f t="shared" si="18"/>
        <v>2</v>
      </c>
      <c r="CF71" s="173">
        <f t="shared" si="19"/>
        <v>18.18181818</v>
      </c>
      <c r="CG71" s="179"/>
      <c r="CH71" s="238"/>
      <c r="CI71" s="186"/>
      <c r="CJ71" s="186"/>
      <c r="CK71" s="116"/>
      <c r="CL71" s="186"/>
      <c r="CM71" s="223"/>
      <c r="CN71" s="223"/>
      <c r="CO71" s="223"/>
      <c r="CP71" s="116"/>
      <c r="CQ71" s="165"/>
      <c r="CR71" s="165"/>
      <c r="CS71" s="116"/>
      <c r="CT71" s="116"/>
      <c r="CU71" s="116"/>
      <c r="CV71" s="165"/>
      <c r="CW71" s="128">
        <f t="shared" si="20"/>
        <v>0</v>
      </c>
      <c r="CX71" s="214">
        <f t="shared" si="21"/>
        <v>0</v>
      </c>
      <c r="CY71" s="171"/>
      <c r="CZ71" s="171"/>
      <c r="DA71" s="171"/>
      <c r="DB71" s="171"/>
      <c r="DC71" s="171"/>
      <c r="DD71" s="171"/>
      <c r="DE71" s="171"/>
      <c r="DF71" s="171"/>
      <c r="DG71" s="171"/>
      <c r="DH71" s="171"/>
      <c r="DI71" s="171"/>
      <c r="DJ71" s="171"/>
      <c r="DK71" s="128">
        <f t="shared" si="22"/>
        <v>0</v>
      </c>
      <c r="DL71" s="158" t="str">
        <f t="shared" si="23"/>
        <v>#DIV/0!</v>
      </c>
    </row>
    <row r="72" ht="15.75" customHeight="1">
      <c r="A72" s="146">
        <v>63.0</v>
      </c>
      <c r="B72" s="111" t="s">
        <v>177</v>
      </c>
      <c r="C72" s="112" t="s">
        <v>178</v>
      </c>
      <c r="D72" s="98">
        <f t="shared" si="8"/>
        <v>15</v>
      </c>
      <c r="E72" s="130">
        <f t="shared" si="9"/>
        <v>42.85714286</v>
      </c>
      <c r="F72" s="114">
        <f t="shared" si="10"/>
        <v>42.85714286</v>
      </c>
      <c r="G72" s="149" t="str">
        <f t="shared" si="11"/>
        <v>  </v>
      </c>
      <c r="H72" s="254"/>
      <c r="I72" s="254"/>
      <c r="J72" s="254"/>
      <c r="K72" s="254"/>
      <c r="L72" s="257"/>
      <c r="M72" s="139">
        <f t="shared" si="12"/>
        <v>0</v>
      </c>
      <c r="N72" s="140" t="str">
        <f t="shared" si="13"/>
        <v>#DIV/0!</v>
      </c>
      <c r="O72" s="116"/>
      <c r="P72" s="116"/>
      <c r="Q72" s="180"/>
      <c r="R72" s="179"/>
      <c r="S72" s="179"/>
      <c r="T72" s="116"/>
      <c r="U72" s="116"/>
      <c r="V72" s="179"/>
      <c r="W72" s="116"/>
      <c r="X72" s="138">
        <v>1.0</v>
      </c>
      <c r="Y72" s="179"/>
      <c r="Z72" s="185"/>
      <c r="AA72" s="187">
        <v>1.0</v>
      </c>
      <c r="AB72" s="116"/>
      <c r="AC72" s="179"/>
      <c r="AD72" s="138">
        <v>1.0</v>
      </c>
      <c r="AE72" s="116"/>
      <c r="AF72" s="176"/>
      <c r="AG72" s="176"/>
      <c r="AH72" s="116"/>
      <c r="AI72" s="116"/>
      <c r="AJ72" s="139">
        <f t="shared" si="14"/>
        <v>3</v>
      </c>
      <c r="AK72" s="205">
        <f t="shared" si="15"/>
        <v>30</v>
      </c>
      <c r="AL72" s="116"/>
      <c r="AM72" s="116"/>
      <c r="AN72" s="184">
        <v>1.0</v>
      </c>
      <c r="AO72" s="184">
        <v>1.0</v>
      </c>
      <c r="AP72" s="179"/>
      <c r="AQ72" s="116"/>
      <c r="AR72" s="116"/>
      <c r="AS72" s="191">
        <v>1.0</v>
      </c>
      <c r="AT72" s="116"/>
      <c r="AU72" s="138">
        <v>1.0</v>
      </c>
      <c r="AV72" s="116"/>
      <c r="AW72" s="179"/>
      <c r="AX72" s="116"/>
      <c r="AY72" s="116"/>
      <c r="AZ72" s="180"/>
      <c r="BA72" s="215">
        <v>1.0</v>
      </c>
      <c r="BB72" s="116"/>
      <c r="BC72" s="116"/>
      <c r="BD72" s="194"/>
      <c r="BE72" s="194"/>
      <c r="BF72" s="194"/>
      <c r="BG72" s="139">
        <f t="shared" si="16"/>
        <v>5</v>
      </c>
      <c r="BH72" s="208">
        <f t="shared" si="17"/>
        <v>41.66666667</v>
      </c>
      <c r="BI72" s="116"/>
      <c r="BJ72" s="116"/>
      <c r="BK72" s="180"/>
      <c r="BL72" s="138">
        <v>1.0</v>
      </c>
      <c r="BM72" s="116"/>
      <c r="BN72" s="116"/>
      <c r="BO72" s="116"/>
      <c r="BP72" s="138">
        <v>1.0</v>
      </c>
      <c r="BQ72" s="116"/>
      <c r="BR72" s="166"/>
      <c r="BS72" s="116"/>
      <c r="BT72" s="138">
        <v>1.0</v>
      </c>
      <c r="BU72" s="241">
        <v>1.0</v>
      </c>
      <c r="BV72" s="138">
        <v>1.0</v>
      </c>
      <c r="BW72" s="198"/>
      <c r="BX72" s="116"/>
      <c r="BY72" s="116"/>
      <c r="BZ72" s="165"/>
      <c r="CA72" s="116"/>
      <c r="CB72" s="165"/>
      <c r="CC72" s="165"/>
      <c r="CD72" s="196">
        <v>1.0</v>
      </c>
      <c r="CE72" s="124">
        <f t="shared" si="18"/>
        <v>6</v>
      </c>
      <c r="CF72" s="173">
        <f t="shared" si="19"/>
        <v>54.54545455</v>
      </c>
      <c r="CG72" s="138">
        <v>1.0</v>
      </c>
      <c r="CH72" s="116"/>
      <c r="CI72" s="186"/>
      <c r="CJ72" s="116"/>
      <c r="CK72" s="116"/>
      <c r="CL72" s="186"/>
      <c r="CM72" s="223"/>
      <c r="CN72" s="223"/>
      <c r="CO72" s="116"/>
      <c r="CP72" s="166"/>
      <c r="CQ72" s="213"/>
      <c r="CR72" s="213"/>
      <c r="CS72" s="213"/>
      <c r="CT72" s="213"/>
      <c r="CU72" s="116"/>
      <c r="CV72" s="213"/>
      <c r="CW72" s="128">
        <f t="shared" si="20"/>
        <v>1</v>
      </c>
      <c r="CX72" s="214">
        <f t="shared" si="21"/>
        <v>50</v>
      </c>
      <c r="CY72" s="171"/>
      <c r="CZ72" s="171"/>
      <c r="DA72" s="171"/>
      <c r="DB72" s="171"/>
      <c r="DC72" s="171"/>
      <c r="DD72" s="171"/>
      <c r="DE72" s="171"/>
      <c r="DF72" s="171"/>
      <c r="DG72" s="171"/>
      <c r="DH72" s="171"/>
      <c r="DI72" s="171"/>
      <c r="DJ72" s="171"/>
      <c r="DK72" s="128">
        <f t="shared" si="22"/>
        <v>0</v>
      </c>
      <c r="DL72" s="158" t="str">
        <f t="shared" si="23"/>
        <v>#DIV/0!</v>
      </c>
    </row>
    <row r="73" ht="15.75" customHeight="1">
      <c r="A73" s="50">
        <v>64.0</v>
      </c>
      <c r="B73" s="111" t="s">
        <v>179</v>
      </c>
      <c r="C73" s="112" t="s">
        <v>180</v>
      </c>
      <c r="D73" s="98">
        <f t="shared" si="8"/>
        <v>20</v>
      </c>
      <c r="E73" s="130">
        <f t="shared" si="9"/>
        <v>57.14285714</v>
      </c>
      <c r="F73" s="92" t="str">
        <f t="shared" si="10"/>
        <v>  </v>
      </c>
      <c r="G73" s="149" t="str">
        <f t="shared" si="11"/>
        <v>  </v>
      </c>
      <c r="H73" s="254"/>
      <c r="I73" s="254"/>
      <c r="J73" s="254"/>
      <c r="K73" s="254"/>
      <c r="L73" s="257"/>
      <c r="M73" s="139">
        <f t="shared" si="12"/>
        <v>0</v>
      </c>
      <c r="N73" s="140" t="str">
        <f t="shared" si="13"/>
        <v>#DIV/0!</v>
      </c>
      <c r="O73" s="116"/>
      <c r="P73" s="116"/>
      <c r="Q73" s="116"/>
      <c r="R73" s="179"/>
      <c r="S73" s="116"/>
      <c r="T73" s="116"/>
      <c r="U73" s="116"/>
      <c r="V73" s="179"/>
      <c r="W73" s="138">
        <v>1.0</v>
      </c>
      <c r="X73" s="138">
        <v>1.0</v>
      </c>
      <c r="Y73" s="179"/>
      <c r="Z73" s="210">
        <v>1.0</v>
      </c>
      <c r="AA73" s="187">
        <v>1.0</v>
      </c>
      <c r="AB73" s="116"/>
      <c r="AC73" s="184">
        <v>1.0</v>
      </c>
      <c r="AD73" s="182">
        <v>1.0</v>
      </c>
      <c r="AE73" s="176"/>
      <c r="AF73" s="182">
        <v>1.0</v>
      </c>
      <c r="AG73" s="176"/>
      <c r="AH73" s="176"/>
      <c r="AI73" s="176"/>
      <c r="AJ73" s="139">
        <f t="shared" si="14"/>
        <v>7</v>
      </c>
      <c r="AK73" s="205">
        <f t="shared" si="15"/>
        <v>70</v>
      </c>
      <c r="AL73" s="222"/>
      <c r="AM73" s="138">
        <v>1.0</v>
      </c>
      <c r="AN73" s="179"/>
      <c r="AO73" s="138">
        <v>1.0</v>
      </c>
      <c r="AP73" s="116"/>
      <c r="AQ73" s="116"/>
      <c r="AR73" s="116"/>
      <c r="AS73" s="166"/>
      <c r="AT73" s="116"/>
      <c r="AU73" s="138">
        <v>1.0</v>
      </c>
      <c r="AV73" s="116"/>
      <c r="AW73" s="179"/>
      <c r="AX73" s="116"/>
      <c r="AY73" s="116"/>
      <c r="AZ73" s="116"/>
      <c r="BA73" s="215">
        <v>1.0</v>
      </c>
      <c r="BB73" s="138">
        <v>1.0</v>
      </c>
      <c r="BC73" s="116"/>
      <c r="BD73" s="194"/>
      <c r="BE73" s="188">
        <v>1.0</v>
      </c>
      <c r="BF73" s="194"/>
      <c r="BG73" s="139">
        <f t="shared" si="16"/>
        <v>6</v>
      </c>
      <c r="BH73" s="208">
        <f t="shared" si="17"/>
        <v>50</v>
      </c>
      <c r="BI73" s="116"/>
      <c r="BJ73" s="116"/>
      <c r="BK73" s="180"/>
      <c r="BL73" s="116"/>
      <c r="BM73" s="116"/>
      <c r="BN73" s="116"/>
      <c r="BO73" s="116"/>
      <c r="BP73" s="116"/>
      <c r="BQ73" s="116"/>
      <c r="BR73" s="116"/>
      <c r="BS73" s="196">
        <v>1.0</v>
      </c>
      <c r="BT73" s="138">
        <v>1.0</v>
      </c>
      <c r="BV73" s="116"/>
      <c r="BW73" s="216">
        <v>1.0</v>
      </c>
      <c r="BX73" s="116"/>
      <c r="BY73" s="138">
        <v>1.0</v>
      </c>
      <c r="BZ73" s="165"/>
      <c r="CA73" s="138">
        <v>1.0</v>
      </c>
      <c r="CB73" s="116"/>
      <c r="CC73" s="165"/>
      <c r="CD73" s="165"/>
      <c r="CE73" s="124">
        <f t="shared" si="18"/>
        <v>5</v>
      </c>
      <c r="CF73" s="173">
        <f t="shared" si="19"/>
        <v>45.45454545</v>
      </c>
      <c r="CG73" s="138">
        <v>1.0</v>
      </c>
      <c r="CH73" s="138">
        <v>1.0</v>
      </c>
      <c r="CI73" s="116"/>
      <c r="CJ73" s="116"/>
      <c r="CK73" s="116"/>
      <c r="CL73" s="186"/>
      <c r="CM73" s="116"/>
      <c r="CN73" s="116"/>
      <c r="CO73" s="116"/>
      <c r="CP73" s="166"/>
      <c r="CQ73" s="213"/>
      <c r="CR73" s="213"/>
      <c r="CS73" s="116"/>
      <c r="CT73" s="116"/>
      <c r="CU73" s="116"/>
      <c r="CV73" s="213"/>
      <c r="CW73" s="128">
        <f t="shared" si="20"/>
        <v>2</v>
      </c>
      <c r="CX73" s="214">
        <f t="shared" si="21"/>
        <v>100</v>
      </c>
      <c r="CY73" s="171"/>
      <c r="CZ73" s="171"/>
      <c r="DA73" s="171"/>
      <c r="DB73" s="171"/>
      <c r="DC73" s="171"/>
      <c r="DD73" s="171"/>
      <c r="DE73" s="171"/>
      <c r="DF73" s="171"/>
      <c r="DG73" s="171"/>
      <c r="DH73" s="171"/>
      <c r="DI73" s="171"/>
      <c r="DJ73" s="171"/>
      <c r="DK73" s="128">
        <f t="shared" si="22"/>
        <v>0</v>
      </c>
      <c r="DL73" s="158" t="str">
        <f t="shared" si="23"/>
        <v>#DIV/0!</v>
      </c>
    </row>
    <row r="74" ht="15.75" customHeight="1">
      <c r="A74" s="131">
        <v>65.0</v>
      </c>
      <c r="B74" s="111" t="s">
        <v>181</v>
      </c>
      <c r="C74" s="112" t="s">
        <v>182</v>
      </c>
      <c r="D74" s="98">
        <f t="shared" si="8"/>
        <v>20</v>
      </c>
      <c r="E74" s="130">
        <f t="shared" si="9"/>
        <v>57.14285714</v>
      </c>
      <c r="F74" s="114" t="str">
        <f t="shared" si="10"/>
        <v>  </v>
      </c>
      <c r="G74" s="149" t="str">
        <f t="shared" si="11"/>
        <v>  </v>
      </c>
      <c r="H74" s="254"/>
      <c r="I74" s="254"/>
      <c r="J74" s="254"/>
      <c r="K74" s="254"/>
      <c r="L74" s="257"/>
      <c r="M74" s="139">
        <f t="shared" si="12"/>
        <v>0</v>
      </c>
      <c r="N74" s="140" t="str">
        <f t="shared" si="13"/>
        <v>#DIV/0!</v>
      </c>
      <c r="O74" s="116"/>
      <c r="P74" s="116"/>
      <c r="Q74" s="116"/>
      <c r="R74" s="179"/>
      <c r="S74" s="116"/>
      <c r="T74" s="116"/>
      <c r="U74" s="116"/>
      <c r="V74" s="179"/>
      <c r="W74" s="116"/>
      <c r="X74" s="138">
        <v>1.0</v>
      </c>
      <c r="Y74" s="179"/>
      <c r="Z74" s="185"/>
      <c r="AA74" s="187">
        <v>1.0</v>
      </c>
      <c r="AB74" s="116"/>
      <c r="AC74" s="179"/>
      <c r="AD74" s="138">
        <v>1.0</v>
      </c>
      <c r="AE74" s="182">
        <v>1.0</v>
      </c>
      <c r="AF74" s="176"/>
      <c r="AG74" s="176"/>
      <c r="AH74" s="116"/>
      <c r="AI74" s="116"/>
      <c r="AJ74" s="139">
        <f t="shared" si="14"/>
        <v>4</v>
      </c>
      <c r="AK74" s="205">
        <f t="shared" si="15"/>
        <v>40</v>
      </c>
      <c r="AL74" s="116"/>
      <c r="AM74" s="138">
        <v>1.0</v>
      </c>
      <c r="AN74" s="179"/>
      <c r="AO74" s="138">
        <v>1.0</v>
      </c>
      <c r="AP74" s="116"/>
      <c r="AQ74" s="116"/>
      <c r="AR74" s="138">
        <v>1.0</v>
      </c>
      <c r="AS74" s="191">
        <v>1.0</v>
      </c>
      <c r="AT74" s="116"/>
      <c r="AU74" s="138">
        <v>1.0</v>
      </c>
      <c r="AV74" s="138">
        <v>1.0</v>
      </c>
      <c r="AW74" s="179"/>
      <c r="AX74" s="116"/>
      <c r="AY74" s="116"/>
      <c r="AZ74" s="116"/>
      <c r="BA74" s="215">
        <v>1.0</v>
      </c>
      <c r="BB74" s="138">
        <v>1.0</v>
      </c>
      <c r="BC74" s="116"/>
      <c r="BD74" s="194"/>
      <c r="BE74" s="194"/>
      <c r="BF74" s="194"/>
      <c r="BG74" s="139">
        <f t="shared" si="16"/>
        <v>8</v>
      </c>
      <c r="BH74" s="208">
        <f t="shared" si="17"/>
        <v>66.66666667</v>
      </c>
      <c r="BI74" s="116"/>
      <c r="BJ74" s="116"/>
      <c r="BK74" s="180"/>
      <c r="BL74" s="138">
        <v>1.0</v>
      </c>
      <c r="BM74" s="116"/>
      <c r="BN74" s="116"/>
      <c r="BO74" s="116"/>
      <c r="BP74" s="138">
        <v>1.0</v>
      </c>
      <c r="BQ74" s="116"/>
      <c r="BR74" s="166"/>
      <c r="BS74" s="116"/>
      <c r="BT74" s="138">
        <v>1.0</v>
      </c>
      <c r="BU74" s="241">
        <v>1.0</v>
      </c>
      <c r="BV74" s="138">
        <v>1.0</v>
      </c>
      <c r="BW74" s="198"/>
      <c r="BX74" s="116"/>
      <c r="BY74" s="116"/>
      <c r="BZ74" s="165"/>
      <c r="CA74" s="138">
        <v>1.0</v>
      </c>
      <c r="CB74" s="165"/>
      <c r="CC74" s="165"/>
      <c r="CD74" s="196">
        <v>1.0</v>
      </c>
      <c r="CE74" s="124">
        <f t="shared" si="18"/>
        <v>7</v>
      </c>
      <c r="CF74" s="173">
        <f t="shared" si="19"/>
        <v>63.63636364</v>
      </c>
      <c r="CG74" s="184">
        <v>1.0</v>
      </c>
      <c r="CH74" s="116"/>
      <c r="CI74" s="186"/>
      <c r="CJ74" s="116"/>
      <c r="CK74" s="116"/>
      <c r="CL74" s="186"/>
      <c r="CM74" s="116"/>
      <c r="CN74" s="223"/>
      <c r="CO74" s="116"/>
      <c r="CP74" s="166"/>
      <c r="CQ74" s="213"/>
      <c r="CR74" s="213"/>
      <c r="CS74" s="213"/>
      <c r="CT74" s="213"/>
      <c r="CU74" s="116"/>
      <c r="CV74" s="213"/>
      <c r="CW74" s="128">
        <f t="shared" si="20"/>
        <v>1</v>
      </c>
      <c r="CX74" s="214">
        <f t="shared" si="21"/>
        <v>50</v>
      </c>
      <c r="CY74" s="171"/>
      <c r="CZ74" s="171"/>
      <c r="DA74" s="171"/>
      <c r="DB74" s="171"/>
      <c r="DC74" s="171"/>
      <c r="DD74" s="171"/>
      <c r="DE74" s="171"/>
      <c r="DF74" s="171"/>
      <c r="DG74" s="171"/>
      <c r="DH74" s="171"/>
      <c r="DI74" s="171"/>
      <c r="DJ74" s="171"/>
      <c r="DK74" s="128">
        <f t="shared" si="22"/>
        <v>0</v>
      </c>
      <c r="DL74" s="158" t="str">
        <f t="shared" si="23"/>
        <v>#DIV/0!</v>
      </c>
    </row>
    <row r="75" ht="15.75" customHeight="1">
      <c r="A75" s="146">
        <v>66.0</v>
      </c>
      <c r="B75" s="111" t="s">
        <v>183</v>
      </c>
      <c r="C75" s="112" t="s">
        <v>184</v>
      </c>
      <c r="D75" s="98">
        <f t="shared" si="8"/>
        <v>1</v>
      </c>
      <c r="E75" s="130">
        <f t="shared" si="9"/>
        <v>2.857142857</v>
      </c>
      <c r="F75" s="114">
        <f t="shared" si="10"/>
        <v>2.857142857</v>
      </c>
      <c r="G75" s="226">
        <f t="shared" si="11"/>
        <v>2.857142857</v>
      </c>
      <c r="H75" s="254"/>
      <c r="I75" s="254"/>
      <c r="J75" s="254"/>
      <c r="K75" s="254"/>
      <c r="L75" s="257"/>
      <c r="M75" s="139">
        <f t="shared" si="12"/>
        <v>0</v>
      </c>
      <c r="N75" s="140" t="str">
        <f t="shared" si="13"/>
        <v>#DIV/0!</v>
      </c>
      <c r="O75" s="116"/>
      <c r="P75" s="116"/>
      <c r="Q75" s="180"/>
      <c r="R75" s="179"/>
      <c r="S75" s="179"/>
      <c r="T75" s="116"/>
      <c r="U75" s="116"/>
      <c r="V75" s="179"/>
      <c r="W75" s="116"/>
      <c r="X75" s="116"/>
      <c r="Y75" s="179"/>
      <c r="Z75" s="185"/>
      <c r="AA75" s="217"/>
      <c r="AB75" s="116"/>
      <c r="AC75" s="179"/>
      <c r="AD75" s="182">
        <v>1.0</v>
      </c>
      <c r="AE75" s="176"/>
      <c r="AF75" s="176"/>
      <c r="AG75" s="176"/>
      <c r="AH75" s="176"/>
      <c r="AI75" s="116"/>
      <c r="AJ75" s="139">
        <f t="shared" si="14"/>
        <v>1</v>
      </c>
      <c r="AK75" s="205">
        <f t="shared" si="15"/>
        <v>10</v>
      </c>
      <c r="AL75" s="222"/>
      <c r="AM75" s="116"/>
      <c r="AN75" s="179"/>
      <c r="AO75" s="179"/>
      <c r="AP75" s="179"/>
      <c r="AQ75" s="116"/>
      <c r="AR75" s="116"/>
      <c r="AS75" s="166"/>
      <c r="AT75" s="116"/>
      <c r="AU75" s="116"/>
      <c r="AV75" s="116"/>
      <c r="AW75" s="179"/>
      <c r="AX75" s="116"/>
      <c r="AY75" s="116"/>
      <c r="AZ75" s="180"/>
      <c r="BA75" s="180"/>
      <c r="BB75" s="204"/>
      <c r="BC75" s="204"/>
      <c r="BD75" s="181"/>
      <c r="BE75" s="181"/>
      <c r="BF75" s="181"/>
      <c r="BG75" s="139">
        <f t="shared" si="16"/>
        <v>0</v>
      </c>
      <c r="BH75" s="208">
        <f t="shared" si="17"/>
        <v>0</v>
      </c>
      <c r="BI75" s="116"/>
      <c r="BJ75" s="116"/>
      <c r="BK75" s="180"/>
      <c r="BL75" s="116"/>
      <c r="BM75" s="116"/>
      <c r="BN75" s="116"/>
      <c r="BO75" s="116"/>
      <c r="BP75" s="116"/>
      <c r="BQ75" s="116"/>
      <c r="BR75" s="166"/>
      <c r="BS75" s="165"/>
      <c r="BT75" s="185"/>
      <c r="BU75" s="43"/>
      <c r="BV75" s="43"/>
      <c r="BW75" s="198"/>
      <c r="BX75" s="43"/>
      <c r="BY75" s="116"/>
      <c r="BZ75" s="165"/>
      <c r="CA75" s="165"/>
      <c r="CB75" s="165"/>
      <c r="CC75" s="165"/>
      <c r="CD75" s="165"/>
      <c r="CE75" s="124">
        <f t="shared" si="18"/>
        <v>0</v>
      </c>
      <c r="CF75" s="173">
        <f t="shared" si="19"/>
        <v>0</v>
      </c>
      <c r="CG75" s="179"/>
      <c r="CH75" s="238"/>
      <c r="CI75" s="186"/>
      <c r="CJ75" s="116"/>
      <c r="CK75" s="231"/>
      <c r="CL75" s="186"/>
      <c r="CM75" s="223"/>
      <c r="CN75" s="223"/>
      <c r="CO75" s="223"/>
      <c r="CP75" s="166"/>
      <c r="CQ75" s="213"/>
      <c r="CR75" s="213"/>
      <c r="CS75" s="213"/>
      <c r="CT75" s="116"/>
      <c r="CU75" s="116"/>
      <c r="CV75" s="213"/>
      <c r="CW75" s="128">
        <f t="shared" si="20"/>
        <v>0</v>
      </c>
      <c r="CX75" s="214">
        <f t="shared" si="21"/>
        <v>0</v>
      </c>
      <c r="CY75" s="171"/>
      <c r="CZ75" s="171"/>
      <c r="DA75" s="171"/>
      <c r="DB75" s="171"/>
      <c r="DC75" s="171"/>
      <c r="DD75" s="171"/>
      <c r="DE75" s="171"/>
      <c r="DF75" s="171"/>
      <c r="DG75" s="171"/>
      <c r="DH75" s="171"/>
      <c r="DI75" s="171"/>
      <c r="DJ75" s="171"/>
      <c r="DK75" s="128">
        <f t="shared" si="22"/>
        <v>0</v>
      </c>
      <c r="DL75" s="158" t="str">
        <f t="shared" si="23"/>
        <v>#DIV/0!</v>
      </c>
    </row>
    <row r="76" ht="15.75" customHeight="1">
      <c r="A76" s="50">
        <v>67.0</v>
      </c>
      <c r="B76" s="111" t="s">
        <v>185</v>
      </c>
      <c r="C76" s="112" t="s">
        <v>186</v>
      </c>
      <c r="D76" s="98">
        <f t="shared" si="8"/>
        <v>21</v>
      </c>
      <c r="E76" s="130">
        <f t="shared" si="9"/>
        <v>60</v>
      </c>
      <c r="F76" s="114" t="str">
        <f t="shared" si="10"/>
        <v>  </v>
      </c>
      <c r="G76" s="226" t="str">
        <f t="shared" si="11"/>
        <v>  </v>
      </c>
      <c r="H76" s="265"/>
      <c r="I76" s="265"/>
      <c r="J76" s="265"/>
      <c r="K76" s="265"/>
      <c r="L76" s="266"/>
      <c r="M76" s="139">
        <f t="shared" si="12"/>
        <v>0</v>
      </c>
      <c r="N76" s="140" t="str">
        <f t="shared" si="13"/>
        <v>#DIV/0!</v>
      </c>
      <c r="O76" s="116"/>
      <c r="P76" s="116"/>
      <c r="Q76" s="180"/>
      <c r="R76" s="179"/>
      <c r="S76" s="116"/>
      <c r="T76" s="116"/>
      <c r="U76" s="116"/>
      <c r="V76" s="179"/>
      <c r="W76" s="116"/>
      <c r="X76" s="138">
        <v>1.0</v>
      </c>
      <c r="Y76" s="179"/>
      <c r="Z76" s="210">
        <v>1.0</v>
      </c>
      <c r="AA76" s="187">
        <v>1.0</v>
      </c>
      <c r="AB76" s="138">
        <v>1.0</v>
      </c>
      <c r="AC76" s="184">
        <v>1.0</v>
      </c>
      <c r="AD76" s="138">
        <v>1.0</v>
      </c>
      <c r="AE76" s="116"/>
      <c r="AF76" s="182">
        <v>1.0</v>
      </c>
      <c r="AG76" s="176"/>
      <c r="AH76" s="176"/>
      <c r="AI76" s="116"/>
      <c r="AJ76" s="139">
        <f t="shared" si="14"/>
        <v>7</v>
      </c>
      <c r="AK76" s="205">
        <f t="shared" si="15"/>
        <v>70</v>
      </c>
      <c r="AL76" s="222"/>
      <c r="AM76" s="138">
        <v>1.0</v>
      </c>
      <c r="AN76" s="184">
        <v>1.0</v>
      </c>
      <c r="AO76" s="116"/>
      <c r="AP76" s="179"/>
      <c r="AQ76" s="116"/>
      <c r="AR76" s="116"/>
      <c r="AS76" s="166"/>
      <c r="AT76" s="116"/>
      <c r="AU76" s="138">
        <v>1.0</v>
      </c>
      <c r="AV76" s="116"/>
      <c r="AW76" s="179"/>
      <c r="AX76" s="116"/>
      <c r="AY76" s="116"/>
      <c r="AZ76" s="180"/>
      <c r="BA76" s="215">
        <v>1.0</v>
      </c>
      <c r="BB76" s="116"/>
      <c r="BC76" s="204"/>
      <c r="BD76" s="181"/>
      <c r="BE76" s="181"/>
      <c r="BF76" s="181"/>
      <c r="BG76" s="139">
        <f t="shared" si="16"/>
        <v>4</v>
      </c>
      <c r="BH76" s="208">
        <f t="shared" si="17"/>
        <v>33.33333333</v>
      </c>
      <c r="BI76" s="116"/>
      <c r="BJ76" s="116"/>
      <c r="BK76" s="180"/>
      <c r="BL76" s="138">
        <v>1.0</v>
      </c>
      <c r="BM76" s="116"/>
      <c r="BN76" s="116"/>
      <c r="BO76" s="138">
        <v>1.0</v>
      </c>
      <c r="BP76" s="138">
        <v>1.0</v>
      </c>
      <c r="BQ76" s="211"/>
      <c r="BR76" s="166"/>
      <c r="BS76" s="196">
        <v>1.0</v>
      </c>
      <c r="BT76" s="138">
        <v>1.0</v>
      </c>
      <c r="BU76" s="145">
        <v>1.0</v>
      </c>
      <c r="BV76" s="43"/>
      <c r="BW76" s="216">
        <v>1.0</v>
      </c>
      <c r="BX76" s="116"/>
      <c r="BY76" s="138">
        <v>1.0</v>
      </c>
      <c r="BZ76" s="165"/>
      <c r="CA76" s="138">
        <v>1.0</v>
      </c>
      <c r="CB76" s="165"/>
      <c r="CC76" s="165"/>
      <c r="CD76" s="196">
        <v>1.0</v>
      </c>
      <c r="CE76" s="124">
        <f t="shared" si="18"/>
        <v>10</v>
      </c>
      <c r="CF76" s="173">
        <f t="shared" si="19"/>
        <v>90.90909091</v>
      </c>
      <c r="CG76" s="116"/>
      <c r="CH76" s="116"/>
      <c r="CI76" s="186"/>
      <c r="CJ76" s="116"/>
      <c r="CK76" s="116"/>
      <c r="CL76" s="186"/>
      <c r="CM76" s="223"/>
      <c r="CN76" s="116"/>
      <c r="CO76" s="116"/>
      <c r="CP76" s="166"/>
      <c r="CQ76" s="213"/>
      <c r="CR76" s="213"/>
      <c r="CS76" s="116"/>
      <c r="CT76" s="116"/>
      <c r="CU76" s="116"/>
      <c r="CV76" s="213"/>
      <c r="CW76" s="128">
        <f t="shared" si="20"/>
        <v>0</v>
      </c>
      <c r="CX76" s="214">
        <f t="shared" si="21"/>
        <v>0</v>
      </c>
      <c r="CY76" s="171"/>
      <c r="CZ76" s="171"/>
      <c r="DA76" s="171"/>
      <c r="DB76" s="171"/>
      <c r="DC76" s="171"/>
      <c r="DD76" s="171"/>
      <c r="DE76" s="171"/>
      <c r="DF76" s="171"/>
      <c r="DG76" s="171"/>
      <c r="DH76" s="171"/>
      <c r="DI76" s="171"/>
      <c r="DJ76" s="171"/>
      <c r="DK76" s="128">
        <f t="shared" si="22"/>
        <v>0</v>
      </c>
      <c r="DL76" s="158" t="str">
        <f t="shared" si="23"/>
        <v>#DIV/0!</v>
      </c>
    </row>
    <row r="77" ht="15.75" customHeight="1">
      <c r="A77" s="131">
        <v>68.0</v>
      </c>
      <c r="B77" s="161" t="s">
        <v>187</v>
      </c>
      <c r="C77" s="162" t="s">
        <v>188</v>
      </c>
      <c r="D77" s="98">
        <f t="shared" si="8"/>
        <v>11</v>
      </c>
      <c r="E77" s="130">
        <f t="shared" si="9"/>
        <v>31.42857143</v>
      </c>
      <c r="F77" s="114">
        <f t="shared" si="10"/>
        <v>31.42857143</v>
      </c>
      <c r="G77" s="149" t="str">
        <f t="shared" si="11"/>
        <v>  </v>
      </c>
      <c r="H77" s="265"/>
      <c r="I77" s="265"/>
      <c r="J77" s="267"/>
      <c r="K77" s="267"/>
      <c r="L77" s="268"/>
      <c r="M77" s="139">
        <f t="shared" si="12"/>
        <v>0</v>
      </c>
      <c r="N77" s="140" t="str">
        <f t="shared" si="13"/>
        <v>#DIV/0!</v>
      </c>
      <c r="O77" s="116"/>
      <c r="P77" s="116"/>
      <c r="Q77" s="180"/>
      <c r="R77" s="179"/>
      <c r="S77" s="179"/>
      <c r="T77" s="116"/>
      <c r="U77" s="116"/>
      <c r="V77" s="179"/>
      <c r="W77" s="116"/>
      <c r="X77" s="116"/>
      <c r="Y77" s="179"/>
      <c r="Z77" s="185"/>
      <c r="AA77" s="217"/>
      <c r="AB77" s="138">
        <v>1.0</v>
      </c>
      <c r="AC77" s="179"/>
      <c r="AD77" s="182">
        <v>1.0</v>
      </c>
      <c r="AE77" s="116"/>
      <c r="AF77" s="176"/>
      <c r="AG77" s="176"/>
      <c r="AH77" s="176"/>
      <c r="AI77" s="176"/>
      <c r="AJ77" s="139">
        <f t="shared" si="14"/>
        <v>2</v>
      </c>
      <c r="AK77" s="205">
        <f t="shared" si="15"/>
        <v>20</v>
      </c>
      <c r="AL77" s="222"/>
      <c r="AM77" s="116"/>
      <c r="AN77" s="179"/>
      <c r="AO77" s="116"/>
      <c r="AP77" s="116"/>
      <c r="AQ77" s="116"/>
      <c r="AR77" s="116"/>
      <c r="AS77" s="191">
        <v>1.0</v>
      </c>
      <c r="AT77" s="116"/>
      <c r="AU77" s="116"/>
      <c r="AV77" s="116"/>
      <c r="AW77" s="179"/>
      <c r="AX77" s="116"/>
      <c r="AY77" s="116"/>
      <c r="AZ77" s="180"/>
      <c r="BA77" s="180"/>
      <c r="BB77" s="204"/>
      <c r="BC77" s="204"/>
      <c r="BD77" s="181"/>
      <c r="BE77" s="181"/>
      <c r="BF77" s="181"/>
      <c r="BG77" s="139">
        <f t="shared" si="16"/>
        <v>1</v>
      </c>
      <c r="BH77" s="208">
        <f t="shared" si="17"/>
        <v>8.333333333</v>
      </c>
      <c r="BI77" s="116"/>
      <c r="BJ77" s="116"/>
      <c r="BK77" s="180"/>
      <c r="BL77" s="116"/>
      <c r="BM77" s="116"/>
      <c r="BN77" s="116"/>
      <c r="BO77" s="138">
        <v>1.0</v>
      </c>
      <c r="BP77" s="138">
        <v>1.0</v>
      </c>
      <c r="BQ77" s="211"/>
      <c r="BR77" s="166"/>
      <c r="BS77" s="116"/>
      <c r="BT77" s="116"/>
      <c r="BU77" s="43"/>
      <c r="BV77" s="145">
        <v>1.0</v>
      </c>
      <c r="BW77" s="216">
        <v>1.0</v>
      </c>
      <c r="BX77" s="43"/>
      <c r="BY77" s="138">
        <v>1.0</v>
      </c>
      <c r="BZ77" s="165"/>
      <c r="CA77" s="196">
        <v>1.0</v>
      </c>
      <c r="CB77" s="116"/>
      <c r="CC77" s="165"/>
      <c r="CD77" s="165"/>
      <c r="CE77" s="124">
        <f t="shared" si="18"/>
        <v>6</v>
      </c>
      <c r="CF77" s="173">
        <f t="shared" si="19"/>
        <v>54.54545455</v>
      </c>
      <c r="CG77" s="184">
        <v>1.0</v>
      </c>
      <c r="CH77" s="230">
        <v>1.0</v>
      </c>
      <c r="CI77" s="186"/>
      <c r="CJ77" s="186"/>
      <c r="CK77" s="116"/>
      <c r="CL77" s="186"/>
      <c r="CM77" s="223"/>
      <c r="CN77" s="223"/>
      <c r="CO77" s="116"/>
      <c r="CP77" s="116"/>
      <c r="CQ77" s="165"/>
      <c r="CR77" s="165"/>
      <c r="CS77" s="165"/>
      <c r="CT77" s="116"/>
      <c r="CU77" s="165"/>
      <c r="CV77" s="165"/>
      <c r="CW77" s="128">
        <f t="shared" si="20"/>
        <v>2</v>
      </c>
      <c r="CX77" s="214">
        <f t="shared" si="21"/>
        <v>100</v>
      </c>
      <c r="CY77" s="171"/>
      <c r="CZ77" s="171"/>
      <c r="DA77" s="171"/>
      <c r="DB77" s="171"/>
      <c r="DC77" s="171"/>
      <c r="DD77" s="171"/>
      <c r="DE77" s="171"/>
      <c r="DF77" s="171"/>
      <c r="DG77" s="171"/>
      <c r="DH77" s="171"/>
      <c r="DI77" s="171"/>
      <c r="DJ77" s="171"/>
      <c r="DK77" s="128">
        <f t="shared" si="22"/>
        <v>0</v>
      </c>
      <c r="DL77" s="158" t="str">
        <f t="shared" si="23"/>
        <v>#DIV/0!</v>
      </c>
    </row>
    <row r="78" ht="15.75" customHeight="1">
      <c r="A78" s="146">
        <v>69.0</v>
      </c>
      <c r="B78" s="161" t="s">
        <v>189</v>
      </c>
      <c r="C78" s="162" t="s">
        <v>190</v>
      </c>
      <c r="D78" s="98">
        <f t="shared" si="8"/>
        <v>9</v>
      </c>
      <c r="E78" s="130">
        <f t="shared" si="9"/>
        <v>25.71428571</v>
      </c>
      <c r="F78" s="114">
        <f t="shared" si="10"/>
        <v>25.71428571</v>
      </c>
      <c r="G78" s="226">
        <f t="shared" si="11"/>
        <v>25.71428571</v>
      </c>
      <c r="H78" s="265"/>
      <c r="I78" s="265"/>
      <c r="J78" s="265"/>
      <c r="K78" s="265"/>
      <c r="L78" s="266"/>
      <c r="M78" s="139">
        <f t="shared" si="12"/>
        <v>0</v>
      </c>
      <c r="N78" s="140" t="str">
        <f t="shared" si="13"/>
        <v>#DIV/0!</v>
      </c>
      <c r="O78" s="116"/>
      <c r="P78" s="116"/>
      <c r="Q78" s="180"/>
      <c r="R78" s="179"/>
      <c r="S78" s="116"/>
      <c r="T78" s="116"/>
      <c r="U78" s="116"/>
      <c r="V78" s="179"/>
      <c r="W78" s="116"/>
      <c r="X78" s="138">
        <v>1.0</v>
      </c>
      <c r="Y78" s="179"/>
      <c r="Z78" s="185"/>
      <c r="AA78" s="217"/>
      <c r="AB78" s="116"/>
      <c r="AC78" s="179"/>
      <c r="AD78" s="116"/>
      <c r="AE78" s="176"/>
      <c r="AF78" s="176"/>
      <c r="AG78" s="176"/>
      <c r="AH78" s="176"/>
      <c r="AI78" s="176"/>
      <c r="AJ78" s="139">
        <f t="shared" si="14"/>
        <v>1</v>
      </c>
      <c r="AK78" s="205">
        <f t="shared" si="15"/>
        <v>10</v>
      </c>
      <c r="AL78" s="222"/>
      <c r="AM78" s="116"/>
      <c r="AN78" s="179"/>
      <c r="AO78" s="116"/>
      <c r="AP78" s="116"/>
      <c r="AQ78" s="116"/>
      <c r="AR78" s="116"/>
      <c r="AS78" s="191">
        <v>1.0</v>
      </c>
      <c r="AT78" s="116"/>
      <c r="AU78" s="138">
        <v>1.0</v>
      </c>
      <c r="AV78" s="116"/>
      <c r="AW78" s="179"/>
      <c r="AX78" s="116"/>
      <c r="AY78" s="116"/>
      <c r="AZ78" s="180"/>
      <c r="BA78" s="215">
        <v>1.0</v>
      </c>
      <c r="BB78" s="116"/>
      <c r="BC78" s="116"/>
      <c r="BD78" s="194"/>
      <c r="BE78" s="194"/>
      <c r="BF78" s="194"/>
      <c r="BG78" s="139">
        <f t="shared" si="16"/>
        <v>3</v>
      </c>
      <c r="BH78" s="208">
        <f t="shared" si="17"/>
        <v>25</v>
      </c>
      <c r="BI78" s="116"/>
      <c r="BJ78" s="180"/>
      <c r="BK78" s="180"/>
      <c r="BL78" s="116"/>
      <c r="BM78" s="116"/>
      <c r="BN78" s="116"/>
      <c r="BO78" s="116"/>
      <c r="BP78" s="116"/>
      <c r="BQ78" s="211"/>
      <c r="BR78" s="166"/>
      <c r="BS78" s="116"/>
      <c r="BT78" s="138">
        <v>1.0</v>
      </c>
      <c r="BU78" s="145">
        <v>1.0</v>
      </c>
      <c r="BV78" s="145">
        <v>1.0</v>
      </c>
      <c r="BW78" s="198"/>
      <c r="BX78" s="43"/>
      <c r="BY78" s="116"/>
      <c r="BZ78" s="165"/>
      <c r="CA78" s="165"/>
      <c r="CB78" s="165"/>
      <c r="CC78" s="165"/>
      <c r="CD78" s="196">
        <v>1.0</v>
      </c>
      <c r="CE78" s="124">
        <f t="shared" si="18"/>
        <v>4</v>
      </c>
      <c r="CF78" s="173">
        <f t="shared" si="19"/>
        <v>36.36363636</v>
      </c>
      <c r="CG78" s="138">
        <v>1.0</v>
      </c>
      <c r="CH78" s="116"/>
      <c r="CI78" s="186"/>
      <c r="CJ78" s="116"/>
      <c r="CK78" s="231"/>
      <c r="CL78" s="186"/>
      <c r="CM78" s="223"/>
      <c r="CN78" s="223"/>
      <c r="CO78" s="223"/>
      <c r="CP78" s="166"/>
      <c r="CQ78" s="213"/>
      <c r="CR78" s="213"/>
      <c r="CS78" s="213"/>
      <c r="CT78" s="213"/>
      <c r="CU78" s="213"/>
      <c r="CV78" s="213"/>
      <c r="CW78" s="128">
        <f t="shared" si="20"/>
        <v>1</v>
      </c>
      <c r="CX78" s="214">
        <f t="shared" si="21"/>
        <v>50</v>
      </c>
      <c r="CY78" s="171"/>
      <c r="CZ78" s="171"/>
      <c r="DA78" s="171"/>
      <c r="DB78" s="171"/>
      <c r="DC78" s="171"/>
      <c r="DD78" s="171"/>
      <c r="DE78" s="171"/>
      <c r="DF78" s="171"/>
      <c r="DG78" s="171"/>
      <c r="DH78" s="171"/>
      <c r="DI78" s="171"/>
      <c r="DJ78" s="171"/>
      <c r="DK78" s="128">
        <f t="shared" si="22"/>
        <v>0</v>
      </c>
      <c r="DL78" s="158" t="str">
        <f t="shared" si="23"/>
        <v>#DIV/0!</v>
      </c>
    </row>
    <row r="79" ht="15.75" customHeight="1">
      <c r="A79" s="50">
        <v>70.0</v>
      </c>
      <c r="B79" s="111" t="s">
        <v>191</v>
      </c>
      <c r="C79" s="112" t="s">
        <v>192</v>
      </c>
      <c r="D79" s="98">
        <f t="shared" si="8"/>
        <v>21</v>
      </c>
      <c r="E79" s="130">
        <f t="shared" si="9"/>
        <v>60</v>
      </c>
      <c r="F79" s="92" t="str">
        <f t="shared" si="10"/>
        <v>  </v>
      </c>
      <c r="G79" s="149" t="str">
        <f t="shared" si="11"/>
        <v>  </v>
      </c>
      <c r="H79" s="265"/>
      <c r="I79" s="265"/>
      <c r="J79" s="269"/>
      <c r="K79" s="265"/>
      <c r="L79" s="266"/>
      <c r="M79" s="139">
        <f t="shared" si="12"/>
        <v>0</v>
      </c>
      <c r="N79" s="140" t="str">
        <f t="shared" si="13"/>
        <v>#DIV/0!</v>
      </c>
      <c r="O79" s="116"/>
      <c r="P79" s="116"/>
      <c r="Q79" s="116"/>
      <c r="R79" s="179"/>
      <c r="S79" s="179"/>
      <c r="T79" s="116"/>
      <c r="U79" s="116"/>
      <c r="V79" s="179"/>
      <c r="W79" s="138">
        <v>1.0</v>
      </c>
      <c r="X79" s="138">
        <v>1.0</v>
      </c>
      <c r="Y79" s="179"/>
      <c r="Z79" s="210">
        <v>1.0</v>
      </c>
      <c r="AA79" s="187">
        <v>1.0</v>
      </c>
      <c r="AB79" s="138">
        <v>1.0</v>
      </c>
      <c r="AC79" s="184">
        <v>1.0</v>
      </c>
      <c r="AD79" s="116"/>
      <c r="AE79" s="116"/>
      <c r="AF79" s="182">
        <v>1.0</v>
      </c>
      <c r="AG79" s="182">
        <v>1.0</v>
      </c>
      <c r="AH79" s="116"/>
      <c r="AI79" s="116"/>
      <c r="AJ79" s="139">
        <f t="shared" si="14"/>
        <v>8</v>
      </c>
      <c r="AK79" s="205">
        <f t="shared" si="15"/>
        <v>80</v>
      </c>
      <c r="AL79" s="116"/>
      <c r="AM79" s="138">
        <v>1.0</v>
      </c>
      <c r="AN79" s="184">
        <v>1.0</v>
      </c>
      <c r="AO79" s="138">
        <v>1.0</v>
      </c>
      <c r="AP79" s="179"/>
      <c r="AQ79" s="116"/>
      <c r="AR79" s="116"/>
      <c r="AS79" s="166"/>
      <c r="AT79" s="116"/>
      <c r="AU79" s="116"/>
      <c r="AV79" s="116"/>
      <c r="AW79" s="184">
        <v>1.0</v>
      </c>
      <c r="AX79" s="116"/>
      <c r="AY79" s="116"/>
      <c r="AZ79" s="116"/>
      <c r="BA79" s="215">
        <v>1.0</v>
      </c>
      <c r="BB79" s="218">
        <v>1.0</v>
      </c>
      <c r="BC79" s="204"/>
      <c r="BD79" s="181"/>
      <c r="BE79" s="181"/>
      <c r="BF79" s="181"/>
      <c r="BG79" s="139">
        <f t="shared" si="16"/>
        <v>6</v>
      </c>
      <c r="BH79" s="208">
        <f t="shared" si="17"/>
        <v>50</v>
      </c>
      <c r="BI79" s="116"/>
      <c r="BJ79" s="116"/>
      <c r="BK79" s="180"/>
      <c r="BL79" s="138">
        <v>1.0</v>
      </c>
      <c r="BM79" s="116"/>
      <c r="BN79" s="116"/>
      <c r="BO79" s="138">
        <v>1.0</v>
      </c>
      <c r="BP79" s="116"/>
      <c r="BQ79" s="116"/>
      <c r="BR79" s="166"/>
      <c r="BS79" s="138">
        <v>1.0</v>
      </c>
      <c r="BT79" s="210">
        <v>1.0</v>
      </c>
      <c r="BU79" s="241">
        <v>1.0</v>
      </c>
      <c r="BV79" s="116"/>
      <c r="BW79" s="216">
        <v>1.0</v>
      </c>
      <c r="BX79" s="116"/>
      <c r="BY79" s="116"/>
      <c r="BZ79" s="165"/>
      <c r="CA79" s="116"/>
      <c r="CB79" s="116"/>
      <c r="CC79" s="165"/>
      <c r="CD79" s="196">
        <v>1.0</v>
      </c>
      <c r="CE79" s="124">
        <f t="shared" si="18"/>
        <v>7</v>
      </c>
      <c r="CF79" s="173">
        <f t="shared" si="19"/>
        <v>63.63636364</v>
      </c>
      <c r="CG79" s="116"/>
      <c r="CH79" s="116"/>
      <c r="CI79" s="186"/>
      <c r="CJ79" s="186"/>
      <c r="CK79" s="116"/>
      <c r="CL79" s="186"/>
      <c r="CM79" s="116"/>
      <c r="CN79" s="223"/>
      <c r="CO79" s="116"/>
      <c r="CP79" s="166"/>
      <c r="CQ79" s="213"/>
      <c r="CR79" s="213"/>
      <c r="CS79" s="213"/>
      <c r="CT79" s="116"/>
      <c r="CU79" s="116"/>
      <c r="CV79" s="213"/>
      <c r="CW79" s="128">
        <f t="shared" si="20"/>
        <v>0</v>
      </c>
      <c r="CX79" s="214">
        <f t="shared" si="21"/>
        <v>0</v>
      </c>
      <c r="CY79" s="171"/>
      <c r="CZ79" s="171"/>
      <c r="DA79" s="171"/>
      <c r="DB79" s="171"/>
      <c r="DC79" s="171"/>
      <c r="DD79" s="171"/>
      <c r="DE79" s="171"/>
      <c r="DF79" s="171"/>
      <c r="DG79" s="171"/>
      <c r="DH79" s="171"/>
      <c r="DI79" s="171"/>
      <c r="DJ79" s="171"/>
      <c r="DK79" s="128">
        <f t="shared" si="22"/>
        <v>0</v>
      </c>
      <c r="DL79" s="158" t="str">
        <f t="shared" si="23"/>
        <v>#DIV/0!</v>
      </c>
    </row>
    <row r="80" ht="15.75" customHeight="1">
      <c r="A80" s="131">
        <v>71.0</v>
      </c>
      <c r="B80" s="111" t="s">
        <v>193</v>
      </c>
      <c r="C80" s="112" t="s">
        <v>194</v>
      </c>
      <c r="D80" s="98">
        <f t="shared" si="8"/>
        <v>20</v>
      </c>
      <c r="E80" s="130">
        <f t="shared" si="9"/>
        <v>57.14285714</v>
      </c>
      <c r="F80" s="114" t="str">
        <f t="shared" si="10"/>
        <v>  </v>
      </c>
      <c r="G80" s="149" t="str">
        <f t="shared" si="11"/>
        <v>  </v>
      </c>
      <c r="H80" s="265"/>
      <c r="I80" s="265"/>
      <c r="J80" s="265"/>
      <c r="K80" s="265"/>
      <c r="L80" s="266"/>
      <c r="M80" s="139">
        <f t="shared" si="12"/>
        <v>0</v>
      </c>
      <c r="N80" s="140" t="str">
        <f t="shared" si="13"/>
        <v>#DIV/0!</v>
      </c>
      <c r="O80" s="116"/>
      <c r="P80" s="116"/>
      <c r="Q80" s="116"/>
      <c r="R80" s="179"/>
      <c r="S80" s="179"/>
      <c r="T80" s="116"/>
      <c r="U80" s="116"/>
      <c r="V80" s="179"/>
      <c r="W80" s="116"/>
      <c r="X80" s="116"/>
      <c r="Y80" s="179"/>
      <c r="Z80" s="185"/>
      <c r="AA80" s="217"/>
      <c r="AB80" s="116"/>
      <c r="AC80" s="179"/>
      <c r="AD80" s="176"/>
      <c r="AE80" s="116"/>
      <c r="AF80" s="176"/>
      <c r="AG80" s="182">
        <v>1.0</v>
      </c>
      <c r="AH80" s="116"/>
      <c r="AI80" s="116"/>
      <c r="AJ80" s="139">
        <f t="shared" si="14"/>
        <v>1</v>
      </c>
      <c r="AK80" s="205">
        <f t="shared" si="15"/>
        <v>10</v>
      </c>
      <c r="AL80" s="116"/>
      <c r="AM80" s="138">
        <v>1.0</v>
      </c>
      <c r="AN80" s="179"/>
      <c r="AO80" s="138">
        <v>1.0</v>
      </c>
      <c r="AP80" s="179"/>
      <c r="AQ80" s="116"/>
      <c r="AR80" s="116"/>
      <c r="AS80" s="191">
        <v>1.0</v>
      </c>
      <c r="AT80" s="116"/>
      <c r="AU80" s="138">
        <v>1.0</v>
      </c>
      <c r="AV80" s="138">
        <v>1.0</v>
      </c>
      <c r="AW80" s="184">
        <v>1.0</v>
      </c>
      <c r="AX80" s="116"/>
      <c r="AY80" s="116"/>
      <c r="AZ80" s="116"/>
      <c r="BA80" s="215">
        <v>1.0</v>
      </c>
      <c r="BB80" s="218">
        <v>1.0</v>
      </c>
      <c r="BC80" s="204"/>
      <c r="BD80" s="181"/>
      <c r="BE80" s="181"/>
      <c r="BF80" s="181"/>
      <c r="BG80" s="139">
        <f t="shared" si="16"/>
        <v>8</v>
      </c>
      <c r="BH80" s="208">
        <f t="shared" si="17"/>
        <v>66.66666667</v>
      </c>
      <c r="BI80" s="116"/>
      <c r="BJ80" s="116"/>
      <c r="BK80" s="180"/>
      <c r="BL80" s="138">
        <v>1.0</v>
      </c>
      <c r="BM80" s="116"/>
      <c r="BN80" s="116"/>
      <c r="BO80" s="138">
        <v>1.0</v>
      </c>
      <c r="BP80" s="138">
        <v>1.0</v>
      </c>
      <c r="BQ80" s="116"/>
      <c r="BR80" s="116"/>
      <c r="BS80" s="138">
        <v>1.0</v>
      </c>
      <c r="BT80" s="138">
        <v>1.0</v>
      </c>
      <c r="BU80" s="241">
        <v>1.0</v>
      </c>
      <c r="BV80" s="138">
        <v>1.0</v>
      </c>
      <c r="BW80" s="198"/>
      <c r="BX80" s="116"/>
      <c r="BY80" s="138">
        <v>1.0</v>
      </c>
      <c r="BZ80" s="165"/>
      <c r="CA80" s="116"/>
      <c r="CB80" s="116"/>
      <c r="CC80" s="165"/>
      <c r="CD80" s="196">
        <v>1.0</v>
      </c>
      <c r="CE80" s="124">
        <f t="shared" si="18"/>
        <v>9</v>
      </c>
      <c r="CF80" s="173">
        <f t="shared" si="19"/>
        <v>81.81818182</v>
      </c>
      <c r="CG80" s="138">
        <v>1.0</v>
      </c>
      <c r="CH80" s="138">
        <v>1.0</v>
      </c>
      <c r="CI80" s="116"/>
      <c r="CJ80" s="186"/>
      <c r="CK80" s="116"/>
      <c r="CL80" s="186"/>
      <c r="CM80" s="116"/>
      <c r="CN80" s="116"/>
      <c r="CO80" s="116"/>
      <c r="CP80" s="166"/>
      <c r="CQ80" s="213"/>
      <c r="CR80" s="213"/>
      <c r="CS80" s="116"/>
      <c r="CT80" s="116"/>
      <c r="CU80" s="116"/>
      <c r="CV80" s="213"/>
      <c r="CW80" s="128">
        <f t="shared" si="20"/>
        <v>2</v>
      </c>
      <c r="CX80" s="214">
        <f t="shared" si="21"/>
        <v>100</v>
      </c>
      <c r="CY80" s="171"/>
      <c r="CZ80" s="171"/>
      <c r="DA80" s="171"/>
      <c r="DB80" s="171"/>
      <c r="DC80" s="171"/>
      <c r="DD80" s="171"/>
      <c r="DE80" s="171"/>
      <c r="DF80" s="171"/>
      <c r="DG80" s="171"/>
      <c r="DH80" s="171"/>
      <c r="DI80" s="171"/>
      <c r="DJ80" s="171"/>
      <c r="DK80" s="128">
        <f t="shared" si="22"/>
        <v>0</v>
      </c>
      <c r="DL80" s="158" t="str">
        <f t="shared" si="23"/>
        <v>#DIV/0!</v>
      </c>
    </row>
    <row r="81" ht="15.75" customHeight="1">
      <c r="A81" s="146">
        <v>72.0</v>
      </c>
      <c r="B81" s="111" t="s">
        <v>195</v>
      </c>
      <c r="C81" s="112" t="s">
        <v>196</v>
      </c>
      <c r="D81" s="98">
        <f t="shared" si="8"/>
        <v>3</v>
      </c>
      <c r="E81" s="130">
        <f t="shared" si="9"/>
        <v>8.571428571</v>
      </c>
      <c r="F81" s="114">
        <f t="shared" si="10"/>
        <v>8.571428571</v>
      </c>
      <c r="G81" s="226">
        <f t="shared" si="11"/>
        <v>8.571428571</v>
      </c>
      <c r="H81" s="265"/>
      <c r="I81" s="265"/>
      <c r="J81" s="270"/>
      <c r="K81" s="265"/>
      <c r="L81" s="266"/>
      <c r="M81" s="139">
        <f t="shared" si="12"/>
        <v>0</v>
      </c>
      <c r="N81" s="140" t="str">
        <f t="shared" si="13"/>
        <v>#DIV/0!</v>
      </c>
      <c r="O81" s="116"/>
      <c r="P81" s="116"/>
      <c r="Q81" s="180"/>
      <c r="R81" s="179"/>
      <c r="S81" s="116"/>
      <c r="T81" s="116"/>
      <c r="U81" s="116"/>
      <c r="V81" s="179"/>
      <c r="W81" s="116"/>
      <c r="X81" s="116"/>
      <c r="Y81" s="179"/>
      <c r="Z81" s="185"/>
      <c r="AA81" s="217"/>
      <c r="AB81" s="116"/>
      <c r="AC81" s="179"/>
      <c r="AD81" s="116"/>
      <c r="AE81" s="116"/>
      <c r="AF81" s="176"/>
      <c r="AG81" s="176"/>
      <c r="AH81" s="116"/>
      <c r="AI81" s="176"/>
      <c r="AJ81" s="139">
        <f t="shared" si="14"/>
        <v>0</v>
      </c>
      <c r="AK81" s="205">
        <f t="shared" si="15"/>
        <v>0</v>
      </c>
      <c r="AL81" s="116"/>
      <c r="AM81" s="116"/>
      <c r="AN81" s="179"/>
      <c r="AO81" s="116"/>
      <c r="AP81" s="179"/>
      <c r="AQ81" s="116"/>
      <c r="AR81" s="116"/>
      <c r="AS81" s="166"/>
      <c r="AT81" s="116"/>
      <c r="AU81" s="116"/>
      <c r="AV81" s="116"/>
      <c r="AW81" s="179"/>
      <c r="AX81" s="116"/>
      <c r="AY81" s="116"/>
      <c r="AZ81" s="180"/>
      <c r="BA81" s="215">
        <v>1.0</v>
      </c>
      <c r="BB81" s="116"/>
      <c r="BC81" s="204"/>
      <c r="BD81" s="181"/>
      <c r="BE81" s="181"/>
      <c r="BF81" s="181"/>
      <c r="BG81" s="139">
        <f t="shared" si="16"/>
        <v>1</v>
      </c>
      <c r="BH81" s="208">
        <f t="shared" si="17"/>
        <v>8.333333333</v>
      </c>
      <c r="BI81" s="116"/>
      <c r="BJ81" s="116"/>
      <c r="BK81" s="180"/>
      <c r="BL81" s="116"/>
      <c r="BM81" s="116"/>
      <c r="BN81" s="116"/>
      <c r="BO81" s="116"/>
      <c r="BP81" s="116"/>
      <c r="BQ81" s="116"/>
      <c r="BR81" s="166"/>
      <c r="BS81" s="116"/>
      <c r="BT81" s="210">
        <v>1.0</v>
      </c>
      <c r="BU81" s="145">
        <v>1.0</v>
      </c>
      <c r="BV81" s="43"/>
      <c r="BW81" s="198"/>
      <c r="BX81" s="43"/>
      <c r="BY81" s="116"/>
      <c r="BZ81" s="165"/>
      <c r="CA81" s="165"/>
      <c r="CB81" s="165"/>
      <c r="CC81" s="165"/>
      <c r="CD81" s="165"/>
      <c r="CE81" s="124">
        <f t="shared" si="18"/>
        <v>2</v>
      </c>
      <c r="CF81" s="173">
        <f t="shared" si="19"/>
        <v>18.18181818</v>
      </c>
      <c r="CG81" s="179"/>
      <c r="CH81" s="238"/>
      <c r="CI81" s="186"/>
      <c r="CJ81" s="186"/>
      <c r="CK81" s="116"/>
      <c r="CL81" s="186"/>
      <c r="CM81" s="223"/>
      <c r="CN81" s="223"/>
      <c r="CO81" s="223"/>
      <c r="CP81" s="166"/>
      <c r="CQ81" s="213"/>
      <c r="CR81" s="213"/>
      <c r="CS81" s="213"/>
      <c r="CT81" s="213"/>
      <c r="CU81" s="213"/>
      <c r="CV81" s="213"/>
      <c r="CW81" s="128">
        <f t="shared" si="20"/>
        <v>0</v>
      </c>
      <c r="CX81" s="214">
        <f t="shared" si="21"/>
        <v>0</v>
      </c>
      <c r="CY81" s="171"/>
      <c r="CZ81" s="171"/>
      <c r="DA81" s="171"/>
      <c r="DB81" s="171"/>
      <c r="DC81" s="171"/>
      <c r="DD81" s="171"/>
      <c r="DE81" s="171"/>
      <c r="DF81" s="171"/>
      <c r="DG81" s="171"/>
      <c r="DH81" s="171"/>
      <c r="DI81" s="171"/>
      <c r="DJ81" s="171"/>
      <c r="DK81" s="128">
        <f t="shared" si="22"/>
        <v>0</v>
      </c>
      <c r="DL81" s="158" t="str">
        <f t="shared" si="23"/>
        <v>#DIV/0!</v>
      </c>
    </row>
    <row r="82" ht="15.75" customHeight="1">
      <c r="A82" s="50">
        <v>73.0</v>
      </c>
      <c r="B82" s="111" t="s">
        <v>197</v>
      </c>
      <c r="C82" s="112" t="s">
        <v>198</v>
      </c>
      <c r="D82" s="98">
        <f t="shared" si="8"/>
        <v>5</v>
      </c>
      <c r="E82" s="130">
        <f t="shared" si="9"/>
        <v>14.28571429</v>
      </c>
      <c r="F82" s="114">
        <f t="shared" si="10"/>
        <v>14.28571429</v>
      </c>
      <c r="G82" s="226">
        <f t="shared" si="11"/>
        <v>14.28571429</v>
      </c>
      <c r="H82" s="265"/>
      <c r="I82" s="265"/>
      <c r="J82" s="265"/>
      <c r="K82" s="267"/>
      <c r="L82" s="268"/>
      <c r="M82" s="139">
        <f t="shared" si="12"/>
        <v>0</v>
      </c>
      <c r="N82" s="140" t="str">
        <f t="shared" si="13"/>
        <v>#DIV/0!</v>
      </c>
      <c r="O82" s="116"/>
      <c r="P82" s="116"/>
      <c r="Q82" s="116"/>
      <c r="R82" s="179"/>
      <c r="S82" s="179"/>
      <c r="T82" s="116"/>
      <c r="U82" s="116"/>
      <c r="V82" s="179"/>
      <c r="W82" s="116"/>
      <c r="X82" s="116"/>
      <c r="Y82" s="179"/>
      <c r="Z82" s="185"/>
      <c r="AA82" s="187">
        <v>1.0</v>
      </c>
      <c r="AB82" s="138">
        <v>1.0</v>
      </c>
      <c r="AC82" s="184">
        <v>1.0</v>
      </c>
      <c r="AD82" s="176"/>
      <c r="AE82" s="116"/>
      <c r="AF82" s="176"/>
      <c r="AG82" s="176"/>
      <c r="AH82" s="176"/>
      <c r="AI82" s="116"/>
      <c r="AJ82" s="139">
        <f t="shared" si="14"/>
        <v>3</v>
      </c>
      <c r="AK82" s="205">
        <f t="shared" si="15"/>
        <v>30</v>
      </c>
      <c r="AL82" s="116"/>
      <c r="AM82" s="116"/>
      <c r="AN82" s="179"/>
      <c r="AO82" s="116"/>
      <c r="AP82" s="179"/>
      <c r="AQ82" s="116"/>
      <c r="AR82" s="116"/>
      <c r="AS82" s="166"/>
      <c r="AT82" s="116"/>
      <c r="AU82" s="138">
        <v>1.0</v>
      </c>
      <c r="AV82" s="116"/>
      <c r="AW82" s="179"/>
      <c r="AX82" s="116"/>
      <c r="AY82" s="116"/>
      <c r="AZ82" s="180"/>
      <c r="BA82" s="180"/>
      <c r="BB82" s="204"/>
      <c r="BC82" s="204"/>
      <c r="BD82" s="181"/>
      <c r="BE82" s="181"/>
      <c r="BF82" s="181"/>
      <c r="BG82" s="139">
        <f t="shared" si="16"/>
        <v>1</v>
      </c>
      <c r="BH82" s="208">
        <f t="shared" si="17"/>
        <v>8.333333333</v>
      </c>
      <c r="BI82" s="116"/>
      <c r="BJ82" s="180"/>
      <c r="BK82" s="180"/>
      <c r="BL82" s="116"/>
      <c r="BM82" s="116"/>
      <c r="BN82" s="116"/>
      <c r="BO82" s="116"/>
      <c r="BP82" s="116"/>
      <c r="BQ82" s="211"/>
      <c r="BR82" s="166"/>
      <c r="BS82" s="165"/>
      <c r="BT82" s="116"/>
      <c r="BU82" s="43"/>
      <c r="BV82" s="43"/>
      <c r="BW82" s="198"/>
      <c r="BX82" s="116"/>
      <c r="BY82" s="116"/>
      <c r="BZ82" s="165"/>
      <c r="CA82" s="116"/>
      <c r="CB82" s="116"/>
      <c r="CC82" s="165"/>
      <c r="CD82" s="165"/>
      <c r="CE82" s="124">
        <f t="shared" si="18"/>
        <v>0</v>
      </c>
      <c r="CF82" s="173">
        <f t="shared" si="19"/>
        <v>0</v>
      </c>
      <c r="CG82" s="184">
        <v>1.0</v>
      </c>
      <c r="CH82" s="116"/>
      <c r="CI82" s="186"/>
      <c r="CJ82" s="186"/>
      <c r="CK82" s="116"/>
      <c r="CL82" s="186"/>
      <c r="CM82" s="223"/>
      <c r="CN82" s="223"/>
      <c r="CO82" s="116"/>
      <c r="CP82" s="166"/>
      <c r="CQ82" s="213"/>
      <c r="CR82" s="213"/>
      <c r="CS82" s="116"/>
      <c r="CT82" s="213"/>
      <c r="CU82" s="213"/>
      <c r="CV82" s="213"/>
      <c r="CW82" s="128">
        <f t="shared" si="20"/>
        <v>1</v>
      </c>
      <c r="CX82" s="214">
        <f t="shared" si="21"/>
        <v>50</v>
      </c>
      <c r="CY82" s="171"/>
      <c r="CZ82" s="171"/>
      <c r="DA82" s="171"/>
      <c r="DB82" s="171"/>
      <c r="DC82" s="171"/>
      <c r="DD82" s="171"/>
      <c r="DE82" s="171"/>
      <c r="DF82" s="171"/>
      <c r="DG82" s="171"/>
      <c r="DH82" s="171"/>
      <c r="DI82" s="171"/>
      <c r="DJ82" s="171"/>
      <c r="DK82" s="128">
        <f t="shared" si="22"/>
        <v>0</v>
      </c>
      <c r="DL82" s="158" t="str">
        <f t="shared" si="23"/>
        <v>#DIV/0!</v>
      </c>
    </row>
    <row r="83" ht="15.75" customHeight="1">
      <c r="A83" s="131">
        <v>74.0</v>
      </c>
      <c r="B83" s="111" t="s">
        <v>199</v>
      </c>
      <c r="C83" s="112" t="s">
        <v>200</v>
      </c>
      <c r="D83" s="98">
        <f t="shared" si="8"/>
        <v>6</v>
      </c>
      <c r="E83" s="130">
        <f t="shared" si="9"/>
        <v>17.14285714</v>
      </c>
      <c r="F83" s="114">
        <f t="shared" si="10"/>
        <v>17.14285714</v>
      </c>
      <c r="G83" s="226">
        <f t="shared" si="11"/>
        <v>17.14285714</v>
      </c>
      <c r="H83" s="265"/>
      <c r="I83" s="265"/>
      <c r="J83" s="267"/>
      <c r="K83" s="267"/>
      <c r="L83" s="268"/>
      <c r="M83" s="139">
        <f t="shared" si="12"/>
        <v>0</v>
      </c>
      <c r="N83" s="140" t="str">
        <f t="shared" si="13"/>
        <v>#DIV/0!</v>
      </c>
      <c r="O83" s="116"/>
      <c r="P83" s="116"/>
      <c r="Q83" s="116"/>
      <c r="R83" s="179"/>
      <c r="S83" s="179"/>
      <c r="T83" s="116"/>
      <c r="U83" s="116"/>
      <c r="V83" s="179"/>
      <c r="W83" s="116"/>
      <c r="X83" s="116"/>
      <c r="Y83" s="179"/>
      <c r="Z83" s="185"/>
      <c r="AA83" s="217"/>
      <c r="AB83" s="138">
        <v>1.0</v>
      </c>
      <c r="AC83" s="179"/>
      <c r="AD83" s="182">
        <v>1.0</v>
      </c>
      <c r="AE83" s="138">
        <v>1.0</v>
      </c>
      <c r="AF83" s="176"/>
      <c r="AG83" s="176"/>
      <c r="AH83" s="176"/>
      <c r="AI83" s="176"/>
      <c r="AJ83" s="139">
        <f t="shared" si="14"/>
        <v>3</v>
      </c>
      <c r="AK83" s="205">
        <f t="shared" si="15"/>
        <v>30</v>
      </c>
      <c r="AL83" s="116"/>
      <c r="AM83" s="116"/>
      <c r="AN83" s="179"/>
      <c r="AO83" s="116"/>
      <c r="AP83" s="179"/>
      <c r="AQ83" s="116"/>
      <c r="AR83" s="138">
        <v>1.0</v>
      </c>
      <c r="AS83" s="191">
        <v>1.0</v>
      </c>
      <c r="AT83" s="116"/>
      <c r="AU83" s="116"/>
      <c r="AV83" s="116"/>
      <c r="AW83" s="179"/>
      <c r="AX83" s="116"/>
      <c r="AY83" s="116"/>
      <c r="AZ83" s="180"/>
      <c r="BA83" s="180"/>
      <c r="BB83" s="204"/>
      <c r="BC83" s="204"/>
      <c r="BD83" s="181"/>
      <c r="BE83" s="181"/>
      <c r="BF83" s="181"/>
      <c r="BG83" s="139">
        <f t="shared" si="16"/>
        <v>2</v>
      </c>
      <c r="BH83" s="208">
        <f t="shared" si="17"/>
        <v>16.66666667</v>
      </c>
      <c r="BI83" s="116"/>
      <c r="BJ83" s="116"/>
      <c r="BK83" s="180"/>
      <c r="BL83" s="116"/>
      <c r="BM83" s="116"/>
      <c r="BN83" s="116"/>
      <c r="BO83" s="116"/>
      <c r="BP83" s="116"/>
      <c r="BQ83" s="211"/>
      <c r="BR83" s="166"/>
      <c r="BS83" s="165"/>
      <c r="BT83" s="116"/>
      <c r="BU83" s="43"/>
      <c r="BV83" s="43"/>
      <c r="BW83" s="198"/>
      <c r="BX83" s="116"/>
      <c r="BY83" s="116"/>
      <c r="BZ83" s="165"/>
      <c r="CA83" s="116"/>
      <c r="CB83" s="116"/>
      <c r="CC83" s="165"/>
      <c r="CD83" s="165"/>
      <c r="CE83" s="124">
        <f t="shared" si="18"/>
        <v>0</v>
      </c>
      <c r="CF83" s="173">
        <f t="shared" si="19"/>
        <v>0</v>
      </c>
      <c r="CG83" s="184">
        <v>1.0</v>
      </c>
      <c r="CH83" s="116"/>
      <c r="CI83" s="186"/>
      <c r="CJ83" s="116"/>
      <c r="CK83" s="231"/>
      <c r="CL83" s="186"/>
      <c r="CM83" s="116"/>
      <c r="CN83" s="223"/>
      <c r="CO83" s="223"/>
      <c r="CP83" s="166"/>
      <c r="CQ83" s="213"/>
      <c r="CR83" s="213"/>
      <c r="CS83" s="213"/>
      <c r="CT83" s="213"/>
      <c r="CU83" s="213"/>
      <c r="CV83" s="213"/>
      <c r="CW83" s="128">
        <f t="shared" si="20"/>
        <v>1</v>
      </c>
      <c r="CX83" s="214">
        <f t="shared" si="21"/>
        <v>50</v>
      </c>
      <c r="CY83" s="171"/>
      <c r="CZ83" s="171"/>
      <c r="DA83" s="171"/>
      <c r="DB83" s="171"/>
      <c r="DC83" s="171"/>
      <c r="DD83" s="171"/>
      <c r="DE83" s="171"/>
      <c r="DF83" s="171"/>
      <c r="DG83" s="171"/>
      <c r="DH83" s="171"/>
      <c r="DI83" s="171"/>
      <c r="DJ83" s="171"/>
      <c r="DK83" s="128">
        <f t="shared" si="22"/>
        <v>0</v>
      </c>
      <c r="DL83" s="158" t="str">
        <f t="shared" si="23"/>
        <v>#DIV/0!</v>
      </c>
    </row>
    <row r="84" ht="15.75" customHeight="1">
      <c r="A84" s="146">
        <v>75.0</v>
      </c>
      <c r="B84" s="111" t="s">
        <v>201</v>
      </c>
      <c r="C84" s="112" t="s">
        <v>202</v>
      </c>
      <c r="D84" s="98">
        <f t="shared" si="8"/>
        <v>11</v>
      </c>
      <c r="E84" s="130">
        <f t="shared" si="9"/>
        <v>31.42857143</v>
      </c>
      <c r="F84" s="114">
        <f t="shared" si="10"/>
        <v>31.42857143</v>
      </c>
      <c r="G84" s="226" t="str">
        <f t="shared" si="11"/>
        <v>  </v>
      </c>
      <c r="H84" s="265"/>
      <c r="I84" s="265"/>
      <c r="J84" s="265"/>
      <c r="K84" s="265"/>
      <c r="L84" s="266"/>
      <c r="M84" s="139">
        <f t="shared" si="12"/>
        <v>0</v>
      </c>
      <c r="N84" s="140" t="str">
        <f t="shared" si="13"/>
        <v>#DIV/0!</v>
      </c>
      <c r="O84" s="116"/>
      <c r="P84" s="116"/>
      <c r="Q84" s="116"/>
      <c r="R84" s="163"/>
      <c r="S84" s="163"/>
      <c r="T84" s="116"/>
      <c r="U84" s="116"/>
      <c r="V84" s="163"/>
      <c r="W84" s="116"/>
      <c r="X84" s="116"/>
      <c r="Y84" s="163"/>
      <c r="Z84" s="210">
        <v>1.0</v>
      </c>
      <c r="AA84" s="187">
        <v>1.0</v>
      </c>
      <c r="AB84" s="138">
        <v>1.0</v>
      </c>
      <c r="AC84" s="262">
        <v>1.0</v>
      </c>
      <c r="AD84" s="163"/>
      <c r="AE84" s="116"/>
      <c r="AF84" s="163"/>
      <c r="AG84" s="163"/>
      <c r="AH84" s="163"/>
      <c r="AI84" s="163"/>
      <c r="AJ84" s="139">
        <f t="shared" si="14"/>
        <v>4</v>
      </c>
      <c r="AK84" s="119">
        <f t="shared" si="15"/>
        <v>40</v>
      </c>
      <c r="AL84" s="163"/>
      <c r="AM84" s="163"/>
      <c r="AN84" s="179"/>
      <c r="AO84" s="116"/>
      <c r="AP84" s="116"/>
      <c r="AQ84" s="116"/>
      <c r="AR84" s="138">
        <v>1.0</v>
      </c>
      <c r="AS84" s="166"/>
      <c r="AT84" s="116"/>
      <c r="AU84" s="138">
        <v>1.0</v>
      </c>
      <c r="AV84" s="138">
        <v>1.0</v>
      </c>
      <c r="AW84" s="163"/>
      <c r="AX84" s="116"/>
      <c r="AY84" s="116"/>
      <c r="AZ84" s="180"/>
      <c r="BA84" s="180"/>
      <c r="BB84" s="116"/>
      <c r="BC84" s="180"/>
      <c r="BD84" s="181"/>
      <c r="BE84" s="181"/>
      <c r="BF84" s="181"/>
      <c r="BG84" s="139">
        <f t="shared" si="16"/>
        <v>3</v>
      </c>
      <c r="BH84" s="272">
        <f t="shared" si="17"/>
        <v>25</v>
      </c>
      <c r="BI84" s="116"/>
      <c r="BJ84" s="180"/>
      <c r="BK84" s="180"/>
      <c r="BL84" s="116"/>
      <c r="BM84" s="116"/>
      <c r="BN84" s="116"/>
      <c r="BO84" s="116"/>
      <c r="BP84" s="116"/>
      <c r="BQ84" s="211"/>
      <c r="BR84" s="166"/>
      <c r="BS84" s="165"/>
      <c r="BT84" s="116"/>
      <c r="BU84" s="241">
        <v>1.0</v>
      </c>
      <c r="BV84" s="116"/>
      <c r="BW84" s="273">
        <v>1.0</v>
      </c>
      <c r="BX84" s="116"/>
      <c r="BY84" s="116"/>
      <c r="BZ84" s="116"/>
      <c r="CA84" s="138">
        <v>1.0</v>
      </c>
      <c r="CB84" s="116"/>
      <c r="CC84" s="116"/>
      <c r="CD84" s="116"/>
      <c r="CE84" s="124">
        <f t="shared" si="18"/>
        <v>3</v>
      </c>
      <c r="CF84" s="44">
        <f t="shared" si="19"/>
        <v>27.27272727</v>
      </c>
      <c r="CG84" s="138">
        <v>1.0</v>
      </c>
      <c r="CH84" s="116"/>
      <c r="CI84" s="116"/>
      <c r="CJ84" s="163"/>
      <c r="CK84" s="163"/>
      <c r="CL84" s="163"/>
      <c r="CM84" s="163"/>
      <c r="CN84" s="163"/>
      <c r="CO84" s="163"/>
      <c r="CP84" s="166"/>
      <c r="CQ84" s="166"/>
      <c r="CR84" s="166"/>
      <c r="CS84" s="166"/>
      <c r="CT84" s="116"/>
      <c r="CU84" s="166"/>
      <c r="CV84" s="166"/>
      <c r="CW84" s="128">
        <f t="shared" si="20"/>
        <v>1</v>
      </c>
      <c r="CX84" s="214">
        <f t="shared" si="21"/>
        <v>50</v>
      </c>
      <c r="CY84" s="171"/>
      <c r="CZ84" s="171"/>
      <c r="DA84" s="171"/>
      <c r="DB84" s="171"/>
      <c r="DC84" s="171"/>
      <c r="DD84" s="171"/>
      <c r="DE84" s="171"/>
      <c r="DF84" s="171"/>
      <c r="DG84" s="171"/>
      <c r="DH84" s="171"/>
      <c r="DI84" s="171"/>
      <c r="DJ84" s="171"/>
      <c r="DK84" s="128">
        <f t="shared" si="22"/>
        <v>0</v>
      </c>
      <c r="DL84" s="158" t="str">
        <f t="shared" si="23"/>
        <v>#DIV/0!</v>
      </c>
    </row>
    <row r="85" ht="15.75" customHeight="1">
      <c r="A85" s="50">
        <v>76.0</v>
      </c>
      <c r="B85" s="111" t="s">
        <v>203</v>
      </c>
      <c r="C85" s="112" t="s">
        <v>204</v>
      </c>
      <c r="D85" s="98">
        <f t="shared" si="8"/>
        <v>12</v>
      </c>
      <c r="E85" s="130">
        <f t="shared" si="9"/>
        <v>34.28571429</v>
      </c>
      <c r="F85" s="114">
        <f t="shared" si="10"/>
        <v>34.28571429</v>
      </c>
      <c r="G85" s="149" t="str">
        <f t="shared" si="11"/>
        <v>  </v>
      </c>
      <c r="H85" s="265"/>
      <c r="I85" s="265"/>
      <c r="J85" s="269"/>
      <c r="K85" s="265"/>
      <c r="L85" s="266"/>
      <c r="M85" s="139">
        <f t="shared" si="12"/>
        <v>0</v>
      </c>
      <c r="N85" s="140" t="str">
        <f t="shared" si="13"/>
        <v>#DIV/0!</v>
      </c>
      <c r="O85" s="116"/>
      <c r="P85" s="116"/>
      <c r="Q85" s="116"/>
      <c r="R85" s="163"/>
      <c r="S85" s="163"/>
      <c r="T85" s="116"/>
      <c r="U85" s="116"/>
      <c r="V85" s="163"/>
      <c r="W85" s="116"/>
      <c r="X85" s="116"/>
      <c r="Y85" s="163"/>
      <c r="Z85" s="210">
        <v>1.0</v>
      </c>
      <c r="AA85" s="187">
        <v>1.0</v>
      </c>
      <c r="AB85" s="138">
        <v>1.0</v>
      </c>
      <c r="AC85" s="262">
        <v>1.0</v>
      </c>
      <c r="AD85" s="262">
        <v>1.0</v>
      </c>
      <c r="AE85" s="138">
        <v>1.0</v>
      </c>
      <c r="AF85" s="163"/>
      <c r="AG85" s="163"/>
      <c r="AH85" s="163"/>
      <c r="AI85" s="116"/>
      <c r="AJ85" s="139">
        <f t="shared" si="14"/>
        <v>6</v>
      </c>
      <c r="AK85" s="119">
        <f t="shared" si="15"/>
        <v>60</v>
      </c>
      <c r="AL85" s="116"/>
      <c r="AM85" s="116"/>
      <c r="AN85" s="179"/>
      <c r="AO85" s="116"/>
      <c r="AP85" s="179"/>
      <c r="AQ85" s="116"/>
      <c r="AR85" s="138">
        <v>1.0</v>
      </c>
      <c r="AS85" s="191">
        <v>1.0</v>
      </c>
      <c r="AT85" s="116"/>
      <c r="AU85" s="116"/>
      <c r="AV85" s="116"/>
      <c r="AW85" s="163"/>
      <c r="AX85" s="116"/>
      <c r="AY85" s="116"/>
      <c r="AZ85" s="180"/>
      <c r="BA85" s="180"/>
      <c r="BB85" s="116"/>
      <c r="BC85" s="180"/>
      <c r="BD85" s="181"/>
      <c r="BE85" s="181"/>
      <c r="BF85" s="181"/>
      <c r="BG85" s="139">
        <f t="shared" si="16"/>
        <v>2</v>
      </c>
      <c r="BH85" s="272">
        <f t="shared" si="17"/>
        <v>16.66666667</v>
      </c>
      <c r="BI85" s="116"/>
      <c r="BJ85" s="116"/>
      <c r="BK85" s="180"/>
      <c r="BL85" s="116"/>
      <c r="BM85" s="116"/>
      <c r="BN85" s="116"/>
      <c r="BO85" s="116"/>
      <c r="BP85" s="116"/>
      <c r="BQ85" s="211"/>
      <c r="BR85" s="166"/>
      <c r="BS85" s="165"/>
      <c r="BT85" s="116"/>
      <c r="BU85" s="145">
        <v>1.0</v>
      </c>
      <c r="BV85" s="43"/>
      <c r="BW85" s="273">
        <v>1.0</v>
      </c>
      <c r="BX85" s="116"/>
      <c r="BY85" s="116"/>
      <c r="BZ85" s="116"/>
      <c r="CA85" s="138">
        <v>1.0</v>
      </c>
      <c r="CB85" s="116"/>
      <c r="CC85" s="116"/>
      <c r="CD85" s="116"/>
      <c r="CE85" s="124">
        <f t="shared" si="18"/>
        <v>3</v>
      </c>
      <c r="CF85" s="44">
        <f t="shared" si="19"/>
        <v>27.27272727</v>
      </c>
      <c r="CG85" s="138">
        <v>1.0</v>
      </c>
      <c r="CH85" s="116"/>
      <c r="CI85" s="163"/>
      <c r="CJ85" s="163"/>
      <c r="CK85" s="163"/>
      <c r="CL85" s="163"/>
      <c r="CM85" s="116"/>
      <c r="CN85" s="163"/>
      <c r="CO85" s="163"/>
      <c r="CP85" s="166"/>
      <c r="CQ85" s="166"/>
      <c r="CR85" s="166"/>
      <c r="CS85" s="166"/>
      <c r="CT85" s="116"/>
      <c r="CU85" s="116"/>
      <c r="CV85" s="166"/>
      <c r="CW85" s="128">
        <f t="shared" si="20"/>
        <v>1</v>
      </c>
      <c r="CX85" s="214">
        <f t="shared" si="21"/>
        <v>50</v>
      </c>
      <c r="CY85" s="171"/>
      <c r="CZ85" s="171"/>
      <c r="DA85" s="171"/>
      <c r="DB85" s="171"/>
      <c r="DC85" s="171"/>
      <c r="DD85" s="171"/>
      <c r="DE85" s="171"/>
      <c r="DF85" s="171"/>
      <c r="DG85" s="171"/>
      <c r="DH85" s="171"/>
      <c r="DI85" s="171"/>
      <c r="DJ85" s="171"/>
      <c r="DK85" s="128">
        <f t="shared" si="22"/>
        <v>0</v>
      </c>
      <c r="DL85" s="158" t="str">
        <f t="shared" si="23"/>
        <v>#DIV/0!</v>
      </c>
    </row>
    <row r="86" ht="15.75" customHeight="1">
      <c r="A86" s="131">
        <v>77.0</v>
      </c>
      <c r="B86" s="126" t="s">
        <v>205</v>
      </c>
      <c r="C86" s="260" t="s">
        <v>206</v>
      </c>
      <c r="D86" s="98">
        <f t="shared" si="8"/>
        <v>3</v>
      </c>
      <c r="E86" s="130">
        <f t="shared" si="9"/>
        <v>8.571428571</v>
      </c>
      <c r="F86" s="114">
        <f t="shared" si="10"/>
        <v>8.571428571</v>
      </c>
      <c r="G86" s="226">
        <f t="shared" si="11"/>
        <v>8.571428571</v>
      </c>
      <c r="H86" s="265"/>
      <c r="I86" s="265"/>
      <c r="J86" s="265"/>
      <c r="K86" s="265"/>
      <c r="L86" s="266"/>
      <c r="M86" s="139">
        <f t="shared" si="12"/>
        <v>0</v>
      </c>
      <c r="N86" s="140" t="str">
        <f t="shared" si="13"/>
        <v>#DIV/0!</v>
      </c>
      <c r="O86" s="116"/>
      <c r="P86" s="116"/>
      <c r="Q86" s="116"/>
      <c r="R86" s="163"/>
      <c r="S86" s="116"/>
      <c r="T86" s="116"/>
      <c r="U86" s="116"/>
      <c r="V86" s="163"/>
      <c r="W86" s="116"/>
      <c r="X86" s="116"/>
      <c r="Y86" s="163"/>
      <c r="Z86" s="185"/>
      <c r="AA86" s="217"/>
      <c r="AB86" s="116"/>
      <c r="AC86" s="163"/>
      <c r="AD86" s="116"/>
      <c r="AE86" s="116"/>
      <c r="AF86" s="163"/>
      <c r="AG86" s="163"/>
      <c r="AH86" s="116"/>
      <c r="AI86" s="116"/>
      <c r="AJ86" s="139">
        <f t="shared" si="14"/>
        <v>0</v>
      </c>
      <c r="AK86" s="119">
        <f t="shared" si="15"/>
        <v>0</v>
      </c>
      <c r="AL86" s="116"/>
      <c r="AM86" s="116"/>
      <c r="AN86" s="163"/>
      <c r="AO86" s="116"/>
      <c r="AP86" s="163"/>
      <c r="AQ86" s="116"/>
      <c r="AR86" s="116"/>
      <c r="AS86" s="166"/>
      <c r="AT86" s="116"/>
      <c r="AU86" s="116"/>
      <c r="AV86" s="116"/>
      <c r="AW86" s="163"/>
      <c r="AX86" s="116"/>
      <c r="AY86" s="116"/>
      <c r="AZ86" s="180"/>
      <c r="BA86" s="215">
        <v>1.0</v>
      </c>
      <c r="BB86" s="116"/>
      <c r="BC86" s="180"/>
      <c r="BD86" s="181"/>
      <c r="BE86" s="181"/>
      <c r="BF86" s="181"/>
      <c r="BG86" s="139">
        <f t="shared" si="16"/>
        <v>1</v>
      </c>
      <c r="BH86" s="272">
        <f t="shared" si="17"/>
        <v>8.333333333</v>
      </c>
      <c r="BI86" s="116"/>
      <c r="BJ86" s="180"/>
      <c r="BK86" s="180"/>
      <c r="BL86" s="116"/>
      <c r="BM86" s="116"/>
      <c r="BN86" s="116"/>
      <c r="BO86" s="116"/>
      <c r="BP86" s="116"/>
      <c r="BQ86" s="116"/>
      <c r="BR86" s="166"/>
      <c r="BS86" s="116"/>
      <c r="BT86" s="138">
        <v>1.0</v>
      </c>
      <c r="BU86" s="145">
        <v>1.0</v>
      </c>
      <c r="BV86" s="43"/>
      <c r="BW86" s="171"/>
      <c r="BX86" s="43"/>
      <c r="BY86" s="116"/>
      <c r="BZ86" s="116"/>
      <c r="CA86" s="116"/>
      <c r="CB86" s="116"/>
      <c r="CC86" s="116"/>
      <c r="CD86" s="116"/>
      <c r="CE86" s="124">
        <f t="shared" si="18"/>
        <v>2</v>
      </c>
      <c r="CF86" s="44">
        <f t="shared" si="19"/>
        <v>18.18181818</v>
      </c>
      <c r="CG86" s="116"/>
      <c r="CH86" s="116"/>
      <c r="CI86" s="163"/>
      <c r="CJ86" s="163"/>
      <c r="CK86" s="116"/>
      <c r="CL86" s="163"/>
      <c r="CM86" s="163"/>
      <c r="CN86" s="163"/>
      <c r="CO86" s="116"/>
      <c r="CP86" s="163"/>
      <c r="CQ86" s="163"/>
      <c r="CR86" s="163"/>
      <c r="CS86" s="163"/>
      <c r="CT86" s="163"/>
      <c r="CU86" s="163"/>
      <c r="CV86" s="163"/>
      <c r="CW86" s="128">
        <f t="shared" si="20"/>
        <v>0</v>
      </c>
      <c r="CX86" s="214">
        <f t="shared" si="21"/>
        <v>0</v>
      </c>
      <c r="CY86" s="171"/>
      <c r="CZ86" s="171"/>
      <c r="DA86" s="171"/>
      <c r="DB86" s="171"/>
      <c r="DC86" s="171"/>
      <c r="DD86" s="171"/>
      <c r="DE86" s="171"/>
      <c r="DF86" s="171"/>
      <c r="DG86" s="171"/>
      <c r="DH86" s="171"/>
      <c r="DI86" s="171"/>
      <c r="DJ86" s="171"/>
      <c r="DK86" s="128">
        <f t="shared" si="22"/>
        <v>0</v>
      </c>
      <c r="DL86" s="158" t="str">
        <f t="shared" si="23"/>
        <v>#DIV/0!</v>
      </c>
    </row>
    <row r="87" ht="15.75" customHeight="1">
      <c r="A87" s="146">
        <v>78.0</v>
      </c>
      <c r="B87" s="111" t="s">
        <v>207</v>
      </c>
      <c r="C87" s="112" t="s">
        <v>208</v>
      </c>
      <c r="D87" s="98">
        <f t="shared" si="8"/>
        <v>16</v>
      </c>
      <c r="E87" s="130">
        <f t="shared" si="9"/>
        <v>45.71428571</v>
      </c>
      <c r="F87" s="114">
        <f t="shared" si="10"/>
        <v>45.71428571</v>
      </c>
      <c r="G87" s="92" t="str">
        <f t="shared" si="11"/>
        <v>  </v>
      </c>
      <c r="H87" s="265"/>
      <c r="I87" s="265"/>
      <c r="J87" s="267"/>
      <c r="K87" s="267"/>
      <c r="L87" s="268"/>
      <c r="M87" s="139">
        <f t="shared" si="12"/>
        <v>0</v>
      </c>
      <c r="N87" s="140" t="str">
        <f t="shared" si="13"/>
        <v>#DIV/0!</v>
      </c>
      <c r="O87" s="116"/>
      <c r="P87" s="116"/>
      <c r="Q87" s="180"/>
      <c r="R87" s="163"/>
      <c r="S87" s="116"/>
      <c r="T87" s="116"/>
      <c r="U87" s="116"/>
      <c r="V87" s="163"/>
      <c r="W87" s="116"/>
      <c r="X87" s="138">
        <v>1.0</v>
      </c>
      <c r="Y87" s="163"/>
      <c r="Z87" s="210">
        <v>1.0</v>
      </c>
      <c r="AA87" s="187">
        <v>1.0</v>
      </c>
      <c r="AB87" s="116"/>
      <c r="AC87" s="262">
        <v>1.0</v>
      </c>
      <c r="AD87" s="138">
        <v>1.0</v>
      </c>
      <c r="AE87" s="163"/>
      <c r="AF87" s="163"/>
      <c r="AG87" s="262">
        <v>1.0</v>
      </c>
      <c r="AH87" s="116"/>
      <c r="AI87" s="163"/>
      <c r="AJ87" s="139">
        <f t="shared" si="14"/>
        <v>6</v>
      </c>
      <c r="AK87" s="119">
        <f t="shared" si="15"/>
        <v>60</v>
      </c>
      <c r="AL87" s="116"/>
      <c r="AM87" s="163"/>
      <c r="AN87" s="163"/>
      <c r="AO87" s="262">
        <v>1.0</v>
      </c>
      <c r="AP87" s="116"/>
      <c r="AQ87" s="116"/>
      <c r="AR87" s="116"/>
      <c r="AS87" s="166"/>
      <c r="AT87" s="116"/>
      <c r="AU87" s="116"/>
      <c r="AV87" s="116"/>
      <c r="AW87" s="163"/>
      <c r="AX87" s="116"/>
      <c r="AY87" s="116"/>
      <c r="AZ87" s="116"/>
      <c r="BA87" s="138">
        <v>1.0</v>
      </c>
      <c r="BB87" s="180"/>
      <c r="BC87" s="116"/>
      <c r="BD87" s="194"/>
      <c r="BE87" s="194"/>
      <c r="BF87" s="194"/>
      <c r="BG87" s="139">
        <f t="shared" si="16"/>
        <v>2</v>
      </c>
      <c r="BH87" s="272">
        <f t="shared" si="17"/>
        <v>16.66666667</v>
      </c>
      <c r="BI87" s="116"/>
      <c r="BJ87" s="116"/>
      <c r="BK87" s="180"/>
      <c r="BL87" s="116"/>
      <c r="BM87" s="116"/>
      <c r="BN87" s="116"/>
      <c r="BO87" s="138">
        <v>1.0</v>
      </c>
      <c r="BP87" s="138">
        <v>1.0</v>
      </c>
      <c r="BQ87" s="116"/>
      <c r="BR87" s="166"/>
      <c r="BS87" s="138">
        <v>1.0</v>
      </c>
      <c r="BT87" s="138">
        <v>1.0</v>
      </c>
      <c r="BV87" s="138">
        <v>1.0</v>
      </c>
      <c r="BW87" s="171"/>
      <c r="BX87" s="116"/>
      <c r="BY87" s="116"/>
      <c r="BZ87" s="116"/>
      <c r="CA87" s="138">
        <v>1.0</v>
      </c>
      <c r="CB87" s="116"/>
      <c r="CC87" s="116"/>
      <c r="CD87" s="116"/>
      <c r="CE87" s="124">
        <f t="shared" si="18"/>
        <v>6</v>
      </c>
      <c r="CF87" s="44">
        <f t="shared" si="19"/>
        <v>54.54545455</v>
      </c>
      <c r="CG87" s="262">
        <v>1.0</v>
      </c>
      <c r="CH87" s="230">
        <v>1.0</v>
      </c>
      <c r="CI87" s="116"/>
      <c r="CJ87" s="163"/>
      <c r="CK87" s="163"/>
      <c r="CL87" s="163"/>
      <c r="CM87" s="116"/>
      <c r="CN87" s="116"/>
      <c r="CO87" s="116"/>
      <c r="CP87" s="163"/>
      <c r="CQ87" s="163"/>
      <c r="CR87" s="163"/>
      <c r="CS87" s="163"/>
      <c r="CT87" s="116"/>
      <c r="CU87" s="163"/>
      <c r="CV87" s="163"/>
      <c r="CW87" s="128">
        <f t="shared" si="20"/>
        <v>2</v>
      </c>
      <c r="CX87" s="214">
        <f t="shared" si="21"/>
        <v>100</v>
      </c>
      <c r="CY87" s="171"/>
      <c r="CZ87" s="171"/>
      <c r="DA87" s="171"/>
      <c r="DB87" s="171"/>
      <c r="DC87" s="171"/>
      <c r="DD87" s="171"/>
      <c r="DE87" s="171"/>
      <c r="DF87" s="171"/>
      <c r="DG87" s="171"/>
      <c r="DH87" s="171"/>
      <c r="DI87" s="171"/>
      <c r="DJ87" s="171"/>
      <c r="DK87" s="128">
        <f t="shared" si="22"/>
        <v>0</v>
      </c>
      <c r="DL87" s="158" t="str">
        <f t="shared" si="23"/>
        <v>#DIV/0!</v>
      </c>
    </row>
    <row r="88" ht="15.75" customHeight="1">
      <c r="A88" s="50">
        <v>79.0</v>
      </c>
      <c r="B88" s="111" t="s">
        <v>209</v>
      </c>
      <c r="C88" s="112" t="s">
        <v>210</v>
      </c>
      <c r="D88" s="98">
        <f t="shared" si="8"/>
        <v>14</v>
      </c>
      <c r="E88" s="130">
        <f t="shared" si="9"/>
        <v>40</v>
      </c>
      <c r="F88" s="114">
        <f t="shared" si="10"/>
        <v>40</v>
      </c>
      <c r="G88" s="92" t="str">
        <f t="shared" si="11"/>
        <v>  </v>
      </c>
      <c r="H88" s="265"/>
      <c r="I88" s="265"/>
      <c r="J88" s="267"/>
      <c r="K88" s="267"/>
      <c r="L88" s="268"/>
      <c r="M88" s="139">
        <f t="shared" si="12"/>
        <v>0</v>
      </c>
      <c r="N88" s="140" t="str">
        <f t="shared" si="13"/>
        <v>#DIV/0!</v>
      </c>
      <c r="O88" s="116"/>
      <c r="P88" s="116"/>
      <c r="Q88" s="180"/>
      <c r="R88" s="163"/>
      <c r="S88" s="116"/>
      <c r="T88" s="116"/>
      <c r="U88" s="116"/>
      <c r="V88" s="163"/>
      <c r="W88" s="116"/>
      <c r="X88" s="138">
        <v>1.0</v>
      </c>
      <c r="Y88" s="163"/>
      <c r="Z88" s="185"/>
      <c r="AA88" s="217"/>
      <c r="AB88" s="116"/>
      <c r="AC88" s="163"/>
      <c r="AD88" s="116"/>
      <c r="AE88" s="163"/>
      <c r="AF88" s="163"/>
      <c r="AG88" s="163"/>
      <c r="AH88" s="163"/>
      <c r="AI88" s="163"/>
      <c r="AJ88" s="139">
        <f t="shared" si="14"/>
        <v>1</v>
      </c>
      <c r="AK88" s="119">
        <f t="shared" si="15"/>
        <v>10</v>
      </c>
      <c r="AL88" s="116"/>
      <c r="AM88" s="116"/>
      <c r="AN88" s="163"/>
      <c r="AO88" s="116"/>
      <c r="AP88" s="116"/>
      <c r="AQ88" s="116"/>
      <c r="AR88" s="138">
        <v>1.0</v>
      </c>
      <c r="AS88" s="166"/>
      <c r="AT88" s="116"/>
      <c r="AU88" s="138">
        <v>1.0</v>
      </c>
      <c r="AV88" s="116"/>
      <c r="AW88" s="262">
        <v>1.0</v>
      </c>
      <c r="AX88" s="116"/>
      <c r="AY88" s="116"/>
      <c r="AZ88" s="180"/>
      <c r="BA88" s="215">
        <v>1.0</v>
      </c>
      <c r="BB88" s="138">
        <v>1.0</v>
      </c>
      <c r="BC88" s="116"/>
      <c r="BD88" s="194"/>
      <c r="BE88" s="188">
        <v>1.0</v>
      </c>
      <c r="BF88" s="194"/>
      <c r="BG88" s="139">
        <f t="shared" si="16"/>
        <v>6</v>
      </c>
      <c r="BH88" s="272">
        <f t="shared" si="17"/>
        <v>50</v>
      </c>
      <c r="BI88" s="116"/>
      <c r="BJ88" s="116"/>
      <c r="BK88" s="180"/>
      <c r="BL88" s="138">
        <v>1.0</v>
      </c>
      <c r="BM88" s="116"/>
      <c r="BN88" s="116"/>
      <c r="BO88" s="138">
        <v>1.0</v>
      </c>
      <c r="BP88" s="116"/>
      <c r="BQ88" s="116"/>
      <c r="BR88" s="166"/>
      <c r="BS88" s="138">
        <v>1.0</v>
      </c>
      <c r="BT88" s="210">
        <v>1.0</v>
      </c>
      <c r="BU88" s="43"/>
      <c r="BV88" s="145">
        <v>1.0</v>
      </c>
      <c r="BW88" s="273">
        <v>1.0</v>
      </c>
      <c r="BX88" s="116"/>
      <c r="BY88" s="116"/>
      <c r="BZ88" s="116"/>
      <c r="CA88" s="116"/>
      <c r="CB88" s="116"/>
      <c r="CC88" s="116"/>
      <c r="CD88" s="138">
        <v>1.0</v>
      </c>
      <c r="CE88" s="124">
        <f t="shared" si="18"/>
        <v>7</v>
      </c>
      <c r="CF88" s="44">
        <f t="shared" si="19"/>
        <v>63.63636364</v>
      </c>
      <c r="CG88" s="163"/>
      <c r="CH88" s="116"/>
      <c r="CI88" s="116"/>
      <c r="CJ88" s="163"/>
      <c r="CK88" s="163"/>
      <c r="CL88" s="163"/>
      <c r="CM88" s="163"/>
      <c r="CN88" s="116"/>
      <c r="CO88" s="116"/>
      <c r="CP88" s="163"/>
      <c r="CQ88" s="163"/>
      <c r="CR88" s="163"/>
      <c r="CS88" s="163"/>
      <c r="CT88" s="116"/>
      <c r="CU88" s="163"/>
      <c r="CV88" s="163"/>
      <c r="CW88" s="128">
        <f t="shared" si="20"/>
        <v>0</v>
      </c>
      <c r="CX88" s="214">
        <f t="shared" si="21"/>
        <v>0</v>
      </c>
      <c r="CY88" s="171"/>
      <c r="CZ88" s="171"/>
      <c r="DA88" s="171"/>
      <c r="DB88" s="171"/>
      <c r="DC88" s="171"/>
      <c r="DD88" s="171"/>
      <c r="DE88" s="171"/>
      <c r="DF88" s="171"/>
      <c r="DG88" s="171"/>
      <c r="DH88" s="171"/>
      <c r="DI88" s="171"/>
      <c r="DJ88" s="171"/>
      <c r="DK88" s="128">
        <f t="shared" si="22"/>
        <v>0</v>
      </c>
      <c r="DL88" s="158" t="str">
        <f t="shared" si="23"/>
        <v>#DIV/0!</v>
      </c>
    </row>
    <row r="89" ht="15.75" customHeight="1">
      <c r="A89" s="131">
        <v>80.0</v>
      </c>
      <c r="B89" s="111" t="s">
        <v>211</v>
      </c>
      <c r="C89" s="112" t="s">
        <v>212</v>
      </c>
      <c r="D89" s="98">
        <f t="shared" si="8"/>
        <v>16</v>
      </c>
      <c r="E89" s="130">
        <f t="shared" si="9"/>
        <v>45.71428571</v>
      </c>
      <c r="F89" s="114">
        <f t="shared" si="10"/>
        <v>45.71428571</v>
      </c>
      <c r="G89" s="92" t="str">
        <f t="shared" si="11"/>
        <v>  </v>
      </c>
      <c r="H89" s="274"/>
      <c r="I89" s="274"/>
      <c r="J89" s="274"/>
      <c r="K89" s="274"/>
      <c r="L89" s="275"/>
      <c r="M89" s="139">
        <f t="shared" si="12"/>
        <v>0</v>
      </c>
      <c r="N89" s="140" t="str">
        <f t="shared" si="13"/>
        <v>#DIV/0!</v>
      </c>
      <c r="O89" s="116"/>
      <c r="P89" s="116"/>
      <c r="Q89" s="180"/>
      <c r="R89" s="163"/>
      <c r="S89" s="116"/>
      <c r="T89" s="116"/>
      <c r="U89" s="116"/>
      <c r="V89" s="163"/>
      <c r="W89" s="138">
        <v>1.0</v>
      </c>
      <c r="X89" s="138">
        <v>1.0</v>
      </c>
      <c r="Y89" s="163"/>
      <c r="Z89" s="273">
        <v>1.0</v>
      </c>
      <c r="AA89" s="187">
        <v>1.0</v>
      </c>
      <c r="AB89" s="116"/>
      <c r="AC89" s="163"/>
      <c r="AD89" s="116"/>
      <c r="AE89" s="262">
        <v>1.0</v>
      </c>
      <c r="AF89" s="262">
        <v>1.0</v>
      </c>
      <c r="AG89" s="163"/>
      <c r="AH89" s="163"/>
      <c r="AI89" s="116"/>
      <c r="AJ89" s="139">
        <f t="shared" si="14"/>
        <v>6</v>
      </c>
      <c r="AK89" s="119">
        <f t="shared" si="15"/>
        <v>60</v>
      </c>
      <c r="AL89" s="116"/>
      <c r="AM89" s="138">
        <v>1.0</v>
      </c>
      <c r="AN89" s="262">
        <v>1.0</v>
      </c>
      <c r="AO89" s="262">
        <v>1.0</v>
      </c>
      <c r="AP89" s="116"/>
      <c r="AQ89" s="116"/>
      <c r="AR89" s="116"/>
      <c r="AS89" s="166"/>
      <c r="AT89" s="116"/>
      <c r="AU89" s="116"/>
      <c r="AV89" s="116"/>
      <c r="AW89" s="163"/>
      <c r="AX89" s="116"/>
      <c r="AY89" s="116"/>
      <c r="AZ89" s="180"/>
      <c r="BA89" s="215">
        <v>1.0</v>
      </c>
      <c r="BB89" s="180"/>
      <c r="BC89" s="116"/>
      <c r="BD89" s="194"/>
      <c r="BE89" s="194"/>
      <c r="BF89" s="194"/>
      <c r="BG89" s="139">
        <f t="shared" si="16"/>
        <v>4</v>
      </c>
      <c r="BH89" s="272">
        <f t="shared" si="17"/>
        <v>33.33333333</v>
      </c>
      <c r="BI89" s="116"/>
      <c r="BJ89" s="116"/>
      <c r="BK89" s="180"/>
      <c r="BL89" s="138">
        <v>1.0</v>
      </c>
      <c r="BM89" s="116"/>
      <c r="BN89" s="116"/>
      <c r="BO89" s="116"/>
      <c r="BP89" s="138">
        <v>1.0</v>
      </c>
      <c r="BQ89" s="116"/>
      <c r="BR89" s="166"/>
      <c r="BS89" s="196">
        <v>1.0</v>
      </c>
      <c r="BT89" s="138">
        <v>1.0</v>
      </c>
      <c r="BU89" s="43"/>
      <c r="BV89" s="145">
        <v>1.0</v>
      </c>
      <c r="BW89" s="273">
        <v>1.0</v>
      </c>
      <c r="BX89" s="116"/>
      <c r="BY89" s="116"/>
      <c r="BZ89" s="116"/>
      <c r="CA89" s="116"/>
      <c r="CB89" s="116"/>
      <c r="CC89" s="116"/>
      <c r="CD89" s="116"/>
      <c r="CE89" s="124">
        <f t="shared" si="18"/>
        <v>6</v>
      </c>
      <c r="CF89" s="44">
        <f t="shared" si="19"/>
        <v>54.54545455</v>
      </c>
      <c r="CG89" s="163"/>
      <c r="CH89" s="116"/>
      <c r="CI89" s="163"/>
      <c r="CJ89" s="163"/>
      <c r="CK89" s="116"/>
      <c r="CL89" s="163"/>
      <c r="CM89" s="116"/>
      <c r="CN89" s="163"/>
      <c r="CO89" s="116"/>
      <c r="CP89" s="163"/>
      <c r="CQ89" s="163"/>
      <c r="CR89" s="163"/>
      <c r="CS89" s="163"/>
      <c r="CT89" s="116"/>
      <c r="CU89" s="163"/>
      <c r="CV89" s="163"/>
      <c r="CW89" s="128">
        <f t="shared" si="20"/>
        <v>0</v>
      </c>
      <c r="CX89" s="214">
        <f t="shared" si="21"/>
        <v>0</v>
      </c>
      <c r="CY89" s="171"/>
      <c r="CZ89" s="171"/>
      <c r="DA89" s="171"/>
      <c r="DB89" s="171"/>
      <c r="DC89" s="171"/>
      <c r="DD89" s="171"/>
      <c r="DE89" s="171"/>
      <c r="DF89" s="171"/>
      <c r="DG89" s="171"/>
      <c r="DH89" s="171"/>
      <c r="DI89" s="171"/>
      <c r="DJ89" s="171"/>
      <c r="DK89" s="128">
        <f t="shared" si="22"/>
        <v>0</v>
      </c>
      <c r="DL89" s="158" t="str">
        <f t="shared" si="23"/>
        <v>#DIV/0!</v>
      </c>
    </row>
    <row r="90" ht="15.75" customHeight="1">
      <c r="A90" s="146">
        <v>81.0</v>
      </c>
      <c r="B90" s="111" t="s">
        <v>213</v>
      </c>
      <c r="C90" s="112" t="s">
        <v>214</v>
      </c>
      <c r="D90" s="98">
        <f t="shared" si="8"/>
        <v>26</v>
      </c>
      <c r="E90" s="130">
        <f t="shared" si="9"/>
        <v>74.28571429</v>
      </c>
      <c r="F90" s="114" t="str">
        <f t="shared" si="10"/>
        <v>  </v>
      </c>
      <c r="G90" s="92" t="str">
        <f t="shared" si="11"/>
        <v>  </v>
      </c>
      <c r="H90" s="274"/>
      <c r="I90" s="274"/>
      <c r="J90" s="274"/>
      <c r="K90" s="274"/>
      <c r="L90" s="275"/>
      <c r="M90" s="139">
        <f t="shared" si="12"/>
        <v>0</v>
      </c>
      <c r="N90" s="140" t="str">
        <f t="shared" si="13"/>
        <v>#DIV/0!</v>
      </c>
      <c r="O90" s="116"/>
      <c r="P90" s="116"/>
      <c r="Q90" s="116"/>
      <c r="R90" s="163"/>
      <c r="S90" s="116"/>
      <c r="T90" s="116"/>
      <c r="U90" s="116"/>
      <c r="V90" s="163"/>
      <c r="W90" s="116"/>
      <c r="X90" s="138">
        <v>1.0</v>
      </c>
      <c r="Y90" s="163"/>
      <c r="Z90" s="273">
        <v>1.0</v>
      </c>
      <c r="AA90" s="187">
        <v>1.0</v>
      </c>
      <c r="AB90" s="138">
        <v>1.0</v>
      </c>
      <c r="AC90" s="262">
        <v>1.0</v>
      </c>
      <c r="AD90" s="262">
        <v>1.0</v>
      </c>
      <c r="AE90" s="116"/>
      <c r="AF90" s="163"/>
      <c r="AG90" s="262">
        <v>1.0</v>
      </c>
      <c r="AH90" s="116"/>
      <c r="AI90" s="116"/>
      <c r="AJ90" s="139">
        <f t="shared" si="14"/>
        <v>7</v>
      </c>
      <c r="AK90" s="119">
        <f t="shared" si="15"/>
        <v>70</v>
      </c>
      <c r="AL90" s="116"/>
      <c r="AM90" s="138">
        <v>1.0</v>
      </c>
      <c r="AN90" s="262">
        <v>1.0</v>
      </c>
      <c r="AO90" s="138">
        <v>1.0</v>
      </c>
      <c r="AP90" s="163"/>
      <c r="AQ90" s="116"/>
      <c r="AR90" s="116"/>
      <c r="AS90" s="191">
        <v>1.0</v>
      </c>
      <c r="AT90" s="116"/>
      <c r="AU90" s="138">
        <v>1.0</v>
      </c>
      <c r="AV90" s="138">
        <v>1.0</v>
      </c>
      <c r="AW90" s="163"/>
      <c r="AX90" s="116"/>
      <c r="AY90" s="116"/>
      <c r="AZ90" s="116"/>
      <c r="BA90" s="138">
        <v>1.0</v>
      </c>
      <c r="BB90" s="215">
        <v>1.0</v>
      </c>
      <c r="BC90" s="180"/>
      <c r="BD90" s="181"/>
      <c r="BE90" s="181"/>
      <c r="BF90" s="181"/>
      <c r="BG90" s="139">
        <f t="shared" si="16"/>
        <v>8</v>
      </c>
      <c r="BH90" s="272">
        <f t="shared" si="17"/>
        <v>66.66666667</v>
      </c>
      <c r="BI90" s="116"/>
      <c r="BJ90" s="180"/>
      <c r="BK90" s="180"/>
      <c r="BL90" s="138">
        <v>1.0</v>
      </c>
      <c r="BM90" s="116"/>
      <c r="BN90" s="116"/>
      <c r="BO90" s="138">
        <v>1.0</v>
      </c>
      <c r="BP90" s="138">
        <v>1.0</v>
      </c>
      <c r="BQ90" s="116"/>
      <c r="BR90" s="116"/>
      <c r="BS90" s="196">
        <v>1.0</v>
      </c>
      <c r="BT90" s="138">
        <v>1.0</v>
      </c>
      <c r="BU90" s="241">
        <v>1.0</v>
      </c>
      <c r="BV90" s="138">
        <v>1.0</v>
      </c>
      <c r="BW90" s="171"/>
      <c r="BX90" s="116"/>
      <c r="BY90" s="138">
        <v>1.0</v>
      </c>
      <c r="BZ90" s="116"/>
      <c r="CA90" s="116"/>
      <c r="CB90" s="116"/>
      <c r="CC90" s="116"/>
      <c r="CD90" s="138">
        <v>1.0</v>
      </c>
      <c r="CE90" s="124">
        <f t="shared" si="18"/>
        <v>9</v>
      </c>
      <c r="CF90" s="44">
        <f t="shared" si="19"/>
        <v>81.81818182</v>
      </c>
      <c r="CG90" s="138">
        <v>1.0</v>
      </c>
      <c r="CH90" s="138">
        <v>1.0</v>
      </c>
      <c r="CI90" s="116"/>
      <c r="CJ90" s="163"/>
      <c r="CK90" s="116"/>
      <c r="CL90" s="163"/>
      <c r="CM90" s="116"/>
      <c r="CN90" s="116"/>
      <c r="CO90" s="116"/>
      <c r="CP90" s="163"/>
      <c r="CQ90" s="163"/>
      <c r="CR90" s="163"/>
      <c r="CS90" s="116"/>
      <c r="CT90" s="116"/>
      <c r="CU90" s="116"/>
      <c r="CV90" s="163"/>
      <c r="CW90" s="128">
        <f t="shared" si="20"/>
        <v>2</v>
      </c>
      <c r="CX90" s="214">
        <f t="shared" si="21"/>
        <v>100</v>
      </c>
      <c r="CY90" s="171"/>
      <c r="CZ90" s="171"/>
      <c r="DA90" s="171"/>
      <c r="DB90" s="171"/>
      <c r="DC90" s="171"/>
      <c r="DD90" s="171"/>
      <c r="DE90" s="171"/>
      <c r="DF90" s="171"/>
      <c r="DG90" s="171"/>
      <c r="DH90" s="171"/>
      <c r="DI90" s="171"/>
      <c r="DJ90" s="171"/>
      <c r="DK90" s="128">
        <f t="shared" si="22"/>
        <v>0</v>
      </c>
      <c r="DL90" s="158" t="str">
        <f t="shared" si="23"/>
        <v>#DIV/0!</v>
      </c>
    </row>
    <row r="91" ht="15.75" customHeight="1">
      <c r="A91" s="50">
        <v>82.0</v>
      </c>
      <c r="B91" s="111" t="s">
        <v>215</v>
      </c>
      <c r="C91" s="112" t="s">
        <v>216</v>
      </c>
      <c r="D91" s="98">
        <f t="shared" si="8"/>
        <v>27</v>
      </c>
      <c r="E91" s="130">
        <f t="shared" si="9"/>
        <v>77.14285714</v>
      </c>
      <c r="F91" s="114" t="str">
        <f t="shared" si="10"/>
        <v>  </v>
      </c>
      <c r="G91" s="92" t="str">
        <f t="shared" si="11"/>
        <v>  </v>
      </c>
      <c r="H91" s="274"/>
      <c r="I91" s="274"/>
      <c r="J91" s="274"/>
      <c r="K91" s="274"/>
      <c r="L91" s="275"/>
      <c r="M91" s="139">
        <f t="shared" si="12"/>
        <v>0</v>
      </c>
      <c r="N91" s="140" t="str">
        <f t="shared" si="13"/>
        <v>#DIV/0!</v>
      </c>
      <c r="O91" s="116"/>
      <c r="P91" s="116"/>
      <c r="Q91" s="116"/>
      <c r="R91" s="163"/>
      <c r="S91" s="116"/>
      <c r="T91" s="116"/>
      <c r="U91" s="116"/>
      <c r="V91" s="163"/>
      <c r="W91" s="116"/>
      <c r="X91" s="138">
        <v>1.0</v>
      </c>
      <c r="Y91" s="163"/>
      <c r="Z91" s="273">
        <v>1.0</v>
      </c>
      <c r="AA91" s="187">
        <v>1.0</v>
      </c>
      <c r="AB91" s="138">
        <v>1.0</v>
      </c>
      <c r="AC91" s="262">
        <v>1.0</v>
      </c>
      <c r="AD91" s="138">
        <v>1.0</v>
      </c>
      <c r="AE91" s="138">
        <v>1.0</v>
      </c>
      <c r="AF91" s="163"/>
      <c r="AG91" s="163"/>
      <c r="AH91" s="116"/>
      <c r="AI91" s="116"/>
      <c r="AJ91" s="139">
        <f t="shared" si="14"/>
        <v>7</v>
      </c>
      <c r="AK91" s="119">
        <f t="shared" si="15"/>
        <v>70</v>
      </c>
      <c r="AL91" s="163"/>
      <c r="AM91" s="138">
        <v>1.0</v>
      </c>
      <c r="AN91" s="262">
        <v>1.0</v>
      </c>
      <c r="AO91" s="138">
        <v>1.0</v>
      </c>
      <c r="AP91" s="116"/>
      <c r="AQ91" s="116"/>
      <c r="AR91" s="138">
        <v>1.0</v>
      </c>
      <c r="AS91" s="191">
        <v>1.0</v>
      </c>
      <c r="AT91" s="116"/>
      <c r="AU91" s="138">
        <v>1.0</v>
      </c>
      <c r="AV91" s="138">
        <v>1.0</v>
      </c>
      <c r="AW91" s="163"/>
      <c r="AX91" s="116"/>
      <c r="AY91" s="116"/>
      <c r="AZ91" s="116"/>
      <c r="BA91" s="138">
        <v>1.0</v>
      </c>
      <c r="BB91" s="138">
        <v>1.0</v>
      </c>
      <c r="BC91" s="116"/>
      <c r="BD91" s="194"/>
      <c r="BE91" s="194"/>
      <c r="BF91" s="194"/>
      <c r="BG91" s="139">
        <f t="shared" si="16"/>
        <v>9</v>
      </c>
      <c r="BH91" s="272">
        <f t="shared" si="17"/>
        <v>75</v>
      </c>
      <c r="BI91" s="116"/>
      <c r="BJ91" s="116"/>
      <c r="BK91" s="180"/>
      <c r="BL91" s="138">
        <v>1.0</v>
      </c>
      <c r="BM91" s="116"/>
      <c r="BN91" s="116"/>
      <c r="BO91" s="116"/>
      <c r="BP91" s="138">
        <v>1.0</v>
      </c>
      <c r="BQ91" s="116"/>
      <c r="BR91" s="116"/>
      <c r="BS91" s="138">
        <v>1.0</v>
      </c>
      <c r="BT91" s="138">
        <v>1.0</v>
      </c>
      <c r="BU91" s="241">
        <v>1.0</v>
      </c>
      <c r="BV91" s="138">
        <v>1.0</v>
      </c>
      <c r="BW91" s="171"/>
      <c r="BX91" s="116"/>
      <c r="BY91" s="138">
        <v>1.0</v>
      </c>
      <c r="BZ91" s="116"/>
      <c r="CA91" s="138">
        <v>1.0</v>
      </c>
      <c r="CB91" s="116"/>
      <c r="CC91" s="116"/>
      <c r="CD91" s="138">
        <v>1.0</v>
      </c>
      <c r="CE91" s="124">
        <f t="shared" si="18"/>
        <v>9</v>
      </c>
      <c r="CF91" s="44">
        <f t="shared" si="19"/>
        <v>81.81818182</v>
      </c>
      <c r="CG91" s="138">
        <v>1.0</v>
      </c>
      <c r="CH91" s="138">
        <v>1.0</v>
      </c>
      <c r="CI91" s="116"/>
      <c r="CJ91" s="116"/>
      <c r="CK91" s="116"/>
      <c r="CL91" s="163"/>
      <c r="CM91" s="116"/>
      <c r="CN91" s="116"/>
      <c r="CO91" s="163"/>
      <c r="CP91" s="163"/>
      <c r="CQ91" s="163"/>
      <c r="CR91" s="163"/>
      <c r="CS91" s="116"/>
      <c r="CT91" s="116"/>
      <c r="CU91" s="116"/>
      <c r="CV91" s="163"/>
      <c r="CW91" s="128">
        <f t="shared" si="20"/>
        <v>2</v>
      </c>
      <c r="CX91" s="214">
        <f t="shared" si="21"/>
        <v>100</v>
      </c>
      <c r="CY91" s="171"/>
      <c r="CZ91" s="171"/>
      <c r="DA91" s="171"/>
      <c r="DB91" s="171"/>
      <c r="DC91" s="171"/>
      <c r="DD91" s="171"/>
      <c r="DE91" s="171"/>
      <c r="DF91" s="171"/>
      <c r="DG91" s="171"/>
      <c r="DH91" s="171"/>
      <c r="DI91" s="171"/>
      <c r="DJ91" s="171"/>
      <c r="DK91" s="128">
        <f t="shared" si="22"/>
        <v>0</v>
      </c>
      <c r="DL91" s="158" t="str">
        <f t="shared" si="23"/>
        <v>#DIV/0!</v>
      </c>
    </row>
    <row r="92" ht="15.75" customHeight="1">
      <c r="A92" s="131">
        <v>83.0</v>
      </c>
      <c r="B92" s="111" t="s">
        <v>217</v>
      </c>
      <c r="C92" s="112" t="s">
        <v>218</v>
      </c>
      <c r="D92" s="98">
        <f t="shared" si="8"/>
        <v>1</v>
      </c>
      <c r="E92" s="130">
        <f t="shared" si="9"/>
        <v>2.857142857</v>
      </c>
      <c r="F92" s="114">
        <f t="shared" si="10"/>
        <v>2.857142857</v>
      </c>
      <c r="G92" s="114">
        <f t="shared" si="11"/>
        <v>2.857142857</v>
      </c>
      <c r="H92" s="274"/>
      <c r="I92" s="274"/>
      <c r="J92" s="274"/>
      <c r="K92" s="274"/>
      <c r="L92" s="275"/>
      <c r="M92" s="139">
        <f t="shared" si="12"/>
        <v>0</v>
      </c>
      <c r="N92" s="140" t="str">
        <f t="shared" si="13"/>
        <v>#DIV/0!</v>
      </c>
      <c r="O92" s="163"/>
      <c r="P92" s="163"/>
      <c r="Q92" s="180"/>
      <c r="R92" s="163"/>
      <c r="S92" s="163"/>
      <c r="T92" s="116"/>
      <c r="U92" s="116"/>
      <c r="V92" s="163"/>
      <c r="W92" s="116"/>
      <c r="X92" s="116"/>
      <c r="Y92" s="163"/>
      <c r="Z92" s="273">
        <v>1.0</v>
      </c>
      <c r="AA92" s="217"/>
      <c r="AB92" s="116"/>
      <c r="AC92" s="163"/>
      <c r="AD92" s="163"/>
      <c r="AE92" s="163"/>
      <c r="AF92" s="163"/>
      <c r="AG92" s="163"/>
      <c r="AH92" s="163"/>
      <c r="AI92" s="163"/>
      <c r="AJ92" s="139">
        <f t="shared" si="14"/>
        <v>1</v>
      </c>
      <c r="AK92" s="119">
        <f t="shared" si="15"/>
        <v>10</v>
      </c>
      <c r="AL92" s="163"/>
      <c r="AM92" s="163"/>
      <c r="AN92" s="163"/>
      <c r="AO92" s="163"/>
      <c r="AP92" s="163"/>
      <c r="AQ92" s="116"/>
      <c r="AR92" s="116"/>
      <c r="AS92" s="166"/>
      <c r="AT92" s="116"/>
      <c r="AU92" s="116"/>
      <c r="AV92" s="116"/>
      <c r="AW92" s="163"/>
      <c r="AX92" s="116"/>
      <c r="AY92" s="116"/>
      <c r="AZ92" s="180"/>
      <c r="BA92" s="180"/>
      <c r="BB92" s="180"/>
      <c r="BC92" s="180"/>
      <c r="BD92" s="181"/>
      <c r="BE92" s="181"/>
      <c r="BF92" s="181"/>
      <c r="BG92" s="139">
        <f t="shared" si="16"/>
        <v>0</v>
      </c>
      <c r="BH92" s="272">
        <f t="shared" si="17"/>
        <v>0</v>
      </c>
      <c r="BI92" s="116"/>
      <c r="BJ92" s="180"/>
      <c r="BK92" s="180"/>
      <c r="BL92" s="116"/>
      <c r="BM92" s="116"/>
      <c r="BN92" s="116"/>
      <c r="BO92" s="116"/>
      <c r="BP92" s="116"/>
      <c r="BQ92" s="211"/>
      <c r="BR92" s="166"/>
      <c r="BS92" s="165"/>
      <c r="BT92" s="185"/>
      <c r="BU92" s="43"/>
      <c r="BV92" s="43"/>
      <c r="BW92" s="171"/>
      <c r="BX92" s="43"/>
      <c r="BY92" s="116"/>
      <c r="BZ92" s="116"/>
      <c r="CA92" s="116"/>
      <c r="CB92" s="116"/>
      <c r="CC92" s="116"/>
      <c r="CD92" s="116"/>
      <c r="CE92" s="124">
        <f t="shared" si="18"/>
        <v>0</v>
      </c>
      <c r="CF92" s="44">
        <f t="shared" si="19"/>
        <v>0</v>
      </c>
      <c r="CG92" s="163"/>
      <c r="CH92" s="238"/>
      <c r="CI92" s="163"/>
      <c r="CJ92" s="163"/>
      <c r="CK92" s="163"/>
      <c r="CL92" s="163"/>
      <c r="CM92" s="163"/>
      <c r="CN92" s="163"/>
      <c r="CO92" s="163"/>
      <c r="CP92" s="163"/>
      <c r="CQ92" s="163"/>
      <c r="CR92" s="163"/>
      <c r="CS92" s="163"/>
      <c r="CT92" s="163"/>
      <c r="CU92" s="163"/>
      <c r="CV92" s="163"/>
      <c r="CW92" s="128">
        <f t="shared" si="20"/>
        <v>0</v>
      </c>
      <c r="CX92" s="214">
        <f t="shared" si="21"/>
        <v>0</v>
      </c>
      <c r="CY92" s="171"/>
      <c r="CZ92" s="171"/>
      <c r="DA92" s="171"/>
      <c r="DB92" s="171"/>
      <c r="DC92" s="171"/>
      <c r="DD92" s="171"/>
      <c r="DE92" s="171"/>
      <c r="DF92" s="171"/>
      <c r="DG92" s="171"/>
      <c r="DH92" s="171"/>
      <c r="DI92" s="171"/>
      <c r="DJ92" s="171"/>
      <c r="DK92" s="128">
        <f t="shared" si="22"/>
        <v>0</v>
      </c>
      <c r="DL92" s="158" t="str">
        <f t="shared" si="23"/>
        <v>#DIV/0!</v>
      </c>
    </row>
    <row r="93" ht="15.75" customHeight="1"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9"/>
      <c r="AK93" s="12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9"/>
      <c r="BH93" s="14"/>
      <c r="BI93" s="11"/>
      <c r="BJ93" s="11"/>
      <c r="BK93" s="11"/>
      <c r="BL93" s="11"/>
      <c r="BM93" s="11"/>
      <c r="BN93" s="11"/>
      <c r="BO93" s="11"/>
      <c r="BP93" s="11"/>
      <c r="BQ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9"/>
      <c r="CF93" s="9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</row>
    <row r="94" ht="15.75" customHeight="1"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9"/>
      <c r="AK94" s="12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9"/>
      <c r="BH94" s="14"/>
      <c r="BI94" s="11"/>
      <c r="BJ94" s="11"/>
      <c r="BK94" s="11"/>
      <c r="BL94" s="11"/>
      <c r="BM94" s="11"/>
      <c r="BN94" s="11"/>
      <c r="BO94" s="11"/>
      <c r="BP94" s="11"/>
      <c r="BQ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9"/>
      <c r="CF94" s="9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</row>
    <row r="95" ht="15.75" customHeight="1"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9"/>
      <c r="AK95" s="12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9"/>
      <c r="BH95" s="14"/>
      <c r="BI95" s="11"/>
      <c r="BJ95" s="11"/>
      <c r="BK95" s="11"/>
      <c r="BL95" s="11"/>
      <c r="BM95" s="11"/>
      <c r="BN95" s="11"/>
      <c r="BO95" s="11"/>
      <c r="BP95" s="11"/>
      <c r="BQ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9"/>
      <c r="CF95" s="9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</row>
    <row r="96" ht="15.75" customHeight="1"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9"/>
      <c r="AK96" s="12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9"/>
      <c r="BH96" s="14"/>
      <c r="BI96" s="11"/>
      <c r="BJ96" s="11"/>
      <c r="BK96" s="11"/>
      <c r="BL96" s="11"/>
      <c r="BM96" s="11"/>
      <c r="BN96" s="11"/>
      <c r="BO96" s="11"/>
      <c r="BP96" s="11"/>
      <c r="BQ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9"/>
      <c r="CF96" s="9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</row>
    <row r="97" ht="15.75" customHeight="1"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9"/>
      <c r="AK97" s="12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9"/>
      <c r="BH97" s="14"/>
      <c r="BI97" s="11"/>
      <c r="BJ97" s="11"/>
      <c r="BK97" s="11"/>
      <c r="BL97" s="11"/>
      <c r="BM97" s="11"/>
      <c r="BN97" s="11"/>
      <c r="BO97" s="11"/>
      <c r="BP97" s="11"/>
      <c r="BQ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9"/>
      <c r="CF97" s="9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</row>
    <row r="98" ht="15.75" customHeight="1"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9"/>
      <c r="AK98" s="12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9"/>
      <c r="BH98" s="14"/>
      <c r="BI98" s="11"/>
      <c r="BJ98" s="11"/>
      <c r="BK98" s="11"/>
      <c r="BL98" s="11"/>
      <c r="BM98" s="11"/>
      <c r="BN98" s="11"/>
      <c r="BO98" s="11"/>
      <c r="BP98" s="11"/>
      <c r="BQ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9"/>
      <c r="CF98" s="9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</row>
    <row r="99" ht="15.75" customHeight="1"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9"/>
      <c r="AK99" s="12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9"/>
      <c r="BH99" s="14"/>
      <c r="BI99" s="11"/>
      <c r="BJ99" s="11"/>
      <c r="BK99" s="11"/>
      <c r="BL99" s="11"/>
      <c r="BM99" s="11"/>
      <c r="BN99" s="11"/>
      <c r="BO99" s="11"/>
      <c r="BP99" s="11"/>
      <c r="BQ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9"/>
      <c r="CF99" s="9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</row>
    <row r="100" ht="15.75" customHeight="1"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9"/>
      <c r="AK100" s="12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9"/>
      <c r="BH100" s="14"/>
      <c r="BI100" s="11"/>
      <c r="BJ100" s="11"/>
      <c r="BK100" s="11"/>
      <c r="BL100" s="11"/>
      <c r="BM100" s="11"/>
      <c r="BN100" s="11"/>
      <c r="BO100" s="11"/>
      <c r="BP100" s="11"/>
      <c r="BQ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9"/>
      <c r="CF100" s="9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</row>
    <row r="101" ht="15.75" customHeight="1"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9"/>
      <c r="AK101" s="12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9"/>
      <c r="BH101" s="14"/>
      <c r="BI101" s="11"/>
      <c r="BJ101" s="11"/>
      <c r="BK101" s="11"/>
      <c r="BL101" s="11"/>
      <c r="BM101" s="11"/>
      <c r="BN101" s="11"/>
      <c r="BO101" s="11"/>
      <c r="BP101" s="11"/>
      <c r="BQ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9"/>
      <c r="CF101" s="9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</row>
    <row r="102" ht="15.75" customHeight="1"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9"/>
      <c r="AK102" s="12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9"/>
      <c r="BH102" s="14"/>
      <c r="BI102" s="11"/>
      <c r="BJ102" s="11"/>
      <c r="BK102" s="11"/>
      <c r="BL102" s="11"/>
      <c r="BM102" s="11"/>
      <c r="BN102" s="11"/>
      <c r="BO102" s="11"/>
      <c r="BP102" s="11"/>
      <c r="BQ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9"/>
      <c r="CF102" s="9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</row>
    <row r="103" ht="15.75" customHeight="1"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9"/>
      <c r="AK103" s="12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9"/>
      <c r="BH103" s="14"/>
      <c r="BI103" s="11"/>
      <c r="BJ103" s="11"/>
      <c r="BK103" s="11"/>
      <c r="BL103" s="11"/>
      <c r="BM103" s="11"/>
      <c r="BN103" s="11"/>
      <c r="BO103" s="11"/>
      <c r="BP103" s="11"/>
      <c r="BQ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9"/>
      <c r="CF103" s="9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</row>
    <row r="104" ht="15.75" customHeight="1"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9"/>
      <c r="AK104" s="12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9"/>
      <c r="BH104" s="14"/>
      <c r="BI104" s="11"/>
      <c r="BJ104" s="11"/>
      <c r="BK104" s="11"/>
      <c r="BL104" s="11"/>
      <c r="BM104" s="11"/>
      <c r="BN104" s="11"/>
      <c r="BO104" s="11"/>
      <c r="BP104" s="11"/>
      <c r="BQ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9"/>
      <c r="CF104" s="9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</row>
    <row r="105" ht="15.75" customHeight="1"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9"/>
      <c r="AK105" s="12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9"/>
      <c r="BH105" s="14"/>
      <c r="BI105" s="11"/>
      <c r="BJ105" s="11"/>
      <c r="BK105" s="11"/>
      <c r="BL105" s="11"/>
      <c r="BM105" s="11"/>
      <c r="BN105" s="11"/>
      <c r="BO105" s="11"/>
      <c r="BP105" s="11"/>
      <c r="BQ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9"/>
      <c r="CF105" s="9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  <c r="DK105" s="16"/>
      <c r="DL105" s="16"/>
    </row>
    <row r="106" ht="15.75" customHeight="1"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9"/>
      <c r="AK106" s="12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9"/>
      <c r="BH106" s="14"/>
      <c r="BI106" s="11"/>
      <c r="BJ106" s="11"/>
      <c r="BK106" s="11"/>
      <c r="BL106" s="11"/>
      <c r="BM106" s="11"/>
      <c r="BN106" s="11"/>
      <c r="BO106" s="11"/>
      <c r="BP106" s="11"/>
      <c r="BQ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9"/>
      <c r="CF106" s="9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  <c r="DJ106" s="16"/>
      <c r="DK106" s="16"/>
      <c r="DL106" s="16"/>
    </row>
    <row r="107" ht="15.75" customHeight="1"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9"/>
      <c r="AK107" s="12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9"/>
      <c r="BH107" s="14"/>
      <c r="BI107" s="11"/>
      <c r="BJ107" s="11"/>
      <c r="BK107" s="11"/>
      <c r="BL107" s="11"/>
      <c r="BM107" s="11"/>
      <c r="BN107" s="11"/>
      <c r="BO107" s="11"/>
      <c r="BP107" s="11"/>
      <c r="BQ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9"/>
      <c r="CF107" s="9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</row>
    <row r="108" ht="15.75" customHeight="1"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9"/>
      <c r="AK108" s="12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9"/>
      <c r="BH108" s="14"/>
      <c r="BI108" s="11"/>
      <c r="BJ108" s="11"/>
      <c r="BK108" s="11"/>
      <c r="BL108" s="11"/>
      <c r="BM108" s="11"/>
      <c r="BN108" s="11"/>
      <c r="BO108" s="11"/>
      <c r="BP108" s="11"/>
      <c r="BQ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9"/>
      <c r="CF108" s="9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</row>
    <row r="109" ht="15.75" customHeight="1"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9"/>
      <c r="AK109" s="12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9"/>
      <c r="BH109" s="14"/>
      <c r="BI109" s="11"/>
      <c r="BJ109" s="11"/>
      <c r="BK109" s="11"/>
      <c r="BL109" s="11"/>
      <c r="BM109" s="11"/>
      <c r="BN109" s="11"/>
      <c r="BO109" s="11"/>
      <c r="BP109" s="11"/>
      <c r="BQ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9"/>
      <c r="CF109" s="9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</row>
    <row r="110" ht="15.75" customHeight="1"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9"/>
      <c r="AK110" s="12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9"/>
      <c r="BH110" s="14"/>
      <c r="BI110" s="11"/>
      <c r="BJ110" s="11"/>
      <c r="BK110" s="11"/>
      <c r="BL110" s="11"/>
      <c r="BM110" s="11"/>
      <c r="BN110" s="11"/>
      <c r="BO110" s="11"/>
      <c r="BP110" s="11"/>
      <c r="BQ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9"/>
      <c r="CF110" s="9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</row>
    <row r="111" ht="15.75" customHeight="1"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9"/>
      <c r="AK111" s="12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9"/>
      <c r="BH111" s="14"/>
      <c r="BI111" s="11"/>
      <c r="BJ111" s="11"/>
      <c r="BK111" s="11"/>
      <c r="BL111" s="11"/>
      <c r="BM111" s="11"/>
      <c r="BN111" s="11"/>
      <c r="BO111" s="11"/>
      <c r="BP111" s="11"/>
      <c r="BQ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9"/>
      <c r="CF111" s="9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  <c r="DJ111" s="16"/>
      <c r="DK111" s="16"/>
      <c r="DL111" s="16"/>
    </row>
    <row r="112" ht="15.75" customHeight="1"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9"/>
      <c r="AK112" s="12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9"/>
      <c r="BH112" s="14"/>
      <c r="BI112" s="11"/>
      <c r="BJ112" s="11"/>
      <c r="BK112" s="11"/>
      <c r="BL112" s="11"/>
      <c r="BM112" s="11"/>
      <c r="BN112" s="11"/>
      <c r="BO112" s="11"/>
      <c r="BP112" s="11"/>
      <c r="BQ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9"/>
      <c r="CF112" s="9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  <c r="DK112" s="16"/>
      <c r="DL112" s="16"/>
    </row>
    <row r="113" ht="15.75" customHeight="1"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9"/>
      <c r="AK113" s="12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9"/>
      <c r="BH113" s="14"/>
      <c r="BI113" s="11"/>
      <c r="BJ113" s="11"/>
      <c r="BK113" s="11"/>
      <c r="BL113" s="11"/>
      <c r="BM113" s="11"/>
      <c r="BN113" s="11"/>
      <c r="BO113" s="11"/>
      <c r="BP113" s="11"/>
      <c r="BQ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9"/>
      <c r="CF113" s="9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  <c r="DJ113" s="16"/>
      <c r="DK113" s="16"/>
      <c r="DL113" s="16"/>
    </row>
    <row r="114" ht="15.75" customHeight="1"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9"/>
      <c r="AK114" s="12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9"/>
      <c r="BH114" s="14"/>
      <c r="BI114" s="11"/>
      <c r="BJ114" s="11"/>
      <c r="BK114" s="11"/>
      <c r="BL114" s="11"/>
      <c r="BM114" s="11"/>
      <c r="BN114" s="11"/>
      <c r="BO114" s="11"/>
      <c r="BP114" s="11"/>
      <c r="BQ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9"/>
      <c r="CF114" s="9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</row>
    <row r="115" ht="15.75" customHeight="1"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9"/>
      <c r="AK115" s="12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9"/>
      <c r="BH115" s="14"/>
      <c r="BI115" s="11"/>
      <c r="BJ115" s="11"/>
      <c r="BK115" s="11"/>
      <c r="BL115" s="11"/>
      <c r="BM115" s="11"/>
      <c r="BN115" s="11"/>
      <c r="BO115" s="11"/>
      <c r="BP115" s="11"/>
      <c r="BQ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9"/>
      <c r="CF115" s="9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  <c r="DJ115" s="16"/>
      <c r="DK115" s="16"/>
      <c r="DL115" s="16"/>
    </row>
    <row r="116" ht="15.75" customHeight="1"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9"/>
      <c r="AK116" s="12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9"/>
      <c r="BH116" s="14"/>
      <c r="BI116" s="11"/>
      <c r="BJ116" s="11"/>
      <c r="BK116" s="11"/>
      <c r="BL116" s="11"/>
      <c r="BM116" s="11"/>
      <c r="BN116" s="11"/>
      <c r="BO116" s="11"/>
      <c r="BP116" s="11"/>
      <c r="BQ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9"/>
      <c r="CF116" s="9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  <c r="DJ116" s="16"/>
      <c r="DK116" s="16"/>
      <c r="DL116" s="16"/>
    </row>
    <row r="117" ht="15.75" customHeight="1"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9"/>
      <c r="AK117" s="12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9"/>
      <c r="BH117" s="14"/>
      <c r="BI117" s="11"/>
      <c r="BJ117" s="11"/>
      <c r="BK117" s="11"/>
      <c r="BL117" s="11"/>
      <c r="BM117" s="11"/>
      <c r="BN117" s="11"/>
      <c r="BO117" s="11"/>
      <c r="BP117" s="11"/>
      <c r="BQ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9"/>
      <c r="CF117" s="9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</row>
    <row r="118" ht="15.75" customHeight="1"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9"/>
      <c r="AK118" s="12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9"/>
      <c r="BH118" s="14"/>
      <c r="BI118" s="11"/>
      <c r="BJ118" s="11"/>
      <c r="BK118" s="11"/>
      <c r="BL118" s="11"/>
      <c r="BM118" s="11"/>
      <c r="BN118" s="11"/>
      <c r="BO118" s="11"/>
      <c r="BP118" s="11"/>
      <c r="BQ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9"/>
      <c r="CF118" s="9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  <c r="DJ118" s="16"/>
      <c r="DK118" s="16"/>
      <c r="DL118" s="16"/>
    </row>
    <row r="119" ht="15.75" customHeight="1"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9"/>
      <c r="AK119" s="12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9"/>
      <c r="BH119" s="14"/>
      <c r="BI119" s="11"/>
      <c r="BJ119" s="11"/>
      <c r="BK119" s="11"/>
      <c r="BL119" s="11"/>
      <c r="BM119" s="11"/>
      <c r="BN119" s="11"/>
      <c r="BO119" s="11"/>
      <c r="BP119" s="11"/>
      <c r="BQ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9"/>
      <c r="CF119" s="9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  <c r="DJ119" s="16"/>
      <c r="DK119" s="16"/>
      <c r="DL119" s="16"/>
    </row>
    <row r="120" ht="15.75" customHeight="1"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9"/>
      <c r="AK120" s="12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9"/>
      <c r="BH120" s="14"/>
      <c r="BI120" s="11"/>
      <c r="BJ120" s="11"/>
      <c r="BK120" s="11"/>
      <c r="BL120" s="11"/>
      <c r="BM120" s="11"/>
      <c r="BN120" s="11"/>
      <c r="BO120" s="11"/>
      <c r="BP120" s="11"/>
      <c r="BQ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9"/>
      <c r="CF120" s="9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  <c r="DJ120" s="16"/>
      <c r="DK120" s="16"/>
      <c r="DL120" s="16"/>
    </row>
    <row r="121" ht="15.75" customHeight="1"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9"/>
      <c r="AK121" s="12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9"/>
      <c r="BH121" s="14"/>
      <c r="BI121" s="11"/>
      <c r="BJ121" s="11"/>
      <c r="BK121" s="11"/>
      <c r="BL121" s="11"/>
      <c r="BM121" s="11"/>
      <c r="BN121" s="11"/>
      <c r="BO121" s="11"/>
      <c r="BP121" s="11"/>
      <c r="BQ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9"/>
      <c r="CF121" s="9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  <c r="DJ121" s="16"/>
      <c r="DK121" s="16"/>
      <c r="DL121" s="16"/>
    </row>
    <row r="122" ht="15.75" customHeight="1"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9"/>
      <c r="AK122" s="12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9"/>
      <c r="BH122" s="14"/>
      <c r="BI122" s="11"/>
      <c r="BJ122" s="11"/>
      <c r="BK122" s="11"/>
      <c r="BL122" s="11"/>
      <c r="BM122" s="11"/>
      <c r="BN122" s="11"/>
      <c r="BO122" s="11"/>
      <c r="BP122" s="11"/>
      <c r="BQ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9"/>
      <c r="CF122" s="9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  <c r="DJ122" s="16"/>
      <c r="DK122" s="16"/>
      <c r="DL122" s="16"/>
    </row>
    <row r="123" ht="15.75" customHeight="1"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9"/>
      <c r="AK123" s="12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9"/>
      <c r="BH123" s="14"/>
      <c r="BI123" s="11"/>
      <c r="BJ123" s="11"/>
      <c r="BK123" s="11"/>
      <c r="BL123" s="11"/>
      <c r="BM123" s="11"/>
      <c r="BN123" s="11"/>
      <c r="BO123" s="11"/>
      <c r="BP123" s="11"/>
      <c r="BQ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9"/>
      <c r="CF123" s="9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  <c r="DJ123" s="16"/>
      <c r="DK123" s="16"/>
      <c r="DL123" s="16"/>
    </row>
    <row r="124" ht="15.75" customHeight="1"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9"/>
      <c r="AK124" s="12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9"/>
      <c r="BH124" s="14"/>
      <c r="BI124" s="11"/>
      <c r="BJ124" s="11"/>
      <c r="BK124" s="11"/>
      <c r="BL124" s="11"/>
      <c r="BM124" s="11"/>
      <c r="BN124" s="11"/>
      <c r="BO124" s="11"/>
      <c r="BP124" s="11"/>
      <c r="BQ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9"/>
      <c r="CF124" s="9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</row>
    <row r="125" ht="15.75" customHeight="1"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9"/>
      <c r="AK125" s="12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9"/>
      <c r="BH125" s="14"/>
      <c r="BI125" s="11"/>
      <c r="BJ125" s="11"/>
      <c r="BK125" s="11"/>
      <c r="BL125" s="11"/>
      <c r="BM125" s="11"/>
      <c r="BN125" s="11"/>
      <c r="BO125" s="11"/>
      <c r="BP125" s="11"/>
      <c r="BQ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9"/>
      <c r="CF125" s="9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  <c r="DJ125" s="16"/>
      <c r="DK125" s="16"/>
      <c r="DL125" s="16"/>
    </row>
    <row r="126" ht="15.75" customHeight="1"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9"/>
      <c r="AK126" s="12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9"/>
      <c r="BH126" s="14"/>
      <c r="BI126" s="11"/>
      <c r="BJ126" s="11"/>
      <c r="BK126" s="11"/>
      <c r="BL126" s="11"/>
      <c r="BM126" s="11"/>
      <c r="BN126" s="11"/>
      <c r="BO126" s="11"/>
      <c r="BP126" s="11"/>
      <c r="BQ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9"/>
      <c r="CF126" s="9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  <c r="DJ126" s="16"/>
      <c r="DK126" s="16"/>
      <c r="DL126" s="16"/>
    </row>
    <row r="127" ht="15.75" customHeight="1"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9"/>
      <c r="AK127" s="12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9"/>
      <c r="BH127" s="14"/>
      <c r="BI127" s="11"/>
      <c r="BJ127" s="11"/>
      <c r="BK127" s="11"/>
      <c r="BL127" s="11"/>
      <c r="BM127" s="11"/>
      <c r="BN127" s="11"/>
      <c r="BO127" s="11"/>
      <c r="BP127" s="11"/>
      <c r="BQ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9"/>
      <c r="CF127" s="9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/>
      <c r="DI127" s="16"/>
      <c r="DJ127" s="16"/>
      <c r="DK127" s="16"/>
      <c r="DL127" s="16"/>
    </row>
    <row r="128" ht="15.75" customHeight="1"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9"/>
      <c r="AK128" s="12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9"/>
      <c r="BH128" s="14"/>
      <c r="BI128" s="11"/>
      <c r="BJ128" s="11"/>
      <c r="BK128" s="11"/>
      <c r="BL128" s="11"/>
      <c r="BM128" s="11"/>
      <c r="BN128" s="11"/>
      <c r="BO128" s="11"/>
      <c r="BP128" s="11"/>
      <c r="BQ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9"/>
      <c r="CF128" s="9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  <c r="DJ128" s="16"/>
      <c r="DK128" s="16"/>
      <c r="DL128" s="16"/>
    </row>
    <row r="129" ht="15.75" customHeight="1"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9"/>
      <c r="AK129" s="12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9"/>
      <c r="BH129" s="14"/>
      <c r="BI129" s="11"/>
      <c r="BJ129" s="11"/>
      <c r="BK129" s="11"/>
      <c r="BL129" s="11"/>
      <c r="BM129" s="11"/>
      <c r="BN129" s="11"/>
      <c r="BO129" s="11"/>
      <c r="BP129" s="11"/>
      <c r="BQ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9"/>
      <c r="CF129" s="9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  <c r="DJ129" s="16"/>
      <c r="DK129" s="16"/>
      <c r="DL129" s="16"/>
    </row>
    <row r="130" ht="15.75" customHeight="1"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9"/>
      <c r="AK130" s="12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9"/>
      <c r="BH130" s="14"/>
      <c r="BI130" s="11"/>
      <c r="BJ130" s="11"/>
      <c r="BK130" s="11"/>
      <c r="BL130" s="11"/>
      <c r="BM130" s="11"/>
      <c r="BN130" s="11"/>
      <c r="BO130" s="11"/>
      <c r="BP130" s="11"/>
      <c r="BQ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9"/>
      <c r="CF130" s="9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  <c r="DK130" s="16"/>
      <c r="DL130" s="16"/>
    </row>
    <row r="131" ht="15.75" customHeight="1"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9"/>
      <c r="AK131" s="12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9"/>
      <c r="BH131" s="14"/>
      <c r="BI131" s="11"/>
      <c r="BJ131" s="11"/>
      <c r="BK131" s="11"/>
      <c r="BL131" s="11"/>
      <c r="BM131" s="11"/>
      <c r="BN131" s="11"/>
      <c r="BO131" s="11"/>
      <c r="BP131" s="11"/>
      <c r="BQ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9"/>
      <c r="CF131" s="9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</row>
    <row r="132" ht="15.75" customHeight="1"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9"/>
      <c r="AK132" s="12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9"/>
      <c r="BH132" s="14"/>
      <c r="BI132" s="11"/>
      <c r="BJ132" s="11"/>
      <c r="BK132" s="11"/>
      <c r="BL132" s="11"/>
      <c r="BM132" s="11"/>
      <c r="BN132" s="11"/>
      <c r="BO132" s="11"/>
      <c r="BP132" s="11"/>
      <c r="BQ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9"/>
      <c r="CF132" s="9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  <c r="DK132" s="16"/>
      <c r="DL132" s="16"/>
    </row>
    <row r="133" ht="15.75" customHeight="1"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9"/>
      <c r="AK133" s="12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9"/>
      <c r="BH133" s="14"/>
      <c r="BI133" s="11"/>
      <c r="BJ133" s="11"/>
      <c r="BK133" s="11"/>
      <c r="BL133" s="11"/>
      <c r="BM133" s="11"/>
      <c r="BN133" s="11"/>
      <c r="BO133" s="11"/>
      <c r="BP133" s="11"/>
      <c r="BQ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9"/>
      <c r="CF133" s="9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  <c r="DJ133" s="16"/>
      <c r="DK133" s="16"/>
      <c r="DL133" s="16"/>
    </row>
    <row r="134" ht="15.75" customHeight="1"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9"/>
      <c r="AK134" s="12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9"/>
      <c r="BH134" s="14"/>
      <c r="BI134" s="11"/>
      <c r="BJ134" s="11"/>
      <c r="BK134" s="11"/>
      <c r="BL134" s="11"/>
      <c r="BM134" s="11"/>
      <c r="BN134" s="11"/>
      <c r="BO134" s="11"/>
      <c r="BP134" s="11"/>
      <c r="BQ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9"/>
      <c r="CF134" s="9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</row>
    <row r="135" ht="15.75" customHeight="1"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9"/>
      <c r="AK135" s="12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9"/>
      <c r="BH135" s="14"/>
      <c r="BI135" s="11"/>
      <c r="BJ135" s="11"/>
      <c r="BK135" s="11"/>
      <c r="BL135" s="11"/>
      <c r="BM135" s="11"/>
      <c r="BN135" s="11"/>
      <c r="BO135" s="11"/>
      <c r="BP135" s="11"/>
      <c r="BQ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9"/>
      <c r="CF135" s="9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  <c r="DJ135" s="16"/>
      <c r="DK135" s="16"/>
      <c r="DL135" s="16"/>
    </row>
    <row r="136" ht="15.75" customHeight="1"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9"/>
      <c r="AK136" s="12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9"/>
      <c r="BH136" s="14"/>
      <c r="BI136" s="11"/>
      <c r="BJ136" s="11"/>
      <c r="BK136" s="11"/>
      <c r="BL136" s="11"/>
      <c r="BM136" s="11"/>
      <c r="BN136" s="11"/>
      <c r="BO136" s="11"/>
      <c r="BP136" s="11"/>
      <c r="BQ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9"/>
      <c r="CF136" s="9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</row>
    <row r="137" ht="15.75" customHeight="1"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9"/>
      <c r="AK137" s="12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9"/>
      <c r="BH137" s="14"/>
      <c r="BI137" s="11"/>
      <c r="BJ137" s="11"/>
      <c r="BK137" s="11"/>
      <c r="BL137" s="11"/>
      <c r="BM137" s="11"/>
      <c r="BN137" s="11"/>
      <c r="BO137" s="11"/>
      <c r="BP137" s="11"/>
      <c r="BQ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9"/>
      <c r="CF137" s="9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  <c r="DJ137" s="16"/>
      <c r="DK137" s="16"/>
      <c r="DL137" s="16"/>
    </row>
    <row r="138" ht="15.75" customHeight="1"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9"/>
      <c r="AK138" s="12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9"/>
      <c r="BH138" s="14"/>
      <c r="BI138" s="11"/>
      <c r="BJ138" s="11"/>
      <c r="BK138" s="11"/>
      <c r="BL138" s="11"/>
      <c r="BM138" s="11"/>
      <c r="BN138" s="11"/>
      <c r="BO138" s="11"/>
      <c r="BP138" s="11"/>
      <c r="BQ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9"/>
      <c r="CF138" s="9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</row>
    <row r="139" ht="15.75" customHeight="1"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9"/>
      <c r="AK139" s="12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9"/>
      <c r="BH139" s="14"/>
      <c r="BI139" s="11"/>
      <c r="BJ139" s="11"/>
      <c r="BK139" s="11"/>
      <c r="BL139" s="11"/>
      <c r="BM139" s="11"/>
      <c r="BN139" s="11"/>
      <c r="BO139" s="11"/>
      <c r="BP139" s="11"/>
      <c r="BQ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9"/>
      <c r="CF139" s="9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  <c r="DJ139" s="16"/>
      <c r="DK139" s="16"/>
      <c r="DL139" s="16"/>
    </row>
    <row r="140" ht="15.75" customHeight="1"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9"/>
      <c r="AK140" s="12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9"/>
      <c r="BH140" s="14"/>
      <c r="BI140" s="11"/>
      <c r="BJ140" s="11"/>
      <c r="BK140" s="11"/>
      <c r="BL140" s="11"/>
      <c r="BM140" s="11"/>
      <c r="BN140" s="11"/>
      <c r="BO140" s="11"/>
      <c r="BP140" s="11"/>
      <c r="BQ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9"/>
      <c r="CF140" s="9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  <c r="DJ140" s="16"/>
      <c r="DK140" s="16"/>
      <c r="DL140" s="16"/>
    </row>
    <row r="141" ht="15.75" customHeight="1"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9"/>
      <c r="AK141" s="12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9"/>
      <c r="BH141" s="14"/>
      <c r="BI141" s="11"/>
      <c r="BJ141" s="11"/>
      <c r="BK141" s="11"/>
      <c r="BL141" s="11"/>
      <c r="BM141" s="11"/>
      <c r="BN141" s="11"/>
      <c r="BO141" s="11"/>
      <c r="BP141" s="11"/>
      <c r="BQ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9"/>
      <c r="CF141" s="9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/>
      <c r="DI141" s="16"/>
      <c r="DJ141" s="16"/>
      <c r="DK141" s="16"/>
      <c r="DL141" s="16"/>
    </row>
    <row r="142" ht="15.75" customHeight="1"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9"/>
      <c r="AK142" s="12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9"/>
      <c r="BH142" s="14"/>
      <c r="BI142" s="11"/>
      <c r="BJ142" s="11"/>
      <c r="BK142" s="11"/>
      <c r="BL142" s="11"/>
      <c r="BM142" s="11"/>
      <c r="BN142" s="11"/>
      <c r="BO142" s="11"/>
      <c r="BP142" s="11"/>
      <c r="BQ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9"/>
      <c r="CF142" s="9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/>
      <c r="DI142" s="16"/>
      <c r="DJ142" s="16"/>
      <c r="DK142" s="16"/>
      <c r="DL142" s="16"/>
    </row>
    <row r="143" ht="15.75" customHeight="1"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9"/>
      <c r="AK143" s="12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9"/>
      <c r="BH143" s="14"/>
      <c r="BI143" s="11"/>
      <c r="BJ143" s="11"/>
      <c r="BK143" s="11"/>
      <c r="BL143" s="11"/>
      <c r="BM143" s="11"/>
      <c r="BN143" s="11"/>
      <c r="BO143" s="11"/>
      <c r="BP143" s="11"/>
      <c r="BQ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9"/>
      <c r="CF143" s="9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  <c r="DJ143" s="16"/>
      <c r="DK143" s="16"/>
      <c r="DL143" s="16"/>
    </row>
    <row r="144" ht="15.75" customHeight="1"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9"/>
      <c r="AK144" s="12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9"/>
      <c r="BH144" s="14"/>
      <c r="BI144" s="11"/>
      <c r="BJ144" s="11"/>
      <c r="BK144" s="11"/>
      <c r="BL144" s="11"/>
      <c r="BM144" s="11"/>
      <c r="BN144" s="11"/>
      <c r="BO144" s="11"/>
      <c r="BP144" s="11"/>
      <c r="BQ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9"/>
      <c r="CF144" s="9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  <c r="DJ144" s="16"/>
      <c r="DK144" s="16"/>
      <c r="DL144" s="16"/>
    </row>
    <row r="145" ht="15.75" customHeight="1"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9"/>
      <c r="AK145" s="12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9"/>
      <c r="BH145" s="14"/>
      <c r="BI145" s="11"/>
      <c r="BJ145" s="11"/>
      <c r="BK145" s="11"/>
      <c r="BL145" s="11"/>
      <c r="BM145" s="11"/>
      <c r="BN145" s="11"/>
      <c r="BO145" s="11"/>
      <c r="BP145" s="11"/>
      <c r="BQ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9"/>
      <c r="CF145" s="9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</row>
    <row r="146" ht="15.75" customHeight="1"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9"/>
      <c r="AK146" s="12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9"/>
      <c r="BH146" s="14"/>
      <c r="BI146" s="11"/>
      <c r="BJ146" s="11"/>
      <c r="BK146" s="11"/>
      <c r="BL146" s="11"/>
      <c r="BM146" s="11"/>
      <c r="BN146" s="11"/>
      <c r="BO146" s="11"/>
      <c r="BP146" s="11"/>
      <c r="BQ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9"/>
      <c r="CF146" s="9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  <c r="DJ146" s="16"/>
      <c r="DK146" s="16"/>
      <c r="DL146" s="16"/>
    </row>
    <row r="147" ht="15.75" customHeight="1"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9"/>
      <c r="AK147" s="12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9"/>
      <c r="BH147" s="14"/>
      <c r="BI147" s="11"/>
      <c r="BJ147" s="11"/>
      <c r="BK147" s="11"/>
      <c r="BL147" s="11"/>
      <c r="BM147" s="11"/>
      <c r="BN147" s="11"/>
      <c r="BO147" s="11"/>
      <c r="BP147" s="11"/>
      <c r="BQ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9"/>
      <c r="CF147" s="9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/>
      <c r="DI147" s="16"/>
      <c r="DJ147" s="16"/>
      <c r="DK147" s="16"/>
      <c r="DL147" s="16"/>
    </row>
    <row r="148" ht="15.75" customHeight="1"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9"/>
      <c r="AK148" s="12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9"/>
      <c r="BH148" s="14"/>
      <c r="BI148" s="11"/>
      <c r="BJ148" s="11"/>
      <c r="BK148" s="11"/>
      <c r="BL148" s="11"/>
      <c r="BM148" s="11"/>
      <c r="BN148" s="11"/>
      <c r="BO148" s="11"/>
      <c r="BP148" s="11"/>
      <c r="BQ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9"/>
      <c r="CF148" s="9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  <c r="CU148" s="11"/>
      <c r="CV148" s="11"/>
      <c r="CW148" s="11"/>
      <c r="CX148" s="11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  <c r="DJ148" s="16"/>
      <c r="DK148" s="16"/>
      <c r="DL148" s="16"/>
    </row>
    <row r="149" ht="15.75" customHeight="1"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9"/>
      <c r="AK149" s="12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9"/>
      <c r="BH149" s="14"/>
      <c r="BI149" s="11"/>
      <c r="BJ149" s="11"/>
      <c r="BK149" s="11"/>
      <c r="BL149" s="11"/>
      <c r="BM149" s="11"/>
      <c r="BN149" s="11"/>
      <c r="BO149" s="11"/>
      <c r="BP149" s="11"/>
      <c r="BQ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9"/>
      <c r="CF149" s="9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  <c r="DJ149" s="16"/>
      <c r="DK149" s="16"/>
      <c r="DL149" s="16"/>
    </row>
    <row r="150" ht="15.75" customHeight="1"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9"/>
      <c r="AK150" s="12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9"/>
      <c r="BH150" s="14"/>
      <c r="BI150" s="11"/>
      <c r="BJ150" s="11"/>
      <c r="BK150" s="11"/>
      <c r="BL150" s="11"/>
      <c r="BM150" s="11"/>
      <c r="BN150" s="11"/>
      <c r="BO150" s="11"/>
      <c r="BP150" s="11"/>
      <c r="BQ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9"/>
      <c r="CF150" s="9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  <c r="DJ150" s="16"/>
      <c r="DK150" s="16"/>
      <c r="DL150" s="16"/>
    </row>
    <row r="151" ht="15.75" customHeight="1"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9"/>
      <c r="AK151" s="12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9"/>
      <c r="BH151" s="14"/>
      <c r="BI151" s="11"/>
      <c r="BJ151" s="11"/>
      <c r="BK151" s="11"/>
      <c r="BL151" s="11"/>
      <c r="BM151" s="11"/>
      <c r="BN151" s="11"/>
      <c r="BO151" s="11"/>
      <c r="BP151" s="11"/>
      <c r="BQ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9"/>
      <c r="CF151" s="9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  <c r="DJ151" s="16"/>
      <c r="DK151" s="16"/>
      <c r="DL151" s="16"/>
    </row>
    <row r="152" ht="15.75" customHeight="1"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9"/>
      <c r="AK152" s="12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9"/>
      <c r="BH152" s="14"/>
      <c r="BI152" s="11"/>
      <c r="BJ152" s="11"/>
      <c r="BK152" s="11"/>
      <c r="BL152" s="11"/>
      <c r="BM152" s="11"/>
      <c r="BN152" s="11"/>
      <c r="BO152" s="11"/>
      <c r="BP152" s="11"/>
      <c r="BQ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9"/>
      <c r="CF152" s="9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  <c r="DK152" s="16"/>
      <c r="DL152" s="16"/>
    </row>
    <row r="153" ht="15.75" customHeight="1"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9"/>
      <c r="AK153" s="12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9"/>
      <c r="BH153" s="14"/>
      <c r="BI153" s="11"/>
      <c r="BJ153" s="11"/>
      <c r="BK153" s="11"/>
      <c r="BL153" s="11"/>
      <c r="BM153" s="11"/>
      <c r="BN153" s="11"/>
      <c r="BO153" s="11"/>
      <c r="BP153" s="11"/>
      <c r="BQ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9"/>
      <c r="CF153" s="9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  <c r="DJ153" s="16"/>
      <c r="DK153" s="16"/>
      <c r="DL153" s="16"/>
    </row>
    <row r="154" ht="15.75" customHeight="1"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9"/>
      <c r="AK154" s="12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9"/>
      <c r="BH154" s="14"/>
      <c r="BI154" s="11"/>
      <c r="BJ154" s="11"/>
      <c r="BK154" s="11"/>
      <c r="BL154" s="11"/>
      <c r="BM154" s="11"/>
      <c r="BN154" s="11"/>
      <c r="BO154" s="11"/>
      <c r="BP154" s="11"/>
      <c r="BQ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9"/>
      <c r="CF154" s="9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  <c r="CU154" s="11"/>
      <c r="CV154" s="11"/>
      <c r="CW154" s="11"/>
      <c r="CX154" s="11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  <c r="DJ154" s="16"/>
      <c r="DK154" s="16"/>
      <c r="DL154" s="16"/>
    </row>
    <row r="155" ht="15.75" customHeight="1"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9"/>
      <c r="AK155" s="12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9"/>
      <c r="BH155" s="14"/>
      <c r="BI155" s="11"/>
      <c r="BJ155" s="11"/>
      <c r="BK155" s="11"/>
      <c r="BL155" s="11"/>
      <c r="BM155" s="11"/>
      <c r="BN155" s="11"/>
      <c r="BO155" s="11"/>
      <c r="BP155" s="11"/>
      <c r="BQ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9"/>
      <c r="CF155" s="9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  <c r="DJ155" s="16"/>
      <c r="DK155" s="16"/>
      <c r="DL155" s="16"/>
    </row>
    <row r="156" ht="15.75" customHeight="1"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9"/>
      <c r="AK156" s="12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9"/>
      <c r="BH156" s="14"/>
      <c r="BI156" s="11"/>
      <c r="BJ156" s="11"/>
      <c r="BK156" s="11"/>
      <c r="BL156" s="11"/>
      <c r="BM156" s="11"/>
      <c r="BN156" s="11"/>
      <c r="BO156" s="11"/>
      <c r="BP156" s="11"/>
      <c r="BQ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9"/>
      <c r="CF156" s="9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/>
      <c r="CW156" s="11"/>
      <c r="CX156" s="11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  <c r="DJ156" s="16"/>
      <c r="DK156" s="16"/>
      <c r="DL156" s="16"/>
    </row>
    <row r="157" ht="15.75" customHeight="1"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9"/>
      <c r="AK157" s="12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9"/>
      <c r="BH157" s="14"/>
      <c r="BI157" s="11"/>
      <c r="BJ157" s="11"/>
      <c r="BK157" s="11"/>
      <c r="BL157" s="11"/>
      <c r="BM157" s="11"/>
      <c r="BN157" s="11"/>
      <c r="BO157" s="11"/>
      <c r="BP157" s="11"/>
      <c r="BQ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9"/>
      <c r="CF157" s="9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/>
      <c r="DI157" s="16"/>
      <c r="DJ157" s="16"/>
      <c r="DK157" s="16"/>
      <c r="DL157" s="16"/>
    </row>
    <row r="158" ht="15.75" customHeight="1"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9"/>
      <c r="AK158" s="12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9"/>
      <c r="BH158" s="14"/>
      <c r="BI158" s="11"/>
      <c r="BJ158" s="11"/>
      <c r="BK158" s="11"/>
      <c r="BL158" s="11"/>
      <c r="BM158" s="11"/>
      <c r="BN158" s="11"/>
      <c r="BO158" s="11"/>
      <c r="BP158" s="11"/>
      <c r="BQ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9"/>
      <c r="CF158" s="9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  <c r="CU158" s="11"/>
      <c r="CV158" s="11"/>
      <c r="CW158" s="11"/>
      <c r="CX158" s="11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  <c r="DJ158" s="16"/>
      <c r="DK158" s="16"/>
      <c r="DL158" s="16"/>
    </row>
    <row r="159" ht="15.75" customHeight="1"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9"/>
      <c r="AK159" s="12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9"/>
      <c r="BH159" s="14"/>
      <c r="BI159" s="11"/>
      <c r="BJ159" s="11"/>
      <c r="BK159" s="11"/>
      <c r="BL159" s="11"/>
      <c r="BM159" s="11"/>
      <c r="BN159" s="11"/>
      <c r="BO159" s="11"/>
      <c r="BP159" s="11"/>
      <c r="BQ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9"/>
      <c r="CF159" s="9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  <c r="DK159" s="16"/>
      <c r="DL159" s="16"/>
    </row>
    <row r="160" ht="15.75" customHeight="1"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9"/>
      <c r="AK160" s="12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9"/>
      <c r="BH160" s="14"/>
      <c r="BI160" s="11"/>
      <c r="BJ160" s="11"/>
      <c r="BK160" s="11"/>
      <c r="BL160" s="11"/>
      <c r="BM160" s="11"/>
      <c r="BN160" s="11"/>
      <c r="BO160" s="11"/>
      <c r="BP160" s="11"/>
      <c r="BQ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9"/>
      <c r="CF160" s="9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  <c r="CS160" s="11"/>
      <c r="CT160" s="11"/>
      <c r="CU160" s="11"/>
      <c r="CV160" s="11"/>
      <c r="CW160" s="11"/>
      <c r="CX160" s="11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/>
      <c r="DI160" s="16"/>
      <c r="DJ160" s="16"/>
      <c r="DK160" s="16"/>
      <c r="DL160" s="16"/>
    </row>
    <row r="161" ht="15.75" customHeight="1"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9"/>
      <c r="AK161" s="12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9"/>
      <c r="BH161" s="14"/>
      <c r="BI161" s="11"/>
      <c r="BJ161" s="11"/>
      <c r="BK161" s="11"/>
      <c r="BL161" s="11"/>
      <c r="BM161" s="11"/>
      <c r="BN161" s="11"/>
      <c r="BO161" s="11"/>
      <c r="BP161" s="11"/>
      <c r="BQ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9"/>
      <c r="CF161" s="9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/>
      <c r="DI161" s="16"/>
      <c r="DJ161" s="16"/>
      <c r="DK161" s="16"/>
      <c r="DL161" s="16"/>
    </row>
    <row r="162" ht="15.75" customHeight="1"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9"/>
      <c r="AK162" s="12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9"/>
      <c r="BH162" s="14"/>
      <c r="BI162" s="11"/>
      <c r="BJ162" s="11"/>
      <c r="BK162" s="11"/>
      <c r="BL162" s="11"/>
      <c r="BM162" s="11"/>
      <c r="BN162" s="11"/>
      <c r="BO162" s="11"/>
      <c r="BP162" s="11"/>
      <c r="BQ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9"/>
      <c r="CF162" s="9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  <c r="CU162" s="11"/>
      <c r="CV162" s="11"/>
      <c r="CW162" s="11"/>
      <c r="CX162" s="11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  <c r="DJ162" s="16"/>
      <c r="DK162" s="16"/>
      <c r="DL162" s="16"/>
    </row>
    <row r="163" ht="15.75" customHeight="1"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9"/>
      <c r="AK163" s="12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9"/>
      <c r="BH163" s="14"/>
      <c r="BI163" s="11"/>
      <c r="BJ163" s="11"/>
      <c r="BK163" s="11"/>
      <c r="BL163" s="11"/>
      <c r="BM163" s="11"/>
      <c r="BN163" s="11"/>
      <c r="BO163" s="11"/>
      <c r="BP163" s="11"/>
      <c r="BQ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9"/>
      <c r="CF163" s="9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/>
      <c r="DI163" s="16"/>
      <c r="DJ163" s="16"/>
      <c r="DK163" s="16"/>
      <c r="DL163" s="16"/>
    </row>
    <row r="164" ht="15.75" customHeight="1"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9"/>
      <c r="AK164" s="12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9"/>
      <c r="BH164" s="14"/>
      <c r="BI164" s="11"/>
      <c r="BJ164" s="11"/>
      <c r="BK164" s="11"/>
      <c r="BL164" s="11"/>
      <c r="BM164" s="11"/>
      <c r="BN164" s="11"/>
      <c r="BO164" s="11"/>
      <c r="BP164" s="11"/>
      <c r="BQ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9"/>
      <c r="CF164" s="9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  <c r="CU164" s="11"/>
      <c r="CV164" s="11"/>
      <c r="CW164" s="11"/>
      <c r="CX164" s="11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/>
      <c r="DI164" s="16"/>
      <c r="DJ164" s="16"/>
      <c r="DK164" s="16"/>
      <c r="DL164" s="16"/>
    </row>
    <row r="165" ht="15.75" customHeight="1"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9"/>
      <c r="AK165" s="12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9"/>
      <c r="BH165" s="14"/>
      <c r="BI165" s="11"/>
      <c r="BJ165" s="11"/>
      <c r="BK165" s="11"/>
      <c r="BL165" s="11"/>
      <c r="BM165" s="11"/>
      <c r="BN165" s="11"/>
      <c r="BO165" s="11"/>
      <c r="BP165" s="11"/>
      <c r="BQ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9"/>
      <c r="CF165" s="9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  <c r="CV165" s="11"/>
      <c r="CW165" s="11"/>
      <c r="CX165" s="11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/>
      <c r="DI165" s="16"/>
      <c r="DJ165" s="16"/>
      <c r="DK165" s="16"/>
      <c r="DL165" s="16"/>
    </row>
    <row r="166" ht="15.75" customHeight="1"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9"/>
      <c r="AK166" s="12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9"/>
      <c r="BH166" s="14"/>
      <c r="BI166" s="11"/>
      <c r="BJ166" s="11"/>
      <c r="BK166" s="11"/>
      <c r="BL166" s="11"/>
      <c r="BM166" s="11"/>
      <c r="BN166" s="11"/>
      <c r="BO166" s="11"/>
      <c r="BP166" s="11"/>
      <c r="BQ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9"/>
      <c r="CF166" s="9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  <c r="CU166" s="11"/>
      <c r="CV166" s="11"/>
      <c r="CW166" s="11"/>
      <c r="CX166" s="11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</row>
    <row r="167" ht="15.75" customHeight="1"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9"/>
      <c r="AK167" s="12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9"/>
      <c r="BH167" s="14"/>
      <c r="BI167" s="11"/>
      <c r="BJ167" s="11"/>
      <c r="BK167" s="11"/>
      <c r="BL167" s="11"/>
      <c r="BM167" s="11"/>
      <c r="BN167" s="11"/>
      <c r="BO167" s="11"/>
      <c r="BP167" s="11"/>
      <c r="BQ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9"/>
      <c r="CF167" s="9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6"/>
      <c r="CZ167" s="16"/>
      <c r="DA167" s="16"/>
      <c r="DB167" s="16"/>
      <c r="DC167" s="16"/>
      <c r="DD167" s="16"/>
      <c r="DE167" s="16"/>
      <c r="DF167" s="16"/>
      <c r="DG167" s="16"/>
      <c r="DH167" s="16"/>
      <c r="DI167" s="16"/>
      <c r="DJ167" s="16"/>
      <c r="DK167" s="16"/>
      <c r="DL167" s="16"/>
    </row>
    <row r="168" ht="15.75" customHeight="1"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9"/>
      <c r="AK168" s="12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9"/>
      <c r="BH168" s="14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9"/>
      <c r="CF168" s="9"/>
      <c r="CG168" s="11"/>
      <c r="CH168" s="11"/>
      <c r="CI168" s="11"/>
      <c r="CJ168" s="11"/>
      <c r="CK168" s="11"/>
      <c r="CL168" s="11"/>
      <c r="CM168" s="11"/>
      <c r="CN168" s="11"/>
      <c r="CO168" s="11"/>
      <c r="CP168" s="11"/>
      <c r="CQ168" s="11"/>
      <c r="CR168" s="11"/>
      <c r="CS168" s="11"/>
      <c r="CT168" s="11"/>
      <c r="CU168" s="11"/>
      <c r="CV168" s="11"/>
      <c r="CW168" s="11"/>
      <c r="CX168" s="11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/>
      <c r="DI168" s="16"/>
      <c r="DJ168" s="16"/>
      <c r="DK168" s="16"/>
      <c r="DL168" s="16"/>
    </row>
    <row r="169" ht="15.75" customHeight="1"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9"/>
      <c r="AK169" s="12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9"/>
      <c r="BH169" s="14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9"/>
      <c r="CF169" s="9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/>
      <c r="DI169" s="16"/>
      <c r="DJ169" s="16"/>
      <c r="DK169" s="16"/>
      <c r="DL169" s="16"/>
    </row>
    <row r="170" ht="15.75" customHeight="1"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9"/>
      <c r="AK170" s="12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9"/>
      <c r="BH170" s="14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9"/>
      <c r="CF170" s="9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/>
      <c r="DI170" s="16"/>
      <c r="DJ170" s="16"/>
      <c r="DK170" s="16"/>
      <c r="DL170" s="16"/>
    </row>
    <row r="171" ht="15.75" customHeight="1"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9"/>
      <c r="AK171" s="12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9"/>
      <c r="BH171" s="14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9"/>
      <c r="CF171" s="9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  <c r="CW171" s="11"/>
      <c r="CX171" s="11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/>
      <c r="DI171" s="16"/>
      <c r="DJ171" s="16"/>
      <c r="DK171" s="16"/>
      <c r="DL171" s="16"/>
    </row>
    <row r="172" ht="15.75" customHeight="1"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9"/>
      <c r="AK172" s="12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9"/>
      <c r="BH172" s="14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9"/>
      <c r="CF172" s="9"/>
      <c r="CG172" s="11"/>
      <c r="CH172" s="11"/>
      <c r="CI172" s="11"/>
      <c r="CJ172" s="11"/>
      <c r="CK172" s="11"/>
      <c r="CL172" s="11"/>
      <c r="CM172" s="11"/>
      <c r="CN172" s="11"/>
      <c r="CO172" s="11"/>
      <c r="CP172" s="11"/>
      <c r="CQ172" s="11"/>
      <c r="CR172" s="11"/>
      <c r="CS172" s="11"/>
      <c r="CT172" s="11"/>
      <c r="CU172" s="11"/>
      <c r="CV172" s="11"/>
      <c r="CW172" s="11"/>
      <c r="CX172" s="11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/>
      <c r="DI172" s="16"/>
      <c r="DJ172" s="16"/>
      <c r="DK172" s="16"/>
      <c r="DL172" s="16"/>
    </row>
    <row r="173" ht="15.75" customHeight="1"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9"/>
      <c r="AK173" s="12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9"/>
      <c r="BH173" s="14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9"/>
      <c r="CF173" s="9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</row>
    <row r="174" ht="15.75" customHeight="1"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9"/>
      <c r="AK174" s="12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9"/>
      <c r="BH174" s="14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9"/>
      <c r="CF174" s="9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/>
      <c r="CQ174" s="11"/>
      <c r="CR174" s="11"/>
      <c r="CS174" s="11"/>
      <c r="CT174" s="11"/>
      <c r="CU174" s="11"/>
      <c r="CV174" s="11"/>
      <c r="CW174" s="11"/>
      <c r="CX174" s="11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  <c r="DJ174" s="16"/>
      <c r="DK174" s="16"/>
      <c r="DL174" s="16"/>
    </row>
    <row r="175" ht="15.75" customHeight="1"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9"/>
      <c r="AK175" s="12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9"/>
      <c r="BH175" s="14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9"/>
      <c r="CF175" s="9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  <c r="CU175" s="11"/>
      <c r="CV175" s="11"/>
      <c r="CW175" s="11"/>
      <c r="CX175" s="11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/>
      <c r="DI175" s="16"/>
      <c r="DJ175" s="16"/>
      <c r="DK175" s="16"/>
      <c r="DL175" s="16"/>
    </row>
    <row r="176" ht="15.75" customHeight="1"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9"/>
      <c r="AK176" s="12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9"/>
      <c r="BH176" s="14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9"/>
      <c r="CF176" s="9"/>
      <c r="CG176" s="11"/>
      <c r="CH176" s="11"/>
      <c r="CI176" s="11"/>
      <c r="CJ176" s="11"/>
      <c r="CK176" s="11"/>
      <c r="CL176" s="11"/>
      <c r="CM176" s="11"/>
      <c r="CN176" s="11"/>
      <c r="CO176" s="11"/>
      <c r="CP176" s="11"/>
      <c r="CQ176" s="11"/>
      <c r="CR176" s="11"/>
      <c r="CS176" s="11"/>
      <c r="CT176" s="11"/>
      <c r="CU176" s="11"/>
      <c r="CV176" s="11"/>
      <c r="CW176" s="11"/>
      <c r="CX176" s="11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/>
      <c r="DI176" s="16"/>
      <c r="DJ176" s="16"/>
      <c r="DK176" s="16"/>
      <c r="DL176" s="16"/>
    </row>
    <row r="177" ht="15.75" customHeight="1">
      <c r="A177" s="9"/>
      <c r="B177" s="11"/>
      <c r="C177" s="11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9"/>
      <c r="AK177" s="12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9"/>
      <c r="BH177" s="14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9"/>
      <c r="CF177" s="9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6"/>
      <c r="CZ177" s="16"/>
      <c r="DA177" s="16"/>
      <c r="DB177" s="16"/>
      <c r="DC177" s="16"/>
      <c r="DD177" s="16"/>
      <c r="DE177" s="16"/>
      <c r="DF177" s="16"/>
      <c r="DG177" s="16"/>
      <c r="DH177" s="16"/>
      <c r="DI177" s="16"/>
      <c r="DJ177" s="16"/>
      <c r="DK177" s="16"/>
      <c r="DL177" s="16"/>
    </row>
    <row r="178" ht="15.75" customHeight="1">
      <c r="A178" s="9"/>
      <c r="B178" s="11"/>
      <c r="C178" s="11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9"/>
      <c r="AK178" s="12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9"/>
      <c r="BH178" s="14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9"/>
      <c r="CF178" s="9"/>
      <c r="CG178" s="11"/>
      <c r="CH178" s="11"/>
      <c r="CI178" s="11"/>
      <c r="CJ178" s="11"/>
      <c r="CK178" s="11"/>
      <c r="CL178" s="11"/>
      <c r="CM178" s="11"/>
      <c r="CN178" s="11"/>
      <c r="CO178" s="11"/>
      <c r="CP178" s="11"/>
      <c r="CQ178" s="11"/>
      <c r="CR178" s="11"/>
      <c r="CS178" s="11"/>
      <c r="CT178" s="11"/>
      <c r="CU178" s="11"/>
      <c r="CV178" s="11"/>
      <c r="CW178" s="11"/>
      <c r="CX178" s="11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  <c r="DJ178" s="16"/>
      <c r="DK178" s="16"/>
      <c r="DL178" s="16"/>
    </row>
    <row r="179" ht="15.75" customHeight="1">
      <c r="A179" s="9"/>
      <c r="B179" s="11"/>
      <c r="C179" s="11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9"/>
      <c r="AK179" s="12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9"/>
      <c r="BH179" s="14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9"/>
      <c r="CF179" s="9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  <c r="CU179" s="11"/>
      <c r="CV179" s="11"/>
      <c r="CW179" s="11"/>
      <c r="CX179" s="11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  <c r="DJ179" s="16"/>
      <c r="DK179" s="16"/>
      <c r="DL179" s="16"/>
    </row>
    <row r="180" ht="15.75" customHeight="1">
      <c r="A180" s="9"/>
      <c r="B180" s="11"/>
      <c r="C180" s="11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9"/>
      <c r="AK180" s="12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9"/>
      <c r="BH180" s="14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9"/>
      <c r="CF180" s="9"/>
      <c r="CG180" s="11"/>
      <c r="CH180" s="11"/>
      <c r="CI180" s="11"/>
      <c r="CJ180" s="11"/>
      <c r="CK180" s="11"/>
      <c r="CL180" s="11"/>
      <c r="CM180" s="11"/>
      <c r="CN180" s="11"/>
      <c r="CO180" s="11"/>
      <c r="CP180" s="11"/>
      <c r="CQ180" s="11"/>
      <c r="CR180" s="11"/>
      <c r="CS180" s="11"/>
      <c r="CT180" s="11"/>
      <c r="CU180" s="11"/>
      <c r="CV180" s="11"/>
      <c r="CW180" s="11"/>
      <c r="CX180" s="11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  <c r="DJ180" s="16"/>
      <c r="DK180" s="16"/>
      <c r="DL180" s="16"/>
    </row>
    <row r="181" ht="15.75" customHeight="1">
      <c r="A181" s="9"/>
      <c r="B181" s="11"/>
      <c r="C181" s="11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9"/>
      <c r="AK181" s="12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9"/>
      <c r="BH181" s="14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9"/>
      <c r="CF181" s="9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/>
      <c r="DI181" s="16"/>
      <c r="DJ181" s="16"/>
      <c r="DK181" s="16"/>
      <c r="DL181" s="16"/>
    </row>
    <row r="182" ht="15.75" customHeight="1">
      <c r="A182" s="9"/>
      <c r="B182" s="11"/>
      <c r="C182" s="11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9"/>
      <c r="AK182" s="12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9"/>
      <c r="BH182" s="14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9"/>
      <c r="CF182" s="9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  <c r="CU182" s="11"/>
      <c r="CV182" s="11"/>
      <c r="CW182" s="11"/>
      <c r="CX182" s="11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6"/>
      <c r="DJ182" s="16"/>
      <c r="DK182" s="16"/>
      <c r="DL182" s="16"/>
    </row>
    <row r="183" ht="15.75" customHeight="1">
      <c r="A183" s="9"/>
      <c r="B183" s="11"/>
      <c r="C183" s="11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9"/>
      <c r="AK183" s="12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9"/>
      <c r="BH183" s="14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9"/>
      <c r="CF183" s="9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/>
      <c r="DI183" s="16"/>
      <c r="DJ183" s="16"/>
      <c r="DK183" s="16"/>
      <c r="DL183" s="16"/>
    </row>
    <row r="184" ht="15.75" customHeight="1">
      <c r="A184" s="9"/>
      <c r="B184" s="11"/>
      <c r="C184" s="11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9"/>
      <c r="AK184" s="12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9"/>
      <c r="BH184" s="14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9"/>
      <c r="CF184" s="9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6"/>
      <c r="DJ184" s="16"/>
      <c r="DK184" s="16"/>
      <c r="DL184" s="16"/>
    </row>
    <row r="185" ht="15.75" customHeight="1">
      <c r="A185" s="9"/>
      <c r="B185" s="11"/>
      <c r="C185" s="11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9"/>
      <c r="AK185" s="12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9"/>
      <c r="BH185" s="14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9"/>
      <c r="CF185" s="9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/>
      <c r="DI185" s="16"/>
      <c r="DJ185" s="16"/>
      <c r="DK185" s="16"/>
      <c r="DL185" s="16"/>
    </row>
    <row r="186" ht="15.75" customHeight="1">
      <c r="A186" s="9"/>
      <c r="B186" s="11"/>
      <c r="C186" s="11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9"/>
      <c r="AK186" s="12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9"/>
      <c r="BH186" s="14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9"/>
      <c r="CF186" s="9"/>
      <c r="CG186" s="11"/>
      <c r="CH186" s="11"/>
      <c r="CI186" s="11"/>
      <c r="CJ186" s="11"/>
      <c r="CK186" s="11"/>
      <c r="CL186" s="11"/>
      <c r="CM186" s="11"/>
      <c r="CN186" s="11"/>
      <c r="CO186" s="11"/>
      <c r="CP186" s="11"/>
      <c r="CQ186" s="11"/>
      <c r="CR186" s="11"/>
      <c r="CS186" s="11"/>
      <c r="CT186" s="11"/>
      <c r="CU186" s="11"/>
      <c r="CV186" s="11"/>
      <c r="CW186" s="11"/>
      <c r="CX186" s="11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/>
      <c r="DI186" s="16"/>
      <c r="DJ186" s="16"/>
      <c r="DK186" s="16"/>
      <c r="DL186" s="16"/>
    </row>
    <row r="187" ht="15.75" customHeight="1">
      <c r="A187" s="9"/>
      <c r="B187" s="11"/>
      <c r="C187" s="11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9"/>
      <c r="AK187" s="12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9"/>
      <c r="BH187" s="14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9"/>
      <c r="CF187" s="9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  <c r="CU187" s="11"/>
      <c r="CV187" s="11"/>
      <c r="CW187" s="11"/>
      <c r="CX187" s="11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/>
      <c r="DI187" s="16"/>
      <c r="DJ187" s="16"/>
      <c r="DK187" s="16"/>
      <c r="DL187" s="16"/>
    </row>
    <row r="188" ht="15.75" customHeight="1">
      <c r="A188" s="9"/>
      <c r="B188" s="11"/>
      <c r="C188" s="11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9"/>
      <c r="AK188" s="12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9"/>
      <c r="BH188" s="14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9"/>
      <c r="CF188" s="9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  <c r="CT188" s="11"/>
      <c r="CU188" s="11"/>
      <c r="CV188" s="11"/>
      <c r="CW188" s="11"/>
      <c r="CX188" s="11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/>
      <c r="DI188" s="16"/>
      <c r="DJ188" s="16"/>
      <c r="DK188" s="16"/>
      <c r="DL188" s="16"/>
    </row>
    <row r="189" ht="15.75" customHeight="1">
      <c r="A189" s="9"/>
      <c r="B189" s="11"/>
      <c r="C189" s="11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9"/>
      <c r="AK189" s="12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9"/>
      <c r="BH189" s="14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9"/>
      <c r="CF189" s="9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  <c r="CV189" s="11"/>
      <c r="CW189" s="11"/>
      <c r="CX189" s="11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/>
      <c r="DI189" s="16"/>
      <c r="DJ189" s="16"/>
      <c r="DK189" s="16"/>
      <c r="DL189" s="16"/>
    </row>
    <row r="190" ht="15.75" customHeight="1">
      <c r="A190" s="9"/>
      <c r="B190" s="11"/>
      <c r="C190" s="11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9"/>
      <c r="AK190" s="12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9"/>
      <c r="BH190" s="14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9"/>
      <c r="CF190" s="9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/>
      <c r="DI190" s="16"/>
      <c r="DJ190" s="16"/>
      <c r="DK190" s="16"/>
      <c r="DL190" s="16"/>
    </row>
    <row r="191" ht="15.75" customHeight="1">
      <c r="A191" s="9"/>
      <c r="B191" s="11"/>
      <c r="C191" s="11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9"/>
      <c r="AK191" s="12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9"/>
      <c r="BH191" s="14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9"/>
      <c r="CF191" s="9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  <c r="CV191" s="11"/>
      <c r="CW191" s="11"/>
      <c r="CX191" s="11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/>
      <c r="DI191" s="16"/>
      <c r="DJ191" s="16"/>
      <c r="DK191" s="16"/>
      <c r="DL191" s="16"/>
    </row>
    <row r="192" ht="15.75" customHeight="1">
      <c r="A192" s="9"/>
      <c r="B192" s="11"/>
      <c r="C192" s="11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9"/>
      <c r="AK192" s="12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9"/>
      <c r="BH192" s="14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9"/>
      <c r="CF192" s="9"/>
      <c r="CG192" s="11"/>
      <c r="CH192" s="11"/>
      <c r="CI192" s="11"/>
      <c r="CJ192" s="11"/>
      <c r="CK192" s="11"/>
      <c r="CL192" s="11"/>
      <c r="CM192" s="11"/>
      <c r="CN192" s="11"/>
      <c r="CO192" s="11"/>
      <c r="CP192" s="11"/>
      <c r="CQ192" s="11"/>
      <c r="CR192" s="11"/>
      <c r="CS192" s="11"/>
      <c r="CT192" s="11"/>
      <c r="CU192" s="11"/>
      <c r="CV192" s="11"/>
      <c r="CW192" s="11"/>
      <c r="CX192" s="11"/>
      <c r="CY192" s="16"/>
      <c r="CZ192" s="16"/>
      <c r="DA192" s="16"/>
      <c r="DB192" s="16"/>
      <c r="DC192" s="16"/>
      <c r="DD192" s="16"/>
      <c r="DE192" s="16"/>
      <c r="DF192" s="16"/>
      <c r="DG192" s="16"/>
      <c r="DH192" s="16"/>
      <c r="DI192" s="16"/>
      <c r="DJ192" s="16"/>
      <c r="DK192" s="16"/>
      <c r="DL192" s="16"/>
    </row>
    <row r="193" ht="15.75" customHeight="1">
      <c r="A193" s="9"/>
      <c r="B193" s="11"/>
      <c r="C193" s="11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9"/>
      <c r="AK193" s="12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9"/>
      <c r="BH193" s="14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9"/>
      <c r="CF193" s="9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  <c r="CV193" s="11"/>
      <c r="CW193" s="11"/>
      <c r="CX193" s="11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/>
      <c r="DI193" s="16"/>
      <c r="DJ193" s="16"/>
      <c r="DK193" s="16"/>
      <c r="DL193" s="16"/>
    </row>
    <row r="194" ht="15.75" customHeight="1">
      <c r="A194" s="9"/>
      <c r="B194" s="11"/>
      <c r="C194" s="11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9"/>
      <c r="AK194" s="12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9"/>
      <c r="BH194" s="14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9"/>
      <c r="CF194" s="9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  <c r="CU194" s="11"/>
      <c r="CV194" s="11"/>
      <c r="CW194" s="11"/>
      <c r="CX194" s="11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  <c r="DJ194" s="16"/>
      <c r="DK194" s="16"/>
      <c r="DL194" s="16"/>
    </row>
    <row r="195" ht="15.75" customHeight="1">
      <c r="A195" s="9"/>
      <c r="B195" s="11"/>
      <c r="C195" s="11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9"/>
      <c r="AK195" s="12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9"/>
      <c r="BH195" s="14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9"/>
      <c r="CF195" s="9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/>
      <c r="DI195" s="16"/>
      <c r="DJ195" s="16"/>
      <c r="DK195" s="16"/>
      <c r="DL195" s="16"/>
    </row>
    <row r="196" ht="15.75" customHeight="1">
      <c r="A196" s="9"/>
      <c r="B196" s="11"/>
      <c r="C196" s="11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9"/>
      <c r="AK196" s="12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9"/>
      <c r="BH196" s="14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9"/>
      <c r="CF196" s="9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  <c r="CU196" s="11"/>
      <c r="CV196" s="11"/>
      <c r="CW196" s="11"/>
      <c r="CX196" s="11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/>
      <c r="DI196" s="16"/>
      <c r="DJ196" s="16"/>
      <c r="DK196" s="16"/>
      <c r="DL196" s="16"/>
    </row>
    <row r="197" ht="15.75" customHeight="1">
      <c r="A197" s="9"/>
      <c r="B197" s="11"/>
      <c r="C197" s="11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9"/>
      <c r="AK197" s="12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9"/>
      <c r="BH197" s="14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9"/>
      <c r="CF197" s="9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6"/>
      <c r="CZ197" s="16"/>
      <c r="DA197" s="16"/>
      <c r="DB197" s="16"/>
      <c r="DC197" s="16"/>
      <c r="DD197" s="16"/>
      <c r="DE197" s="16"/>
      <c r="DF197" s="16"/>
      <c r="DG197" s="16"/>
      <c r="DH197" s="16"/>
      <c r="DI197" s="16"/>
      <c r="DJ197" s="16"/>
      <c r="DK197" s="16"/>
      <c r="DL197" s="16"/>
    </row>
    <row r="198" ht="15.75" customHeight="1">
      <c r="A198" s="9"/>
      <c r="B198" s="11"/>
      <c r="C198" s="11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9"/>
      <c r="AK198" s="12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9"/>
      <c r="BH198" s="14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9"/>
      <c r="CF198" s="9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6"/>
      <c r="CZ198" s="16"/>
      <c r="DA198" s="16"/>
      <c r="DB198" s="16"/>
      <c r="DC198" s="16"/>
      <c r="DD198" s="16"/>
      <c r="DE198" s="16"/>
      <c r="DF198" s="16"/>
      <c r="DG198" s="16"/>
      <c r="DH198" s="16"/>
      <c r="DI198" s="16"/>
      <c r="DJ198" s="16"/>
      <c r="DK198" s="16"/>
      <c r="DL198" s="16"/>
    </row>
    <row r="199" ht="15.75" customHeight="1">
      <c r="A199" s="9"/>
      <c r="B199" s="11"/>
      <c r="C199" s="11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9"/>
      <c r="AK199" s="12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9"/>
      <c r="BH199" s="14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9"/>
      <c r="CF199" s="9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6"/>
      <c r="CZ199" s="16"/>
      <c r="DA199" s="16"/>
      <c r="DB199" s="16"/>
      <c r="DC199" s="16"/>
      <c r="DD199" s="16"/>
      <c r="DE199" s="16"/>
      <c r="DF199" s="16"/>
      <c r="DG199" s="16"/>
      <c r="DH199" s="16"/>
      <c r="DI199" s="16"/>
      <c r="DJ199" s="16"/>
      <c r="DK199" s="16"/>
      <c r="DL199" s="16"/>
    </row>
    <row r="200" ht="15.75" customHeight="1">
      <c r="A200" s="9"/>
      <c r="B200" s="11"/>
      <c r="C200" s="11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9"/>
      <c r="AK200" s="12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9"/>
      <c r="BH200" s="14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9"/>
      <c r="CF200" s="9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/>
      <c r="DI200" s="16"/>
      <c r="DJ200" s="16"/>
      <c r="DK200" s="16"/>
      <c r="DL200" s="16"/>
    </row>
    <row r="201" ht="15.75" customHeight="1">
      <c r="A201" s="9"/>
      <c r="B201" s="11"/>
      <c r="C201" s="11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9"/>
      <c r="AK201" s="12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9"/>
      <c r="BH201" s="14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9"/>
      <c r="CF201" s="9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/>
      <c r="DI201" s="16"/>
      <c r="DJ201" s="16"/>
      <c r="DK201" s="16"/>
      <c r="DL201" s="16"/>
    </row>
    <row r="202" ht="15.75" customHeight="1">
      <c r="A202" s="9"/>
      <c r="B202" s="11"/>
      <c r="C202" s="11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9"/>
      <c r="AK202" s="12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9"/>
      <c r="BH202" s="14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9"/>
      <c r="CF202" s="9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  <c r="CV202" s="11"/>
      <c r="CW202" s="11"/>
      <c r="CX202" s="11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/>
      <c r="DI202" s="16"/>
      <c r="DJ202" s="16"/>
      <c r="DK202" s="16"/>
      <c r="DL202" s="16"/>
    </row>
    <row r="203" ht="15.75" customHeight="1">
      <c r="A203" s="9"/>
      <c r="B203" s="11"/>
      <c r="C203" s="11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9"/>
      <c r="AK203" s="12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9"/>
      <c r="BH203" s="14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9"/>
      <c r="CF203" s="9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/>
      <c r="DI203" s="16"/>
      <c r="DJ203" s="16"/>
      <c r="DK203" s="16"/>
      <c r="DL203" s="16"/>
    </row>
    <row r="204" ht="15.75" customHeight="1">
      <c r="A204" s="9"/>
      <c r="B204" s="11"/>
      <c r="C204" s="11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9"/>
      <c r="AK204" s="12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9"/>
      <c r="BH204" s="14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9"/>
      <c r="CF204" s="9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  <c r="CV204" s="11"/>
      <c r="CW204" s="11"/>
      <c r="CX204" s="11"/>
      <c r="CY204" s="16"/>
      <c r="CZ204" s="16"/>
      <c r="DA204" s="16"/>
      <c r="DB204" s="16"/>
      <c r="DC204" s="16"/>
      <c r="DD204" s="16"/>
      <c r="DE204" s="16"/>
      <c r="DF204" s="16"/>
      <c r="DG204" s="16"/>
      <c r="DH204" s="16"/>
      <c r="DI204" s="16"/>
      <c r="DJ204" s="16"/>
      <c r="DK204" s="16"/>
      <c r="DL204" s="16"/>
    </row>
    <row r="205" ht="15.75" customHeight="1">
      <c r="A205" s="9"/>
      <c r="B205" s="11"/>
      <c r="C205" s="11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9"/>
      <c r="AK205" s="12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9"/>
      <c r="BH205" s="14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9"/>
      <c r="CF205" s="9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/>
      <c r="DI205" s="16"/>
      <c r="DJ205" s="16"/>
      <c r="DK205" s="16"/>
      <c r="DL205" s="16"/>
    </row>
    <row r="206" ht="15.75" customHeight="1">
      <c r="A206" s="9"/>
      <c r="B206" s="11"/>
      <c r="C206" s="11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9"/>
      <c r="AK206" s="12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9"/>
      <c r="BH206" s="14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9"/>
      <c r="CF206" s="9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/>
      <c r="DI206" s="16"/>
      <c r="DJ206" s="16"/>
      <c r="DK206" s="16"/>
      <c r="DL206" s="16"/>
    </row>
    <row r="207" ht="15.75" customHeight="1">
      <c r="A207" s="9"/>
      <c r="B207" s="11"/>
      <c r="C207" s="11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9"/>
      <c r="AK207" s="12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9"/>
      <c r="BH207" s="14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9"/>
      <c r="CF207" s="9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/>
      <c r="DI207" s="16"/>
      <c r="DJ207" s="16"/>
      <c r="DK207" s="16"/>
      <c r="DL207" s="16"/>
    </row>
    <row r="208" ht="15.75" customHeight="1">
      <c r="A208" s="9"/>
      <c r="B208" s="11"/>
      <c r="C208" s="11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9"/>
      <c r="AK208" s="12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9"/>
      <c r="BH208" s="14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9"/>
      <c r="CF208" s="9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  <c r="CU208" s="11"/>
      <c r="CV208" s="11"/>
      <c r="CW208" s="11"/>
      <c r="CX208" s="11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/>
      <c r="DI208" s="16"/>
      <c r="DJ208" s="16"/>
      <c r="DK208" s="16"/>
      <c r="DL208" s="16"/>
    </row>
    <row r="209" ht="15.75" customHeight="1">
      <c r="A209" s="9"/>
      <c r="B209" s="11"/>
      <c r="C209" s="11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9"/>
      <c r="AK209" s="12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9"/>
      <c r="BH209" s="14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9"/>
      <c r="CF209" s="9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/>
      <c r="DI209" s="16"/>
      <c r="DJ209" s="16"/>
      <c r="DK209" s="16"/>
      <c r="DL209" s="16"/>
    </row>
    <row r="210" ht="15.75" customHeight="1">
      <c r="A210" s="9"/>
      <c r="B210" s="11"/>
      <c r="C210" s="11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9"/>
      <c r="AK210" s="12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9"/>
      <c r="BH210" s="14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9"/>
      <c r="CF210" s="9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  <c r="CU210" s="11"/>
      <c r="CV210" s="11"/>
      <c r="CW210" s="11"/>
      <c r="CX210" s="11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/>
      <c r="DI210" s="16"/>
      <c r="DJ210" s="16"/>
      <c r="DK210" s="16"/>
      <c r="DL210" s="16"/>
    </row>
    <row r="211" ht="15.75" customHeight="1">
      <c r="A211" s="9"/>
      <c r="B211" s="11"/>
      <c r="C211" s="11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9"/>
      <c r="AK211" s="12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9"/>
      <c r="BH211" s="14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9"/>
      <c r="CF211" s="9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/>
      <c r="CY211" s="16"/>
      <c r="CZ211" s="16"/>
      <c r="DA211" s="16"/>
      <c r="DB211" s="16"/>
      <c r="DC211" s="16"/>
      <c r="DD211" s="16"/>
      <c r="DE211" s="16"/>
      <c r="DF211" s="16"/>
      <c r="DG211" s="16"/>
      <c r="DH211" s="16"/>
      <c r="DI211" s="16"/>
      <c r="DJ211" s="16"/>
      <c r="DK211" s="16"/>
      <c r="DL211" s="16"/>
    </row>
    <row r="212" ht="15.75" customHeight="1">
      <c r="A212" s="9"/>
      <c r="B212" s="11"/>
      <c r="C212" s="11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9"/>
      <c r="AK212" s="12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9"/>
      <c r="BH212" s="14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9"/>
      <c r="CF212" s="9"/>
      <c r="CG212" s="11"/>
      <c r="CH212" s="11"/>
      <c r="CI212" s="11"/>
      <c r="CJ212" s="11"/>
      <c r="CK212" s="11"/>
      <c r="CL212" s="11"/>
      <c r="CM212" s="11"/>
      <c r="CN212" s="11"/>
      <c r="CO212" s="11"/>
      <c r="CP212" s="11"/>
      <c r="CQ212" s="11"/>
      <c r="CR212" s="11"/>
      <c r="CS212" s="11"/>
      <c r="CT212" s="11"/>
      <c r="CU212" s="11"/>
      <c r="CV212" s="11"/>
      <c r="CW212" s="11"/>
      <c r="CX212" s="11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/>
      <c r="DI212" s="16"/>
      <c r="DJ212" s="16"/>
      <c r="DK212" s="16"/>
      <c r="DL212" s="16"/>
    </row>
    <row r="213" ht="15.75" customHeight="1">
      <c r="A213" s="9"/>
      <c r="B213" s="11"/>
      <c r="C213" s="11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9"/>
      <c r="AK213" s="12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9"/>
      <c r="BH213" s="14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9"/>
      <c r="CF213" s="9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/>
      <c r="DI213" s="16"/>
      <c r="DJ213" s="16"/>
      <c r="DK213" s="16"/>
      <c r="DL213" s="16"/>
    </row>
    <row r="214" ht="15.75" customHeight="1">
      <c r="A214" s="9"/>
      <c r="B214" s="11"/>
      <c r="C214" s="11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9"/>
      <c r="AK214" s="12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9"/>
      <c r="BH214" s="14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9"/>
      <c r="CF214" s="9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  <c r="CT214" s="11"/>
      <c r="CU214" s="11"/>
      <c r="CV214" s="11"/>
      <c r="CW214" s="11"/>
      <c r="CX214" s="11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/>
      <c r="DI214" s="16"/>
      <c r="DJ214" s="16"/>
      <c r="DK214" s="16"/>
      <c r="DL214" s="16"/>
    </row>
    <row r="215" ht="15.75" customHeight="1">
      <c r="A215" s="9"/>
      <c r="B215" s="11"/>
      <c r="C215" s="11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9"/>
      <c r="AK215" s="12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9"/>
      <c r="BH215" s="14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9"/>
      <c r="CF215" s="9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6"/>
      <c r="CZ215" s="16"/>
      <c r="DA215" s="16"/>
      <c r="DB215" s="16"/>
      <c r="DC215" s="16"/>
      <c r="DD215" s="16"/>
      <c r="DE215" s="16"/>
      <c r="DF215" s="16"/>
      <c r="DG215" s="16"/>
      <c r="DH215" s="16"/>
      <c r="DI215" s="16"/>
      <c r="DJ215" s="16"/>
      <c r="DK215" s="16"/>
      <c r="DL215" s="16"/>
    </row>
    <row r="216" ht="15.75" customHeight="1">
      <c r="A216" s="9"/>
      <c r="B216" s="11"/>
      <c r="C216" s="11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9"/>
      <c r="AK216" s="12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9"/>
      <c r="BH216" s="14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9"/>
      <c r="CF216" s="9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  <c r="CU216" s="11"/>
      <c r="CV216" s="11"/>
      <c r="CW216" s="11"/>
      <c r="CX216" s="11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/>
      <c r="DI216" s="16"/>
      <c r="DJ216" s="16"/>
      <c r="DK216" s="16"/>
      <c r="DL216" s="16"/>
    </row>
    <row r="217" ht="15.75" customHeight="1">
      <c r="A217" s="9"/>
      <c r="B217" s="11"/>
      <c r="C217" s="11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9"/>
      <c r="AK217" s="12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9"/>
      <c r="BH217" s="14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9"/>
      <c r="CF217" s="9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6"/>
      <c r="DJ217" s="16"/>
      <c r="DK217" s="16"/>
      <c r="DL217" s="16"/>
    </row>
    <row r="218" ht="15.75" customHeight="1">
      <c r="A218" s="9"/>
      <c r="B218" s="11"/>
      <c r="C218" s="11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9"/>
      <c r="AK218" s="12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9"/>
      <c r="BH218" s="14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9"/>
      <c r="CF218" s="9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/>
      <c r="DI218" s="16"/>
      <c r="DJ218" s="16"/>
      <c r="DK218" s="16"/>
      <c r="DL218" s="16"/>
    </row>
    <row r="219" ht="15.75" customHeight="1">
      <c r="A219" s="9"/>
      <c r="B219" s="11"/>
      <c r="C219" s="11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9"/>
      <c r="AK219" s="12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9"/>
      <c r="BH219" s="14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9"/>
      <c r="CF219" s="9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  <c r="DJ219" s="16"/>
      <c r="DK219" s="16"/>
      <c r="DL219" s="16"/>
    </row>
    <row r="220" ht="15.75" customHeight="1">
      <c r="A220" s="9"/>
      <c r="B220" s="11"/>
      <c r="C220" s="11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9"/>
      <c r="AK220" s="12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9"/>
      <c r="BH220" s="14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9"/>
      <c r="CF220" s="9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  <c r="CU220" s="11"/>
      <c r="CV220" s="11"/>
      <c r="CW220" s="11"/>
      <c r="CX220" s="11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/>
      <c r="DI220" s="16"/>
      <c r="DJ220" s="16"/>
      <c r="DK220" s="16"/>
      <c r="DL220" s="16"/>
    </row>
    <row r="221" ht="15.75" customHeight="1">
      <c r="A221" s="9"/>
      <c r="B221" s="11"/>
      <c r="C221" s="11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9"/>
      <c r="AK221" s="12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9"/>
      <c r="BH221" s="14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9"/>
      <c r="CF221" s="9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  <c r="CV221" s="11"/>
      <c r="CW221" s="11"/>
      <c r="CX221" s="11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/>
      <c r="DI221" s="16"/>
      <c r="DJ221" s="16"/>
      <c r="DK221" s="16"/>
      <c r="DL221" s="16"/>
    </row>
    <row r="222" ht="15.75" customHeight="1">
      <c r="A222" s="9"/>
      <c r="B222" s="11"/>
      <c r="C222" s="11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9"/>
      <c r="AK222" s="12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9"/>
      <c r="BH222" s="14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9"/>
      <c r="CF222" s="9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  <c r="CU222" s="11"/>
      <c r="CV222" s="11"/>
      <c r="CW222" s="11"/>
      <c r="CX222" s="11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/>
      <c r="DI222" s="16"/>
      <c r="DJ222" s="16"/>
      <c r="DK222" s="16"/>
      <c r="DL222" s="16"/>
    </row>
    <row r="223" ht="15.75" customHeight="1">
      <c r="A223" s="9"/>
      <c r="B223" s="11"/>
      <c r="C223" s="11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9"/>
      <c r="AK223" s="12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9"/>
      <c r="BH223" s="14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9"/>
      <c r="CF223" s="9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  <c r="CV223" s="11"/>
      <c r="CW223" s="11"/>
      <c r="CX223" s="11"/>
      <c r="CY223" s="16"/>
      <c r="CZ223" s="16"/>
      <c r="DA223" s="16"/>
      <c r="DB223" s="16"/>
      <c r="DC223" s="16"/>
      <c r="DD223" s="16"/>
      <c r="DE223" s="16"/>
      <c r="DF223" s="16"/>
      <c r="DG223" s="16"/>
      <c r="DH223" s="16"/>
      <c r="DI223" s="16"/>
      <c r="DJ223" s="16"/>
      <c r="DK223" s="16"/>
      <c r="DL223" s="16"/>
    </row>
    <row r="224" ht="15.75" customHeight="1">
      <c r="A224" s="9"/>
      <c r="B224" s="11"/>
      <c r="C224" s="11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9"/>
      <c r="AK224" s="12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9"/>
      <c r="BH224" s="14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9"/>
      <c r="CF224" s="9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/>
      <c r="DI224" s="16"/>
      <c r="DJ224" s="16"/>
      <c r="DK224" s="16"/>
      <c r="DL224" s="16"/>
    </row>
    <row r="225" ht="15.75" customHeight="1">
      <c r="A225" s="9"/>
      <c r="B225" s="11"/>
      <c r="C225" s="11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9"/>
      <c r="AK225" s="12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9"/>
      <c r="BH225" s="14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9"/>
      <c r="CF225" s="9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6"/>
      <c r="CZ225" s="16"/>
      <c r="DA225" s="16"/>
      <c r="DB225" s="16"/>
      <c r="DC225" s="16"/>
      <c r="DD225" s="16"/>
      <c r="DE225" s="16"/>
      <c r="DF225" s="16"/>
      <c r="DG225" s="16"/>
      <c r="DH225" s="16"/>
      <c r="DI225" s="16"/>
      <c r="DJ225" s="16"/>
      <c r="DK225" s="16"/>
      <c r="DL225" s="16"/>
    </row>
    <row r="226" ht="15.75" customHeight="1">
      <c r="A226" s="9"/>
      <c r="B226" s="11"/>
      <c r="C226" s="11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9"/>
      <c r="AK226" s="12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9"/>
      <c r="BH226" s="14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9"/>
      <c r="CF226" s="9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  <c r="CU226" s="11"/>
      <c r="CV226" s="11"/>
      <c r="CW226" s="11"/>
      <c r="CX226" s="11"/>
      <c r="CY226" s="16"/>
      <c r="CZ226" s="16"/>
      <c r="DA226" s="16"/>
      <c r="DB226" s="16"/>
      <c r="DC226" s="16"/>
      <c r="DD226" s="16"/>
      <c r="DE226" s="16"/>
      <c r="DF226" s="16"/>
      <c r="DG226" s="16"/>
      <c r="DH226" s="16"/>
      <c r="DI226" s="16"/>
      <c r="DJ226" s="16"/>
      <c r="DK226" s="16"/>
      <c r="DL226" s="16"/>
    </row>
    <row r="227" ht="15.75" customHeight="1">
      <c r="A227" s="9"/>
      <c r="B227" s="11"/>
      <c r="C227" s="11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9"/>
      <c r="AK227" s="12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9"/>
      <c r="BH227" s="14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9"/>
      <c r="CF227" s="9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6"/>
      <c r="CZ227" s="16"/>
      <c r="DA227" s="16"/>
      <c r="DB227" s="16"/>
      <c r="DC227" s="16"/>
      <c r="DD227" s="16"/>
      <c r="DE227" s="16"/>
      <c r="DF227" s="16"/>
      <c r="DG227" s="16"/>
      <c r="DH227" s="16"/>
      <c r="DI227" s="16"/>
      <c r="DJ227" s="16"/>
      <c r="DK227" s="16"/>
      <c r="DL227" s="16"/>
    </row>
    <row r="228" ht="15.75" customHeight="1">
      <c r="A228" s="9"/>
      <c r="B228" s="11"/>
      <c r="C228" s="11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9"/>
      <c r="AK228" s="12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9"/>
      <c r="BH228" s="14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9"/>
      <c r="CF228" s="9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  <c r="CU228" s="11"/>
      <c r="CV228" s="11"/>
      <c r="CW228" s="11"/>
      <c r="CX228" s="11"/>
      <c r="CY228" s="16"/>
      <c r="CZ228" s="16"/>
      <c r="DA228" s="16"/>
      <c r="DB228" s="16"/>
      <c r="DC228" s="16"/>
      <c r="DD228" s="16"/>
      <c r="DE228" s="16"/>
      <c r="DF228" s="16"/>
      <c r="DG228" s="16"/>
      <c r="DH228" s="16"/>
      <c r="DI228" s="16"/>
      <c r="DJ228" s="16"/>
      <c r="DK228" s="16"/>
      <c r="DL228" s="16"/>
    </row>
    <row r="229" ht="15.75" customHeight="1">
      <c r="A229" s="9"/>
      <c r="B229" s="11"/>
      <c r="C229" s="11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9"/>
      <c r="AK229" s="12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9"/>
      <c r="BH229" s="14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9"/>
      <c r="CF229" s="9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/>
      <c r="DI229" s="16"/>
      <c r="DJ229" s="16"/>
      <c r="DK229" s="16"/>
      <c r="DL229" s="16"/>
    </row>
    <row r="230" ht="15.75" customHeight="1">
      <c r="A230" s="9"/>
      <c r="B230" s="11"/>
      <c r="C230" s="11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9"/>
      <c r="AK230" s="12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9"/>
      <c r="BH230" s="14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9"/>
      <c r="CF230" s="9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6"/>
      <c r="CZ230" s="16"/>
      <c r="DA230" s="16"/>
      <c r="DB230" s="16"/>
      <c r="DC230" s="16"/>
      <c r="DD230" s="16"/>
      <c r="DE230" s="16"/>
      <c r="DF230" s="16"/>
      <c r="DG230" s="16"/>
      <c r="DH230" s="16"/>
      <c r="DI230" s="16"/>
      <c r="DJ230" s="16"/>
      <c r="DK230" s="16"/>
      <c r="DL230" s="16"/>
    </row>
    <row r="231" ht="15.75" customHeight="1">
      <c r="A231" s="9"/>
      <c r="B231" s="11"/>
      <c r="C231" s="11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9"/>
      <c r="AK231" s="12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9"/>
      <c r="BH231" s="14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9"/>
      <c r="CF231" s="9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6"/>
      <c r="CZ231" s="16"/>
      <c r="DA231" s="16"/>
      <c r="DB231" s="16"/>
      <c r="DC231" s="16"/>
      <c r="DD231" s="16"/>
      <c r="DE231" s="16"/>
      <c r="DF231" s="16"/>
      <c r="DG231" s="16"/>
      <c r="DH231" s="16"/>
      <c r="DI231" s="16"/>
      <c r="DJ231" s="16"/>
      <c r="DK231" s="16"/>
      <c r="DL231" s="16"/>
    </row>
    <row r="232" ht="15.75" customHeight="1">
      <c r="A232" s="9"/>
      <c r="B232" s="11"/>
      <c r="C232" s="11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9"/>
      <c r="AK232" s="12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9"/>
      <c r="BH232" s="14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9"/>
      <c r="CF232" s="9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  <c r="CV232" s="11"/>
      <c r="CW232" s="11"/>
      <c r="CX232" s="11"/>
      <c r="CY232" s="16"/>
      <c r="CZ232" s="16"/>
      <c r="DA232" s="16"/>
      <c r="DB232" s="16"/>
      <c r="DC232" s="16"/>
      <c r="DD232" s="16"/>
      <c r="DE232" s="16"/>
      <c r="DF232" s="16"/>
      <c r="DG232" s="16"/>
      <c r="DH232" s="16"/>
      <c r="DI232" s="16"/>
      <c r="DJ232" s="16"/>
      <c r="DK232" s="16"/>
      <c r="DL232" s="16"/>
    </row>
    <row r="233" ht="15.75" customHeight="1">
      <c r="A233" s="9"/>
      <c r="B233" s="11"/>
      <c r="C233" s="11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9"/>
      <c r="AK233" s="12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9"/>
      <c r="BH233" s="14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9"/>
      <c r="CF233" s="9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6"/>
      <c r="CZ233" s="16"/>
      <c r="DA233" s="16"/>
      <c r="DB233" s="16"/>
      <c r="DC233" s="16"/>
      <c r="DD233" s="16"/>
      <c r="DE233" s="16"/>
      <c r="DF233" s="16"/>
      <c r="DG233" s="16"/>
      <c r="DH233" s="16"/>
      <c r="DI233" s="16"/>
      <c r="DJ233" s="16"/>
      <c r="DK233" s="16"/>
      <c r="DL233" s="16"/>
    </row>
    <row r="234" ht="15.75" customHeight="1">
      <c r="A234" s="9"/>
      <c r="B234" s="11"/>
      <c r="C234" s="11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9"/>
      <c r="AK234" s="12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9"/>
      <c r="BH234" s="14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9"/>
      <c r="CF234" s="9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  <c r="CU234" s="11"/>
      <c r="CV234" s="11"/>
      <c r="CW234" s="11"/>
      <c r="CX234" s="11"/>
      <c r="CY234" s="16"/>
      <c r="CZ234" s="16"/>
      <c r="DA234" s="16"/>
      <c r="DB234" s="16"/>
      <c r="DC234" s="16"/>
      <c r="DD234" s="16"/>
      <c r="DE234" s="16"/>
      <c r="DF234" s="16"/>
      <c r="DG234" s="16"/>
      <c r="DH234" s="16"/>
      <c r="DI234" s="16"/>
      <c r="DJ234" s="16"/>
      <c r="DK234" s="16"/>
      <c r="DL234" s="16"/>
    </row>
    <row r="235" ht="15.75" customHeight="1">
      <c r="A235" s="9"/>
      <c r="B235" s="11"/>
      <c r="C235" s="11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9"/>
      <c r="AK235" s="12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9"/>
      <c r="BH235" s="14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9"/>
      <c r="CF235" s="9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6"/>
      <c r="CZ235" s="16"/>
      <c r="DA235" s="16"/>
      <c r="DB235" s="16"/>
      <c r="DC235" s="16"/>
      <c r="DD235" s="16"/>
      <c r="DE235" s="16"/>
      <c r="DF235" s="16"/>
      <c r="DG235" s="16"/>
      <c r="DH235" s="16"/>
      <c r="DI235" s="16"/>
      <c r="DJ235" s="16"/>
      <c r="DK235" s="16"/>
      <c r="DL235" s="16"/>
    </row>
    <row r="236" ht="15.75" customHeight="1">
      <c r="A236" s="9"/>
      <c r="B236" s="11"/>
      <c r="C236" s="11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9"/>
      <c r="AK236" s="12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9"/>
      <c r="BH236" s="14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9"/>
      <c r="CF236" s="9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  <c r="CU236" s="11"/>
      <c r="CV236" s="11"/>
      <c r="CW236" s="11"/>
      <c r="CX236" s="11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/>
      <c r="DI236" s="16"/>
      <c r="DJ236" s="16"/>
      <c r="DK236" s="16"/>
      <c r="DL236" s="16"/>
    </row>
    <row r="237" ht="15.75" customHeight="1">
      <c r="A237" s="9"/>
      <c r="B237" s="11"/>
      <c r="C237" s="11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9"/>
      <c r="AK237" s="12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9"/>
      <c r="BH237" s="14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9"/>
      <c r="CF237" s="9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  <c r="CV237" s="11"/>
      <c r="CW237" s="11"/>
      <c r="CX237" s="11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/>
      <c r="DI237" s="16"/>
      <c r="DJ237" s="16"/>
      <c r="DK237" s="16"/>
      <c r="DL237" s="16"/>
    </row>
    <row r="238" ht="15.75" customHeight="1">
      <c r="A238" s="9"/>
      <c r="B238" s="11"/>
      <c r="C238" s="11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9"/>
      <c r="AK238" s="12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9"/>
      <c r="BH238" s="14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9"/>
      <c r="CF238" s="9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  <c r="CU238" s="11"/>
      <c r="CV238" s="11"/>
      <c r="CW238" s="11"/>
      <c r="CX238" s="11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/>
      <c r="DI238" s="16"/>
      <c r="DJ238" s="16"/>
      <c r="DK238" s="16"/>
      <c r="DL238" s="16"/>
    </row>
    <row r="239" ht="15.75" customHeight="1">
      <c r="A239" s="9"/>
      <c r="B239" s="11"/>
      <c r="C239" s="11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9"/>
      <c r="AK239" s="12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9"/>
      <c r="BH239" s="14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9"/>
      <c r="CF239" s="9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6"/>
      <c r="CZ239" s="16"/>
      <c r="DA239" s="16"/>
      <c r="DB239" s="16"/>
      <c r="DC239" s="16"/>
      <c r="DD239" s="16"/>
      <c r="DE239" s="16"/>
      <c r="DF239" s="16"/>
      <c r="DG239" s="16"/>
      <c r="DH239" s="16"/>
      <c r="DI239" s="16"/>
      <c r="DJ239" s="16"/>
      <c r="DK239" s="16"/>
      <c r="DL239" s="16"/>
    </row>
    <row r="240" ht="15.75" customHeight="1">
      <c r="A240" s="9"/>
      <c r="B240" s="11"/>
      <c r="C240" s="11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9"/>
      <c r="AK240" s="12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9"/>
      <c r="BH240" s="14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9"/>
      <c r="CF240" s="9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  <c r="CV240" s="11"/>
      <c r="CW240" s="11"/>
      <c r="CX240" s="11"/>
      <c r="CY240" s="16"/>
      <c r="CZ240" s="16"/>
      <c r="DA240" s="16"/>
      <c r="DB240" s="16"/>
      <c r="DC240" s="16"/>
      <c r="DD240" s="16"/>
      <c r="DE240" s="16"/>
      <c r="DF240" s="16"/>
      <c r="DG240" s="16"/>
      <c r="DH240" s="16"/>
      <c r="DI240" s="16"/>
      <c r="DJ240" s="16"/>
      <c r="DK240" s="16"/>
      <c r="DL240" s="16"/>
    </row>
    <row r="241" ht="15.75" customHeight="1">
      <c r="A241" s="9"/>
      <c r="B241" s="11"/>
      <c r="C241" s="11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9"/>
      <c r="AK241" s="12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9"/>
      <c r="BH241" s="14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9"/>
      <c r="CF241" s="9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6"/>
      <c r="CZ241" s="16"/>
      <c r="DA241" s="16"/>
      <c r="DB241" s="16"/>
      <c r="DC241" s="16"/>
      <c r="DD241" s="16"/>
      <c r="DE241" s="16"/>
      <c r="DF241" s="16"/>
      <c r="DG241" s="16"/>
      <c r="DH241" s="16"/>
      <c r="DI241" s="16"/>
      <c r="DJ241" s="16"/>
      <c r="DK241" s="16"/>
      <c r="DL241" s="16"/>
    </row>
    <row r="242" ht="15.75" customHeight="1">
      <c r="A242" s="9"/>
      <c r="B242" s="11"/>
      <c r="C242" s="11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9"/>
      <c r="AK242" s="12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9"/>
      <c r="BH242" s="14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9"/>
      <c r="CF242" s="9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  <c r="CU242" s="11"/>
      <c r="CV242" s="11"/>
      <c r="CW242" s="11"/>
      <c r="CX242" s="11"/>
      <c r="CY242" s="16"/>
      <c r="CZ242" s="16"/>
      <c r="DA242" s="16"/>
      <c r="DB242" s="16"/>
      <c r="DC242" s="16"/>
      <c r="DD242" s="16"/>
      <c r="DE242" s="16"/>
      <c r="DF242" s="16"/>
      <c r="DG242" s="16"/>
      <c r="DH242" s="16"/>
      <c r="DI242" s="16"/>
      <c r="DJ242" s="16"/>
      <c r="DK242" s="16"/>
      <c r="DL242" s="16"/>
    </row>
    <row r="243" ht="15.75" customHeight="1">
      <c r="A243" s="9"/>
      <c r="B243" s="11"/>
      <c r="C243" s="11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9"/>
      <c r="AK243" s="12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9"/>
      <c r="BH243" s="14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9"/>
      <c r="CF243" s="9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6"/>
      <c r="CZ243" s="16"/>
      <c r="DA243" s="16"/>
      <c r="DB243" s="16"/>
      <c r="DC243" s="16"/>
      <c r="DD243" s="16"/>
      <c r="DE243" s="16"/>
      <c r="DF243" s="16"/>
      <c r="DG243" s="16"/>
      <c r="DH243" s="16"/>
      <c r="DI243" s="16"/>
      <c r="DJ243" s="16"/>
      <c r="DK243" s="16"/>
      <c r="DL243" s="16"/>
    </row>
    <row r="244" ht="15.75" customHeight="1">
      <c r="A244" s="9"/>
      <c r="B244" s="11"/>
      <c r="C244" s="11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9"/>
      <c r="AK244" s="12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9"/>
      <c r="BH244" s="14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9"/>
      <c r="CF244" s="9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1"/>
      <c r="CU244" s="11"/>
      <c r="CV244" s="11"/>
      <c r="CW244" s="11"/>
      <c r="CX244" s="11"/>
      <c r="CY244" s="16"/>
      <c r="CZ244" s="16"/>
      <c r="DA244" s="16"/>
      <c r="DB244" s="16"/>
      <c r="DC244" s="16"/>
      <c r="DD244" s="16"/>
      <c r="DE244" s="16"/>
      <c r="DF244" s="16"/>
      <c r="DG244" s="16"/>
      <c r="DH244" s="16"/>
      <c r="DI244" s="16"/>
      <c r="DJ244" s="16"/>
      <c r="DK244" s="16"/>
      <c r="DL244" s="16"/>
    </row>
    <row r="245" ht="15.75" customHeight="1">
      <c r="A245" s="9"/>
      <c r="B245" s="11"/>
      <c r="C245" s="11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9"/>
      <c r="AK245" s="12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9"/>
      <c r="BH245" s="14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9"/>
      <c r="CF245" s="9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  <c r="CV245" s="11"/>
      <c r="CW245" s="11"/>
      <c r="CX245" s="11"/>
      <c r="CY245" s="16"/>
      <c r="CZ245" s="16"/>
      <c r="DA245" s="16"/>
      <c r="DB245" s="16"/>
      <c r="DC245" s="16"/>
      <c r="DD245" s="16"/>
      <c r="DE245" s="16"/>
      <c r="DF245" s="16"/>
      <c r="DG245" s="16"/>
      <c r="DH245" s="16"/>
      <c r="DI245" s="16"/>
      <c r="DJ245" s="16"/>
      <c r="DK245" s="16"/>
      <c r="DL245" s="16"/>
    </row>
    <row r="246" ht="15.75" customHeight="1">
      <c r="A246" s="9"/>
      <c r="B246" s="11"/>
      <c r="C246" s="11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9"/>
      <c r="AK246" s="12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9"/>
      <c r="BH246" s="14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9"/>
      <c r="CF246" s="9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  <c r="CU246" s="11"/>
      <c r="CV246" s="11"/>
      <c r="CW246" s="11"/>
      <c r="CX246" s="11"/>
      <c r="CY246" s="16"/>
      <c r="CZ246" s="16"/>
      <c r="DA246" s="16"/>
      <c r="DB246" s="16"/>
      <c r="DC246" s="16"/>
      <c r="DD246" s="16"/>
      <c r="DE246" s="16"/>
      <c r="DF246" s="16"/>
      <c r="DG246" s="16"/>
      <c r="DH246" s="16"/>
      <c r="DI246" s="16"/>
      <c r="DJ246" s="16"/>
      <c r="DK246" s="16"/>
      <c r="DL246" s="16"/>
    </row>
    <row r="247" ht="15.75" customHeight="1">
      <c r="A247" s="9"/>
      <c r="B247" s="11"/>
      <c r="C247" s="11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9"/>
      <c r="AK247" s="12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9"/>
      <c r="BH247" s="14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9"/>
      <c r="CF247" s="9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  <c r="CV247" s="11"/>
      <c r="CW247" s="11"/>
      <c r="CX247" s="11"/>
      <c r="CY247" s="16"/>
      <c r="CZ247" s="16"/>
      <c r="DA247" s="16"/>
      <c r="DB247" s="16"/>
      <c r="DC247" s="16"/>
      <c r="DD247" s="16"/>
      <c r="DE247" s="16"/>
      <c r="DF247" s="16"/>
      <c r="DG247" s="16"/>
      <c r="DH247" s="16"/>
      <c r="DI247" s="16"/>
      <c r="DJ247" s="16"/>
      <c r="DK247" s="16"/>
      <c r="DL247" s="16"/>
    </row>
    <row r="248" ht="15.75" customHeight="1">
      <c r="A248" s="9"/>
      <c r="B248" s="11"/>
      <c r="C248" s="11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9"/>
      <c r="AK248" s="12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9"/>
      <c r="BH248" s="14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9"/>
      <c r="CF248" s="9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  <c r="CU248" s="11"/>
      <c r="CV248" s="11"/>
      <c r="CW248" s="11"/>
      <c r="CX248" s="11"/>
      <c r="CY248" s="16"/>
      <c r="CZ248" s="16"/>
      <c r="DA248" s="16"/>
      <c r="DB248" s="16"/>
      <c r="DC248" s="16"/>
      <c r="DD248" s="16"/>
      <c r="DE248" s="16"/>
      <c r="DF248" s="16"/>
      <c r="DG248" s="16"/>
      <c r="DH248" s="16"/>
      <c r="DI248" s="16"/>
      <c r="DJ248" s="16"/>
      <c r="DK248" s="16"/>
      <c r="DL248" s="16"/>
    </row>
    <row r="249" ht="15.75" customHeight="1">
      <c r="A249" s="9"/>
      <c r="B249" s="11"/>
      <c r="C249" s="11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9"/>
      <c r="AK249" s="12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9"/>
      <c r="BH249" s="14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9"/>
      <c r="CF249" s="9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6"/>
      <c r="CZ249" s="16"/>
      <c r="DA249" s="16"/>
      <c r="DB249" s="16"/>
      <c r="DC249" s="16"/>
      <c r="DD249" s="16"/>
      <c r="DE249" s="16"/>
      <c r="DF249" s="16"/>
      <c r="DG249" s="16"/>
      <c r="DH249" s="16"/>
      <c r="DI249" s="16"/>
      <c r="DJ249" s="16"/>
      <c r="DK249" s="16"/>
      <c r="DL249" s="16"/>
    </row>
    <row r="250" ht="15.75" customHeight="1">
      <c r="A250" s="9"/>
      <c r="B250" s="11"/>
      <c r="C250" s="11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9"/>
      <c r="AK250" s="12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9"/>
      <c r="BH250" s="14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9"/>
      <c r="CF250" s="9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  <c r="CU250" s="11"/>
      <c r="CV250" s="11"/>
      <c r="CW250" s="11"/>
      <c r="CX250" s="11"/>
      <c r="CY250" s="16"/>
      <c r="CZ250" s="16"/>
      <c r="DA250" s="16"/>
      <c r="DB250" s="16"/>
      <c r="DC250" s="16"/>
      <c r="DD250" s="16"/>
      <c r="DE250" s="16"/>
      <c r="DF250" s="16"/>
      <c r="DG250" s="16"/>
      <c r="DH250" s="16"/>
      <c r="DI250" s="16"/>
      <c r="DJ250" s="16"/>
      <c r="DK250" s="16"/>
      <c r="DL250" s="16"/>
    </row>
    <row r="251" ht="15.75" customHeight="1">
      <c r="A251" s="9"/>
      <c r="B251" s="11"/>
      <c r="C251" s="11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9"/>
      <c r="AK251" s="12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9"/>
      <c r="BH251" s="14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9"/>
      <c r="CF251" s="9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  <c r="CV251" s="11"/>
      <c r="CW251" s="11"/>
      <c r="CX251" s="11"/>
      <c r="CY251" s="16"/>
      <c r="CZ251" s="16"/>
      <c r="DA251" s="16"/>
      <c r="DB251" s="16"/>
      <c r="DC251" s="16"/>
      <c r="DD251" s="16"/>
      <c r="DE251" s="16"/>
      <c r="DF251" s="16"/>
      <c r="DG251" s="16"/>
      <c r="DH251" s="16"/>
      <c r="DI251" s="16"/>
      <c r="DJ251" s="16"/>
      <c r="DK251" s="16"/>
      <c r="DL251" s="16"/>
    </row>
    <row r="252" ht="15.75" customHeight="1">
      <c r="A252" s="9"/>
      <c r="B252" s="11"/>
      <c r="C252" s="11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9"/>
      <c r="AK252" s="12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9"/>
      <c r="BH252" s="14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9"/>
      <c r="CF252" s="9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  <c r="CU252" s="11"/>
      <c r="CV252" s="11"/>
      <c r="CW252" s="11"/>
      <c r="CX252" s="11"/>
      <c r="CY252" s="16"/>
      <c r="CZ252" s="16"/>
      <c r="DA252" s="16"/>
      <c r="DB252" s="16"/>
      <c r="DC252" s="16"/>
      <c r="DD252" s="16"/>
      <c r="DE252" s="16"/>
      <c r="DF252" s="16"/>
      <c r="DG252" s="16"/>
      <c r="DH252" s="16"/>
      <c r="DI252" s="16"/>
      <c r="DJ252" s="16"/>
      <c r="DK252" s="16"/>
      <c r="DL252" s="16"/>
    </row>
    <row r="253" ht="15.75" customHeight="1">
      <c r="A253" s="9"/>
      <c r="B253" s="11"/>
      <c r="C253" s="11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9"/>
      <c r="AK253" s="12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9"/>
      <c r="BH253" s="14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9"/>
      <c r="CF253" s="9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6"/>
      <c r="CZ253" s="16"/>
      <c r="DA253" s="16"/>
      <c r="DB253" s="16"/>
      <c r="DC253" s="16"/>
      <c r="DD253" s="16"/>
      <c r="DE253" s="16"/>
      <c r="DF253" s="16"/>
      <c r="DG253" s="16"/>
      <c r="DH253" s="16"/>
      <c r="DI253" s="16"/>
      <c r="DJ253" s="16"/>
      <c r="DK253" s="16"/>
      <c r="DL253" s="16"/>
    </row>
    <row r="254" ht="15.75" customHeight="1">
      <c r="A254" s="9"/>
      <c r="B254" s="11"/>
      <c r="C254" s="11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9"/>
      <c r="AK254" s="12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9"/>
      <c r="BH254" s="14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9"/>
      <c r="CF254" s="9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  <c r="CU254" s="11"/>
      <c r="CV254" s="11"/>
      <c r="CW254" s="11"/>
      <c r="CX254" s="11"/>
      <c r="CY254" s="16"/>
      <c r="CZ254" s="16"/>
      <c r="DA254" s="16"/>
      <c r="DB254" s="16"/>
      <c r="DC254" s="16"/>
      <c r="DD254" s="16"/>
      <c r="DE254" s="16"/>
      <c r="DF254" s="16"/>
      <c r="DG254" s="16"/>
      <c r="DH254" s="16"/>
      <c r="DI254" s="16"/>
      <c r="DJ254" s="16"/>
      <c r="DK254" s="16"/>
      <c r="DL254" s="16"/>
    </row>
    <row r="255" ht="15.75" customHeight="1">
      <c r="A255" s="9"/>
      <c r="B255" s="11"/>
      <c r="C255" s="11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9"/>
      <c r="AK255" s="12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9"/>
      <c r="BH255" s="14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9"/>
      <c r="CF255" s="9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6"/>
      <c r="CZ255" s="16"/>
      <c r="DA255" s="16"/>
      <c r="DB255" s="16"/>
      <c r="DC255" s="16"/>
      <c r="DD255" s="16"/>
      <c r="DE255" s="16"/>
      <c r="DF255" s="16"/>
      <c r="DG255" s="16"/>
      <c r="DH255" s="16"/>
      <c r="DI255" s="16"/>
      <c r="DJ255" s="16"/>
      <c r="DK255" s="16"/>
      <c r="DL255" s="16"/>
    </row>
    <row r="256" ht="15.75" customHeight="1">
      <c r="A256" s="9"/>
      <c r="B256" s="11"/>
      <c r="C256" s="11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9"/>
      <c r="AK256" s="12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9"/>
      <c r="BH256" s="14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9"/>
      <c r="CF256" s="9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6"/>
      <c r="CZ256" s="16"/>
      <c r="DA256" s="16"/>
      <c r="DB256" s="16"/>
      <c r="DC256" s="16"/>
      <c r="DD256" s="16"/>
      <c r="DE256" s="16"/>
      <c r="DF256" s="16"/>
      <c r="DG256" s="16"/>
      <c r="DH256" s="16"/>
      <c r="DI256" s="16"/>
      <c r="DJ256" s="16"/>
      <c r="DK256" s="16"/>
      <c r="DL256" s="16"/>
    </row>
    <row r="257" ht="15.75" customHeight="1">
      <c r="A257" s="9"/>
      <c r="B257" s="11"/>
      <c r="C257" s="11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9"/>
      <c r="AK257" s="12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9"/>
      <c r="BH257" s="14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9"/>
      <c r="CF257" s="9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/>
      <c r="CY257" s="16"/>
      <c r="CZ257" s="16"/>
      <c r="DA257" s="16"/>
      <c r="DB257" s="16"/>
      <c r="DC257" s="16"/>
      <c r="DD257" s="16"/>
      <c r="DE257" s="16"/>
      <c r="DF257" s="16"/>
      <c r="DG257" s="16"/>
      <c r="DH257" s="16"/>
      <c r="DI257" s="16"/>
      <c r="DJ257" s="16"/>
      <c r="DK257" s="16"/>
      <c r="DL257" s="16"/>
    </row>
    <row r="258" ht="15.75" customHeight="1">
      <c r="A258" s="9"/>
      <c r="B258" s="11"/>
      <c r="C258" s="11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9"/>
      <c r="AK258" s="12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9"/>
      <c r="BH258" s="14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9"/>
      <c r="CF258" s="9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  <c r="CU258" s="11"/>
      <c r="CV258" s="11"/>
      <c r="CW258" s="11"/>
      <c r="CX258" s="11"/>
      <c r="CY258" s="16"/>
      <c r="CZ258" s="16"/>
      <c r="DA258" s="16"/>
      <c r="DB258" s="16"/>
      <c r="DC258" s="16"/>
      <c r="DD258" s="16"/>
      <c r="DE258" s="16"/>
      <c r="DF258" s="16"/>
      <c r="DG258" s="16"/>
      <c r="DH258" s="16"/>
      <c r="DI258" s="16"/>
      <c r="DJ258" s="16"/>
      <c r="DK258" s="16"/>
      <c r="DL258" s="16"/>
    </row>
    <row r="259" ht="15.75" customHeight="1">
      <c r="A259" s="9"/>
      <c r="B259" s="11"/>
      <c r="C259" s="11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9"/>
      <c r="AK259" s="12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9"/>
      <c r="BH259" s="14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9"/>
      <c r="CF259" s="9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6"/>
      <c r="CZ259" s="16"/>
      <c r="DA259" s="16"/>
      <c r="DB259" s="16"/>
      <c r="DC259" s="16"/>
      <c r="DD259" s="16"/>
      <c r="DE259" s="16"/>
      <c r="DF259" s="16"/>
      <c r="DG259" s="16"/>
      <c r="DH259" s="16"/>
      <c r="DI259" s="16"/>
      <c r="DJ259" s="16"/>
      <c r="DK259" s="16"/>
      <c r="DL259" s="16"/>
    </row>
    <row r="260" ht="15.75" customHeight="1">
      <c r="A260" s="9"/>
      <c r="B260" s="11"/>
      <c r="C260" s="11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9"/>
      <c r="AK260" s="12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9"/>
      <c r="BH260" s="14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9"/>
      <c r="CF260" s="9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  <c r="CU260" s="11"/>
      <c r="CV260" s="11"/>
      <c r="CW260" s="11"/>
      <c r="CX260" s="11"/>
      <c r="CY260" s="16"/>
      <c r="CZ260" s="16"/>
      <c r="DA260" s="16"/>
      <c r="DB260" s="16"/>
      <c r="DC260" s="16"/>
      <c r="DD260" s="16"/>
      <c r="DE260" s="16"/>
      <c r="DF260" s="16"/>
      <c r="DG260" s="16"/>
      <c r="DH260" s="16"/>
      <c r="DI260" s="16"/>
      <c r="DJ260" s="16"/>
      <c r="DK260" s="16"/>
      <c r="DL260" s="16"/>
    </row>
    <row r="261" ht="15.75" customHeight="1">
      <c r="A261" s="9"/>
      <c r="B261" s="11"/>
      <c r="C261" s="11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9"/>
      <c r="AK261" s="12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9"/>
      <c r="BH261" s="14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9"/>
      <c r="CF261" s="9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6"/>
      <c r="CZ261" s="16"/>
      <c r="DA261" s="16"/>
      <c r="DB261" s="16"/>
      <c r="DC261" s="16"/>
      <c r="DD261" s="16"/>
      <c r="DE261" s="16"/>
      <c r="DF261" s="16"/>
      <c r="DG261" s="16"/>
      <c r="DH261" s="16"/>
      <c r="DI261" s="16"/>
      <c r="DJ261" s="16"/>
      <c r="DK261" s="16"/>
      <c r="DL261" s="16"/>
    </row>
    <row r="262" ht="15.75" customHeight="1">
      <c r="A262" s="9"/>
      <c r="B262" s="11"/>
      <c r="C262" s="11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9"/>
      <c r="AK262" s="12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9"/>
      <c r="BH262" s="14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9"/>
      <c r="CF262" s="9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  <c r="CV262" s="11"/>
      <c r="CW262" s="11"/>
      <c r="CX262" s="11"/>
      <c r="CY262" s="16"/>
      <c r="CZ262" s="16"/>
      <c r="DA262" s="16"/>
      <c r="DB262" s="16"/>
      <c r="DC262" s="16"/>
      <c r="DD262" s="16"/>
      <c r="DE262" s="16"/>
      <c r="DF262" s="16"/>
      <c r="DG262" s="16"/>
      <c r="DH262" s="16"/>
      <c r="DI262" s="16"/>
      <c r="DJ262" s="16"/>
      <c r="DK262" s="16"/>
      <c r="DL262" s="16"/>
    </row>
    <row r="263" ht="15.75" customHeight="1">
      <c r="A263" s="9"/>
      <c r="B263" s="11"/>
      <c r="C263" s="11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9"/>
      <c r="AK263" s="12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9"/>
      <c r="BH263" s="14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9"/>
      <c r="CF263" s="9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6"/>
      <c r="CZ263" s="16"/>
      <c r="DA263" s="16"/>
      <c r="DB263" s="16"/>
      <c r="DC263" s="16"/>
      <c r="DD263" s="16"/>
      <c r="DE263" s="16"/>
      <c r="DF263" s="16"/>
      <c r="DG263" s="16"/>
      <c r="DH263" s="16"/>
      <c r="DI263" s="16"/>
      <c r="DJ263" s="16"/>
      <c r="DK263" s="16"/>
      <c r="DL263" s="16"/>
    </row>
    <row r="264" ht="15.75" customHeight="1">
      <c r="A264" s="9"/>
      <c r="B264" s="11"/>
      <c r="C264" s="11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9"/>
      <c r="AK264" s="12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9"/>
      <c r="BH264" s="14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9"/>
      <c r="CF264" s="9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6"/>
      <c r="CZ264" s="16"/>
      <c r="DA264" s="16"/>
      <c r="DB264" s="16"/>
      <c r="DC264" s="16"/>
      <c r="DD264" s="16"/>
      <c r="DE264" s="16"/>
      <c r="DF264" s="16"/>
      <c r="DG264" s="16"/>
      <c r="DH264" s="16"/>
      <c r="DI264" s="16"/>
      <c r="DJ264" s="16"/>
      <c r="DK264" s="16"/>
      <c r="DL264" s="16"/>
    </row>
    <row r="265" ht="15.75" customHeight="1">
      <c r="A265" s="9"/>
      <c r="B265" s="11"/>
      <c r="C265" s="11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9"/>
      <c r="AK265" s="12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9"/>
      <c r="BH265" s="14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9"/>
      <c r="CF265" s="9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6"/>
      <c r="CZ265" s="16"/>
      <c r="DA265" s="16"/>
      <c r="DB265" s="16"/>
      <c r="DC265" s="16"/>
      <c r="DD265" s="16"/>
      <c r="DE265" s="16"/>
      <c r="DF265" s="16"/>
      <c r="DG265" s="16"/>
      <c r="DH265" s="16"/>
      <c r="DI265" s="16"/>
      <c r="DJ265" s="16"/>
      <c r="DK265" s="16"/>
      <c r="DL265" s="16"/>
    </row>
    <row r="266" ht="15.75" customHeight="1">
      <c r="A266" s="9"/>
      <c r="B266" s="11"/>
      <c r="C266" s="11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9"/>
      <c r="AK266" s="12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9"/>
      <c r="BH266" s="14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9"/>
      <c r="CF266" s="9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  <c r="CV266" s="11"/>
      <c r="CW266" s="11"/>
      <c r="CX266" s="11"/>
      <c r="CY266" s="16"/>
      <c r="CZ266" s="16"/>
      <c r="DA266" s="16"/>
      <c r="DB266" s="16"/>
      <c r="DC266" s="16"/>
      <c r="DD266" s="16"/>
      <c r="DE266" s="16"/>
      <c r="DF266" s="16"/>
      <c r="DG266" s="16"/>
      <c r="DH266" s="16"/>
      <c r="DI266" s="16"/>
      <c r="DJ266" s="16"/>
      <c r="DK266" s="16"/>
      <c r="DL266" s="16"/>
    </row>
    <row r="267" ht="15.75" customHeight="1">
      <c r="A267" s="9"/>
      <c r="B267" s="11"/>
      <c r="C267" s="11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9"/>
      <c r="AK267" s="12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9"/>
      <c r="BH267" s="14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9"/>
      <c r="CF267" s="9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6"/>
      <c r="CZ267" s="16"/>
      <c r="DA267" s="16"/>
      <c r="DB267" s="16"/>
      <c r="DC267" s="16"/>
      <c r="DD267" s="16"/>
      <c r="DE267" s="16"/>
      <c r="DF267" s="16"/>
      <c r="DG267" s="16"/>
      <c r="DH267" s="16"/>
      <c r="DI267" s="16"/>
      <c r="DJ267" s="16"/>
      <c r="DK267" s="16"/>
      <c r="DL267" s="16"/>
    </row>
    <row r="268" ht="15.75" customHeight="1">
      <c r="A268" s="9"/>
      <c r="B268" s="11"/>
      <c r="C268" s="11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9"/>
      <c r="AK268" s="12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9"/>
      <c r="BH268" s="14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9"/>
      <c r="CF268" s="9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  <c r="CV268" s="11"/>
      <c r="CW268" s="11"/>
      <c r="CX268" s="11"/>
      <c r="CY268" s="16"/>
      <c r="CZ268" s="16"/>
      <c r="DA268" s="16"/>
      <c r="DB268" s="16"/>
      <c r="DC268" s="16"/>
      <c r="DD268" s="16"/>
      <c r="DE268" s="16"/>
      <c r="DF268" s="16"/>
      <c r="DG268" s="16"/>
      <c r="DH268" s="16"/>
      <c r="DI268" s="16"/>
      <c r="DJ268" s="16"/>
      <c r="DK268" s="16"/>
      <c r="DL268" s="16"/>
    </row>
    <row r="269" ht="15.75" customHeight="1">
      <c r="A269" s="9"/>
      <c r="B269" s="11"/>
      <c r="C269" s="11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9"/>
      <c r="AK269" s="12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9"/>
      <c r="BH269" s="14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9"/>
      <c r="CF269" s="9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6"/>
      <c r="CZ269" s="16"/>
      <c r="DA269" s="16"/>
      <c r="DB269" s="16"/>
      <c r="DC269" s="16"/>
      <c r="DD269" s="16"/>
      <c r="DE269" s="16"/>
      <c r="DF269" s="16"/>
      <c r="DG269" s="16"/>
      <c r="DH269" s="16"/>
      <c r="DI269" s="16"/>
      <c r="DJ269" s="16"/>
      <c r="DK269" s="16"/>
      <c r="DL269" s="16"/>
    </row>
    <row r="270" ht="15.75" customHeight="1">
      <c r="A270" s="9"/>
      <c r="B270" s="11"/>
      <c r="C270" s="11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9"/>
      <c r="AK270" s="12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9"/>
      <c r="BH270" s="14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9"/>
      <c r="CF270" s="9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6"/>
      <c r="CZ270" s="16"/>
      <c r="DA270" s="16"/>
      <c r="DB270" s="16"/>
      <c r="DC270" s="16"/>
      <c r="DD270" s="16"/>
      <c r="DE270" s="16"/>
      <c r="DF270" s="16"/>
      <c r="DG270" s="16"/>
      <c r="DH270" s="16"/>
      <c r="DI270" s="16"/>
      <c r="DJ270" s="16"/>
      <c r="DK270" s="16"/>
      <c r="DL270" s="16"/>
    </row>
    <row r="271" ht="15.75" customHeight="1">
      <c r="A271" s="9"/>
      <c r="B271" s="11"/>
      <c r="C271" s="11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9"/>
      <c r="AK271" s="12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9"/>
      <c r="BH271" s="14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9"/>
      <c r="CF271" s="9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6"/>
      <c r="CZ271" s="16"/>
      <c r="DA271" s="16"/>
      <c r="DB271" s="16"/>
      <c r="DC271" s="16"/>
      <c r="DD271" s="16"/>
      <c r="DE271" s="16"/>
      <c r="DF271" s="16"/>
      <c r="DG271" s="16"/>
      <c r="DH271" s="16"/>
      <c r="DI271" s="16"/>
      <c r="DJ271" s="16"/>
      <c r="DK271" s="16"/>
      <c r="DL271" s="16"/>
    </row>
    <row r="272" ht="15.75" customHeight="1">
      <c r="A272" s="9"/>
      <c r="B272" s="11"/>
      <c r="C272" s="11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9"/>
      <c r="AK272" s="12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9"/>
      <c r="BH272" s="14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9"/>
      <c r="CF272" s="9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  <c r="CU272" s="11"/>
      <c r="CV272" s="11"/>
      <c r="CW272" s="11"/>
      <c r="CX272" s="11"/>
      <c r="CY272" s="16"/>
      <c r="CZ272" s="16"/>
      <c r="DA272" s="16"/>
      <c r="DB272" s="16"/>
      <c r="DC272" s="16"/>
      <c r="DD272" s="16"/>
      <c r="DE272" s="16"/>
      <c r="DF272" s="16"/>
      <c r="DG272" s="16"/>
      <c r="DH272" s="16"/>
      <c r="DI272" s="16"/>
      <c r="DJ272" s="16"/>
      <c r="DK272" s="16"/>
      <c r="DL272" s="16"/>
    </row>
    <row r="273" ht="15.75" customHeight="1">
      <c r="A273" s="9"/>
      <c r="B273" s="11"/>
      <c r="C273" s="11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9"/>
      <c r="AK273" s="12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9"/>
      <c r="BH273" s="14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9"/>
      <c r="CF273" s="9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6"/>
      <c r="CZ273" s="16"/>
      <c r="DA273" s="16"/>
      <c r="DB273" s="16"/>
      <c r="DC273" s="16"/>
      <c r="DD273" s="16"/>
      <c r="DE273" s="16"/>
      <c r="DF273" s="16"/>
      <c r="DG273" s="16"/>
      <c r="DH273" s="16"/>
      <c r="DI273" s="16"/>
      <c r="DJ273" s="16"/>
      <c r="DK273" s="16"/>
      <c r="DL273" s="16"/>
    </row>
    <row r="274" ht="15.75" customHeight="1">
      <c r="A274" s="9"/>
      <c r="B274" s="11"/>
      <c r="C274" s="11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9"/>
      <c r="AK274" s="12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9"/>
      <c r="BH274" s="14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9"/>
      <c r="CF274" s="9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  <c r="CU274" s="11"/>
      <c r="CV274" s="11"/>
      <c r="CW274" s="11"/>
      <c r="CX274" s="11"/>
      <c r="CY274" s="16"/>
      <c r="CZ274" s="16"/>
      <c r="DA274" s="16"/>
      <c r="DB274" s="16"/>
      <c r="DC274" s="16"/>
      <c r="DD274" s="16"/>
      <c r="DE274" s="16"/>
      <c r="DF274" s="16"/>
      <c r="DG274" s="16"/>
      <c r="DH274" s="16"/>
      <c r="DI274" s="16"/>
      <c r="DJ274" s="16"/>
      <c r="DK274" s="16"/>
      <c r="DL274" s="16"/>
    </row>
    <row r="275" ht="15.75" customHeight="1">
      <c r="A275" s="9"/>
      <c r="B275" s="11"/>
      <c r="C275" s="11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9"/>
      <c r="AK275" s="12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9"/>
      <c r="BH275" s="14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9"/>
      <c r="CF275" s="9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  <c r="CV275" s="11"/>
      <c r="CW275" s="11"/>
      <c r="CX275" s="11"/>
      <c r="CY275" s="16"/>
      <c r="CZ275" s="16"/>
      <c r="DA275" s="16"/>
      <c r="DB275" s="16"/>
      <c r="DC275" s="16"/>
      <c r="DD275" s="16"/>
      <c r="DE275" s="16"/>
      <c r="DF275" s="16"/>
      <c r="DG275" s="16"/>
      <c r="DH275" s="16"/>
      <c r="DI275" s="16"/>
      <c r="DJ275" s="16"/>
      <c r="DK275" s="16"/>
      <c r="DL275" s="16"/>
    </row>
    <row r="276" ht="15.75" customHeight="1">
      <c r="A276" s="9"/>
      <c r="B276" s="11"/>
      <c r="C276" s="11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9"/>
      <c r="AK276" s="12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9"/>
      <c r="BH276" s="14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9"/>
      <c r="CF276" s="9"/>
      <c r="CG276" s="11"/>
      <c r="CH276" s="11"/>
      <c r="CI276" s="11"/>
      <c r="CJ276" s="11"/>
      <c r="CK276" s="11"/>
      <c r="CL276" s="11"/>
      <c r="CM276" s="11"/>
      <c r="CN276" s="11"/>
      <c r="CO276" s="11"/>
      <c r="CP276" s="11"/>
      <c r="CQ276" s="11"/>
      <c r="CR276" s="11"/>
      <c r="CS276" s="11"/>
      <c r="CT276" s="11"/>
      <c r="CU276" s="11"/>
      <c r="CV276" s="11"/>
      <c r="CW276" s="11"/>
      <c r="CX276" s="11"/>
      <c r="CY276" s="16"/>
      <c r="CZ276" s="16"/>
      <c r="DA276" s="16"/>
      <c r="DB276" s="16"/>
      <c r="DC276" s="16"/>
      <c r="DD276" s="16"/>
      <c r="DE276" s="16"/>
      <c r="DF276" s="16"/>
      <c r="DG276" s="16"/>
      <c r="DH276" s="16"/>
      <c r="DI276" s="16"/>
      <c r="DJ276" s="16"/>
      <c r="DK276" s="16"/>
      <c r="DL276" s="16"/>
    </row>
    <row r="277" ht="15.75" customHeight="1">
      <c r="A277" s="9"/>
      <c r="B277" s="11"/>
      <c r="C277" s="11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9"/>
      <c r="AK277" s="12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9"/>
      <c r="BH277" s="14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9"/>
      <c r="CF277" s="9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  <c r="CV277" s="11"/>
      <c r="CW277" s="11"/>
      <c r="CX277" s="11"/>
      <c r="CY277" s="16"/>
      <c r="CZ277" s="16"/>
      <c r="DA277" s="16"/>
      <c r="DB277" s="16"/>
      <c r="DC277" s="16"/>
      <c r="DD277" s="16"/>
      <c r="DE277" s="16"/>
      <c r="DF277" s="16"/>
      <c r="DG277" s="16"/>
      <c r="DH277" s="16"/>
      <c r="DI277" s="16"/>
      <c r="DJ277" s="16"/>
      <c r="DK277" s="16"/>
      <c r="DL277" s="16"/>
    </row>
    <row r="278" ht="15.75" customHeight="1">
      <c r="A278" s="9"/>
      <c r="B278" s="11"/>
      <c r="C278" s="11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9"/>
      <c r="AK278" s="12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9"/>
      <c r="BH278" s="14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9"/>
      <c r="CF278" s="9"/>
      <c r="CG278" s="11"/>
      <c r="CH278" s="11"/>
      <c r="CI278" s="11"/>
      <c r="CJ278" s="11"/>
      <c r="CK278" s="11"/>
      <c r="CL278" s="11"/>
      <c r="CM278" s="11"/>
      <c r="CN278" s="11"/>
      <c r="CO278" s="11"/>
      <c r="CP278" s="11"/>
      <c r="CQ278" s="11"/>
      <c r="CR278" s="11"/>
      <c r="CS278" s="11"/>
      <c r="CT278" s="11"/>
      <c r="CU278" s="11"/>
      <c r="CV278" s="11"/>
      <c r="CW278" s="11"/>
      <c r="CX278" s="11"/>
      <c r="CY278" s="16"/>
      <c r="CZ278" s="16"/>
      <c r="DA278" s="16"/>
      <c r="DB278" s="16"/>
      <c r="DC278" s="16"/>
      <c r="DD278" s="16"/>
      <c r="DE278" s="16"/>
      <c r="DF278" s="16"/>
      <c r="DG278" s="16"/>
      <c r="DH278" s="16"/>
      <c r="DI278" s="16"/>
      <c r="DJ278" s="16"/>
      <c r="DK278" s="16"/>
      <c r="DL278" s="16"/>
    </row>
    <row r="279" ht="15.75" customHeight="1">
      <c r="A279" s="9"/>
      <c r="B279" s="11"/>
      <c r="C279" s="11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9"/>
      <c r="AK279" s="12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9"/>
      <c r="BH279" s="14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9"/>
      <c r="CF279" s="9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  <c r="CV279" s="11"/>
      <c r="CW279" s="11"/>
      <c r="CX279" s="11"/>
      <c r="CY279" s="16"/>
      <c r="CZ279" s="16"/>
      <c r="DA279" s="16"/>
      <c r="DB279" s="16"/>
      <c r="DC279" s="16"/>
      <c r="DD279" s="16"/>
      <c r="DE279" s="16"/>
      <c r="DF279" s="16"/>
      <c r="DG279" s="16"/>
      <c r="DH279" s="16"/>
      <c r="DI279" s="16"/>
      <c r="DJ279" s="16"/>
      <c r="DK279" s="16"/>
      <c r="DL279" s="16"/>
    </row>
    <row r="280" ht="15.75" customHeight="1">
      <c r="A280" s="9"/>
      <c r="B280" s="11"/>
      <c r="C280" s="11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9"/>
      <c r="AK280" s="12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9"/>
      <c r="BH280" s="14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9"/>
      <c r="CF280" s="9"/>
      <c r="CG280" s="11"/>
      <c r="CH280" s="11"/>
      <c r="CI280" s="11"/>
      <c r="CJ280" s="11"/>
      <c r="CK280" s="11"/>
      <c r="CL280" s="11"/>
      <c r="CM280" s="11"/>
      <c r="CN280" s="11"/>
      <c r="CO280" s="11"/>
      <c r="CP280" s="11"/>
      <c r="CQ280" s="11"/>
      <c r="CR280" s="11"/>
      <c r="CS280" s="11"/>
      <c r="CT280" s="11"/>
      <c r="CU280" s="11"/>
      <c r="CV280" s="11"/>
      <c r="CW280" s="11"/>
      <c r="CX280" s="11"/>
      <c r="CY280" s="16"/>
      <c r="CZ280" s="16"/>
      <c r="DA280" s="16"/>
      <c r="DB280" s="16"/>
      <c r="DC280" s="16"/>
      <c r="DD280" s="16"/>
      <c r="DE280" s="16"/>
      <c r="DF280" s="16"/>
      <c r="DG280" s="16"/>
      <c r="DH280" s="16"/>
      <c r="DI280" s="16"/>
      <c r="DJ280" s="16"/>
      <c r="DK280" s="16"/>
      <c r="DL280" s="16"/>
    </row>
    <row r="281" ht="15.75" customHeight="1">
      <c r="A281" s="9"/>
      <c r="B281" s="11"/>
      <c r="C281" s="11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9"/>
      <c r="AK281" s="12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9"/>
      <c r="BH281" s="14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9"/>
      <c r="CF281" s="9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  <c r="CV281" s="11"/>
      <c r="CW281" s="11"/>
      <c r="CX281" s="11"/>
      <c r="CY281" s="16"/>
      <c r="CZ281" s="16"/>
      <c r="DA281" s="16"/>
      <c r="DB281" s="16"/>
      <c r="DC281" s="16"/>
      <c r="DD281" s="16"/>
      <c r="DE281" s="16"/>
      <c r="DF281" s="16"/>
      <c r="DG281" s="16"/>
      <c r="DH281" s="16"/>
      <c r="DI281" s="16"/>
      <c r="DJ281" s="16"/>
      <c r="DK281" s="16"/>
      <c r="DL281" s="16"/>
    </row>
    <row r="282" ht="15.75" customHeight="1">
      <c r="A282" s="9"/>
      <c r="B282" s="11"/>
      <c r="C282" s="11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9"/>
      <c r="AK282" s="12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9"/>
      <c r="BH282" s="14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9"/>
      <c r="CF282" s="9"/>
      <c r="CG282" s="11"/>
      <c r="CH282" s="11"/>
      <c r="CI282" s="11"/>
      <c r="CJ282" s="11"/>
      <c r="CK282" s="11"/>
      <c r="CL282" s="11"/>
      <c r="CM282" s="11"/>
      <c r="CN282" s="11"/>
      <c r="CO282" s="11"/>
      <c r="CP282" s="11"/>
      <c r="CQ282" s="11"/>
      <c r="CR282" s="11"/>
      <c r="CS282" s="11"/>
      <c r="CT282" s="11"/>
      <c r="CU282" s="11"/>
      <c r="CV282" s="11"/>
      <c r="CW282" s="11"/>
      <c r="CX282" s="11"/>
      <c r="CY282" s="16"/>
      <c r="CZ282" s="16"/>
      <c r="DA282" s="16"/>
      <c r="DB282" s="16"/>
      <c r="DC282" s="16"/>
      <c r="DD282" s="16"/>
      <c r="DE282" s="16"/>
      <c r="DF282" s="16"/>
      <c r="DG282" s="16"/>
      <c r="DH282" s="16"/>
      <c r="DI282" s="16"/>
      <c r="DJ282" s="16"/>
      <c r="DK282" s="16"/>
      <c r="DL282" s="16"/>
    </row>
    <row r="283" ht="15.75" customHeight="1">
      <c r="A283" s="9"/>
      <c r="B283" s="11"/>
      <c r="C283" s="11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9"/>
      <c r="AK283" s="12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9"/>
      <c r="BH283" s="14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9"/>
      <c r="CF283" s="9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6"/>
      <c r="CZ283" s="16"/>
      <c r="DA283" s="16"/>
      <c r="DB283" s="16"/>
      <c r="DC283" s="16"/>
      <c r="DD283" s="16"/>
      <c r="DE283" s="16"/>
      <c r="DF283" s="16"/>
      <c r="DG283" s="16"/>
      <c r="DH283" s="16"/>
      <c r="DI283" s="16"/>
      <c r="DJ283" s="16"/>
      <c r="DK283" s="16"/>
      <c r="DL283" s="16"/>
    </row>
    <row r="284" ht="15.75" customHeight="1">
      <c r="A284" s="9"/>
      <c r="B284" s="11"/>
      <c r="C284" s="11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9"/>
      <c r="AK284" s="12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9"/>
      <c r="BH284" s="14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9"/>
      <c r="CF284" s="9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1"/>
      <c r="CU284" s="11"/>
      <c r="CV284" s="11"/>
      <c r="CW284" s="11"/>
      <c r="CX284" s="11"/>
      <c r="CY284" s="16"/>
      <c r="CZ284" s="16"/>
      <c r="DA284" s="16"/>
      <c r="DB284" s="16"/>
      <c r="DC284" s="16"/>
      <c r="DD284" s="16"/>
      <c r="DE284" s="16"/>
      <c r="DF284" s="16"/>
      <c r="DG284" s="16"/>
      <c r="DH284" s="16"/>
      <c r="DI284" s="16"/>
      <c r="DJ284" s="16"/>
      <c r="DK284" s="16"/>
      <c r="DL284" s="16"/>
    </row>
    <row r="285" ht="15.75" customHeight="1">
      <c r="A285" s="9"/>
      <c r="B285" s="11"/>
      <c r="C285" s="11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9"/>
      <c r="AK285" s="12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9"/>
      <c r="BH285" s="14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9"/>
      <c r="CF285" s="9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6"/>
      <c r="CZ285" s="16"/>
      <c r="DA285" s="16"/>
      <c r="DB285" s="16"/>
      <c r="DC285" s="16"/>
      <c r="DD285" s="16"/>
      <c r="DE285" s="16"/>
      <c r="DF285" s="16"/>
      <c r="DG285" s="16"/>
      <c r="DH285" s="16"/>
      <c r="DI285" s="16"/>
      <c r="DJ285" s="16"/>
      <c r="DK285" s="16"/>
      <c r="DL285" s="16"/>
    </row>
    <row r="286" ht="15.75" customHeight="1">
      <c r="A286" s="9"/>
      <c r="B286" s="11"/>
      <c r="C286" s="11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9"/>
      <c r="AK286" s="12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9"/>
      <c r="BH286" s="14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9"/>
      <c r="CF286" s="9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  <c r="CS286" s="11"/>
      <c r="CT286" s="11"/>
      <c r="CU286" s="11"/>
      <c r="CV286" s="11"/>
      <c r="CW286" s="11"/>
      <c r="CX286" s="11"/>
      <c r="CY286" s="16"/>
      <c r="CZ286" s="16"/>
      <c r="DA286" s="16"/>
      <c r="DB286" s="16"/>
      <c r="DC286" s="16"/>
      <c r="DD286" s="16"/>
      <c r="DE286" s="16"/>
      <c r="DF286" s="16"/>
      <c r="DG286" s="16"/>
      <c r="DH286" s="16"/>
      <c r="DI286" s="16"/>
      <c r="DJ286" s="16"/>
      <c r="DK286" s="16"/>
      <c r="DL286" s="16"/>
    </row>
  </sheetData>
  <mergeCells count="12">
    <mergeCell ref="A4:B4"/>
    <mergeCell ref="A5:B5"/>
    <mergeCell ref="A6:B6"/>
    <mergeCell ref="C5:F5"/>
    <mergeCell ref="C6:F6"/>
    <mergeCell ref="A1:B1"/>
    <mergeCell ref="C1:F1"/>
    <mergeCell ref="A2:B2"/>
    <mergeCell ref="C2:F2"/>
    <mergeCell ref="A3:B3"/>
    <mergeCell ref="C3:F3"/>
    <mergeCell ref="C4:F4"/>
  </mergeCells>
  <conditionalFormatting sqref="H9:CV9 CY9:DJ9 R49:S49 AP49">
    <cfRule type="cellIs" dxfId="0" priority="1" operator="lessThan">
      <formula>1</formula>
    </cfRule>
  </conditionalFormatting>
  <hyperlinks>
    <hyperlink r:id="rId1" ref="A9"/>
  </hyperlinks>
  <printOptions/>
  <pageMargins bottom="0.2" footer="0.0" header="0.0" left="0.7" right="0.16" top="0.28"/>
  <pageSetup paperSize="9" scale="45"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4.29"/>
    <col customWidth="1" min="2" max="2" width="15.86"/>
    <col customWidth="1" min="3" max="3" width="27.0"/>
    <col customWidth="1" min="4" max="4" width="8.14"/>
    <col customWidth="1" min="5" max="5" width="8.0"/>
    <col customWidth="1" min="6" max="6" width="6.71"/>
    <col customWidth="1" min="7" max="7" width="6.57"/>
    <col customWidth="1" min="8" max="8" width="1.29"/>
    <col customWidth="1" min="9" max="9" width="1.71"/>
    <col customWidth="1" min="10" max="10" width="3.71"/>
    <col customWidth="1" min="11" max="11" width="0.43"/>
    <col customWidth="1" min="12" max="12" width="1.14"/>
    <col customWidth="1" min="13" max="13" width="4.71"/>
    <col customWidth="1" min="14" max="14" width="1.43"/>
    <col customWidth="1" min="15" max="15" width="3.71"/>
    <col customWidth="1" min="16" max="16" width="2.43"/>
    <col customWidth="1" min="17" max="17" width="1.43"/>
    <col customWidth="1" min="18" max="19" width="2.43"/>
    <col customWidth="1" min="20" max="20" width="3.71"/>
    <col customWidth="1" min="21" max="21" width="1.43"/>
    <col customWidth="1" min="22" max="22" width="3.71"/>
    <col customWidth="1" min="23" max="23" width="2.43"/>
    <col customWidth="1" min="24" max="24" width="1.71"/>
    <col customWidth="1" min="25" max="25" width="3.71"/>
    <col customWidth="1" min="26" max="26" width="2.43"/>
    <col customWidth="1" min="27" max="27" width="3.71"/>
    <col customWidth="1" min="28" max="29" width="0.43"/>
    <col customWidth="1" min="30" max="31" width="2.29"/>
    <col customWidth="1" min="32" max="32" width="1.0"/>
    <col customWidth="1" min="33" max="33" width="3.71"/>
    <col customWidth="1" min="34" max="34" width="0.86"/>
    <col customWidth="1" min="35" max="36" width="3.71"/>
    <col customWidth="1" min="37" max="37" width="5.86"/>
    <col customWidth="1" min="38" max="58" width="3.71"/>
    <col customWidth="1" min="59" max="59" width="4.0"/>
    <col customWidth="1" min="60" max="60" width="5.71"/>
    <col customWidth="1" min="61" max="69" width="3.71"/>
    <col customWidth="1" min="70" max="70" width="3.29"/>
    <col customWidth="1" min="71" max="82" width="3.71"/>
    <col customWidth="1" min="83" max="83" width="4.0"/>
    <col customWidth="1" min="84" max="84" width="5.57"/>
    <col customWidth="1" min="85" max="96" width="3.71"/>
    <col customWidth="1" min="97" max="97" width="5.29"/>
    <col customWidth="1" min="98" max="98" width="6.29"/>
  </cols>
  <sheetData>
    <row r="1">
      <c r="A1" s="3" t="s">
        <v>224</v>
      </c>
      <c r="B1" s="5"/>
      <c r="C1" s="4"/>
      <c r="D1" s="6"/>
      <c r="E1" s="6"/>
      <c r="F1" s="8"/>
      <c r="G1" s="9"/>
      <c r="H1" s="11"/>
      <c r="I1" s="11"/>
      <c r="J1" s="11"/>
      <c r="K1" s="11"/>
      <c r="L1" s="11"/>
      <c r="M1" s="9"/>
      <c r="N1" s="9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9"/>
      <c r="AK1" s="13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9"/>
      <c r="BH1" s="15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9"/>
      <c r="CF1" s="9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</row>
    <row r="2">
      <c r="A2" s="17" t="s">
        <v>5</v>
      </c>
      <c r="B2" s="18"/>
      <c r="C2" s="19" t="s">
        <v>222</v>
      </c>
      <c r="D2" s="22"/>
      <c r="E2" s="22"/>
      <c r="F2" s="5"/>
      <c r="G2" s="9"/>
      <c r="H2" s="11"/>
      <c r="I2" s="11"/>
      <c r="J2" s="11"/>
      <c r="K2" s="11"/>
      <c r="L2" s="11"/>
      <c r="M2" s="9"/>
      <c r="N2" s="9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9"/>
      <c r="AK2" s="13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9"/>
      <c r="BH2" s="15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9"/>
      <c r="CF2" s="9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</row>
    <row r="3">
      <c r="A3" s="17" t="s">
        <v>9</v>
      </c>
      <c r="B3" s="18"/>
      <c r="C3" s="19" t="s">
        <v>223</v>
      </c>
      <c r="D3" s="22"/>
      <c r="E3" s="22"/>
      <c r="F3" s="5"/>
      <c r="G3" s="9"/>
      <c r="H3" s="11"/>
      <c r="I3" s="11"/>
      <c r="J3" s="11"/>
      <c r="K3" s="11"/>
      <c r="L3" s="11"/>
      <c r="M3" s="9"/>
      <c r="N3" s="9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9"/>
      <c r="AK3" s="13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9"/>
      <c r="BH3" s="15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9"/>
      <c r="CF3" s="9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</row>
    <row r="4">
      <c r="A4" s="17" t="s">
        <v>12</v>
      </c>
      <c r="B4" s="18"/>
      <c r="C4" s="27" t="s">
        <v>221</v>
      </c>
      <c r="D4" s="6"/>
      <c r="E4" s="6"/>
      <c r="F4" s="2"/>
      <c r="G4" s="9"/>
      <c r="H4" s="11"/>
      <c r="I4" s="11"/>
      <c r="J4" s="11"/>
      <c r="K4" s="11"/>
      <c r="L4" s="11"/>
      <c r="M4" s="9"/>
      <c r="N4" s="9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9"/>
      <c r="AK4" s="13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9"/>
      <c r="BH4" s="15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9"/>
      <c r="CF4" s="9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</row>
    <row r="5">
      <c r="A5" s="17" t="s">
        <v>14</v>
      </c>
      <c r="B5" s="18"/>
      <c r="C5" s="28">
        <v>46104.0</v>
      </c>
      <c r="D5" s="22"/>
      <c r="E5" s="22"/>
      <c r="F5" s="5"/>
      <c r="G5" s="31"/>
      <c r="H5" s="11"/>
      <c r="I5" s="11"/>
      <c r="J5" s="11"/>
      <c r="K5" s="11"/>
      <c r="L5" s="11"/>
      <c r="M5" s="9"/>
      <c r="N5" s="9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9"/>
      <c r="AK5" s="13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9"/>
      <c r="BH5" s="15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9"/>
      <c r="CF5" s="9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</row>
    <row r="6">
      <c r="A6" s="32" t="s">
        <v>15</v>
      </c>
      <c r="B6" s="33"/>
      <c r="C6" s="34"/>
      <c r="D6" s="38"/>
      <c r="E6" s="38"/>
      <c r="F6" s="39"/>
      <c r="G6" s="37"/>
      <c r="H6" s="11"/>
      <c r="I6" s="11"/>
      <c r="J6" s="11"/>
      <c r="K6" s="11"/>
      <c r="L6" s="11"/>
      <c r="M6" s="9"/>
      <c r="N6" s="9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9"/>
      <c r="AK6" s="13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9"/>
      <c r="BH6" s="15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9"/>
      <c r="CF6" s="9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</row>
    <row r="7">
      <c r="A7" s="31"/>
      <c r="B7" s="40"/>
      <c r="C7" s="41"/>
      <c r="D7" s="31"/>
      <c r="E7" s="31"/>
      <c r="F7" s="42"/>
      <c r="G7" s="37"/>
      <c r="H7" s="43">
        <v>1.0</v>
      </c>
      <c r="I7" s="43">
        <v>2.0</v>
      </c>
      <c r="J7" s="43">
        <v>3.0</v>
      </c>
      <c r="K7" s="43">
        <v>4.0</v>
      </c>
      <c r="L7" s="43">
        <v>5.0</v>
      </c>
      <c r="M7" s="44"/>
      <c r="N7" s="44"/>
      <c r="O7" s="43">
        <v>1.0</v>
      </c>
      <c r="P7" s="45">
        <v>2.0</v>
      </c>
      <c r="Q7" s="45">
        <v>3.0</v>
      </c>
      <c r="R7" s="46">
        <v>4.0</v>
      </c>
      <c r="S7" s="45">
        <v>5.0</v>
      </c>
      <c r="T7" s="45">
        <v>6.0</v>
      </c>
      <c r="U7" s="46">
        <v>7.0</v>
      </c>
      <c r="V7" s="45">
        <v>8.0</v>
      </c>
      <c r="W7" s="45">
        <v>9.0</v>
      </c>
      <c r="X7" s="46">
        <v>10.0</v>
      </c>
      <c r="Y7" s="45">
        <v>11.0</v>
      </c>
      <c r="Z7" s="45">
        <v>12.0</v>
      </c>
      <c r="AA7" s="46">
        <v>13.0</v>
      </c>
      <c r="AB7" s="45">
        <v>14.0</v>
      </c>
      <c r="AC7" s="45">
        <v>15.0</v>
      </c>
      <c r="AD7" s="46">
        <v>16.0</v>
      </c>
      <c r="AE7" s="45">
        <v>17.0</v>
      </c>
      <c r="AF7" s="45">
        <v>18.0</v>
      </c>
      <c r="AG7" s="46">
        <v>19.0</v>
      </c>
      <c r="AH7" s="45">
        <v>20.0</v>
      </c>
      <c r="AI7" s="45">
        <v>21.0</v>
      </c>
      <c r="AJ7" s="47"/>
      <c r="AK7" s="48"/>
      <c r="AL7" s="49">
        <v>1.0</v>
      </c>
      <c r="AM7" s="49">
        <v>2.0</v>
      </c>
      <c r="AN7" s="49">
        <v>3.0</v>
      </c>
      <c r="AO7" s="49">
        <v>4.0</v>
      </c>
      <c r="AP7" s="49">
        <v>5.0</v>
      </c>
      <c r="AQ7" s="49">
        <v>6.0</v>
      </c>
      <c r="AR7" s="49">
        <v>7.0</v>
      </c>
      <c r="AS7" s="49">
        <v>8.0</v>
      </c>
      <c r="AT7" s="49">
        <v>9.0</v>
      </c>
      <c r="AU7" s="49">
        <v>10.0</v>
      </c>
      <c r="AV7" s="49">
        <v>11.0</v>
      </c>
      <c r="AW7" s="49">
        <v>12.0</v>
      </c>
      <c r="AX7" s="49">
        <v>13.0</v>
      </c>
      <c r="AY7" s="49">
        <v>14.0</v>
      </c>
      <c r="AZ7" s="49">
        <v>15.0</v>
      </c>
      <c r="BA7" s="49">
        <v>16.0</v>
      </c>
      <c r="BB7" s="49">
        <v>17.0</v>
      </c>
      <c r="BC7" s="49">
        <v>18.0</v>
      </c>
      <c r="BD7" s="49">
        <v>19.0</v>
      </c>
      <c r="BE7" s="49">
        <v>20.0</v>
      </c>
      <c r="BF7" s="49">
        <v>21.0</v>
      </c>
      <c r="BG7" s="47"/>
      <c r="BH7" s="52"/>
      <c r="BI7" s="49">
        <v>1.0</v>
      </c>
      <c r="BJ7" s="49">
        <v>2.0</v>
      </c>
      <c r="BK7" s="49">
        <v>3.0</v>
      </c>
      <c r="BL7" s="49">
        <v>4.0</v>
      </c>
      <c r="BM7" s="49">
        <v>5.0</v>
      </c>
      <c r="BN7" s="49">
        <v>6.0</v>
      </c>
      <c r="BO7" s="49">
        <v>7.0</v>
      </c>
      <c r="BP7" s="49">
        <v>8.0</v>
      </c>
      <c r="BQ7" s="49">
        <v>9.0</v>
      </c>
      <c r="BR7" s="49">
        <v>10.0</v>
      </c>
      <c r="BS7" s="49">
        <v>11.0</v>
      </c>
      <c r="BT7" s="49">
        <v>12.0</v>
      </c>
      <c r="BU7" s="49">
        <v>13.0</v>
      </c>
      <c r="BV7" s="49">
        <v>14.0</v>
      </c>
      <c r="BW7" s="49">
        <v>15.0</v>
      </c>
      <c r="BX7" s="49">
        <v>16.0</v>
      </c>
      <c r="BY7" s="49">
        <v>17.0</v>
      </c>
      <c r="BZ7" s="49">
        <v>18.0</v>
      </c>
      <c r="CA7" s="49">
        <v>19.0</v>
      </c>
      <c r="CB7" s="49">
        <v>20.0</v>
      </c>
      <c r="CC7" s="49"/>
      <c r="CD7" s="49">
        <v>21.0</v>
      </c>
      <c r="CE7" s="47"/>
      <c r="CF7" s="47"/>
      <c r="CG7" s="49">
        <v>1.0</v>
      </c>
      <c r="CH7" s="49">
        <v>2.0</v>
      </c>
      <c r="CI7" s="49">
        <v>3.0</v>
      </c>
      <c r="CJ7" s="49">
        <v>4.0</v>
      </c>
      <c r="CK7" s="49">
        <v>5.0</v>
      </c>
      <c r="CL7" s="49">
        <v>6.0</v>
      </c>
      <c r="CM7" s="49">
        <v>7.0</v>
      </c>
      <c r="CN7" s="49">
        <v>8.0</v>
      </c>
      <c r="CO7" s="49">
        <v>9.0</v>
      </c>
      <c r="CP7" s="49">
        <v>10.0</v>
      </c>
      <c r="CQ7" s="49">
        <v>11.0</v>
      </c>
      <c r="CR7" s="49">
        <v>12.0</v>
      </c>
      <c r="CS7" s="55"/>
      <c r="CT7" s="55"/>
    </row>
    <row r="8" ht="78.75" customHeight="1">
      <c r="A8" s="56"/>
      <c r="B8" s="45"/>
      <c r="C8" s="45"/>
      <c r="D8" s="58" t="s">
        <v>17</v>
      </c>
      <c r="E8" s="59" t="s">
        <v>18</v>
      </c>
      <c r="F8" s="60" t="s">
        <v>19</v>
      </c>
      <c r="G8" s="61" t="s">
        <v>20</v>
      </c>
      <c r="H8" s="62">
        <v>46104.0</v>
      </c>
      <c r="I8" s="62">
        <v>46105.0</v>
      </c>
      <c r="J8" s="62">
        <v>46106.0</v>
      </c>
      <c r="K8" s="62">
        <v>46107.0</v>
      </c>
      <c r="L8" s="64">
        <v>46111.0</v>
      </c>
      <c r="M8" s="65" t="s">
        <v>21</v>
      </c>
      <c r="N8" s="66" t="s">
        <v>22</v>
      </c>
      <c r="O8" s="62">
        <v>46113.0</v>
      </c>
      <c r="P8" s="62">
        <v>46114.0</v>
      </c>
      <c r="Q8" s="62">
        <v>46115.0</v>
      </c>
      <c r="R8" s="62">
        <v>46118.0</v>
      </c>
      <c r="S8" s="62">
        <v>46119.0</v>
      </c>
      <c r="T8" s="62">
        <v>46120.0</v>
      </c>
      <c r="U8" s="62">
        <v>46121.0</v>
      </c>
      <c r="V8" s="62">
        <v>46122.0</v>
      </c>
      <c r="W8" s="62">
        <v>46125.0</v>
      </c>
      <c r="X8" s="62">
        <v>46127.0</v>
      </c>
      <c r="Y8" s="62">
        <v>46128.0</v>
      </c>
      <c r="Z8" s="62">
        <v>46129.0</v>
      </c>
      <c r="AA8" s="62">
        <v>46132.0</v>
      </c>
      <c r="AB8" s="62">
        <v>46133.0</v>
      </c>
      <c r="AC8" s="62">
        <v>46134.0</v>
      </c>
      <c r="AD8" s="62">
        <v>46135.0</v>
      </c>
      <c r="AE8" s="62">
        <v>46136.0</v>
      </c>
      <c r="AF8" s="62">
        <v>46139.0</v>
      </c>
      <c r="AG8" s="62">
        <v>46140.0</v>
      </c>
      <c r="AH8" s="62">
        <v>46141.0</v>
      </c>
      <c r="AI8" s="62">
        <v>46142.0</v>
      </c>
      <c r="AJ8" s="67" t="s">
        <v>23</v>
      </c>
      <c r="AK8" s="68" t="s">
        <v>24</v>
      </c>
      <c r="AL8" s="62">
        <v>46143.0</v>
      </c>
      <c r="AM8" s="62">
        <v>46146.0</v>
      </c>
      <c r="AN8" s="62">
        <v>46147.0</v>
      </c>
      <c r="AO8" s="62">
        <v>46148.0</v>
      </c>
      <c r="AP8" s="62">
        <v>46149.0</v>
      </c>
      <c r="AQ8" s="62">
        <v>46150.0</v>
      </c>
      <c r="AR8" s="62">
        <v>46153.0</v>
      </c>
      <c r="AS8" s="62">
        <v>46154.0</v>
      </c>
      <c r="AT8" s="62">
        <v>46155.0</v>
      </c>
      <c r="AU8" s="62">
        <v>46156.0</v>
      </c>
      <c r="AV8" s="62">
        <v>46157.0</v>
      </c>
      <c r="AW8" s="62">
        <v>46160.0</v>
      </c>
      <c r="AX8" s="62">
        <v>46161.0</v>
      </c>
      <c r="AY8" s="62">
        <v>46162.0</v>
      </c>
      <c r="AZ8" s="62">
        <v>46163.0</v>
      </c>
      <c r="BA8" s="62">
        <v>46164.0</v>
      </c>
      <c r="BB8" s="62">
        <v>46167.0</v>
      </c>
      <c r="BC8" s="62">
        <v>46168.0</v>
      </c>
      <c r="BD8" s="62">
        <v>46169.0</v>
      </c>
      <c r="BE8" s="62">
        <v>46170.0</v>
      </c>
      <c r="BF8" s="62">
        <v>46171.0</v>
      </c>
      <c r="BG8" s="70" t="s">
        <v>25</v>
      </c>
      <c r="BH8" s="71" t="s">
        <v>26</v>
      </c>
      <c r="BI8" s="62">
        <v>46174.0</v>
      </c>
      <c r="BJ8" s="62">
        <v>46175.0</v>
      </c>
      <c r="BK8" s="62">
        <v>46176.0</v>
      </c>
      <c r="BL8" s="62">
        <v>46177.0</v>
      </c>
      <c r="BM8" s="62">
        <v>46178.0</v>
      </c>
      <c r="BN8" s="62">
        <v>46181.0</v>
      </c>
      <c r="BO8" s="62">
        <v>46182.0</v>
      </c>
      <c r="BP8" s="62">
        <v>46183.0</v>
      </c>
      <c r="BQ8" s="62">
        <v>46184.0</v>
      </c>
      <c r="BR8" s="62">
        <v>46185.0</v>
      </c>
      <c r="BS8" s="64">
        <v>46188.0</v>
      </c>
      <c r="BT8" s="64">
        <v>46189.0</v>
      </c>
      <c r="BU8" s="64">
        <v>46190.0</v>
      </c>
      <c r="BV8" s="64">
        <v>46191.0</v>
      </c>
      <c r="BW8" s="64">
        <v>46192.0</v>
      </c>
      <c r="BX8" s="64">
        <v>46195.0</v>
      </c>
      <c r="BY8" s="64">
        <v>46196.0</v>
      </c>
      <c r="BZ8" s="64">
        <v>46197.0</v>
      </c>
      <c r="CA8" s="64">
        <v>46198.0</v>
      </c>
      <c r="CB8" s="64">
        <v>46199.0</v>
      </c>
      <c r="CC8" s="64">
        <v>46202.0</v>
      </c>
      <c r="CD8" s="64">
        <v>46203.0</v>
      </c>
      <c r="CE8" s="74" t="s">
        <v>27</v>
      </c>
      <c r="CF8" s="75" t="s">
        <v>28</v>
      </c>
      <c r="CG8" s="77">
        <v>46204.0</v>
      </c>
      <c r="CH8" s="79"/>
      <c r="CI8" s="79"/>
      <c r="CJ8" s="79"/>
      <c r="CK8" s="79"/>
      <c r="CL8" s="79"/>
      <c r="CM8" s="79"/>
      <c r="CN8" s="79"/>
      <c r="CO8" s="79"/>
      <c r="CP8" s="79"/>
      <c r="CQ8" s="79"/>
      <c r="CR8" s="79"/>
      <c r="CS8" s="80" t="s">
        <v>31</v>
      </c>
      <c r="CT8" s="81" t="s">
        <v>32</v>
      </c>
    </row>
    <row r="9">
      <c r="A9" s="84" t="s">
        <v>226</v>
      </c>
      <c r="B9" s="85" t="s">
        <v>40</v>
      </c>
      <c r="C9" s="85" t="s">
        <v>42</v>
      </c>
      <c r="D9" s="91">
        <f t="shared" ref="D9:D93" si="6">SUM(M9+AJ9+BG9+CE9+CS9)</f>
        <v>13</v>
      </c>
      <c r="E9" s="91"/>
      <c r="F9" s="92"/>
      <c r="G9" s="92"/>
      <c r="H9" s="93">
        <f t="shared" ref="H9:L9" si="1">SUM(H10:H51)</f>
        <v>0</v>
      </c>
      <c r="I9" s="93">
        <f t="shared" si="1"/>
        <v>0</v>
      </c>
      <c r="J9" s="93">
        <f t="shared" si="1"/>
        <v>0</v>
      </c>
      <c r="K9" s="93">
        <f t="shared" si="1"/>
        <v>0</v>
      </c>
      <c r="L9" s="93">
        <f t="shared" si="1"/>
        <v>0</v>
      </c>
      <c r="M9" s="94">
        <f>COUNTIF(H9:L9,"&gt;0")</f>
        <v>0</v>
      </c>
      <c r="N9" s="96">
        <f>COUNTIF(H9:L9,"&gt;0")</f>
        <v>0</v>
      </c>
      <c r="O9" s="93">
        <f t="shared" ref="O9:AI9" si="2">SUM(O10:O51)</f>
        <v>0</v>
      </c>
      <c r="P9" s="93">
        <f t="shared" si="2"/>
        <v>0</v>
      </c>
      <c r="Q9" s="93">
        <f t="shared" si="2"/>
        <v>0</v>
      </c>
      <c r="R9" s="93">
        <f t="shared" si="2"/>
        <v>0</v>
      </c>
      <c r="S9" s="93">
        <f t="shared" si="2"/>
        <v>0</v>
      </c>
      <c r="T9" s="93">
        <f t="shared" si="2"/>
        <v>0</v>
      </c>
      <c r="U9" s="93">
        <f t="shared" si="2"/>
        <v>0</v>
      </c>
      <c r="V9" s="93">
        <f t="shared" si="2"/>
        <v>0</v>
      </c>
      <c r="W9" s="93">
        <f t="shared" si="2"/>
        <v>0</v>
      </c>
      <c r="X9" s="93">
        <f t="shared" si="2"/>
        <v>0</v>
      </c>
      <c r="Y9" s="93">
        <f t="shared" si="2"/>
        <v>0</v>
      </c>
      <c r="Z9" s="93">
        <f t="shared" si="2"/>
        <v>10</v>
      </c>
      <c r="AA9" s="93">
        <f t="shared" si="2"/>
        <v>0</v>
      </c>
      <c r="AB9" s="93">
        <f t="shared" si="2"/>
        <v>0</v>
      </c>
      <c r="AC9" s="93">
        <f t="shared" si="2"/>
        <v>0</v>
      </c>
      <c r="AD9" s="93">
        <f t="shared" si="2"/>
        <v>0</v>
      </c>
      <c r="AE9" s="93">
        <f t="shared" si="2"/>
        <v>3</v>
      </c>
      <c r="AF9" s="93">
        <f t="shared" si="2"/>
        <v>0</v>
      </c>
      <c r="AG9" s="93">
        <f t="shared" si="2"/>
        <v>0</v>
      </c>
      <c r="AH9" s="93">
        <f t="shared" si="2"/>
        <v>0</v>
      </c>
      <c r="AI9" s="93">
        <f t="shared" si="2"/>
        <v>0</v>
      </c>
      <c r="AJ9" s="44">
        <f>COUNTIF(O9:AI9,"&gt;0")</f>
        <v>2</v>
      </c>
      <c r="AK9" s="102">
        <f>SUM(M9+AJ9)</f>
        <v>2</v>
      </c>
      <c r="AL9" s="103">
        <f t="shared" ref="AL9:BF9" si="3">SUM(AL10:AL51)</f>
        <v>15</v>
      </c>
      <c r="AM9" s="103">
        <f t="shared" si="3"/>
        <v>0</v>
      </c>
      <c r="AN9" s="103">
        <f t="shared" si="3"/>
        <v>0</v>
      </c>
      <c r="AO9" s="103">
        <f t="shared" si="3"/>
        <v>0</v>
      </c>
      <c r="AP9" s="103">
        <f t="shared" si="3"/>
        <v>0</v>
      </c>
      <c r="AQ9" s="103">
        <f t="shared" si="3"/>
        <v>7</v>
      </c>
      <c r="AR9" s="103">
        <f t="shared" si="3"/>
        <v>0</v>
      </c>
      <c r="AS9" s="103">
        <f t="shared" si="3"/>
        <v>0</v>
      </c>
      <c r="AT9" s="103">
        <f t="shared" si="3"/>
        <v>0</v>
      </c>
      <c r="AU9" s="103">
        <f t="shared" si="3"/>
        <v>0</v>
      </c>
      <c r="AV9" s="103">
        <f t="shared" si="3"/>
        <v>9</v>
      </c>
      <c r="AW9" s="103">
        <f t="shared" si="3"/>
        <v>0</v>
      </c>
      <c r="AX9" s="103">
        <f t="shared" si="3"/>
        <v>0</v>
      </c>
      <c r="AY9" s="103">
        <f t="shared" si="3"/>
        <v>29</v>
      </c>
      <c r="AZ9" s="103">
        <f t="shared" si="3"/>
        <v>0</v>
      </c>
      <c r="BA9" s="103">
        <f t="shared" si="3"/>
        <v>0</v>
      </c>
      <c r="BB9" s="103">
        <f t="shared" si="3"/>
        <v>0</v>
      </c>
      <c r="BC9" s="103">
        <f t="shared" si="3"/>
        <v>0</v>
      </c>
      <c r="BD9" s="103">
        <f t="shared" si="3"/>
        <v>16</v>
      </c>
      <c r="BE9" s="103">
        <f t="shared" si="3"/>
        <v>0</v>
      </c>
      <c r="BF9" s="103">
        <f t="shared" si="3"/>
        <v>0</v>
      </c>
      <c r="BG9" s="54">
        <f>COUNTIF(AL9:BF9,"&gt;0")</f>
        <v>5</v>
      </c>
      <c r="BH9" s="106">
        <f>SUM(AK9+BG9)</f>
        <v>7</v>
      </c>
      <c r="BI9" s="107">
        <f t="shared" ref="BI9:CD9" si="4">SUM(BI10:BI51)</f>
        <v>0</v>
      </c>
      <c r="BJ9" s="107">
        <f t="shared" si="4"/>
        <v>0</v>
      </c>
      <c r="BK9" s="107">
        <f t="shared" si="4"/>
        <v>11</v>
      </c>
      <c r="BL9" s="107">
        <f t="shared" si="4"/>
        <v>0</v>
      </c>
      <c r="BM9" s="107">
        <f t="shared" si="4"/>
        <v>0</v>
      </c>
      <c r="BN9" s="107">
        <f t="shared" si="4"/>
        <v>0</v>
      </c>
      <c r="BO9" s="107">
        <f t="shared" si="4"/>
        <v>0</v>
      </c>
      <c r="BP9" s="107">
        <f t="shared" si="4"/>
        <v>20</v>
      </c>
      <c r="BQ9" s="107">
        <f t="shared" si="4"/>
        <v>0</v>
      </c>
      <c r="BR9" s="107">
        <f t="shared" si="4"/>
        <v>0</v>
      </c>
      <c r="BS9" s="107">
        <f t="shared" si="4"/>
        <v>0</v>
      </c>
      <c r="BT9" s="107">
        <f t="shared" si="4"/>
        <v>0</v>
      </c>
      <c r="BU9" s="107">
        <f t="shared" si="4"/>
        <v>15</v>
      </c>
      <c r="BV9" s="107">
        <f t="shared" si="4"/>
        <v>0</v>
      </c>
      <c r="BW9" s="107">
        <f t="shared" si="4"/>
        <v>13</v>
      </c>
      <c r="BX9" s="107">
        <f t="shared" si="4"/>
        <v>0</v>
      </c>
      <c r="BY9" s="107">
        <f t="shared" si="4"/>
        <v>0</v>
      </c>
      <c r="BZ9" s="107">
        <f t="shared" si="4"/>
        <v>0</v>
      </c>
      <c r="CA9" s="107">
        <f t="shared" si="4"/>
        <v>0</v>
      </c>
      <c r="CB9" s="107">
        <f t="shared" si="4"/>
        <v>29</v>
      </c>
      <c r="CC9" s="107">
        <f t="shared" si="4"/>
        <v>0</v>
      </c>
      <c r="CD9" s="107">
        <f t="shared" si="4"/>
        <v>0</v>
      </c>
      <c r="CE9" s="47">
        <f>COUNTIF(BI9:CD9,"&gt;0")</f>
        <v>5</v>
      </c>
      <c r="CF9" s="52">
        <f>SUM(BH9+CE9)</f>
        <v>12</v>
      </c>
      <c r="CG9" s="107">
        <f t="shared" ref="CG9:CR9" si="5">SUM(CG11:CG51)</f>
        <v>1</v>
      </c>
      <c r="CH9" s="107">
        <f t="shared" si="5"/>
        <v>0</v>
      </c>
      <c r="CI9" s="107">
        <f t="shared" si="5"/>
        <v>0</v>
      </c>
      <c r="CJ9" s="107">
        <f t="shared" si="5"/>
        <v>0</v>
      </c>
      <c r="CK9" s="107">
        <f t="shared" si="5"/>
        <v>0</v>
      </c>
      <c r="CL9" s="107">
        <f t="shared" si="5"/>
        <v>0</v>
      </c>
      <c r="CM9" s="107">
        <f t="shared" si="5"/>
        <v>0</v>
      </c>
      <c r="CN9" s="107">
        <f t="shared" si="5"/>
        <v>0</v>
      </c>
      <c r="CO9" s="107">
        <f t="shared" si="5"/>
        <v>0</v>
      </c>
      <c r="CP9" s="107">
        <f t="shared" si="5"/>
        <v>0</v>
      </c>
      <c r="CQ9" s="107">
        <f t="shared" si="5"/>
        <v>0</v>
      </c>
      <c r="CR9" s="107">
        <f t="shared" si="5"/>
        <v>0</v>
      </c>
      <c r="CS9" s="109">
        <f>COUNTIF(CG9:CR9,"&gt;0")</f>
        <v>1</v>
      </c>
      <c r="CT9" s="110">
        <f>SUM(CF9+CS9)</f>
        <v>13</v>
      </c>
    </row>
    <row r="10">
      <c r="A10" s="50">
        <v>1.0</v>
      </c>
      <c r="B10" s="111" t="s">
        <v>51</v>
      </c>
      <c r="C10" s="112" t="s">
        <v>52</v>
      </c>
      <c r="D10" s="91">
        <f t="shared" si="6"/>
        <v>1</v>
      </c>
      <c r="E10" s="113">
        <f t="shared" ref="E10:E51" si="7">(D10)/D$9*100</f>
        <v>7.692307692</v>
      </c>
      <c r="F10" s="114">
        <f t="shared" ref="F10:F51" si="8">IF(E10&lt;50,E10, "  ")</f>
        <v>7.692307692</v>
      </c>
      <c r="G10" s="114">
        <f t="shared" ref="G10:G51" si="9">IF(E10&lt;30,E10, "  ")</f>
        <v>7.692307692</v>
      </c>
      <c r="H10" s="116"/>
      <c r="I10" s="116"/>
      <c r="J10" s="116"/>
      <c r="K10" s="116"/>
      <c r="L10" s="116"/>
      <c r="M10" s="118">
        <f t="shared" ref="M10:M51" si="10">SUM(H10:L10)</f>
        <v>0</v>
      </c>
      <c r="N10" s="119" t="str">
        <f t="shared" ref="N10:N50" si="11">M10/M$9*100</f>
        <v>#DIV/0!</v>
      </c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38">
        <v>1.0</v>
      </c>
      <c r="AA10" s="116"/>
      <c r="AB10" s="116"/>
      <c r="AC10" s="116"/>
      <c r="AD10" s="116"/>
      <c r="AE10" s="116"/>
      <c r="AF10" s="116"/>
      <c r="AG10" s="116"/>
      <c r="AH10" s="116"/>
      <c r="AI10" s="116"/>
      <c r="AJ10" s="120">
        <f t="shared" ref="AJ10:AJ51" si="12">SUM(O10:AI10)</f>
        <v>1</v>
      </c>
      <c r="AK10" s="121">
        <f t="shared" ref="AK10:AK51" si="13">AJ10/AJ$9*100</f>
        <v>50</v>
      </c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38"/>
      <c r="AZ10" s="116"/>
      <c r="BA10" s="116"/>
      <c r="BB10" s="116"/>
      <c r="BC10" s="116"/>
      <c r="BD10" s="138"/>
      <c r="BE10" s="116"/>
      <c r="BF10" s="116"/>
      <c r="BG10" s="118">
        <f t="shared" ref="BG10:BG51" si="14">SUM(AL10:BF10)</f>
        <v>0</v>
      </c>
      <c r="BH10" s="122">
        <f t="shared" ref="BH10:BH51" si="15">BG10/BG$9*100</f>
        <v>0</v>
      </c>
      <c r="BI10" s="116"/>
      <c r="BJ10" s="116"/>
      <c r="BK10" s="116"/>
      <c r="BL10" s="116"/>
      <c r="BM10" s="116"/>
      <c r="BN10" s="116"/>
      <c r="BO10" s="116"/>
      <c r="BP10" s="116"/>
      <c r="BQ10" s="116"/>
      <c r="BR10" s="116"/>
      <c r="BS10" s="116"/>
      <c r="BT10" s="116"/>
      <c r="BU10" s="116"/>
      <c r="BV10" s="116"/>
      <c r="BW10" s="43"/>
      <c r="BX10" s="43"/>
      <c r="BY10" s="43"/>
      <c r="BZ10" s="43"/>
      <c r="CA10" s="43"/>
      <c r="CB10" s="43"/>
      <c r="CC10" s="43"/>
      <c r="CD10" s="43"/>
      <c r="CE10" s="124">
        <f t="shared" ref="CE10:CE51" si="16">SUM(BI10:CD10)</f>
        <v>0</v>
      </c>
      <c r="CF10" s="125">
        <f t="shared" ref="CF10:CF51" si="17">CE10/CE$9*100</f>
        <v>0</v>
      </c>
      <c r="CG10" s="43"/>
      <c r="CH10" s="43"/>
      <c r="CI10" s="43"/>
      <c r="CJ10" s="43"/>
      <c r="CK10" s="43"/>
      <c r="CL10" s="43"/>
      <c r="CM10" s="43"/>
      <c r="CN10" s="43"/>
      <c r="CO10" s="43"/>
      <c r="CP10" s="43"/>
      <c r="CQ10" s="43"/>
      <c r="CR10" s="43"/>
      <c r="CS10" s="128">
        <f t="shared" ref="CS10:CS47" si="18">SUM(CG10:CR10)</f>
        <v>0</v>
      </c>
      <c r="CT10" s="129">
        <f t="shared" ref="CT10:CT47" si="19">CS10/CS$9*100</f>
        <v>0</v>
      </c>
    </row>
    <row r="11">
      <c r="A11" s="131">
        <v>2.0</v>
      </c>
      <c r="B11" s="111" t="s">
        <v>53</v>
      </c>
      <c r="C11" s="112" t="s">
        <v>54</v>
      </c>
      <c r="D11" s="91">
        <f t="shared" si="6"/>
        <v>9</v>
      </c>
      <c r="E11" s="113">
        <f t="shared" si="7"/>
        <v>69.23076923</v>
      </c>
      <c r="F11" s="133" t="str">
        <f t="shared" si="8"/>
        <v>  </v>
      </c>
      <c r="G11" s="135" t="str">
        <f t="shared" si="9"/>
        <v>  </v>
      </c>
      <c r="H11" s="116"/>
      <c r="I11" s="116"/>
      <c r="J11" s="116"/>
      <c r="K11" s="116"/>
      <c r="L11" s="116"/>
      <c r="M11" s="118">
        <f t="shared" si="10"/>
        <v>0</v>
      </c>
      <c r="N11" s="119" t="str">
        <f t="shared" si="11"/>
        <v>#DIV/0!</v>
      </c>
      <c r="O11" s="116"/>
      <c r="P11" s="116"/>
      <c r="Q11" s="116"/>
      <c r="R11" s="116"/>
      <c r="S11" s="116"/>
      <c r="T11" s="116"/>
      <c r="U11" s="116"/>
      <c r="V11" s="116"/>
      <c r="W11" s="138"/>
      <c r="X11" s="116"/>
      <c r="Y11" s="116"/>
      <c r="Z11" s="138">
        <v>1.0</v>
      </c>
      <c r="AA11" s="116"/>
      <c r="AB11" s="116"/>
      <c r="AC11" s="116"/>
      <c r="AD11" s="116"/>
      <c r="AE11" s="116"/>
      <c r="AF11" s="116"/>
      <c r="AG11" s="116"/>
      <c r="AH11" s="116"/>
      <c r="AI11" s="116"/>
      <c r="AJ11" s="120">
        <f t="shared" si="12"/>
        <v>1</v>
      </c>
      <c r="AK11" s="121">
        <f t="shared" si="13"/>
        <v>50</v>
      </c>
      <c r="AL11" s="138">
        <v>1.0</v>
      </c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38">
        <v>1.0</v>
      </c>
      <c r="AZ11" s="116"/>
      <c r="BA11" s="116"/>
      <c r="BB11" s="116"/>
      <c r="BC11" s="116"/>
      <c r="BD11" s="138">
        <v>1.0</v>
      </c>
      <c r="BE11" s="116"/>
      <c r="BF11" s="116"/>
      <c r="BG11" s="118">
        <f t="shared" si="14"/>
        <v>3</v>
      </c>
      <c r="BH11" s="122">
        <f t="shared" si="15"/>
        <v>60</v>
      </c>
      <c r="BI11" s="116"/>
      <c r="BJ11" s="116"/>
      <c r="BK11" s="116"/>
      <c r="BL11" s="116"/>
      <c r="BM11" s="116"/>
      <c r="BN11" s="116"/>
      <c r="BO11" s="116"/>
      <c r="BP11" s="138">
        <v>1.0</v>
      </c>
      <c r="BQ11" s="116"/>
      <c r="BR11" s="116"/>
      <c r="BS11" s="116"/>
      <c r="BT11" s="116"/>
      <c r="BU11" s="138">
        <v>1.0</v>
      </c>
      <c r="BV11" s="116"/>
      <c r="BW11" s="145">
        <v>1.0</v>
      </c>
      <c r="BX11" s="43"/>
      <c r="BY11" s="43"/>
      <c r="BZ11" s="43"/>
      <c r="CA11" s="43"/>
      <c r="CB11" s="145">
        <v>1.0</v>
      </c>
      <c r="CC11" s="43"/>
      <c r="CD11" s="43"/>
      <c r="CE11" s="124">
        <f t="shared" si="16"/>
        <v>4</v>
      </c>
      <c r="CF11" s="125">
        <f t="shared" si="17"/>
        <v>80</v>
      </c>
      <c r="CG11" s="145">
        <v>1.0</v>
      </c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128">
        <f t="shared" si="18"/>
        <v>1</v>
      </c>
      <c r="CT11" s="129">
        <f t="shared" si="19"/>
        <v>100</v>
      </c>
    </row>
    <row r="12" ht="18.0" customHeight="1">
      <c r="A12" s="146">
        <v>3.0</v>
      </c>
      <c r="B12" s="111" t="s">
        <v>55</v>
      </c>
      <c r="C12" s="112" t="s">
        <v>56</v>
      </c>
      <c r="D12" s="91">
        <f t="shared" si="6"/>
        <v>4</v>
      </c>
      <c r="E12" s="113">
        <f t="shared" si="7"/>
        <v>30.76923077</v>
      </c>
      <c r="F12" s="114">
        <f t="shared" si="8"/>
        <v>30.76923077</v>
      </c>
      <c r="G12" s="149" t="str">
        <f t="shared" si="9"/>
        <v>  </v>
      </c>
      <c r="H12" s="116"/>
      <c r="I12" s="150"/>
      <c r="J12" s="116"/>
      <c r="K12" s="116"/>
      <c r="L12" s="116"/>
      <c r="M12" s="118">
        <f t="shared" si="10"/>
        <v>0</v>
      </c>
      <c r="N12" s="119" t="str">
        <f t="shared" si="11"/>
        <v>#DIV/0!</v>
      </c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38">
        <v>1.0</v>
      </c>
      <c r="AA12" s="116"/>
      <c r="AB12" s="116"/>
      <c r="AC12" s="116"/>
      <c r="AD12" s="116"/>
      <c r="AE12" s="116"/>
      <c r="AF12" s="116"/>
      <c r="AG12" s="116"/>
      <c r="AH12" s="116"/>
      <c r="AI12" s="116"/>
      <c r="AJ12" s="120">
        <f t="shared" si="12"/>
        <v>1</v>
      </c>
      <c r="AK12" s="151">
        <f t="shared" si="13"/>
        <v>50</v>
      </c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38">
        <v>1.0</v>
      </c>
      <c r="AZ12" s="116"/>
      <c r="BA12" s="116"/>
      <c r="BB12" s="116"/>
      <c r="BC12" s="116"/>
      <c r="BD12" s="116"/>
      <c r="BE12" s="116"/>
      <c r="BF12" s="116"/>
      <c r="BG12" s="118">
        <f t="shared" si="14"/>
        <v>1</v>
      </c>
      <c r="BH12" s="122">
        <f t="shared" si="15"/>
        <v>20</v>
      </c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/>
      <c r="BT12" s="116"/>
      <c r="BU12" s="138">
        <v>1.0</v>
      </c>
      <c r="BV12" s="116"/>
      <c r="BW12" s="43"/>
      <c r="BX12" s="43"/>
      <c r="BY12" s="43"/>
      <c r="BZ12" s="43"/>
      <c r="CA12" s="43"/>
      <c r="CB12" s="145">
        <v>1.0</v>
      </c>
      <c r="CC12" s="43"/>
      <c r="CD12" s="43"/>
      <c r="CE12" s="155">
        <f t="shared" si="16"/>
        <v>2</v>
      </c>
      <c r="CF12" s="156">
        <f t="shared" si="17"/>
        <v>40</v>
      </c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157">
        <f t="shared" si="18"/>
        <v>0</v>
      </c>
      <c r="CT12" s="158">
        <f t="shared" si="19"/>
        <v>0</v>
      </c>
    </row>
    <row r="13">
      <c r="A13" s="50">
        <v>4.0</v>
      </c>
      <c r="B13" s="161" t="s">
        <v>57</v>
      </c>
      <c r="C13" s="162" t="s">
        <v>58</v>
      </c>
      <c r="D13" s="91">
        <f t="shared" si="6"/>
        <v>3</v>
      </c>
      <c r="E13" s="113">
        <f t="shared" si="7"/>
        <v>23.07692308</v>
      </c>
      <c r="F13" s="114">
        <f t="shared" si="8"/>
        <v>23.07692308</v>
      </c>
      <c r="G13" s="202">
        <f t="shared" si="9"/>
        <v>23.07692308</v>
      </c>
      <c r="H13" s="165"/>
      <c r="I13" s="116"/>
      <c r="J13" s="116"/>
      <c r="K13" s="116"/>
      <c r="L13" s="116"/>
      <c r="M13" s="118">
        <f t="shared" si="10"/>
        <v>0</v>
      </c>
      <c r="N13" s="119" t="str">
        <f t="shared" si="11"/>
        <v>#DIV/0!</v>
      </c>
      <c r="O13" s="165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65"/>
      <c r="AG13" s="165"/>
      <c r="AH13" s="165"/>
      <c r="AI13" s="165"/>
      <c r="AJ13" s="168">
        <f t="shared" si="12"/>
        <v>0</v>
      </c>
      <c r="AK13" s="169">
        <f t="shared" si="13"/>
        <v>0</v>
      </c>
      <c r="AL13" s="165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38">
        <v>1.0</v>
      </c>
      <c r="AZ13" s="116"/>
      <c r="BA13" s="116"/>
      <c r="BB13" s="116"/>
      <c r="BC13" s="116"/>
      <c r="BD13" s="116"/>
      <c r="BE13" s="116"/>
      <c r="BF13" s="116"/>
      <c r="BG13" s="118">
        <f t="shared" si="14"/>
        <v>1</v>
      </c>
      <c r="BH13" s="122">
        <f t="shared" si="15"/>
        <v>20</v>
      </c>
      <c r="BI13" s="165"/>
      <c r="BJ13" s="116"/>
      <c r="BK13" s="116"/>
      <c r="BL13" s="116"/>
      <c r="BM13" s="116"/>
      <c r="BN13" s="116"/>
      <c r="BO13" s="116"/>
      <c r="BP13" s="116"/>
      <c r="BQ13" s="116"/>
      <c r="BR13" s="116"/>
      <c r="BS13" s="116"/>
      <c r="BT13" s="116"/>
      <c r="BU13" s="138">
        <v>1.0</v>
      </c>
      <c r="BV13" s="116"/>
      <c r="BW13" s="43"/>
      <c r="BX13" s="43"/>
      <c r="BY13" s="43"/>
      <c r="BZ13" s="43"/>
      <c r="CA13" s="43"/>
      <c r="CB13" s="145">
        <v>1.0</v>
      </c>
      <c r="CC13" s="43"/>
      <c r="CD13" s="43"/>
      <c r="CE13" s="172">
        <f t="shared" si="16"/>
        <v>2</v>
      </c>
      <c r="CF13" s="173">
        <f t="shared" si="17"/>
        <v>40</v>
      </c>
      <c r="CG13" s="278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175">
        <f t="shared" si="18"/>
        <v>0</v>
      </c>
      <c r="CT13" s="158">
        <f t="shared" si="19"/>
        <v>0</v>
      </c>
    </row>
    <row r="14">
      <c r="A14" s="131">
        <v>5.0</v>
      </c>
      <c r="B14" s="111" t="s">
        <v>59</v>
      </c>
      <c r="C14" s="112" t="s">
        <v>60</v>
      </c>
      <c r="D14" s="91">
        <f t="shared" si="6"/>
        <v>6</v>
      </c>
      <c r="E14" s="113">
        <f t="shared" si="7"/>
        <v>46.15384615</v>
      </c>
      <c r="F14" s="114">
        <f t="shared" si="8"/>
        <v>46.15384615</v>
      </c>
      <c r="G14" s="164" t="str">
        <f t="shared" si="9"/>
        <v>  </v>
      </c>
      <c r="H14" s="165"/>
      <c r="I14" s="116"/>
      <c r="J14" s="43"/>
      <c r="K14" s="116"/>
      <c r="L14" s="116"/>
      <c r="M14" s="118">
        <f t="shared" si="10"/>
        <v>0</v>
      </c>
      <c r="N14" s="119" t="str">
        <f t="shared" si="11"/>
        <v>#DIV/0!</v>
      </c>
      <c r="O14" s="176"/>
      <c r="P14" s="179"/>
      <c r="Q14" s="179"/>
      <c r="R14" s="179"/>
      <c r="S14" s="179"/>
      <c r="T14" s="179"/>
      <c r="U14" s="179"/>
      <c r="V14" s="179"/>
      <c r="W14" s="184"/>
      <c r="X14" s="179"/>
      <c r="Y14" s="179"/>
      <c r="Z14" s="179"/>
      <c r="AA14" s="179"/>
      <c r="AB14" s="179"/>
      <c r="AC14" s="179"/>
      <c r="AD14" s="179"/>
      <c r="AE14" s="179"/>
      <c r="AF14" s="176"/>
      <c r="AG14" s="176"/>
      <c r="AH14" s="176"/>
      <c r="AI14" s="176"/>
      <c r="AJ14" s="168">
        <f t="shared" si="12"/>
        <v>0</v>
      </c>
      <c r="AK14" s="169">
        <f t="shared" si="13"/>
        <v>0</v>
      </c>
      <c r="AL14" s="279">
        <v>1.0</v>
      </c>
      <c r="AM14" s="179"/>
      <c r="AN14" s="179"/>
      <c r="AO14" s="179"/>
      <c r="AP14" s="179"/>
      <c r="AQ14" s="179"/>
      <c r="AR14" s="179"/>
      <c r="AS14" s="179"/>
      <c r="AT14" s="179"/>
      <c r="AU14" s="179"/>
      <c r="AV14" s="184">
        <v>1.0</v>
      </c>
      <c r="AW14" s="179"/>
      <c r="AX14" s="179"/>
      <c r="AY14" s="184">
        <v>1.0</v>
      </c>
      <c r="AZ14" s="179"/>
      <c r="BA14" s="179"/>
      <c r="BB14" s="179"/>
      <c r="BC14" s="179"/>
      <c r="BD14" s="184">
        <v>1.0</v>
      </c>
      <c r="BE14" s="179"/>
      <c r="BF14" s="179"/>
      <c r="BG14" s="118">
        <f t="shared" si="14"/>
        <v>4</v>
      </c>
      <c r="BH14" s="122">
        <f t="shared" si="15"/>
        <v>80</v>
      </c>
      <c r="BI14" s="176"/>
      <c r="BJ14" s="179"/>
      <c r="BK14" s="179"/>
      <c r="BL14" s="179"/>
      <c r="BM14" s="179"/>
      <c r="BN14" s="179"/>
      <c r="BO14" s="179"/>
      <c r="BP14" s="184">
        <v>1.0</v>
      </c>
      <c r="BQ14" s="179"/>
      <c r="BR14" s="179"/>
      <c r="BS14" s="179"/>
      <c r="BT14" s="179"/>
      <c r="BU14" s="179"/>
      <c r="BV14" s="179"/>
      <c r="BW14" s="186"/>
      <c r="BX14" s="186"/>
      <c r="BY14" s="186"/>
      <c r="BZ14" s="186"/>
      <c r="CA14" s="186"/>
      <c r="CB14" s="200">
        <v>1.0</v>
      </c>
      <c r="CC14" s="186"/>
      <c r="CD14" s="186"/>
      <c r="CE14" s="172">
        <f t="shared" si="16"/>
        <v>2</v>
      </c>
      <c r="CF14" s="173">
        <f t="shared" si="17"/>
        <v>40</v>
      </c>
      <c r="CG14" s="199"/>
      <c r="CH14" s="186"/>
      <c r="CI14" s="186"/>
      <c r="CJ14" s="186"/>
      <c r="CK14" s="186"/>
      <c r="CL14" s="186"/>
      <c r="CM14" s="186"/>
      <c r="CN14" s="186"/>
      <c r="CO14" s="186"/>
      <c r="CP14" s="186"/>
      <c r="CQ14" s="186"/>
      <c r="CR14" s="186"/>
      <c r="CS14" s="175">
        <f t="shared" si="18"/>
        <v>0</v>
      </c>
      <c r="CT14" s="158">
        <f t="shared" si="19"/>
        <v>0</v>
      </c>
    </row>
    <row r="15">
      <c r="A15" s="146">
        <v>6.0</v>
      </c>
      <c r="B15" s="111" t="s">
        <v>62</v>
      </c>
      <c r="C15" s="112" t="s">
        <v>63</v>
      </c>
      <c r="D15" s="91">
        <f t="shared" si="6"/>
        <v>5</v>
      </c>
      <c r="E15" s="113">
        <f t="shared" si="7"/>
        <v>38.46153846</v>
      </c>
      <c r="F15" s="114">
        <f t="shared" si="8"/>
        <v>38.46153846</v>
      </c>
      <c r="G15" s="164" t="str">
        <f t="shared" si="9"/>
        <v>  </v>
      </c>
      <c r="H15" s="192"/>
      <c r="I15" s="193"/>
      <c r="J15" s="116"/>
      <c r="K15" s="116"/>
      <c r="L15" s="116"/>
      <c r="M15" s="118">
        <f t="shared" si="10"/>
        <v>0</v>
      </c>
      <c r="N15" s="119" t="str">
        <f t="shared" si="11"/>
        <v>#DIV/0!</v>
      </c>
      <c r="O15" s="195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  <c r="AB15" s="186"/>
      <c r="AC15" s="186"/>
      <c r="AD15" s="186"/>
      <c r="AE15" s="186"/>
      <c r="AF15" s="195"/>
      <c r="AG15" s="195"/>
      <c r="AH15" s="195"/>
      <c r="AI15" s="195"/>
      <c r="AJ15" s="168">
        <f t="shared" si="12"/>
        <v>0</v>
      </c>
      <c r="AK15" s="169">
        <f t="shared" si="13"/>
        <v>0</v>
      </c>
      <c r="AL15" s="189">
        <v>1.0</v>
      </c>
      <c r="AM15" s="186"/>
      <c r="AN15" s="186"/>
      <c r="AO15" s="186"/>
      <c r="AP15" s="186"/>
      <c r="AQ15" s="186"/>
      <c r="AR15" s="186"/>
      <c r="AS15" s="186"/>
      <c r="AT15" s="186"/>
      <c r="AU15" s="186"/>
      <c r="AV15" s="200">
        <v>1.0</v>
      </c>
      <c r="AW15" s="186"/>
      <c r="AX15" s="186"/>
      <c r="AY15" s="200">
        <v>1.0</v>
      </c>
      <c r="AZ15" s="186"/>
      <c r="BA15" s="186"/>
      <c r="BB15" s="186"/>
      <c r="BC15" s="186"/>
      <c r="BD15" s="200">
        <v>1.0</v>
      </c>
      <c r="BE15" s="186"/>
      <c r="BF15" s="186"/>
      <c r="BG15" s="118">
        <f t="shared" si="14"/>
        <v>4</v>
      </c>
      <c r="BH15" s="122">
        <f t="shared" si="15"/>
        <v>80</v>
      </c>
      <c r="BI15" s="195"/>
      <c r="BJ15" s="186"/>
      <c r="BK15" s="186"/>
      <c r="BL15" s="186"/>
      <c r="BM15" s="186"/>
      <c r="BN15" s="186"/>
      <c r="BO15" s="186"/>
      <c r="BP15" s="200">
        <v>1.0</v>
      </c>
      <c r="BQ15" s="186"/>
      <c r="BR15" s="186"/>
      <c r="BS15" s="186"/>
      <c r="BT15" s="186"/>
      <c r="BU15" s="186"/>
      <c r="BV15" s="186"/>
      <c r="BW15" s="186"/>
      <c r="BX15" s="186"/>
      <c r="BY15" s="186"/>
      <c r="BZ15" s="186"/>
      <c r="CA15" s="186"/>
      <c r="CB15" s="186"/>
      <c r="CC15" s="186"/>
      <c r="CD15" s="186"/>
      <c r="CE15" s="172">
        <f t="shared" si="16"/>
        <v>1</v>
      </c>
      <c r="CF15" s="173">
        <f t="shared" si="17"/>
        <v>20</v>
      </c>
      <c r="CG15" s="199"/>
      <c r="CH15" s="186"/>
      <c r="CI15" s="186"/>
      <c r="CJ15" s="186"/>
      <c r="CK15" s="186"/>
      <c r="CL15" s="186"/>
      <c r="CM15" s="186"/>
      <c r="CN15" s="186"/>
      <c r="CO15" s="186"/>
      <c r="CP15" s="186"/>
      <c r="CQ15" s="186"/>
      <c r="CR15" s="186"/>
      <c r="CS15" s="175">
        <f t="shared" si="18"/>
        <v>0</v>
      </c>
      <c r="CT15" s="158">
        <f t="shared" si="19"/>
        <v>0</v>
      </c>
    </row>
    <row r="16">
      <c r="A16" s="50">
        <v>7.0</v>
      </c>
      <c r="B16" s="111" t="s">
        <v>64</v>
      </c>
      <c r="C16" s="112" t="s">
        <v>65</v>
      </c>
      <c r="D16" s="91">
        <f t="shared" si="6"/>
        <v>2</v>
      </c>
      <c r="E16" s="113">
        <f t="shared" si="7"/>
        <v>15.38461538</v>
      </c>
      <c r="F16" s="114">
        <f t="shared" si="8"/>
        <v>15.38461538</v>
      </c>
      <c r="G16" s="202">
        <f t="shared" si="9"/>
        <v>15.38461538</v>
      </c>
      <c r="H16" s="165"/>
      <c r="I16" s="43"/>
      <c r="J16" s="150"/>
      <c r="K16" s="116"/>
      <c r="L16" s="116"/>
      <c r="M16" s="118">
        <f t="shared" si="10"/>
        <v>0</v>
      </c>
      <c r="N16" s="119" t="str">
        <f t="shared" si="11"/>
        <v>#DIV/0!</v>
      </c>
      <c r="O16" s="176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  <c r="AA16" s="179"/>
      <c r="AB16" s="179"/>
      <c r="AC16" s="179"/>
      <c r="AD16" s="179"/>
      <c r="AE16" s="179"/>
      <c r="AF16" s="176"/>
      <c r="AG16" s="176"/>
      <c r="AH16" s="176"/>
      <c r="AI16" s="176"/>
      <c r="AJ16" s="168">
        <f t="shared" si="12"/>
        <v>0</v>
      </c>
      <c r="AK16" s="169">
        <f t="shared" si="13"/>
        <v>0</v>
      </c>
      <c r="AL16" s="183"/>
      <c r="AM16" s="179"/>
      <c r="AN16" s="179"/>
      <c r="AO16" s="179"/>
      <c r="AP16" s="179"/>
      <c r="AQ16" s="179"/>
      <c r="AR16" s="179"/>
      <c r="AS16" s="179"/>
      <c r="AT16" s="179"/>
      <c r="AU16" s="179"/>
      <c r="AV16" s="179"/>
      <c r="AW16" s="179"/>
      <c r="AX16" s="179"/>
      <c r="AY16" s="184">
        <v>1.0</v>
      </c>
      <c r="AZ16" s="179"/>
      <c r="BA16" s="179"/>
      <c r="BB16" s="179"/>
      <c r="BC16" s="179"/>
      <c r="BD16" s="184">
        <v>1.0</v>
      </c>
      <c r="BE16" s="179"/>
      <c r="BF16" s="179"/>
      <c r="BG16" s="118">
        <f t="shared" si="14"/>
        <v>2</v>
      </c>
      <c r="BH16" s="122">
        <f t="shared" si="15"/>
        <v>40</v>
      </c>
      <c r="BI16" s="176"/>
      <c r="BJ16" s="179"/>
      <c r="BK16" s="179"/>
      <c r="BL16" s="179"/>
      <c r="BM16" s="179"/>
      <c r="BN16" s="179"/>
      <c r="BO16" s="179"/>
      <c r="BP16" s="179"/>
      <c r="BQ16" s="179"/>
      <c r="BR16" s="179"/>
      <c r="BS16" s="179"/>
      <c r="BT16" s="179"/>
      <c r="BU16" s="179"/>
      <c r="BV16" s="179"/>
      <c r="BW16" s="186"/>
      <c r="BX16" s="186"/>
      <c r="BY16" s="186"/>
      <c r="BZ16" s="186"/>
      <c r="CA16" s="186"/>
      <c r="CB16" s="186"/>
      <c r="CC16" s="186"/>
      <c r="CD16" s="186"/>
      <c r="CE16" s="172">
        <f t="shared" si="16"/>
        <v>0</v>
      </c>
      <c r="CF16" s="173">
        <f t="shared" si="17"/>
        <v>0</v>
      </c>
      <c r="CG16" s="199"/>
      <c r="CH16" s="186"/>
      <c r="CI16" s="186"/>
      <c r="CJ16" s="186"/>
      <c r="CK16" s="186"/>
      <c r="CL16" s="186"/>
      <c r="CM16" s="186"/>
      <c r="CN16" s="186"/>
      <c r="CO16" s="186"/>
      <c r="CP16" s="186"/>
      <c r="CQ16" s="186"/>
      <c r="CR16" s="186"/>
      <c r="CS16" s="175">
        <f t="shared" si="18"/>
        <v>0</v>
      </c>
      <c r="CT16" s="158">
        <f t="shared" si="19"/>
        <v>0</v>
      </c>
    </row>
    <row r="17">
      <c r="A17" s="131">
        <v>8.0</v>
      </c>
      <c r="B17" s="111" t="s">
        <v>66</v>
      </c>
      <c r="C17" s="112" t="s">
        <v>67</v>
      </c>
      <c r="D17" s="91">
        <f t="shared" si="6"/>
        <v>7</v>
      </c>
      <c r="E17" s="113">
        <f t="shared" si="7"/>
        <v>53.84615385</v>
      </c>
      <c r="F17" s="114" t="str">
        <f t="shared" si="8"/>
        <v>  </v>
      </c>
      <c r="G17" s="164" t="str">
        <f t="shared" si="9"/>
        <v>  </v>
      </c>
      <c r="H17" s="165"/>
      <c r="I17" s="150"/>
      <c r="J17" s="150"/>
      <c r="K17" s="116"/>
      <c r="L17" s="116"/>
      <c r="M17" s="118">
        <f t="shared" si="10"/>
        <v>0</v>
      </c>
      <c r="N17" s="119" t="str">
        <f t="shared" si="11"/>
        <v>#DIV/0!</v>
      </c>
      <c r="O17" s="206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  <c r="AC17" s="207"/>
      <c r="AD17" s="207"/>
      <c r="AE17" s="234">
        <v>1.0</v>
      </c>
      <c r="AF17" s="206"/>
      <c r="AG17" s="206"/>
      <c r="AH17" s="206"/>
      <c r="AI17" s="206"/>
      <c r="AJ17" s="168">
        <f t="shared" si="12"/>
        <v>1</v>
      </c>
      <c r="AK17" s="169">
        <f t="shared" si="13"/>
        <v>50</v>
      </c>
      <c r="AL17" s="280">
        <v>1.0</v>
      </c>
      <c r="AM17" s="207"/>
      <c r="AN17" s="207"/>
      <c r="AO17" s="207"/>
      <c r="AP17" s="207"/>
      <c r="AQ17" s="207"/>
      <c r="AR17" s="207"/>
      <c r="AS17" s="207"/>
      <c r="AT17" s="207"/>
      <c r="AU17" s="207"/>
      <c r="AV17" s="207"/>
      <c r="AW17" s="207"/>
      <c r="AX17" s="207"/>
      <c r="AY17" s="234">
        <v>1.0</v>
      </c>
      <c r="AZ17" s="207"/>
      <c r="BA17" s="207"/>
      <c r="BB17" s="207"/>
      <c r="BC17" s="207"/>
      <c r="BD17" s="207"/>
      <c r="BE17" s="207"/>
      <c r="BF17" s="207"/>
      <c r="BG17" s="118">
        <f t="shared" si="14"/>
        <v>2</v>
      </c>
      <c r="BH17" s="122">
        <f t="shared" si="15"/>
        <v>40</v>
      </c>
      <c r="BI17" s="206"/>
      <c r="BJ17" s="207"/>
      <c r="BK17" s="234">
        <v>1.0</v>
      </c>
      <c r="BL17" s="207"/>
      <c r="BM17" s="207"/>
      <c r="BN17" s="207"/>
      <c r="BO17" s="207"/>
      <c r="BP17" s="234">
        <v>1.0</v>
      </c>
      <c r="BQ17" s="207"/>
      <c r="BR17" s="207"/>
      <c r="BS17" s="207"/>
      <c r="BT17" s="207"/>
      <c r="BU17" s="207"/>
      <c r="BV17" s="207"/>
      <c r="BW17" s="200">
        <v>1.0</v>
      </c>
      <c r="BX17" s="186"/>
      <c r="BY17" s="186"/>
      <c r="BZ17" s="186"/>
      <c r="CA17" s="186"/>
      <c r="CB17" s="200">
        <v>1.0</v>
      </c>
      <c r="CC17" s="186"/>
      <c r="CD17" s="186"/>
      <c r="CE17" s="172">
        <f t="shared" si="16"/>
        <v>4</v>
      </c>
      <c r="CF17" s="173">
        <f t="shared" si="17"/>
        <v>80</v>
      </c>
      <c r="CG17" s="199"/>
      <c r="CH17" s="186"/>
      <c r="CI17" s="186"/>
      <c r="CJ17" s="186"/>
      <c r="CK17" s="186"/>
      <c r="CL17" s="186"/>
      <c r="CM17" s="186"/>
      <c r="CN17" s="186"/>
      <c r="CO17" s="186"/>
      <c r="CP17" s="186"/>
      <c r="CQ17" s="186"/>
      <c r="CR17" s="186"/>
      <c r="CS17" s="175">
        <f t="shared" si="18"/>
        <v>0</v>
      </c>
      <c r="CT17" s="158">
        <f t="shared" si="19"/>
        <v>0</v>
      </c>
    </row>
    <row r="18" ht="15.0" customHeight="1">
      <c r="A18" s="146">
        <v>9.0</v>
      </c>
      <c r="B18" s="111" t="s">
        <v>68</v>
      </c>
      <c r="C18" s="112" t="s">
        <v>69</v>
      </c>
      <c r="D18" s="91">
        <f t="shared" si="6"/>
        <v>1</v>
      </c>
      <c r="E18" s="113">
        <f t="shared" si="7"/>
        <v>7.692307692</v>
      </c>
      <c r="F18" s="114">
        <f t="shared" si="8"/>
        <v>7.692307692</v>
      </c>
      <c r="G18" s="202">
        <f t="shared" si="9"/>
        <v>7.692307692</v>
      </c>
      <c r="H18" s="165"/>
      <c r="I18" s="150"/>
      <c r="J18" s="116"/>
      <c r="K18" s="116"/>
      <c r="L18" s="116"/>
      <c r="M18" s="118">
        <f t="shared" si="10"/>
        <v>0</v>
      </c>
      <c r="N18" s="119" t="str">
        <f t="shared" si="11"/>
        <v>#DIV/0!</v>
      </c>
      <c r="O18" s="195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86"/>
      <c r="AD18" s="186"/>
      <c r="AE18" s="186"/>
      <c r="AF18" s="195"/>
      <c r="AG18" s="195"/>
      <c r="AH18" s="195"/>
      <c r="AI18" s="195"/>
      <c r="AJ18" s="168">
        <f t="shared" si="12"/>
        <v>0</v>
      </c>
      <c r="AK18" s="169">
        <f t="shared" si="13"/>
        <v>0</v>
      </c>
      <c r="AL18" s="199"/>
      <c r="AM18" s="186"/>
      <c r="AN18" s="186"/>
      <c r="AO18" s="186"/>
      <c r="AP18" s="186"/>
      <c r="AQ18" s="186"/>
      <c r="AR18" s="186"/>
      <c r="AS18" s="186"/>
      <c r="AT18" s="186"/>
      <c r="AU18" s="186"/>
      <c r="AV18" s="186"/>
      <c r="AW18" s="186"/>
      <c r="AX18" s="186"/>
      <c r="AY18" s="186"/>
      <c r="AZ18" s="186"/>
      <c r="BA18" s="186"/>
      <c r="BB18" s="186"/>
      <c r="BC18" s="186"/>
      <c r="BD18" s="186"/>
      <c r="BE18" s="186"/>
      <c r="BF18" s="186"/>
      <c r="BG18" s="118">
        <f t="shared" si="14"/>
        <v>0</v>
      </c>
      <c r="BH18" s="122">
        <f t="shared" si="15"/>
        <v>0</v>
      </c>
      <c r="BI18" s="195"/>
      <c r="BJ18" s="186"/>
      <c r="BK18" s="186"/>
      <c r="BL18" s="186"/>
      <c r="BM18" s="186"/>
      <c r="BN18" s="186"/>
      <c r="BO18" s="186"/>
      <c r="BP18" s="186"/>
      <c r="BQ18" s="186"/>
      <c r="BR18" s="186"/>
      <c r="BS18" s="186"/>
      <c r="BT18" s="186"/>
      <c r="BU18" s="186"/>
      <c r="BV18" s="186"/>
      <c r="BW18" s="186"/>
      <c r="BX18" s="186"/>
      <c r="BY18" s="186"/>
      <c r="BZ18" s="186"/>
      <c r="CA18" s="186"/>
      <c r="CB18" s="200">
        <v>1.0</v>
      </c>
      <c r="CC18" s="186"/>
      <c r="CD18" s="186"/>
      <c r="CE18" s="172">
        <f t="shared" si="16"/>
        <v>1</v>
      </c>
      <c r="CF18" s="173">
        <f t="shared" si="17"/>
        <v>20</v>
      </c>
      <c r="CG18" s="199"/>
      <c r="CH18" s="186"/>
      <c r="CI18" s="186"/>
      <c r="CJ18" s="186"/>
      <c r="CK18" s="186"/>
      <c r="CL18" s="186"/>
      <c r="CM18" s="186"/>
      <c r="CN18" s="186"/>
      <c r="CO18" s="186"/>
      <c r="CP18" s="186"/>
      <c r="CQ18" s="186"/>
      <c r="CR18" s="186"/>
      <c r="CS18" s="175">
        <f t="shared" si="18"/>
        <v>0</v>
      </c>
      <c r="CT18" s="158">
        <f t="shared" si="19"/>
        <v>0</v>
      </c>
    </row>
    <row r="19">
      <c r="A19" s="50">
        <v>10.0</v>
      </c>
      <c r="B19" s="111" t="s">
        <v>70</v>
      </c>
      <c r="C19" s="112" t="s">
        <v>71</v>
      </c>
      <c r="D19" s="91">
        <f t="shared" si="6"/>
        <v>6</v>
      </c>
      <c r="E19" s="113">
        <f t="shared" si="7"/>
        <v>46.15384615</v>
      </c>
      <c r="F19" s="114">
        <f t="shared" si="8"/>
        <v>46.15384615</v>
      </c>
      <c r="G19" s="164" t="str">
        <f t="shared" si="9"/>
        <v>  </v>
      </c>
      <c r="H19" s="165"/>
      <c r="I19" s="116"/>
      <c r="J19" s="116"/>
      <c r="K19" s="116"/>
      <c r="L19" s="116"/>
      <c r="M19" s="118">
        <f t="shared" si="10"/>
        <v>0</v>
      </c>
      <c r="N19" s="119" t="str">
        <f t="shared" si="11"/>
        <v>#DIV/0!</v>
      </c>
      <c r="O19" s="176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Z19" s="179"/>
      <c r="AA19" s="179"/>
      <c r="AB19" s="179"/>
      <c r="AC19" s="179"/>
      <c r="AD19" s="179"/>
      <c r="AE19" s="179"/>
      <c r="AF19" s="176"/>
      <c r="AG19" s="176"/>
      <c r="AH19" s="176"/>
      <c r="AI19" s="176"/>
      <c r="AJ19" s="168">
        <f t="shared" si="12"/>
        <v>0</v>
      </c>
      <c r="AK19" s="169">
        <f t="shared" si="13"/>
        <v>0</v>
      </c>
      <c r="AL19" s="183"/>
      <c r="AM19" s="179"/>
      <c r="AN19" s="179"/>
      <c r="AO19" s="179"/>
      <c r="AP19" s="179"/>
      <c r="AQ19" s="179"/>
      <c r="AR19" s="179"/>
      <c r="AS19" s="179"/>
      <c r="AT19" s="179"/>
      <c r="AU19" s="179"/>
      <c r="AV19" s="184">
        <v>1.0</v>
      </c>
      <c r="AW19" s="179"/>
      <c r="AX19" s="179"/>
      <c r="AY19" s="184">
        <v>1.0</v>
      </c>
      <c r="AZ19" s="179"/>
      <c r="BA19" s="179"/>
      <c r="BB19" s="179"/>
      <c r="BC19" s="179"/>
      <c r="BD19" s="184">
        <v>1.0</v>
      </c>
      <c r="BE19" s="179"/>
      <c r="BF19" s="179"/>
      <c r="BG19" s="118">
        <f t="shared" si="14"/>
        <v>3</v>
      </c>
      <c r="BH19" s="122">
        <f t="shared" si="15"/>
        <v>60</v>
      </c>
      <c r="BI19" s="176"/>
      <c r="BJ19" s="179"/>
      <c r="BK19" s="179"/>
      <c r="BL19" s="179"/>
      <c r="BM19" s="179"/>
      <c r="BN19" s="179"/>
      <c r="BO19" s="179"/>
      <c r="BP19" s="184">
        <v>1.0</v>
      </c>
      <c r="BQ19" s="179"/>
      <c r="BR19" s="179"/>
      <c r="BS19" s="179"/>
      <c r="BT19" s="179"/>
      <c r="BU19" s="184">
        <v>1.0</v>
      </c>
      <c r="BV19" s="179"/>
      <c r="BW19" s="186"/>
      <c r="BX19" s="186"/>
      <c r="BY19" s="186"/>
      <c r="BZ19" s="186"/>
      <c r="CA19" s="186"/>
      <c r="CB19" s="200">
        <v>1.0</v>
      </c>
      <c r="CC19" s="186"/>
      <c r="CD19" s="186"/>
      <c r="CE19" s="172">
        <f t="shared" si="16"/>
        <v>3</v>
      </c>
      <c r="CF19" s="173">
        <f t="shared" si="17"/>
        <v>60</v>
      </c>
      <c r="CG19" s="199"/>
      <c r="CH19" s="186"/>
      <c r="CI19" s="186"/>
      <c r="CJ19" s="186"/>
      <c r="CK19" s="186"/>
      <c r="CL19" s="186"/>
      <c r="CM19" s="186"/>
      <c r="CN19" s="186"/>
      <c r="CO19" s="186"/>
      <c r="CP19" s="186"/>
      <c r="CQ19" s="186"/>
      <c r="CR19" s="186"/>
      <c r="CS19" s="175">
        <f t="shared" si="18"/>
        <v>0</v>
      </c>
      <c r="CT19" s="158">
        <f t="shared" si="19"/>
        <v>0</v>
      </c>
    </row>
    <row r="20">
      <c r="A20" s="131">
        <v>11.0</v>
      </c>
      <c r="B20" s="111" t="s">
        <v>72</v>
      </c>
      <c r="C20" s="112" t="s">
        <v>73</v>
      </c>
      <c r="D20" s="91">
        <f t="shared" si="6"/>
        <v>8</v>
      </c>
      <c r="E20" s="113">
        <f t="shared" si="7"/>
        <v>61.53846154</v>
      </c>
      <c r="F20" s="92" t="str">
        <f t="shared" si="8"/>
        <v>  </v>
      </c>
      <c r="G20" s="164" t="str">
        <f t="shared" si="9"/>
        <v>  </v>
      </c>
      <c r="H20" s="165"/>
      <c r="I20" s="116"/>
      <c r="J20" s="43"/>
      <c r="K20" s="116"/>
      <c r="L20" s="116"/>
      <c r="M20" s="118">
        <f t="shared" si="10"/>
        <v>0</v>
      </c>
      <c r="N20" s="119" t="str">
        <f t="shared" si="11"/>
        <v>#DIV/0!</v>
      </c>
      <c r="O20" s="195"/>
      <c r="P20" s="186"/>
      <c r="Q20" s="186"/>
      <c r="R20" s="186"/>
      <c r="S20" s="186"/>
      <c r="T20" s="186"/>
      <c r="U20" s="186"/>
      <c r="V20" s="186"/>
      <c r="W20" s="200"/>
      <c r="X20" s="186"/>
      <c r="Y20" s="186"/>
      <c r="Z20" s="200">
        <v>1.0</v>
      </c>
      <c r="AA20" s="186"/>
      <c r="AB20" s="186"/>
      <c r="AC20" s="186"/>
      <c r="AD20" s="186"/>
      <c r="AE20" s="186"/>
      <c r="AF20" s="195"/>
      <c r="AG20" s="195"/>
      <c r="AH20" s="195"/>
      <c r="AI20" s="195"/>
      <c r="AJ20" s="168">
        <f t="shared" si="12"/>
        <v>1</v>
      </c>
      <c r="AK20" s="169">
        <f t="shared" si="13"/>
        <v>50</v>
      </c>
      <c r="AL20" s="189">
        <v>1.0</v>
      </c>
      <c r="AM20" s="186"/>
      <c r="AN20" s="186"/>
      <c r="AO20" s="186"/>
      <c r="AP20" s="186"/>
      <c r="AQ20" s="200">
        <v>1.0</v>
      </c>
      <c r="AR20" s="186"/>
      <c r="AS20" s="186"/>
      <c r="AT20" s="186"/>
      <c r="AU20" s="186"/>
      <c r="AV20" s="186"/>
      <c r="AW20" s="186"/>
      <c r="AX20" s="186"/>
      <c r="AY20" s="200">
        <v>1.0</v>
      </c>
      <c r="AZ20" s="186"/>
      <c r="BA20" s="186"/>
      <c r="BB20" s="186"/>
      <c r="BC20" s="186"/>
      <c r="BD20" s="200">
        <v>1.0</v>
      </c>
      <c r="BE20" s="186"/>
      <c r="BF20" s="186"/>
      <c r="BG20" s="118">
        <f t="shared" si="14"/>
        <v>4</v>
      </c>
      <c r="BH20" s="122">
        <f t="shared" si="15"/>
        <v>80</v>
      </c>
      <c r="BI20" s="195"/>
      <c r="BJ20" s="186"/>
      <c r="BK20" s="186"/>
      <c r="BL20" s="186"/>
      <c r="BM20" s="186"/>
      <c r="BN20" s="186"/>
      <c r="BO20" s="186"/>
      <c r="BP20" s="200">
        <v>1.0</v>
      </c>
      <c r="BQ20" s="186"/>
      <c r="BR20" s="186"/>
      <c r="BS20" s="186"/>
      <c r="BT20" s="186"/>
      <c r="BU20" s="200">
        <v>1.0</v>
      </c>
      <c r="BV20" s="186"/>
      <c r="BW20" s="186"/>
      <c r="BX20" s="186"/>
      <c r="BY20" s="186"/>
      <c r="BZ20" s="186"/>
      <c r="CA20" s="186"/>
      <c r="CB20" s="200">
        <v>1.0</v>
      </c>
      <c r="CC20" s="186"/>
      <c r="CD20" s="186"/>
      <c r="CE20" s="172">
        <f t="shared" si="16"/>
        <v>3</v>
      </c>
      <c r="CF20" s="173">
        <f t="shared" si="17"/>
        <v>60</v>
      </c>
      <c r="CG20" s="199"/>
      <c r="CH20" s="186"/>
      <c r="CI20" s="186"/>
      <c r="CJ20" s="186"/>
      <c r="CK20" s="186"/>
      <c r="CL20" s="186"/>
      <c r="CM20" s="186"/>
      <c r="CN20" s="186"/>
      <c r="CO20" s="186"/>
      <c r="CP20" s="186"/>
      <c r="CQ20" s="186"/>
      <c r="CR20" s="186"/>
      <c r="CS20" s="175">
        <f t="shared" si="18"/>
        <v>0</v>
      </c>
      <c r="CT20" s="158">
        <f t="shared" si="19"/>
        <v>0</v>
      </c>
    </row>
    <row r="21" ht="15.75" customHeight="1">
      <c r="A21" s="146">
        <v>12.0</v>
      </c>
      <c r="B21" s="111" t="s">
        <v>74</v>
      </c>
      <c r="C21" s="112" t="s">
        <v>75</v>
      </c>
      <c r="D21" s="91">
        <f t="shared" si="6"/>
        <v>6</v>
      </c>
      <c r="E21" s="113">
        <f t="shared" si="7"/>
        <v>46.15384615</v>
      </c>
      <c r="F21" s="114">
        <f t="shared" si="8"/>
        <v>46.15384615</v>
      </c>
      <c r="G21" s="164" t="str">
        <f t="shared" si="9"/>
        <v>  </v>
      </c>
      <c r="H21" s="165"/>
      <c r="I21" s="116"/>
      <c r="J21" s="116"/>
      <c r="K21" s="150"/>
      <c r="L21" s="150"/>
      <c r="M21" s="118">
        <f t="shared" si="10"/>
        <v>0</v>
      </c>
      <c r="N21" s="119" t="str">
        <f t="shared" si="11"/>
        <v>#DIV/0!</v>
      </c>
      <c r="O21" s="176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84">
        <v>1.0</v>
      </c>
      <c r="AA21" s="179"/>
      <c r="AB21" s="179"/>
      <c r="AC21" s="179"/>
      <c r="AD21" s="179"/>
      <c r="AE21" s="179"/>
      <c r="AF21" s="176"/>
      <c r="AG21" s="176"/>
      <c r="AH21" s="176"/>
      <c r="AI21" s="176"/>
      <c r="AJ21" s="168">
        <f t="shared" si="12"/>
        <v>1</v>
      </c>
      <c r="AK21" s="169">
        <f t="shared" si="13"/>
        <v>50</v>
      </c>
      <c r="AL21" s="279">
        <v>1.0</v>
      </c>
      <c r="AM21" s="179"/>
      <c r="AN21" s="179"/>
      <c r="AO21" s="179"/>
      <c r="AP21" s="179"/>
      <c r="AQ21" s="184">
        <v>1.0</v>
      </c>
      <c r="AR21" s="179"/>
      <c r="AS21" s="179"/>
      <c r="AT21" s="179"/>
      <c r="AU21" s="179"/>
      <c r="AV21" s="179"/>
      <c r="AW21" s="179"/>
      <c r="AX21" s="179"/>
      <c r="AY21" s="184">
        <v>1.0</v>
      </c>
      <c r="AZ21" s="179"/>
      <c r="BA21" s="179"/>
      <c r="BB21" s="179"/>
      <c r="BC21" s="179"/>
      <c r="BD21" s="179"/>
      <c r="BE21" s="179"/>
      <c r="BF21" s="179"/>
      <c r="BG21" s="118">
        <f t="shared" si="14"/>
        <v>3</v>
      </c>
      <c r="BH21" s="122">
        <f t="shared" si="15"/>
        <v>60</v>
      </c>
      <c r="BI21" s="176"/>
      <c r="BJ21" s="179"/>
      <c r="BK21" s="184">
        <v>1.0</v>
      </c>
      <c r="BL21" s="179"/>
      <c r="BM21" s="179"/>
      <c r="BN21" s="179"/>
      <c r="BO21" s="179"/>
      <c r="BP21" s="179"/>
      <c r="BQ21" s="179"/>
      <c r="BR21" s="179"/>
      <c r="BS21" s="179"/>
      <c r="BT21" s="179"/>
      <c r="BU21" s="179"/>
      <c r="BV21" s="179"/>
      <c r="BW21" s="186"/>
      <c r="BX21" s="186"/>
      <c r="BY21" s="186"/>
      <c r="BZ21" s="186"/>
      <c r="CA21" s="186"/>
      <c r="CB21" s="200">
        <v>1.0</v>
      </c>
      <c r="CC21" s="186"/>
      <c r="CD21" s="186"/>
      <c r="CE21" s="172">
        <f t="shared" si="16"/>
        <v>2</v>
      </c>
      <c r="CF21" s="173">
        <f t="shared" si="17"/>
        <v>40</v>
      </c>
      <c r="CG21" s="199"/>
      <c r="CH21" s="186"/>
      <c r="CI21" s="186"/>
      <c r="CJ21" s="186"/>
      <c r="CK21" s="186"/>
      <c r="CL21" s="186"/>
      <c r="CM21" s="186"/>
      <c r="CN21" s="186"/>
      <c r="CO21" s="186"/>
      <c r="CP21" s="186"/>
      <c r="CQ21" s="186"/>
      <c r="CR21" s="186"/>
      <c r="CS21" s="175">
        <f t="shared" si="18"/>
        <v>0</v>
      </c>
      <c r="CT21" s="158">
        <f t="shared" si="19"/>
        <v>0</v>
      </c>
    </row>
    <row r="22" ht="15.75" customHeight="1">
      <c r="A22" s="50">
        <v>13.0</v>
      </c>
      <c r="B22" s="111" t="s">
        <v>76</v>
      </c>
      <c r="C22" s="112" t="s">
        <v>77</v>
      </c>
      <c r="D22" s="91">
        <f t="shared" si="6"/>
        <v>1</v>
      </c>
      <c r="E22" s="113">
        <f t="shared" si="7"/>
        <v>7.692307692</v>
      </c>
      <c r="F22" s="114">
        <f t="shared" si="8"/>
        <v>7.692307692</v>
      </c>
      <c r="G22" s="202">
        <f t="shared" si="9"/>
        <v>7.692307692</v>
      </c>
      <c r="H22" s="192"/>
      <c r="I22" s="116"/>
      <c r="J22" s="116"/>
      <c r="K22" s="116"/>
      <c r="L22" s="116"/>
      <c r="M22" s="118">
        <f t="shared" si="10"/>
        <v>0</v>
      </c>
      <c r="N22" s="119" t="str">
        <f t="shared" si="11"/>
        <v>#DIV/0!</v>
      </c>
      <c r="O22" s="176"/>
      <c r="P22" s="179"/>
      <c r="Q22" s="179"/>
      <c r="R22" s="179"/>
      <c r="S22" s="179"/>
      <c r="T22" s="179"/>
      <c r="U22" s="179"/>
      <c r="V22" s="179"/>
      <c r="W22" s="179"/>
      <c r="X22" s="179"/>
      <c r="Y22" s="179"/>
      <c r="Z22" s="179"/>
      <c r="AA22" s="179"/>
      <c r="AB22" s="179"/>
      <c r="AC22" s="179"/>
      <c r="AD22" s="179"/>
      <c r="AE22" s="179"/>
      <c r="AF22" s="176"/>
      <c r="AG22" s="176"/>
      <c r="AH22" s="176"/>
      <c r="AI22" s="176"/>
      <c r="AJ22" s="168">
        <f t="shared" si="12"/>
        <v>0</v>
      </c>
      <c r="AK22" s="169">
        <f t="shared" si="13"/>
        <v>0</v>
      </c>
      <c r="AL22" s="183"/>
      <c r="AM22" s="179"/>
      <c r="AN22" s="179"/>
      <c r="AO22" s="179"/>
      <c r="AP22" s="179"/>
      <c r="AQ22" s="179"/>
      <c r="AR22" s="179"/>
      <c r="AS22" s="179"/>
      <c r="AT22" s="179"/>
      <c r="AU22" s="179"/>
      <c r="AV22" s="179"/>
      <c r="AW22" s="179"/>
      <c r="AX22" s="179"/>
      <c r="AY22" s="179"/>
      <c r="AZ22" s="179"/>
      <c r="BA22" s="179"/>
      <c r="BB22" s="179"/>
      <c r="BC22" s="179"/>
      <c r="BD22" s="179"/>
      <c r="BE22" s="179"/>
      <c r="BF22" s="179"/>
      <c r="BG22" s="118">
        <f t="shared" si="14"/>
        <v>0</v>
      </c>
      <c r="BH22" s="122">
        <f t="shared" si="15"/>
        <v>0</v>
      </c>
      <c r="BI22" s="176"/>
      <c r="BJ22" s="179"/>
      <c r="BK22" s="179"/>
      <c r="BL22" s="179"/>
      <c r="BM22" s="179"/>
      <c r="BN22" s="179"/>
      <c r="BO22" s="179"/>
      <c r="BP22" s="179"/>
      <c r="BQ22" s="179"/>
      <c r="BR22" s="179"/>
      <c r="BS22" s="179"/>
      <c r="BT22" s="179"/>
      <c r="BU22" s="179"/>
      <c r="BV22" s="179"/>
      <c r="BW22" s="186"/>
      <c r="BX22" s="186"/>
      <c r="BY22" s="186"/>
      <c r="BZ22" s="186"/>
      <c r="CA22" s="186"/>
      <c r="CB22" s="200">
        <v>1.0</v>
      </c>
      <c r="CC22" s="186"/>
      <c r="CD22" s="186"/>
      <c r="CE22" s="172">
        <f t="shared" si="16"/>
        <v>1</v>
      </c>
      <c r="CF22" s="173">
        <f t="shared" si="17"/>
        <v>20</v>
      </c>
      <c r="CG22" s="199"/>
      <c r="CH22" s="186"/>
      <c r="CI22" s="186"/>
      <c r="CJ22" s="186"/>
      <c r="CK22" s="186"/>
      <c r="CL22" s="186"/>
      <c r="CM22" s="186"/>
      <c r="CN22" s="186"/>
      <c r="CO22" s="186"/>
      <c r="CP22" s="186"/>
      <c r="CQ22" s="186"/>
      <c r="CR22" s="186"/>
      <c r="CS22" s="175">
        <f t="shared" si="18"/>
        <v>0</v>
      </c>
      <c r="CT22" s="158">
        <f t="shared" si="19"/>
        <v>0</v>
      </c>
    </row>
    <row r="23" ht="15.75" customHeight="1">
      <c r="A23" s="131">
        <v>14.0</v>
      </c>
      <c r="B23" s="111" t="s">
        <v>78</v>
      </c>
      <c r="C23" s="112" t="s">
        <v>79</v>
      </c>
      <c r="D23" s="91">
        <f t="shared" si="6"/>
        <v>5</v>
      </c>
      <c r="E23" s="113">
        <f t="shared" si="7"/>
        <v>38.46153846</v>
      </c>
      <c r="F23" s="114">
        <f t="shared" si="8"/>
        <v>38.46153846</v>
      </c>
      <c r="G23" s="202" t="str">
        <f t="shared" si="9"/>
        <v>  </v>
      </c>
      <c r="H23" s="165"/>
      <c r="I23" s="150"/>
      <c r="J23" s="116"/>
      <c r="K23" s="116"/>
      <c r="L23" s="116"/>
      <c r="M23" s="118">
        <f t="shared" si="10"/>
        <v>0</v>
      </c>
      <c r="N23" s="119" t="str">
        <f t="shared" si="11"/>
        <v>#DIV/0!</v>
      </c>
      <c r="O23" s="176"/>
      <c r="P23" s="179"/>
      <c r="Q23" s="179"/>
      <c r="R23" s="179"/>
      <c r="S23" s="179"/>
      <c r="T23" s="179"/>
      <c r="U23" s="179"/>
      <c r="V23" s="179"/>
      <c r="W23" s="179"/>
      <c r="X23" s="179"/>
      <c r="Y23" s="179"/>
      <c r="Z23" s="179"/>
      <c r="AA23" s="179"/>
      <c r="AB23" s="179"/>
      <c r="AC23" s="179"/>
      <c r="AD23" s="179"/>
      <c r="AE23" s="184">
        <v>1.0</v>
      </c>
      <c r="AF23" s="176"/>
      <c r="AG23" s="176"/>
      <c r="AH23" s="176"/>
      <c r="AI23" s="176"/>
      <c r="AJ23" s="168">
        <f t="shared" si="12"/>
        <v>1</v>
      </c>
      <c r="AK23" s="169">
        <f t="shared" si="13"/>
        <v>50</v>
      </c>
      <c r="AL23" s="183"/>
      <c r="AM23" s="179"/>
      <c r="AN23" s="179"/>
      <c r="AO23" s="179"/>
      <c r="AP23" s="179"/>
      <c r="AQ23" s="179"/>
      <c r="AR23" s="179"/>
      <c r="AS23" s="179"/>
      <c r="AT23" s="179"/>
      <c r="AU23" s="179"/>
      <c r="AV23" s="184">
        <v>1.0</v>
      </c>
      <c r="AW23" s="179"/>
      <c r="AX23" s="179"/>
      <c r="AY23" s="184">
        <v>1.0</v>
      </c>
      <c r="AZ23" s="179"/>
      <c r="BA23" s="179"/>
      <c r="BB23" s="179"/>
      <c r="BC23" s="179"/>
      <c r="BD23" s="184">
        <v>1.0</v>
      </c>
      <c r="BE23" s="179"/>
      <c r="BF23" s="179"/>
      <c r="BG23" s="118">
        <f t="shared" si="14"/>
        <v>3</v>
      </c>
      <c r="BH23" s="122">
        <f t="shared" si="15"/>
        <v>60</v>
      </c>
      <c r="BI23" s="176"/>
      <c r="BJ23" s="179"/>
      <c r="BK23" s="184">
        <v>1.0</v>
      </c>
      <c r="BL23" s="179"/>
      <c r="BM23" s="179"/>
      <c r="BN23" s="179"/>
      <c r="BO23" s="179"/>
      <c r="BP23" s="179"/>
      <c r="BQ23" s="179"/>
      <c r="BR23" s="179"/>
      <c r="BS23" s="179"/>
      <c r="BT23" s="179"/>
      <c r="BU23" s="179"/>
      <c r="BV23" s="179"/>
      <c r="BW23" s="186"/>
      <c r="BX23" s="186"/>
      <c r="BY23" s="186"/>
      <c r="BZ23" s="186"/>
      <c r="CA23" s="186"/>
      <c r="CB23" s="186"/>
      <c r="CC23" s="186"/>
      <c r="CD23" s="186"/>
      <c r="CE23" s="172">
        <f t="shared" si="16"/>
        <v>1</v>
      </c>
      <c r="CF23" s="173">
        <f t="shared" si="17"/>
        <v>20</v>
      </c>
      <c r="CG23" s="199"/>
      <c r="CH23" s="186"/>
      <c r="CI23" s="186"/>
      <c r="CJ23" s="186"/>
      <c r="CK23" s="186"/>
      <c r="CL23" s="186"/>
      <c r="CM23" s="186"/>
      <c r="CN23" s="186"/>
      <c r="CO23" s="186"/>
      <c r="CP23" s="186"/>
      <c r="CQ23" s="186"/>
      <c r="CR23" s="186"/>
      <c r="CS23" s="175">
        <f t="shared" si="18"/>
        <v>0</v>
      </c>
      <c r="CT23" s="158">
        <f t="shared" si="19"/>
        <v>0</v>
      </c>
    </row>
    <row r="24" ht="15.75" customHeight="1">
      <c r="A24" s="146">
        <v>15.0</v>
      </c>
      <c r="B24" s="111" t="s">
        <v>80</v>
      </c>
      <c r="C24" s="112" t="s">
        <v>81</v>
      </c>
      <c r="D24" s="91">
        <f t="shared" si="6"/>
        <v>3</v>
      </c>
      <c r="E24" s="113">
        <f t="shared" si="7"/>
        <v>23.07692308</v>
      </c>
      <c r="F24" s="114">
        <f t="shared" si="8"/>
        <v>23.07692308</v>
      </c>
      <c r="G24" s="202">
        <f t="shared" si="9"/>
        <v>23.07692308</v>
      </c>
      <c r="H24" s="165"/>
      <c r="I24" s="116"/>
      <c r="J24" s="116"/>
      <c r="K24" s="150"/>
      <c r="L24" s="150"/>
      <c r="M24" s="118">
        <f t="shared" si="10"/>
        <v>0</v>
      </c>
      <c r="N24" s="119" t="str">
        <f t="shared" si="11"/>
        <v>#DIV/0!</v>
      </c>
      <c r="O24" s="176"/>
      <c r="P24" s="179"/>
      <c r="Q24" s="179"/>
      <c r="R24" s="179"/>
      <c r="S24" s="179"/>
      <c r="T24" s="179"/>
      <c r="U24" s="179"/>
      <c r="V24" s="179"/>
      <c r="W24" s="179"/>
      <c r="X24" s="179"/>
      <c r="Y24" s="179"/>
      <c r="Z24" s="179"/>
      <c r="AA24" s="179"/>
      <c r="AB24" s="179"/>
      <c r="AC24" s="179"/>
      <c r="AD24" s="179"/>
      <c r="AE24" s="179"/>
      <c r="AF24" s="176"/>
      <c r="AG24" s="176"/>
      <c r="AH24" s="176"/>
      <c r="AI24" s="176"/>
      <c r="AJ24" s="168">
        <f t="shared" si="12"/>
        <v>0</v>
      </c>
      <c r="AK24" s="169">
        <f t="shared" si="13"/>
        <v>0</v>
      </c>
      <c r="AL24" s="279">
        <v>1.0</v>
      </c>
      <c r="AM24" s="179"/>
      <c r="AN24" s="179"/>
      <c r="AO24" s="179"/>
      <c r="AP24" s="179"/>
      <c r="AQ24" s="179"/>
      <c r="AR24" s="179"/>
      <c r="AS24" s="179"/>
      <c r="AT24" s="179"/>
      <c r="AU24" s="179"/>
      <c r="AV24" s="179"/>
      <c r="AW24" s="179"/>
      <c r="AX24" s="179"/>
      <c r="AY24" s="184">
        <v>1.0</v>
      </c>
      <c r="AZ24" s="179"/>
      <c r="BA24" s="179"/>
      <c r="BB24" s="179"/>
      <c r="BC24" s="179"/>
      <c r="BD24" s="179"/>
      <c r="BE24" s="179"/>
      <c r="BF24" s="179"/>
      <c r="BG24" s="118">
        <f t="shared" si="14"/>
        <v>2</v>
      </c>
      <c r="BH24" s="122">
        <f t="shared" si="15"/>
        <v>40</v>
      </c>
      <c r="BI24" s="176"/>
      <c r="BJ24" s="179"/>
      <c r="BK24" s="179"/>
      <c r="BL24" s="179"/>
      <c r="BM24" s="179"/>
      <c r="BN24" s="179"/>
      <c r="BO24" s="179"/>
      <c r="BP24" s="179"/>
      <c r="BQ24" s="179"/>
      <c r="BR24" s="179"/>
      <c r="BS24" s="179"/>
      <c r="BT24" s="179"/>
      <c r="BU24" s="179"/>
      <c r="BV24" s="179"/>
      <c r="BW24" s="186"/>
      <c r="BX24" s="186"/>
      <c r="BY24" s="186"/>
      <c r="BZ24" s="186"/>
      <c r="CA24" s="186"/>
      <c r="CB24" s="200">
        <v>1.0</v>
      </c>
      <c r="CC24" s="186"/>
      <c r="CD24" s="186"/>
      <c r="CE24" s="172">
        <f t="shared" si="16"/>
        <v>1</v>
      </c>
      <c r="CF24" s="173">
        <f t="shared" si="17"/>
        <v>20</v>
      </c>
      <c r="CG24" s="199"/>
      <c r="CH24" s="186"/>
      <c r="CI24" s="186"/>
      <c r="CJ24" s="186"/>
      <c r="CK24" s="186"/>
      <c r="CL24" s="186"/>
      <c r="CM24" s="186"/>
      <c r="CN24" s="186"/>
      <c r="CO24" s="186"/>
      <c r="CP24" s="186"/>
      <c r="CQ24" s="186"/>
      <c r="CR24" s="186"/>
      <c r="CS24" s="175">
        <f t="shared" si="18"/>
        <v>0</v>
      </c>
      <c r="CT24" s="158">
        <f t="shared" si="19"/>
        <v>0</v>
      </c>
    </row>
    <row r="25" ht="15.75" customHeight="1">
      <c r="A25" s="50">
        <v>16.0</v>
      </c>
      <c r="B25" s="111" t="s">
        <v>82</v>
      </c>
      <c r="C25" s="112" t="s">
        <v>83</v>
      </c>
      <c r="D25" s="91">
        <f t="shared" si="6"/>
        <v>2</v>
      </c>
      <c r="E25" s="113">
        <f t="shared" si="7"/>
        <v>15.38461538</v>
      </c>
      <c r="F25" s="114">
        <f t="shared" si="8"/>
        <v>15.38461538</v>
      </c>
      <c r="G25" s="202">
        <f t="shared" si="9"/>
        <v>15.38461538</v>
      </c>
      <c r="H25" s="165"/>
      <c r="I25" s="150"/>
      <c r="J25" s="150"/>
      <c r="K25" s="116"/>
      <c r="L25" s="116"/>
      <c r="M25" s="118">
        <f t="shared" si="10"/>
        <v>0</v>
      </c>
      <c r="N25" s="119" t="str">
        <f t="shared" si="11"/>
        <v>#DIV/0!</v>
      </c>
      <c r="O25" s="176"/>
      <c r="P25" s="179"/>
      <c r="Q25" s="179"/>
      <c r="R25" s="179"/>
      <c r="S25" s="179"/>
      <c r="T25" s="179"/>
      <c r="U25" s="179"/>
      <c r="V25" s="179"/>
      <c r="W25" s="179"/>
      <c r="X25" s="179"/>
      <c r="Y25" s="179"/>
      <c r="Z25" s="179"/>
      <c r="AA25" s="179"/>
      <c r="AB25" s="179"/>
      <c r="AC25" s="179"/>
      <c r="AD25" s="179"/>
      <c r="AE25" s="179"/>
      <c r="AF25" s="176"/>
      <c r="AG25" s="176"/>
      <c r="AH25" s="176"/>
      <c r="AI25" s="176"/>
      <c r="AJ25" s="168">
        <f t="shared" si="12"/>
        <v>0</v>
      </c>
      <c r="AK25" s="169">
        <f t="shared" si="13"/>
        <v>0</v>
      </c>
      <c r="AL25" s="279">
        <v>1.0</v>
      </c>
      <c r="AM25" s="179"/>
      <c r="AN25" s="179"/>
      <c r="AO25" s="179"/>
      <c r="AP25" s="179"/>
      <c r="AQ25" s="179"/>
      <c r="AR25" s="179"/>
      <c r="AS25" s="179"/>
      <c r="AT25" s="179"/>
      <c r="AU25" s="179"/>
      <c r="AV25" s="179"/>
      <c r="AW25" s="179"/>
      <c r="AX25" s="179"/>
      <c r="AY25" s="179"/>
      <c r="AZ25" s="179"/>
      <c r="BA25" s="179"/>
      <c r="BB25" s="179"/>
      <c r="BC25" s="179"/>
      <c r="BD25" s="179"/>
      <c r="BE25" s="179"/>
      <c r="BF25" s="179"/>
      <c r="BG25" s="118">
        <f t="shared" si="14"/>
        <v>1</v>
      </c>
      <c r="BH25" s="122">
        <f t="shared" si="15"/>
        <v>20</v>
      </c>
      <c r="BI25" s="176"/>
      <c r="BJ25" s="179"/>
      <c r="BK25" s="179"/>
      <c r="BL25" s="179"/>
      <c r="BM25" s="179"/>
      <c r="BN25" s="179"/>
      <c r="BO25" s="179"/>
      <c r="BP25" s="179"/>
      <c r="BQ25" s="179"/>
      <c r="BR25" s="179"/>
      <c r="BS25" s="179"/>
      <c r="BT25" s="179"/>
      <c r="BU25" s="179"/>
      <c r="BV25" s="179"/>
      <c r="BW25" s="186"/>
      <c r="BX25" s="186"/>
      <c r="BY25" s="186"/>
      <c r="BZ25" s="186"/>
      <c r="CA25" s="186"/>
      <c r="CB25" s="200">
        <v>1.0</v>
      </c>
      <c r="CC25" s="186"/>
      <c r="CD25" s="186"/>
      <c r="CE25" s="172">
        <f t="shared" si="16"/>
        <v>1</v>
      </c>
      <c r="CF25" s="173">
        <f t="shared" si="17"/>
        <v>20</v>
      </c>
      <c r="CG25" s="199"/>
      <c r="CH25" s="186"/>
      <c r="CI25" s="186"/>
      <c r="CJ25" s="186"/>
      <c r="CK25" s="186"/>
      <c r="CL25" s="186"/>
      <c r="CM25" s="186"/>
      <c r="CN25" s="186"/>
      <c r="CO25" s="186"/>
      <c r="CP25" s="186"/>
      <c r="CQ25" s="186"/>
      <c r="CR25" s="186"/>
      <c r="CS25" s="175">
        <f t="shared" si="18"/>
        <v>0</v>
      </c>
      <c r="CT25" s="158">
        <f t="shared" si="19"/>
        <v>0</v>
      </c>
    </row>
    <row r="26" ht="15.75" customHeight="1">
      <c r="A26" s="131">
        <v>17.0</v>
      </c>
      <c r="B26" s="111" t="s">
        <v>84</v>
      </c>
      <c r="C26" s="112" t="s">
        <v>85</v>
      </c>
      <c r="D26" s="91">
        <f t="shared" si="6"/>
        <v>6</v>
      </c>
      <c r="E26" s="113">
        <f t="shared" si="7"/>
        <v>46.15384615</v>
      </c>
      <c r="F26" s="114">
        <f t="shared" si="8"/>
        <v>46.15384615</v>
      </c>
      <c r="G26" s="164" t="str">
        <f t="shared" si="9"/>
        <v>  </v>
      </c>
      <c r="H26" s="165"/>
      <c r="I26" s="150"/>
      <c r="J26" s="116"/>
      <c r="K26" s="116"/>
      <c r="L26" s="116"/>
      <c r="M26" s="118">
        <f t="shared" si="10"/>
        <v>0</v>
      </c>
      <c r="N26" s="119" t="str">
        <f t="shared" si="11"/>
        <v>#DIV/0!</v>
      </c>
      <c r="O26" s="227"/>
      <c r="P26" s="228"/>
      <c r="Q26" s="228"/>
      <c r="R26" s="228"/>
      <c r="S26" s="228"/>
      <c r="T26" s="228"/>
      <c r="U26" s="228"/>
      <c r="V26" s="228"/>
      <c r="W26" s="233"/>
      <c r="X26" s="228"/>
      <c r="Y26" s="228"/>
      <c r="Z26" s="233">
        <v>1.0</v>
      </c>
      <c r="AA26" s="228"/>
      <c r="AB26" s="228"/>
      <c r="AC26" s="228"/>
      <c r="AD26" s="228"/>
      <c r="AE26" s="228"/>
      <c r="AF26" s="227"/>
      <c r="AG26" s="227"/>
      <c r="AH26" s="227"/>
      <c r="AI26" s="227"/>
      <c r="AJ26" s="168">
        <f t="shared" si="12"/>
        <v>1</v>
      </c>
      <c r="AK26" s="169">
        <f t="shared" si="13"/>
        <v>50</v>
      </c>
      <c r="AL26" s="232"/>
      <c r="AM26" s="228"/>
      <c r="AN26" s="228"/>
      <c r="AO26" s="228"/>
      <c r="AP26" s="228"/>
      <c r="AQ26" s="228"/>
      <c r="AR26" s="228"/>
      <c r="AS26" s="228"/>
      <c r="AT26" s="228"/>
      <c r="AU26" s="228"/>
      <c r="AV26" s="233">
        <v>1.0</v>
      </c>
      <c r="AW26" s="228"/>
      <c r="AX26" s="228"/>
      <c r="AY26" s="233">
        <v>1.0</v>
      </c>
      <c r="AZ26" s="228"/>
      <c r="BA26" s="228"/>
      <c r="BB26" s="228"/>
      <c r="BC26" s="228"/>
      <c r="BD26" s="233">
        <v>1.0</v>
      </c>
      <c r="BE26" s="228"/>
      <c r="BF26" s="228"/>
      <c r="BG26" s="118">
        <f t="shared" si="14"/>
        <v>3</v>
      </c>
      <c r="BH26" s="122">
        <f t="shared" si="15"/>
        <v>60</v>
      </c>
      <c r="BI26" s="227"/>
      <c r="BJ26" s="228"/>
      <c r="BK26" s="228"/>
      <c r="BL26" s="228"/>
      <c r="BM26" s="228"/>
      <c r="BN26" s="228"/>
      <c r="BO26" s="228"/>
      <c r="BP26" s="233">
        <v>1.0</v>
      </c>
      <c r="BQ26" s="228"/>
      <c r="BR26" s="228"/>
      <c r="BS26" s="228"/>
      <c r="BT26" s="228"/>
      <c r="BU26" s="233">
        <v>1.0</v>
      </c>
      <c r="BV26" s="228"/>
      <c r="BW26" s="186"/>
      <c r="BX26" s="186"/>
      <c r="BY26" s="186"/>
      <c r="BZ26" s="186"/>
      <c r="CA26" s="186"/>
      <c r="CB26" s="186"/>
      <c r="CC26" s="186"/>
      <c r="CD26" s="186"/>
      <c r="CE26" s="172">
        <f t="shared" si="16"/>
        <v>2</v>
      </c>
      <c r="CF26" s="173">
        <f t="shared" si="17"/>
        <v>40</v>
      </c>
      <c r="CG26" s="199"/>
      <c r="CH26" s="186"/>
      <c r="CI26" s="186"/>
      <c r="CJ26" s="186"/>
      <c r="CK26" s="186"/>
      <c r="CL26" s="186"/>
      <c r="CM26" s="186"/>
      <c r="CN26" s="186"/>
      <c r="CO26" s="186"/>
      <c r="CP26" s="186"/>
      <c r="CQ26" s="186"/>
      <c r="CR26" s="186"/>
      <c r="CS26" s="175">
        <f t="shared" si="18"/>
        <v>0</v>
      </c>
      <c r="CT26" s="158">
        <f t="shared" si="19"/>
        <v>0</v>
      </c>
    </row>
    <row r="27" ht="15.75" customHeight="1">
      <c r="A27" s="146">
        <v>18.0</v>
      </c>
      <c r="B27" s="111" t="s">
        <v>86</v>
      </c>
      <c r="C27" s="112" t="s">
        <v>87</v>
      </c>
      <c r="D27" s="91">
        <f t="shared" si="6"/>
        <v>5</v>
      </c>
      <c r="E27" s="113">
        <f t="shared" si="7"/>
        <v>38.46153846</v>
      </c>
      <c r="F27" s="114">
        <f t="shared" si="8"/>
        <v>38.46153846</v>
      </c>
      <c r="G27" s="164" t="str">
        <f t="shared" si="9"/>
        <v>  </v>
      </c>
      <c r="H27" s="165"/>
      <c r="I27" s="116"/>
      <c r="J27" s="150"/>
      <c r="K27" s="116"/>
      <c r="L27" s="116"/>
      <c r="M27" s="118">
        <f t="shared" si="10"/>
        <v>0</v>
      </c>
      <c r="N27" s="119" t="str">
        <f t="shared" si="11"/>
        <v>#DIV/0!</v>
      </c>
      <c r="O27" s="176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6"/>
      <c r="AG27" s="176"/>
      <c r="AH27" s="176"/>
      <c r="AI27" s="176"/>
      <c r="AJ27" s="168">
        <f t="shared" si="12"/>
        <v>0</v>
      </c>
      <c r="AK27" s="169">
        <f t="shared" si="13"/>
        <v>0</v>
      </c>
      <c r="AL27" s="183"/>
      <c r="AM27" s="179"/>
      <c r="AN27" s="179"/>
      <c r="AO27" s="179"/>
      <c r="AP27" s="179"/>
      <c r="AQ27" s="179"/>
      <c r="AR27" s="179"/>
      <c r="AS27" s="179"/>
      <c r="AT27" s="179"/>
      <c r="AU27" s="179"/>
      <c r="AV27" s="179"/>
      <c r="AW27" s="179"/>
      <c r="AX27" s="179"/>
      <c r="AY27" s="184">
        <v>1.0</v>
      </c>
      <c r="AZ27" s="179"/>
      <c r="BA27" s="179"/>
      <c r="BB27" s="179"/>
      <c r="BC27" s="179"/>
      <c r="BD27" s="179"/>
      <c r="BE27" s="179"/>
      <c r="BF27" s="179"/>
      <c r="BG27" s="118">
        <f t="shared" si="14"/>
        <v>1</v>
      </c>
      <c r="BH27" s="122">
        <f t="shared" si="15"/>
        <v>20</v>
      </c>
      <c r="BI27" s="176"/>
      <c r="BJ27" s="179"/>
      <c r="BK27" s="184">
        <v>1.0</v>
      </c>
      <c r="BL27" s="179"/>
      <c r="BM27" s="179"/>
      <c r="BN27" s="179"/>
      <c r="BO27" s="179"/>
      <c r="BP27" s="184">
        <v>1.0</v>
      </c>
      <c r="BQ27" s="179"/>
      <c r="BR27" s="179"/>
      <c r="BS27" s="179"/>
      <c r="BT27" s="179"/>
      <c r="BU27" s="184">
        <v>1.0</v>
      </c>
      <c r="BV27" s="179"/>
      <c r="BW27" s="186"/>
      <c r="BX27" s="186"/>
      <c r="BY27" s="186"/>
      <c r="BZ27" s="186"/>
      <c r="CA27" s="186"/>
      <c r="CB27" s="200">
        <v>1.0</v>
      </c>
      <c r="CC27" s="186"/>
      <c r="CD27" s="186"/>
      <c r="CE27" s="172">
        <f t="shared" si="16"/>
        <v>4</v>
      </c>
      <c r="CF27" s="173">
        <f t="shared" si="17"/>
        <v>80</v>
      </c>
      <c r="CG27" s="199"/>
      <c r="CH27" s="186"/>
      <c r="CI27" s="186"/>
      <c r="CJ27" s="186"/>
      <c r="CK27" s="186"/>
      <c r="CL27" s="186"/>
      <c r="CM27" s="186"/>
      <c r="CN27" s="186"/>
      <c r="CO27" s="186"/>
      <c r="CP27" s="186"/>
      <c r="CQ27" s="186"/>
      <c r="CR27" s="186"/>
      <c r="CS27" s="175">
        <f t="shared" si="18"/>
        <v>0</v>
      </c>
      <c r="CT27" s="158">
        <f t="shared" si="19"/>
        <v>0</v>
      </c>
    </row>
    <row r="28" ht="15.75" customHeight="1">
      <c r="A28" s="50">
        <v>19.0</v>
      </c>
      <c r="B28" s="111" t="s">
        <v>88</v>
      </c>
      <c r="C28" s="112" t="s">
        <v>89</v>
      </c>
      <c r="D28" s="91">
        <f t="shared" si="6"/>
        <v>9</v>
      </c>
      <c r="E28" s="113">
        <f t="shared" si="7"/>
        <v>69.23076923</v>
      </c>
      <c r="F28" s="114" t="str">
        <f t="shared" si="8"/>
        <v>  </v>
      </c>
      <c r="G28" s="202" t="str">
        <f t="shared" si="9"/>
        <v>  </v>
      </c>
      <c r="H28" s="165"/>
      <c r="I28" s="116"/>
      <c r="J28" s="116"/>
      <c r="K28" s="116"/>
      <c r="L28" s="116"/>
      <c r="M28" s="118">
        <f t="shared" si="10"/>
        <v>0</v>
      </c>
      <c r="N28" s="119" t="str">
        <f t="shared" si="11"/>
        <v>#DIV/0!</v>
      </c>
      <c r="O28" s="176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  <c r="AA28" s="179"/>
      <c r="AB28" s="179"/>
      <c r="AC28" s="179"/>
      <c r="AD28" s="179"/>
      <c r="AE28" s="184">
        <v>1.0</v>
      </c>
      <c r="AF28" s="176"/>
      <c r="AG28" s="176"/>
      <c r="AH28" s="176"/>
      <c r="AI28" s="176"/>
      <c r="AJ28" s="168">
        <f t="shared" si="12"/>
        <v>1</v>
      </c>
      <c r="AK28" s="169">
        <f t="shared" si="13"/>
        <v>50</v>
      </c>
      <c r="AL28" s="279">
        <v>1.0</v>
      </c>
      <c r="AM28" s="179"/>
      <c r="AN28" s="179"/>
      <c r="AO28" s="179"/>
      <c r="AP28" s="179"/>
      <c r="AQ28" s="184">
        <v>1.0</v>
      </c>
      <c r="AR28" s="179"/>
      <c r="AS28" s="179"/>
      <c r="AT28" s="179"/>
      <c r="AU28" s="179"/>
      <c r="AV28" s="184">
        <v>1.0</v>
      </c>
      <c r="AW28" s="179"/>
      <c r="AX28" s="179"/>
      <c r="AY28" s="184">
        <v>1.0</v>
      </c>
      <c r="AZ28" s="179"/>
      <c r="BA28" s="179"/>
      <c r="BB28" s="179"/>
      <c r="BC28" s="179"/>
      <c r="BD28" s="184">
        <v>1.0</v>
      </c>
      <c r="BE28" s="179"/>
      <c r="BF28" s="179"/>
      <c r="BG28" s="118">
        <f t="shared" si="14"/>
        <v>5</v>
      </c>
      <c r="BH28" s="122">
        <f t="shared" si="15"/>
        <v>100</v>
      </c>
      <c r="BI28" s="176"/>
      <c r="BJ28" s="179"/>
      <c r="BK28" s="184">
        <v>1.0</v>
      </c>
      <c r="BL28" s="179"/>
      <c r="BM28" s="179"/>
      <c r="BN28" s="179"/>
      <c r="BO28" s="179"/>
      <c r="BP28" s="184">
        <v>1.0</v>
      </c>
      <c r="BQ28" s="179"/>
      <c r="BR28" s="179"/>
      <c r="BS28" s="179"/>
      <c r="BT28" s="179"/>
      <c r="BU28" s="179"/>
      <c r="BV28" s="179"/>
      <c r="BW28" s="200">
        <v>1.0</v>
      </c>
      <c r="BX28" s="186"/>
      <c r="BY28" s="186"/>
      <c r="BZ28" s="186"/>
      <c r="CA28" s="186"/>
      <c r="CB28" s="186"/>
      <c r="CC28" s="186"/>
      <c r="CD28" s="186"/>
      <c r="CE28" s="172">
        <f t="shared" si="16"/>
        <v>3</v>
      </c>
      <c r="CF28" s="173">
        <f t="shared" si="17"/>
        <v>60</v>
      </c>
      <c r="CG28" s="199"/>
      <c r="CH28" s="186"/>
      <c r="CI28" s="186"/>
      <c r="CJ28" s="186"/>
      <c r="CK28" s="186"/>
      <c r="CL28" s="186"/>
      <c r="CM28" s="186"/>
      <c r="CN28" s="186"/>
      <c r="CO28" s="186"/>
      <c r="CP28" s="186"/>
      <c r="CQ28" s="186"/>
      <c r="CR28" s="186"/>
      <c r="CS28" s="175">
        <f t="shared" si="18"/>
        <v>0</v>
      </c>
      <c r="CT28" s="158">
        <f t="shared" si="19"/>
        <v>0</v>
      </c>
    </row>
    <row r="29" ht="15.75" customHeight="1">
      <c r="A29" s="131">
        <v>20.0</v>
      </c>
      <c r="B29" s="111" t="s">
        <v>90</v>
      </c>
      <c r="C29" s="112" t="s">
        <v>91</v>
      </c>
      <c r="D29" s="91">
        <f t="shared" si="6"/>
        <v>1</v>
      </c>
      <c r="E29" s="113">
        <f t="shared" si="7"/>
        <v>7.692307692</v>
      </c>
      <c r="F29" s="114">
        <f t="shared" si="8"/>
        <v>7.692307692</v>
      </c>
      <c r="G29" s="202">
        <f t="shared" si="9"/>
        <v>7.692307692</v>
      </c>
      <c r="H29" s="165"/>
      <c r="I29" s="116"/>
      <c r="J29" s="116"/>
      <c r="K29" s="116"/>
      <c r="L29" s="116"/>
      <c r="M29" s="118">
        <f t="shared" si="10"/>
        <v>0</v>
      </c>
      <c r="N29" s="119" t="str">
        <f t="shared" si="11"/>
        <v>#DIV/0!</v>
      </c>
      <c r="O29" s="176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  <c r="AA29" s="179"/>
      <c r="AB29" s="179"/>
      <c r="AC29" s="179"/>
      <c r="AD29" s="179"/>
      <c r="AE29" s="179"/>
      <c r="AF29" s="176"/>
      <c r="AG29" s="176"/>
      <c r="AH29" s="176"/>
      <c r="AI29" s="176"/>
      <c r="AJ29" s="168">
        <f t="shared" si="12"/>
        <v>0</v>
      </c>
      <c r="AK29" s="169">
        <f t="shared" si="13"/>
        <v>0</v>
      </c>
      <c r="AL29" s="279">
        <v>1.0</v>
      </c>
      <c r="AM29" s="179"/>
      <c r="AN29" s="179"/>
      <c r="AO29" s="179"/>
      <c r="AP29" s="179"/>
      <c r="AQ29" s="179"/>
      <c r="AR29" s="179"/>
      <c r="AS29" s="179"/>
      <c r="AT29" s="179"/>
      <c r="AU29" s="179"/>
      <c r="AV29" s="179"/>
      <c r="AW29" s="179"/>
      <c r="AX29" s="179"/>
      <c r="AY29" s="179"/>
      <c r="AZ29" s="179"/>
      <c r="BA29" s="179"/>
      <c r="BB29" s="179"/>
      <c r="BC29" s="179"/>
      <c r="BD29" s="179"/>
      <c r="BE29" s="179"/>
      <c r="BF29" s="179"/>
      <c r="BG29" s="118">
        <f t="shared" si="14"/>
        <v>1</v>
      </c>
      <c r="BH29" s="122">
        <f t="shared" si="15"/>
        <v>20</v>
      </c>
      <c r="BI29" s="176"/>
      <c r="BJ29" s="179"/>
      <c r="BK29" s="179"/>
      <c r="BL29" s="179"/>
      <c r="BM29" s="179"/>
      <c r="BN29" s="179"/>
      <c r="BO29" s="179"/>
      <c r="BP29" s="179"/>
      <c r="BQ29" s="179"/>
      <c r="BR29" s="179"/>
      <c r="BS29" s="179"/>
      <c r="BT29" s="179"/>
      <c r="BU29" s="179"/>
      <c r="BV29" s="179"/>
      <c r="BW29" s="186"/>
      <c r="BX29" s="186"/>
      <c r="BY29" s="186"/>
      <c r="BZ29" s="186"/>
      <c r="CA29" s="186"/>
      <c r="CB29" s="186"/>
      <c r="CC29" s="186"/>
      <c r="CD29" s="186"/>
      <c r="CE29" s="172">
        <f t="shared" si="16"/>
        <v>0</v>
      </c>
      <c r="CF29" s="173">
        <f t="shared" si="17"/>
        <v>0</v>
      </c>
      <c r="CG29" s="199"/>
      <c r="CH29" s="186"/>
      <c r="CI29" s="186"/>
      <c r="CJ29" s="186"/>
      <c r="CK29" s="186"/>
      <c r="CL29" s="186"/>
      <c r="CM29" s="186"/>
      <c r="CN29" s="186"/>
      <c r="CO29" s="186"/>
      <c r="CP29" s="186"/>
      <c r="CQ29" s="186"/>
      <c r="CR29" s="186"/>
      <c r="CS29" s="175">
        <f t="shared" si="18"/>
        <v>0</v>
      </c>
      <c r="CT29" s="158">
        <f t="shared" si="19"/>
        <v>0</v>
      </c>
    </row>
    <row r="30" ht="15.75" customHeight="1">
      <c r="A30" s="146">
        <v>21.0</v>
      </c>
      <c r="B30" s="111" t="s">
        <v>92</v>
      </c>
      <c r="C30" s="112" t="s">
        <v>93</v>
      </c>
      <c r="D30" s="91">
        <f t="shared" si="6"/>
        <v>0</v>
      </c>
      <c r="E30" s="113">
        <f t="shared" si="7"/>
        <v>0</v>
      </c>
      <c r="F30" s="114">
        <f t="shared" si="8"/>
        <v>0</v>
      </c>
      <c r="G30" s="202">
        <f t="shared" si="9"/>
        <v>0</v>
      </c>
      <c r="H30" s="165"/>
      <c r="I30" s="116"/>
      <c r="J30" s="116"/>
      <c r="K30" s="116"/>
      <c r="L30" s="116"/>
      <c r="M30" s="118">
        <f t="shared" si="10"/>
        <v>0</v>
      </c>
      <c r="N30" s="119" t="str">
        <f t="shared" si="11"/>
        <v>#DIV/0!</v>
      </c>
      <c r="O30" s="176"/>
      <c r="P30" s="179"/>
      <c r="Q30" s="179"/>
      <c r="R30" s="179"/>
      <c r="S30" s="179"/>
      <c r="T30" s="179"/>
      <c r="U30" s="179"/>
      <c r="V30" s="179"/>
      <c r="W30" s="179"/>
      <c r="X30" s="179"/>
      <c r="Y30" s="179"/>
      <c r="Z30" s="179"/>
      <c r="AA30" s="179"/>
      <c r="AB30" s="179"/>
      <c r="AC30" s="179"/>
      <c r="AD30" s="179"/>
      <c r="AE30" s="179"/>
      <c r="AF30" s="176"/>
      <c r="AG30" s="176"/>
      <c r="AH30" s="176"/>
      <c r="AI30" s="176"/>
      <c r="AJ30" s="168">
        <f t="shared" si="12"/>
        <v>0</v>
      </c>
      <c r="AK30" s="169">
        <f t="shared" si="13"/>
        <v>0</v>
      </c>
      <c r="AL30" s="183"/>
      <c r="AM30" s="179"/>
      <c r="AN30" s="179"/>
      <c r="AO30" s="179"/>
      <c r="AP30" s="179"/>
      <c r="AQ30" s="179"/>
      <c r="AR30" s="179"/>
      <c r="AS30" s="179"/>
      <c r="AT30" s="179"/>
      <c r="AU30" s="179"/>
      <c r="AV30" s="179"/>
      <c r="AW30" s="179"/>
      <c r="AX30" s="179"/>
      <c r="AY30" s="179"/>
      <c r="AZ30" s="179"/>
      <c r="BA30" s="179"/>
      <c r="BB30" s="179"/>
      <c r="BC30" s="179"/>
      <c r="BD30" s="179"/>
      <c r="BE30" s="179"/>
      <c r="BF30" s="179"/>
      <c r="BG30" s="118">
        <f t="shared" si="14"/>
        <v>0</v>
      </c>
      <c r="BH30" s="122">
        <f t="shared" si="15"/>
        <v>0</v>
      </c>
      <c r="BI30" s="176"/>
      <c r="BJ30" s="179"/>
      <c r="BK30" s="179"/>
      <c r="BL30" s="179"/>
      <c r="BM30" s="179"/>
      <c r="BN30" s="179"/>
      <c r="BO30" s="179"/>
      <c r="BP30" s="179"/>
      <c r="BQ30" s="179"/>
      <c r="BR30" s="179"/>
      <c r="BS30" s="179"/>
      <c r="BT30" s="179"/>
      <c r="BU30" s="179"/>
      <c r="BV30" s="179"/>
      <c r="BW30" s="186"/>
      <c r="BX30" s="186"/>
      <c r="BY30" s="186"/>
      <c r="BZ30" s="186"/>
      <c r="CA30" s="186"/>
      <c r="CB30" s="186"/>
      <c r="CC30" s="186"/>
      <c r="CD30" s="186"/>
      <c r="CE30" s="172">
        <f t="shared" si="16"/>
        <v>0</v>
      </c>
      <c r="CF30" s="173">
        <f t="shared" si="17"/>
        <v>0</v>
      </c>
      <c r="CG30" s="199"/>
      <c r="CH30" s="186"/>
      <c r="CI30" s="186"/>
      <c r="CJ30" s="186"/>
      <c r="CK30" s="186"/>
      <c r="CL30" s="186"/>
      <c r="CM30" s="186"/>
      <c r="CN30" s="186"/>
      <c r="CO30" s="186"/>
      <c r="CP30" s="186"/>
      <c r="CQ30" s="186"/>
      <c r="CR30" s="186"/>
      <c r="CS30" s="175">
        <f t="shared" si="18"/>
        <v>0</v>
      </c>
      <c r="CT30" s="158">
        <f t="shared" si="19"/>
        <v>0</v>
      </c>
    </row>
    <row r="31" ht="15.75" customHeight="1">
      <c r="A31" s="50">
        <v>22.0</v>
      </c>
      <c r="B31" s="111" t="s">
        <v>94</v>
      </c>
      <c r="C31" s="112" t="s">
        <v>95</v>
      </c>
      <c r="D31" s="91">
        <f t="shared" si="6"/>
        <v>2</v>
      </c>
      <c r="E31" s="113">
        <f t="shared" si="7"/>
        <v>15.38461538</v>
      </c>
      <c r="F31" s="114">
        <f t="shared" si="8"/>
        <v>15.38461538</v>
      </c>
      <c r="G31" s="202">
        <f t="shared" si="9"/>
        <v>15.38461538</v>
      </c>
      <c r="H31" s="165"/>
      <c r="I31" s="150"/>
      <c r="J31" s="150"/>
      <c r="K31" s="116"/>
      <c r="L31" s="116"/>
      <c r="M31" s="118">
        <f t="shared" si="10"/>
        <v>0</v>
      </c>
      <c r="N31" s="119" t="str">
        <f t="shared" si="11"/>
        <v>#DIV/0!</v>
      </c>
      <c r="O31" s="176"/>
      <c r="P31" s="179"/>
      <c r="Q31" s="179"/>
      <c r="R31" s="179"/>
      <c r="S31" s="179"/>
      <c r="T31" s="179"/>
      <c r="U31" s="179"/>
      <c r="V31" s="179"/>
      <c r="W31" s="179"/>
      <c r="X31" s="179"/>
      <c r="Y31" s="179"/>
      <c r="Z31" s="179"/>
      <c r="AA31" s="179"/>
      <c r="AB31" s="179"/>
      <c r="AC31" s="179"/>
      <c r="AD31" s="179"/>
      <c r="AE31" s="179"/>
      <c r="AF31" s="176"/>
      <c r="AG31" s="176"/>
      <c r="AH31" s="176"/>
      <c r="AI31" s="176"/>
      <c r="AJ31" s="168">
        <f t="shared" si="12"/>
        <v>0</v>
      </c>
      <c r="AK31" s="169">
        <f t="shared" si="13"/>
        <v>0</v>
      </c>
      <c r="AL31" s="183"/>
      <c r="AM31" s="179"/>
      <c r="AN31" s="179"/>
      <c r="AO31" s="179"/>
      <c r="AP31" s="179"/>
      <c r="AQ31" s="179"/>
      <c r="AR31" s="179"/>
      <c r="AS31" s="179"/>
      <c r="AT31" s="179"/>
      <c r="AU31" s="179"/>
      <c r="AV31" s="179"/>
      <c r="AW31" s="179"/>
      <c r="AX31" s="179"/>
      <c r="AY31" s="179"/>
      <c r="AZ31" s="179"/>
      <c r="BA31" s="179"/>
      <c r="BB31" s="179"/>
      <c r="BC31" s="179"/>
      <c r="BD31" s="179"/>
      <c r="BE31" s="179"/>
      <c r="BF31" s="179"/>
      <c r="BG31" s="118">
        <f t="shared" si="14"/>
        <v>0</v>
      </c>
      <c r="BH31" s="122">
        <f t="shared" si="15"/>
        <v>0</v>
      </c>
      <c r="BI31" s="176"/>
      <c r="BJ31" s="179"/>
      <c r="BK31" s="179"/>
      <c r="BL31" s="179"/>
      <c r="BM31" s="179"/>
      <c r="BN31" s="179"/>
      <c r="BO31" s="179"/>
      <c r="BP31" s="179"/>
      <c r="BQ31" s="179"/>
      <c r="BR31" s="179"/>
      <c r="BS31" s="179"/>
      <c r="BT31" s="179"/>
      <c r="BU31" s="179"/>
      <c r="BV31" s="179"/>
      <c r="BW31" s="200">
        <v>1.0</v>
      </c>
      <c r="BX31" s="186"/>
      <c r="BY31" s="186"/>
      <c r="BZ31" s="186"/>
      <c r="CA31" s="186"/>
      <c r="CB31" s="200">
        <v>1.0</v>
      </c>
      <c r="CC31" s="186"/>
      <c r="CD31" s="186"/>
      <c r="CE31" s="172">
        <f t="shared" si="16"/>
        <v>2</v>
      </c>
      <c r="CF31" s="173">
        <f t="shared" si="17"/>
        <v>40</v>
      </c>
      <c r="CG31" s="199"/>
      <c r="CH31" s="186"/>
      <c r="CI31" s="186"/>
      <c r="CJ31" s="186"/>
      <c r="CK31" s="186"/>
      <c r="CL31" s="186"/>
      <c r="CM31" s="186"/>
      <c r="CN31" s="186"/>
      <c r="CO31" s="186"/>
      <c r="CP31" s="186"/>
      <c r="CQ31" s="186"/>
      <c r="CR31" s="186"/>
      <c r="CS31" s="175">
        <f t="shared" si="18"/>
        <v>0</v>
      </c>
      <c r="CT31" s="158">
        <f t="shared" si="19"/>
        <v>0</v>
      </c>
    </row>
    <row r="32" ht="15.75" customHeight="1">
      <c r="A32" s="131">
        <v>23.0</v>
      </c>
      <c r="B32" s="111" t="s">
        <v>96</v>
      </c>
      <c r="C32" s="112" t="s">
        <v>97</v>
      </c>
      <c r="D32" s="91">
        <f t="shared" si="6"/>
        <v>5</v>
      </c>
      <c r="E32" s="113">
        <f t="shared" si="7"/>
        <v>38.46153846</v>
      </c>
      <c r="F32" s="114">
        <f t="shared" si="8"/>
        <v>38.46153846</v>
      </c>
      <c r="G32" s="164" t="str">
        <f t="shared" si="9"/>
        <v>  </v>
      </c>
      <c r="H32" s="165"/>
      <c r="I32" s="150"/>
      <c r="J32" s="116"/>
      <c r="K32" s="116"/>
      <c r="L32" s="116"/>
      <c r="M32" s="118">
        <f t="shared" si="10"/>
        <v>0</v>
      </c>
      <c r="N32" s="119" t="str">
        <f t="shared" si="11"/>
        <v>#DIV/0!</v>
      </c>
      <c r="O32" s="176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  <c r="AA32" s="179"/>
      <c r="AB32" s="179"/>
      <c r="AC32" s="179"/>
      <c r="AD32" s="179"/>
      <c r="AE32" s="179"/>
      <c r="AF32" s="176"/>
      <c r="AG32" s="176"/>
      <c r="AH32" s="176"/>
      <c r="AI32" s="176"/>
      <c r="AJ32" s="168">
        <f t="shared" si="12"/>
        <v>0</v>
      </c>
      <c r="AK32" s="169">
        <f t="shared" si="13"/>
        <v>0</v>
      </c>
      <c r="AL32" s="183"/>
      <c r="AM32" s="179"/>
      <c r="AN32" s="179"/>
      <c r="AO32" s="179"/>
      <c r="AP32" s="179"/>
      <c r="AQ32" s="179"/>
      <c r="AR32" s="179"/>
      <c r="AS32" s="179"/>
      <c r="AT32" s="179"/>
      <c r="AU32" s="179"/>
      <c r="AV32" s="179"/>
      <c r="AW32" s="179"/>
      <c r="AX32" s="179"/>
      <c r="AY32" s="184">
        <v>1.0</v>
      </c>
      <c r="AZ32" s="179"/>
      <c r="BA32" s="179"/>
      <c r="BB32" s="179"/>
      <c r="BC32" s="179"/>
      <c r="BD32" s="184">
        <v>1.0</v>
      </c>
      <c r="BE32" s="179"/>
      <c r="BF32" s="179"/>
      <c r="BG32" s="118">
        <f t="shared" si="14"/>
        <v>2</v>
      </c>
      <c r="BH32" s="122">
        <f t="shared" si="15"/>
        <v>40</v>
      </c>
      <c r="BI32" s="176"/>
      <c r="BJ32" s="179"/>
      <c r="BK32" s="184">
        <v>1.0</v>
      </c>
      <c r="BL32" s="179"/>
      <c r="BM32" s="179"/>
      <c r="BN32" s="179"/>
      <c r="BO32" s="179"/>
      <c r="BP32" s="179"/>
      <c r="BQ32" s="179"/>
      <c r="BR32" s="179"/>
      <c r="BS32" s="179"/>
      <c r="BT32" s="179"/>
      <c r="BU32" s="179"/>
      <c r="BV32" s="179"/>
      <c r="BW32" s="200">
        <v>1.0</v>
      </c>
      <c r="BX32" s="186"/>
      <c r="BY32" s="186"/>
      <c r="BZ32" s="186"/>
      <c r="CA32" s="186"/>
      <c r="CB32" s="200">
        <v>1.0</v>
      </c>
      <c r="CC32" s="186"/>
      <c r="CD32" s="186"/>
      <c r="CE32" s="172">
        <f t="shared" si="16"/>
        <v>3</v>
      </c>
      <c r="CF32" s="173">
        <f t="shared" si="17"/>
        <v>60</v>
      </c>
      <c r="CG32" s="199"/>
      <c r="CH32" s="186"/>
      <c r="CI32" s="186"/>
      <c r="CJ32" s="186"/>
      <c r="CK32" s="186"/>
      <c r="CL32" s="186"/>
      <c r="CM32" s="186"/>
      <c r="CN32" s="186"/>
      <c r="CO32" s="186"/>
      <c r="CP32" s="186"/>
      <c r="CQ32" s="186"/>
      <c r="CR32" s="186"/>
      <c r="CS32" s="175">
        <f t="shared" si="18"/>
        <v>0</v>
      </c>
      <c r="CT32" s="158">
        <f t="shared" si="19"/>
        <v>0</v>
      </c>
    </row>
    <row r="33" ht="15.75" customHeight="1">
      <c r="A33" s="146">
        <v>24.0</v>
      </c>
      <c r="B33" s="111" t="s">
        <v>98</v>
      </c>
      <c r="C33" s="112" t="s">
        <v>99</v>
      </c>
      <c r="D33" s="91">
        <f t="shared" si="6"/>
        <v>3</v>
      </c>
      <c r="E33" s="113">
        <f t="shared" si="7"/>
        <v>23.07692308</v>
      </c>
      <c r="F33" s="114">
        <f t="shared" si="8"/>
        <v>23.07692308</v>
      </c>
      <c r="G33" s="202">
        <f t="shared" si="9"/>
        <v>23.07692308</v>
      </c>
      <c r="H33" s="165"/>
      <c r="I33" s="150"/>
      <c r="J33" s="116"/>
      <c r="K33" s="116"/>
      <c r="L33" s="116"/>
      <c r="M33" s="118">
        <f t="shared" si="10"/>
        <v>0</v>
      </c>
      <c r="N33" s="119" t="str">
        <f t="shared" si="11"/>
        <v>#DIV/0!</v>
      </c>
      <c r="O33" s="206"/>
      <c r="P33" s="207"/>
      <c r="Q33" s="207"/>
      <c r="R33" s="207"/>
      <c r="S33" s="207"/>
      <c r="T33" s="207"/>
      <c r="U33" s="207"/>
      <c r="V33" s="207"/>
      <c r="W33" s="207"/>
      <c r="X33" s="207"/>
      <c r="Y33" s="207"/>
      <c r="Z33" s="234">
        <v>1.0</v>
      </c>
      <c r="AA33" s="207"/>
      <c r="AB33" s="207"/>
      <c r="AC33" s="207"/>
      <c r="AD33" s="207"/>
      <c r="AE33" s="207"/>
      <c r="AF33" s="206"/>
      <c r="AG33" s="206"/>
      <c r="AH33" s="206"/>
      <c r="AI33" s="206"/>
      <c r="AJ33" s="168">
        <f t="shared" si="12"/>
        <v>1</v>
      </c>
      <c r="AK33" s="169">
        <f t="shared" si="13"/>
        <v>50</v>
      </c>
      <c r="AL33" s="212"/>
      <c r="AM33" s="207"/>
      <c r="AN33" s="207"/>
      <c r="AO33" s="207"/>
      <c r="AP33" s="207"/>
      <c r="AQ33" s="207"/>
      <c r="AR33" s="207"/>
      <c r="AS33" s="207"/>
      <c r="AT33" s="207"/>
      <c r="AU33" s="207"/>
      <c r="AV33" s="207"/>
      <c r="AW33" s="207"/>
      <c r="AX33" s="207"/>
      <c r="AY33" s="234">
        <v>1.0</v>
      </c>
      <c r="AZ33" s="207"/>
      <c r="BA33" s="207"/>
      <c r="BB33" s="207"/>
      <c r="BC33" s="207"/>
      <c r="BD33" s="207"/>
      <c r="BE33" s="207"/>
      <c r="BF33" s="207"/>
      <c r="BG33" s="118">
        <f t="shared" si="14"/>
        <v>1</v>
      </c>
      <c r="BH33" s="122">
        <f t="shared" si="15"/>
        <v>20</v>
      </c>
      <c r="BI33" s="206"/>
      <c r="BJ33" s="207"/>
      <c r="BK33" s="207"/>
      <c r="BL33" s="207"/>
      <c r="BM33" s="207"/>
      <c r="BN33" s="207"/>
      <c r="BO33" s="207"/>
      <c r="BP33" s="207"/>
      <c r="BQ33" s="207"/>
      <c r="BR33" s="207"/>
      <c r="BS33" s="207"/>
      <c r="BT33" s="207"/>
      <c r="BU33" s="207"/>
      <c r="BV33" s="207"/>
      <c r="BW33" s="186"/>
      <c r="BX33" s="186"/>
      <c r="BY33" s="186"/>
      <c r="BZ33" s="186"/>
      <c r="CA33" s="186"/>
      <c r="CB33" s="200">
        <v>1.0</v>
      </c>
      <c r="CC33" s="186"/>
      <c r="CD33" s="186"/>
      <c r="CE33" s="172">
        <f t="shared" si="16"/>
        <v>1</v>
      </c>
      <c r="CF33" s="173">
        <f t="shared" si="17"/>
        <v>20</v>
      </c>
      <c r="CG33" s="199"/>
      <c r="CH33" s="186"/>
      <c r="CI33" s="186"/>
      <c r="CJ33" s="186"/>
      <c r="CK33" s="186"/>
      <c r="CL33" s="186"/>
      <c r="CM33" s="186"/>
      <c r="CN33" s="186"/>
      <c r="CO33" s="186"/>
      <c r="CP33" s="186"/>
      <c r="CQ33" s="186"/>
      <c r="CR33" s="186"/>
      <c r="CS33" s="175">
        <f t="shared" si="18"/>
        <v>0</v>
      </c>
      <c r="CT33" s="158">
        <f t="shared" si="19"/>
        <v>0</v>
      </c>
    </row>
    <row r="34" ht="15.75" customHeight="1">
      <c r="A34" s="50">
        <v>25.0</v>
      </c>
      <c r="B34" s="111" t="s">
        <v>100</v>
      </c>
      <c r="C34" s="112" t="s">
        <v>101</v>
      </c>
      <c r="D34" s="91">
        <f t="shared" si="6"/>
        <v>2</v>
      </c>
      <c r="E34" s="113">
        <f t="shared" si="7"/>
        <v>15.38461538</v>
      </c>
      <c r="F34" s="114">
        <f t="shared" si="8"/>
        <v>15.38461538</v>
      </c>
      <c r="G34" s="202">
        <f t="shared" si="9"/>
        <v>15.38461538</v>
      </c>
      <c r="H34" s="165"/>
      <c r="I34" s="43"/>
      <c r="J34" s="43"/>
      <c r="K34" s="116"/>
      <c r="L34" s="116"/>
      <c r="M34" s="118">
        <f t="shared" si="10"/>
        <v>0</v>
      </c>
      <c r="N34" s="119" t="str">
        <f t="shared" si="11"/>
        <v>#DIV/0!</v>
      </c>
      <c r="O34" s="206"/>
      <c r="P34" s="207"/>
      <c r="Q34" s="207"/>
      <c r="R34" s="207"/>
      <c r="S34" s="207"/>
      <c r="T34" s="207"/>
      <c r="U34" s="207"/>
      <c r="V34" s="207"/>
      <c r="W34" s="207"/>
      <c r="X34" s="207"/>
      <c r="Y34" s="207"/>
      <c r="Z34" s="207"/>
      <c r="AA34" s="207"/>
      <c r="AB34" s="207"/>
      <c r="AC34" s="207"/>
      <c r="AD34" s="207"/>
      <c r="AE34" s="207"/>
      <c r="AF34" s="206"/>
      <c r="AG34" s="206"/>
      <c r="AH34" s="206"/>
      <c r="AI34" s="206"/>
      <c r="AJ34" s="168">
        <f t="shared" si="12"/>
        <v>0</v>
      </c>
      <c r="AK34" s="169">
        <f t="shared" si="13"/>
        <v>0</v>
      </c>
      <c r="AL34" s="212"/>
      <c r="AM34" s="207"/>
      <c r="AN34" s="207"/>
      <c r="AO34" s="207"/>
      <c r="AP34" s="207"/>
      <c r="AQ34" s="207"/>
      <c r="AR34" s="207"/>
      <c r="AS34" s="207"/>
      <c r="AT34" s="207"/>
      <c r="AU34" s="207"/>
      <c r="AV34" s="207"/>
      <c r="AW34" s="207"/>
      <c r="AX34" s="207"/>
      <c r="AY34" s="234">
        <v>1.0</v>
      </c>
      <c r="AZ34" s="207"/>
      <c r="BA34" s="207"/>
      <c r="BB34" s="207"/>
      <c r="BC34" s="207"/>
      <c r="BD34" s="207"/>
      <c r="BE34" s="207"/>
      <c r="BF34" s="207"/>
      <c r="BG34" s="118">
        <f t="shared" si="14"/>
        <v>1</v>
      </c>
      <c r="BH34" s="122">
        <f t="shared" si="15"/>
        <v>20</v>
      </c>
      <c r="BI34" s="206"/>
      <c r="BJ34" s="207"/>
      <c r="BK34" s="207"/>
      <c r="BL34" s="207"/>
      <c r="BM34" s="207"/>
      <c r="BN34" s="207"/>
      <c r="BO34" s="207"/>
      <c r="BP34" s="207"/>
      <c r="BQ34" s="207"/>
      <c r="BR34" s="207"/>
      <c r="BS34" s="207"/>
      <c r="BT34" s="207"/>
      <c r="BU34" s="207"/>
      <c r="BV34" s="207"/>
      <c r="BW34" s="186"/>
      <c r="BX34" s="186"/>
      <c r="BY34" s="186"/>
      <c r="BZ34" s="186"/>
      <c r="CA34" s="186"/>
      <c r="CB34" s="200">
        <v>1.0</v>
      </c>
      <c r="CC34" s="186"/>
      <c r="CD34" s="186"/>
      <c r="CE34" s="172">
        <f t="shared" si="16"/>
        <v>1</v>
      </c>
      <c r="CF34" s="173">
        <f t="shared" si="17"/>
        <v>20</v>
      </c>
      <c r="CG34" s="199"/>
      <c r="CH34" s="186"/>
      <c r="CI34" s="186"/>
      <c r="CJ34" s="186"/>
      <c r="CK34" s="186"/>
      <c r="CL34" s="186"/>
      <c r="CM34" s="186"/>
      <c r="CN34" s="186"/>
      <c r="CO34" s="186"/>
      <c r="CP34" s="186"/>
      <c r="CQ34" s="186"/>
      <c r="CR34" s="186"/>
      <c r="CS34" s="175">
        <f t="shared" si="18"/>
        <v>0</v>
      </c>
      <c r="CT34" s="158">
        <f t="shared" si="19"/>
        <v>0</v>
      </c>
    </row>
    <row r="35" ht="15.75" customHeight="1">
      <c r="A35" s="131">
        <v>26.0</v>
      </c>
      <c r="B35" s="111" t="s">
        <v>102</v>
      </c>
      <c r="C35" s="112" t="s">
        <v>103</v>
      </c>
      <c r="D35" s="91">
        <f t="shared" si="6"/>
        <v>7</v>
      </c>
      <c r="E35" s="113">
        <f t="shared" si="7"/>
        <v>53.84615385</v>
      </c>
      <c r="F35" s="114" t="str">
        <f t="shared" si="8"/>
        <v>  </v>
      </c>
      <c r="G35" s="202" t="str">
        <f t="shared" si="9"/>
        <v>  </v>
      </c>
      <c r="H35" s="192"/>
      <c r="I35" s="116"/>
      <c r="J35" s="116"/>
      <c r="K35" s="116"/>
      <c r="L35" s="116"/>
      <c r="M35" s="118">
        <f t="shared" si="10"/>
        <v>0</v>
      </c>
      <c r="N35" s="119" t="str">
        <f t="shared" si="11"/>
        <v>#DIV/0!</v>
      </c>
      <c r="O35" s="176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Z35" s="179"/>
      <c r="AA35" s="179"/>
      <c r="AB35" s="179"/>
      <c r="AC35" s="179"/>
      <c r="AD35" s="179"/>
      <c r="AE35" s="179"/>
      <c r="AF35" s="176"/>
      <c r="AG35" s="176"/>
      <c r="AH35" s="176"/>
      <c r="AI35" s="176"/>
      <c r="AJ35" s="168">
        <f t="shared" si="12"/>
        <v>0</v>
      </c>
      <c r="AK35" s="169">
        <f t="shared" si="13"/>
        <v>0</v>
      </c>
      <c r="AL35" s="183"/>
      <c r="AM35" s="179"/>
      <c r="AN35" s="179"/>
      <c r="AO35" s="179"/>
      <c r="AP35" s="179"/>
      <c r="AQ35" s="179"/>
      <c r="AR35" s="179"/>
      <c r="AS35" s="179"/>
      <c r="AT35" s="179"/>
      <c r="AU35" s="179"/>
      <c r="AV35" s="179"/>
      <c r="AW35" s="179"/>
      <c r="AX35" s="179"/>
      <c r="AY35" s="184">
        <v>1.0</v>
      </c>
      <c r="AZ35" s="179"/>
      <c r="BA35" s="179"/>
      <c r="BB35" s="179"/>
      <c r="BC35" s="179"/>
      <c r="BD35" s="184">
        <v>1.0</v>
      </c>
      <c r="BE35" s="179"/>
      <c r="BF35" s="179"/>
      <c r="BG35" s="118">
        <f t="shared" si="14"/>
        <v>2</v>
      </c>
      <c r="BH35" s="122">
        <f t="shared" si="15"/>
        <v>40</v>
      </c>
      <c r="BI35" s="176"/>
      <c r="BJ35" s="179"/>
      <c r="BK35" s="184">
        <v>1.0</v>
      </c>
      <c r="BL35" s="184"/>
      <c r="BM35" s="179"/>
      <c r="BN35" s="179"/>
      <c r="BO35" s="179"/>
      <c r="BP35" s="184">
        <v>1.0</v>
      </c>
      <c r="BQ35" s="179"/>
      <c r="BR35" s="179"/>
      <c r="BS35" s="179"/>
      <c r="BT35" s="179"/>
      <c r="BU35" s="184">
        <v>1.0</v>
      </c>
      <c r="BV35" s="179"/>
      <c r="BW35" s="200">
        <v>1.0</v>
      </c>
      <c r="BX35" s="186"/>
      <c r="BY35" s="186"/>
      <c r="BZ35" s="186"/>
      <c r="CA35" s="186"/>
      <c r="CB35" s="200">
        <v>1.0</v>
      </c>
      <c r="CC35" s="186"/>
      <c r="CD35" s="186"/>
      <c r="CE35" s="172">
        <f t="shared" si="16"/>
        <v>5</v>
      </c>
      <c r="CF35" s="173">
        <f t="shared" si="17"/>
        <v>100</v>
      </c>
      <c r="CG35" s="199"/>
      <c r="CH35" s="186"/>
      <c r="CI35" s="186"/>
      <c r="CJ35" s="186"/>
      <c r="CK35" s="186"/>
      <c r="CL35" s="186"/>
      <c r="CM35" s="186"/>
      <c r="CN35" s="186"/>
      <c r="CO35" s="186"/>
      <c r="CP35" s="186"/>
      <c r="CQ35" s="186"/>
      <c r="CR35" s="186"/>
      <c r="CS35" s="175">
        <f t="shared" si="18"/>
        <v>0</v>
      </c>
      <c r="CT35" s="158">
        <f t="shared" si="19"/>
        <v>0</v>
      </c>
    </row>
    <row r="36" ht="15.75" customHeight="1">
      <c r="A36" s="146">
        <v>27.0</v>
      </c>
      <c r="B36" s="111" t="s">
        <v>104</v>
      </c>
      <c r="C36" s="112" t="s">
        <v>105</v>
      </c>
      <c r="D36" s="91">
        <f t="shared" si="6"/>
        <v>6</v>
      </c>
      <c r="E36" s="113">
        <f t="shared" si="7"/>
        <v>46.15384615</v>
      </c>
      <c r="F36" s="114">
        <f t="shared" si="8"/>
        <v>46.15384615</v>
      </c>
      <c r="G36" s="164" t="str">
        <f t="shared" si="9"/>
        <v>  </v>
      </c>
      <c r="H36" s="165"/>
      <c r="I36" s="116"/>
      <c r="J36" s="116"/>
      <c r="K36" s="116"/>
      <c r="L36" s="116"/>
      <c r="M36" s="118">
        <f t="shared" si="10"/>
        <v>0</v>
      </c>
      <c r="N36" s="119" t="str">
        <f t="shared" si="11"/>
        <v>#DIV/0!</v>
      </c>
      <c r="O36" s="176"/>
      <c r="P36" s="179"/>
      <c r="Q36" s="179"/>
      <c r="R36" s="179"/>
      <c r="S36" s="179"/>
      <c r="T36" s="179"/>
      <c r="U36" s="179"/>
      <c r="V36" s="179"/>
      <c r="W36" s="179"/>
      <c r="X36" s="179"/>
      <c r="Y36" s="179"/>
      <c r="Z36" s="179"/>
      <c r="AA36" s="179"/>
      <c r="AB36" s="179"/>
      <c r="AC36" s="179"/>
      <c r="AD36" s="179"/>
      <c r="AE36" s="179"/>
      <c r="AF36" s="176"/>
      <c r="AG36" s="176"/>
      <c r="AH36" s="176"/>
      <c r="AI36" s="176"/>
      <c r="AJ36" s="168">
        <f t="shared" si="12"/>
        <v>0</v>
      </c>
      <c r="AK36" s="169">
        <f t="shared" si="13"/>
        <v>0</v>
      </c>
      <c r="AL36" s="183"/>
      <c r="AM36" s="179"/>
      <c r="AN36" s="179"/>
      <c r="AO36" s="179"/>
      <c r="AP36" s="179"/>
      <c r="AQ36" s="179"/>
      <c r="AR36" s="179"/>
      <c r="AS36" s="179"/>
      <c r="AT36" s="179"/>
      <c r="AU36" s="179"/>
      <c r="AV36" s="184">
        <v>1.0</v>
      </c>
      <c r="AW36" s="179"/>
      <c r="AX36" s="179"/>
      <c r="AY36" s="184">
        <v>1.0</v>
      </c>
      <c r="AZ36" s="179"/>
      <c r="BA36" s="179"/>
      <c r="BB36" s="179"/>
      <c r="BC36" s="179"/>
      <c r="BD36" s="184">
        <v>1.0</v>
      </c>
      <c r="BE36" s="179"/>
      <c r="BF36" s="179"/>
      <c r="BG36" s="118">
        <f t="shared" si="14"/>
        <v>3</v>
      </c>
      <c r="BH36" s="122">
        <f t="shared" si="15"/>
        <v>60</v>
      </c>
      <c r="BI36" s="176"/>
      <c r="BJ36" s="179"/>
      <c r="BK36" s="179"/>
      <c r="BL36" s="179"/>
      <c r="BM36" s="179"/>
      <c r="BN36" s="179"/>
      <c r="BO36" s="179"/>
      <c r="BP36" s="184">
        <v>1.0</v>
      </c>
      <c r="BQ36" s="179"/>
      <c r="BR36" s="179"/>
      <c r="BS36" s="179"/>
      <c r="BT36" s="179"/>
      <c r="BU36" s="184">
        <v>1.0</v>
      </c>
      <c r="BV36" s="179"/>
      <c r="BW36" s="186"/>
      <c r="BX36" s="186"/>
      <c r="BY36" s="186"/>
      <c r="BZ36" s="186"/>
      <c r="CA36" s="186"/>
      <c r="CB36" s="200">
        <v>1.0</v>
      </c>
      <c r="CC36" s="186"/>
      <c r="CD36" s="186"/>
      <c r="CE36" s="172">
        <f t="shared" si="16"/>
        <v>3</v>
      </c>
      <c r="CF36" s="173">
        <f t="shared" si="17"/>
        <v>60</v>
      </c>
      <c r="CG36" s="199"/>
      <c r="CH36" s="186"/>
      <c r="CI36" s="186"/>
      <c r="CJ36" s="186"/>
      <c r="CK36" s="186"/>
      <c r="CL36" s="186"/>
      <c r="CM36" s="186"/>
      <c r="CN36" s="186"/>
      <c r="CO36" s="186"/>
      <c r="CP36" s="186"/>
      <c r="CQ36" s="186"/>
      <c r="CR36" s="186"/>
      <c r="CS36" s="175">
        <f t="shared" si="18"/>
        <v>0</v>
      </c>
      <c r="CT36" s="158">
        <f t="shared" si="19"/>
        <v>0</v>
      </c>
    </row>
    <row r="37" ht="15.75" customHeight="1">
      <c r="A37" s="50">
        <v>28.0</v>
      </c>
      <c r="B37" s="111" t="s">
        <v>106</v>
      </c>
      <c r="C37" s="112" t="s">
        <v>107</v>
      </c>
      <c r="D37" s="91">
        <f t="shared" si="6"/>
        <v>8</v>
      </c>
      <c r="E37" s="113">
        <f t="shared" si="7"/>
        <v>61.53846154</v>
      </c>
      <c r="F37" s="114" t="str">
        <f t="shared" si="8"/>
        <v>  </v>
      </c>
      <c r="G37" s="202" t="str">
        <f t="shared" si="9"/>
        <v>  </v>
      </c>
      <c r="H37" s="165"/>
      <c r="I37" s="150"/>
      <c r="J37" s="150"/>
      <c r="K37" s="150"/>
      <c r="L37" s="150"/>
      <c r="M37" s="118">
        <f t="shared" si="10"/>
        <v>0</v>
      </c>
      <c r="N37" s="119" t="str">
        <f t="shared" si="11"/>
        <v>#DIV/0!</v>
      </c>
      <c r="O37" s="176"/>
      <c r="P37" s="179"/>
      <c r="Q37" s="179"/>
      <c r="R37" s="179"/>
      <c r="S37" s="179"/>
      <c r="T37" s="179"/>
      <c r="U37" s="179"/>
      <c r="V37" s="179"/>
      <c r="W37" s="179"/>
      <c r="X37" s="179"/>
      <c r="Y37" s="179"/>
      <c r="Z37" s="179"/>
      <c r="AA37" s="179"/>
      <c r="AB37" s="179"/>
      <c r="AC37" s="179"/>
      <c r="AD37" s="179"/>
      <c r="AE37" s="179"/>
      <c r="AF37" s="176"/>
      <c r="AG37" s="176"/>
      <c r="AH37" s="176"/>
      <c r="AI37" s="176"/>
      <c r="AJ37" s="168">
        <f t="shared" si="12"/>
        <v>0</v>
      </c>
      <c r="AK37" s="169">
        <f t="shared" si="13"/>
        <v>0</v>
      </c>
      <c r="AL37" s="279">
        <v>1.0</v>
      </c>
      <c r="AM37" s="179"/>
      <c r="AN37" s="179"/>
      <c r="AO37" s="179"/>
      <c r="AP37" s="179"/>
      <c r="AQ37" s="184">
        <v>1.0</v>
      </c>
      <c r="AR37" s="179"/>
      <c r="AS37" s="179"/>
      <c r="AT37" s="179"/>
      <c r="AU37" s="179"/>
      <c r="AV37" s="184">
        <v>1.0</v>
      </c>
      <c r="AW37" s="179"/>
      <c r="AX37" s="179"/>
      <c r="AY37" s="184">
        <v>1.0</v>
      </c>
      <c r="AZ37" s="179"/>
      <c r="BA37" s="179"/>
      <c r="BB37" s="179"/>
      <c r="BC37" s="179"/>
      <c r="BD37" s="184">
        <v>1.0</v>
      </c>
      <c r="BE37" s="179"/>
      <c r="BF37" s="179"/>
      <c r="BG37" s="118">
        <f t="shared" si="14"/>
        <v>5</v>
      </c>
      <c r="BH37" s="122">
        <f t="shared" si="15"/>
        <v>100</v>
      </c>
      <c r="BI37" s="176"/>
      <c r="BJ37" s="179"/>
      <c r="BK37" s="179"/>
      <c r="BL37" s="179"/>
      <c r="BM37" s="179"/>
      <c r="BN37" s="179"/>
      <c r="BO37" s="179"/>
      <c r="BP37" s="184">
        <v>1.0</v>
      </c>
      <c r="BQ37" s="179"/>
      <c r="BR37" s="179"/>
      <c r="BS37" s="179"/>
      <c r="BT37" s="179"/>
      <c r="BU37" s="179"/>
      <c r="BV37" s="179"/>
      <c r="BW37" s="200">
        <v>1.0</v>
      </c>
      <c r="BX37" s="186"/>
      <c r="BY37" s="186"/>
      <c r="BZ37" s="186"/>
      <c r="CA37" s="186"/>
      <c r="CB37" s="200">
        <v>1.0</v>
      </c>
      <c r="CC37" s="186"/>
      <c r="CD37" s="186"/>
      <c r="CE37" s="172">
        <f t="shared" si="16"/>
        <v>3</v>
      </c>
      <c r="CF37" s="173">
        <f t="shared" si="17"/>
        <v>60</v>
      </c>
      <c r="CG37" s="199"/>
      <c r="CH37" s="186"/>
      <c r="CI37" s="186"/>
      <c r="CJ37" s="186"/>
      <c r="CK37" s="186"/>
      <c r="CL37" s="186"/>
      <c r="CM37" s="186"/>
      <c r="CN37" s="186"/>
      <c r="CO37" s="186"/>
      <c r="CP37" s="186"/>
      <c r="CQ37" s="186"/>
      <c r="CR37" s="186"/>
      <c r="CS37" s="175">
        <f t="shared" si="18"/>
        <v>0</v>
      </c>
      <c r="CT37" s="158">
        <f t="shared" si="19"/>
        <v>0</v>
      </c>
    </row>
    <row r="38" ht="15.75" customHeight="1">
      <c r="A38" s="131">
        <v>29.0</v>
      </c>
      <c r="B38" s="111" t="s">
        <v>108</v>
      </c>
      <c r="C38" s="112" t="s">
        <v>109</v>
      </c>
      <c r="D38" s="91">
        <f t="shared" si="6"/>
        <v>4</v>
      </c>
      <c r="E38" s="113">
        <f t="shared" si="7"/>
        <v>30.76923077</v>
      </c>
      <c r="F38" s="114">
        <f t="shared" si="8"/>
        <v>30.76923077</v>
      </c>
      <c r="G38" s="164" t="str">
        <f t="shared" si="9"/>
        <v>  </v>
      </c>
      <c r="H38" s="165"/>
      <c r="I38" s="150"/>
      <c r="J38" s="150"/>
      <c r="K38" s="150"/>
      <c r="L38" s="150"/>
      <c r="M38" s="118">
        <f t="shared" si="10"/>
        <v>0</v>
      </c>
      <c r="N38" s="119" t="str">
        <f t="shared" si="11"/>
        <v>#DIV/0!</v>
      </c>
      <c r="O38" s="176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  <c r="AC38" s="179"/>
      <c r="AD38" s="179"/>
      <c r="AE38" s="179"/>
      <c r="AF38" s="176"/>
      <c r="AG38" s="176"/>
      <c r="AH38" s="176"/>
      <c r="AI38" s="176"/>
      <c r="AJ38" s="168">
        <f t="shared" si="12"/>
        <v>0</v>
      </c>
      <c r="AK38" s="169">
        <f t="shared" si="13"/>
        <v>0</v>
      </c>
      <c r="AL38" s="183"/>
      <c r="AM38" s="179"/>
      <c r="AN38" s="179"/>
      <c r="AO38" s="179"/>
      <c r="AP38" s="179"/>
      <c r="AQ38" s="179"/>
      <c r="AR38" s="179"/>
      <c r="AS38" s="179"/>
      <c r="AT38" s="179"/>
      <c r="AU38" s="179"/>
      <c r="AV38" s="179"/>
      <c r="AW38" s="179"/>
      <c r="AX38" s="179"/>
      <c r="AY38" s="184">
        <v>1.0</v>
      </c>
      <c r="AZ38" s="179"/>
      <c r="BA38" s="179"/>
      <c r="BB38" s="179"/>
      <c r="BC38" s="179"/>
      <c r="BD38" s="179"/>
      <c r="BE38" s="179"/>
      <c r="BF38" s="179"/>
      <c r="BG38" s="118">
        <f t="shared" si="14"/>
        <v>1</v>
      </c>
      <c r="BH38" s="122">
        <f t="shared" si="15"/>
        <v>20</v>
      </c>
      <c r="BI38" s="176"/>
      <c r="BJ38" s="179"/>
      <c r="BK38" s="179"/>
      <c r="BL38" s="179"/>
      <c r="BM38" s="179"/>
      <c r="BN38" s="179"/>
      <c r="BO38" s="179"/>
      <c r="BP38" s="179"/>
      <c r="BQ38" s="179"/>
      <c r="BR38" s="179"/>
      <c r="BS38" s="179"/>
      <c r="BT38" s="179"/>
      <c r="BU38" s="184">
        <v>1.0</v>
      </c>
      <c r="BV38" s="179"/>
      <c r="BW38" s="200">
        <v>1.0</v>
      </c>
      <c r="BX38" s="186"/>
      <c r="BY38" s="186"/>
      <c r="BZ38" s="186"/>
      <c r="CA38" s="186"/>
      <c r="CB38" s="200">
        <v>1.0</v>
      </c>
      <c r="CC38" s="186"/>
      <c r="CD38" s="186"/>
      <c r="CE38" s="172">
        <f t="shared" si="16"/>
        <v>3</v>
      </c>
      <c r="CF38" s="173">
        <f t="shared" si="17"/>
        <v>60</v>
      </c>
      <c r="CG38" s="199"/>
      <c r="CH38" s="186"/>
      <c r="CI38" s="186"/>
      <c r="CJ38" s="186"/>
      <c r="CK38" s="186"/>
      <c r="CL38" s="186"/>
      <c r="CM38" s="186"/>
      <c r="CN38" s="186"/>
      <c r="CO38" s="186"/>
      <c r="CP38" s="186"/>
      <c r="CQ38" s="186"/>
      <c r="CR38" s="186"/>
      <c r="CS38" s="175">
        <f t="shared" si="18"/>
        <v>0</v>
      </c>
      <c r="CT38" s="158">
        <f t="shared" si="19"/>
        <v>0</v>
      </c>
    </row>
    <row r="39" ht="15.75" customHeight="1">
      <c r="A39" s="146">
        <v>30.0</v>
      </c>
      <c r="B39" s="111" t="s">
        <v>110</v>
      </c>
      <c r="C39" s="112" t="s">
        <v>111</v>
      </c>
      <c r="D39" s="91">
        <f t="shared" si="6"/>
        <v>5</v>
      </c>
      <c r="E39" s="113">
        <f t="shared" si="7"/>
        <v>38.46153846</v>
      </c>
      <c r="F39" s="114">
        <f t="shared" si="8"/>
        <v>38.46153846</v>
      </c>
      <c r="G39" s="164" t="str">
        <f t="shared" si="9"/>
        <v>  </v>
      </c>
      <c r="H39" s="165"/>
      <c r="I39" s="150"/>
      <c r="J39" s="150"/>
      <c r="K39" s="150"/>
      <c r="L39" s="150"/>
      <c r="M39" s="118">
        <f t="shared" si="10"/>
        <v>0</v>
      </c>
      <c r="N39" s="119" t="str">
        <f t="shared" si="11"/>
        <v>#DIV/0!</v>
      </c>
      <c r="O39" s="176"/>
      <c r="P39" s="179"/>
      <c r="Q39" s="179"/>
      <c r="R39" s="179"/>
      <c r="S39" s="179"/>
      <c r="T39" s="179"/>
      <c r="U39" s="179"/>
      <c r="V39" s="179"/>
      <c r="W39" s="179"/>
      <c r="X39" s="179"/>
      <c r="Y39" s="179"/>
      <c r="Z39" s="179"/>
      <c r="AA39" s="179"/>
      <c r="AB39" s="179"/>
      <c r="AC39" s="179"/>
      <c r="AD39" s="179"/>
      <c r="AE39" s="179"/>
      <c r="AF39" s="176"/>
      <c r="AG39" s="176"/>
      <c r="AH39" s="176"/>
      <c r="AI39" s="176"/>
      <c r="AJ39" s="168">
        <f t="shared" si="12"/>
        <v>0</v>
      </c>
      <c r="AK39" s="169">
        <f t="shared" si="13"/>
        <v>0</v>
      </c>
      <c r="AL39" s="183"/>
      <c r="AM39" s="179"/>
      <c r="AN39" s="179"/>
      <c r="AO39" s="179"/>
      <c r="AP39" s="179"/>
      <c r="AQ39" s="179"/>
      <c r="AR39" s="179"/>
      <c r="AS39" s="179"/>
      <c r="AT39" s="179"/>
      <c r="AU39" s="179"/>
      <c r="AV39" s="179"/>
      <c r="AW39" s="179"/>
      <c r="AX39" s="179"/>
      <c r="AY39" s="184">
        <v>1.0</v>
      </c>
      <c r="AZ39" s="179"/>
      <c r="BA39" s="179"/>
      <c r="BB39" s="179"/>
      <c r="BC39" s="179"/>
      <c r="BD39" s="184">
        <v>1.0</v>
      </c>
      <c r="BE39" s="179"/>
      <c r="BF39" s="179"/>
      <c r="BG39" s="118">
        <f t="shared" si="14"/>
        <v>2</v>
      </c>
      <c r="BH39" s="122">
        <f t="shared" si="15"/>
        <v>40</v>
      </c>
      <c r="BI39" s="176"/>
      <c r="BJ39" s="179"/>
      <c r="BK39" s="179"/>
      <c r="BL39" s="179"/>
      <c r="BM39" s="179"/>
      <c r="BN39" s="179"/>
      <c r="BO39" s="179"/>
      <c r="BP39" s="184">
        <v>1.0</v>
      </c>
      <c r="BQ39" s="179"/>
      <c r="BR39" s="179"/>
      <c r="BS39" s="179"/>
      <c r="BT39" s="179"/>
      <c r="BU39" s="184">
        <v>1.0</v>
      </c>
      <c r="BV39" s="179"/>
      <c r="BW39" s="186"/>
      <c r="BX39" s="186"/>
      <c r="BY39" s="186"/>
      <c r="BZ39" s="186"/>
      <c r="CA39" s="186"/>
      <c r="CB39" s="200">
        <v>1.0</v>
      </c>
      <c r="CC39" s="186"/>
      <c r="CD39" s="186"/>
      <c r="CE39" s="172">
        <f t="shared" si="16"/>
        <v>3</v>
      </c>
      <c r="CF39" s="173">
        <f t="shared" si="17"/>
        <v>60</v>
      </c>
      <c r="CG39" s="199"/>
      <c r="CH39" s="186"/>
      <c r="CI39" s="186"/>
      <c r="CJ39" s="186"/>
      <c r="CK39" s="186"/>
      <c r="CL39" s="186"/>
      <c r="CM39" s="186"/>
      <c r="CN39" s="186"/>
      <c r="CO39" s="186"/>
      <c r="CP39" s="186"/>
      <c r="CQ39" s="186"/>
      <c r="CR39" s="186"/>
      <c r="CS39" s="175">
        <f t="shared" si="18"/>
        <v>0</v>
      </c>
      <c r="CT39" s="158">
        <f t="shared" si="19"/>
        <v>0</v>
      </c>
    </row>
    <row r="40" ht="15.75" customHeight="1">
      <c r="A40" s="50">
        <v>31.0</v>
      </c>
      <c r="B40" s="111" t="s">
        <v>112</v>
      </c>
      <c r="C40" s="112" t="s">
        <v>113</v>
      </c>
      <c r="D40" s="91">
        <f t="shared" si="6"/>
        <v>9</v>
      </c>
      <c r="E40" s="113">
        <f t="shared" si="7"/>
        <v>69.23076923</v>
      </c>
      <c r="F40" s="114" t="str">
        <f t="shared" si="8"/>
        <v>  </v>
      </c>
      <c r="G40" s="164" t="str">
        <f t="shared" si="9"/>
        <v>  </v>
      </c>
      <c r="H40" s="165"/>
      <c r="I40" s="116"/>
      <c r="J40" s="116"/>
      <c r="K40" s="116"/>
      <c r="L40" s="116"/>
      <c r="M40" s="118">
        <f t="shared" si="10"/>
        <v>0</v>
      </c>
      <c r="N40" s="119" t="str">
        <f t="shared" si="11"/>
        <v>#DIV/0!</v>
      </c>
      <c r="O40" s="206"/>
      <c r="P40" s="207"/>
      <c r="Q40" s="207"/>
      <c r="R40" s="207"/>
      <c r="S40" s="207"/>
      <c r="T40" s="207"/>
      <c r="U40" s="207"/>
      <c r="V40" s="207"/>
      <c r="W40" s="234"/>
      <c r="X40" s="207"/>
      <c r="Y40" s="207"/>
      <c r="Z40" s="234">
        <v>1.0</v>
      </c>
      <c r="AA40" s="207"/>
      <c r="AB40" s="207"/>
      <c r="AC40" s="207"/>
      <c r="AD40" s="207"/>
      <c r="AE40" s="207"/>
      <c r="AF40" s="206"/>
      <c r="AG40" s="206"/>
      <c r="AH40" s="206"/>
      <c r="AI40" s="206"/>
      <c r="AJ40" s="168">
        <f t="shared" si="12"/>
        <v>1</v>
      </c>
      <c r="AK40" s="169">
        <f t="shared" si="13"/>
        <v>50</v>
      </c>
      <c r="AL40" s="280">
        <v>1.0</v>
      </c>
      <c r="AM40" s="207"/>
      <c r="AN40" s="207"/>
      <c r="AO40" s="207"/>
      <c r="AP40" s="207"/>
      <c r="AQ40" s="207"/>
      <c r="AR40" s="207"/>
      <c r="AS40" s="207"/>
      <c r="AT40" s="207"/>
      <c r="AU40" s="207"/>
      <c r="AV40" s="234">
        <v>1.0</v>
      </c>
      <c r="AW40" s="207"/>
      <c r="AX40" s="207"/>
      <c r="AY40" s="234">
        <v>1.0</v>
      </c>
      <c r="AZ40" s="207"/>
      <c r="BA40" s="207"/>
      <c r="BB40" s="207"/>
      <c r="BC40" s="207"/>
      <c r="BD40" s="207"/>
      <c r="BE40" s="207"/>
      <c r="BF40" s="207"/>
      <c r="BG40" s="118">
        <f t="shared" si="14"/>
        <v>3</v>
      </c>
      <c r="BH40" s="122">
        <f t="shared" si="15"/>
        <v>60</v>
      </c>
      <c r="BI40" s="206"/>
      <c r="BJ40" s="207"/>
      <c r="BK40" s="234">
        <v>1.0</v>
      </c>
      <c r="BL40" s="207"/>
      <c r="BM40" s="207"/>
      <c r="BN40" s="207"/>
      <c r="BO40" s="207"/>
      <c r="BP40" s="234">
        <v>1.0</v>
      </c>
      <c r="BQ40" s="207"/>
      <c r="BR40" s="207"/>
      <c r="BS40" s="207"/>
      <c r="BT40" s="207"/>
      <c r="BU40" s="234">
        <v>1.0</v>
      </c>
      <c r="BV40" s="207"/>
      <c r="BW40" s="200">
        <v>1.0</v>
      </c>
      <c r="BX40" s="186"/>
      <c r="BY40" s="186"/>
      <c r="BZ40" s="186"/>
      <c r="CA40" s="186"/>
      <c r="CB40" s="200">
        <v>1.0</v>
      </c>
      <c r="CC40" s="186"/>
      <c r="CD40" s="186"/>
      <c r="CE40" s="172">
        <f t="shared" si="16"/>
        <v>5</v>
      </c>
      <c r="CF40" s="173">
        <f t="shared" si="17"/>
        <v>100</v>
      </c>
      <c r="CG40" s="199"/>
      <c r="CH40" s="186"/>
      <c r="CI40" s="186"/>
      <c r="CJ40" s="186"/>
      <c r="CK40" s="186"/>
      <c r="CL40" s="186"/>
      <c r="CM40" s="186"/>
      <c r="CN40" s="186"/>
      <c r="CO40" s="186"/>
      <c r="CP40" s="186"/>
      <c r="CQ40" s="186"/>
      <c r="CR40" s="186"/>
      <c r="CS40" s="175">
        <f t="shared" si="18"/>
        <v>0</v>
      </c>
      <c r="CT40" s="158">
        <f t="shared" si="19"/>
        <v>0</v>
      </c>
    </row>
    <row r="41" ht="15.75" customHeight="1">
      <c r="A41" s="131">
        <v>32.0</v>
      </c>
      <c r="B41" s="111" t="s">
        <v>114</v>
      </c>
      <c r="C41" s="112" t="s">
        <v>115</v>
      </c>
      <c r="D41" s="91">
        <f t="shared" si="6"/>
        <v>6</v>
      </c>
      <c r="E41" s="113">
        <f t="shared" si="7"/>
        <v>46.15384615</v>
      </c>
      <c r="F41" s="114">
        <f t="shared" si="8"/>
        <v>46.15384615</v>
      </c>
      <c r="G41" s="164" t="str">
        <f t="shared" si="9"/>
        <v>  </v>
      </c>
      <c r="H41" s="165"/>
      <c r="I41" s="116"/>
      <c r="J41" s="116"/>
      <c r="K41" s="116"/>
      <c r="L41" s="116"/>
      <c r="M41" s="118">
        <f t="shared" si="10"/>
        <v>0</v>
      </c>
      <c r="N41" s="119" t="str">
        <f t="shared" si="11"/>
        <v>#DIV/0!</v>
      </c>
      <c r="O41" s="176"/>
      <c r="P41" s="179"/>
      <c r="Q41" s="179"/>
      <c r="R41" s="179"/>
      <c r="S41" s="179"/>
      <c r="T41" s="179"/>
      <c r="U41" s="179"/>
      <c r="V41" s="179"/>
      <c r="W41" s="179"/>
      <c r="X41" s="179"/>
      <c r="Y41" s="179"/>
      <c r="Z41" s="179"/>
      <c r="AA41" s="179"/>
      <c r="AB41" s="179"/>
      <c r="AC41" s="179"/>
      <c r="AD41" s="179"/>
      <c r="AE41" s="179"/>
      <c r="AF41" s="176"/>
      <c r="AG41" s="176"/>
      <c r="AH41" s="176"/>
      <c r="AI41" s="176"/>
      <c r="AJ41" s="168">
        <f t="shared" si="12"/>
        <v>0</v>
      </c>
      <c r="AK41" s="169">
        <f t="shared" si="13"/>
        <v>0</v>
      </c>
      <c r="AL41" s="279">
        <v>1.0</v>
      </c>
      <c r="AM41" s="179"/>
      <c r="AN41" s="179"/>
      <c r="AO41" s="179"/>
      <c r="AP41" s="179"/>
      <c r="AQ41" s="184">
        <v>1.0</v>
      </c>
      <c r="AR41" s="179"/>
      <c r="AS41" s="179"/>
      <c r="AT41" s="179"/>
      <c r="AU41" s="179"/>
      <c r="AV41" s="179"/>
      <c r="AW41" s="179"/>
      <c r="AX41" s="179"/>
      <c r="AY41" s="184">
        <v>1.0</v>
      </c>
      <c r="AZ41" s="179"/>
      <c r="BA41" s="179"/>
      <c r="BB41" s="179"/>
      <c r="BC41" s="179"/>
      <c r="BD41" s="179"/>
      <c r="BE41" s="179"/>
      <c r="BF41" s="179"/>
      <c r="BG41" s="118">
        <f t="shared" si="14"/>
        <v>3</v>
      </c>
      <c r="BH41" s="122">
        <f t="shared" si="15"/>
        <v>60</v>
      </c>
      <c r="BI41" s="176"/>
      <c r="BJ41" s="179"/>
      <c r="BK41" s="179"/>
      <c r="BL41" s="179"/>
      <c r="BM41" s="179"/>
      <c r="BN41" s="179"/>
      <c r="BO41" s="179"/>
      <c r="BP41" s="184">
        <v>1.0</v>
      </c>
      <c r="BQ41" s="179"/>
      <c r="BR41" s="179"/>
      <c r="BS41" s="179"/>
      <c r="BT41" s="179"/>
      <c r="BU41" s="179"/>
      <c r="BV41" s="179"/>
      <c r="BW41" s="200">
        <v>1.0</v>
      </c>
      <c r="BX41" s="186"/>
      <c r="BY41" s="186"/>
      <c r="BZ41" s="186"/>
      <c r="CA41" s="186"/>
      <c r="CB41" s="200">
        <v>1.0</v>
      </c>
      <c r="CC41" s="186"/>
      <c r="CD41" s="186"/>
      <c r="CE41" s="172">
        <f t="shared" si="16"/>
        <v>3</v>
      </c>
      <c r="CF41" s="173">
        <f t="shared" si="17"/>
        <v>60</v>
      </c>
      <c r="CG41" s="199"/>
      <c r="CH41" s="186"/>
      <c r="CI41" s="186"/>
      <c r="CJ41" s="186"/>
      <c r="CK41" s="186"/>
      <c r="CL41" s="186"/>
      <c r="CM41" s="186"/>
      <c r="CN41" s="186"/>
      <c r="CO41" s="186"/>
      <c r="CP41" s="186"/>
      <c r="CQ41" s="186"/>
      <c r="CR41" s="186"/>
      <c r="CS41" s="175">
        <f t="shared" si="18"/>
        <v>0</v>
      </c>
      <c r="CT41" s="158">
        <f t="shared" si="19"/>
        <v>0</v>
      </c>
    </row>
    <row r="42" ht="15.75" customHeight="1">
      <c r="A42" s="146">
        <v>33.0</v>
      </c>
      <c r="B42" s="111" t="s">
        <v>116</v>
      </c>
      <c r="C42" s="112" t="s">
        <v>117</v>
      </c>
      <c r="D42" s="91">
        <f t="shared" si="6"/>
        <v>2</v>
      </c>
      <c r="E42" s="113">
        <f t="shared" si="7"/>
        <v>15.38461538</v>
      </c>
      <c r="F42" s="114">
        <f t="shared" si="8"/>
        <v>15.38461538</v>
      </c>
      <c r="G42" s="202">
        <f t="shared" si="9"/>
        <v>15.38461538</v>
      </c>
      <c r="H42" s="192"/>
      <c r="I42" s="150"/>
      <c r="J42" s="150"/>
      <c r="K42" s="116"/>
      <c r="L42" s="116"/>
      <c r="M42" s="118">
        <f t="shared" si="10"/>
        <v>0</v>
      </c>
      <c r="N42" s="119" t="str">
        <f t="shared" si="11"/>
        <v>#DIV/0!</v>
      </c>
      <c r="O42" s="176"/>
      <c r="P42" s="179"/>
      <c r="Q42" s="179"/>
      <c r="R42" s="179"/>
      <c r="S42" s="179"/>
      <c r="T42" s="179"/>
      <c r="U42" s="179"/>
      <c r="V42" s="179"/>
      <c r="W42" s="179"/>
      <c r="X42" s="179"/>
      <c r="Y42" s="179"/>
      <c r="Z42" s="179"/>
      <c r="AA42" s="179"/>
      <c r="AB42" s="179"/>
      <c r="AC42" s="179"/>
      <c r="AD42" s="179"/>
      <c r="AE42" s="179"/>
      <c r="AF42" s="176"/>
      <c r="AG42" s="176"/>
      <c r="AH42" s="176"/>
      <c r="AI42" s="176"/>
      <c r="AJ42" s="168">
        <f t="shared" si="12"/>
        <v>0</v>
      </c>
      <c r="AK42" s="169">
        <f t="shared" si="13"/>
        <v>0</v>
      </c>
      <c r="AL42" s="183"/>
      <c r="AM42" s="179"/>
      <c r="AN42" s="179"/>
      <c r="AO42" s="179"/>
      <c r="AP42" s="179"/>
      <c r="AQ42" s="184">
        <v>1.0</v>
      </c>
      <c r="AR42" s="179"/>
      <c r="AS42" s="179"/>
      <c r="AT42" s="179"/>
      <c r="AU42" s="179"/>
      <c r="AV42" s="179"/>
      <c r="AW42" s="179"/>
      <c r="AX42" s="179"/>
      <c r="AY42" s="179"/>
      <c r="AZ42" s="179"/>
      <c r="BA42" s="179"/>
      <c r="BB42" s="179"/>
      <c r="BC42" s="179"/>
      <c r="BD42" s="179"/>
      <c r="BE42" s="179"/>
      <c r="BF42" s="179"/>
      <c r="BG42" s="118">
        <f t="shared" si="14"/>
        <v>1</v>
      </c>
      <c r="BH42" s="122">
        <f t="shared" si="15"/>
        <v>20</v>
      </c>
      <c r="BI42" s="176"/>
      <c r="BJ42" s="179"/>
      <c r="BK42" s="179"/>
      <c r="BL42" s="179"/>
      <c r="BM42" s="179"/>
      <c r="BN42" s="179"/>
      <c r="BO42" s="179"/>
      <c r="BP42" s="179"/>
      <c r="BQ42" s="179"/>
      <c r="BR42" s="179"/>
      <c r="BS42" s="179"/>
      <c r="BT42" s="179"/>
      <c r="BU42" s="179"/>
      <c r="BV42" s="179"/>
      <c r="BW42" s="200">
        <v>1.0</v>
      </c>
      <c r="BX42" s="186"/>
      <c r="BY42" s="186"/>
      <c r="BZ42" s="186"/>
      <c r="CA42" s="186"/>
      <c r="CB42" s="186"/>
      <c r="CC42" s="186"/>
      <c r="CD42" s="186"/>
      <c r="CE42" s="172">
        <f t="shared" si="16"/>
        <v>1</v>
      </c>
      <c r="CF42" s="173">
        <f t="shared" si="17"/>
        <v>20</v>
      </c>
      <c r="CG42" s="199"/>
      <c r="CH42" s="186"/>
      <c r="CI42" s="186"/>
      <c r="CJ42" s="186"/>
      <c r="CK42" s="186"/>
      <c r="CL42" s="186"/>
      <c r="CM42" s="186"/>
      <c r="CN42" s="186"/>
      <c r="CO42" s="186"/>
      <c r="CP42" s="186"/>
      <c r="CQ42" s="186"/>
      <c r="CR42" s="186"/>
      <c r="CS42" s="175">
        <f t="shared" si="18"/>
        <v>0</v>
      </c>
      <c r="CT42" s="158">
        <f t="shared" si="19"/>
        <v>0</v>
      </c>
    </row>
    <row r="43" ht="15.75" customHeight="1">
      <c r="A43" s="50">
        <v>34.0</v>
      </c>
      <c r="B43" s="111" t="s">
        <v>118</v>
      </c>
      <c r="C43" s="112" t="s">
        <v>119</v>
      </c>
      <c r="D43" s="91">
        <f t="shared" si="6"/>
        <v>0</v>
      </c>
      <c r="E43" s="113">
        <f t="shared" si="7"/>
        <v>0</v>
      </c>
      <c r="F43" s="114">
        <f t="shared" si="8"/>
        <v>0</v>
      </c>
      <c r="G43" s="202">
        <f t="shared" si="9"/>
        <v>0</v>
      </c>
      <c r="H43" s="165"/>
      <c r="I43" s="116"/>
      <c r="J43" s="116"/>
      <c r="K43" s="150"/>
      <c r="L43" s="150"/>
      <c r="M43" s="118">
        <f t="shared" si="10"/>
        <v>0</v>
      </c>
      <c r="N43" s="119" t="str">
        <f t="shared" si="11"/>
        <v>#DIV/0!</v>
      </c>
      <c r="O43" s="176"/>
      <c r="P43" s="179"/>
      <c r="Q43" s="179"/>
      <c r="R43" s="179"/>
      <c r="S43" s="179"/>
      <c r="T43" s="179"/>
      <c r="U43" s="179"/>
      <c r="V43" s="179"/>
      <c r="W43" s="179"/>
      <c r="X43" s="179"/>
      <c r="Y43" s="179"/>
      <c r="Z43" s="179"/>
      <c r="AA43" s="179"/>
      <c r="AB43" s="179"/>
      <c r="AC43" s="179"/>
      <c r="AD43" s="179"/>
      <c r="AE43" s="179"/>
      <c r="AF43" s="176"/>
      <c r="AG43" s="176"/>
      <c r="AH43" s="176"/>
      <c r="AI43" s="176"/>
      <c r="AJ43" s="168">
        <f t="shared" si="12"/>
        <v>0</v>
      </c>
      <c r="AK43" s="169">
        <f t="shared" si="13"/>
        <v>0</v>
      </c>
      <c r="AL43" s="183"/>
      <c r="AM43" s="179"/>
      <c r="AN43" s="179"/>
      <c r="AO43" s="179"/>
      <c r="AP43" s="179"/>
      <c r="AQ43" s="179"/>
      <c r="AR43" s="179"/>
      <c r="AS43" s="179"/>
      <c r="AT43" s="179"/>
      <c r="AU43" s="179"/>
      <c r="AV43" s="179"/>
      <c r="AW43" s="179"/>
      <c r="AX43" s="179"/>
      <c r="AY43" s="179"/>
      <c r="AZ43" s="179"/>
      <c r="BA43" s="179"/>
      <c r="BB43" s="179"/>
      <c r="BC43" s="179"/>
      <c r="BD43" s="179"/>
      <c r="BE43" s="179"/>
      <c r="BF43" s="179"/>
      <c r="BG43" s="118">
        <f t="shared" si="14"/>
        <v>0</v>
      </c>
      <c r="BH43" s="122">
        <f t="shared" si="15"/>
        <v>0</v>
      </c>
      <c r="BI43" s="176"/>
      <c r="BJ43" s="179"/>
      <c r="BK43" s="179"/>
      <c r="BL43" s="179"/>
      <c r="BM43" s="179"/>
      <c r="BN43" s="179"/>
      <c r="BO43" s="179"/>
      <c r="BP43" s="179"/>
      <c r="BQ43" s="179"/>
      <c r="BR43" s="179"/>
      <c r="BS43" s="179"/>
      <c r="BT43" s="179"/>
      <c r="BU43" s="179"/>
      <c r="BV43" s="179"/>
      <c r="BW43" s="186"/>
      <c r="BX43" s="186"/>
      <c r="BY43" s="186"/>
      <c r="BZ43" s="186"/>
      <c r="CA43" s="186"/>
      <c r="CB43" s="186"/>
      <c r="CC43" s="186"/>
      <c r="CD43" s="186"/>
      <c r="CE43" s="172">
        <f t="shared" si="16"/>
        <v>0</v>
      </c>
      <c r="CF43" s="173">
        <f t="shared" si="17"/>
        <v>0</v>
      </c>
      <c r="CG43" s="199"/>
      <c r="CH43" s="186"/>
      <c r="CI43" s="186"/>
      <c r="CJ43" s="186"/>
      <c r="CK43" s="186"/>
      <c r="CL43" s="186"/>
      <c r="CM43" s="186"/>
      <c r="CN43" s="186"/>
      <c r="CO43" s="186"/>
      <c r="CP43" s="186"/>
      <c r="CQ43" s="186"/>
      <c r="CR43" s="186"/>
      <c r="CS43" s="175">
        <f t="shared" si="18"/>
        <v>0</v>
      </c>
      <c r="CT43" s="158">
        <f t="shared" si="19"/>
        <v>0</v>
      </c>
    </row>
    <row r="44" ht="15.75" customHeight="1">
      <c r="A44" s="131">
        <v>35.0</v>
      </c>
      <c r="B44" s="111" t="s">
        <v>120</v>
      </c>
      <c r="C44" s="112" t="s">
        <v>121</v>
      </c>
      <c r="D44" s="91">
        <f t="shared" si="6"/>
        <v>2</v>
      </c>
      <c r="E44" s="113">
        <f t="shared" si="7"/>
        <v>15.38461538</v>
      </c>
      <c r="F44" s="114">
        <f t="shared" si="8"/>
        <v>15.38461538</v>
      </c>
      <c r="G44" s="202">
        <f t="shared" si="9"/>
        <v>15.38461538</v>
      </c>
      <c r="H44" s="165"/>
      <c r="I44" s="116"/>
      <c r="J44" s="43"/>
      <c r="K44" s="116"/>
      <c r="L44" s="116"/>
      <c r="M44" s="118">
        <f t="shared" si="10"/>
        <v>0</v>
      </c>
      <c r="N44" s="119" t="str">
        <f t="shared" si="11"/>
        <v>#DIV/0!</v>
      </c>
      <c r="O44" s="195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  <c r="AA44" s="186"/>
      <c r="AB44" s="186"/>
      <c r="AC44" s="186"/>
      <c r="AD44" s="186"/>
      <c r="AE44" s="186"/>
      <c r="AF44" s="195"/>
      <c r="AG44" s="195"/>
      <c r="AH44" s="195"/>
      <c r="AI44" s="195"/>
      <c r="AJ44" s="168">
        <f t="shared" si="12"/>
        <v>0</v>
      </c>
      <c r="AK44" s="169">
        <f t="shared" si="13"/>
        <v>0</v>
      </c>
      <c r="AL44" s="199"/>
      <c r="AM44" s="186"/>
      <c r="AN44" s="186"/>
      <c r="AO44" s="186"/>
      <c r="AP44" s="186"/>
      <c r="AQ44" s="186"/>
      <c r="AR44" s="186"/>
      <c r="AS44" s="186"/>
      <c r="AT44" s="186"/>
      <c r="AU44" s="186"/>
      <c r="AV44" s="186"/>
      <c r="AW44" s="186"/>
      <c r="AX44" s="186"/>
      <c r="AY44" s="186"/>
      <c r="AZ44" s="186"/>
      <c r="BA44" s="186"/>
      <c r="BB44" s="186"/>
      <c r="BC44" s="186"/>
      <c r="BD44" s="186"/>
      <c r="BE44" s="186"/>
      <c r="BF44" s="186"/>
      <c r="BG44" s="118">
        <f t="shared" si="14"/>
        <v>0</v>
      </c>
      <c r="BH44" s="122">
        <f t="shared" si="15"/>
        <v>0</v>
      </c>
      <c r="BI44" s="195"/>
      <c r="BJ44" s="186"/>
      <c r="BK44" s="186"/>
      <c r="BL44" s="186"/>
      <c r="BM44" s="186"/>
      <c r="BN44" s="186"/>
      <c r="BO44" s="186"/>
      <c r="BP44" s="200">
        <v>1.0</v>
      </c>
      <c r="BQ44" s="186"/>
      <c r="BR44" s="186"/>
      <c r="BS44" s="186"/>
      <c r="BT44" s="186"/>
      <c r="BU44" s="186"/>
      <c r="BV44" s="186"/>
      <c r="BW44" s="186"/>
      <c r="BX44" s="186"/>
      <c r="BY44" s="186"/>
      <c r="BZ44" s="186"/>
      <c r="CA44" s="186"/>
      <c r="CB44" s="200">
        <v>1.0</v>
      </c>
      <c r="CC44" s="186"/>
      <c r="CD44" s="186"/>
      <c r="CE44" s="172">
        <f t="shared" si="16"/>
        <v>2</v>
      </c>
      <c r="CF44" s="173">
        <f t="shared" si="17"/>
        <v>40</v>
      </c>
      <c r="CG44" s="199"/>
      <c r="CH44" s="186"/>
      <c r="CI44" s="186"/>
      <c r="CJ44" s="186"/>
      <c r="CK44" s="186"/>
      <c r="CL44" s="186"/>
      <c r="CM44" s="186"/>
      <c r="CN44" s="186"/>
      <c r="CO44" s="186"/>
      <c r="CP44" s="186"/>
      <c r="CQ44" s="186"/>
      <c r="CR44" s="186"/>
      <c r="CS44" s="175">
        <f t="shared" si="18"/>
        <v>0</v>
      </c>
      <c r="CT44" s="158">
        <f t="shared" si="19"/>
        <v>0</v>
      </c>
    </row>
    <row r="45" ht="15.75" customHeight="1">
      <c r="A45" s="146">
        <v>36.0</v>
      </c>
      <c r="B45" s="111" t="s">
        <v>122</v>
      </c>
      <c r="C45" s="112" t="s">
        <v>123</v>
      </c>
      <c r="D45" s="91">
        <f t="shared" si="6"/>
        <v>4</v>
      </c>
      <c r="E45" s="113">
        <f t="shared" si="7"/>
        <v>30.76923077</v>
      </c>
      <c r="F45" s="114">
        <f t="shared" si="8"/>
        <v>30.76923077</v>
      </c>
      <c r="G45" s="164" t="str">
        <f t="shared" si="9"/>
        <v>  </v>
      </c>
      <c r="H45" s="165"/>
      <c r="I45" s="116"/>
      <c r="J45" s="116"/>
      <c r="K45" s="116"/>
      <c r="L45" s="116"/>
      <c r="M45" s="118">
        <f t="shared" si="10"/>
        <v>0</v>
      </c>
      <c r="N45" s="119" t="str">
        <f t="shared" si="11"/>
        <v>#DIV/0!</v>
      </c>
      <c r="O45" s="195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  <c r="AA45" s="186"/>
      <c r="AB45" s="186"/>
      <c r="AC45" s="186"/>
      <c r="AD45" s="186"/>
      <c r="AE45" s="186"/>
      <c r="AF45" s="195"/>
      <c r="AG45" s="195"/>
      <c r="AH45" s="195"/>
      <c r="AI45" s="195"/>
      <c r="AJ45" s="168">
        <f t="shared" si="12"/>
        <v>0</v>
      </c>
      <c r="AK45" s="169">
        <f t="shared" si="13"/>
        <v>0</v>
      </c>
      <c r="AL45" s="199"/>
      <c r="AM45" s="186"/>
      <c r="AN45" s="186"/>
      <c r="AO45" s="186"/>
      <c r="AP45" s="186"/>
      <c r="AQ45" s="186"/>
      <c r="AR45" s="186"/>
      <c r="AS45" s="186"/>
      <c r="AT45" s="186"/>
      <c r="AU45" s="186"/>
      <c r="AV45" s="186"/>
      <c r="AW45" s="186"/>
      <c r="AX45" s="186"/>
      <c r="AY45" s="186"/>
      <c r="AZ45" s="186"/>
      <c r="BA45" s="186"/>
      <c r="BB45" s="186"/>
      <c r="BC45" s="186"/>
      <c r="BD45" s="186"/>
      <c r="BE45" s="186"/>
      <c r="BF45" s="186"/>
      <c r="BG45" s="118">
        <f t="shared" si="14"/>
        <v>0</v>
      </c>
      <c r="BH45" s="122">
        <f t="shared" si="15"/>
        <v>0</v>
      </c>
      <c r="BI45" s="195"/>
      <c r="BJ45" s="186"/>
      <c r="BK45" s="200">
        <v>1.0</v>
      </c>
      <c r="BL45" s="186"/>
      <c r="BM45" s="186"/>
      <c r="BN45" s="186"/>
      <c r="BO45" s="186"/>
      <c r="BP45" s="200">
        <v>1.0</v>
      </c>
      <c r="BQ45" s="186"/>
      <c r="BR45" s="186"/>
      <c r="BS45" s="186"/>
      <c r="BT45" s="186"/>
      <c r="BU45" s="200">
        <v>1.0</v>
      </c>
      <c r="BV45" s="186"/>
      <c r="BW45" s="186"/>
      <c r="BX45" s="186"/>
      <c r="BY45" s="186"/>
      <c r="BZ45" s="186"/>
      <c r="CA45" s="186"/>
      <c r="CB45" s="200">
        <v>1.0</v>
      </c>
      <c r="CC45" s="186"/>
      <c r="CD45" s="186"/>
      <c r="CE45" s="172">
        <f t="shared" si="16"/>
        <v>4</v>
      </c>
      <c r="CF45" s="173">
        <f t="shared" si="17"/>
        <v>80</v>
      </c>
      <c r="CG45" s="199"/>
      <c r="CH45" s="186"/>
      <c r="CI45" s="186"/>
      <c r="CJ45" s="186"/>
      <c r="CK45" s="186"/>
      <c r="CL45" s="186"/>
      <c r="CM45" s="186"/>
      <c r="CN45" s="186"/>
      <c r="CO45" s="186"/>
      <c r="CP45" s="186"/>
      <c r="CQ45" s="186"/>
      <c r="CR45" s="186"/>
      <c r="CS45" s="175">
        <f t="shared" si="18"/>
        <v>0</v>
      </c>
      <c r="CT45" s="158">
        <f t="shared" si="19"/>
        <v>0</v>
      </c>
    </row>
    <row r="46" ht="15.75" customHeight="1">
      <c r="A46" s="50">
        <v>37.0</v>
      </c>
      <c r="B46" s="111" t="s">
        <v>124</v>
      </c>
      <c r="C46" s="112" t="s">
        <v>125</v>
      </c>
      <c r="D46" s="91">
        <f t="shared" si="6"/>
        <v>2</v>
      </c>
      <c r="E46" s="113">
        <f t="shared" si="7"/>
        <v>15.38461538</v>
      </c>
      <c r="F46" s="114">
        <f t="shared" si="8"/>
        <v>15.38461538</v>
      </c>
      <c r="G46" s="202">
        <f t="shared" si="9"/>
        <v>15.38461538</v>
      </c>
      <c r="H46" s="165"/>
      <c r="I46" s="116"/>
      <c r="J46" s="43"/>
      <c r="K46" s="116"/>
      <c r="L46" s="116"/>
      <c r="M46" s="118">
        <f t="shared" si="10"/>
        <v>0</v>
      </c>
      <c r="N46" s="119" t="str">
        <f t="shared" si="11"/>
        <v>#DIV/0!</v>
      </c>
      <c r="O46" s="176"/>
      <c r="P46" s="179"/>
      <c r="Q46" s="179"/>
      <c r="R46" s="179"/>
      <c r="S46" s="179"/>
      <c r="T46" s="179"/>
      <c r="U46" s="179"/>
      <c r="V46" s="179"/>
      <c r="W46" s="179"/>
      <c r="X46" s="179"/>
      <c r="Y46" s="179"/>
      <c r="Z46" s="179"/>
      <c r="AA46" s="179"/>
      <c r="AB46" s="179"/>
      <c r="AC46" s="179"/>
      <c r="AD46" s="179"/>
      <c r="AE46" s="179"/>
      <c r="AF46" s="176"/>
      <c r="AG46" s="176"/>
      <c r="AH46" s="176"/>
      <c r="AI46" s="176"/>
      <c r="AJ46" s="168">
        <f t="shared" si="12"/>
        <v>0</v>
      </c>
      <c r="AK46" s="169">
        <f t="shared" si="13"/>
        <v>0</v>
      </c>
      <c r="AL46" s="183"/>
      <c r="AM46" s="179"/>
      <c r="AN46" s="179"/>
      <c r="AO46" s="179"/>
      <c r="AP46" s="179"/>
      <c r="AQ46" s="179"/>
      <c r="AR46" s="179"/>
      <c r="AS46" s="179"/>
      <c r="AT46" s="179"/>
      <c r="AU46" s="179"/>
      <c r="AV46" s="179"/>
      <c r="AW46" s="179"/>
      <c r="AX46" s="179"/>
      <c r="AY46" s="179"/>
      <c r="AZ46" s="179"/>
      <c r="BA46" s="179"/>
      <c r="BB46" s="179"/>
      <c r="BC46" s="179"/>
      <c r="BD46" s="179"/>
      <c r="BE46" s="179"/>
      <c r="BF46" s="179"/>
      <c r="BG46" s="118">
        <f t="shared" si="14"/>
        <v>0</v>
      </c>
      <c r="BH46" s="122">
        <f t="shared" si="15"/>
        <v>0</v>
      </c>
      <c r="BI46" s="176"/>
      <c r="BJ46" s="179"/>
      <c r="BK46" s="184">
        <v>1.0</v>
      </c>
      <c r="BL46" s="179"/>
      <c r="BM46" s="179"/>
      <c r="BN46" s="179"/>
      <c r="BO46" s="179"/>
      <c r="BP46" s="179"/>
      <c r="BQ46" s="179"/>
      <c r="BR46" s="179"/>
      <c r="BS46" s="179"/>
      <c r="BT46" s="179"/>
      <c r="BU46" s="179"/>
      <c r="BV46" s="179"/>
      <c r="BW46" s="200">
        <v>1.0</v>
      </c>
      <c r="BX46" s="186"/>
      <c r="BY46" s="186"/>
      <c r="BZ46" s="186"/>
      <c r="CA46" s="186"/>
      <c r="CB46" s="186"/>
      <c r="CC46" s="186"/>
      <c r="CD46" s="186"/>
      <c r="CE46" s="172">
        <f t="shared" si="16"/>
        <v>2</v>
      </c>
      <c r="CF46" s="173">
        <f t="shared" si="17"/>
        <v>40</v>
      </c>
      <c r="CG46" s="199"/>
      <c r="CH46" s="186"/>
      <c r="CI46" s="186"/>
      <c r="CJ46" s="186"/>
      <c r="CK46" s="186"/>
      <c r="CL46" s="186"/>
      <c r="CM46" s="186"/>
      <c r="CN46" s="186"/>
      <c r="CO46" s="186"/>
      <c r="CP46" s="186"/>
      <c r="CQ46" s="186"/>
      <c r="CR46" s="186"/>
      <c r="CS46" s="175">
        <f t="shared" si="18"/>
        <v>0</v>
      </c>
      <c r="CT46" s="158">
        <f t="shared" si="19"/>
        <v>0</v>
      </c>
    </row>
    <row r="47" ht="15.75" customHeight="1">
      <c r="A47" s="131">
        <v>38.0</v>
      </c>
      <c r="B47" s="111" t="s">
        <v>126</v>
      </c>
      <c r="C47" s="112" t="s">
        <v>127</v>
      </c>
      <c r="D47" s="91">
        <f t="shared" si="6"/>
        <v>5</v>
      </c>
      <c r="E47" s="113">
        <f t="shared" si="7"/>
        <v>38.46153846</v>
      </c>
      <c r="F47" s="114">
        <f t="shared" si="8"/>
        <v>38.46153846</v>
      </c>
      <c r="G47" s="164" t="str">
        <f t="shared" si="9"/>
        <v>  </v>
      </c>
      <c r="H47" s="165"/>
      <c r="I47" s="116"/>
      <c r="J47" s="43"/>
      <c r="K47" s="116"/>
      <c r="L47" s="116"/>
      <c r="M47" s="118">
        <f t="shared" si="10"/>
        <v>0</v>
      </c>
      <c r="N47" s="119" t="str">
        <f t="shared" si="11"/>
        <v>#DIV/0!</v>
      </c>
      <c r="O47" s="176"/>
      <c r="P47" s="179"/>
      <c r="Q47" s="179"/>
      <c r="R47" s="179"/>
      <c r="S47" s="179"/>
      <c r="T47" s="179"/>
      <c r="U47" s="179"/>
      <c r="V47" s="179"/>
      <c r="W47" s="179"/>
      <c r="X47" s="179"/>
      <c r="Y47" s="179"/>
      <c r="Z47" s="179"/>
      <c r="AA47" s="179"/>
      <c r="AB47" s="179"/>
      <c r="AC47" s="179"/>
      <c r="AD47" s="179"/>
      <c r="AE47" s="179"/>
      <c r="AF47" s="176"/>
      <c r="AG47" s="176"/>
      <c r="AH47" s="176"/>
      <c r="AI47" s="176"/>
      <c r="AJ47" s="168">
        <f t="shared" si="12"/>
        <v>0</v>
      </c>
      <c r="AK47" s="169">
        <f t="shared" si="13"/>
        <v>0</v>
      </c>
      <c r="AL47" s="183"/>
      <c r="AM47" s="179"/>
      <c r="AN47" s="179"/>
      <c r="AO47" s="179"/>
      <c r="AP47" s="179"/>
      <c r="AQ47" s="179"/>
      <c r="AR47" s="179"/>
      <c r="AS47" s="179"/>
      <c r="AT47" s="179"/>
      <c r="AU47" s="179"/>
      <c r="AV47" s="179"/>
      <c r="AW47" s="179"/>
      <c r="AX47" s="179"/>
      <c r="AY47" s="184">
        <v>1.0</v>
      </c>
      <c r="AZ47" s="179"/>
      <c r="BA47" s="179"/>
      <c r="BB47" s="179"/>
      <c r="BC47" s="179"/>
      <c r="BD47" s="184">
        <v>1.0</v>
      </c>
      <c r="BE47" s="179"/>
      <c r="BF47" s="179"/>
      <c r="BG47" s="118">
        <f t="shared" si="14"/>
        <v>2</v>
      </c>
      <c r="BH47" s="122">
        <f t="shared" si="15"/>
        <v>40</v>
      </c>
      <c r="BI47" s="176"/>
      <c r="BJ47" s="179"/>
      <c r="BK47" s="184">
        <v>1.0</v>
      </c>
      <c r="BL47" s="179"/>
      <c r="BM47" s="179"/>
      <c r="BN47" s="179"/>
      <c r="BO47" s="179"/>
      <c r="BP47" s="184">
        <v>1.0</v>
      </c>
      <c r="BQ47" s="179"/>
      <c r="BR47" s="179"/>
      <c r="BS47" s="179"/>
      <c r="BT47" s="179"/>
      <c r="BU47" s="179"/>
      <c r="BV47" s="179"/>
      <c r="BW47" s="200">
        <v>1.0</v>
      </c>
      <c r="BX47" s="186"/>
      <c r="BY47" s="186"/>
      <c r="BZ47" s="186"/>
      <c r="CA47" s="186"/>
      <c r="CB47" s="186"/>
      <c r="CC47" s="186"/>
      <c r="CD47" s="186"/>
      <c r="CE47" s="172">
        <f t="shared" si="16"/>
        <v>3</v>
      </c>
      <c r="CF47" s="173">
        <f t="shared" si="17"/>
        <v>60</v>
      </c>
      <c r="CG47" s="199"/>
      <c r="CH47" s="186"/>
      <c r="CI47" s="186"/>
      <c r="CJ47" s="186"/>
      <c r="CK47" s="186"/>
      <c r="CL47" s="186"/>
      <c r="CM47" s="186"/>
      <c r="CN47" s="186"/>
      <c r="CO47" s="186"/>
      <c r="CP47" s="186"/>
      <c r="CQ47" s="186"/>
      <c r="CR47" s="186"/>
      <c r="CS47" s="175">
        <f t="shared" si="18"/>
        <v>0</v>
      </c>
      <c r="CT47" s="158">
        <f t="shared" si="19"/>
        <v>0</v>
      </c>
    </row>
    <row r="48" ht="15.75" customHeight="1">
      <c r="A48" s="146">
        <v>39.0</v>
      </c>
      <c r="B48" s="111" t="s">
        <v>128</v>
      </c>
      <c r="C48" s="112" t="s">
        <v>129</v>
      </c>
      <c r="D48" s="91">
        <f t="shared" si="6"/>
        <v>7</v>
      </c>
      <c r="E48" s="113">
        <f t="shared" si="7"/>
        <v>53.84615385</v>
      </c>
      <c r="F48" s="114" t="str">
        <f t="shared" si="8"/>
        <v>  </v>
      </c>
      <c r="G48" s="164" t="str">
        <f t="shared" si="9"/>
        <v>  </v>
      </c>
      <c r="H48" s="165"/>
      <c r="I48" s="116"/>
      <c r="J48" s="43"/>
      <c r="K48" s="116"/>
      <c r="L48" s="116"/>
      <c r="M48" s="118">
        <f t="shared" si="10"/>
        <v>0</v>
      </c>
      <c r="N48" s="119" t="str">
        <f t="shared" si="11"/>
        <v>#DIV/0!</v>
      </c>
      <c r="O48" s="176"/>
      <c r="P48" s="179"/>
      <c r="Q48" s="179"/>
      <c r="R48" s="179"/>
      <c r="S48" s="179"/>
      <c r="T48" s="179"/>
      <c r="U48" s="179"/>
      <c r="V48" s="179"/>
      <c r="W48" s="184"/>
      <c r="X48" s="179"/>
      <c r="Y48" s="179"/>
      <c r="Z48" s="184">
        <v>1.0</v>
      </c>
      <c r="AA48" s="179"/>
      <c r="AB48" s="179"/>
      <c r="AC48" s="179"/>
      <c r="AD48" s="179"/>
      <c r="AE48" s="179"/>
      <c r="AF48" s="176"/>
      <c r="AG48" s="176"/>
      <c r="AH48" s="176"/>
      <c r="AI48" s="176"/>
      <c r="AJ48" s="168">
        <f t="shared" si="12"/>
        <v>1</v>
      </c>
      <c r="AK48" s="169">
        <f t="shared" si="13"/>
        <v>50</v>
      </c>
      <c r="AL48" s="279">
        <v>1.0</v>
      </c>
      <c r="AM48" s="179"/>
      <c r="AN48" s="179"/>
      <c r="AO48" s="179"/>
      <c r="AP48" s="179"/>
      <c r="AQ48" s="184">
        <v>1.0</v>
      </c>
      <c r="AR48" s="179"/>
      <c r="AS48" s="179"/>
      <c r="AT48" s="179"/>
      <c r="AU48" s="179"/>
      <c r="AV48" s="179"/>
      <c r="AW48" s="179"/>
      <c r="AX48" s="179"/>
      <c r="AY48" s="184">
        <v>1.0</v>
      </c>
      <c r="AZ48" s="179"/>
      <c r="BA48" s="179"/>
      <c r="BB48" s="179"/>
      <c r="BC48" s="179"/>
      <c r="BD48" s="179"/>
      <c r="BE48" s="179"/>
      <c r="BF48" s="179"/>
      <c r="BG48" s="118">
        <f t="shared" si="14"/>
        <v>3</v>
      </c>
      <c r="BH48" s="122">
        <f t="shared" si="15"/>
        <v>60</v>
      </c>
      <c r="BI48" s="176"/>
      <c r="BJ48" s="179"/>
      <c r="BK48" s="179"/>
      <c r="BL48" s="179"/>
      <c r="BM48" s="179"/>
      <c r="BN48" s="179"/>
      <c r="BO48" s="179"/>
      <c r="BP48" s="184">
        <v>1.0</v>
      </c>
      <c r="BQ48" s="179"/>
      <c r="BR48" s="179"/>
      <c r="BS48" s="179"/>
      <c r="BT48" s="179"/>
      <c r="BU48" s="184">
        <v>1.0</v>
      </c>
      <c r="BV48" s="179"/>
      <c r="BW48" s="186"/>
      <c r="BX48" s="186"/>
      <c r="BY48" s="186"/>
      <c r="BZ48" s="186"/>
      <c r="CA48" s="186"/>
      <c r="CB48" s="200">
        <v>1.0</v>
      </c>
      <c r="CC48" s="186"/>
      <c r="CD48" s="186"/>
      <c r="CE48" s="172">
        <f t="shared" si="16"/>
        <v>3</v>
      </c>
      <c r="CF48" s="173">
        <f t="shared" si="17"/>
        <v>60</v>
      </c>
      <c r="CG48" s="199"/>
      <c r="CH48" s="186"/>
      <c r="CI48" s="186"/>
      <c r="CJ48" s="186"/>
      <c r="CK48" s="186"/>
      <c r="CL48" s="186"/>
      <c r="CM48" s="186"/>
      <c r="CN48" s="186"/>
      <c r="CO48" s="186"/>
      <c r="CP48" s="186"/>
      <c r="CQ48" s="186"/>
      <c r="CR48" s="186"/>
      <c r="CS48" s="175"/>
      <c r="CT48" s="158"/>
    </row>
    <row r="49" ht="15.75" customHeight="1">
      <c r="A49" s="50">
        <v>40.0</v>
      </c>
      <c r="B49" s="111" t="s">
        <v>130</v>
      </c>
      <c r="C49" s="112" t="s">
        <v>131</v>
      </c>
      <c r="D49" s="91">
        <f t="shared" si="6"/>
        <v>0</v>
      </c>
      <c r="E49" s="113">
        <f t="shared" si="7"/>
        <v>0</v>
      </c>
      <c r="F49" s="114">
        <f t="shared" si="8"/>
        <v>0</v>
      </c>
      <c r="G49" s="202">
        <f t="shared" si="9"/>
        <v>0</v>
      </c>
      <c r="H49" s="165"/>
      <c r="I49" s="116"/>
      <c r="J49" s="43"/>
      <c r="K49" s="116"/>
      <c r="L49" s="116"/>
      <c r="M49" s="118">
        <f t="shared" si="10"/>
        <v>0</v>
      </c>
      <c r="N49" s="119" t="str">
        <f t="shared" si="11"/>
        <v>#DIV/0!</v>
      </c>
      <c r="O49" s="176"/>
      <c r="P49" s="179"/>
      <c r="Q49" s="179"/>
      <c r="R49" s="179"/>
      <c r="S49" s="179"/>
      <c r="T49" s="179"/>
      <c r="U49" s="179"/>
      <c r="V49" s="179"/>
      <c r="W49" s="179"/>
      <c r="X49" s="179"/>
      <c r="Y49" s="179"/>
      <c r="Z49" s="179"/>
      <c r="AA49" s="179"/>
      <c r="AB49" s="179"/>
      <c r="AC49" s="179"/>
      <c r="AD49" s="179"/>
      <c r="AE49" s="179"/>
      <c r="AF49" s="176"/>
      <c r="AG49" s="176"/>
      <c r="AH49" s="176"/>
      <c r="AI49" s="176"/>
      <c r="AJ49" s="168">
        <f t="shared" si="12"/>
        <v>0</v>
      </c>
      <c r="AK49" s="169">
        <f t="shared" si="13"/>
        <v>0</v>
      </c>
      <c r="AL49" s="183"/>
      <c r="AM49" s="179"/>
      <c r="AN49" s="179"/>
      <c r="AO49" s="179"/>
      <c r="AP49" s="179"/>
      <c r="AQ49" s="179"/>
      <c r="AR49" s="179"/>
      <c r="AS49" s="179"/>
      <c r="AT49" s="179"/>
      <c r="AU49" s="179"/>
      <c r="AV49" s="179"/>
      <c r="AW49" s="179"/>
      <c r="AX49" s="179"/>
      <c r="AY49" s="179"/>
      <c r="AZ49" s="179"/>
      <c r="BA49" s="179"/>
      <c r="BB49" s="179"/>
      <c r="BC49" s="179"/>
      <c r="BD49" s="179"/>
      <c r="BE49" s="179"/>
      <c r="BF49" s="179"/>
      <c r="BG49" s="118">
        <f t="shared" si="14"/>
        <v>0</v>
      </c>
      <c r="BH49" s="122">
        <f t="shared" si="15"/>
        <v>0</v>
      </c>
      <c r="BI49" s="176"/>
      <c r="BJ49" s="179"/>
      <c r="BK49" s="179"/>
      <c r="BL49" s="179"/>
      <c r="BM49" s="179"/>
      <c r="BN49" s="179"/>
      <c r="BO49" s="179"/>
      <c r="BP49" s="179"/>
      <c r="BQ49" s="179"/>
      <c r="BR49" s="179"/>
      <c r="BS49" s="179"/>
      <c r="BT49" s="179"/>
      <c r="BU49" s="179"/>
      <c r="BV49" s="179"/>
      <c r="BW49" s="186"/>
      <c r="BX49" s="186"/>
      <c r="BY49" s="186"/>
      <c r="BZ49" s="186"/>
      <c r="CA49" s="186"/>
      <c r="CB49" s="186"/>
      <c r="CC49" s="186"/>
      <c r="CD49" s="186"/>
      <c r="CE49" s="172">
        <f t="shared" si="16"/>
        <v>0</v>
      </c>
      <c r="CF49" s="173">
        <f t="shared" si="17"/>
        <v>0</v>
      </c>
      <c r="CG49" s="199"/>
      <c r="CH49" s="186"/>
      <c r="CI49" s="186"/>
      <c r="CJ49" s="186"/>
      <c r="CK49" s="186"/>
      <c r="CL49" s="186"/>
      <c r="CM49" s="186"/>
      <c r="CN49" s="186"/>
      <c r="CO49" s="186"/>
      <c r="CP49" s="186"/>
      <c r="CQ49" s="186"/>
      <c r="CR49" s="186"/>
      <c r="CS49" s="175"/>
      <c r="CT49" s="158"/>
    </row>
    <row r="50" ht="15.75" customHeight="1">
      <c r="A50" s="131">
        <v>41.0</v>
      </c>
      <c r="B50" s="111" t="s">
        <v>132</v>
      </c>
      <c r="C50" s="112" t="s">
        <v>133</v>
      </c>
      <c r="D50" s="91">
        <f t="shared" si="6"/>
        <v>2</v>
      </c>
      <c r="E50" s="113">
        <f t="shared" si="7"/>
        <v>15.38461538</v>
      </c>
      <c r="F50" s="114">
        <f t="shared" si="8"/>
        <v>15.38461538</v>
      </c>
      <c r="G50" s="202">
        <f t="shared" si="9"/>
        <v>15.38461538</v>
      </c>
      <c r="H50" s="165"/>
      <c r="I50" s="116"/>
      <c r="J50" s="43"/>
      <c r="K50" s="116"/>
      <c r="L50" s="116"/>
      <c r="M50" s="118">
        <f t="shared" si="10"/>
        <v>0</v>
      </c>
      <c r="N50" s="119" t="str">
        <f t="shared" si="11"/>
        <v>#DIV/0!</v>
      </c>
      <c r="O50" s="176"/>
      <c r="P50" s="179"/>
      <c r="Q50" s="179"/>
      <c r="R50" s="179"/>
      <c r="S50" s="179"/>
      <c r="T50" s="179"/>
      <c r="U50" s="179"/>
      <c r="V50" s="179"/>
      <c r="W50" s="179"/>
      <c r="X50" s="179"/>
      <c r="Y50" s="179"/>
      <c r="Z50" s="179"/>
      <c r="AA50" s="179"/>
      <c r="AB50" s="179"/>
      <c r="AC50" s="179"/>
      <c r="AD50" s="179"/>
      <c r="AE50" s="179"/>
      <c r="AF50" s="176"/>
      <c r="AG50" s="176"/>
      <c r="AH50" s="176"/>
      <c r="AI50" s="176"/>
      <c r="AJ50" s="168">
        <f t="shared" si="12"/>
        <v>0</v>
      </c>
      <c r="AK50" s="169">
        <f t="shared" si="13"/>
        <v>0</v>
      </c>
      <c r="AL50" s="183"/>
      <c r="AM50" s="179"/>
      <c r="AN50" s="179"/>
      <c r="AO50" s="179"/>
      <c r="AP50" s="179"/>
      <c r="AQ50" s="179"/>
      <c r="AR50" s="179"/>
      <c r="AS50" s="179"/>
      <c r="AT50" s="179"/>
      <c r="AU50" s="179"/>
      <c r="AV50" s="179"/>
      <c r="AW50" s="179"/>
      <c r="AX50" s="179"/>
      <c r="AY50" s="184">
        <v>1.0</v>
      </c>
      <c r="AZ50" s="179"/>
      <c r="BA50" s="179"/>
      <c r="BB50" s="179"/>
      <c r="BC50" s="179"/>
      <c r="BD50" s="179"/>
      <c r="BE50" s="179"/>
      <c r="BF50" s="179"/>
      <c r="BG50" s="118">
        <f t="shared" si="14"/>
        <v>1</v>
      </c>
      <c r="BH50" s="122">
        <f t="shared" si="15"/>
        <v>20</v>
      </c>
      <c r="BI50" s="176"/>
      <c r="BJ50" s="179"/>
      <c r="BK50" s="179"/>
      <c r="BL50" s="179"/>
      <c r="BM50" s="179"/>
      <c r="BN50" s="179"/>
      <c r="BO50" s="179"/>
      <c r="BP50" s="179"/>
      <c r="BQ50" s="179"/>
      <c r="BR50" s="179"/>
      <c r="BS50" s="179"/>
      <c r="BT50" s="179"/>
      <c r="BU50" s="179"/>
      <c r="BV50" s="179"/>
      <c r="BW50" s="186"/>
      <c r="BX50" s="186"/>
      <c r="BY50" s="186"/>
      <c r="BZ50" s="186"/>
      <c r="CA50" s="186"/>
      <c r="CB50" s="200">
        <v>1.0</v>
      </c>
      <c r="CC50" s="186"/>
      <c r="CD50" s="186"/>
      <c r="CE50" s="172">
        <f t="shared" si="16"/>
        <v>1</v>
      </c>
      <c r="CF50" s="173">
        <f t="shared" si="17"/>
        <v>20</v>
      </c>
      <c r="CG50" s="199"/>
      <c r="CH50" s="186"/>
      <c r="CI50" s="186"/>
      <c r="CJ50" s="186"/>
      <c r="CK50" s="186"/>
      <c r="CL50" s="186"/>
      <c r="CM50" s="186"/>
      <c r="CN50" s="186"/>
      <c r="CO50" s="186"/>
      <c r="CP50" s="186"/>
      <c r="CQ50" s="186"/>
      <c r="CR50" s="186"/>
      <c r="CS50" s="175">
        <f t="shared" ref="CS50:CS51" si="20">SUM(CG50:CR50)</f>
        <v>0</v>
      </c>
      <c r="CT50" s="158">
        <f t="shared" ref="CT50:CT51" si="21">CS50/CS$9*100</f>
        <v>0</v>
      </c>
    </row>
    <row r="51" ht="15.75" customHeight="1">
      <c r="A51" s="146">
        <v>42.0</v>
      </c>
      <c r="B51" s="111" t="s">
        <v>134</v>
      </c>
      <c r="C51" s="112" t="s">
        <v>135</v>
      </c>
      <c r="D51" s="91">
        <f t="shared" si="6"/>
        <v>7</v>
      </c>
      <c r="E51" s="113">
        <f t="shared" si="7"/>
        <v>53.84615385</v>
      </c>
      <c r="F51" s="114" t="str">
        <f t="shared" si="8"/>
        <v>  </v>
      </c>
      <c r="G51" s="202" t="str">
        <f t="shared" si="9"/>
        <v>  </v>
      </c>
      <c r="H51" s="165"/>
      <c r="I51" s="116"/>
      <c r="J51" s="116"/>
      <c r="K51" s="116"/>
      <c r="L51" s="116"/>
      <c r="M51" s="118">
        <f t="shared" si="10"/>
        <v>0</v>
      </c>
      <c r="N51" s="119" t="str">
        <f>M51/M$51*100</f>
        <v>#DIV/0!</v>
      </c>
      <c r="O51" s="176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Z51" s="184">
        <v>1.0</v>
      </c>
      <c r="AA51" s="179"/>
      <c r="AB51" s="179"/>
      <c r="AC51" s="179"/>
      <c r="AD51" s="179"/>
      <c r="AE51" s="179"/>
      <c r="AF51" s="176"/>
      <c r="AG51" s="176"/>
      <c r="AH51" s="176"/>
      <c r="AI51" s="176"/>
      <c r="AJ51" s="168">
        <f t="shared" si="12"/>
        <v>1</v>
      </c>
      <c r="AK51" s="169">
        <f t="shared" si="13"/>
        <v>50</v>
      </c>
      <c r="AL51" s="279">
        <v>1.0</v>
      </c>
      <c r="AM51" s="179"/>
      <c r="AN51" s="179"/>
      <c r="AO51" s="179"/>
      <c r="AP51" s="179"/>
      <c r="AQ51" s="179"/>
      <c r="AR51" s="179"/>
      <c r="AS51" s="179"/>
      <c r="AT51" s="179"/>
      <c r="AU51" s="179"/>
      <c r="AV51" s="179"/>
      <c r="AW51" s="179"/>
      <c r="AX51" s="179"/>
      <c r="AY51" s="184">
        <v>1.0</v>
      </c>
      <c r="AZ51" s="179"/>
      <c r="BA51" s="179"/>
      <c r="BB51" s="179"/>
      <c r="BC51" s="179"/>
      <c r="BD51" s="184">
        <v>1.0</v>
      </c>
      <c r="BE51" s="179"/>
      <c r="BF51" s="179"/>
      <c r="BG51" s="118">
        <f t="shared" si="14"/>
        <v>3</v>
      </c>
      <c r="BH51" s="122">
        <f t="shared" si="15"/>
        <v>60</v>
      </c>
      <c r="BI51" s="176"/>
      <c r="BJ51" s="179"/>
      <c r="BK51" s="179"/>
      <c r="BL51" s="179"/>
      <c r="BM51" s="179"/>
      <c r="BN51" s="179"/>
      <c r="BO51" s="179"/>
      <c r="BP51" s="184">
        <v>1.0</v>
      </c>
      <c r="BQ51" s="179"/>
      <c r="BR51" s="179"/>
      <c r="BS51" s="179"/>
      <c r="BT51" s="179"/>
      <c r="BU51" s="184">
        <v>1.0</v>
      </c>
      <c r="BV51" s="179"/>
      <c r="BW51" s="186"/>
      <c r="BX51" s="186"/>
      <c r="BY51" s="186"/>
      <c r="BZ51" s="186"/>
      <c r="CA51" s="186"/>
      <c r="CB51" s="200">
        <v>1.0</v>
      </c>
      <c r="CC51" s="186"/>
      <c r="CD51" s="186"/>
      <c r="CE51" s="172">
        <f t="shared" si="16"/>
        <v>3</v>
      </c>
      <c r="CF51" s="173">
        <f t="shared" si="17"/>
        <v>60</v>
      </c>
      <c r="CG51" s="199"/>
      <c r="CH51" s="186"/>
      <c r="CI51" s="186"/>
      <c r="CJ51" s="186"/>
      <c r="CK51" s="186"/>
      <c r="CL51" s="186"/>
      <c r="CM51" s="186"/>
      <c r="CN51" s="186"/>
      <c r="CO51" s="186"/>
      <c r="CP51" s="186"/>
      <c r="CQ51" s="186"/>
      <c r="CR51" s="186"/>
      <c r="CS51" s="175">
        <f t="shared" si="20"/>
        <v>0</v>
      </c>
      <c r="CT51" s="158">
        <f t="shared" si="21"/>
        <v>0</v>
      </c>
    </row>
    <row r="52" ht="15.75" customHeight="1">
      <c r="A52" s="242" t="s">
        <v>136</v>
      </c>
      <c r="B52" s="243"/>
      <c r="C52" s="244"/>
      <c r="D52" s="245">
        <f t="shared" si="6"/>
        <v>8</v>
      </c>
      <c r="E52" s="246"/>
      <c r="F52" s="44"/>
      <c r="G52" s="156"/>
      <c r="H52" s="93">
        <f t="shared" ref="H52:L52" si="22">SUM(H53:H93)</f>
        <v>0</v>
      </c>
      <c r="I52" s="93">
        <f t="shared" si="22"/>
        <v>0</v>
      </c>
      <c r="J52" s="93">
        <f t="shared" si="22"/>
        <v>0</v>
      </c>
      <c r="K52" s="93">
        <f t="shared" si="22"/>
        <v>0</v>
      </c>
      <c r="L52" s="93">
        <f t="shared" si="22"/>
        <v>0</v>
      </c>
      <c r="M52" s="94">
        <f>COUNTIF(H52:L52,"&gt;0")</f>
        <v>0</v>
      </c>
      <c r="N52" s="96">
        <f>COUNTIF(H52:L52,"&gt;0")</f>
        <v>0</v>
      </c>
      <c r="O52" s="93">
        <f t="shared" ref="O52:AI52" si="23">SUM(O53:O93)</f>
        <v>0</v>
      </c>
      <c r="P52" s="93">
        <f t="shared" si="23"/>
        <v>0</v>
      </c>
      <c r="Q52" s="93">
        <f t="shared" si="23"/>
        <v>0</v>
      </c>
      <c r="R52" s="93">
        <f t="shared" si="23"/>
        <v>0</v>
      </c>
      <c r="S52" s="93">
        <f t="shared" si="23"/>
        <v>0</v>
      </c>
      <c r="T52" s="93">
        <f t="shared" si="23"/>
        <v>0</v>
      </c>
      <c r="U52" s="93">
        <f t="shared" si="23"/>
        <v>0</v>
      </c>
      <c r="V52" s="93">
        <f t="shared" si="23"/>
        <v>0</v>
      </c>
      <c r="W52" s="93">
        <f t="shared" si="23"/>
        <v>0</v>
      </c>
      <c r="X52" s="93">
        <f t="shared" si="23"/>
        <v>0</v>
      </c>
      <c r="Y52" s="93">
        <f t="shared" si="23"/>
        <v>0</v>
      </c>
      <c r="Z52" s="93">
        <f t="shared" si="23"/>
        <v>0</v>
      </c>
      <c r="AA52" s="93">
        <f t="shared" si="23"/>
        <v>0</v>
      </c>
      <c r="AB52" s="93">
        <f t="shared" si="23"/>
        <v>0</v>
      </c>
      <c r="AC52" s="93">
        <f t="shared" si="23"/>
        <v>0</v>
      </c>
      <c r="AD52" s="93">
        <f t="shared" si="23"/>
        <v>0</v>
      </c>
      <c r="AE52" s="93">
        <f t="shared" si="23"/>
        <v>0</v>
      </c>
      <c r="AF52" s="93">
        <f t="shared" si="23"/>
        <v>0</v>
      </c>
      <c r="AG52" s="93">
        <f t="shared" si="23"/>
        <v>0</v>
      </c>
      <c r="AH52" s="93">
        <f t="shared" si="23"/>
        <v>0</v>
      </c>
      <c r="AI52" s="93">
        <f t="shared" si="23"/>
        <v>0</v>
      </c>
      <c r="AJ52" s="247">
        <f>COUNTIF(O52:AI52,"&gt;0")</f>
        <v>0</v>
      </c>
      <c r="AK52" s="248">
        <f>SUM(M52+AJ52)</f>
        <v>0</v>
      </c>
      <c r="AL52" s="117">
        <f t="shared" ref="AL52:BF52" si="24">SUM(AL53:AL93)</f>
        <v>12</v>
      </c>
      <c r="AM52" s="117">
        <f t="shared" si="24"/>
        <v>0</v>
      </c>
      <c r="AN52" s="117">
        <f t="shared" si="24"/>
        <v>0</v>
      </c>
      <c r="AO52" s="117">
        <f t="shared" si="24"/>
        <v>0</v>
      </c>
      <c r="AP52" s="117">
        <f t="shared" si="24"/>
        <v>0</v>
      </c>
      <c r="AQ52" s="117">
        <f t="shared" si="24"/>
        <v>0</v>
      </c>
      <c r="AR52" s="117">
        <f t="shared" si="24"/>
        <v>0</v>
      </c>
      <c r="AS52" s="117">
        <f t="shared" si="24"/>
        <v>0</v>
      </c>
      <c r="AT52" s="117">
        <f t="shared" si="24"/>
        <v>21</v>
      </c>
      <c r="AU52" s="117">
        <f t="shared" si="24"/>
        <v>0</v>
      </c>
      <c r="AV52" s="117">
        <f t="shared" si="24"/>
        <v>0</v>
      </c>
      <c r="AW52" s="117">
        <f t="shared" si="24"/>
        <v>0</v>
      </c>
      <c r="AX52" s="117">
        <f t="shared" si="24"/>
        <v>0</v>
      </c>
      <c r="AY52" s="117">
        <f t="shared" si="24"/>
        <v>28</v>
      </c>
      <c r="AZ52" s="117">
        <f t="shared" si="24"/>
        <v>0</v>
      </c>
      <c r="BA52" s="117">
        <f t="shared" si="24"/>
        <v>0</v>
      </c>
      <c r="BB52" s="117">
        <f t="shared" si="24"/>
        <v>0</v>
      </c>
      <c r="BC52" s="117">
        <f t="shared" si="24"/>
        <v>0</v>
      </c>
      <c r="BD52" s="117">
        <f t="shared" si="24"/>
        <v>12</v>
      </c>
      <c r="BE52" s="117">
        <f t="shared" si="24"/>
        <v>0</v>
      </c>
      <c r="BF52" s="117">
        <f t="shared" si="24"/>
        <v>0</v>
      </c>
      <c r="BG52" s="44">
        <f>COUNTIF(AL52:BF52,"&gt;0")</f>
        <v>4</v>
      </c>
      <c r="BH52" s="249">
        <f>SUM(AK52+BG52)</f>
        <v>4</v>
      </c>
      <c r="BI52" s="117">
        <f t="shared" ref="BI52:CD52" si="25">SUM(BI53:BI93)</f>
        <v>0</v>
      </c>
      <c r="BJ52" s="117">
        <f t="shared" si="25"/>
        <v>0</v>
      </c>
      <c r="BK52" s="117">
        <f t="shared" si="25"/>
        <v>0</v>
      </c>
      <c r="BL52" s="117">
        <f t="shared" si="25"/>
        <v>0</v>
      </c>
      <c r="BM52" s="117">
        <f t="shared" si="25"/>
        <v>0</v>
      </c>
      <c r="BN52" s="117">
        <f t="shared" si="25"/>
        <v>0</v>
      </c>
      <c r="BO52" s="117">
        <f t="shared" si="25"/>
        <v>0</v>
      </c>
      <c r="BP52" s="117">
        <f t="shared" si="25"/>
        <v>29</v>
      </c>
      <c r="BQ52" s="117">
        <f t="shared" si="25"/>
        <v>0</v>
      </c>
      <c r="BR52" s="117">
        <f t="shared" si="25"/>
        <v>0</v>
      </c>
      <c r="BS52" s="117">
        <f t="shared" si="25"/>
        <v>0</v>
      </c>
      <c r="BT52" s="117">
        <f t="shared" si="25"/>
        <v>0</v>
      </c>
      <c r="BU52" s="117">
        <f t="shared" si="25"/>
        <v>23</v>
      </c>
      <c r="BV52" s="117">
        <f t="shared" si="25"/>
        <v>0</v>
      </c>
      <c r="BW52" s="117">
        <f t="shared" si="25"/>
        <v>0</v>
      </c>
      <c r="BX52" s="117">
        <f t="shared" si="25"/>
        <v>0</v>
      </c>
      <c r="BY52" s="117">
        <f t="shared" si="25"/>
        <v>0</v>
      </c>
      <c r="BZ52" s="117">
        <f t="shared" si="25"/>
        <v>33</v>
      </c>
      <c r="CA52" s="117">
        <f t="shared" si="25"/>
        <v>0</v>
      </c>
      <c r="CB52" s="117">
        <f t="shared" si="25"/>
        <v>0</v>
      </c>
      <c r="CC52" s="117">
        <f t="shared" si="25"/>
        <v>0</v>
      </c>
      <c r="CD52" s="117">
        <f t="shared" si="25"/>
        <v>0</v>
      </c>
      <c r="CE52" s="47">
        <f>COUNTIF(BI52:CD52,"&gt;0")</f>
        <v>3</v>
      </c>
      <c r="CF52" s="52">
        <f>SUM(BH52+CE52)</f>
        <v>7</v>
      </c>
      <c r="CG52" s="117">
        <f t="shared" ref="CG52:CR52" si="26">SUM(CG53:CG91)</f>
        <v>12</v>
      </c>
      <c r="CH52" s="117">
        <f t="shared" si="26"/>
        <v>0</v>
      </c>
      <c r="CI52" s="117">
        <f t="shared" si="26"/>
        <v>0</v>
      </c>
      <c r="CJ52" s="117">
        <f t="shared" si="26"/>
        <v>0</v>
      </c>
      <c r="CK52" s="117">
        <f t="shared" si="26"/>
        <v>0</v>
      </c>
      <c r="CL52" s="117">
        <f t="shared" si="26"/>
        <v>0</v>
      </c>
      <c r="CM52" s="117">
        <f t="shared" si="26"/>
        <v>0</v>
      </c>
      <c r="CN52" s="117">
        <f t="shared" si="26"/>
        <v>0</v>
      </c>
      <c r="CO52" s="117">
        <f t="shared" si="26"/>
        <v>0</v>
      </c>
      <c r="CP52" s="117">
        <f t="shared" si="26"/>
        <v>0</v>
      </c>
      <c r="CQ52" s="117">
        <f t="shared" si="26"/>
        <v>0</v>
      </c>
      <c r="CR52" s="117">
        <f t="shared" si="26"/>
        <v>0</v>
      </c>
      <c r="CS52" s="109">
        <f>COUNTIF(CG52:CR52,"&gt;0")</f>
        <v>1</v>
      </c>
      <c r="CT52" s="110">
        <f>SUM(CF52+CS52)</f>
        <v>8</v>
      </c>
    </row>
    <row r="53" ht="15.75" customHeight="1">
      <c r="A53" s="146">
        <v>43.0</v>
      </c>
      <c r="B53" s="111" t="s">
        <v>137</v>
      </c>
      <c r="C53" s="112" t="s">
        <v>138</v>
      </c>
      <c r="D53" s="250">
        <f t="shared" si="6"/>
        <v>4</v>
      </c>
      <c r="E53" s="113">
        <f t="shared" ref="E53:E93" si="27">(D53)/D$52*100</f>
        <v>50</v>
      </c>
      <c r="F53" s="114" t="str">
        <f t="shared" ref="F53:F93" si="28">IF(E53&lt;50,E53, "  ")</f>
        <v>  </v>
      </c>
      <c r="G53" s="202" t="str">
        <f t="shared" ref="G53:G93" si="29">IF(E53&lt;30,E53, "  ")</f>
        <v>  </v>
      </c>
      <c r="H53" s="192"/>
      <c r="I53" s="43"/>
      <c r="J53" s="43"/>
      <c r="K53" s="116"/>
      <c r="L53" s="116"/>
      <c r="M53" s="118">
        <f t="shared" ref="M53:M93" si="30">SUM(H53:L53)</f>
        <v>0</v>
      </c>
      <c r="N53" s="119" t="str">
        <f t="shared" ref="N53:N93" si="31">M53/M$52*100</f>
        <v>#DIV/0!</v>
      </c>
      <c r="O53" s="176"/>
      <c r="P53" s="179"/>
      <c r="Q53" s="179"/>
      <c r="R53" s="179"/>
      <c r="S53" s="179"/>
      <c r="T53" s="179"/>
      <c r="U53" s="179"/>
      <c r="V53" s="179"/>
      <c r="W53" s="179"/>
      <c r="X53" s="179"/>
      <c r="Y53" s="179"/>
      <c r="Z53" s="179"/>
      <c r="AA53" s="179"/>
      <c r="AB53" s="179"/>
      <c r="AC53" s="179"/>
      <c r="AD53" s="179"/>
      <c r="AE53" s="179"/>
      <c r="AF53" s="176"/>
      <c r="AG53" s="176"/>
      <c r="AH53" s="176"/>
      <c r="AI53" s="176"/>
      <c r="AJ53" s="251">
        <f t="shared" ref="AJ53:AJ93" si="32">SUM(O53:AI53)</f>
        <v>0</v>
      </c>
      <c r="AK53" s="169" t="str">
        <f t="shared" ref="AK53:AK93" si="33">AJ53/AJ$52*100</f>
        <v>#DIV/0!</v>
      </c>
      <c r="AL53" s="183"/>
      <c r="AM53" s="179"/>
      <c r="AN53" s="179"/>
      <c r="AO53" s="179"/>
      <c r="AP53" s="179"/>
      <c r="AQ53" s="179"/>
      <c r="AR53" s="179"/>
      <c r="AS53" s="179"/>
      <c r="AT53" s="184">
        <v>1.0</v>
      </c>
      <c r="AU53" s="179"/>
      <c r="AV53" s="179"/>
      <c r="AW53" s="179"/>
      <c r="AX53" s="179"/>
      <c r="AY53" s="184">
        <v>1.0</v>
      </c>
      <c r="AZ53" s="179"/>
      <c r="BA53" s="179"/>
      <c r="BB53" s="179"/>
      <c r="BC53" s="179"/>
      <c r="BD53" s="184"/>
      <c r="BE53" s="179"/>
      <c r="BF53" s="179"/>
      <c r="BG53" s="118">
        <f t="shared" ref="BG53:BG93" si="34">SUM(AL53:BF53)</f>
        <v>2</v>
      </c>
      <c r="BH53" s="122">
        <f t="shared" ref="BH53:BH93" si="35">BG53/BG$52*100</f>
        <v>50</v>
      </c>
      <c r="BI53" s="176"/>
      <c r="BJ53" s="179"/>
      <c r="BK53" s="179"/>
      <c r="BL53" s="179"/>
      <c r="BM53" s="179"/>
      <c r="BN53" s="179"/>
      <c r="BO53" s="179"/>
      <c r="BP53" s="184">
        <v>1.0</v>
      </c>
      <c r="BQ53" s="179"/>
      <c r="BR53" s="179"/>
      <c r="BS53" s="179"/>
      <c r="BT53" s="179"/>
      <c r="BU53" s="210">
        <v>1.0</v>
      </c>
      <c r="BV53" s="179"/>
      <c r="BW53" s="186"/>
      <c r="BX53" s="186"/>
      <c r="BY53" s="186"/>
      <c r="BZ53" s="186"/>
      <c r="CA53" s="186"/>
      <c r="CB53" s="186"/>
      <c r="CC53" s="186"/>
      <c r="CD53" s="186"/>
      <c r="CE53" s="172">
        <f t="shared" ref="CE53:CE93" si="36">SUM(BI53:CD53)</f>
        <v>2</v>
      </c>
      <c r="CF53" s="173">
        <f t="shared" ref="CF53:CF93" si="37">CE53/CE$9*100</f>
        <v>40</v>
      </c>
      <c r="CG53" s="199"/>
      <c r="CH53" s="186"/>
      <c r="CI53" s="186"/>
      <c r="CJ53" s="186"/>
      <c r="CK53" s="186"/>
      <c r="CL53" s="186"/>
      <c r="CM53" s="186"/>
      <c r="CN53" s="186"/>
      <c r="CO53" s="186"/>
      <c r="CP53" s="186"/>
      <c r="CQ53" s="186"/>
      <c r="CR53" s="186"/>
      <c r="CS53" s="175">
        <f t="shared" ref="CS53:CS93" si="38">SUM(CG53:CR53)</f>
        <v>0</v>
      </c>
      <c r="CT53" s="158">
        <f t="shared" ref="CT53:CT93" si="39">CS53/CS$9*100</f>
        <v>0</v>
      </c>
    </row>
    <row r="54" ht="15.75" customHeight="1">
      <c r="A54" s="131">
        <v>44.0</v>
      </c>
      <c r="B54" s="111" t="s">
        <v>139</v>
      </c>
      <c r="C54" s="112" t="s">
        <v>140</v>
      </c>
      <c r="D54" s="250">
        <f t="shared" si="6"/>
        <v>5</v>
      </c>
      <c r="E54" s="113">
        <f t="shared" si="27"/>
        <v>62.5</v>
      </c>
      <c r="F54" s="114" t="str">
        <f t="shared" si="28"/>
        <v>  </v>
      </c>
      <c r="G54" s="164" t="str">
        <f t="shared" si="29"/>
        <v>  </v>
      </c>
      <c r="H54" s="183"/>
      <c r="I54" s="228"/>
      <c r="J54" s="207"/>
      <c r="K54" s="179"/>
      <c r="L54" s="179"/>
      <c r="M54" s="118">
        <f t="shared" si="30"/>
        <v>0</v>
      </c>
      <c r="N54" s="119" t="str">
        <f t="shared" si="31"/>
        <v>#DIV/0!</v>
      </c>
      <c r="O54" s="176"/>
      <c r="P54" s="179"/>
      <c r="Q54" s="179"/>
      <c r="R54" s="179"/>
      <c r="S54" s="179"/>
      <c r="T54" s="179"/>
      <c r="U54" s="179"/>
      <c r="V54" s="179"/>
      <c r="W54" s="179"/>
      <c r="X54" s="179"/>
      <c r="Y54" s="179"/>
      <c r="Z54" s="179"/>
      <c r="AA54" s="179"/>
      <c r="AB54" s="179"/>
      <c r="AC54" s="179"/>
      <c r="AD54" s="179"/>
      <c r="AE54" s="179"/>
      <c r="AF54" s="176"/>
      <c r="AG54" s="176"/>
      <c r="AH54" s="176"/>
      <c r="AI54" s="176"/>
      <c r="AJ54" s="251">
        <f t="shared" si="32"/>
        <v>0</v>
      </c>
      <c r="AK54" s="169" t="str">
        <f t="shared" si="33"/>
        <v>#DIV/0!</v>
      </c>
      <c r="AL54" s="279">
        <v>1.0</v>
      </c>
      <c r="AM54" s="179"/>
      <c r="AN54" s="179"/>
      <c r="AO54" s="179"/>
      <c r="AP54" s="179"/>
      <c r="AQ54" s="179"/>
      <c r="AR54" s="179"/>
      <c r="AS54" s="179"/>
      <c r="AT54" s="179"/>
      <c r="AU54" s="179"/>
      <c r="AV54" s="179"/>
      <c r="AW54" s="179"/>
      <c r="AX54" s="179"/>
      <c r="AY54" s="184">
        <v>1.0</v>
      </c>
      <c r="AZ54" s="179"/>
      <c r="BA54" s="179"/>
      <c r="BB54" s="179"/>
      <c r="BC54" s="179"/>
      <c r="BD54" s="184">
        <v>1.0</v>
      </c>
      <c r="BE54" s="179"/>
      <c r="BF54" s="179"/>
      <c r="BG54" s="118">
        <f t="shared" si="34"/>
        <v>3</v>
      </c>
      <c r="BH54" s="122">
        <f t="shared" si="35"/>
        <v>75</v>
      </c>
      <c r="BI54" s="176"/>
      <c r="BJ54" s="179"/>
      <c r="BK54" s="179"/>
      <c r="BL54" s="179"/>
      <c r="BM54" s="179"/>
      <c r="BN54" s="179"/>
      <c r="BO54" s="179"/>
      <c r="BP54" s="184">
        <v>1.0</v>
      </c>
      <c r="BQ54" s="179"/>
      <c r="BR54" s="179"/>
      <c r="BS54" s="179"/>
      <c r="BT54" s="179"/>
      <c r="BU54" s="198"/>
      <c r="BV54" s="179"/>
      <c r="BW54" s="186"/>
      <c r="BX54" s="186"/>
      <c r="BY54" s="186"/>
      <c r="BZ54" s="200">
        <v>1.0</v>
      </c>
      <c r="CA54" s="186"/>
      <c r="CB54" s="186"/>
      <c r="CC54" s="186"/>
      <c r="CD54" s="186"/>
      <c r="CE54" s="172">
        <f t="shared" si="36"/>
        <v>2</v>
      </c>
      <c r="CF54" s="173">
        <f t="shared" si="37"/>
        <v>40</v>
      </c>
      <c r="CG54" s="199"/>
      <c r="CH54" s="186"/>
      <c r="CI54" s="186"/>
      <c r="CJ54" s="186"/>
      <c r="CK54" s="186"/>
      <c r="CL54" s="186"/>
      <c r="CM54" s="186"/>
      <c r="CN54" s="186"/>
      <c r="CO54" s="186"/>
      <c r="CP54" s="186"/>
      <c r="CQ54" s="186"/>
      <c r="CR54" s="186"/>
      <c r="CS54" s="175">
        <f t="shared" si="38"/>
        <v>0</v>
      </c>
      <c r="CT54" s="158">
        <f t="shared" si="39"/>
        <v>0</v>
      </c>
    </row>
    <row r="55" ht="15.75" customHeight="1">
      <c r="A55" s="146">
        <v>45.0</v>
      </c>
      <c r="B55" s="111" t="s">
        <v>141</v>
      </c>
      <c r="C55" s="112" t="s">
        <v>142</v>
      </c>
      <c r="D55" s="250">
        <f t="shared" si="6"/>
        <v>6</v>
      </c>
      <c r="E55" s="113">
        <f t="shared" si="27"/>
        <v>75</v>
      </c>
      <c r="F55" s="114" t="str">
        <f t="shared" si="28"/>
        <v>  </v>
      </c>
      <c r="G55" s="164" t="str">
        <f t="shared" si="29"/>
        <v>  </v>
      </c>
      <c r="H55" s="183"/>
      <c r="I55" s="186"/>
      <c r="J55" s="179"/>
      <c r="K55" s="179"/>
      <c r="L55" s="179"/>
      <c r="M55" s="118">
        <f t="shared" si="30"/>
        <v>0</v>
      </c>
      <c r="N55" s="119" t="str">
        <f t="shared" si="31"/>
        <v>#DIV/0!</v>
      </c>
      <c r="O55" s="195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  <c r="AA55" s="186"/>
      <c r="AB55" s="186"/>
      <c r="AC55" s="186"/>
      <c r="AD55" s="186"/>
      <c r="AE55" s="186"/>
      <c r="AF55" s="195"/>
      <c r="AG55" s="195"/>
      <c r="AH55" s="195"/>
      <c r="AI55" s="195"/>
      <c r="AJ55" s="251">
        <f t="shared" si="32"/>
        <v>0</v>
      </c>
      <c r="AK55" s="169" t="str">
        <f t="shared" si="33"/>
        <v>#DIV/0!</v>
      </c>
      <c r="AL55" s="199"/>
      <c r="AM55" s="186"/>
      <c r="AN55" s="186"/>
      <c r="AO55" s="186"/>
      <c r="AP55" s="186"/>
      <c r="AQ55" s="186"/>
      <c r="AR55" s="186"/>
      <c r="AS55" s="186"/>
      <c r="AT55" s="200">
        <v>1.0</v>
      </c>
      <c r="AU55" s="186"/>
      <c r="AV55" s="186"/>
      <c r="AW55" s="186"/>
      <c r="AX55" s="186"/>
      <c r="AY55" s="200">
        <v>1.0</v>
      </c>
      <c r="AZ55" s="186"/>
      <c r="BA55" s="186"/>
      <c r="BB55" s="186"/>
      <c r="BC55" s="186"/>
      <c r="BD55" s="200">
        <v>1.0</v>
      </c>
      <c r="BE55" s="186"/>
      <c r="BF55" s="186"/>
      <c r="BG55" s="118">
        <f t="shared" si="34"/>
        <v>3</v>
      </c>
      <c r="BH55" s="122">
        <f t="shared" si="35"/>
        <v>75</v>
      </c>
      <c r="BI55" s="195"/>
      <c r="BJ55" s="186"/>
      <c r="BK55" s="186"/>
      <c r="BL55" s="186"/>
      <c r="BM55" s="186"/>
      <c r="BN55" s="186"/>
      <c r="BO55" s="186"/>
      <c r="BP55" s="200">
        <v>1.0</v>
      </c>
      <c r="BQ55" s="186"/>
      <c r="BR55" s="186"/>
      <c r="BS55" s="186"/>
      <c r="BT55" s="186"/>
      <c r="BU55" s="283">
        <v>1.0</v>
      </c>
      <c r="BV55" s="186"/>
      <c r="BW55" s="186"/>
      <c r="BX55" s="186"/>
      <c r="BY55" s="186"/>
      <c r="BZ55" s="200">
        <v>1.0</v>
      </c>
      <c r="CA55" s="186"/>
      <c r="CB55" s="186"/>
      <c r="CC55" s="186"/>
      <c r="CD55" s="186"/>
      <c r="CE55" s="172">
        <f t="shared" si="36"/>
        <v>3</v>
      </c>
      <c r="CF55" s="173">
        <f t="shared" si="37"/>
        <v>60</v>
      </c>
      <c r="CG55" s="199"/>
      <c r="CH55" s="186"/>
      <c r="CI55" s="186"/>
      <c r="CJ55" s="186"/>
      <c r="CK55" s="186"/>
      <c r="CL55" s="186"/>
      <c r="CM55" s="186"/>
      <c r="CN55" s="186"/>
      <c r="CO55" s="186"/>
      <c r="CP55" s="186"/>
      <c r="CQ55" s="186"/>
      <c r="CR55" s="186"/>
      <c r="CS55" s="175">
        <f t="shared" si="38"/>
        <v>0</v>
      </c>
      <c r="CT55" s="158">
        <f t="shared" si="39"/>
        <v>0</v>
      </c>
    </row>
    <row r="56" ht="15.75" customHeight="1">
      <c r="A56" s="146">
        <v>46.0</v>
      </c>
      <c r="B56" s="111" t="s">
        <v>143</v>
      </c>
      <c r="C56" s="112" t="s">
        <v>144</v>
      </c>
      <c r="D56" s="250">
        <f t="shared" si="6"/>
        <v>3</v>
      </c>
      <c r="E56" s="113">
        <f t="shared" si="27"/>
        <v>37.5</v>
      </c>
      <c r="F56" s="114">
        <f t="shared" si="28"/>
        <v>37.5</v>
      </c>
      <c r="G56" s="164" t="str">
        <f t="shared" si="29"/>
        <v>  </v>
      </c>
      <c r="H56" s="183"/>
      <c r="I56" s="179"/>
      <c r="J56" s="179"/>
      <c r="K56" s="207"/>
      <c r="L56" s="207"/>
      <c r="M56" s="118">
        <f t="shared" si="30"/>
        <v>0</v>
      </c>
      <c r="N56" s="119" t="str">
        <f t="shared" si="31"/>
        <v>#DIV/0!</v>
      </c>
      <c r="O56" s="206"/>
      <c r="P56" s="207"/>
      <c r="Q56" s="207"/>
      <c r="R56" s="207"/>
      <c r="S56" s="207"/>
      <c r="T56" s="207"/>
      <c r="U56" s="207"/>
      <c r="V56" s="207"/>
      <c r="W56" s="207"/>
      <c r="X56" s="207"/>
      <c r="Y56" s="207"/>
      <c r="Z56" s="207"/>
      <c r="AA56" s="207"/>
      <c r="AB56" s="207"/>
      <c r="AC56" s="207"/>
      <c r="AD56" s="207"/>
      <c r="AE56" s="207"/>
      <c r="AF56" s="206"/>
      <c r="AG56" s="206"/>
      <c r="AH56" s="206"/>
      <c r="AI56" s="206"/>
      <c r="AJ56" s="251">
        <f t="shared" si="32"/>
        <v>0</v>
      </c>
      <c r="AK56" s="169" t="str">
        <f t="shared" si="33"/>
        <v>#DIV/0!</v>
      </c>
      <c r="AL56" s="212"/>
      <c r="AM56" s="207"/>
      <c r="AN56" s="207"/>
      <c r="AO56" s="207"/>
      <c r="AP56" s="207"/>
      <c r="AQ56" s="207"/>
      <c r="AR56" s="207"/>
      <c r="AS56" s="207"/>
      <c r="AT56" s="207"/>
      <c r="AU56" s="207"/>
      <c r="AV56" s="207"/>
      <c r="AW56" s="207"/>
      <c r="AX56" s="207"/>
      <c r="AY56" s="234">
        <v>1.0</v>
      </c>
      <c r="AZ56" s="207"/>
      <c r="BA56" s="207"/>
      <c r="BB56" s="207"/>
      <c r="BC56" s="207"/>
      <c r="BD56" s="234">
        <v>1.0</v>
      </c>
      <c r="BE56" s="207"/>
      <c r="BF56" s="207"/>
      <c r="BG56" s="118">
        <f t="shared" si="34"/>
        <v>2</v>
      </c>
      <c r="BH56" s="122">
        <f t="shared" si="35"/>
        <v>50</v>
      </c>
      <c r="BI56" s="206"/>
      <c r="BJ56" s="207"/>
      <c r="BK56" s="207"/>
      <c r="BL56" s="207"/>
      <c r="BM56" s="207"/>
      <c r="BN56" s="207"/>
      <c r="BO56" s="207"/>
      <c r="BP56" s="207"/>
      <c r="BQ56" s="207"/>
      <c r="BR56" s="207"/>
      <c r="BS56" s="207"/>
      <c r="BT56" s="207"/>
      <c r="BU56" s="253"/>
      <c r="BV56" s="207"/>
      <c r="BW56" s="186"/>
      <c r="BX56" s="186"/>
      <c r="BY56" s="186"/>
      <c r="BZ56" s="200">
        <v>1.0</v>
      </c>
      <c r="CA56" s="186"/>
      <c r="CB56" s="186"/>
      <c r="CC56" s="186"/>
      <c r="CD56" s="186"/>
      <c r="CE56" s="172">
        <f t="shared" si="36"/>
        <v>1</v>
      </c>
      <c r="CF56" s="173">
        <f t="shared" si="37"/>
        <v>20</v>
      </c>
      <c r="CG56" s="199"/>
      <c r="CH56" s="186"/>
      <c r="CI56" s="186"/>
      <c r="CJ56" s="186"/>
      <c r="CK56" s="186"/>
      <c r="CL56" s="186"/>
      <c r="CM56" s="186"/>
      <c r="CN56" s="186"/>
      <c r="CO56" s="186"/>
      <c r="CP56" s="186"/>
      <c r="CQ56" s="186"/>
      <c r="CR56" s="186"/>
      <c r="CS56" s="175">
        <f t="shared" si="38"/>
        <v>0</v>
      </c>
      <c r="CT56" s="158">
        <f t="shared" si="39"/>
        <v>0</v>
      </c>
    </row>
    <row r="57" ht="15.75" customHeight="1">
      <c r="A57" s="131">
        <v>47.0</v>
      </c>
      <c r="B57" s="111" t="s">
        <v>145</v>
      </c>
      <c r="C57" s="112" t="s">
        <v>146</v>
      </c>
      <c r="D57" s="250">
        <f t="shared" si="6"/>
        <v>5</v>
      </c>
      <c r="E57" s="113">
        <f t="shared" si="27"/>
        <v>62.5</v>
      </c>
      <c r="F57" s="114" t="str">
        <f t="shared" si="28"/>
        <v>  </v>
      </c>
      <c r="G57" s="164" t="str">
        <f t="shared" si="29"/>
        <v>  </v>
      </c>
      <c r="H57" s="183"/>
      <c r="I57" s="207"/>
      <c r="J57" s="179"/>
      <c r="K57" s="179"/>
      <c r="L57" s="179"/>
      <c r="M57" s="118">
        <f t="shared" si="30"/>
        <v>0</v>
      </c>
      <c r="N57" s="119" t="str">
        <f t="shared" si="31"/>
        <v>#DIV/0!</v>
      </c>
      <c r="O57" s="227"/>
      <c r="P57" s="228"/>
      <c r="Q57" s="228"/>
      <c r="R57" s="228"/>
      <c r="S57" s="228"/>
      <c r="T57" s="228"/>
      <c r="U57" s="228"/>
      <c r="V57" s="228"/>
      <c r="W57" s="228"/>
      <c r="X57" s="228"/>
      <c r="Y57" s="228"/>
      <c r="Z57" s="228"/>
      <c r="AA57" s="228"/>
      <c r="AB57" s="228"/>
      <c r="AC57" s="228"/>
      <c r="AD57" s="228"/>
      <c r="AE57" s="228"/>
      <c r="AF57" s="227"/>
      <c r="AG57" s="227"/>
      <c r="AH57" s="227"/>
      <c r="AI57" s="227"/>
      <c r="AJ57" s="251">
        <f t="shared" si="32"/>
        <v>0</v>
      </c>
      <c r="AK57" s="169" t="str">
        <f t="shared" si="33"/>
        <v>#DIV/0!</v>
      </c>
      <c r="AL57" s="284">
        <v>1.0</v>
      </c>
      <c r="AM57" s="228"/>
      <c r="AN57" s="228"/>
      <c r="AO57" s="228"/>
      <c r="AP57" s="228"/>
      <c r="AQ57" s="228"/>
      <c r="AR57" s="228"/>
      <c r="AS57" s="228"/>
      <c r="AT57" s="228"/>
      <c r="AU57" s="228"/>
      <c r="AV57" s="228"/>
      <c r="AW57" s="228"/>
      <c r="AX57" s="228"/>
      <c r="AY57" s="233">
        <v>1.0</v>
      </c>
      <c r="AZ57" s="228"/>
      <c r="BA57" s="228"/>
      <c r="BB57" s="228"/>
      <c r="BC57" s="228"/>
      <c r="BD57" s="233"/>
      <c r="BE57" s="228"/>
      <c r="BF57" s="228"/>
      <c r="BG57" s="118">
        <f t="shared" si="34"/>
        <v>2</v>
      </c>
      <c r="BH57" s="122">
        <f t="shared" si="35"/>
        <v>50</v>
      </c>
      <c r="BI57" s="227"/>
      <c r="BJ57" s="228"/>
      <c r="BK57" s="228"/>
      <c r="BL57" s="228"/>
      <c r="BM57" s="228"/>
      <c r="BN57" s="228"/>
      <c r="BO57" s="228"/>
      <c r="BP57" s="233">
        <v>1.0</v>
      </c>
      <c r="BQ57" s="228"/>
      <c r="BR57" s="228"/>
      <c r="BS57" s="228"/>
      <c r="BT57" s="228"/>
      <c r="BU57" s="210">
        <v>1.0</v>
      </c>
      <c r="BV57" s="228"/>
      <c r="BW57" s="186"/>
      <c r="BX57" s="186"/>
      <c r="BY57" s="186"/>
      <c r="BZ57" s="200">
        <v>1.0</v>
      </c>
      <c r="CA57" s="186"/>
      <c r="CB57" s="186"/>
      <c r="CC57" s="186"/>
      <c r="CD57" s="186"/>
      <c r="CE57" s="172">
        <f t="shared" si="36"/>
        <v>3</v>
      </c>
      <c r="CF57" s="173">
        <f t="shared" si="37"/>
        <v>60</v>
      </c>
      <c r="CG57" s="199"/>
      <c r="CH57" s="186"/>
      <c r="CI57" s="186"/>
      <c r="CJ57" s="186"/>
      <c r="CK57" s="186"/>
      <c r="CL57" s="186"/>
      <c r="CM57" s="186"/>
      <c r="CN57" s="186"/>
      <c r="CO57" s="186"/>
      <c r="CP57" s="186"/>
      <c r="CQ57" s="186"/>
      <c r="CR57" s="186"/>
      <c r="CS57" s="175">
        <f t="shared" si="38"/>
        <v>0</v>
      </c>
      <c r="CT57" s="158">
        <f t="shared" si="39"/>
        <v>0</v>
      </c>
    </row>
    <row r="58" ht="15.75" customHeight="1">
      <c r="A58" s="146">
        <v>48.0</v>
      </c>
      <c r="B58" s="111" t="s">
        <v>147</v>
      </c>
      <c r="C58" s="112" t="s">
        <v>148</v>
      </c>
      <c r="D58" s="250">
        <f t="shared" si="6"/>
        <v>4</v>
      </c>
      <c r="E58" s="113">
        <f t="shared" si="27"/>
        <v>50</v>
      </c>
      <c r="F58" s="114" t="str">
        <f t="shared" si="28"/>
        <v>  </v>
      </c>
      <c r="G58" s="202" t="str">
        <f t="shared" si="29"/>
        <v>  </v>
      </c>
      <c r="H58" s="183"/>
      <c r="I58" s="179"/>
      <c r="J58" s="179"/>
      <c r="K58" s="179"/>
      <c r="L58" s="179"/>
      <c r="M58" s="118">
        <f t="shared" si="30"/>
        <v>0</v>
      </c>
      <c r="N58" s="119" t="str">
        <f t="shared" si="31"/>
        <v>#DIV/0!</v>
      </c>
      <c r="O58" s="176"/>
      <c r="P58" s="179"/>
      <c r="Q58" s="179"/>
      <c r="R58" s="179"/>
      <c r="S58" s="179"/>
      <c r="T58" s="179"/>
      <c r="U58" s="179"/>
      <c r="V58" s="179"/>
      <c r="W58" s="179"/>
      <c r="X58" s="179"/>
      <c r="Y58" s="179"/>
      <c r="Z58" s="179"/>
      <c r="AA58" s="179"/>
      <c r="AB58" s="179"/>
      <c r="AC58" s="179"/>
      <c r="AD58" s="179"/>
      <c r="AE58" s="179"/>
      <c r="AF58" s="176"/>
      <c r="AG58" s="176"/>
      <c r="AH58" s="176"/>
      <c r="AI58" s="176"/>
      <c r="AJ58" s="251">
        <f t="shared" si="32"/>
        <v>0</v>
      </c>
      <c r="AK58" s="169" t="str">
        <f t="shared" si="33"/>
        <v>#DIV/0!</v>
      </c>
      <c r="AL58" s="183"/>
      <c r="AM58" s="179"/>
      <c r="AN58" s="179"/>
      <c r="AO58" s="179"/>
      <c r="AP58" s="179"/>
      <c r="AQ58" s="179"/>
      <c r="AR58" s="179"/>
      <c r="AS58" s="179"/>
      <c r="AT58" s="184">
        <v>1.0</v>
      </c>
      <c r="AU58" s="179"/>
      <c r="AV58" s="179"/>
      <c r="AW58" s="179"/>
      <c r="AX58" s="179"/>
      <c r="AY58" s="184">
        <v>1.0</v>
      </c>
      <c r="AZ58" s="179"/>
      <c r="BA58" s="179"/>
      <c r="BB58" s="179"/>
      <c r="BC58" s="179"/>
      <c r="BD58" s="184">
        <v>1.0</v>
      </c>
      <c r="BE58" s="179"/>
      <c r="BF58" s="179"/>
      <c r="BG58" s="118">
        <f t="shared" si="34"/>
        <v>3</v>
      </c>
      <c r="BH58" s="122">
        <f t="shared" si="35"/>
        <v>75</v>
      </c>
      <c r="BI58" s="176"/>
      <c r="BJ58" s="179"/>
      <c r="BK58" s="179"/>
      <c r="BL58" s="179"/>
      <c r="BM58" s="179"/>
      <c r="BN58" s="179"/>
      <c r="BO58" s="179"/>
      <c r="BP58" s="184">
        <v>1.0</v>
      </c>
      <c r="BQ58" s="179"/>
      <c r="BR58" s="179"/>
      <c r="BS58" s="179"/>
      <c r="BT58" s="179"/>
      <c r="BU58" s="185"/>
      <c r="BV58" s="179"/>
      <c r="BW58" s="186"/>
      <c r="BX58" s="186"/>
      <c r="BY58" s="186"/>
      <c r="BZ58" s="186"/>
      <c r="CA58" s="186"/>
      <c r="CB58" s="186"/>
      <c r="CC58" s="186"/>
      <c r="CD58" s="186"/>
      <c r="CE58" s="172">
        <f t="shared" si="36"/>
        <v>1</v>
      </c>
      <c r="CF58" s="173">
        <f t="shared" si="37"/>
        <v>20</v>
      </c>
      <c r="CG58" s="199"/>
      <c r="CH58" s="186"/>
      <c r="CI58" s="186"/>
      <c r="CJ58" s="186"/>
      <c r="CK58" s="186"/>
      <c r="CL58" s="186"/>
      <c r="CM58" s="186"/>
      <c r="CN58" s="186"/>
      <c r="CO58" s="186"/>
      <c r="CP58" s="186"/>
      <c r="CQ58" s="186"/>
      <c r="CR58" s="186"/>
      <c r="CS58" s="175">
        <f t="shared" si="38"/>
        <v>0</v>
      </c>
      <c r="CT58" s="158">
        <f t="shared" si="39"/>
        <v>0</v>
      </c>
    </row>
    <row r="59" ht="15.75" customHeight="1">
      <c r="A59" s="146">
        <v>49.0</v>
      </c>
      <c r="B59" s="111" t="s">
        <v>149</v>
      </c>
      <c r="C59" s="112" t="s">
        <v>150</v>
      </c>
      <c r="D59" s="250">
        <f t="shared" si="6"/>
        <v>1</v>
      </c>
      <c r="E59" s="113">
        <f t="shared" si="27"/>
        <v>12.5</v>
      </c>
      <c r="F59" s="114">
        <f t="shared" si="28"/>
        <v>12.5</v>
      </c>
      <c r="G59" s="202">
        <f t="shared" si="29"/>
        <v>12.5</v>
      </c>
      <c r="H59" s="183"/>
      <c r="I59" s="179"/>
      <c r="J59" s="179"/>
      <c r="K59" s="179"/>
      <c r="L59" s="179"/>
      <c r="M59" s="118">
        <f t="shared" si="30"/>
        <v>0</v>
      </c>
      <c r="N59" s="119" t="str">
        <f t="shared" si="31"/>
        <v>#DIV/0!</v>
      </c>
      <c r="O59" s="176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Z59" s="179"/>
      <c r="AA59" s="179"/>
      <c r="AB59" s="179"/>
      <c r="AC59" s="179"/>
      <c r="AD59" s="179"/>
      <c r="AE59" s="179"/>
      <c r="AF59" s="176"/>
      <c r="AG59" s="176"/>
      <c r="AH59" s="176"/>
      <c r="AI59" s="176"/>
      <c r="AJ59" s="251">
        <f t="shared" si="32"/>
        <v>0</v>
      </c>
      <c r="AK59" s="169" t="str">
        <f t="shared" si="33"/>
        <v>#DIV/0!</v>
      </c>
      <c r="AL59" s="183"/>
      <c r="AM59" s="179"/>
      <c r="AN59" s="179"/>
      <c r="AO59" s="179"/>
      <c r="AP59" s="179"/>
      <c r="AQ59" s="179"/>
      <c r="AR59" s="179"/>
      <c r="AS59" s="179"/>
      <c r="AT59" s="179"/>
      <c r="AU59" s="179"/>
      <c r="AV59" s="179"/>
      <c r="AW59" s="179"/>
      <c r="AX59" s="179"/>
      <c r="AY59" s="179"/>
      <c r="AZ59" s="179"/>
      <c r="BA59" s="179"/>
      <c r="BB59" s="179"/>
      <c r="BC59" s="179"/>
      <c r="BD59" s="179"/>
      <c r="BE59" s="179"/>
      <c r="BF59" s="179"/>
      <c r="BG59" s="118">
        <f t="shared" si="34"/>
        <v>0</v>
      </c>
      <c r="BH59" s="122">
        <f t="shared" si="35"/>
        <v>0</v>
      </c>
      <c r="BI59" s="176"/>
      <c r="BJ59" s="179"/>
      <c r="BK59" s="179"/>
      <c r="BL59" s="179"/>
      <c r="BM59" s="179"/>
      <c r="BN59" s="179"/>
      <c r="BO59" s="179"/>
      <c r="BP59" s="179"/>
      <c r="BQ59" s="179"/>
      <c r="BR59" s="179"/>
      <c r="BS59" s="179"/>
      <c r="BT59" s="179"/>
      <c r="BU59" s="185"/>
      <c r="BV59" s="179"/>
      <c r="BW59" s="186"/>
      <c r="BX59" s="186"/>
      <c r="BY59" s="186"/>
      <c r="BZ59" s="200">
        <v>1.0</v>
      </c>
      <c r="CA59" s="186"/>
      <c r="CB59" s="186"/>
      <c r="CC59" s="186"/>
      <c r="CD59" s="186"/>
      <c r="CE59" s="172">
        <f t="shared" si="36"/>
        <v>1</v>
      </c>
      <c r="CF59" s="173">
        <f t="shared" si="37"/>
        <v>20</v>
      </c>
      <c r="CG59" s="199"/>
      <c r="CH59" s="186"/>
      <c r="CI59" s="186"/>
      <c r="CJ59" s="186"/>
      <c r="CK59" s="186"/>
      <c r="CL59" s="186"/>
      <c r="CM59" s="186"/>
      <c r="CN59" s="186"/>
      <c r="CO59" s="186"/>
      <c r="CP59" s="186"/>
      <c r="CQ59" s="186"/>
      <c r="CR59" s="186"/>
      <c r="CS59" s="175">
        <f t="shared" si="38"/>
        <v>0</v>
      </c>
      <c r="CT59" s="158">
        <f t="shared" si="39"/>
        <v>0</v>
      </c>
    </row>
    <row r="60" ht="15.75" customHeight="1">
      <c r="A60" s="131">
        <v>50.0</v>
      </c>
      <c r="B60" s="111" t="s">
        <v>151</v>
      </c>
      <c r="C60" s="112" t="s">
        <v>152</v>
      </c>
      <c r="D60" s="250">
        <f t="shared" si="6"/>
        <v>6</v>
      </c>
      <c r="E60" s="113">
        <f t="shared" si="27"/>
        <v>75</v>
      </c>
      <c r="F60" s="114" t="str">
        <f t="shared" si="28"/>
        <v>  </v>
      </c>
      <c r="G60" s="164" t="str">
        <f t="shared" si="29"/>
        <v>  </v>
      </c>
      <c r="H60" s="212"/>
      <c r="I60" s="179"/>
      <c r="J60" s="207"/>
      <c r="K60" s="179"/>
      <c r="L60" s="179"/>
      <c r="M60" s="118">
        <f t="shared" si="30"/>
        <v>0</v>
      </c>
      <c r="N60" s="119" t="str">
        <f t="shared" si="31"/>
        <v>#DIV/0!</v>
      </c>
      <c r="O60" s="176"/>
      <c r="P60" s="179"/>
      <c r="Q60" s="179"/>
      <c r="R60" s="179"/>
      <c r="S60" s="179"/>
      <c r="T60" s="179"/>
      <c r="U60" s="179"/>
      <c r="V60" s="179"/>
      <c r="W60" s="179"/>
      <c r="X60" s="179"/>
      <c r="Y60" s="179"/>
      <c r="Z60" s="179"/>
      <c r="AA60" s="179"/>
      <c r="AB60" s="179"/>
      <c r="AC60" s="179"/>
      <c r="AD60" s="179"/>
      <c r="AE60" s="179"/>
      <c r="AF60" s="176"/>
      <c r="AG60" s="176"/>
      <c r="AH60" s="176"/>
      <c r="AI60" s="176"/>
      <c r="AJ60" s="251">
        <f t="shared" si="32"/>
        <v>0</v>
      </c>
      <c r="AK60" s="169" t="str">
        <f t="shared" si="33"/>
        <v>#DIV/0!</v>
      </c>
      <c r="AL60" s="279">
        <v>1.0</v>
      </c>
      <c r="AM60" s="179"/>
      <c r="AN60" s="179"/>
      <c r="AO60" s="179"/>
      <c r="AP60" s="179"/>
      <c r="AQ60" s="179"/>
      <c r="AR60" s="179"/>
      <c r="AS60" s="179"/>
      <c r="AT60" s="184">
        <v>1.0</v>
      </c>
      <c r="AU60" s="179"/>
      <c r="AV60" s="179"/>
      <c r="AW60" s="179"/>
      <c r="AX60" s="179"/>
      <c r="AY60" s="184">
        <v>1.0</v>
      </c>
      <c r="AZ60" s="179"/>
      <c r="BA60" s="179"/>
      <c r="BB60" s="179"/>
      <c r="BC60" s="179"/>
      <c r="BD60" s="184">
        <v>1.0</v>
      </c>
      <c r="BE60" s="179"/>
      <c r="BF60" s="179"/>
      <c r="BG60" s="118">
        <f t="shared" si="34"/>
        <v>4</v>
      </c>
      <c r="BH60" s="122">
        <f t="shared" si="35"/>
        <v>100</v>
      </c>
      <c r="BI60" s="176"/>
      <c r="BJ60" s="179"/>
      <c r="BK60" s="179"/>
      <c r="BL60" s="179"/>
      <c r="BM60" s="179"/>
      <c r="BN60" s="179"/>
      <c r="BO60" s="179"/>
      <c r="BP60" s="184">
        <v>1.0</v>
      </c>
      <c r="BQ60" s="179"/>
      <c r="BR60" s="179"/>
      <c r="BS60" s="179"/>
      <c r="BT60" s="179"/>
      <c r="BU60" s="185"/>
      <c r="BV60" s="179"/>
      <c r="BW60" s="186"/>
      <c r="BX60" s="186"/>
      <c r="BY60" s="186"/>
      <c r="BZ60" s="200">
        <v>1.0</v>
      </c>
      <c r="CA60" s="186"/>
      <c r="CB60" s="186"/>
      <c r="CC60" s="186"/>
      <c r="CD60" s="186"/>
      <c r="CE60" s="172">
        <f t="shared" si="36"/>
        <v>2</v>
      </c>
      <c r="CF60" s="173">
        <f t="shared" si="37"/>
        <v>40</v>
      </c>
      <c r="CG60" s="199"/>
      <c r="CH60" s="186"/>
      <c r="CI60" s="186"/>
      <c r="CJ60" s="186"/>
      <c r="CK60" s="186"/>
      <c r="CL60" s="186"/>
      <c r="CM60" s="186"/>
      <c r="CN60" s="186"/>
      <c r="CO60" s="186"/>
      <c r="CP60" s="186"/>
      <c r="CQ60" s="186"/>
      <c r="CR60" s="186"/>
      <c r="CS60" s="175">
        <f t="shared" si="38"/>
        <v>0</v>
      </c>
      <c r="CT60" s="158">
        <f t="shared" si="39"/>
        <v>0</v>
      </c>
    </row>
    <row r="61" ht="15.75" customHeight="1">
      <c r="A61" s="146">
        <v>51.0</v>
      </c>
      <c r="B61" s="111" t="s">
        <v>153</v>
      </c>
      <c r="C61" s="112" t="s">
        <v>154</v>
      </c>
      <c r="D61" s="250">
        <f t="shared" si="6"/>
        <v>1</v>
      </c>
      <c r="E61" s="113">
        <f t="shared" si="27"/>
        <v>12.5</v>
      </c>
      <c r="F61" s="114">
        <f t="shared" si="28"/>
        <v>12.5</v>
      </c>
      <c r="G61" s="202">
        <f t="shared" si="29"/>
        <v>12.5</v>
      </c>
      <c r="H61" s="183"/>
      <c r="I61" s="228"/>
      <c r="J61" s="179"/>
      <c r="K61" s="179"/>
      <c r="L61" s="179"/>
      <c r="M61" s="118">
        <f t="shared" si="30"/>
        <v>0</v>
      </c>
      <c r="N61" s="119" t="str">
        <f t="shared" si="31"/>
        <v>#DIV/0!</v>
      </c>
      <c r="O61" s="176"/>
      <c r="P61" s="179"/>
      <c r="Q61" s="179"/>
      <c r="R61" s="179"/>
      <c r="S61" s="179"/>
      <c r="T61" s="179"/>
      <c r="U61" s="179"/>
      <c r="V61" s="179"/>
      <c r="W61" s="179"/>
      <c r="X61" s="179"/>
      <c r="Y61" s="179"/>
      <c r="Z61" s="179"/>
      <c r="AA61" s="179"/>
      <c r="AB61" s="179"/>
      <c r="AC61" s="179"/>
      <c r="AD61" s="179"/>
      <c r="AE61" s="179"/>
      <c r="AF61" s="176"/>
      <c r="AG61" s="176"/>
      <c r="AH61" s="176"/>
      <c r="AI61" s="176"/>
      <c r="AJ61" s="251">
        <f t="shared" si="32"/>
        <v>0</v>
      </c>
      <c r="AK61" s="169" t="str">
        <f t="shared" si="33"/>
        <v>#DIV/0!</v>
      </c>
      <c r="AL61" s="183"/>
      <c r="AM61" s="179"/>
      <c r="AN61" s="179"/>
      <c r="AO61" s="179"/>
      <c r="AP61" s="179"/>
      <c r="AQ61" s="179"/>
      <c r="AR61" s="179"/>
      <c r="AS61" s="179"/>
      <c r="AT61" s="179"/>
      <c r="AU61" s="179"/>
      <c r="AV61" s="179"/>
      <c r="AW61" s="179"/>
      <c r="AX61" s="179"/>
      <c r="AY61" s="179"/>
      <c r="AZ61" s="179"/>
      <c r="BA61" s="179"/>
      <c r="BB61" s="179"/>
      <c r="BC61" s="179"/>
      <c r="BD61" s="179"/>
      <c r="BE61" s="179"/>
      <c r="BF61" s="179"/>
      <c r="BG61" s="118">
        <f t="shared" si="34"/>
        <v>0</v>
      </c>
      <c r="BH61" s="122">
        <f t="shared" si="35"/>
        <v>0</v>
      </c>
      <c r="BI61" s="176"/>
      <c r="BJ61" s="179"/>
      <c r="BK61" s="179"/>
      <c r="BL61" s="179"/>
      <c r="BM61" s="179"/>
      <c r="BN61" s="179"/>
      <c r="BO61" s="179"/>
      <c r="BP61" s="179"/>
      <c r="BQ61" s="179"/>
      <c r="BR61" s="179"/>
      <c r="BS61" s="179"/>
      <c r="BT61" s="179"/>
      <c r="BU61" s="185"/>
      <c r="BV61" s="179"/>
      <c r="BW61" s="186"/>
      <c r="BX61" s="186"/>
      <c r="BY61" s="186"/>
      <c r="BZ61" s="200">
        <v>1.0</v>
      </c>
      <c r="CA61" s="186"/>
      <c r="CB61" s="186"/>
      <c r="CC61" s="186"/>
      <c r="CD61" s="186"/>
      <c r="CE61" s="172">
        <f t="shared" si="36"/>
        <v>1</v>
      </c>
      <c r="CF61" s="173">
        <f t="shared" si="37"/>
        <v>20</v>
      </c>
      <c r="CG61" s="199"/>
      <c r="CH61" s="186"/>
      <c r="CI61" s="186"/>
      <c r="CJ61" s="186"/>
      <c r="CK61" s="186"/>
      <c r="CL61" s="186"/>
      <c r="CM61" s="186"/>
      <c r="CN61" s="186"/>
      <c r="CO61" s="186"/>
      <c r="CP61" s="186"/>
      <c r="CQ61" s="186"/>
      <c r="CR61" s="186"/>
      <c r="CS61" s="175">
        <f t="shared" si="38"/>
        <v>0</v>
      </c>
      <c r="CT61" s="158">
        <f t="shared" si="39"/>
        <v>0</v>
      </c>
    </row>
    <row r="62" ht="15.75" customHeight="1">
      <c r="A62" s="146">
        <v>52.0</v>
      </c>
      <c r="B62" s="111" t="s">
        <v>155</v>
      </c>
      <c r="C62" s="112" t="s">
        <v>156</v>
      </c>
      <c r="D62" s="250">
        <f t="shared" si="6"/>
        <v>3</v>
      </c>
      <c r="E62" s="113">
        <f t="shared" si="27"/>
        <v>37.5</v>
      </c>
      <c r="F62" s="114">
        <f t="shared" si="28"/>
        <v>37.5</v>
      </c>
      <c r="G62" s="202" t="str">
        <f t="shared" si="29"/>
        <v>  </v>
      </c>
      <c r="H62" s="183"/>
      <c r="I62" s="207"/>
      <c r="J62" s="207"/>
      <c r="K62" s="179"/>
      <c r="L62" s="179"/>
      <c r="M62" s="118">
        <f t="shared" si="30"/>
        <v>0</v>
      </c>
      <c r="N62" s="119" t="str">
        <f t="shared" si="31"/>
        <v>#DIV/0!</v>
      </c>
      <c r="O62" s="176"/>
      <c r="P62" s="179"/>
      <c r="Q62" s="179"/>
      <c r="R62" s="179"/>
      <c r="S62" s="179"/>
      <c r="T62" s="179"/>
      <c r="U62" s="179"/>
      <c r="V62" s="179"/>
      <c r="W62" s="179"/>
      <c r="X62" s="179"/>
      <c r="Y62" s="179"/>
      <c r="Z62" s="179"/>
      <c r="AA62" s="179"/>
      <c r="AB62" s="179"/>
      <c r="AC62" s="179"/>
      <c r="AD62" s="179"/>
      <c r="AE62" s="179"/>
      <c r="AF62" s="176"/>
      <c r="AG62" s="176"/>
      <c r="AH62" s="176"/>
      <c r="AI62" s="176"/>
      <c r="AJ62" s="251">
        <f t="shared" si="32"/>
        <v>0</v>
      </c>
      <c r="AK62" s="169" t="str">
        <f t="shared" si="33"/>
        <v>#DIV/0!</v>
      </c>
      <c r="AL62" s="183"/>
      <c r="AM62" s="179"/>
      <c r="AN62" s="179"/>
      <c r="AO62" s="179"/>
      <c r="AP62" s="179"/>
      <c r="AQ62" s="179"/>
      <c r="AR62" s="179"/>
      <c r="AS62" s="179"/>
      <c r="AT62" s="179"/>
      <c r="AU62" s="179"/>
      <c r="AV62" s="179"/>
      <c r="AW62" s="179"/>
      <c r="AX62" s="179"/>
      <c r="AY62" s="179"/>
      <c r="AZ62" s="179"/>
      <c r="BA62" s="179"/>
      <c r="BB62" s="179"/>
      <c r="BC62" s="179"/>
      <c r="BD62" s="179"/>
      <c r="BE62" s="179"/>
      <c r="BF62" s="179"/>
      <c r="BG62" s="118">
        <f t="shared" si="34"/>
        <v>0</v>
      </c>
      <c r="BH62" s="122">
        <f t="shared" si="35"/>
        <v>0</v>
      </c>
      <c r="BI62" s="176"/>
      <c r="BJ62" s="179"/>
      <c r="BK62" s="179"/>
      <c r="BL62" s="179"/>
      <c r="BM62" s="179"/>
      <c r="BN62" s="179"/>
      <c r="BO62" s="179"/>
      <c r="BP62" s="184">
        <v>1.0</v>
      </c>
      <c r="BQ62" s="179"/>
      <c r="BR62" s="179"/>
      <c r="BS62" s="179"/>
      <c r="BT62" s="179"/>
      <c r="BU62" s="210">
        <v>1.0</v>
      </c>
      <c r="BV62" s="179"/>
      <c r="BW62" s="186"/>
      <c r="BX62" s="186"/>
      <c r="BY62" s="186"/>
      <c r="BZ62" s="200">
        <v>1.0</v>
      </c>
      <c r="CA62" s="186"/>
      <c r="CB62" s="186"/>
      <c r="CC62" s="186"/>
      <c r="CD62" s="186"/>
      <c r="CE62" s="172">
        <f t="shared" si="36"/>
        <v>3</v>
      </c>
      <c r="CF62" s="173">
        <f t="shared" si="37"/>
        <v>60</v>
      </c>
      <c r="CG62" s="199"/>
      <c r="CH62" s="186"/>
      <c r="CI62" s="186"/>
      <c r="CJ62" s="186"/>
      <c r="CK62" s="186"/>
      <c r="CL62" s="186"/>
      <c r="CM62" s="186"/>
      <c r="CN62" s="186"/>
      <c r="CO62" s="186"/>
      <c r="CP62" s="186"/>
      <c r="CQ62" s="186"/>
      <c r="CR62" s="186"/>
      <c r="CS62" s="175">
        <f t="shared" si="38"/>
        <v>0</v>
      </c>
      <c r="CT62" s="158">
        <f t="shared" si="39"/>
        <v>0</v>
      </c>
    </row>
    <row r="63" ht="15.75" customHeight="1">
      <c r="A63" s="131">
        <v>53.0</v>
      </c>
      <c r="B63" s="111" t="s">
        <v>157</v>
      </c>
      <c r="C63" s="112" t="s">
        <v>158</v>
      </c>
      <c r="D63" s="250">
        <f t="shared" si="6"/>
        <v>4</v>
      </c>
      <c r="E63" s="113">
        <f t="shared" si="27"/>
        <v>50</v>
      </c>
      <c r="F63" s="114" t="str">
        <f t="shared" si="28"/>
        <v>  </v>
      </c>
      <c r="G63" s="202" t="str">
        <f t="shared" si="29"/>
        <v>  </v>
      </c>
      <c r="H63" s="183"/>
      <c r="I63" s="179"/>
      <c r="J63" s="179"/>
      <c r="K63" s="179"/>
      <c r="L63" s="179"/>
      <c r="M63" s="118">
        <f t="shared" si="30"/>
        <v>0</v>
      </c>
      <c r="N63" s="119" t="str">
        <f t="shared" si="31"/>
        <v>#DIV/0!</v>
      </c>
      <c r="O63" s="176"/>
      <c r="P63" s="179"/>
      <c r="Q63" s="179"/>
      <c r="R63" s="179"/>
      <c r="S63" s="179"/>
      <c r="T63" s="179"/>
      <c r="U63" s="179"/>
      <c r="V63" s="179"/>
      <c r="W63" s="179"/>
      <c r="X63" s="179"/>
      <c r="Y63" s="179"/>
      <c r="Z63" s="179"/>
      <c r="AA63" s="179"/>
      <c r="AB63" s="179"/>
      <c r="AC63" s="179"/>
      <c r="AD63" s="179"/>
      <c r="AE63" s="179"/>
      <c r="AF63" s="176"/>
      <c r="AG63" s="176"/>
      <c r="AH63" s="176"/>
      <c r="AI63" s="176"/>
      <c r="AJ63" s="251">
        <f t="shared" si="32"/>
        <v>0</v>
      </c>
      <c r="AK63" s="169" t="str">
        <f t="shared" si="33"/>
        <v>#DIV/0!</v>
      </c>
      <c r="AL63" s="183"/>
      <c r="AM63" s="179"/>
      <c r="AN63" s="179"/>
      <c r="AO63" s="179"/>
      <c r="AP63" s="179"/>
      <c r="AQ63" s="179"/>
      <c r="AR63" s="179"/>
      <c r="AS63" s="179"/>
      <c r="AT63" s="179"/>
      <c r="AU63" s="179"/>
      <c r="AV63" s="179"/>
      <c r="AW63" s="179"/>
      <c r="AX63" s="179"/>
      <c r="AY63" s="179"/>
      <c r="AZ63" s="179"/>
      <c r="BA63" s="179"/>
      <c r="BB63" s="179"/>
      <c r="BC63" s="179"/>
      <c r="BD63" s="179"/>
      <c r="BE63" s="179"/>
      <c r="BF63" s="179"/>
      <c r="BG63" s="118">
        <f t="shared" si="34"/>
        <v>0</v>
      </c>
      <c r="BH63" s="122">
        <f t="shared" si="35"/>
        <v>0</v>
      </c>
      <c r="BI63" s="176"/>
      <c r="BJ63" s="179"/>
      <c r="BK63" s="179"/>
      <c r="BL63" s="179"/>
      <c r="BM63" s="179"/>
      <c r="BN63" s="179"/>
      <c r="BO63" s="179"/>
      <c r="BP63" s="184">
        <v>1.0</v>
      </c>
      <c r="BQ63" s="179"/>
      <c r="BR63" s="179"/>
      <c r="BS63" s="179"/>
      <c r="BT63" s="179"/>
      <c r="BU63" s="216">
        <v>1.0</v>
      </c>
      <c r="BV63" s="179"/>
      <c r="BW63" s="186"/>
      <c r="BX63" s="186"/>
      <c r="BY63" s="186"/>
      <c r="BZ63" s="200">
        <v>1.0</v>
      </c>
      <c r="CA63" s="186"/>
      <c r="CB63" s="186"/>
      <c r="CC63" s="186"/>
      <c r="CD63" s="186"/>
      <c r="CE63" s="172">
        <f t="shared" si="36"/>
        <v>3</v>
      </c>
      <c r="CF63" s="173">
        <f t="shared" si="37"/>
        <v>60</v>
      </c>
      <c r="CG63" s="189">
        <v>1.0</v>
      </c>
      <c r="CH63" s="186"/>
      <c r="CI63" s="186"/>
      <c r="CJ63" s="186"/>
      <c r="CK63" s="186"/>
      <c r="CL63" s="186"/>
      <c r="CM63" s="186"/>
      <c r="CN63" s="186"/>
      <c r="CO63" s="186"/>
      <c r="CP63" s="186"/>
      <c r="CQ63" s="186"/>
      <c r="CR63" s="186"/>
      <c r="CS63" s="175">
        <f t="shared" si="38"/>
        <v>1</v>
      </c>
      <c r="CT63" s="158">
        <f t="shared" si="39"/>
        <v>100</v>
      </c>
    </row>
    <row r="64" ht="15.75" customHeight="1">
      <c r="A64" s="146">
        <v>54.0</v>
      </c>
      <c r="B64" s="111" t="s">
        <v>159</v>
      </c>
      <c r="C64" s="112" t="s">
        <v>160</v>
      </c>
      <c r="D64" s="250">
        <f t="shared" si="6"/>
        <v>4</v>
      </c>
      <c r="E64" s="113">
        <f t="shared" si="27"/>
        <v>50</v>
      </c>
      <c r="F64" s="114" t="str">
        <f t="shared" si="28"/>
        <v>  </v>
      </c>
      <c r="G64" s="164" t="str">
        <f t="shared" si="29"/>
        <v>  </v>
      </c>
      <c r="H64" s="183"/>
      <c r="I64" s="186"/>
      <c r="J64" s="207"/>
      <c r="K64" s="179"/>
      <c r="L64" s="179"/>
      <c r="M64" s="118">
        <f t="shared" si="30"/>
        <v>0</v>
      </c>
      <c r="N64" s="119" t="str">
        <f t="shared" si="31"/>
        <v>#DIV/0!</v>
      </c>
      <c r="O64" s="195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  <c r="AA64" s="186"/>
      <c r="AB64" s="186"/>
      <c r="AC64" s="186"/>
      <c r="AD64" s="186"/>
      <c r="AE64" s="186"/>
      <c r="AF64" s="195"/>
      <c r="AG64" s="195"/>
      <c r="AH64" s="195"/>
      <c r="AI64" s="195"/>
      <c r="AJ64" s="251">
        <f t="shared" si="32"/>
        <v>0</v>
      </c>
      <c r="AK64" s="169" t="str">
        <f t="shared" si="33"/>
        <v>#DIV/0!</v>
      </c>
      <c r="AL64" s="199"/>
      <c r="AM64" s="186"/>
      <c r="AN64" s="186"/>
      <c r="AO64" s="186"/>
      <c r="AP64" s="186"/>
      <c r="AQ64" s="186"/>
      <c r="AR64" s="186"/>
      <c r="AS64" s="186"/>
      <c r="AT64" s="200">
        <v>1.0</v>
      </c>
      <c r="AU64" s="186"/>
      <c r="AV64" s="186"/>
      <c r="AW64" s="186"/>
      <c r="AX64" s="186"/>
      <c r="AY64" s="200">
        <v>1.0</v>
      </c>
      <c r="AZ64" s="186"/>
      <c r="BA64" s="186"/>
      <c r="BB64" s="186"/>
      <c r="BC64" s="186"/>
      <c r="BD64" s="186"/>
      <c r="BE64" s="186"/>
      <c r="BF64" s="186"/>
      <c r="BG64" s="118">
        <f t="shared" si="34"/>
        <v>2</v>
      </c>
      <c r="BH64" s="122">
        <f t="shared" si="35"/>
        <v>50</v>
      </c>
      <c r="BI64" s="195"/>
      <c r="BJ64" s="186"/>
      <c r="BK64" s="186"/>
      <c r="BL64" s="186"/>
      <c r="BM64" s="186"/>
      <c r="BN64" s="186"/>
      <c r="BO64" s="186"/>
      <c r="BP64" s="186"/>
      <c r="BQ64" s="186"/>
      <c r="BR64" s="186"/>
      <c r="BS64" s="186"/>
      <c r="BT64" s="186"/>
      <c r="BU64" s="216">
        <v>1.0</v>
      </c>
      <c r="BV64" s="186"/>
      <c r="BW64" s="186"/>
      <c r="BX64" s="186"/>
      <c r="BY64" s="186"/>
      <c r="BZ64" s="200">
        <v>1.0</v>
      </c>
      <c r="CA64" s="186"/>
      <c r="CB64" s="186"/>
      <c r="CC64" s="186"/>
      <c r="CD64" s="186"/>
      <c r="CE64" s="172">
        <f t="shared" si="36"/>
        <v>2</v>
      </c>
      <c r="CF64" s="173">
        <f t="shared" si="37"/>
        <v>40</v>
      </c>
      <c r="CG64" s="199"/>
      <c r="CH64" s="186"/>
      <c r="CI64" s="186"/>
      <c r="CJ64" s="186"/>
      <c r="CK64" s="186"/>
      <c r="CL64" s="186"/>
      <c r="CM64" s="186"/>
      <c r="CN64" s="186"/>
      <c r="CO64" s="186"/>
      <c r="CP64" s="186"/>
      <c r="CQ64" s="186"/>
      <c r="CR64" s="186"/>
      <c r="CS64" s="175">
        <f t="shared" si="38"/>
        <v>0</v>
      </c>
      <c r="CT64" s="158">
        <f t="shared" si="39"/>
        <v>0</v>
      </c>
    </row>
    <row r="65" ht="15.75" customHeight="1">
      <c r="A65" s="146">
        <v>55.0</v>
      </c>
      <c r="B65" s="111" t="s">
        <v>161</v>
      </c>
      <c r="C65" s="112" t="s">
        <v>162</v>
      </c>
      <c r="D65" s="250">
        <f t="shared" si="6"/>
        <v>2</v>
      </c>
      <c r="E65" s="113">
        <f t="shared" si="27"/>
        <v>25</v>
      </c>
      <c r="F65" s="114">
        <f t="shared" si="28"/>
        <v>25</v>
      </c>
      <c r="G65" s="202">
        <f t="shared" si="29"/>
        <v>25</v>
      </c>
      <c r="H65" s="183"/>
      <c r="I65" s="186"/>
      <c r="J65" s="186"/>
      <c r="K65" s="179"/>
      <c r="L65" s="179"/>
      <c r="M65" s="118">
        <f t="shared" si="30"/>
        <v>0</v>
      </c>
      <c r="N65" s="119" t="str">
        <f t="shared" si="31"/>
        <v>#DIV/0!</v>
      </c>
      <c r="O65" s="195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  <c r="AA65" s="186"/>
      <c r="AB65" s="186"/>
      <c r="AC65" s="186"/>
      <c r="AD65" s="186"/>
      <c r="AE65" s="186"/>
      <c r="AF65" s="195"/>
      <c r="AG65" s="195"/>
      <c r="AH65" s="195"/>
      <c r="AI65" s="195"/>
      <c r="AJ65" s="251">
        <f t="shared" si="32"/>
        <v>0</v>
      </c>
      <c r="AK65" s="169" t="str">
        <f t="shared" si="33"/>
        <v>#DIV/0!</v>
      </c>
      <c r="AL65" s="199"/>
      <c r="AM65" s="186"/>
      <c r="AN65" s="186"/>
      <c r="AO65" s="186"/>
      <c r="AP65" s="186"/>
      <c r="AQ65" s="186"/>
      <c r="AR65" s="186"/>
      <c r="AS65" s="186"/>
      <c r="AT65" s="200">
        <v>1.0</v>
      </c>
      <c r="AU65" s="186"/>
      <c r="AV65" s="186"/>
      <c r="AW65" s="186"/>
      <c r="AX65" s="186"/>
      <c r="AY65" s="186"/>
      <c r="AZ65" s="186"/>
      <c r="BA65" s="186"/>
      <c r="BB65" s="186"/>
      <c r="BC65" s="186"/>
      <c r="BD65" s="186"/>
      <c r="BE65" s="186"/>
      <c r="BF65" s="186"/>
      <c r="BG65" s="118">
        <f t="shared" si="34"/>
        <v>1</v>
      </c>
      <c r="BH65" s="122">
        <f t="shared" si="35"/>
        <v>25</v>
      </c>
      <c r="BI65" s="195"/>
      <c r="BJ65" s="186"/>
      <c r="BK65" s="186"/>
      <c r="BL65" s="186"/>
      <c r="BM65" s="186"/>
      <c r="BN65" s="186"/>
      <c r="BO65" s="186"/>
      <c r="BP65" s="200">
        <v>1.0</v>
      </c>
      <c r="BQ65" s="186"/>
      <c r="BR65" s="186"/>
      <c r="BS65" s="186"/>
      <c r="BT65" s="186"/>
      <c r="BU65" s="185"/>
      <c r="BV65" s="186"/>
      <c r="BW65" s="186"/>
      <c r="BX65" s="186"/>
      <c r="BY65" s="186"/>
      <c r="BZ65" s="186"/>
      <c r="CA65" s="186"/>
      <c r="CB65" s="186"/>
      <c r="CC65" s="186"/>
      <c r="CD65" s="186"/>
      <c r="CE65" s="172">
        <f t="shared" si="36"/>
        <v>1</v>
      </c>
      <c r="CF65" s="173">
        <f t="shared" si="37"/>
        <v>20</v>
      </c>
      <c r="CG65" s="199"/>
      <c r="CH65" s="186"/>
      <c r="CI65" s="186"/>
      <c r="CJ65" s="186"/>
      <c r="CK65" s="186"/>
      <c r="CL65" s="186"/>
      <c r="CM65" s="186"/>
      <c r="CN65" s="186"/>
      <c r="CO65" s="186"/>
      <c r="CP65" s="186"/>
      <c r="CQ65" s="186"/>
      <c r="CR65" s="186"/>
      <c r="CS65" s="175">
        <f t="shared" si="38"/>
        <v>0</v>
      </c>
      <c r="CT65" s="158">
        <f t="shared" si="39"/>
        <v>0</v>
      </c>
    </row>
    <row r="66" ht="15.75" customHeight="1">
      <c r="A66" s="131">
        <v>56.0</v>
      </c>
      <c r="B66" s="111" t="s">
        <v>163</v>
      </c>
      <c r="C66" s="112" t="s">
        <v>164</v>
      </c>
      <c r="D66" s="250">
        <f t="shared" si="6"/>
        <v>3</v>
      </c>
      <c r="E66" s="113">
        <f t="shared" si="27"/>
        <v>37.5</v>
      </c>
      <c r="F66" s="114">
        <f t="shared" si="28"/>
        <v>37.5</v>
      </c>
      <c r="G66" s="164" t="str">
        <f t="shared" si="29"/>
        <v>  </v>
      </c>
      <c r="H66" s="183"/>
      <c r="I66" s="207"/>
      <c r="J66" s="207"/>
      <c r="K66" s="179"/>
      <c r="L66" s="179"/>
      <c r="M66" s="118">
        <f t="shared" si="30"/>
        <v>0</v>
      </c>
      <c r="N66" s="119" t="str">
        <f t="shared" si="31"/>
        <v>#DIV/0!</v>
      </c>
      <c r="O66" s="176"/>
      <c r="P66" s="179"/>
      <c r="Q66" s="179"/>
      <c r="R66" s="179"/>
      <c r="S66" s="179"/>
      <c r="T66" s="179"/>
      <c r="U66" s="179"/>
      <c r="V66" s="179"/>
      <c r="W66" s="179"/>
      <c r="X66" s="179"/>
      <c r="Y66" s="179"/>
      <c r="Z66" s="179"/>
      <c r="AA66" s="179"/>
      <c r="AB66" s="179"/>
      <c r="AC66" s="179"/>
      <c r="AD66" s="179"/>
      <c r="AE66" s="179"/>
      <c r="AF66" s="176"/>
      <c r="AG66" s="176"/>
      <c r="AH66" s="176"/>
      <c r="AI66" s="176"/>
      <c r="AJ66" s="251">
        <f t="shared" si="32"/>
        <v>0</v>
      </c>
      <c r="AK66" s="169" t="str">
        <f t="shared" si="33"/>
        <v>#DIV/0!</v>
      </c>
      <c r="AL66" s="279">
        <v>1.0</v>
      </c>
      <c r="AM66" s="179"/>
      <c r="AN66" s="179"/>
      <c r="AO66" s="179"/>
      <c r="AP66" s="179"/>
      <c r="AQ66" s="179"/>
      <c r="AR66" s="179"/>
      <c r="AS66" s="179"/>
      <c r="AT66" s="179"/>
      <c r="AU66" s="179"/>
      <c r="AV66" s="179"/>
      <c r="AW66" s="179"/>
      <c r="AX66" s="179"/>
      <c r="AY66" s="184">
        <v>1.0</v>
      </c>
      <c r="AZ66" s="179"/>
      <c r="BA66" s="179"/>
      <c r="BB66" s="179"/>
      <c r="BC66" s="179"/>
      <c r="BD66" s="179"/>
      <c r="BE66" s="179"/>
      <c r="BF66" s="179"/>
      <c r="BG66" s="118">
        <f t="shared" si="34"/>
        <v>2</v>
      </c>
      <c r="BH66" s="122">
        <f t="shared" si="35"/>
        <v>50</v>
      </c>
      <c r="BI66" s="176"/>
      <c r="BJ66" s="179"/>
      <c r="BK66" s="179"/>
      <c r="BL66" s="179"/>
      <c r="BM66" s="179"/>
      <c r="BN66" s="179"/>
      <c r="BO66" s="179"/>
      <c r="BP66" s="184">
        <v>1.0</v>
      </c>
      <c r="BQ66" s="179"/>
      <c r="BR66" s="179"/>
      <c r="BS66" s="179"/>
      <c r="BT66" s="179"/>
      <c r="BU66" s="252"/>
      <c r="BV66" s="179"/>
      <c r="BW66" s="186"/>
      <c r="BX66" s="186"/>
      <c r="BY66" s="186"/>
      <c r="BZ66" s="186"/>
      <c r="CA66" s="186"/>
      <c r="CB66" s="186"/>
      <c r="CC66" s="186"/>
      <c r="CD66" s="186"/>
      <c r="CE66" s="172">
        <f t="shared" si="36"/>
        <v>1</v>
      </c>
      <c r="CF66" s="173">
        <f t="shared" si="37"/>
        <v>20</v>
      </c>
      <c r="CG66" s="199"/>
      <c r="CH66" s="186"/>
      <c r="CI66" s="186"/>
      <c r="CJ66" s="186"/>
      <c r="CK66" s="186"/>
      <c r="CL66" s="186"/>
      <c r="CM66" s="186"/>
      <c r="CN66" s="186"/>
      <c r="CO66" s="186"/>
      <c r="CP66" s="186"/>
      <c r="CQ66" s="186"/>
      <c r="CR66" s="186"/>
      <c r="CS66" s="175">
        <f t="shared" si="38"/>
        <v>0</v>
      </c>
      <c r="CT66" s="158">
        <f t="shared" si="39"/>
        <v>0</v>
      </c>
    </row>
    <row r="67" ht="15.75" customHeight="1">
      <c r="A67" s="146">
        <v>57.0</v>
      </c>
      <c r="B67" s="111" t="s">
        <v>165</v>
      </c>
      <c r="C67" s="112" t="s">
        <v>166</v>
      </c>
      <c r="D67" s="250">
        <f t="shared" si="6"/>
        <v>5</v>
      </c>
      <c r="E67" s="113">
        <f t="shared" si="27"/>
        <v>62.5</v>
      </c>
      <c r="F67" s="114" t="str">
        <f t="shared" si="28"/>
        <v>  </v>
      </c>
      <c r="G67" s="202" t="str">
        <f t="shared" si="29"/>
        <v>  </v>
      </c>
      <c r="H67" s="212"/>
      <c r="I67" s="179"/>
      <c r="J67" s="179"/>
      <c r="K67" s="179"/>
      <c r="L67" s="179"/>
      <c r="M67" s="118">
        <f t="shared" si="30"/>
        <v>0</v>
      </c>
      <c r="N67" s="119" t="str">
        <f t="shared" si="31"/>
        <v>#DIV/0!</v>
      </c>
      <c r="O67" s="176"/>
      <c r="P67" s="179"/>
      <c r="Q67" s="179"/>
      <c r="R67" s="179"/>
      <c r="S67" s="179"/>
      <c r="T67" s="179"/>
      <c r="U67" s="179"/>
      <c r="V67" s="179"/>
      <c r="W67" s="179"/>
      <c r="X67" s="179"/>
      <c r="Y67" s="179"/>
      <c r="Z67" s="179"/>
      <c r="AA67" s="179"/>
      <c r="AB67" s="179"/>
      <c r="AC67" s="179"/>
      <c r="AD67" s="179"/>
      <c r="AE67" s="179"/>
      <c r="AF67" s="176"/>
      <c r="AG67" s="176"/>
      <c r="AH67" s="176"/>
      <c r="AI67" s="176"/>
      <c r="AJ67" s="251">
        <f t="shared" si="32"/>
        <v>0</v>
      </c>
      <c r="AK67" s="169" t="str">
        <f t="shared" si="33"/>
        <v>#DIV/0!</v>
      </c>
      <c r="AL67" s="279">
        <v>1.0</v>
      </c>
      <c r="AM67" s="179"/>
      <c r="AN67" s="179"/>
      <c r="AO67" s="179"/>
      <c r="AP67" s="179"/>
      <c r="AQ67" s="179"/>
      <c r="AR67" s="179"/>
      <c r="AS67" s="179"/>
      <c r="AT67" s="179"/>
      <c r="AU67" s="179"/>
      <c r="AV67" s="179"/>
      <c r="AW67" s="179"/>
      <c r="AX67" s="179"/>
      <c r="AY67" s="184">
        <v>1.0</v>
      </c>
      <c r="AZ67" s="179"/>
      <c r="BA67" s="179"/>
      <c r="BB67" s="179"/>
      <c r="BC67" s="179"/>
      <c r="BD67" s="184">
        <v>1.0</v>
      </c>
      <c r="BE67" s="179"/>
      <c r="BF67" s="179"/>
      <c r="BG67" s="118">
        <f t="shared" si="34"/>
        <v>3</v>
      </c>
      <c r="BH67" s="122">
        <f t="shared" si="35"/>
        <v>75</v>
      </c>
      <c r="BI67" s="176"/>
      <c r="BJ67" s="179"/>
      <c r="BK67" s="179"/>
      <c r="BL67" s="179"/>
      <c r="BM67" s="179"/>
      <c r="BN67" s="179"/>
      <c r="BO67" s="179"/>
      <c r="BP67" s="184">
        <v>1.0</v>
      </c>
      <c r="BQ67" s="179"/>
      <c r="BR67" s="179"/>
      <c r="BS67" s="179"/>
      <c r="BT67" s="179"/>
      <c r="BU67" s="185"/>
      <c r="BV67" s="179"/>
      <c r="BW67" s="186"/>
      <c r="BX67" s="186"/>
      <c r="BY67" s="186"/>
      <c r="BZ67" s="200">
        <v>1.0</v>
      </c>
      <c r="CA67" s="186"/>
      <c r="CB67" s="186"/>
      <c r="CC67" s="186"/>
      <c r="CD67" s="186"/>
      <c r="CE67" s="172">
        <f t="shared" si="36"/>
        <v>2</v>
      </c>
      <c r="CF67" s="173">
        <f t="shared" si="37"/>
        <v>40</v>
      </c>
      <c r="CG67" s="199"/>
      <c r="CH67" s="186"/>
      <c r="CI67" s="186"/>
      <c r="CJ67" s="186"/>
      <c r="CK67" s="186"/>
      <c r="CL67" s="186"/>
      <c r="CM67" s="186"/>
      <c r="CN67" s="186"/>
      <c r="CO67" s="186"/>
      <c r="CP67" s="186"/>
      <c r="CQ67" s="186"/>
      <c r="CR67" s="186"/>
      <c r="CS67" s="175">
        <f t="shared" si="38"/>
        <v>0</v>
      </c>
      <c r="CT67" s="158">
        <f t="shared" si="39"/>
        <v>0</v>
      </c>
    </row>
    <row r="68" ht="15.75" customHeight="1">
      <c r="A68" s="146">
        <v>58.0</v>
      </c>
      <c r="B68" s="111" t="s">
        <v>167</v>
      </c>
      <c r="C68" s="112" t="s">
        <v>168</v>
      </c>
      <c r="D68" s="250">
        <f t="shared" si="6"/>
        <v>7</v>
      </c>
      <c r="E68" s="113">
        <f t="shared" si="27"/>
        <v>87.5</v>
      </c>
      <c r="F68" s="114" t="str">
        <f t="shared" si="28"/>
        <v>  </v>
      </c>
      <c r="G68" s="202" t="str">
        <f t="shared" si="29"/>
        <v>  </v>
      </c>
      <c r="H68" s="183"/>
      <c r="I68" s="179"/>
      <c r="J68" s="179"/>
      <c r="K68" s="179"/>
      <c r="L68" s="179"/>
      <c r="M68" s="118">
        <f t="shared" si="30"/>
        <v>0</v>
      </c>
      <c r="N68" s="119" t="str">
        <f t="shared" si="31"/>
        <v>#DIV/0!</v>
      </c>
      <c r="O68" s="206"/>
      <c r="P68" s="207"/>
      <c r="Q68" s="207"/>
      <c r="R68" s="207"/>
      <c r="S68" s="207"/>
      <c r="T68" s="207"/>
      <c r="U68" s="207"/>
      <c r="V68" s="207"/>
      <c r="W68" s="207"/>
      <c r="X68" s="207"/>
      <c r="Y68" s="207"/>
      <c r="Z68" s="207"/>
      <c r="AA68" s="207"/>
      <c r="AB68" s="207"/>
      <c r="AC68" s="207"/>
      <c r="AD68" s="207"/>
      <c r="AE68" s="207"/>
      <c r="AF68" s="206"/>
      <c r="AG68" s="206"/>
      <c r="AH68" s="206"/>
      <c r="AI68" s="206"/>
      <c r="AJ68" s="251">
        <f t="shared" si="32"/>
        <v>0</v>
      </c>
      <c r="AK68" s="169" t="str">
        <f t="shared" si="33"/>
        <v>#DIV/0!</v>
      </c>
      <c r="AL68" s="212"/>
      <c r="AM68" s="207"/>
      <c r="AN68" s="207"/>
      <c r="AO68" s="207"/>
      <c r="AP68" s="207"/>
      <c r="AQ68" s="207"/>
      <c r="AR68" s="207"/>
      <c r="AS68" s="207"/>
      <c r="AT68" s="234">
        <v>1.0</v>
      </c>
      <c r="AU68" s="207"/>
      <c r="AV68" s="207"/>
      <c r="AW68" s="207"/>
      <c r="AX68" s="207"/>
      <c r="AY68" s="234">
        <v>1.0</v>
      </c>
      <c r="AZ68" s="207"/>
      <c r="BA68" s="207"/>
      <c r="BB68" s="207"/>
      <c r="BC68" s="207"/>
      <c r="BD68" s="234">
        <v>1.0</v>
      </c>
      <c r="BE68" s="207"/>
      <c r="BF68" s="207"/>
      <c r="BG68" s="118">
        <f t="shared" si="34"/>
        <v>3</v>
      </c>
      <c r="BH68" s="122">
        <f t="shared" si="35"/>
        <v>75</v>
      </c>
      <c r="BI68" s="206"/>
      <c r="BJ68" s="207"/>
      <c r="BK68" s="207"/>
      <c r="BL68" s="207"/>
      <c r="BM68" s="207"/>
      <c r="BN68" s="207"/>
      <c r="BO68" s="207"/>
      <c r="BP68" s="234">
        <v>1.0</v>
      </c>
      <c r="BQ68" s="207"/>
      <c r="BR68" s="207"/>
      <c r="BS68" s="207"/>
      <c r="BT68" s="207"/>
      <c r="BU68" s="210">
        <v>1.0</v>
      </c>
      <c r="BV68" s="207"/>
      <c r="BW68" s="186"/>
      <c r="BX68" s="186"/>
      <c r="BY68" s="186"/>
      <c r="BZ68" s="200">
        <v>1.0</v>
      </c>
      <c r="CA68" s="186"/>
      <c r="CB68" s="186"/>
      <c r="CC68" s="186"/>
      <c r="CD68" s="186"/>
      <c r="CE68" s="172">
        <f t="shared" si="36"/>
        <v>3</v>
      </c>
      <c r="CF68" s="173">
        <f t="shared" si="37"/>
        <v>60</v>
      </c>
      <c r="CG68" s="189">
        <v>1.0</v>
      </c>
      <c r="CH68" s="186"/>
      <c r="CI68" s="186"/>
      <c r="CJ68" s="186"/>
      <c r="CK68" s="186"/>
      <c r="CL68" s="186"/>
      <c r="CM68" s="43"/>
      <c r="CN68" s="186"/>
      <c r="CO68" s="186"/>
      <c r="CP68" s="186"/>
      <c r="CQ68" s="186"/>
      <c r="CR68" s="186"/>
      <c r="CS68" s="175">
        <f t="shared" si="38"/>
        <v>1</v>
      </c>
      <c r="CT68" s="158">
        <f t="shared" si="39"/>
        <v>100</v>
      </c>
    </row>
    <row r="69" ht="15.75" customHeight="1">
      <c r="A69" s="131">
        <v>59.0</v>
      </c>
      <c r="B69" s="111" t="s">
        <v>169</v>
      </c>
      <c r="C69" s="112" t="s">
        <v>170</v>
      </c>
      <c r="D69" s="250">
        <f t="shared" si="6"/>
        <v>6</v>
      </c>
      <c r="E69" s="113">
        <f t="shared" si="27"/>
        <v>75</v>
      </c>
      <c r="F69" s="114" t="str">
        <f t="shared" si="28"/>
        <v>  </v>
      </c>
      <c r="G69" s="202" t="str">
        <f t="shared" si="29"/>
        <v>  </v>
      </c>
      <c r="H69" s="183"/>
      <c r="I69" s="179"/>
      <c r="J69" s="179"/>
      <c r="K69" s="179"/>
      <c r="L69" s="179"/>
      <c r="M69" s="118">
        <f t="shared" si="30"/>
        <v>0</v>
      </c>
      <c r="N69" s="119" t="str">
        <f t="shared" si="31"/>
        <v>#DIV/0!</v>
      </c>
      <c r="O69" s="176"/>
      <c r="P69" s="179"/>
      <c r="Q69" s="179"/>
      <c r="R69" s="179"/>
      <c r="S69" s="179"/>
      <c r="T69" s="179"/>
      <c r="U69" s="179"/>
      <c r="V69" s="179"/>
      <c r="W69" s="179"/>
      <c r="X69" s="179"/>
      <c r="Y69" s="179"/>
      <c r="Z69" s="179"/>
      <c r="AA69" s="179"/>
      <c r="AB69" s="179"/>
      <c r="AC69" s="179"/>
      <c r="AD69" s="179"/>
      <c r="AE69" s="179"/>
      <c r="AF69" s="176"/>
      <c r="AG69" s="176"/>
      <c r="AH69" s="176"/>
      <c r="AI69" s="176"/>
      <c r="AJ69" s="251">
        <f t="shared" si="32"/>
        <v>0</v>
      </c>
      <c r="AK69" s="169" t="str">
        <f t="shared" si="33"/>
        <v>#DIV/0!</v>
      </c>
      <c r="AL69" s="279">
        <v>1.0</v>
      </c>
      <c r="AM69" s="179"/>
      <c r="AN69" s="179"/>
      <c r="AO69" s="179"/>
      <c r="AP69" s="179"/>
      <c r="AQ69" s="179"/>
      <c r="AR69" s="179"/>
      <c r="AS69" s="179"/>
      <c r="AT69" s="184">
        <v>1.0</v>
      </c>
      <c r="AU69" s="179"/>
      <c r="AV69" s="179"/>
      <c r="AW69" s="179"/>
      <c r="AX69" s="179"/>
      <c r="AY69" s="184">
        <v>1.0</v>
      </c>
      <c r="AZ69" s="179"/>
      <c r="BA69" s="179"/>
      <c r="BB69" s="179"/>
      <c r="BC69" s="179"/>
      <c r="BD69" s="179"/>
      <c r="BE69" s="179"/>
      <c r="BF69" s="179"/>
      <c r="BG69" s="118">
        <f t="shared" si="34"/>
        <v>3</v>
      </c>
      <c r="BH69" s="122">
        <f t="shared" si="35"/>
        <v>75</v>
      </c>
      <c r="BI69" s="176"/>
      <c r="BJ69" s="179"/>
      <c r="BK69" s="179"/>
      <c r="BL69" s="179"/>
      <c r="BM69" s="179"/>
      <c r="BN69" s="179"/>
      <c r="BO69" s="179"/>
      <c r="BP69" s="184">
        <v>1.0</v>
      </c>
      <c r="BQ69" s="179"/>
      <c r="BR69" s="179"/>
      <c r="BS69" s="179"/>
      <c r="BT69" s="179"/>
      <c r="BU69" s="185"/>
      <c r="BV69" s="179"/>
      <c r="BW69" s="186"/>
      <c r="BX69" s="186"/>
      <c r="BY69" s="186"/>
      <c r="BZ69" s="200">
        <v>1.0</v>
      </c>
      <c r="CA69" s="186"/>
      <c r="CB69" s="186"/>
      <c r="CC69" s="186"/>
      <c r="CD69" s="186"/>
      <c r="CE69" s="172">
        <f t="shared" si="36"/>
        <v>2</v>
      </c>
      <c r="CF69" s="173">
        <f t="shared" si="37"/>
        <v>40</v>
      </c>
      <c r="CG69" s="189">
        <v>1.0</v>
      </c>
      <c r="CH69" s="186"/>
      <c r="CI69" s="186"/>
      <c r="CJ69" s="186"/>
      <c r="CK69" s="186"/>
      <c r="CL69" s="186"/>
      <c r="CM69" s="186"/>
      <c r="CN69" s="186"/>
      <c r="CO69" s="186"/>
      <c r="CP69" s="186"/>
      <c r="CQ69" s="186"/>
      <c r="CR69" s="186"/>
      <c r="CS69" s="175">
        <f t="shared" si="38"/>
        <v>1</v>
      </c>
      <c r="CT69" s="158">
        <f t="shared" si="39"/>
        <v>100</v>
      </c>
    </row>
    <row r="70" ht="15.75" customHeight="1">
      <c r="A70" s="146">
        <v>60.0</v>
      </c>
      <c r="B70" s="111" t="s">
        <v>171</v>
      </c>
      <c r="C70" s="112" t="s">
        <v>172</v>
      </c>
      <c r="D70" s="250">
        <f t="shared" si="6"/>
        <v>5</v>
      </c>
      <c r="E70" s="113">
        <f t="shared" si="27"/>
        <v>62.5</v>
      </c>
      <c r="F70" s="114" t="str">
        <f t="shared" si="28"/>
        <v>  </v>
      </c>
      <c r="G70" s="202" t="str">
        <f t="shared" si="29"/>
        <v>  </v>
      </c>
      <c r="H70" s="183"/>
      <c r="I70" s="179"/>
      <c r="J70" s="186"/>
      <c r="K70" s="179"/>
      <c r="L70" s="179"/>
      <c r="M70" s="118">
        <f t="shared" si="30"/>
        <v>0</v>
      </c>
      <c r="N70" s="119" t="str">
        <f t="shared" si="31"/>
        <v>#DIV/0!</v>
      </c>
      <c r="O70" s="176"/>
      <c r="P70" s="179"/>
      <c r="Q70" s="179"/>
      <c r="R70" s="179"/>
      <c r="S70" s="179"/>
      <c r="T70" s="179"/>
      <c r="U70" s="179"/>
      <c r="V70" s="179"/>
      <c r="W70" s="179"/>
      <c r="X70" s="179"/>
      <c r="Y70" s="179"/>
      <c r="Z70" s="179"/>
      <c r="AA70" s="179"/>
      <c r="AB70" s="179"/>
      <c r="AC70" s="179"/>
      <c r="AD70" s="179"/>
      <c r="AE70" s="179"/>
      <c r="AF70" s="176"/>
      <c r="AG70" s="176"/>
      <c r="AH70" s="176"/>
      <c r="AI70" s="176"/>
      <c r="AJ70" s="251">
        <f t="shared" si="32"/>
        <v>0</v>
      </c>
      <c r="AK70" s="169" t="str">
        <f t="shared" si="33"/>
        <v>#DIV/0!</v>
      </c>
      <c r="AL70" s="183"/>
      <c r="AM70" s="179"/>
      <c r="AN70" s="179"/>
      <c r="AO70" s="179"/>
      <c r="AP70" s="179"/>
      <c r="AQ70" s="179"/>
      <c r="AR70" s="179"/>
      <c r="AS70" s="179"/>
      <c r="AT70" s="179"/>
      <c r="AU70" s="179"/>
      <c r="AV70" s="179"/>
      <c r="AW70" s="179"/>
      <c r="AX70" s="179"/>
      <c r="AY70" s="184">
        <v>1.0</v>
      </c>
      <c r="AZ70" s="179"/>
      <c r="BA70" s="179"/>
      <c r="BB70" s="179"/>
      <c r="BC70" s="179"/>
      <c r="BD70" s="179"/>
      <c r="BE70" s="179"/>
      <c r="BF70" s="179"/>
      <c r="BG70" s="118">
        <f t="shared" si="34"/>
        <v>1</v>
      </c>
      <c r="BH70" s="122">
        <f t="shared" si="35"/>
        <v>25</v>
      </c>
      <c r="BI70" s="176"/>
      <c r="BJ70" s="179"/>
      <c r="BK70" s="179"/>
      <c r="BL70" s="179"/>
      <c r="BM70" s="179"/>
      <c r="BN70" s="179"/>
      <c r="BO70" s="179"/>
      <c r="BP70" s="184">
        <v>1.0</v>
      </c>
      <c r="BQ70" s="179"/>
      <c r="BR70" s="179"/>
      <c r="BS70" s="179"/>
      <c r="BT70" s="179"/>
      <c r="BU70" s="210">
        <v>1.0</v>
      </c>
      <c r="BV70" s="179"/>
      <c r="BW70" s="186"/>
      <c r="BX70" s="186"/>
      <c r="BY70" s="186"/>
      <c r="BZ70" s="200">
        <v>1.0</v>
      </c>
      <c r="CA70" s="186"/>
      <c r="CB70" s="186"/>
      <c r="CC70" s="186"/>
      <c r="CD70" s="186"/>
      <c r="CE70" s="172">
        <f t="shared" si="36"/>
        <v>3</v>
      </c>
      <c r="CF70" s="173">
        <f t="shared" si="37"/>
        <v>60</v>
      </c>
      <c r="CG70" s="189">
        <v>1.0</v>
      </c>
      <c r="CH70" s="186"/>
      <c r="CI70" s="186"/>
      <c r="CJ70" s="186"/>
      <c r="CK70" s="186"/>
      <c r="CL70" s="186"/>
      <c r="CM70" s="186"/>
      <c r="CN70" s="186"/>
      <c r="CO70" s="186"/>
      <c r="CP70" s="186"/>
      <c r="CQ70" s="186"/>
      <c r="CR70" s="186"/>
      <c r="CS70" s="175">
        <f t="shared" si="38"/>
        <v>1</v>
      </c>
      <c r="CT70" s="158">
        <f t="shared" si="39"/>
        <v>100</v>
      </c>
    </row>
    <row r="71" ht="15.75" customHeight="1">
      <c r="A71" s="146">
        <v>61.0</v>
      </c>
      <c r="B71" s="111" t="s">
        <v>173</v>
      </c>
      <c r="C71" s="112" t="s">
        <v>174</v>
      </c>
      <c r="D71" s="250">
        <f t="shared" si="6"/>
        <v>5</v>
      </c>
      <c r="E71" s="113">
        <f t="shared" si="27"/>
        <v>62.5</v>
      </c>
      <c r="F71" s="114" t="str">
        <f t="shared" si="28"/>
        <v>  </v>
      </c>
      <c r="G71" s="164" t="str">
        <f t="shared" si="29"/>
        <v>  </v>
      </c>
      <c r="H71" s="183"/>
      <c r="I71" s="179"/>
      <c r="J71" s="179"/>
      <c r="K71" s="179"/>
      <c r="L71" s="179"/>
      <c r="M71" s="118">
        <f t="shared" si="30"/>
        <v>0</v>
      </c>
      <c r="N71" s="119" t="str">
        <f t="shared" si="31"/>
        <v>#DIV/0!</v>
      </c>
      <c r="O71" s="176"/>
      <c r="P71" s="179"/>
      <c r="Q71" s="179"/>
      <c r="R71" s="179"/>
      <c r="S71" s="179"/>
      <c r="T71" s="179"/>
      <c r="U71" s="179"/>
      <c r="V71" s="179"/>
      <c r="W71" s="179"/>
      <c r="X71" s="179"/>
      <c r="Y71" s="179"/>
      <c r="Z71" s="179"/>
      <c r="AA71" s="179"/>
      <c r="AB71" s="179"/>
      <c r="AC71" s="179"/>
      <c r="AD71" s="179"/>
      <c r="AE71" s="179"/>
      <c r="AF71" s="176"/>
      <c r="AG71" s="176"/>
      <c r="AH71" s="176"/>
      <c r="AI71" s="176"/>
      <c r="AJ71" s="251">
        <f t="shared" si="32"/>
        <v>0</v>
      </c>
      <c r="AK71" s="169" t="str">
        <f t="shared" si="33"/>
        <v>#DIV/0!</v>
      </c>
      <c r="AL71" s="183"/>
      <c r="AM71" s="179"/>
      <c r="AN71" s="179"/>
      <c r="AO71" s="179"/>
      <c r="AP71" s="179"/>
      <c r="AQ71" s="179"/>
      <c r="AR71" s="179"/>
      <c r="AS71" s="179"/>
      <c r="AT71" s="184">
        <v>1.0</v>
      </c>
      <c r="AU71" s="179"/>
      <c r="AV71" s="179"/>
      <c r="AW71" s="179"/>
      <c r="AX71" s="179"/>
      <c r="AY71" s="184">
        <v>1.0</v>
      </c>
      <c r="AZ71" s="179"/>
      <c r="BA71" s="179"/>
      <c r="BB71" s="179"/>
      <c r="BC71" s="179"/>
      <c r="BD71" s="179"/>
      <c r="BE71" s="179"/>
      <c r="BF71" s="179"/>
      <c r="BG71" s="118">
        <f t="shared" si="34"/>
        <v>2</v>
      </c>
      <c r="BH71" s="122">
        <f t="shared" si="35"/>
        <v>50</v>
      </c>
      <c r="BI71" s="176"/>
      <c r="BJ71" s="179"/>
      <c r="BK71" s="179"/>
      <c r="BL71" s="179"/>
      <c r="BM71" s="179"/>
      <c r="BN71" s="179"/>
      <c r="BO71" s="179"/>
      <c r="BP71" s="184">
        <v>1.0</v>
      </c>
      <c r="BQ71" s="179"/>
      <c r="BR71" s="179"/>
      <c r="BS71" s="179"/>
      <c r="BT71" s="179"/>
      <c r="BU71" s="283">
        <v>1.0</v>
      </c>
      <c r="BV71" s="179"/>
      <c r="BW71" s="186"/>
      <c r="BX71" s="186"/>
      <c r="BY71" s="186"/>
      <c r="BZ71" s="200">
        <v>1.0</v>
      </c>
      <c r="CA71" s="186"/>
      <c r="CB71" s="186"/>
      <c r="CC71" s="186"/>
      <c r="CD71" s="186"/>
      <c r="CE71" s="172">
        <f t="shared" si="36"/>
        <v>3</v>
      </c>
      <c r="CF71" s="173">
        <f t="shared" si="37"/>
        <v>60</v>
      </c>
      <c r="CG71" s="199"/>
      <c r="CH71" s="186"/>
      <c r="CI71" s="186"/>
      <c r="CJ71" s="186"/>
      <c r="CK71" s="186"/>
      <c r="CL71" s="186"/>
      <c r="CM71" s="186"/>
      <c r="CN71" s="186"/>
      <c r="CO71" s="186"/>
      <c r="CP71" s="186"/>
      <c r="CQ71" s="186"/>
      <c r="CR71" s="186"/>
      <c r="CS71" s="175">
        <f t="shared" si="38"/>
        <v>0</v>
      </c>
      <c r="CT71" s="158">
        <f t="shared" si="39"/>
        <v>0</v>
      </c>
    </row>
    <row r="72" ht="15.75" customHeight="1">
      <c r="A72" s="131">
        <v>62.0</v>
      </c>
      <c r="B72" s="111" t="s">
        <v>175</v>
      </c>
      <c r="C72" s="112" t="s">
        <v>176</v>
      </c>
      <c r="D72" s="250">
        <f t="shared" si="6"/>
        <v>4</v>
      </c>
      <c r="E72" s="113">
        <f t="shared" si="27"/>
        <v>50</v>
      </c>
      <c r="F72" s="114" t="str">
        <f t="shared" si="28"/>
        <v>  </v>
      </c>
      <c r="G72" s="202" t="str">
        <f t="shared" si="29"/>
        <v>  </v>
      </c>
      <c r="H72" s="183"/>
      <c r="I72" s="179"/>
      <c r="J72" s="179"/>
      <c r="K72" s="179"/>
      <c r="L72" s="179"/>
      <c r="M72" s="118">
        <f t="shared" si="30"/>
        <v>0</v>
      </c>
      <c r="N72" s="119" t="str">
        <f t="shared" si="31"/>
        <v>#DIV/0!</v>
      </c>
      <c r="O72" s="176"/>
      <c r="P72" s="179"/>
      <c r="Q72" s="179"/>
      <c r="R72" s="179"/>
      <c r="S72" s="179"/>
      <c r="T72" s="179"/>
      <c r="U72" s="179"/>
      <c r="V72" s="179"/>
      <c r="W72" s="179"/>
      <c r="X72" s="179"/>
      <c r="Y72" s="179"/>
      <c r="Z72" s="179"/>
      <c r="AA72" s="179"/>
      <c r="AB72" s="179"/>
      <c r="AC72" s="179"/>
      <c r="AD72" s="179"/>
      <c r="AE72" s="179"/>
      <c r="AF72" s="176"/>
      <c r="AG72" s="176"/>
      <c r="AH72" s="176"/>
      <c r="AI72" s="176"/>
      <c r="AJ72" s="251">
        <f t="shared" si="32"/>
        <v>0</v>
      </c>
      <c r="AK72" s="169" t="str">
        <f t="shared" si="33"/>
        <v>#DIV/0!</v>
      </c>
      <c r="AL72" s="183"/>
      <c r="AM72" s="179"/>
      <c r="AN72" s="179"/>
      <c r="AO72" s="179"/>
      <c r="AP72" s="179"/>
      <c r="AQ72" s="179"/>
      <c r="AR72" s="179"/>
      <c r="AS72" s="179"/>
      <c r="AT72" s="179"/>
      <c r="AU72" s="179"/>
      <c r="AV72" s="179"/>
      <c r="AW72" s="179"/>
      <c r="AX72" s="179"/>
      <c r="AY72" s="184">
        <v>1.0</v>
      </c>
      <c r="AZ72" s="179"/>
      <c r="BA72" s="179"/>
      <c r="BB72" s="179"/>
      <c r="BC72" s="179"/>
      <c r="BD72" s="179"/>
      <c r="BE72" s="179"/>
      <c r="BF72" s="179"/>
      <c r="BG72" s="118">
        <f t="shared" si="34"/>
        <v>1</v>
      </c>
      <c r="BH72" s="122">
        <f t="shared" si="35"/>
        <v>25</v>
      </c>
      <c r="BI72" s="176"/>
      <c r="BJ72" s="179"/>
      <c r="BK72" s="179"/>
      <c r="BL72" s="179"/>
      <c r="BM72" s="179"/>
      <c r="BN72" s="179"/>
      <c r="BO72" s="179"/>
      <c r="BP72" s="184">
        <v>1.0</v>
      </c>
      <c r="BQ72" s="179"/>
      <c r="BR72" s="179"/>
      <c r="BS72" s="179"/>
      <c r="BT72" s="179"/>
      <c r="BU72" s="210">
        <v>1.0</v>
      </c>
      <c r="BV72" s="179"/>
      <c r="BW72" s="186"/>
      <c r="BX72" s="186"/>
      <c r="BY72" s="186"/>
      <c r="BZ72" s="200">
        <v>1.0</v>
      </c>
      <c r="CA72" s="186"/>
      <c r="CB72" s="186"/>
      <c r="CC72" s="186"/>
      <c r="CD72" s="186"/>
      <c r="CE72" s="172">
        <f t="shared" si="36"/>
        <v>3</v>
      </c>
      <c r="CF72" s="173">
        <f t="shared" si="37"/>
        <v>60</v>
      </c>
      <c r="CG72" s="199"/>
      <c r="CH72" s="186"/>
      <c r="CI72" s="186"/>
      <c r="CJ72" s="186"/>
      <c r="CK72" s="186"/>
      <c r="CL72" s="186"/>
      <c r="CM72" s="186"/>
      <c r="CN72" s="186"/>
      <c r="CO72" s="186"/>
      <c r="CP72" s="186"/>
      <c r="CQ72" s="186"/>
      <c r="CR72" s="186"/>
      <c r="CS72" s="175">
        <f t="shared" si="38"/>
        <v>0</v>
      </c>
      <c r="CT72" s="158">
        <f t="shared" si="39"/>
        <v>0</v>
      </c>
    </row>
    <row r="73" ht="15.75" customHeight="1">
      <c r="A73" s="146">
        <v>63.0</v>
      </c>
      <c r="B73" s="111" t="s">
        <v>177</v>
      </c>
      <c r="C73" s="112" t="s">
        <v>178</v>
      </c>
      <c r="D73" s="250">
        <f t="shared" si="6"/>
        <v>6</v>
      </c>
      <c r="E73" s="113">
        <f t="shared" si="27"/>
        <v>75</v>
      </c>
      <c r="F73" s="114" t="str">
        <f t="shared" si="28"/>
        <v>  </v>
      </c>
      <c r="G73" s="202" t="str">
        <f t="shared" si="29"/>
        <v>  </v>
      </c>
      <c r="H73" s="212"/>
      <c r="I73" s="207"/>
      <c r="J73" s="207"/>
      <c r="K73" s="207"/>
      <c r="L73" s="207"/>
      <c r="M73" s="118">
        <f t="shared" si="30"/>
        <v>0</v>
      </c>
      <c r="N73" s="119" t="str">
        <f t="shared" si="31"/>
        <v>#DIV/0!</v>
      </c>
      <c r="O73" s="206"/>
      <c r="P73" s="207"/>
      <c r="Q73" s="207"/>
      <c r="R73" s="207"/>
      <c r="S73" s="207"/>
      <c r="T73" s="207"/>
      <c r="U73" s="207"/>
      <c r="V73" s="207"/>
      <c r="W73" s="207"/>
      <c r="X73" s="207"/>
      <c r="Y73" s="207"/>
      <c r="Z73" s="207"/>
      <c r="AA73" s="207"/>
      <c r="AB73" s="207"/>
      <c r="AC73" s="207"/>
      <c r="AD73" s="207"/>
      <c r="AE73" s="207"/>
      <c r="AF73" s="206"/>
      <c r="AG73" s="206"/>
      <c r="AH73" s="206"/>
      <c r="AI73" s="206"/>
      <c r="AJ73" s="251">
        <f t="shared" si="32"/>
        <v>0</v>
      </c>
      <c r="AK73" s="169" t="str">
        <f t="shared" si="33"/>
        <v>#DIV/0!</v>
      </c>
      <c r="AL73" s="212"/>
      <c r="AM73" s="207"/>
      <c r="AN73" s="207"/>
      <c r="AO73" s="207"/>
      <c r="AP73" s="207"/>
      <c r="AQ73" s="207"/>
      <c r="AR73" s="207"/>
      <c r="AS73" s="207"/>
      <c r="AT73" s="234">
        <v>1.0</v>
      </c>
      <c r="AU73" s="207"/>
      <c r="AV73" s="207"/>
      <c r="AW73" s="207"/>
      <c r="AX73" s="207"/>
      <c r="AY73" s="234">
        <v>1.0</v>
      </c>
      <c r="AZ73" s="207"/>
      <c r="BA73" s="207"/>
      <c r="BB73" s="207"/>
      <c r="BC73" s="207"/>
      <c r="BD73" s="207"/>
      <c r="BE73" s="207"/>
      <c r="BF73" s="207"/>
      <c r="BG73" s="118">
        <f t="shared" si="34"/>
        <v>2</v>
      </c>
      <c r="BH73" s="122">
        <f t="shared" si="35"/>
        <v>50</v>
      </c>
      <c r="BI73" s="206"/>
      <c r="BJ73" s="207"/>
      <c r="BK73" s="207"/>
      <c r="BL73" s="207"/>
      <c r="BM73" s="207"/>
      <c r="BN73" s="207"/>
      <c r="BO73" s="207"/>
      <c r="BP73" s="234">
        <v>1.0</v>
      </c>
      <c r="BQ73" s="207"/>
      <c r="BR73" s="207"/>
      <c r="BS73" s="207"/>
      <c r="BT73" s="207"/>
      <c r="BU73" s="210">
        <v>1.0</v>
      </c>
      <c r="BV73" s="207"/>
      <c r="BW73" s="186"/>
      <c r="BX73" s="186"/>
      <c r="BY73" s="186"/>
      <c r="BZ73" s="200">
        <v>1.0</v>
      </c>
      <c r="CA73" s="186"/>
      <c r="CB73" s="186"/>
      <c r="CC73" s="186"/>
      <c r="CD73" s="186"/>
      <c r="CE73" s="172">
        <f t="shared" si="36"/>
        <v>3</v>
      </c>
      <c r="CF73" s="173">
        <f t="shared" si="37"/>
        <v>60</v>
      </c>
      <c r="CG73" s="189">
        <v>1.0</v>
      </c>
      <c r="CH73" s="186"/>
      <c r="CI73" s="186"/>
      <c r="CJ73" s="186"/>
      <c r="CK73" s="186"/>
      <c r="CL73" s="186"/>
      <c r="CM73" s="186"/>
      <c r="CN73" s="186"/>
      <c r="CO73" s="186"/>
      <c r="CP73" s="186"/>
      <c r="CQ73" s="186"/>
      <c r="CR73" s="186"/>
      <c r="CS73" s="175">
        <f t="shared" si="38"/>
        <v>1</v>
      </c>
      <c r="CT73" s="158">
        <f t="shared" si="39"/>
        <v>100</v>
      </c>
    </row>
    <row r="74" ht="15.75" customHeight="1">
      <c r="A74" s="146">
        <v>64.0</v>
      </c>
      <c r="B74" s="111" t="s">
        <v>179</v>
      </c>
      <c r="C74" s="112" t="s">
        <v>180</v>
      </c>
      <c r="D74" s="250">
        <f t="shared" si="6"/>
        <v>7</v>
      </c>
      <c r="E74" s="113">
        <f t="shared" si="27"/>
        <v>87.5</v>
      </c>
      <c r="F74" s="114" t="str">
        <f t="shared" si="28"/>
        <v>  </v>
      </c>
      <c r="G74" s="202" t="str">
        <f t="shared" si="29"/>
        <v>  </v>
      </c>
      <c r="H74" s="183"/>
      <c r="I74" s="179"/>
      <c r="J74" s="179"/>
      <c r="K74" s="179"/>
      <c r="L74" s="179"/>
      <c r="M74" s="118">
        <f t="shared" si="30"/>
        <v>0</v>
      </c>
      <c r="N74" s="119" t="str">
        <f t="shared" si="31"/>
        <v>#DIV/0!</v>
      </c>
      <c r="O74" s="176"/>
      <c r="P74" s="179"/>
      <c r="Q74" s="179"/>
      <c r="R74" s="179"/>
      <c r="S74" s="179"/>
      <c r="T74" s="179"/>
      <c r="U74" s="179"/>
      <c r="V74" s="179"/>
      <c r="W74" s="179"/>
      <c r="X74" s="179"/>
      <c r="Y74" s="179"/>
      <c r="Z74" s="179"/>
      <c r="AA74" s="179"/>
      <c r="AB74" s="179"/>
      <c r="AC74" s="179"/>
      <c r="AD74" s="179"/>
      <c r="AE74" s="179"/>
      <c r="AF74" s="176"/>
      <c r="AG74" s="176"/>
      <c r="AH74" s="176"/>
      <c r="AI74" s="176"/>
      <c r="AJ74" s="251">
        <f t="shared" si="32"/>
        <v>0</v>
      </c>
      <c r="AK74" s="169" t="str">
        <f t="shared" si="33"/>
        <v>#DIV/0!</v>
      </c>
      <c r="AL74" s="279">
        <v>1.0</v>
      </c>
      <c r="AM74" s="179"/>
      <c r="AN74" s="179"/>
      <c r="AO74" s="179"/>
      <c r="AP74" s="179"/>
      <c r="AQ74" s="179"/>
      <c r="AR74" s="179"/>
      <c r="AS74" s="179"/>
      <c r="AT74" s="184">
        <v>1.0</v>
      </c>
      <c r="AU74" s="179"/>
      <c r="AV74" s="179"/>
      <c r="AW74" s="179"/>
      <c r="AX74" s="179"/>
      <c r="AY74" s="184">
        <v>1.0</v>
      </c>
      <c r="AZ74" s="179"/>
      <c r="BA74" s="179"/>
      <c r="BB74" s="179"/>
      <c r="BC74" s="179"/>
      <c r="BD74" s="184">
        <v>1.0</v>
      </c>
      <c r="BE74" s="179"/>
      <c r="BF74" s="179"/>
      <c r="BG74" s="118">
        <f t="shared" si="34"/>
        <v>4</v>
      </c>
      <c r="BH74" s="122">
        <f t="shared" si="35"/>
        <v>100</v>
      </c>
      <c r="BI74" s="176"/>
      <c r="BJ74" s="179"/>
      <c r="BK74" s="179"/>
      <c r="BL74" s="179"/>
      <c r="BM74" s="179"/>
      <c r="BN74" s="179"/>
      <c r="BO74" s="179"/>
      <c r="BP74" s="184">
        <v>1.0</v>
      </c>
      <c r="BQ74" s="179"/>
      <c r="BR74" s="179"/>
      <c r="BS74" s="179"/>
      <c r="BT74" s="179"/>
      <c r="BU74" s="210">
        <v>1.0</v>
      </c>
      <c r="BV74" s="179"/>
      <c r="BW74" s="186"/>
      <c r="BX74" s="186"/>
      <c r="BY74" s="186"/>
      <c r="BZ74" s="200">
        <v>1.0</v>
      </c>
      <c r="CA74" s="186"/>
      <c r="CB74" s="186"/>
      <c r="CC74" s="186"/>
      <c r="CD74" s="186"/>
      <c r="CE74" s="172">
        <f t="shared" si="36"/>
        <v>3</v>
      </c>
      <c r="CF74" s="173">
        <f t="shared" si="37"/>
        <v>60</v>
      </c>
      <c r="CG74" s="199"/>
      <c r="CH74" s="186"/>
      <c r="CI74" s="186"/>
      <c r="CJ74" s="186"/>
      <c r="CK74" s="186"/>
      <c r="CL74" s="186"/>
      <c r="CM74" s="186"/>
      <c r="CN74" s="186"/>
      <c r="CO74" s="186"/>
      <c r="CP74" s="186"/>
      <c r="CQ74" s="186"/>
      <c r="CR74" s="186"/>
      <c r="CS74" s="175">
        <f t="shared" si="38"/>
        <v>0</v>
      </c>
      <c r="CT74" s="158">
        <f t="shared" si="39"/>
        <v>0</v>
      </c>
    </row>
    <row r="75" ht="15.75" customHeight="1">
      <c r="A75" s="131">
        <v>65.0</v>
      </c>
      <c r="B75" s="111" t="s">
        <v>181</v>
      </c>
      <c r="C75" s="112" t="s">
        <v>182</v>
      </c>
      <c r="D75" s="250">
        <f t="shared" si="6"/>
        <v>7</v>
      </c>
      <c r="E75" s="113">
        <f t="shared" si="27"/>
        <v>87.5</v>
      </c>
      <c r="F75" s="114" t="str">
        <f t="shared" si="28"/>
        <v>  </v>
      </c>
      <c r="G75" s="164" t="str">
        <f t="shared" si="29"/>
        <v>  </v>
      </c>
      <c r="H75" s="183"/>
      <c r="I75" s="179"/>
      <c r="J75" s="179"/>
      <c r="K75" s="179"/>
      <c r="L75" s="179"/>
      <c r="M75" s="118">
        <f t="shared" si="30"/>
        <v>0</v>
      </c>
      <c r="N75" s="119" t="str">
        <f t="shared" si="31"/>
        <v>#DIV/0!</v>
      </c>
      <c r="O75" s="176"/>
      <c r="P75" s="179"/>
      <c r="Q75" s="179"/>
      <c r="R75" s="179"/>
      <c r="S75" s="179"/>
      <c r="T75" s="179"/>
      <c r="U75" s="179"/>
      <c r="V75" s="179"/>
      <c r="W75" s="179"/>
      <c r="X75" s="179"/>
      <c r="Y75" s="179"/>
      <c r="Z75" s="179"/>
      <c r="AA75" s="179"/>
      <c r="AB75" s="179"/>
      <c r="AC75" s="179"/>
      <c r="AD75" s="179"/>
      <c r="AE75" s="179"/>
      <c r="AF75" s="176"/>
      <c r="AG75" s="176"/>
      <c r="AH75" s="176"/>
      <c r="AI75" s="176"/>
      <c r="AJ75" s="251">
        <f t="shared" si="32"/>
        <v>0</v>
      </c>
      <c r="AK75" s="169" t="str">
        <f t="shared" si="33"/>
        <v>#DIV/0!</v>
      </c>
      <c r="AL75" s="183"/>
      <c r="AM75" s="179"/>
      <c r="AN75" s="179"/>
      <c r="AO75" s="179"/>
      <c r="AP75" s="179"/>
      <c r="AQ75" s="179"/>
      <c r="AR75" s="179"/>
      <c r="AS75" s="179"/>
      <c r="AT75" s="184">
        <v>1.0</v>
      </c>
      <c r="AU75" s="179"/>
      <c r="AV75" s="179"/>
      <c r="AW75" s="179"/>
      <c r="AX75" s="179"/>
      <c r="AY75" s="184">
        <v>1.0</v>
      </c>
      <c r="AZ75" s="179"/>
      <c r="BA75" s="179"/>
      <c r="BB75" s="179"/>
      <c r="BC75" s="179"/>
      <c r="BD75" s="184">
        <v>1.0</v>
      </c>
      <c r="BE75" s="179"/>
      <c r="BF75" s="179"/>
      <c r="BG75" s="118">
        <f t="shared" si="34"/>
        <v>3</v>
      </c>
      <c r="BH75" s="122">
        <f t="shared" si="35"/>
        <v>75</v>
      </c>
      <c r="BI75" s="176"/>
      <c r="BJ75" s="179"/>
      <c r="BK75" s="179"/>
      <c r="BL75" s="179"/>
      <c r="BM75" s="179"/>
      <c r="BN75" s="179"/>
      <c r="BO75" s="179"/>
      <c r="BP75" s="184">
        <v>1.0</v>
      </c>
      <c r="BQ75" s="179"/>
      <c r="BR75" s="179"/>
      <c r="BS75" s="179"/>
      <c r="BT75" s="179"/>
      <c r="BU75" s="210">
        <v>1.0</v>
      </c>
      <c r="BV75" s="179"/>
      <c r="BW75" s="186"/>
      <c r="BX75" s="186"/>
      <c r="BY75" s="186"/>
      <c r="BZ75" s="200">
        <v>1.0</v>
      </c>
      <c r="CA75" s="186"/>
      <c r="CB75" s="186"/>
      <c r="CC75" s="186"/>
      <c r="CD75" s="186"/>
      <c r="CE75" s="172">
        <f t="shared" si="36"/>
        <v>3</v>
      </c>
      <c r="CF75" s="173">
        <f t="shared" si="37"/>
        <v>60</v>
      </c>
      <c r="CG75" s="189">
        <v>1.0</v>
      </c>
      <c r="CH75" s="186"/>
      <c r="CI75" s="186"/>
      <c r="CJ75" s="186"/>
      <c r="CK75" s="186"/>
      <c r="CL75" s="186"/>
      <c r="CM75" s="186"/>
      <c r="CN75" s="186"/>
      <c r="CO75" s="186"/>
      <c r="CP75" s="186"/>
      <c r="CQ75" s="186"/>
      <c r="CR75" s="186"/>
      <c r="CS75" s="175">
        <f t="shared" si="38"/>
        <v>1</v>
      </c>
      <c r="CT75" s="158">
        <f t="shared" si="39"/>
        <v>100</v>
      </c>
    </row>
    <row r="76" ht="15.75" customHeight="1">
      <c r="A76" s="146">
        <v>66.0</v>
      </c>
      <c r="B76" s="111" t="s">
        <v>183</v>
      </c>
      <c r="C76" s="112" t="s">
        <v>184</v>
      </c>
      <c r="D76" s="250">
        <f t="shared" si="6"/>
        <v>0</v>
      </c>
      <c r="E76" s="113">
        <f t="shared" si="27"/>
        <v>0</v>
      </c>
      <c r="F76" s="114">
        <f t="shared" si="28"/>
        <v>0</v>
      </c>
      <c r="G76" s="202">
        <f t="shared" si="29"/>
        <v>0</v>
      </c>
      <c r="H76" s="183"/>
      <c r="I76" s="179"/>
      <c r="J76" s="179"/>
      <c r="K76" s="179"/>
      <c r="L76" s="179"/>
      <c r="M76" s="118">
        <f t="shared" si="30"/>
        <v>0</v>
      </c>
      <c r="N76" s="119" t="str">
        <f t="shared" si="31"/>
        <v>#DIV/0!</v>
      </c>
      <c r="O76" s="176"/>
      <c r="P76" s="179"/>
      <c r="Q76" s="179"/>
      <c r="R76" s="179"/>
      <c r="S76" s="179"/>
      <c r="T76" s="179"/>
      <c r="U76" s="179"/>
      <c r="V76" s="179"/>
      <c r="W76" s="179"/>
      <c r="X76" s="179"/>
      <c r="Y76" s="179"/>
      <c r="Z76" s="179"/>
      <c r="AA76" s="179"/>
      <c r="AB76" s="179"/>
      <c r="AC76" s="179"/>
      <c r="AD76" s="179"/>
      <c r="AE76" s="179"/>
      <c r="AF76" s="176"/>
      <c r="AG76" s="176"/>
      <c r="AH76" s="176"/>
      <c r="AI76" s="176"/>
      <c r="AJ76" s="251">
        <f t="shared" si="32"/>
        <v>0</v>
      </c>
      <c r="AK76" s="169" t="str">
        <f t="shared" si="33"/>
        <v>#DIV/0!</v>
      </c>
      <c r="AL76" s="183"/>
      <c r="AM76" s="179"/>
      <c r="AN76" s="179"/>
      <c r="AO76" s="179"/>
      <c r="AP76" s="179"/>
      <c r="AQ76" s="179"/>
      <c r="AR76" s="179"/>
      <c r="AS76" s="179"/>
      <c r="AT76" s="179"/>
      <c r="AU76" s="179"/>
      <c r="AV76" s="179"/>
      <c r="AW76" s="179"/>
      <c r="AX76" s="179"/>
      <c r="AY76" s="179"/>
      <c r="AZ76" s="179"/>
      <c r="BA76" s="179"/>
      <c r="BB76" s="179"/>
      <c r="BC76" s="179"/>
      <c r="BD76" s="179"/>
      <c r="BE76" s="179"/>
      <c r="BF76" s="179"/>
      <c r="BG76" s="118">
        <f t="shared" si="34"/>
        <v>0</v>
      </c>
      <c r="BH76" s="122">
        <f t="shared" si="35"/>
        <v>0</v>
      </c>
      <c r="BI76" s="176"/>
      <c r="BJ76" s="179"/>
      <c r="BK76" s="179"/>
      <c r="BL76" s="179"/>
      <c r="BM76" s="179"/>
      <c r="BN76" s="179"/>
      <c r="BO76" s="179"/>
      <c r="BP76" s="179"/>
      <c r="BQ76" s="179"/>
      <c r="BR76" s="179"/>
      <c r="BS76" s="179"/>
      <c r="BT76" s="179"/>
      <c r="BU76" s="185"/>
      <c r="BV76" s="179"/>
      <c r="BW76" s="186"/>
      <c r="BX76" s="186"/>
      <c r="BY76" s="186"/>
      <c r="BZ76" s="186"/>
      <c r="CA76" s="186"/>
      <c r="CB76" s="186"/>
      <c r="CC76" s="186"/>
      <c r="CD76" s="186"/>
      <c r="CE76" s="172">
        <f t="shared" si="36"/>
        <v>0</v>
      </c>
      <c r="CF76" s="173">
        <f t="shared" si="37"/>
        <v>0</v>
      </c>
      <c r="CG76" s="199"/>
      <c r="CH76" s="186"/>
      <c r="CI76" s="186"/>
      <c r="CJ76" s="186"/>
      <c r="CK76" s="186"/>
      <c r="CL76" s="186"/>
      <c r="CM76" s="186"/>
      <c r="CN76" s="186"/>
      <c r="CO76" s="186"/>
      <c r="CP76" s="186"/>
      <c r="CQ76" s="186"/>
      <c r="CR76" s="186"/>
      <c r="CS76" s="175">
        <f t="shared" si="38"/>
        <v>0</v>
      </c>
      <c r="CT76" s="158">
        <f t="shared" si="39"/>
        <v>0</v>
      </c>
    </row>
    <row r="77" ht="15.75" customHeight="1">
      <c r="A77" s="146">
        <v>67.0</v>
      </c>
      <c r="B77" s="111" t="s">
        <v>185</v>
      </c>
      <c r="C77" s="112" t="s">
        <v>186</v>
      </c>
      <c r="D77" s="250">
        <f t="shared" si="6"/>
        <v>4</v>
      </c>
      <c r="E77" s="113">
        <f t="shared" si="27"/>
        <v>50</v>
      </c>
      <c r="F77" s="114" t="str">
        <f t="shared" si="28"/>
        <v>  </v>
      </c>
      <c r="G77" s="202" t="str">
        <f t="shared" si="29"/>
        <v>  </v>
      </c>
      <c r="H77" s="183"/>
      <c r="I77" s="179"/>
      <c r="J77" s="179"/>
      <c r="K77" s="179"/>
      <c r="L77" s="179"/>
      <c r="M77" s="118">
        <f t="shared" si="30"/>
        <v>0</v>
      </c>
      <c r="N77" s="119" t="str">
        <f t="shared" si="31"/>
        <v>#DIV/0!</v>
      </c>
      <c r="O77" s="176"/>
      <c r="P77" s="179"/>
      <c r="Q77" s="179"/>
      <c r="R77" s="179"/>
      <c r="S77" s="179"/>
      <c r="T77" s="179"/>
      <c r="U77" s="179"/>
      <c r="V77" s="179"/>
      <c r="W77" s="179"/>
      <c r="X77" s="179"/>
      <c r="Y77" s="179"/>
      <c r="Z77" s="179"/>
      <c r="AA77" s="179"/>
      <c r="AB77" s="179"/>
      <c r="AC77" s="179"/>
      <c r="AD77" s="179"/>
      <c r="AE77" s="179"/>
      <c r="AF77" s="176"/>
      <c r="AG77" s="176"/>
      <c r="AH77" s="176"/>
      <c r="AI77" s="176"/>
      <c r="AJ77" s="251">
        <f t="shared" si="32"/>
        <v>0</v>
      </c>
      <c r="AK77" s="169" t="str">
        <f t="shared" si="33"/>
        <v>#DIV/0!</v>
      </c>
      <c r="AL77" s="279">
        <v>1.0</v>
      </c>
      <c r="AM77" s="179"/>
      <c r="AN77" s="179"/>
      <c r="AO77" s="179"/>
      <c r="AP77" s="179"/>
      <c r="AQ77" s="179"/>
      <c r="AR77" s="179"/>
      <c r="AS77" s="179"/>
      <c r="AT77" s="179"/>
      <c r="AU77" s="179"/>
      <c r="AV77" s="179"/>
      <c r="AW77" s="179"/>
      <c r="AX77" s="179"/>
      <c r="AY77" s="184">
        <v>1.0</v>
      </c>
      <c r="AZ77" s="179"/>
      <c r="BA77" s="179"/>
      <c r="BB77" s="179"/>
      <c r="BC77" s="179"/>
      <c r="BD77" s="179"/>
      <c r="BE77" s="179"/>
      <c r="BF77" s="179"/>
      <c r="BG77" s="118">
        <f t="shared" si="34"/>
        <v>2</v>
      </c>
      <c r="BH77" s="122">
        <f t="shared" si="35"/>
        <v>50</v>
      </c>
      <c r="BI77" s="176"/>
      <c r="BJ77" s="179"/>
      <c r="BK77" s="179"/>
      <c r="BL77" s="179"/>
      <c r="BM77" s="179"/>
      <c r="BN77" s="179"/>
      <c r="BO77" s="179"/>
      <c r="BP77" s="184">
        <v>1.0</v>
      </c>
      <c r="BQ77" s="179"/>
      <c r="BR77" s="179"/>
      <c r="BS77" s="179"/>
      <c r="BT77" s="179"/>
      <c r="BU77" s="210">
        <v>1.0</v>
      </c>
      <c r="BV77" s="179"/>
      <c r="BW77" s="186"/>
      <c r="BX77" s="186"/>
      <c r="BY77" s="186"/>
      <c r="BZ77" s="186"/>
      <c r="CA77" s="186"/>
      <c r="CB77" s="186"/>
      <c r="CC77" s="186"/>
      <c r="CD77" s="186"/>
      <c r="CE77" s="172">
        <f t="shared" si="36"/>
        <v>2</v>
      </c>
      <c r="CF77" s="173">
        <f t="shared" si="37"/>
        <v>40</v>
      </c>
      <c r="CG77" s="189"/>
      <c r="CH77" s="186"/>
      <c r="CI77" s="186"/>
      <c r="CJ77" s="186"/>
      <c r="CK77" s="186"/>
      <c r="CL77" s="186"/>
      <c r="CM77" s="186"/>
      <c r="CN77" s="186"/>
      <c r="CO77" s="186"/>
      <c r="CP77" s="186"/>
      <c r="CQ77" s="186"/>
      <c r="CR77" s="186"/>
      <c r="CS77" s="175">
        <f t="shared" si="38"/>
        <v>0</v>
      </c>
      <c r="CT77" s="158">
        <f t="shared" si="39"/>
        <v>0</v>
      </c>
    </row>
    <row r="78" ht="15.75" customHeight="1">
      <c r="A78" s="131">
        <v>68.0</v>
      </c>
      <c r="B78" s="161" t="s">
        <v>187</v>
      </c>
      <c r="C78" s="162" t="s">
        <v>188</v>
      </c>
      <c r="D78" s="250">
        <f t="shared" si="6"/>
        <v>5</v>
      </c>
      <c r="E78" s="113">
        <f t="shared" si="27"/>
        <v>62.5</v>
      </c>
      <c r="F78" s="114" t="str">
        <f t="shared" si="28"/>
        <v>  </v>
      </c>
      <c r="G78" s="202" t="str">
        <f t="shared" si="29"/>
        <v>  </v>
      </c>
      <c r="H78" s="183"/>
      <c r="I78" s="179"/>
      <c r="J78" s="179"/>
      <c r="K78" s="179"/>
      <c r="L78" s="179"/>
      <c r="M78" s="118">
        <f t="shared" si="30"/>
        <v>0</v>
      </c>
      <c r="N78" s="119" t="str">
        <f t="shared" si="31"/>
        <v>#DIV/0!</v>
      </c>
      <c r="O78" s="176"/>
      <c r="P78" s="179"/>
      <c r="Q78" s="179"/>
      <c r="R78" s="179"/>
      <c r="S78" s="179"/>
      <c r="T78" s="179"/>
      <c r="U78" s="179"/>
      <c r="V78" s="179"/>
      <c r="W78" s="179"/>
      <c r="X78" s="179"/>
      <c r="Y78" s="179"/>
      <c r="Z78" s="179"/>
      <c r="AA78" s="179"/>
      <c r="AB78" s="179"/>
      <c r="AC78" s="179"/>
      <c r="AD78" s="179"/>
      <c r="AE78" s="179"/>
      <c r="AF78" s="176"/>
      <c r="AG78" s="176"/>
      <c r="AH78" s="176"/>
      <c r="AI78" s="176"/>
      <c r="AJ78" s="251">
        <f t="shared" si="32"/>
        <v>0</v>
      </c>
      <c r="AK78" s="169" t="str">
        <f t="shared" si="33"/>
        <v>#DIV/0!</v>
      </c>
      <c r="AL78" s="183"/>
      <c r="AM78" s="179"/>
      <c r="AN78" s="179"/>
      <c r="AO78" s="179"/>
      <c r="AP78" s="179"/>
      <c r="AQ78" s="179"/>
      <c r="AR78" s="179"/>
      <c r="AS78" s="179"/>
      <c r="AT78" s="179"/>
      <c r="AU78" s="179"/>
      <c r="AV78" s="179"/>
      <c r="AW78" s="179"/>
      <c r="AX78" s="179"/>
      <c r="AY78" s="184">
        <v>1.0</v>
      </c>
      <c r="AZ78" s="179"/>
      <c r="BA78" s="179"/>
      <c r="BB78" s="179"/>
      <c r="BC78" s="179"/>
      <c r="BD78" s="179"/>
      <c r="BE78" s="179"/>
      <c r="BF78" s="179"/>
      <c r="BG78" s="118">
        <f t="shared" si="34"/>
        <v>1</v>
      </c>
      <c r="BH78" s="122">
        <f t="shared" si="35"/>
        <v>25</v>
      </c>
      <c r="BI78" s="176"/>
      <c r="BJ78" s="179"/>
      <c r="BK78" s="179"/>
      <c r="BL78" s="179"/>
      <c r="BM78" s="179"/>
      <c r="BN78" s="179"/>
      <c r="BO78" s="179"/>
      <c r="BP78" s="184">
        <v>1.0</v>
      </c>
      <c r="BQ78" s="179"/>
      <c r="BR78" s="179"/>
      <c r="BS78" s="179"/>
      <c r="BT78" s="179"/>
      <c r="BU78" s="210">
        <v>1.0</v>
      </c>
      <c r="BV78" s="179"/>
      <c r="BW78" s="186"/>
      <c r="BX78" s="186"/>
      <c r="BY78" s="186"/>
      <c r="BZ78" s="200">
        <v>1.0</v>
      </c>
      <c r="CA78" s="186"/>
      <c r="CB78" s="186"/>
      <c r="CC78" s="186"/>
      <c r="CD78" s="186"/>
      <c r="CE78" s="172">
        <f t="shared" si="36"/>
        <v>3</v>
      </c>
      <c r="CF78" s="173">
        <f t="shared" si="37"/>
        <v>60</v>
      </c>
      <c r="CG78" s="189">
        <v>1.0</v>
      </c>
      <c r="CH78" s="186"/>
      <c r="CI78" s="186"/>
      <c r="CJ78" s="186"/>
      <c r="CK78" s="186"/>
      <c r="CL78" s="186"/>
      <c r="CM78" s="186"/>
      <c r="CN78" s="186"/>
      <c r="CO78" s="186"/>
      <c r="CP78" s="186"/>
      <c r="CQ78" s="186"/>
      <c r="CR78" s="186"/>
      <c r="CS78" s="175">
        <f t="shared" si="38"/>
        <v>1</v>
      </c>
      <c r="CT78" s="158">
        <f t="shared" si="39"/>
        <v>100</v>
      </c>
    </row>
    <row r="79" ht="15.75" customHeight="1">
      <c r="A79" s="146">
        <v>69.0</v>
      </c>
      <c r="B79" s="161" t="s">
        <v>189</v>
      </c>
      <c r="C79" s="162" t="s">
        <v>190</v>
      </c>
      <c r="D79" s="250">
        <f t="shared" si="6"/>
        <v>5</v>
      </c>
      <c r="E79" s="113">
        <f t="shared" si="27"/>
        <v>62.5</v>
      </c>
      <c r="F79" s="114" t="str">
        <f t="shared" si="28"/>
        <v>  </v>
      </c>
      <c r="G79" s="202" t="str">
        <f t="shared" si="29"/>
        <v>  </v>
      </c>
      <c r="H79" s="183"/>
      <c r="I79" s="179"/>
      <c r="J79" s="179"/>
      <c r="K79" s="179"/>
      <c r="L79" s="179"/>
      <c r="M79" s="118">
        <f t="shared" si="30"/>
        <v>0</v>
      </c>
      <c r="N79" s="119" t="str">
        <f t="shared" si="31"/>
        <v>#DIV/0!</v>
      </c>
      <c r="O79" s="176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  <c r="AA79" s="179"/>
      <c r="AB79" s="179"/>
      <c r="AC79" s="179"/>
      <c r="AD79" s="179"/>
      <c r="AE79" s="179"/>
      <c r="AF79" s="176"/>
      <c r="AG79" s="176"/>
      <c r="AH79" s="176"/>
      <c r="AI79" s="176"/>
      <c r="AJ79" s="251">
        <f t="shared" si="32"/>
        <v>0</v>
      </c>
      <c r="AK79" s="169" t="str">
        <f t="shared" si="33"/>
        <v>#DIV/0!</v>
      </c>
      <c r="AL79" s="183"/>
      <c r="AM79" s="179"/>
      <c r="AN79" s="179"/>
      <c r="AO79" s="179"/>
      <c r="AP79" s="179"/>
      <c r="AQ79" s="179"/>
      <c r="AR79" s="179"/>
      <c r="AS79" s="179"/>
      <c r="AT79" s="184">
        <v>1.0</v>
      </c>
      <c r="AU79" s="179"/>
      <c r="AV79" s="179"/>
      <c r="AW79" s="179"/>
      <c r="AX79" s="179"/>
      <c r="AY79" s="184">
        <v>1.0</v>
      </c>
      <c r="AZ79" s="179"/>
      <c r="BA79" s="179"/>
      <c r="BB79" s="179"/>
      <c r="BC79" s="179"/>
      <c r="BD79" s="179"/>
      <c r="BE79" s="179"/>
      <c r="BF79" s="179"/>
      <c r="BG79" s="118">
        <f t="shared" si="34"/>
        <v>2</v>
      </c>
      <c r="BH79" s="122">
        <f t="shared" si="35"/>
        <v>50</v>
      </c>
      <c r="BI79" s="176"/>
      <c r="BJ79" s="179"/>
      <c r="BK79" s="179"/>
      <c r="BL79" s="179"/>
      <c r="BM79" s="179"/>
      <c r="BN79" s="179"/>
      <c r="BO79" s="179"/>
      <c r="BP79" s="179"/>
      <c r="BQ79" s="179"/>
      <c r="BR79" s="179"/>
      <c r="BS79" s="179"/>
      <c r="BT79" s="179"/>
      <c r="BU79" s="210">
        <v>1.0</v>
      </c>
      <c r="BV79" s="179"/>
      <c r="BW79" s="186"/>
      <c r="BX79" s="186"/>
      <c r="BY79" s="186"/>
      <c r="BZ79" s="200">
        <v>1.0</v>
      </c>
      <c r="CA79" s="186"/>
      <c r="CB79" s="186"/>
      <c r="CC79" s="186"/>
      <c r="CD79" s="186"/>
      <c r="CE79" s="172">
        <f t="shared" si="36"/>
        <v>2</v>
      </c>
      <c r="CF79" s="173">
        <f t="shared" si="37"/>
        <v>40</v>
      </c>
      <c r="CG79" s="189">
        <v>1.0</v>
      </c>
      <c r="CH79" s="186"/>
      <c r="CI79" s="186"/>
      <c r="CJ79" s="186"/>
      <c r="CK79" s="186"/>
      <c r="CL79" s="186"/>
      <c r="CM79" s="186"/>
      <c r="CN79" s="186"/>
      <c r="CO79" s="186"/>
      <c r="CP79" s="186"/>
      <c r="CQ79" s="186"/>
      <c r="CR79" s="186"/>
      <c r="CS79" s="175">
        <f t="shared" si="38"/>
        <v>1</v>
      </c>
      <c r="CT79" s="158">
        <f t="shared" si="39"/>
        <v>100</v>
      </c>
    </row>
    <row r="80" ht="15.75" customHeight="1">
      <c r="A80" s="146">
        <v>70.0</v>
      </c>
      <c r="B80" s="111" t="s">
        <v>191</v>
      </c>
      <c r="C80" s="112" t="s">
        <v>192</v>
      </c>
      <c r="D80" s="250">
        <f t="shared" si="6"/>
        <v>5</v>
      </c>
      <c r="E80" s="113">
        <f t="shared" si="27"/>
        <v>62.5</v>
      </c>
      <c r="F80" s="114" t="str">
        <f t="shared" si="28"/>
        <v>  </v>
      </c>
      <c r="G80" s="202" t="str">
        <f t="shared" si="29"/>
        <v>  </v>
      </c>
      <c r="H80" s="183"/>
      <c r="I80" s="179"/>
      <c r="J80" s="179"/>
      <c r="K80" s="179"/>
      <c r="L80" s="179"/>
      <c r="M80" s="118">
        <f t="shared" si="30"/>
        <v>0</v>
      </c>
      <c r="N80" s="119" t="str">
        <f t="shared" si="31"/>
        <v>#DIV/0!</v>
      </c>
      <c r="O80" s="176"/>
      <c r="P80" s="179"/>
      <c r="Q80" s="179"/>
      <c r="R80" s="179"/>
      <c r="S80" s="179"/>
      <c r="T80" s="179"/>
      <c r="U80" s="179"/>
      <c r="V80" s="179"/>
      <c r="W80" s="179"/>
      <c r="X80" s="179"/>
      <c r="Y80" s="179"/>
      <c r="Z80" s="179"/>
      <c r="AA80" s="179"/>
      <c r="AB80" s="179"/>
      <c r="AC80" s="179"/>
      <c r="AD80" s="179"/>
      <c r="AE80" s="179"/>
      <c r="AF80" s="176"/>
      <c r="AG80" s="176"/>
      <c r="AH80" s="176"/>
      <c r="AI80" s="176"/>
      <c r="AJ80" s="251">
        <f t="shared" si="32"/>
        <v>0</v>
      </c>
      <c r="AK80" s="169" t="str">
        <f t="shared" si="33"/>
        <v>#DIV/0!</v>
      </c>
      <c r="AL80" s="183"/>
      <c r="AM80" s="179"/>
      <c r="AN80" s="179"/>
      <c r="AO80" s="179"/>
      <c r="AP80" s="179"/>
      <c r="AQ80" s="179"/>
      <c r="AR80" s="179"/>
      <c r="AS80" s="179"/>
      <c r="AT80" s="184">
        <v>1.0</v>
      </c>
      <c r="AU80" s="179"/>
      <c r="AV80" s="179"/>
      <c r="AW80" s="179"/>
      <c r="AX80" s="179"/>
      <c r="AY80" s="184">
        <v>1.0</v>
      </c>
      <c r="AZ80" s="179"/>
      <c r="BA80" s="179"/>
      <c r="BB80" s="179"/>
      <c r="BC80" s="179"/>
      <c r="BD80" s="179"/>
      <c r="BE80" s="179"/>
      <c r="BF80" s="179"/>
      <c r="BG80" s="118">
        <f t="shared" si="34"/>
        <v>2</v>
      </c>
      <c r="BH80" s="122">
        <f t="shared" si="35"/>
        <v>50</v>
      </c>
      <c r="BI80" s="176"/>
      <c r="BJ80" s="179"/>
      <c r="BK80" s="179"/>
      <c r="BL80" s="179"/>
      <c r="BM80" s="179"/>
      <c r="BN80" s="179"/>
      <c r="BO80" s="179"/>
      <c r="BP80" s="184">
        <v>1.0</v>
      </c>
      <c r="BQ80" s="179"/>
      <c r="BR80" s="179"/>
      <c r="BS80" s="179"/>
      <c r="BT80" s="179"/>
      <c r="BU80" s="210">
        <v>1.0</v>
      </c>
      <c r="BV80" s="179"/>
      <c r="BW80" s="186"/>
      <c r="BX80" s="186"/>
      <c r="BY80" s="186"/>
      <c r="BZ80" s="200">
        <v>1.0</v>
      </c>
      <c r="CA80" s="186"/>
      <c r="CB80" s="186"/>
      <c r="CC80" s="186"/>
      <c r="CD80" s="186"/>
      <c r="CE80" s="172">
        <f t="shared" si="36"/>
        <v>3</v>
      </c>
      <c r="CF80" s="173">
        <f t="shared" si="37"/>
        <v>60</v>
      </c>
      <c r="CG80" s="199"/>
      <c r="CH80" s="186"/>
      <c r="CI80" s="186"/>
      <c r="CJ80" s="186"/>
      <c r="CK80" s="186"/>
      <c r="CL80" s="186"/>
      <c r="CM80" s="186"/>
      <c r="CN80" s="186"/>
      <c r="CO80" s="186"/>
      <c r="CP80" s="186"/>
      <c r="CQ80" s="186"/>
      <c r="CR80" s="186"/>
      <c r="CS80" s="175">
        <f t="shared" si="38"/>
        <v>0</v>
      </c>
      <c r="CT80" s="158">
        <f t="shared" si="39"/>
        <v>0</v>
      </c>
    </row>
    <row r="81" ht="15.75" customHeight="1">
      <c r="A81" s="131">
        <v>71.0</v>
      </c>
      <c r="B81" s="111" t="s">
        <v>193</v>
      </c>
      <c r="C81" s="112" t="s">
        <v>194</v>
      </c>
      <c r="D81" s="250">
        <f t="shared" si="6"/>
        <v>8</v>
      </c>
      <c r="E81" s="113">
        <f t="shared" si="27"/>
        <v>100</v>
      </c>
      <c r="F81" s="114" t="str">
        <f t="shared" si="28"/>
        <v>  </v>
      </c>
      <c r="G81" s="202" t="str">
        <f t="shared" si="29"/>
        <v>  </v>
      </c>
      <c r="H81" s="183"/>
      <c r="I81" s="179"/>
      <c r="J81" s="179"/>
      <c r="K81" s="179"/>
      <c r="L81" s="179"/>
      <c r="M81" s="118">
        <f t="shared" si="30"/>
        <v>0</v>
      </c>
      <c r="N81" s="119" t="str">
        <f t="shared" si="31"/>
        <v>#DIV/0!</v>
      </c>
      <c r="O81" s="176"/>
      <c r="P81" s="179"/>
      <c r="Q81" s="179"/>
      <c r="R81" s="179"/>
      <c r="S81" s="179"/>
      <c r="T81" s="179"/>
      <c r="U81" s="179"/>
      <c r="V81" s="179"/>
      <c r="W81" s="179"/>
      <c r="X81" s="179"/>
      <c r="Y81" s="179"/>
      <c r="Z81" s="179"/>
      <c r="AA81" s="179"/>
      <c r="AB81" s="179"/>
      <c r="AC81" s="179"/>
      <c r="AD81" s="179"/>
      <c r="AE81" s="179"/>
      <c r="AF81" s="176"/>
      <c r="AG81" s="176"/>
      <c r="AH81" s="176"/>
      <c r="AI81" s="176"/>
      <c r="AJ81" s="251">
        <f t="shared" si="32"/>
        <v>0</v>
      </c>
      <c r="AK81" s="169" t="str">
        <f t="shared" si="33"/>
        <v>#DIV/0!</v>
      </c>
      <c r="AL81" s="279">
        <v>1.0</v>
      </c>
      <c r="AM81" s="179"/>
      <c r="AN81" s="179"/>
      <c r="AO81" s="179"/>
      <c r="AP81" s="179"/>
      <c r="AQ81" s="179"/>
      <c r="AR81" s="179"/>
      <c r="AS81" s="179"/>
      <c r="AT81" s="184">
        <v>1.0</v>
      </c>
      <c r="AU81" s="179"/>
      <c r="AV81" s="179"/>
      <c r="AW81" s="179"/>
      <c r="AX81" s="179"/>
      <c r="AY81" s="184">
        <v>1.0</v>
      </c>
      <c r="AZ81" s="179"/>
      <c r="BA81" s="179"/>
      <c r="BB81" s="179"/>
      <c r="BC81" s="179"/>
      <c r="BD81" s="184">
        <v>1.0</v>
      </c>
      <c r="BE81" s="179"/>
      <c r="BF81" s="179"/>
      <c r="BG81" s="118">
        <f t="shared" si="34"/>
        <v>4</v>
      </c>
      <c r="BH81" s="122">
        <f t="shared" si="35"/>
        <v>100</v>
      </c>
      <c r="BI81" s="176"/>
      <c r="BJ81" s="179"/>
      <c r="BK81" s="179"/>
      <c r="BL81" s="179"/>
      <c r="BM81" s="179"/>
      <c r="BN81" s="179"/>
      <c r="BO81" s="179"/>
      <c r="BP81" s="184">
        <v>1.0</v>
      </c>
      <c r="BQ81" s="179"/>
      <c r="BR81" s="179"/>
      <c r="BS81" s="179"/>
      <c r="BT81" s="179"/>
      <c r="BU81" s="210">
        <v>1.0</v>
      </c>
      <c r="BV81" s="179"/>
      <c r="BW81" s="186"/>
      <c r="BX81" s="186"/>
      <c r="BY81" s="186"/>
      <c r="BZ81" s="200">
        <v>1.0</v>
      </c>
      <c r="CA81" s="186"/>
      <c r="CB81" s="186"/>
      <c r="CC81" s="186"/>
      <c r="CD81" s="186"/>
      <c r="CE81" s="172">
        <f t="shared" si="36"/>
        <v>3</v>
      </c>
      <c r="CF81" s="173">
        <f t="shared" si="37"/>
        <v>60</v>
      </c>
      <c r="CG81" s="189">
        <v>1.0</v>
      </c>
      <c r="CH81" s="186"/>
      <c r="CI81" s="186"/>
      <c r="CJ81" s="186"/>
      <c r="CK81" s="186"/>
      <c r="CL81" s="186"/>
      <c r="CM81" s="186"/>
      <c r="CN81" s="186"/>
      <c r="CO81" s="186"/>
      <c r="CP81" s="186"/>
      <c r="CQ81" s="186"/>
      <c r="CR81" s="186"/>
      <c r="CS81" s="175">
        <f t="shared" si="38"/>
        <v>1</v>
      </c>
      <c r="CT81" s="158">
        <f t="shared" si="39"/>
        <v>100</v>
      </c>
    </row>
    <row r="82" ht="15.75" customHeight="1">
      <c r="A82" s="146">
        <v>72.0</v>
      </c>
      <c r="B82" s="111" t="s">
        <v>195</v>
      </c>
      <c r="C82" s="112" t="s">
        <v>196</v>
      </c>
      <c r="D82" s="250">
        <f t="shared" si="6"/>
        <v>1</v>
      </c>
      <c r="E82" s="113">
        <f t="shared" si="27"/>
        <v>12.5</v>
      </c>
      <c r="F82" s="114">
        <f t="shared" si="28"/>
        <v>12.5</v>
      </c>
      <c r="G82" s="202">
        <f t="shared" si="29"/>
        <v>12.5</v>
      </c>
      <c r="H82" s="183"/>
      <c r="I82" s="179"/>
      <c r="J82" s="179"/>
      <c r="K82" s="179"/>
      <c r="L82" s="179"/>
      <c r="M82" s="118">
        <f t="shared" si="30"/>
        <v>0</v>
      </c>
      <c r="N82" s="119" t="str">
        <f t="shared" si="31"/>
        <v>#DIV/0!</v>
      </c>
      <c r="O82" s="176"/>
      <c r="P82" s="179"/>
      <c r="Q82" s="179"/>
      <c r="R82" s="179"/>
      <c r="S82" s="179"/>
      <c r="T82" s="179"/>
      <c r="U82" s="179"/>
      <c r="V82" s="179"/>
      <c r="W82" s="179"/>
      <c r="X82" s="179"/>
      <c r="Y82" s="179"/>
      <c r="Z82" s="179"/>
      <c r="AA82" s="179"/>
      <c r="AB82" s="179"/>
      <c r="AC82" s="179"/>
      <c r="AD82" s="179"/>
      <c r="AE82" s="179"/>
      <c r="AF82" s="176"/>
      <c r="AG82" s="176"/>
      <c r="AH82" s="176"/>
      <c r="AI82" s="176"/>
      <c r="AJ82" s="251">
        <f t="shared" si="32"/>
        <v>0</v>
      </c>
      <c r="AK82" s="169" t="str">
        <f t="shared" si="33"/>
        <v>#DIV/0!</v>
      </c>
      <c r="AL82" s="183"/>
      <c r="AM82" s="179"/>
      <c r="AN82" s="179"/>
      <c r="AO82" s="179"/>
      <c r="AP82" s="179"/>
      <c r="AQ82" s="179"/>
      <c r="AR82" s="179"/>
      <c r="AS82" s="179"/>
      <c r="AT82" s="179"/>
      <c r="AU82" s="179"/>
      <c r="AV82" s="179"/>
      <c r="AW82" s="179"/>
      <c r="AX82" s="179"/>
      <c r="AY82" s="179"/>
      <c r="AZ82" s="179"/>
      <c r="BA82" s="179"/>
      <c r="BB82" s="179"/>
      <c r="BC82" s="179"/>
      <c r="BD82" s="179"/>
      <c r="BE82" s="179"/>
      <c r="BF82" s="179"/>
      <c r="BG82" s="118">
        <f t="shared" si="34"/>
        <v>0</v>
      </c>
      <c r="BH82" s="122">
        <f t="shared" si="35"/>
        <v>0</v>
      </c>
      <c r="BI82" s="176"/>
      <c r="BJ82" s="179"/>
      <c r="BK82" s="179"/>
      <c r="BL82" s="179"/>
      <c r="BM82" s="179"/>
      <c r="BN82" s="179"/>
      <c r="BO82" s="179"/>
      <c r="BP82" s="179"/>
      <c r="BQ82" s="179"/>
      <c r="BR82" s="179"/>
      <c r="BS82" s="179"/>
      <c r="BT82" s="179"/>
      <c r="BU82" s="185"/>
      <c r="BV82" s="179"/>
      <c r="BW82" s="186"/>
      <c r="BX82" s="186"/>
      <c r="BY82" s="186"/>
      <c r="BZ82" s="200">
        <v>1.0</v>
      </c>
      <c r="CA82" s="186"/>
      <c r="CB82" s="186"/>
      <c r="CC82" s="186"/>
      <c r="CD82" s="186"/>
      <c r="CE82" s="172">
        <f t="shared" si="36"/>
        <v>1</v>
      </c>
      <c r="CF82" s="173">
        <f t="shared" si="37"/>
        <v>20</v>
      </c>
      <c r="CG82" s="199"/>
      <c r="CH82" s="186"/>
      <c r="CI82" s="186"/>
      <c r="CJ82" s="186"/>
      <c r="CK82" s="186"/>
      <c r="CL82" s="186"/>
      <c r="CM82" s="186"/>
      <c r="CN82" s="186"/>
      <c r="CO82" s="186"/>
      <c r="CP82" s="186"/>
      <c r="CQ82" s="186"/>
      <c r="CR82" s="186"/>
      <c r="CS82" s="175">
        <f t="shared" si="38"/>
        <v>0</v>
      </c>
      <c r="CT82" s="158">
        <f t="shared" si="39"/>
        <v>0</v>
      </c>
    </row>
    <row r="83" ht="15.75" customHeight="1">
      <c r="A83" s="146">
        <v>73.0</v>
      </c>
      <c r="B83" s="111" t="s">
        <v>197</v>
      </c>
      <c r="C83" s="112" t="s">
        <v>198</v>
      </c>
      <c r="D83" s="250">
        <f t="shared" si="6"/>
        <v>3</v>
      </c>
      <c r="E83" s="113">
        <f t="shared" si="27"/>
        <v>37.5</v>
      </c>
      <c r="F83" s="114">
        <f t="shared" si="28"/>
        <v>37.5</v>
      </c>
      <c r="G83" s="164" t="str">
        <f t="shared" si="29"/>
        <v>  </v>
      </c>
      <c r="H83" s="183"/>
      <c r="I83" s="179"/>
      <c r="J83" s="179"/>
      <c r="K83" s="179"/>
      <c r="L83" s="179"/>
      <c r="M83" s="118">
        <f t="shared" si="30"/>
        <v>0</v>
      </c>
      <c r="N83" s="119" t="str">
        <f t="shared" si="31"/>
        <v>#DIV/0!</v>
      </c>
      <c r="O83" s="176"/>
      <c r="P83" s="179"/>
      <c r="Q83" s="179"/>
      <c r="R83" s="179"/>
      <c r="S83" s="179"/>
      <c r="T83" s="179"/>
      <c r="U83" s="179"/>
      <c r="V83" s="179"/>
      <c r="W83" s="179"/>
      <c r="X83" s="179"/>
      <c r="Y83" s="179"/>
      <c r="Z83" s="179"/>
      <c r="AA83" s="179"/>
      <c r="AB83" s="179"/>
      <c r="AC83" s="179"/>
      <c r="AD83" s="179"/>
      <c r="AE83" s="179"/>
      <c r="AF83" s="176"/>
      <c r="AG83" s="176"/>
      <c r="AH83" s="176"/>
      <c r="AI83" s="176"/>
      <c r="AJ83" s="251">
        <f t="shared" si="32"/>
        <v>0</v>
      </c>
      <c r="AK83" s="169" t="str">
        <f t="shared" si="33"/>
        <v>#DIV/0!</v>
      </c>
      <c r="AL83" s="183"/>
      <c r="AM83" s="179"/>
      <c r="AN83" s="179"/>
      <c r="AO83" s="179"/>
      <c r="AP83" s="179"/>
      <c r="AQ83" s="179"/>
      <c r="AR83" s="179"/>
      <c r="AS83" s="179"/>
      <c r="AT83" s="179"/>
      <c r="AU83" s="179"/>
      <c r="AV83" s="179"/>
      <c r="AW83" s="179"/>
      <c r="AX83" s="179"/>
      <c r="AY83" s="179"/>
      <c r="AZ83" s="179"/>
      <c r="BA83" s="179"/>
      <c r="BB83" s="179"/>
      <c r="BC83" s="179"/>
      <c r="BD83" s="179"/>
      <c r="BE83" s="179"/>
      <c r="BF83" s="179"/>
      <c r="BG83" s="118">
        <f t="shared" si="34"/>
        <v>0</v>
      </c>
      <c r="BH83" s="122">
        <f t="shared" si="35"/>
        <v>0</v>
      </c>
      <c r="BI83" s="176"/>
      <c r="BJ83" s="179"/>
      <c r="BK83" s="179"/>
      <c r="BL83" s="179"/>
      <c r="BM83" s="179"/>
      <c r="BN83" s="179"/>
      <c r="BO83" s="179"/>
      <c r="BP83" s="184">
        <v>1.0</v>
      </c>
      <c r="BQ83" s="179"/>
      <c r="BR83" s="179"/>
      <c r="BS83" s="179"/>
      <c r="BT83" s="179"/>
      <c r="BU83" s="185"/>
      <c r="BV83" s="179"/>
      <c r="BW83" s="186"/>
      <c r="BX83" s="186"/>
      <c r="BY83" s="186"/>
      <c r="BZ83" s="200">
        <v>1.0</v>
      </c>
      <c r="CA83" s="186"/>
      <c r="CB83" s="186"/>
      <c r="CC83" s="186"/>
      <c r="CD83" s="186"/>
      <c r="CE83" s="172">
        <f t="shared" si="36"/>
        <v>2</v>
      </c>
      <c r="CF83" s="173">
        <f t="shared" si="37"/>
        <v>40</v>
      </c>
      <c r="CG83" s="189">
        <v>1.0</v>
      </c>
      <c r="CH83" s="186"/>
      <c r="CI83" s="186"/>
      <c r="CJ83" s="186"/>
      <c r="CK83" s="186"/>
      <c r="CL83" s="186"/>
      <c r="CM83" s="186"/>
      <c r="CN83" s="186"/>
      <c r="CO83" s="186"/>
      <c r="CP83" s="186"/>
      <c r="CQ83" s="186"/>
      <c r="CR83" s="186"/>
      <c r="CS83" s="175">
        <f t="shared" si="38"/>
        <v>1</v>
      </c>
      <c r="CT83" s="158">
        <f t="shared" si="39"/>
        <v>100</v>
      </c>
    </row>
    <row r="84" ht="15.75" customHeight="1">
      <c r="A84" s="131">
        <v>74.0</v>
      </c>
      <c r="B84" s="111" t="s">
        <v>199</v>
      </c>
      <c r="C84" s="112" t="s">
        <v>200</v>
      </c>
      <c r="D84" s="250">
        <f t="shared" si="6"/>
        <v>3</v>
      </c>
      <c r="E84" s="113">
        <f t="shared" si="27"/>
        <v>37.5</v>
      </c>
      <c r="F84" s="114">
        <f t="shared" si="28"/>
        <v>37.5</v>
      </c>
      <c r="G84" s="202" t="str">
        <f t="shared" si="29"/>
        <v>  </v>
      </c>
      <c r="H84" s="183"/>
      <c r="I84" s="179"/>
      <c r="J84" s="179"/>
      <c r="K84" s="179"/>
      <c r="L84" s="179"/>
      <c r="M84" s="118">
        <f t="shared" si="30"/>
        <v>0</v>
      </c>
      <c r="N84" s="119" t="str">
        <f t="shared" si="31"/>
        <v>#DIV/0!</v>
      </c>
      <c r="O84" s="176"/>
      <c r="P84" s="179"/>
      <c r="Q84" s="179"/>
      <c r="R84" s="179"/>
      <c r="S84" s="179"/>
      <c r="T84" s="179"/>
      <c r="U84" s="179"/>
      <c r="V84" s="179"/>
      <c r="W84" s="179"/>
      <c r="X84" s="179"/>
      <c r="Y84" s="179"/>
      <c r="Z84" s="179"/>
      <c r="AA84" s="179"/>
      <c r="AB84" s="179"/>
      <c r="AC84" s="179"/>
      <c r="AD84" s="179"/>
      <c r="AE84" s="179"/>
      <c r="AF84" s="176"/>
      <c r="AG84" s="176"/>
      <c r="AH84" s="176"/>
      <c r="AI84" s="176"/>
      <c r="AJ84" s="251">
        <f t="shared" si="32"/>
        <v>0</v>
      </c>
      <c r="AK84" s="169" t="str">
        <f t="shared" si="33"/>
        <v>#DIV/0!</v>
      </c>
      <c r="AL84" s="183"/>
      <c r="AM84" s="179"/>
      <c r="AN84" s="179"/>
      <c r="AO84" s="179"/>
      <c r="AP84" s="179"/>
      <c r="AQ84" s="179"/>
      <c r="AR84" s="179"/>
      <c r="AS84" s="179"/>
      <c r="AT84" s="179"/>
      <c r="AU84" s="179"/>
      <c r="AV84" s="179"/>
      <c r="AW84" s="179"/>
      <c r="AX84" s="179"/>
      <c r="AY84" s="179"/>
      <c r="AZ84" s="179"/>
      <c r="BA84" s="179"/>
      <c r="BB84" s="179"/>
      <c r="BC84" s="179"/>
      <c r="BD84" s="179"/>
      <c r="BE84" s="179"/>
      <c r="BF84" s="179"/>
      <c r="BG84" s="118">
        <f t="shared" si="34"/>
        <v>0</v>
      </c>
      <c r="BH84" s="122">
        <f t="shared" si="35"/>
        <v>0</v>
      </c>
      <c r="BI84" s="176"/>
      <c r="BJ84" s="179"/>
      <c r="BK84" s="179"/>
      <c r="BL84" s="179"/>
      <c r="BM84" s="179"/>
      <c r="BN84" s="179"/>
      <c r="BO84" s="179"/>
      <c r="BP84" s="184">
        <v>1.0</v>
      </c>
      <c r="BQ84" s="179"/>
      <c r="BR84" s="179"/>
      <c r="BS84" s="179"/>
      <c r="BT84" s="179"/>
      <c r="BU84" s="185"/>
      <c r="BV84" s="179"/>
      <c r="BW84" s="186"/>
      <c r="BX84" s="186"/>
      <c r="BY84" s="186"/>
      <c r="BZ84" s="200">
        <v>1.0</v>
      </c>
      <c r="CA84" s="186"/>
      <c r="CB84" s="186"/>
      <c r="CC84" s="186"/>
      <c r="CD84" s="186"/>
      <c r="CE84" s="172">
        <f t="shared" si="36"/>
        <v>2</v>
      </c>
      <c r="CF84" s="173">
        <f t="shared" si="37"/>
        <v>40</v>
      </c>
      <c r="CG84" s="189">
        <v>1.0</v>
      </c>
      <c r="CH84" s="186"/>
      <c r="CI84" s="186"/>
      <c r="CJ84" s="186"/>
      <c r="CK84" s="186"/>
      <c r="CL84" s="186"/>
      <c r="CM84" s="186"/>
      <c r="CN84" s="186"/>
      <c r="CO84" s="186"/>
      <c r="CP84" s="186"/>
      <c r="CQ84" s="186"/>
      <c r="CR84" s="186"/>
      <c r="CS84" s="175">
        <f t="shared" si="38"/>
        <v>1</v>
      </c>
      <c r="CT84" s="158">
        <f t="shared" si="39"/>
        <v>100</v>
      </c>
    </row>
    <row r="85" ht="15.75" customHeight="1">
      <c r="A85" s="146">
        <v>75.0</v>
      </c>
      <c r="B85" s="111" t="s">
        <v>201</v>
      </c>
      <c r="C85" s="112" t="s">
        <v>202</v>
      </c>
      <c r="D85" s="250">
        <f t="shared" si="6"/>
        <v>5</v>
      </c>
      <c r="E85" s="113">
        <f t="shared" si="27"/>
        <v>62.5</v>
      </c>
      <c r="F85" s="114" t="str">
        <f t="shared" si="28"/>
        <v>  </v>
      </c>
      <c r="G85" s="202" t="str">
        <f t="shared" si="29"/>
        <v>  </v>
      </c>
      <c r="H85" s="183"/>
      <c r="I85" s="179"/>
      <c r="J85" s="179"/>
      <c r="K85" s="179"/>
      <c r="L85" s="179"/>
      <c r="M85" s="118">
        <f t="shared" si="30"/>
        <v>0</v>
      </c>
      <c r="N85" s="119" t="str">
        <f t="shared" si="31"/>
        <v>#DIV/0!</v>
      </c>
      <c r="O85" s="176"/>
      <c r="P85" s="179"/>
      <c r="Q85" s="179"/>
      <c r="R85" s="179"/>
      <c r="S85" s="179"/>
      <c r="T85" s="179"/>
      <c r="U85" s="179"/>
      <c r="V85" s="179"/>
      <c r="W85" s="179"/>
      <c r="X85" s="179"/>
      <c r="Y85" s="179"/>
      <c r="Z85" s="179"/>
      <c r="AA85" s="179"/>
      <c r="AB85" s="179"/>
      <c r="AC85" s="179"/>
      <c r="AD85" s="179"/>
      <c r="AE85" s="179"/>
      <c r="AF85" s="176"/>
      <c r="AG85" s="176"/>
      <c r="AH85" s="176"/>
      <c r="AI85" s="176"/>
      <c r="AJ85" s="251">
        <f t="shared" si="32"/>
        <v>0</v>
      </c>
      <c r="AK85" s="169" t="str">
        <f t="shared" si="33"/>
        <v>#DIV/0!</v>
      </c>
      <c r="AL85" s="279">
        <v>1.0</v>
      </c>
      <c r="AM85" s="179"/>
      <c r="AN85" s="179"/>
      <c r="AO85" s="179"/>
      <c r="AP85" s="179"/>
      <c r="AQ85" s="179"/>
      <c r="AR85" s="179"/>
      <c r="AS85" s="179"/>
      <c r="AT85" s="179"/>
      <c r="AU85" s="179"/>
      <c r="AV85" s="179"/>
      <c r="AW85" s="179"/>
      <c r="AX85" s="179"/>
      <c r="AY85" s="179"/>
      <c r="AZ85" s="179"/>
      <c r="BA85" s="179"/>
      <c r="BB85" s="179"/>
      <c r="BC85" s="179"/>
      <c r="BD85" s="179"/>
      <c r="BE85" s="179"/>
      <c r="BF85" s="179"/>
      <c r="BG85" s="118">
        <f t="shared" si="34"/>
        <v>1</v>
      </c>
      <c r="BH85" s="122">
        <f t="shared" si="35"/>
        <v>25</v>
      </c>
      <c r="BI85" s="176"/>
      <c r="BJ85" s="179"/>
      <c r="BK85" s="179"/>
      <c r="BL85" s="179"/>
      <c r="BM85" s="179"/>
      <c r="BN85" s="179"/>
      <c r="BO85" s="179"/>
      <c r="BP85" s="184">
        <v>1.0</v>
      </c>
      <c r="BQ85" s="179"/>
      <c r="BR85" s="179"/>
      <c r="BS85" s="179"/>
      <c r="BT85" s="179"/>
      <c r="BU85" s="210">
        <v>1.0</v>
      </c>
      <c r="BV85" s="179"/>
      <c r="BW85" s="186"/>
      <c r="BX85" s="186"/>
      <c r="BY85" s="186"/>
      <c r="BZ85" s="200">
        <v>1.0</v>
      </c>
      <c r="CA85" s="186"/>
      <c r="CB85" s="186"/>
      <c r="CC85" s="186"/>
      <c r="CD85" s="186"/>
      <c r="CE85" s="172">
        <f t="shared" si="36"/>
        <v>3</v>
      </c>
      <c r="CF85" s="173">
        <f t="shared" si="37"/>
        <v>60</v>
      </c>
      <c r="CG85" s="189">
        <v>1.0</v>
      </c>
      <c r="CH85" s="186"/>
      <c r="CI85" s="186"/>
      <c r="CJ85" s="186"/>
      <c r="CK85" s="186"/>
      <c r="CL85" s="186"/>
      <c r="CM85" s="186"/>
      <c r="CN85" s="186"/>
      <c r="CO85" s="186"/>
      <c r="CP85" s="186"/>
      <c r="CQ85" s="186"/>
      <c r="CR85" s="186"/>
      <c r="CS85" s="175">
        <f t="shared" si="38"/>
        <v>1</v>
      </c>
      <c r="CT85" s="158">
        <f t="shared" si="39"/>
        <v>100</v>
      </c>
    </row>
    <row r="86" ht="15.75" customHeight="1">
      <c r="A86" s="146">
        <v>76.0</v>
      </c>
      <c r="B86" s="111" t="s">
        <v>203</v>
      </c>
      <c r="C86" s="112" t="s">
        <v>204</v>
      </c>
      <c r="D86" s="250">
        <f t="shared" si="6"/>
        <v>3</v>
      </c>
      <c r="E86" s="113">
        <f t="shared" si="27"/>
        <v>37.5</v>
      </c>
      <c r="F86" s="114">
        <f t="shared" si="28"/>
        <v>37.5</v>
      </c>
      <c r="G86" s="164" t="str">
        <f t="shared" si="29"/>
        <v>  </v>
      </c>
      <c r="H86" s="183"/>
      <c r="I86" s="179"/>
      <c r="J86" s="179"/>
      <c r="K86" s="179"/>
      <c r="L86" s="179"/>
      <c r="M86" s="118">
        <f t="shared" si="30"/>
        <v>0</v>
      </c>
      <c r="N86" s="119" t="str">
        <f t="shared" si="31"/>
        <v>#DIV/0!</v>
      </c>
      <c r="O86" s="176"/>
      <c r="P86" s="179"/>
      <c r="Q86" s="179"/>
      <c r="R86" s="179"/>
      <c r="S86" s="179"/>
      <c r="T86" s="179"/>
      <c r="U86" s="179"/>
      <c r="V86" s="179"/>
      <c r="W86" s="179"/>
      <c r="X86" s="179"/>
      <c r="Y86" s="179"/>
      <c r="Z86" s="179"/>
      <c r="AA86" s="179"/>
      <c r="AB86" s="179"/>
      <c r="AC86" s="179"/>
      <c r="AD86" s="179"/>
      <c r="AE86" s="179"/>
      <c r="AF86" s="176"/>
      <c r="AG86" s="176"/>
      <c r="AH86" s="176"/>
      <c r="AI86" s="176"/>
      <c r="AJ86" s="251">
        <f t="shared" si="32"/>
        <v>0</v>
      </c>
      <c r="AK86" s="169" t="str">
        <f t="shared" si="33"/>
        <v>#DIV/0!</v>
      </c>
      <c r="AL86" s="183"/>
      <c r="AM86" s="179"/>
      <c r="AN86" s="179"/>
      <c r="AO86" s="179"/>
      <c r="AP86" s="179"/>
      <c r="AQ86" s="179"/>
      <c r="AR86" s="179"/>
      <c r="AS86" s="179"/>
      <c r="AT86" s="184">
        <v>1.0</v>
      </c>
      <c r="AU86" s="179"/>
      <c r="AV86" s="179"/>
      <c r="AW86" s="179"/>
      <c r="AX86" s="179"/>
      <c r="AY86" s="179"/>
      <c r="AZ86" s="179"/>
      <c r="BA86" s="179"/>
      <c r="BB86" s="179"/>
      <c r="BC86" s="179"/>
      <c r="BD86" s="179"/>
      <c r="BE86" s="179"/>
      <c r="BF86" s="179"/>
      <c r="BG86" s="118">
        <f t="shared" si="34"/>
        <v>1</v>
      </c>
      <c r="BH86" s="122">
        <f t="shared" si="35"/>
        <v>25</v>
      </c>
      <c r="BI86" s="176"/>
      <c r="BJ86" s="179"/>
      <c r="BK86" s="179"/>
      <c r="BL86" s="179"/>
      <c r="BM86" s="179"/>
      <c r="BN86" s="179"/>
      <c r="BO86" s="179"/>
      <c r="BP86" s="179"/>
      <c r="BQ86" s="179"/>
      <c r="BR86" s="179"/>
      <c r="BS86" s="179"/>
      <c r="BT86" s="179"/>
      <c r="BU86" s="210">
        <v>1.0</v>
      </c>
      <c r="BV86" s="179"/>
      <c r="BW86" s="186"/>
      <c r="BX86" s="186"/>
      <c r="BY86" s="186"/>
      <c r="BZ86" s="200">
        <v>1.0</v>
      </c>
      <c r="CA86" s="186"/>
      <c r="CB86" s="186"/>
      <c r="CC86" s="186"/>
      <c r="CD86" s="186"/>
      <c r="CE86" s="172">
        <f t="shared" si="36"/>
        <v>2</v>
      </c>
      <c r="CF86" s="173">
        <f t="shared" si="37"/>
        <v>40</v>
      </c>
      <c r="CG86" s="199"/>
      <c r="CH86" s="186"/>
      <c r="CI86" s="186"/>
      <c r="CJ86" s="186"/>
      <c r="CK86" s="186"/>
      <c r="CL86" s="186"/>
      <c r="CM86" s="186"/>
      <c r="CN86" s="186"/>
      <c r="CO86" s="186"/>
      <c r="CP86" s="186"/>
      <c r="CQ86" s="186"/>
      <c r="CR86" s="186"/>
      <c r="CS86" s="175">
        <f t="shared" si="38"/>
        <v>0</v>
      </c>
      <c r="CT86" s="158">
        <f t="shared" si="39"/>
        <v>0</v>
      </c>
    </row>
    <row r="87" ht="15.75" customHeight="1">
      <c r="A87" s="131">
        <v>77.0</v>
      </c>
      <c r="B87" s="126" t="s">
        <v>205</v>
      </c>
      <c r="C87" s="260" t="s">
        <v>206</v>
      </c>
      <c r="D87" s="250">
        <f t="shared" si="6"/>
        <v>1</v>
      </c>
      <c r="E87" s="113">
        <f t="shared" si="27"/>
        <v>12.5</v>
      </c>
      <c r="F87" s="114">
        <f t="shared" si="28"/>
        <v>12.5</v>
      </c>
      <c r="G87" s="202">
        <f t="shared" si="29"/>
        <v>12.5</v>
      </c>
      <c r="H87" s="183"/>
      <c r="I87" s="179"/>
      <c r="J87" s="179"/>
      <c r="K87" s="179"/>
      <c r="L87" s="179"/>
      <c r="M87" s="118">
        <f t="shared" si="30"/>
        <v>0</v>
      </c>
      <c r="N87" s="119" t="str">
        <f t="shared" si="31"/>
        <v>#DIV/0!</v>
      </c>
      <c r="O87" s="176"/>
      <c r="P87" s="179"/>
      <c r="Q87" s="179"/>
      <c r="R87" s="179"/>
      <c r="S87" s="179"/>
      <c r="T87" s="179"/>
      <c r="U87" s="179"/>
      <c r="V87" s="179"/>
      <c r="W87" s="179"/>
      <c r="X87" s="179"/>
      <c r="Y87" s="179"/>
      <c r="Z87" s="179"/>
      <c r="AA87" s="179"/>
      <c r="AB87" s="179"/>
      <c r="AC87" s="179"/>
      <c r="AD87" s="179"/>
      <c r="AE87" s="179"/>
      <c r="AF87" s="176"/>
      <c r="AG87" s="176"/>
      <c r="AH87" s="176"/>
      <c r="AI87" s="176"/>
      <c r="AJ87" s="251">
        <f t="shared" si="32"/>
        <v>0</v>
      </c>
      <c r="AK87" s="169" t="str">
        <f t="shared" si="33"/>
        <v>#DIV/0!</v>
      </c>
      <c r="AL87" s="183"/>
      <c r="AM87" s="179"/>
      <c r="AN87" s="179"/>
      <c r="AO87" s="179"/>
      <c r="AP87" s="179"/>
      <c r="AQ87" s="179"/>
      <c r="AR87" s="179"/>
      <c r="AS87" s="179"/>
      <c r="AT87" s="179"/>
      <c r="AU87" s="179"/>
      <c r="AV87" s="179"/>
      <c r="AW87" s="179"/>
      <c r="AX87" s="179"/>
      <c r="AY87" s="179"/>
      <c r="AZ87" s="179"/>
      <c r="BA87" s="179"/>
      <c r="BB87" s="179"/>
      <c r="BC87" s="179"/>
      <c r="BD87" s="179"/>
      <c r="BE87" s="179"/>
      <c r="BF87" s="179"/>
      <c r="BG87" s="118">
        <f t="shared" si="34"/>
        <v>0</v>
      </c>
      <c r="BH87" s="122">
        <f t="shared" si="35"/>
        <v>0</v>
      </c>
      <c r="BI87" s="176"/>
      <c r="BJ87" s="179"/>
      <c r="BK87" s="179"/>
      <c r="BL87" s="179"/>
      <c r="BM87" s="179"/>
      <c r="BN87" s="179"/>
      <c r="BO87" s="179"/>
      <c r="BP87" s="179"/>
      <c r="BQ87" s="179"/>
      <c r="BR87" s="179"/>
      <c r="BS87" s="179"/>
      <c r="BT87" s="179"/>
      <c r="BU87" s="171"/>
      <c r="BV87" s="179"/>
      <c r="BW87" s="186"/>
      <c r="BX87" s="186"/>
      <c r="BY87" s="186"/>
      <c r="BZ87" s="200">
        <v>1.0</v>
      </c>
      <c r="CA87" s="186"/>
      <c r="CB87" s="186"/>
      <c r="CC87" s="186"/>
      <c r="CD87" s="186"/>
      <c r="CE87" s="172">
        <f t="shared" si="36"/>
        <v>1</v>
      </c>
      <c r="CF87" s="173">
        <f t="shared" si="37"/>
        <v>20</v>
      </c>
      <c r="CG87" s="199"/>
      <c r="CH87" s="186"/>
      <c r="CI87" s="186"/>
      <c r="CJ87" s="186"/>
      <c r="CK87" s="186"/>
      <c r="CL87" s="186"/>
      <c r="CM87" s="186"/>
      <c r="CN87" s="186"/>
      <c r="CO87" s="186"/>
      <c r="CP87" s="186"/>
      <c r="CQ87" s="186"/>
      <c r="CR87" s="186"/>
      <c r="CS87" s="175">
        <f t="shared" si="38"/>
        <v>0</v>
      </c>
      <c r="CT87" s="158">
        <f t="shared" si="39"/>
        <v>0</v>
      </c>
    </row>
    <row r="88" ht="15.75" customHeight="1">
      <c r="A88" s="146">
        <v>78.0</v>
      </c>
      <c r="B88" s="111" t="s">
        <v>207</v>
      </c>
      <c r="C88" s="112" t="s">
        <v>208</v>
      </c>
      <c r="D88" s="250">
        <f t="shared" si="6"/>
        <v>5</v>
      </c>
      <c r="E88" s="113">
        <f t="shared" si="27"/>
        <v>62.5</v>
      </c>
      <c r="F88" s="114" t="str">
        <f t="shared" si="28"/>
        <v>  </v>
      </c>
      <c r="G88" s="164" t="str">
        <f t="shared" si="29"/>
        <v>  </v>
      </c>
      <c r="H88" s="183"/>
      <c r="I88" s="179"/>
      <c r="J88" s="179"/>
      <c r="K88" s="179"/>
      <c r="L88" s="179"/>
      <c r="M88" s="118">
        <f t="shared" si="30"/>
        <v>0</v>
      </c>
      <c r="N88" s="119" t="str">
        <f t="shared" si="31"/>
        <v>#DIV/0!</v>
      </c>
      <c r="O88" s="176"/>
      <c r="P88" s="179"/>
      <c r="Q88" s="179"/>
      <c r="R88" s="179"/>
      <c r="S88" s="179"/>
      <c r="T88" s="179"/>
      <c r="U88" s="179"/>
      <c r="V88" s="179"/>
      <c r="W88" s="179"/>
      <c r="X88" s="179"/>
      <c r="Y88" s="179"/>
      <c r="Z88" s="179"/>
      <c r="AA88" s="179"/>
      <c r="AB88" s="179"/>
      <c r="AC88" s="179"/>
      <c r="AD88" s="179"/>
      <c r="AE88" s="179"/>
      <c r="AF88" s="176"/>
      <c r="AG88" s="176"/>
      <c r="AH88" s="176"/>
      <c r="AI88" s="176"/>
      <c r="AJ88" s="251">
        <f t="shared" si="32"/>
        <v>0</v>
      </c>
      <c r="AK88" s="169" t="str">
        <f t="shared" si="33"/>
        <v>#DIV/0!</v>
      </c>
      <c r="AL88" s="279">
        <v>1.0</v>
      </c>
      <c r="AM88" s="179"/>
      <c r="AN88" s="179"/>
      <c r="AO88" s="179"/>
      <c r="AP88" s="179"/>
      <c r="AQ88" s="179"/>
      <c r="AR88" s="179"/>
      <c r="AS88" s="179"/>
      <c r="AT88" s="184">
        <v>1.0</v>
      </c>
      <c r="AU88" s="179"/>
      <c r="AV88" s="179"/>
      <c r="AW88" s="179"/>
      <c r="AX88" s="179"/>
      <c r="AY88" s="184">
        <v>1.0</v>
      </c>
      <c r="AZ88" s="179"/>
      <c r="BA88" s="179"/>
      <c r="BB88" s="179"/>
      <c r="BC88" s="179"/>
      <c r="BD88" s="184">
        <v>1.0</v>
      </c>
      <c r="BE88" s="179"/>
      <c r="BF88" s="179"/>
      <c r="BG88" s="118">
        <f t="shared" si="34"/>
        <v>4</v>
      </c>
      <c r="BH88" s="122">
        <f t="shared" si="35"/>
        <v>100</v>
      </c>
      <c r="BI88" s="176"/>
      <c r="BJ88" s="179"/>
      <c r="BK88" s="179"/>
      <c r="BL88" s="179"/>
      <c r="BM88" s="179"/>
      <c r="BN88" s="179"/>
      <c r="BO88" s="179"/>
      <c r="BP88" s="179"/>
      <c r="BQ88" s="179"/>
      <c r="BR88" s="179"/>
      <c r="BS88" s="179"/>
      <c r="BT88" s="179"/>
      <c r="BU88" s="171"/>
      <c r="BV88" s="179"/>
      <c r="BW88" s="186"/>
      <c r="BX88" s="186"/>
      <c r="BY88" s="186"/>
      <c r="BZ88" s="200">
        <v>1.0</v>
      </c>
      <c r="CA88" s="186"/>
      <c r="CB88" s="186"/>
      <c r="CC88" s="186"/>
      <c r="CD88" s="186"/>
      <c r="CE88" s="172">
        <f t="shared" si="36"/>
        <v>1</v>
      </c>
      <c r="CF88" s="173">
        <f t="shared" si="37"/>
        <v>20</v>
      </c>
      <c r="CG88" s="199"/>
      <c r="CH88" s="163"/>
      <c r="CI88" s="186"/>
      <c r="CJ88" s="186"/>
      <c r="CK88" s="186"/>
      <c r="CL88" s="186"/>
      <c r="CM88" s="163"/>
      <c r="CN88" s="186"/>
      <c r="CO88" s="186"/>
      <c r="CP88" s="186"/>
      <c r="CQ88" s="186"/>
      <c r="CR88" s="186"/>
      <c r="CS88" s="175">
        <f t="shared" si="38"/>
        <v>0</v>
      </c>
      <c r="CT88" s="158">
        <f t="shared" si="39"/>
        <v>0</v>
      </c>
    </row>
    <row r="89" ht="15.75" customHeight="1">
      <c r="A89" s="146">
        <v>79.0</v>
      </c>
      <c r="B89" s="111" t="s">
        <v>209</v>
      </c>
      <c r="C89" s="112" t="s">
        <v>210</v>
      </c>
      <c r="D89" s="250">
        <f t="shared" si="6"/>
        <v>4</v>
      </c>
      <c r="E89" s="113">
        <f t="shared" si="27"/>
        <v>50</v>
      </c>
      <c r="F89" s="114" t="str">
        <f t="shared" si="28"/>
        <v>  </v>
      </c>
      <c r="G89" s="164" t="str">
        <f t="shared" si="29"/>
        <v>  </v>
      </c>
      <c r="H89" s="183"/>
      <c r="I89" s="179"/>
      <c r="J89" s="179"/>
      <c r="K89" s="166"/>
      <c r="L89" s="166"/>
      <c r="M89" s="118">
        <f t="shared" si="30"/>
        <v>0</v>
      </c>
      <c r="N89" s="119" t="str">
        <f t="shared" si="31"/>
        <v>#DIV/0!</v>
      </c>
      <c r="O89" s="176"/>
      <c r="P89" s="179"/>
      <c r="Q89" s="179"/>
      <c r="R89" s="179"/>
      <c r="S89" s="179"/>
      <c r="T89" s="179"/>
      <c r="U89" s="179"/>
      <c r="V89" s="179"/>
      <c r="W89" s="179"/>
      <c r="X89" s="179"/>
      <c r="Y89" s="179"/>
      <c r="Z89" s="179"/>
      <c r="AA89" s="179"/>
      <c r="AB89" s="179"/>
      <c r="AC89" s="179"/>
      <c r="AD89" s="179"/>
      <c r="AE89" s="179"/>
      <c r="AF89" s="176"/>
      <c r="AG89" s="176"/>
      <c r="AH89" s="176"/>
      <c r="AI89" s="176"/>
      <c r="AJ89" s="251">
        <f t="shared" si="32"/>
        <v>0</v>
      </c>
      <c r="AK89" s="169" t="str">
        <f t="shared" si="33"/>
        <v>#DIV/0!</v>
      </c>
      <c r="AL89" s="183"/>
      <c r="AM89" s="179"/>
      <c r="AN89" s="179"/>
      <c r="AO89" s="179"/>
      <c r="AP89" s="179"/>
      <c r="AQ89" s="179"/>
      <c r="AR89" s="179"/>
      <c r="AS89" s="179"/>
      <c r="AT89" s="184">
        <v>1.0</v>
      </c>
      <c r="AU89" s="179"/>
      <c r="AV89" s="179"/>
      <c r="AW89" s="179"/>
      <c r="AX89" s="179"/>
      <c r="AY89" s="184">
        <v>1.0</v>
      </c>
      <c r="AZ89" s="179"/>
      <c r="BA89" s="179"/>
      <c r="BB89" s="179"/>
      <c r="BC89" s="179"/>
      <c r="BD89" s="179"/>
      <c r="BE89" s="179"/>
      <c r="BF89" s="179"/>
      <c r="BG89" s="118">
        <f t="shared" si="34"/>
        <v>2</v>
      </c>
      <c r="BH89" s="122">
        <f t="shared" si="35"/>
        <v>50</v>
      </c>
      <c r="BI89" s="176"/>
      <c r="BJ89" s="179"/>
      <c r="BK89" s="179"/>
      <c r="BL89" s="179"/>
      <c r="BM89" s="179"/>
      <c r="BN89" s="179"/>
      <c r="BO89" s="179"/>
      <c r="BP89" s="179"/>
      <c r="BQ89" s="179"/>
      <c r="BR89" s="179"/>
      <c r="BS89" s="179"/>
      <c r="BT89" s="179"/>
      <c r="BU89" s="273">
        <v>1.0</v>
      </c>
      <c r="BV89" s="179"/>
      <c r="BW89" s="186"/>
      <c r="BX89" s="186"/>
      <c r="BY89" s="186"/>
      <c r="BZ89" s="200">
        <v>1.0</v>
      </c>
      <c r="CA89" s="186"/>
      <c r="CB89" s="186"/>
      <c r="CC89" s="186"/>
      <c r="CD89" s="186"/>
      <c r="CE89" s="172">
        <f t="shared" si="36"/>
        <v>2</v>
      </c>
      <c r="CF89" s="173">
        <f t="shared" si="37"/>
        <v>40</v>
      </c>
      <c r="CG89" s="199"/>
      <c r="CH89" s="163"/>
      <c r="CI89" s="186"/>
      <c r="CJ89" s="186"/>
      <c r="CK89" s="186"/>
      <c r="CL89" s="186"/>
      <c r="CM89" s="163"/>
      <c r="CN89" s="186"/>
      <c r="CO89" s="186"/>
      <c r="CP89" s="186"/>
      <c r="CQ89" s="186"/>
      <c r="CR89" s="186"/>
      <c r="CS89" s="175">
        <f t="shared" si="38"/>
        <v>0</v>
      </c>
      <c r="CT89" s="158">
        <f t="shared" si="39"/>
        <v>0</v>
      </c>
    </row>
    <row r="90" ht="15.75" customHeight="1">
      <c r="A90" s="131">
        <v>80.0</v>
      </c>
      <c r="B90" s="111" t="s">
        <v>211</v>
      </c>
      <c r="C90" s="112" t="s">
        <v>212</v>
      </c>
      <c r="D90" s="250">
        <f t="shared" si="6"/>
        <v>4</v>
      </c>
      <c r="E90" s="113">
        <f t="shared" si="27"/>
        <v>50</v>
      </c>
      <c r="F90" s="114" t="str">
        <f t="shared" si="28"/>
        <v>  </v>
      </c>
      <c r="G90" s="164" t="str">
        <f t="shared" si="29"/>
        <v>  </v>
      </c>
      <c r="H90" s="183"/>
      <c r="I90" s="179"/>
      <c r="J90" s="179"/>
      <c r="K90" s="166"/>
      <c r="L90" s="166"/>
      <c r="M90" s="118">
        <f t="shared" si="30"/>
        <v>0</v>
      </c>
      <c r="N90" s="119" t="str">
        <f t="shared" si="31"/>
        <v>#DIV/0!</v>
      </c>
      <c r="O90" s="176"/>
      <c r="P90" s="179"/>
      <c r="Q90" s="179"/>
      <c r="R90" s="179"/>
      <c r="S90" s="179"/>
      <c r="T90" s="179"/>
      <c r="U90" s="179"/>
      <c r="V90" s="179"/>
      <c r="W90" s="179"/>
      <c r="X90" s="179"/>
      <c r="Y90" s="179"/>
      <c r="Z90" s="179"/>
      <c r="AA90" s="179"/>
      <c r="AB90" s="179"/>
      <c r="AC90" s="179"/>
      <c r="AD90" s="179"/>
      <c r="AE90" s="179"/>
      <c r="AF90" s="176"/>
      <c r="AG90" s="176"/>
      <c r="AH90" s="176"/>
      <c r="AI90" s="176"/>
      <c r="AJ90" s="251">
        <f t="shared" si="32"/>
        <v>0</v>
      </c>
      <c r="AK90" s="169" t="str">
        <f t="shared" si="33"/>
        <v>#DIV/0!</v>
      </c>
      <c r="AL90" s="183"/>
      <c r="AM90" s="179"/>
      <c r="AN90" s="179"/>
      <c r="AO90" s="179"/>
      <c r="AP90" s="179"/>
      <c r="AQ90" s="179"/>
      <c r="AR90" s="179"/>
      <c r="AS90" s="179"/>
      <c r="AT90" s="184">
        <v>1.0</v>
      </c>
      <c r="AU90" s="179"/>
      <c r="AV90" s="179"/>
      <c r="AW90" s="179"/>
      <c r="AX90" s="179"/>
      <c r="AY90" s="184">
        <v>1.0</v>
      </c>
      <c r="AZ90" s="179"/>
      <c r="BA90" s="179"/>
      <c r="BB90" s="179"/>
      <c r="BC90" s="179"/>
      <c r="BD90" s="179"/>
      <c r="BE90" s="179"/>
      <c r="BF90" s="179"/>
      <c r="BG90" s="118">
        <f t="shared" si="34"/>
        <v>2</v>
      </c>
      <c r="BH90" s="122">
        <f t="shared" si="35"/>
        <v>50</v>
      </c>
      <c r="BI90" s="176"/>
      <c r="BJ90" s="179"/>
      <c r="BK90" s="179"/>
      <c r="BL90" s="179"/>
      <c r="BM90" s="179"/>
      <c r="BN90" s="179"/>
      <c r="BO90" s="179"/>
      <c r="BP90" s="184">
        <v>1.0</v>
      </c>
      <c r="BQ90" s="179"/>
      <c r="BR90" s="179"/>
      <c r="BS90" s="179"/>
      <c r="BT90" s="179"/>
      <c r="BU90" s="171"/>
      <c r="BV90" s="179"/>
      <c r="BW90" s="186"/>
      <c r="BX90" s="186"/>
      <c r="BY90" s="186"/>
      <c r="BZ90" s="200">
        <v>1.0</v>
      </c>
      <c r="CA90" s="186"/>
      <c r="CB90" s="186"/>
      <c r="CC90" s="186"/>
      <c r="CD90" s="186"/>
      <c r="CE90" s="172">
        <f t="shared" si="36"/>
        <v>2</v>
      </c>
      <c r="CF90" s="173">
        <f t="shared" si="37"/>
        <v>40</v>
      </c>
      <c r="CG90" s="199"/>
      <c r="CH90" s="163"/>
      <c r="CI90" s="186"/>
      <c r="CJ90" s="186"/>
      <c r="CK90" s="186"/>
      <c r="CL90" s="186"/>
      <c r="CM90" s="163"/>
      <c r="CN90" s="186"/>
      <c r="CO90" s="186"/>
      <c r="CP90" s="186"/>
      <c r="CQ90" s="186"/>
      <c r="CR90" s="186"/>
      <c r="CS90" s="175">
        <f t="shared" si="38"/>
        <v>0</v>
      </c>
      <c r="CT90" s="158">
        <f t="shared" si="39"/>
        <v>0</v>
      </c>
    </row>
    <row r="91" ht="15.75" customHeight="1">
      <c r="A91" s="146">
        <v>81.0</v>
      </c>
      <c r="B91" s="111" t="s">
        <v>213</v>
      </c>
      <c r="C91" s="112" t="s">
        <v>214</v>
      </c>
      <c r="D91" s="250">
        <f t="shared" si="6"/>
        <v>6</v>
      </c>
      <c r="E91" s="113">
        <f t="shared" si="27"/>
        <v>75</v>
      </c>
      <c r="F91" s="114" t="str">
        <f t="shared" si="28"/>
        <v>  </v>
      </c>
      <c r="G91" s="164" t="str">
        <f t="shared" si="29"/>
        <v>  </v>
      </c>
      <c r="H91" s="183"/>
      <c r="I91" s="179"/>
      <c r="J91" s="179"/>
      <c r="K91" s="166"/>
      <c r="L91" s="166"/>
      <c r="M91" s="118">
        <f t="shared" si="30"/>
        <v>0</v>
      </c>
      <c r="N91" s="119" t="str">
        <f t="shared" si="31"/>
        <v>#DIV/0!</v>
      </c>
      <c r="O91" s="176"/>
      <c r="P91" s="179"/>
      <c r="Q91" s="179"/>
      <c r="R91" s="179"/>
      <c r="S91" s="179"/>
      <c r="T91" s="179"/>
      <c r="U91" s="179"/>
      <c r="V91" s="179"/>
      <c r="W91" s="179"/>
      <c r="X91" s="179"/>
      <c r="Y91" s="179"/>
      <c r="Z91" s="179"/>
      <c r="AA91" s="179"/>
      <c r="AB91" s="179"/>
      <c r="AC91" s="179"/>
      <c r="AD91" s="179"/>
      <c r="AE91" s="179"/>
      <c r="AF91" s="176"/>
      <c r="AG91" s="176"/>
      <c r="AH91" s="176"/>
      <c r="AI91" s="176"/>
      <c r="AJ91" s="251">
        <f t="shared" si="32"/>
        <v>0</v>
      </c>
      <c r="AK91" s="169" t="str">
        <f t="shared" si="33"/>
        <v>#DIV/0!</v>
      </c>
      <c r="AL91" s="279">
        <v>1.0</v>
      </c>
      <c r="AM91" s="179"/>
      <c r="AN91" s="179"/>
      <c r="AO91" s="179"/>
      <c r="AP91" s="179"/>
      <c r="AQ91" s="179"/>
      <c r="AR91" s="179"/>
      <c r="AS91" s="179"/>
      <c r="AT91" s="184">
        <v>1.0</v>
      </c>
      <c r="AU91" s="179"/>
      <c r="AV91" s="179"/>
      <c r="AW91" s="179"/>
      <c r="AX91" s="179"/>
      <c r="AY91" s="184">
        <v>1.0</v>
      </c>
      <c r="AZ91" s="179"/>
      <c r="BA91" s="179"/>
      <c r="BB91" s="179"/>
      <c r="BC91" s="179"/>
      <c r="BD91" s="184">
        <v>1.0</v>
      </c>
      <c r="BE91" s="179"/>
      <c r="BF91" s="179"/>
      <c r="BG91" s="118">
        <f t="shared" si="34"/>
        <v>4</v>
      </c>
      <c r="BH91" s="122">
        <f t="shared" si="35"/>
        <v>100</v>
      </c>
      <c r="BI91" s="176"/>
      <c r="BJ91" s="179"/>
      <c r="BK91" s="179"/>
      <c r="BL91" s="179"/>
      <c r="BM91" s="179"/>
      <c r="BN91" s="179"/>
      <c r="BO91" s="179"/>
      <c r="BP91" s="184">
        <v>1.0</v>
      </c>
      <c r="BQ91" s="179"/>
      <c r="BR91" s="179"/>
      <c r="BS91" s="179"/>
      <c r="BT91" s="179"/>
      <c r="BU91" s="273">
        <v>1.0</v>
      </c>
      <c r="BV91" s="179"/>
      <c r="BW91" s="186"/>
      <c r="BX91" s="186"/>
      <c r="BY91" s="186"/>
      <c r="BZ91" s="186"/>
      <c r="CA91" s="186"/>
      <c r="CB91" s="186"/>
      <c r="CC91" s="186"/>
      <c r="CD91" s="186"/>
      <c r="CE91" s="172">
        <f t="shared" si="36"/>
        <v>2</v>
      </c>
      <c r="CF91" s="173">
        <f t="shared" si="37"/>
        <v>40</v>
      </c>
      <c r="CG91" s="199"/>
      <c r="CH91" s="163"/>
      <c r="CI91" s="186"/>
      <c r="CJ91" s="186"/>
      <c r="CK91" s="186"/>
      <c r="CL91" s="186"/>
      <c r="CM91" s="163"/>
      <c r="CN91" s="186"/>
      <c r="CO91" s="186"/>
      <c r="CP91" s="186"/>
      <c r="CQ91" s="186"/>
      <c r="CR91" s="186"/>
      <c r="CS91" s="175">
        <f t="shared" si="38"/>
        <v>0</v>
      </c>
      <c r="CT91" s="158">
        <f t="shared" si="39"/>
        <v>0</v>
      </c>
    </row>
    <row r="92" ht="15.75" customHeight="1">
      <c r="A92" s="146">
        <v>82.0</v>
      </c>
      <c r="B92" s="111" t="s">
        <v>215</v>
      </c>
      <c r="C92" s="112" t="s">
        <v>216</v>
      </c>
      <c r="D92" s="250">
        <f t="shared" si="6"/>
        <v>5</v>
      </c>
      <c r="E92" s="113">
        <f t="shared" si="27"/>
        <v>62.5</v>
      </c>
      <c r="F92" s="114" t="str">
        <f t="shared" si="28"/>
        <v>  </v>
      </c>
      <c r="G92" s="164" t="str">
        <f t="shared" si="29"/>
        <v>  </v>
      </c>
      <c r="H92" s="163"/>
      <c r="I92" s="163"/>
      <c r="J92" s="163"/>
      <c r="K92" s="163"/>
      <c r="L92" s="163"/>
      <c r="M92" s="118">
        <f t="shared" si="30"/>
        <v>0</v>
      </c>
      <c r="N92" s="119" t="str">
        <f t="shared" si="31"/>
        <v>#DIV/0!</v>
      </c>
      <c r="O92" s="163"/>
      <c r="P92" s="163"/>
      <c r="Q92" s="163"/>
      <c r="R92" s="163"/>
      <c r="S92" s="163"/>
      <c r="T92" s="163"/>
      <c r="U92" s="163"/>
      <c r="V92" s="163"/>
      <c r="W92" s="163"/>
      <c r="X92" s="163"/>
      <c r="Y92" s="163"/>
      <c r="Z92" s="163"/>
      <c r="AA92" s="163"/>
      <c r="AB92" s="163"/>
      <c r="AC92" s="163"/>
      <c r="AD92" s="163"/>
      <c r="AE92" s="163"/>
      <c r="AF92" s="263"/>
      <c r="AG92" s="263"/>
      <c r="AH92" s="263"/>
      <c r="AI92" s="263"/>
      <c r="AJ92" s="251">
        <f t="shared" si="32"/>
        <v>0</v>
      </c>
      <c r="AK92" s="169" t="str">
        <f t="shared" si="33"/>
        <v>#DIV/0!</v>
      </c>
      <c r="AL92" s="163"/>
      <c r="AM92" s="163"/>
      <c r="AN92" s="163"/>
      <c r="AO92" s="163"/>
      <c r="AP92" s="163"/>
      <c r="AQ92" s="163"/>
      <c r="AR92" s="163"/>
      <c r="AS92" s="163"/>
      <c r="AT92" s="262">
        <v>1.0</v>
      </c>
      <c r="AU92" s="163"/>
      <c r="AV92" s="163"/>
      <c r="AW92" s="163"/>
      <c r="AX92" s="163"/>
      <c r="AY92" s="262">
        <v>1.0</v>
      </c>
      <c r="AZ92" s="163"/>
      <c r="BA92" s="163"/>
      <c r="BB92" s="163"/>
      <c r="BC92" s="163"/>
      <c r="BD92" s="163"/>
      <c r="BE92" s="163"/>
      <c r="BF92" s="163"/>
      <c r="BG92" s="118">
        <f t="shared" si="34"/>
        <v>2</v>
      </c>
      <c r="BH92" s="122">
        <f t="shared" si="35"/>
        <v>50</v>
      </c>
      <c r="BI92" s="163"/>
      <c r="BJ92" s="163"/>
      <c r="BK92" s="163"/>
      <c r="BL92" s="163"/>
      <c r="BM92" s="163"/>
      <c r="BN92" s="163"/>
      <c r="BO92" s="163"/>
      <c r="BP92" s="262">
        <v>1.0</v>
      </c>
      <c r="BQ92" s="163"/>
      <c r="BR92" s="163"/>
      <c r="BS92" s="163"/>
      <c r="BT92" s="163"/>
      <c r="BU92" s="273">
        <v>1.0</v>
      </c>
      <c r="BV92" s="163"/>
      <c r="BW92" s="163"/>
      <c r="BX92" s="163"/>
      <c r="BY92" s="163"/>
      <c r="BZ92" s="262">
        <v>1.0</v>
      </c>
      <c r="CA92" s="163"/>
      <c r="CB92" s="163"/>
      <c r="CC92" s="163"/>
      <c r="CD92" s="163"/>
      <c r="CE92" s="172">
        <f t="shared" si="36"/>
        <v>3</v>
      </c>
      <c r="CF92" s="173">
        <f t="shared" si="37"/>
        <v>60</v>
      </c>
      <c r="CG92" s="163"/>
      <c r="CH92" s="163"/>
      <c r="CI92" s="163"/>
      <c r="CJ92" s="163"/>
      <c r="CK92" s="163"/>
      <c r="CL92" s="163"/>
      <c r="CM92" s="163"/>
      <c r="CN92" s="163"/>
      <c r="CO92" s="163"/>
      <c r="CP92" s="163"/>
      <c r="CQ92" s="163"/>
      <c r="CR92" s="163"/>
      <c r="CS92" s="175">
        <f t="shared" si="38"/>
        <v>0</v>
      </c>
      <c r="CT92" s="158">
        <f t="shared" si="39"/>
        <v>0</v>
      </c>
    </row>
    <row r="93" ht="15.75" customHeight="1">
      <c r="A93" s="131">
        <v>83.0</v>
      </c>
      <c r="B93" s="111" t="s">
        <v>217</v>
      </c>
      <c r="C93" s="112" t="s">
        <v>218</v>
      </c>
      <c r="D93" s="250">
        <f t="shared" si="6"/>
        <v>0</v>
      </c>
      <c r="E93" s="113">
        <f t="shared" si="27"/>
        <v>0</v>
      </c>
      <c r="F93" s="114">
        <f t="shared" si="28"/>
        <v>0</v>
      </c>
      <c r="G93" s="202">
        <f t="shared" si="29"/>
        <v>0</v>
      </c>
      <c r="H93" s="163"/>
      <c r="I93" s="163"/>
      <c r="J93" s="163"/>
      <c r="K93" s="163"/>
      <c r="L93" s="163"/>
      <c r="M93" s="118">
        <f t="shared" si="30"/>
        <v>0</v>
      </c>
      <c r="N93" s="119" t="str">
        <f t="shared" si="31"/>
        <v>#DIV/0!</v>
      </c>
      <c r="O93" s="163"/>
      <c r="P93" s="163"/>
      <c r="Q93" s="163"/>
      <c r="R93" s="163"/>
      <c r="S93" s="163"/>
      <c r="T93" s="163"/>
      <c r="U93" s="163"/>
      <c r="V93" s="163"/>
      <c r="W93" s="163"/>
      <c r="X93" s="163"/>
      <c r="Y93" s="163"/>
      <c r="Z93" s="163"/>
      <c r="AA93" s="163"/>
      <c r="AB93" s="163"/>
      <c r="AC93" s="163"/>
      <c r="AD93" s="163"/>
      <c r="AE93" s="163"/>
      <c r="AF93" s="263"/>
      <c r="AG93" s="263"/>
      <c r="AH93" s="263"/>
      <c r="AI93" s="263"/>
      <c r="AJ93" s="251">
        <f t="shared" si="32"/>
        <v>0</v>
      </c>
      <c r="AK93" s="169" t="str">
        <f t="shared" si="33"/>
        <v>#DIV/0!</v>
      </c>
      <c r="AL93" s="163"/>
      <c r="AM93" s="163"/>
      <c r="AN93" s="163"/>
      <c r="AO93" s="163"/>
      <c r="AP93" s="163"/>
      <c r="AQ93" s="163"/>
      <c r="AR93" s="163"/>
      <c r="AS93" s="163"/>
      <c r="AT93" s="163"/>
      <c r="AU93" s="163"/>
      <c r="AV93" s="163"/>
      <c r="AW93" s="163"/>
      <c r="AX93" s="163"/>
      <c r="AY93" s="163"/>
      <c r="AZ93" s="163"/>
      <c r="BA93" s="163"/>
      <c r="BB93" s="163"/>
      <c r="BC93" s="163"/>
      <c r="BD93" s="163"/>
      <c r="BE93" s="163"/>
      <c r="BF93" s="163"/>
      <c r="BG93" s="118">
        <f t="shared" si="34"/>
        <v>0</v>
      </c>
      <c r="BH93" s="122">
        <f t="shared" si="35"/>
        <v>0</v>
      </c>
      <c r="BI93" s="163"/>
      <c r="BJ93" s="163"/>
      <c r="BK93" s="163"/>
      <c r="BL93" s="163"/>
      <c r="BM93" s="163"/>
      <c r="BN93" s="163"/>
      <c r="BO93" s="163"/>
      <c r="BP93" s="163"/>
      <c r="BQ93" s="163"/>
      <c r="BR93" s="163"/>
      <c r="BS93" s="163"/>
      <c r="BT93" s="163"/>
      <c r="BU93" s="171"/>
      <c r="BV93" s="163"/>
      <c r="BW93" s="163"/>
      <c r="BX93" s="163"/>
      <c r="BY93" s="163"/>
      <c r="BZ93" s="163"/>
      <c r="CA93" s="163"/>
      <c r="CB93" s="163"/>
      <c r="CC93" s="163"/>
      <c r="CD93" s="163"/>
      <c r="CE93" s="172">
        <f t="shared" si="36"/>
        <v>0</v>
      </c>
      <c r="CF93" s="173">
        <f t="shared" si="37"/>
        <v>0</v>
      </c>
      <c r="CG93" s="163"/>
      <c r="CH93" s="163"/>
      <c r="CI93" s="163"/>
      <c r="CJ93" s="163"/>
      <c r="CK93" s="163"/>
      <c r="CL93" s="163"/>
      <c r="CM93" s="163"/>
      <c r="CN93" s="163"/>
      <c r="CO93" s="163"/>
      <c r="CP93" s="163"/>
      <c r="CQ93" s="163"/>
      <c r="CR93" s="163"/>
      <c r="CS93" s="175">
        <f t="shared" si="38"/>
        <v>0</v>
      </c>
      <c r="CT93" s="158">
        <f t="shared" si="39"/>
        <v>0</v>
      </c>
    </row>
    <row r="94" ht="15.75" customHeight="1">
      <c r="A94" s="9"/>
      <c r="B94" s="11"/>
      <c r="C94" s="11"/>
      <c r="D94" s="9"/>
      <c r="E94" s="9"/>
      <c r="F94" s="9"/>
      <c r="G94" s="9"/>
      <c r="H94" s="11"/>
      <c r="I94" s="11"/>
      <c r="J94" s="11"/>
      <c r="K94" s="11"/>
      <c r="L94" s="11"/>
      <c r="M94" s="9"/>
      <c r="N94" s="9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9"/>
      <c r="AK94" s="13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9"/>
      <c r="BH94" s="15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9"/>
      <c r="CF94" s="9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</row>
    <row r="95" ht="15.75" customHeight="1">
      <c r="A95" s="9"/>
      <c r="B95" s="11"/>
      <c r="C95" s="11"/>
      <c r="D95" s="9"/>
      <c r="E95" s="9"/>
      <c r="F95" s="9"/>
      <c r="G95" s="9"/>
      <c r="H95" s="11"/>
      <c r="I95" s="11"/>
      <c r="J95" s="11"/>
      <c r="K95" s="11"/>
      <c r="L95" s="11"/>
      <c r="M95" s="9"/>
      <c r="N95" s="9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9"/>
      <c r="AK95" s="13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9"/>
      <c r="BH95" s="15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9"/>
      <c r="CF95" s="9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</row>
    <row r="96" ht="15.75" customHeight="1">
      <c r="A96" s="9"/>
      <c r="B96" s="11"/>
      <c r="C96" s="11"/>
      <c r="D96" s="9"/>
      <c r="E96" s="9"/>
      <c r="F96" s="9"/>
      <c r="G96" s="9"/>
      <c r="H96" s="11"/>
      <c r="I96" s="11"/>
      <c r="J96" s="11"/>
      <c r="K96" s="11"/>
      <c r="L96" s="11"/>
      <c r="M96" s="9"/>
      <c r="N96" s="9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9"/>
      <c r="AK96" s="13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9"/>
      <c r="BH96" s="15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9"/>
      <c r="CF96" s="9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</row>
    <row r="97" ht="15.75" customHeight="1">
      <c r="A97" s="9"/>
      <c r="B97" s="11"/>
      <c r="C97" s="11"/>
      <c r="D97" s="9"/>
      <c r="E97" s="9"/>
      <c r="F97" s="9"/>
      <c r="G97" s="9"/>
      <c r="H97" s="11"/>
      <c r="I97" s="11"/>
      <c r="J97" s="11"/>
      <c r="K97" s="11"/>
      <c r="L97" s="11"/>
      <c r="M97" s="9"/>
      <c r="N97" s="9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9"/>
      <c r="AK97" s="13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9"/>
      <c r="BH97" s="15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9"/>
      <c r="CF97" s="9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</row>
    <row r="98" ht="15.75" customHeight="1">
      <c r="A98" s="9"/>
      <c r="B98" s="11"/>
      <c r="C98" s="11"/>
      <c r="D98" s="9"/>
      <c r="E98" s="9"/>
      <c r="F98" s="9"/>
      <c r="G98" s="9"/>
      <c r="H98" s="11"/>
      <c r="I98" s="11"/>
      <c r="J98" s="11"/>
      <c r="K98" s="11"/>
      <c r="L98" s="11"/>
      <c r="M98" s="9"/>
      <c r="N98" s="9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9"/>
      <c r="AK98" s="13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9"/>
      <c r="BH98" s="15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9"/>
      <c r="CF98" s="9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</row>
    <row r="99" ht="15.75" customHeight="1">
      <c r="A99" s="9"/>
      <c r="B99" s="11"/>
      <c r="C99" s="11"/>
      <c r="D99" s="9"/>
      <c r="E99" s="9"/>
      <c r="F99" s="9"/>
      <c r="G99" s="9"/>
      <c r="H99" s="11"/>
      <c r="I99" s="11"/>
      <c r="J99" s="11"/>
      <c r="K99" s="11"/>
      <c r="L99" s="11"/>
      <c r="M99" s="9"/>
      <c r="N99" s="9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9"/>
      <c r="AK99" s="13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9"/>
      <c r="BH99" s="15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9"/>
      <c r="CF99" s="9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</row>
    <row r="100" ht="15.75" customHeight="1">
      <c r="A100" s="9"/>
      <c r="B100" s="11"/>
      <c r="C100" s="11"/>
      <c r="D100" s="9"/>
      <c r="E100" s="9"/>
      <c r="F100" s="9"/>
      <c r="G100" s="9"/>
      <c r="H100" s="11"/>
      <c r="I100" s="11"/>
      <c r="J100" s="11"/>
      <c r="K100" s="11"/>
      <c r="L100" s="11"/>
      <c r="M100" s="9"/>
      <c r="N100" s="9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9"/>
      <c r="AK100" s="13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9"/>
      <c r="BH100" s="15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9"/>
      <c r="CF100" s="9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</row>
    <row r="101" ht="15.75" customHeight="1">
      <c r="A101" s="9"/>
      <c r="B101" s="11"/>
      <c r="C101" s="11"/>
      <c r="D101" s="9"/>
      <c r="E101" s="9"/>
      <c r="F101" s="9"/>
      <c r="G101" s="9"/>
      <c r="H101" s="11"/>
      <c r="I101" s="11"/>
      <c r="J101" s="11"/>
      <c r="K101" s="11"/>
      <c r="L101" s="11"/>
      <c r="M101" s="9"/>
      <c r="N101" s="9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9"/>
      <c r="AK101" s="13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9"/>
      <c r="BH101" s="15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9"/>
      <c r="CF101" s="9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</row>
    <row r="102" ht="15.75" customHeight="1">
      <c r="A102" s="9"/>
      <c r="B102" s="11"/>
      <c r="C102" s="11"/>
      <c r="D102" s="9"/>
      <c r="E102" s="9"/>
      <c r="F102" s="9"/>
      <c r="G102" s="9"/>
      <c r="H102" s="11"/>
      <c r="I102" s="11"/>
      <c r="J102" s="11"/>
      <c r="K102" s="11"/>
      <c r="L102" s="11"/>
      <c r="M102" s="9"/>
      <c r="N102" s="9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9"/>
      <c r="AK102" s="13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9"/>
      <c r="BH102" s="15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9"/>
      <c r="CF102" s="9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</row>
    <row r="103" ht="15.75" customHeight="1">
      <c r="A103" s="9"/>
      <c r="B103" s="11"/>
      <c r="C103" s="11"/>
      <c r="D103" s="9"/>
      <c r="E103" s="9"/>
      <c r="F103" s="9"/>
      <c r="G103" s="9"/>
      <c r="H103" s="11"/>
      <c r="I103" s="11"/>
      <c r="J103" s="11"/>
      <c r="K103" s="11"/>
      <c r="L103" s="11"/>
      <c r="M103" s="9"/>
      <c r="N103" s="9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9"/>
      <c r="AK103" s="13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9"/>
      <c r="BH103" s="15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9"/>
      <c r="CF103" s="9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</row>
    <row r="104" ht="15.75" customHeight="1">
      <c r="A104" s="9"/>
      <c r="B104" s="11"/>
      <c r="C104" s="11"/>
      <c r="D104" s="9"/>
      <c r="E104" s="9"/>
      <c r="F104" s="9"/>
      <c r="G104" s="9"/>
      <c r="H104" s="11"/>
      <c r="I104" s="11"/>
      <c r="J104" s="11"/>
      <c r="K104" s="11"/>
      <c r="L104" s="11"/>
      <c r="M104" s="9"/>
      <c r="N104" s="9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9"/>
      <c r="AK104" s="13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9"/>
      <c r="BH104" s="15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9"/>
      <c r="CF104" s="9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</row>
    <row r="105" ht="15.75" customHeight="1">
      <c r="A105" s="9"/>
      <c r="B105" s="11"/>
      <c r="C105" s="11"/>
      <c r="D105" s="9"/>
      <c r="E105" s="9"/>
      <c r="F105" s="9"/>
      <c r="G105" s="9"/>
      <c r="H105" s="11"/>
      <c r="I105" s="11"/>
      <c r="J105" s="11"/>
      <c r="K105" s="11"/>
      <c r="L105" s="11"/>
      <c r="M105" s="9"/>
      <c r="N105" s="9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9"/>
      <c r="AK105" s="13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9"/>
      <c r="BH105" s="15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9"/>
      <c r="CF105" s="9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</row>
    <row r="106" ht="15.75" customHeight="1">
      <c r="A106" s="9"/>
      <c r="B106" s="11"/>
      <c r="C106" s="11"/>
      <c r="D106" s="9"/>
      <c r="E106" s="9"/>
      <c r="F106" s="9"/>
      <c r="G106" s="9"/>
      <c r="H106" s="11"/>
      <c r="I106" s="11"/>
      <c r="J106" s="11"/>
      <c r="K106" s="11"/>
      <c r="L106" s="11"/>
      <c r="M106" s="9"/>
      <c r="N106" s="9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9"/>
      <c r="AK106" s="13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9"/>
      <c r="BH106" s="15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9"/>
      <c r="CF106" s="9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</row>
    <row r="107" ht="15.75" customHeight="1">
      <c r="A107" s="9"/>
      <c r="B107" s="11"/>
      <c r="C107" s="11"/>
      <c r="D107" s="9"/>
      <c r="E107" s="9"/>
      <c r="F107" s="9"/>
      <c r="G107" s="9"/>
      <c r="H107" s="11"/>
      <c r="I107" s="11"/>
      <c r="J107" s="11"/>
      <c r="K107" s="11"/>
      <c r="L107" s="11"/>
      <c r="M107" s="9"/>
      <c r="N107" s="9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9"/>
      <c r="AK107" s="13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9"/>
      <c r="BH107" s="15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9"/>
      <c r="CF107" s="9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</row>
    <row r="108" ht="15.75" customHeight="1">
      <c r="A108" s="9"/>
      <c r="B108" s="11"/>
      <c r="C108" s="11"/>
      <c r="D108" s="9"/>
      <c r="E108" s="9"/>
      <c r="F108" s="9"/>
      <c r="G108" s="9"/>
      <c r="H108" s="11"/>
      <c r="I108" s="11"/>
      <c r="J108" s="11"/>
      <c r="K108" s="11"/>
      <c r="L108" s="11"/>
      <c r="M108" s="9"/>
      <c r="N108" s="9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9"/>
      <c r="AK108" s="13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9"/>
      <c r="BH108" s="15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9"/>
      <c r="CF108" s="9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</row>
    <row r="109" ht="15.75" customHeight="1">
      <c r="A109" s="9"/>
      <c r="B109" s="11"/>
      <c r="C109" s="11"/>
      <c r="D109" s="9"/>
      <c r="E109" s="9"/>
      <c r="F109" s="9"/>
      <c r="G109" s="9"/>
      <c r="H109" s="11"/>
      <c r="I109" s="11"/>
      <c r="J109" s="11"/>
      <c r="K109" s="11"/>
      <c r="L109" s="11"/>
      <c r="M109" s="9"/>
      <c r="N109" s="9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9"/>
      <c r="AK109" s="13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9"/>
      <c r="BH109" s="15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9"/>
      <c r="CF109" s="9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</row>
    <row r="110" ht="15.75" customHeight="1">
      <c r="A110" s="9"/>
      <c r="B110" s="11"/>
      <c r="C110" s="11"/>
      <c r="D110" s="9"/>
      <c r="E110" s="9"/>
      <c r="F110" s="9"/>
      <c r="G110" s="9"/>
      <c r="H110" s="11"/>
      <c r="I110" s="11"/>
      <c r="J110" s="11"/>
      <c r="K110" s="11"/>
      <c r="L110" s="11"/>
      <c r="M110" s="9"/>
      <c r="N110" s="9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9"/>
      <c r="AK110" s="13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9"/>
      <c r="BH110" s="15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9"/>
      <c r="CF110" s="9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</row>
    <row r="111" ht="15.75" customHeight="1">
      <c r="A111" s="9"/>
      <c r="B111" s="11"/>
      <c r="C111" s="11"/>
      <c r="D111" s="9"/>
      <c r="E111" s="9"/>
      <c r="F111" s="9"/>
      <c r="G111" s="9"/>
      <c r="H111" s="11"/>
      <c r="I111" s="11"/>
      <c r="J111" s="11"/>
      <c r="K111" s="11"/>
      <c r="L111" s="11"/>
      <c r="M111" s="9"/>
      <c r="N111" s="9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9"/>
      <c r="AK111" s="13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9"/>
      <c r="BH111" s="15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9"/>
      <c r="CF111" s="9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</row>
    <row r="112" ht="15.75" customHeight="1">
      <c r="A112" s="9"/>
      <c r="B112" s="11"/>
      <c r="C112" s="11"/>
      <c r="D112" s="9"/>
      <c r="E112" s="9"/>
      <c r="F112" s="9"/>
      <c r="G112" s="9"/>
      <c r="H112" s="11"/>
      <c r="I112" s="11"/>
      <c r="J112" s="11"/>
      <c r="K112" s="11"/>
      <c r="L112" s="11"/>
      <c r="M112" s="9"/>
      <c r="N112" s="9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9"/>
      <c r="AK112" s="13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9"/>
      <c r="BH112" s="15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9"/>
      <c r="CF112" s="9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</row>
    <row r="113" ht="15.75" customHeight="1">
      <c r="A113" s="9"/>
      <c r="B113" s="11"/>
      <c r="C113" s="11"/>
      <c r="D113" s="9"/>
      <c r="E113" s="9"/>
      <c r="F113" s="9"/>
      <c r="G113" s="9"/>
      <c r="H113" s="11"/>
      <c r="I113" s="11"/>
      <c r="J113" s="11"/>
      <c r="K113" s="11"/>
      <c r="L113" s="11"/>
      <c r="M113" s="9"/>
      <c r="N113" s="9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9"/>
      <c r="AK113" s="13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9"/>
      <c r="BH113" s="15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9"/>
      <c r="CF113" s="9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</row>
    <row r="114" ht="15.75" customHeight="1">
      <c r="A114" s="9"/>
      <c r="B114" s="11"/>
      <c r="C114" s="11"/>
      <c r="D114" s="9"/>
      <c r="E114" s="9"/>
      <c r="F114" s="9"/>
      <c r="G114" s="9"/>
      <c r="H114" s="11"/>
      <c r="I114" s="11"/>
      <c r="J114" s="11"/>
      <c r="K114" s="11"/>
      <c r="L114" s="11"/>
      <c r="M114" s="9"/>
      <c r="N114" s="9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9"/>
      <c r="AK114" s="13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9"/>
      <c r="BH114" s="15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9"/>
      <c r="CF114" s="9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</row>
    <row r="115" ht="15.75" customHeight="1">
      <c r="A115" s="9"/>
      <c r="B115" s="11"/>
      <c r="C115" s="11"/>
      <c r="D115" s="9"/>
      <c r="E115" s="9"/>
      <c r="F115" s="9"/>
      <c r="G115" s="9"/>
      <c r="H115" s="11"/>
      <c r="I115" s="11"/>
      <c r="J115" s="11"/>
      <c r="K115" s="11"/>
      <c r="L115" s="11"/>
      <c r="M115" s="9"/>
      <c r="N115" s="9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9"/>
      <c r="AK115" s="13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9"/>
      <c r="BH115" s="15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9"/>
      <c r="CF115" s="9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</row>
    <row r="116" ht="15.75" customHeight="1">
      <c r="A116" s="9"/>
      <c r="B116" s="11"/>
      <c r="C116" s="11"/>
      <c r="D116" s="9"/>
      <c r="E116" s="9"/>
      <c r="F116" s="9"/>
      <c r="G116" s="9"/>
      <c r="H116" s="11"/>
      <c r="I116" s="11"/>
      <c r="J116" s="11"/>
      <c r="K116" s="11"/>
      <c r="L116" s="11"/>
      <c r="M116" s="9"/>
      <c r="N116" s="9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9"/>
      <c r="AK116" s="13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9"/>
      <c r="BH116" s="15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9"/>
      <c r="CF116" s="9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</row>
    <row r="117" ht="15.75" customHeight="1">
      <c r="A117" s="9"/>
      <c r="B117" s="11"/>
      <c r="C117" s="11"/>
      <c r="D117" s="9"/>
      <c r="E117" s="9"/>
      <c r="F117" s="9"/>
      <c r="G117" s="9"/>
      <c r="H117" s="11"/>
      <c r="I117" s="11"/>
      <c r="J117" s="11"/>
      <c r="K117" s="11"/>
      <c r="L117" s="11"/>
      <c r="M117" s="9"/>
      <c r="N117" s="9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9"/>
      <c r="AK117" s="13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9"/>
      <c r="BH117" s="15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9"/>
      <c r="CF117" s="9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</row>
    <row r="118" ht="15.75" customHeight="1">
      <c r="A118" s="9"/>
      <c r="B118" s="11"/>
      <c r="C118" s="11"/>
      <c r="D118" s="9"/>
      <c r="E118" s="9"/>
      <c r="F118" s="9"/>
      <c r="G118" s="9"/>
      <c r="H118" s="11"/>
      <c r="I118" s="11"/>
      <c r="J118" s="11"/>
      <c r="K118" s="11"/>
      <c r="L118" s="11"/>
      <c r="M118" s="9"/>
      <c r="N118" s="9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9"/>
      <c r="AK118" s="13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9"/>
      <c r="BH118" s="15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9"/>
      <c r="CF118" s="9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</row>
    <row r="119" ht="15.75" customHeight="1">
      <c r="A119" s="9"/>
      <c r="B119" s="11"/>
      <c r="C119" s="11"/>
      <c r="D119" s="9"/>
      <c r="E119" s="9"/>
      <c r="F119" s="9"/>
      <c r="G119" s="9"/>
      <c r="H119" s="11"/>
      <c r="I119" s="11"/>
      <c r="J119" s="11"/>
      <c r="K119" s="11"/>
      <c r="L119" s="11"/>
      <c r="M119" s="9"/>
      <c r="N119" s="9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9"/>
      <c r="AK119" s="13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9"/>
      <c r="BH119" s="15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9"/>
      <c r="CF119" s="9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</row>
    <row r="120" ht="15.75" customHeight="1">
      <c r="A120" s="9"/>
      <c r="B120" s="11"/>
      <c r="C120" s="11"/>
      <c r="D120" s="9"/>
      <c r="E120" s="9"/>
      <c r="F120" s="9"/>
      <c r="G120" s="9"/>
      <c r="H120" s="11"/>
      <c r="I120" s="11"/>
      <c r="J120" s="11"/>
      <c r="K120" s="11"/>
      <c r="L120" s="11"/>
      <c r="M120" s="9"/>
      <c r="N120" s="9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9"/>
      <c r="AK120" s="13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9"/>
      <c r="BH120" s="15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9"/>
      <c r="CF120" s="9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</row>
    <row r="121" ht="15.75" customHeight="1">
      <c r="A121" s="9"/>
      <c r="B121" s="11"/>
      <c r="C121" s="11"/>
      <c r="D121" s="9"/>
      <c r="E121" s="9"/>
      <c r="F121" s="9"/>
      <c r="G121" s="9"/>
      <c r="H121" s="11"/>
      <c r="I121" s="11"/>
      <c r="J121" s="11"/>
      <c r="K121" s="11"/>
      <c r="L121" s="11"/>
      <c r="M121" s="9"/>
      <c r="N121" s="9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9"/>
      <c r="AK121" s="13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9"/>
      <c r="BH121" s="15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9"/>
      <c r="CF121" s="9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</row>
    <row r="122" ht="15.75" customHeight="1">
      <c r="A122" s="9"/>
      <c r="B122" s="11"/>
      <c r="C122" s="11"/>
      <c r="D122" s="9"/>
      <c r="E122" s="9"/>
      <c r="F122" s="9"/>
      <c r="G122" s="9"/>
      <c r="H122" s="11"/>
      <c r="I122" s="11"/>
      <c r="J122" s="11"/>
      <c r="K122" s="11"/>
      <c r="L122" s="11"/>
      <c r="M122" s="9"/>
      <c r="N122" s="9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9"/>
      <c r="AK122" s="13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9"/>
      <c r="BH122" s="15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9"/>
      <c r="CF122" s="9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</row>
    <row r="123" ht="15.75" customHeight="1">
      <c r="A123" s="9"/>
      <c r="B123" s="11"/>
      <c r="C123" s="11"/>
      <c r="D123" s="9"/>
      <c r="E123" s="9"/>
      <c r="F123" s="9"/>
      <c r="G123" s="9"/>
      <c r="H123" s="11"/>
      <c r="I123" s="11"/>
      <c r="J123" s="11"/>
      <c r="K123" s="11"/>
      <c r="L123" s="11"/>
      <c r="M123" s="9"/>
      <c r="N123" s="9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9"/>
      <c r="AK123" s="13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9"/>
      <c r="BH123" s="15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9"/>
      <c r="CF123" s="9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</row>
    <row r="124" ht="15.75" customHeight="1">
      <c r="A124" s="9"/>
      <c r="B124" s="11"/>
      <c r="C124" s="11"/>
      <c r="D124" s="9"/>
      <c r="E124" s="9"/>
      <c r="F124" s="9"/>
      <c r="G124" s="9"/>
      <c r="H124" s="11"/>
      <c r="I124" s="11"/>
      <c r="J124" s="11"/>
      <c r="K124" s="11"/>
      <c r="L124" s="11"/>
      <c r="M124" s="9"/>
      <c r="N124" s="9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9"/>
      <c r="AK124" s="13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9"/>
      <c r="BH124" s="15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9"/>
      <c r="CF124" s="9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</row>
    <row r="125" ht="15.75" customHeight="1">
      <c r="A125" s="9"/>
      <c r="B125" s="11"/>
      <c r="C125" s="11"/>
      <c r="D125" s="9"/>
      <c r="E125" s="9"/>
      <c r="F125" s="9"/>
      <c r="G125" s="9"/>
      <c r="H125" s="11"/>
      <c r="I125" s="11"/>
      <c r="J125" s="11"/>
      <c r="K125" s="11"/>
      <c r="L125" s="11"/>
      <c r="M125" s="9"/>
      <c r="N125" s="9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9"/>
      <c r="AK125" s="13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9"/>
      <c r="BH125" s="15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9"/>
      <c r="CF125" s="9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</row>
    <row r="126" ht="15.75" customHeight="1">
      <c r="A126" s="9"/>
      <c r="B126" s="11"/>
      <c r="C126" s="11"/>
      <c r="D126" s="9"/>
      <c r="E126" s="9"/>
      <c r="F126" s="9"/>
      <c r="G126" s="9"/>
      <c r="H126" s="11"/>
      <c r="I126" s="11"/>
      <c r="J126" s="11"/>
      <c r="K126" s="11"/>
      <c r="L126" s="11"/>
      <c r="M126" s="9"/>
      <c r="N126" s="9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9"/>
      <c r="AK126" s="13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9"/>
      <c r="BH126" s="15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9"/>
      <c r="CF126" s="9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</row>
    <row r="127" ht="15.75" customHeight="1">
      <c r="A127" s="9"/>
      <c r="B127" s="11"/>
      <c r="C127" s="11"/>
      <c r="D127" s="9"/>
      <c r="E127" s="9"/>
      <c r="F127" s="9"/>
      <c r="G127" s="9"/>
      <c r="H127" s="11"/>
      <c r="I127" s="11"/>
      <c r="J127" s="11"/>
      <c r="K127" s="11"/>
      <c r="L127" s="11"/>
      <c r="M127" s="9"/>
      <c r="N127" s="9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9"/>
      <c r="AK127" s="13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9"/>
      <c r="BH127" s="15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9"/>
      <c r="CF127" s="9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</row>
    <row r="128" ht="15.75" customHeight="1">
      <c r="A128" s="9"/>
      <c r="B128" s="11"/>
      <c r="C128" s="11"/>
      <c r="D128" s="9"/>
      <c r="E128" s="9"/>
      <c r="F128" s="9"/>
      <c r="G128" s="9"/>
      <c r="H128" s="11"/>
      <c r="I128" s="11"/>
      <c r="J128" s="11"/>
      <c r="K128" s="11"/>
      <c r="L128" s="11"/>
      <c r="M128" s="9"/>
      <c r="N128" s="9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9"/>
      <c r="AK128" s="13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9"/>
      <c r="BH128" s="15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9"/>
      <c r="CF128" s="9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</row>
    <row r="129" ht="15.75" customHeight="1">
      <c r="A129" s="9"/>
      <c r="B129" s="11"/>
      <c r="C129" s="11"/>
      <c r="D129" s="9"/>
      <c r="E129" s="9"/>
      <c r="F129" s="9"/>
      <c r="G129" s="9"/>
      <c r="H129" s="11"/>
      <c r="I129" s="11"/>
      <c r="J129" s="11"/>
      <c r="K129" s="11"/>
      <c r="L129" s="11"/>
      <c r="M129" s="9"/>
      <c r="N129" s="9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9"/>
      <c r="AK129" s="13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9"/>
      <c r="BH129" s="15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9"/>
      <c r="CF129" s="9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</row>
    <row r="130" ht="15.75" customHeight="1">
      <c r="A130" s="9"/>
      <c r="B130" s="11"/>
      <c r="C130" s="11"/>
      <c r="D130" s="9"/>
      <c r="E130" s="9"/>
      <c r="F130" s="9"/>
      <c r="G130" s="9"/>
      <c r="H130" s="11"/>
      <c r="I130" s="11"/>
      <c r="J130" s="11"/>
      <c r="K130" s="11"/>
      <c r="L130" s="11"/>
      <c r="M130" s="9"/>
      <c r="N130" s="9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9"/>
      <c r="AK130" s="13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9"/>
      <c r="BH130" s="15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9"/>
      <c r="CF130" s="9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</row>
    <row r="131" ht="15.75" customHeight="1">
      <c r="A131" s="9"/>
      <c r="B131" s="11"/>
      <c r="C131" s="11"/>
      <c r="D131" s="9"/>
      <c r="E131" s="9"/>
      <c r="F131" s="9"/>
      <c r="G131" s="9"/>
      <c r="H131" s="11"/>
      <c r="I131" s="11"/>
      <c r="J131" s="11"/>
      <c r="K131" s="11"/>
      <c r="L131" s="11"/>
      <c r="M131" s="9"/>
      <c r="N131" s="9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9"/>
      <c r="AK131" s="13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9"/>
      <c r="BH131" s="15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9"/>
      <c r="CF131" s="9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</row>
    <row r="132" ht="15.75" customHeight="1">
      <c r="A132" s="9"/>
      <c r="B132" s="11"/>
      <c r="C132" s="11"/>
      <c r="D132" s="9"/>
      <c r="E132" s="9"/>
      <c r="F132" s="9"/>
      <c r="G132" s="9"/>
      <c r="H132" s="11"/>
      <c r="I132" s="11"/>
      <c r="J132" s="11"/>
      <c r="K132" s="11"/>
      <c r="L132" s="11"/>
      <c r="M132" s="9"/>
      <c r="N132" s="9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9"/>
      <c r="AK132" s="13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9"/>
      <c r="BH132" s="15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9"/>
      <c r="CF132" s="9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</row>
    <row r="133" ht="15.75" customHeight="1">
      <c r="A133" s="9"/>
      <c r="B133" s="11"/>
      <c r="C133" s="11"/>
      <c r="D133" s="9"/>
      <c r="E133" s="9"/>
      <c r="F133" s="9"/>
      <c r="G133" s="9"/>
      <c r="H133" s="11"/>
      <c r="I133" s="11"/>
      <c r="J133" s="11"/>
      <c r="K133" s="11"/>
      <c r="L133" s="11"/>
      <c r="M133" s="9"/>
      <c r="N133" s="9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9"/>
      <c r="AK133" s="13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9"/>
      <c r="BH133" s="15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9"/>
      <c r="CF133" s="9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</row>
    <row r="134" ht="15.75" customHeight="1">
      <c r="A134" s="9"/>
      <c r="B134" s="11"/>
      <c r="C134" s="11"/>
      <c r="D134" s="9"/>
      <c r="E134" s="9"/>
      <c r="F134" s="9"/>
      <c r="G134" s="9"/>
      <c r="H134" s="11"/>
      <c r="I134" s="11"/>
      <c r="J134" s="11"/>
      <c r="K134" s="11"/>
      <c r="L134" s="11"/>
      <c r="M134" s="9"/>
      <c r="N134" s="9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9"/>
      <c r="AK134" s="13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9"/>
      <c r="BH134" s="15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9"/>
      <c r="CF134" s="9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</row>
    <row r="135" ht="15.75" customHeight="1">
      <c r="A135" s="9"/>
      <c r="B135" s="11"/>
      <c r="C135" s="11"/>
      <c r="D135" s="9"/>
      <c r="E135" s="9"/>
      <c r="F135" s="9"/>
      <c r="G135" s="9"/>
      <c r="H135" s="11"/>
      <c r="I135" s="11"/>
      <c r="J135" s="11"/>
      <c r="K135" s="11"/>
      <c r="L135" s="11"/>
      <c r="M135" s="9"/>
      <c r="N135" s="9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9"/>
      <c r="AK135" s="13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9"/>
      <c r="BH135" s="15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9"/>
      <c r="CF135" s="9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</row>
    <row r="136" ht="15.75" customHeight="1">
      <c r="A136" s="9"/>
      <c r="B136" s="11"/>
      <c r="C136" s="11"/>
      <c r="D136" s="9"/>
      <c r="E136" s="9"/>
      <c r="F136" s="9"/>
      <c r="G136" s="9"/>
      <c r="H136" s="11"/>
      <c r="I136" s="11"/>
      <c r="J136" s="11"/>
      <c r="K136" s="11"/>
      <c r="L136" s="11"/>
      <c r="M136" s="9"/>
      <c r="N136" s="9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9"/>
      <c r="AK136" s="13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9"/>
      <c r="BH136" s="15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9"/>
      <c r="CF136" s="9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</row>
    <row r="137" ht="15.75" customHeight="1">
      <c r="A137" s="9"/>
      <c r="B137" s="11"/>
      <c r="C137" s="11"/>
      <c r="D137" s="9"/>
      <c r="E137" s="9"/>
      <c r="F137" s="9"/>
      <c r="G137" s="9"/>
      <c r="H137" s="11"/>
      <c r="I137" s="11"/>
      <c r="J137" s="11"/>
      <c r="K137" s="11"/>
      <c r="L137" s="11"/>
      <c r="M137" s="9"/>
      <c r="N137" s="9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9"/>
      <c r="AK137" s="13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9"/>
      <c r="BH137" s="15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9"/>
      <c r="CF137" s="9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</row>
    <row r="138" ht="15.75" customHeight="1">
      <c r="A138" s="9"/>
      <c r="B138" s="11"/>
      <c r="C138" s="11"/>
      <c r="D138" s="9"/>
      <c r="E138" s="9"/>
      <c r="F138" s="9"/>
      <c r="G138" s="9"/>
      <c r="H138" s="11"/>
      <c r="I138" s="11"/>
      <c r="J138" s="11"/>
      <c r="K138" s="11"/>
      <c r="L138" s="11"/>
      <c r="M138" s="9"/>
      <c r="N138" s="9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9"/>
      <c r="AK138" s="13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9"/>
      <c r="BH138" s="15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9"/>
      <c r="CF138" s="9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</row>
    <row r="139" ht="15.75" customHeight="1">
      <c r="A139" s="9"/>
      <c r="B139" s="11"/>
      <c r="C139" s="11"/>
      <c r="D139" s="9"/>
      <c r="E139" s="9"/>
      <c r="F139" s="9"/>
      <c r="G139" s="9"/>
      <c r="H139" s="11"/>
      <c r="I139" s="11"/>
      <c r="J139" s="11"/>
      <c r="K139" s="11"/>
      <c r="L139" s="11"/>
      <c r="M139" s="9"/>
      <c r="N139" s="9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9"/>
      <c r="AK139" s="13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9"/>
      <c r="BH139" s="15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9"/>
      <c r="CF139" s="9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</row>
    <row r="140" ht="15.75" customHeight="1">
      <c r="A140" s="9"/>
      <c r="B140" s="11"/>
      <c r="C140" s="11"/>
      <c r="D140" s="9"/>
      <c r="E140" s="9"/>
      <c r="F140" s="9"/>
      <c r="G140" s="9"/>
      <c r="H140" s="11"/>
      <c r="I140" s="11"/>
      <c r="J140" s="11"/>
      <c r="K140" s="11"/>
      <c r="L140" s="11"/>
      <c r="M140" s="9"/>
      <c r="N140" s="9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9"/>
      <c r="AK140" s="13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9"/>
      <c r="BH140" s="15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9"/>
      <c r="CF140" s="9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</row>
    <row r="141" ht="15.75" customHeight="1">
      <c r="A141" s="9"/>
      <c r="B141" s="11"/>
      <c r="C141" s="11"/>
      <c r="D141" s="9"/>
      <c r="E141" s="9"/>
      <c r="F141" s="9"/>
      <c r="G141" s="9"/>
      <c r="H141" s="11"/>
      <c r="I141" s="11"/>
      <c r="J141" s="11"/>
      <c r="K141" s="11"/>
      <c r="L141" s="11"/>
      <c r="M141" s="9"/>
      <c r="N141" s="9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9"/>
      <c r="AK141" s="13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9"/>
      <c r="BH141" s="15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9"/>
      <c r="CF141" s="9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</row>
    <row r="142" ht="15.75" customHeight="1">
      <c r="A142" s="9"/>
      <c r="B142" s="11"/>
      <c r="C142" s="11"/>
      <c r="D142" s="9"/>
      <c r="E142" s="9"/>
      <c r="F142" s="9"/>
      <c r="G142" s="9"/>
      <c r="H142" s="11"/>
      <c r="I142" s="11"/>
      <c r="J142" s="11"/>
      <c r="K142" s="11"/>
      <c r="L142" s="11"/>
      <c r="M142" s="9"/>
      <c r="N142" s="9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9"/>
      <c r="AK142" s="13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9"/>
      <c r="BH142" s="15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9"/>
      <c r="CF142" s="9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</row>
    <row r="143" ht="15.75" customHeight="1">
      <c r="A143" s="9"/>
      <c r="B143" s="11"/>
      <c r="C143" s="11"/>
      <c r="D143" s="9"/>
      <c r="E143" s="9"/>
      <c r="F143" s="9"/>
      <c r="G143" s="9"/>
      <c r="H143" s="11"/>
      <c r="I143" s="11"/>
      <c r="J143" s="11"/>
      <c r="K143" s="11"/>
      <c r="L143" s="11"/>
      <c r="M143" s="9"/>
      <c r="N143" s="9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9"/>
      <c r="AK143" s="13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9"/>
      <c r="BH143" s="15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9"/>
      <c r="CF143" s="9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</row>
    <row r="144" ht="15.75" customHeight="1">
      <c r="A144" s="9"/>
      <c r="B144" s="11"/>
      <c r="C144" s="11"/>
      <c r="D144" s="9"/>
      <c r="E144" s="9"/>
      <c r="F144" s="9"/>
      <c r="G144" s="9"/>
      <c r="H144" s="11"/>
      <c r="I144" s="11"/>
      <c r="J144" s="11"/>
      <c r="K144" s="11"/>
      <c r="L144" s="11"/>
      <c r="M144" s="9"/>
      <c r="N144" s="9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9"/>
      <c r="AK144" s="13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9"/>
      <c r="BH144" s="15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9"/>
      <c r="CF144" s="9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</row>
    <row r="145" ht="15.75" customHeight="1">
      <c r="A145" s="9"/>
      <c r="B145" s="11"/>
      <c r="C145" s="11"/>
      <c r="D145" s="9"/>
      <c r="E145" s="9"/>
      <c r="F145" s="9"/>
      <c r="G145" s="9"/>
      <c r="H145" s="11"/>
      <c r="I145" s="11"/>
      <c r="J145" s="11"/>
      <c r="K145" s="11"/>
      <c r="L145" s="11"/>
      <c r="M145" s="9"/>
      <c r="N145" s="9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9"/>
      <c r="AK145" s="13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9"/>
      <c r="BH145" s="15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9"/>
      <c r="CF145" s="9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</row>
    <row r="146" ht="15.75" customHeight="1">
      <c r="A146" s="9"/>
      <c r="B146" s="11"/>
      <c r="C146" s="11"/>
      <c r="D146" s="9"/>
      <c r="E146" s="9"/>
      <c r="F146" s="9"/>
      <c r="G146" s="9"/>
      <c r="H146" s="11"/>
      <c r="I146" s="11"/>
      <c r="J146" s="11"/>
      <c r="K146" s="11"/>
      <c r="L146" s="11"/>
      <c r="M146" s="9"/>
      <c r="N146" s="9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9"/>
      <c r="AK146" s="13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9"/>
      <c r="BH146" s="15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9"/>
      <c r="CF146" s="9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</row>
    <row r="147" ht="15.75" customHeight="1">
      <c r="A147" s="9"/>
      <c r="B147" s="11"/>
      <c r="C147" s="11"/>
      <c r="D147" s="9"/>
      <c r="E147" s="9"/>
      <c r="F147" s="9"/>
      <c r="G147" s="9"/>
      <c r="H147" s="11"/>
      <c r="I147" s="11"/>
      <c r="J147" s="11"/>
      <c r="K147" s="11"/>
      <c r="L147" s="11"/>
      <c r="M147" s="9"/>
      <c r="N147" s="9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9"/>
      <c r="AK147" s="13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9"/>
      <c r="BH147" s="15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9"/>
      <c r="CF147" s="9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</row>
    <row r="148" ht="15.75" customHeight="1">
      <c r="A148" s="9"/>
      <c r="B148" s="11"/>
      <c r="C148" s="11"/>
      <c r="D148" s="9"/>
      <c r="E148" s="9"/>
      <c r="F148" s="9"/>
      <c r="G148" s="9"/>
      <c r="H148" s="11"/>
      <c r="I148" s="11"/>
      <c r="J148" s="11"/>
      <c r="K148" s="11"/>
      <c r="L148" s="11"/>
      <c r="M148" s="9"/>
      <c r="N148" s="9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9"/>
      <c r="AK148" s="13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9"/>
      <c r="BH148" s="15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9"/>
      <c r="CF148" s="9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</row>
    <row r="149" ht="15.75" customHeight="1">
      <c r="A149" s="9"/>
      <c r="B149" s="11"/>
      <c r="C149" s="11"/>
      <c r="D149" s="9"/>
      <c r="E149" s="9"/>
      <c r="F149" s="9"/>
      <c r="G149" s="9"/>
      <c r="H149" s="11"/>
      <c r="I149" s="11"/>
      <c r="J149" s="11"/>
      <c r="K149" s="11"/>
      <c r="L149" s="11"/>
      <c r="M149" s="9"/>
      <c r="N149" s="9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9"/>
      <c r="AK149" s="13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9"/>
      <c r="BH149" s="15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9"/>
      <c r="CF149" s="9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</row>
    <row r="150" ht="15.75" customHeight="1">
      <c r="A150" s="9"/>
      <c r="B150" s="11"/>
      <c r="C150" s="11"/>
      <c r="D150" s="9"/>
      <c r="E150" s="9"/>
      <c r="F150" s="9"/>
      <c r="G150" s="9"/>
      <c r="H150" s="11"/>
      <c r="I150" s="11"/>
      <c r="J150" s="11"/>
      <c r="K150" s="11"/>
      <c r="L150" s="11"/>
      <c r="M150" s="9"/>
      <c r="N150" s="9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9"/>
      <c r="AK150" s="13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9"/>
      <c r="BH150" s="15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9"/>
      <c r="CF150" s="9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</row>
    <row r="151" ht="15.75" customHeight="1">
      <c r="A151" s="9"/>
      <c r="B151" s="11"/>
      <c r="C151" s="11"/>
      <c r="D151" s="9"/>
      <c r="E151" s="9"/>
      <c r="F151" s="9"/>
      <c r="G151" s="9"/>
      <c r="H151" s="11"/>
      <c r="I151" s="11"/>
      <c r="J151" s="11"/>
      <c r="K151" s="11"/>
      <c r="L151" s="11"/>
      <c r="M151" s="9"/>
      <c r="N151" s="9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9"/>
      <c r="AK151" s="13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9"/>
      <c r="BH151" s="15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9"/>
      <c r="CF151" s="9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</row>
    <row r="152" ht="15.75" customHeight="1">
      <c r="A152" s="9"/>
      <c r="B152" s="11"/>
      <c r="C152" s="11"/>
      <c r="D152" s="9"/>
      <c r="E152" s="9"/>
      <c r="F152" s="9"/>
      <c r="G152" s="9"/>
      <c r="H152" s="11"/>
      <c r="I152" s="11"/>
      <c r="J152" s="11"/>
      <c r="K152" s="11"/>
      <c r="L152" s="11"/>
      <c r="M152" s="9"/>
      <c r="N152" s="9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9"/>
      <c r="AK152" s="13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9"/>
      <c r="BH152" s="15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9"/>
      <c r="CF152" s="9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</row>
    <row r="153" ht="15.75" customHeight="1">
      <c r="A153" s="9"/>
      <c r="B153" s="11"/>
      <c r="C153" s="11"/>
      <c r="D153" s="9"/>
      <c r="E153" s="9"/>
      <c r="F153" s="9"/>
      <c r="G153" s="9"/>
      <c r="H153" s="11"/>
      <c r="I153" s="11"/>
      <c r="J153" s="11"/>
      <c r="K153" s="11"/>
      <c r="L153" s="11"/>
      <c r="M153" s="9"/>
      <c r="N153" s="9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9"/>
      <c r="AK153" s="13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9"/>
      <c r="BH153" s="15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9"/>
      <c r="CF153" s="9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</row>
    <row r="154" ht="15.75" customHeight="1">
      <c r="A154" s="9"/>
      <c r="B154" s="11"/>
      <c r="C154" s="11"/>
      <c r="D154" s="9"/>
      <c r="E154" s="9"/>
      <c r="F154" s="9"/>
      <c r="G154" s="9"/>
      <c r="H154" s="11"/>
      <c r="I154" s="11"/>
      <c r="J154" s="11"/>
      <c r="K154" s="11"/>
      <c r="L154" s="11"/>
      <c r="M154" s="9"/>
      <c r="N154" s="9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9"/>
      <c r="AK154" s="13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9"/>
      <c r="BH154" s="15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9"/>
      <c r="CF154" s="9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</row>
    <row r="155" ht="15.75" customHeight="1">
      <c r="A155" s="9"/>
      <c r="B155" s="11"/>
      <c r="C155" s="11"/>
      <c r="D155" s="9"/>
      <c r="E155" s="9"/>
      <c r="F155" s="9"/>
      <c r="G155" s="9"/>
      <c r="H155" s="11"/>
      <c r="I155" s="11"/>
      <c r="J155" s="11"/>
      <c r="K155" s="11"/>
      <c r="L155" s="11"/>
      <c r="M155" s="9"/>
      <c r="N155" s="9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9"/>
      <c r="AK155" s="13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9"/>
      <c r="BH155" s="15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9"/>
      <c r="CF155" s="9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</row>
    <row r="156" ht="15.75" customHeight="1">
      <c r="A156" s="9"/>
      <c r="B156" s="11"/>
      <c r="C156" s="11"/>
      <c r="D156" s="9"/>
      <c r="E156" s="9"/>
      <c r="F156" s="9"/>
      <c r="G156" s="9"/>
      <c r="H156" s="11"/>
      <c r="I156" s="11"/>
      <c r="J156" s="11"/>
      <c r="K156" s="11"/>
      <c r="L156" s="11"/>
      <c r="M156" s="9"/>
      <c r="N156" s="9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9"/>
      <c r="AK156" s="13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9"/>
      <c r="BH156" s="15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9"/>
      <c r="CF156" s="9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</row>
    <row r="157" ht="15.75" customHeight="1">
      <c r="A157" s="9"/>
      <c r="B157" s="11"/>
      <c r="C157" s="11"/>
      <c r="D157" s="9"/>
      <c r="E157" s="9"/>
      <c r="F157" s="9"/>
      <c r="G157" s="9"/>
      <c r="H157" s="11"/>
      <c r="I157" s="11"/>
      <c r="J157" s="11"/>
      <c r="K157" s="11"/>
      <c r="L157" s="11"/>
      <c r="M157" s="9"/>
      <c r="N157" s="9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9"/>
      <c r="AK157" s="13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9"/>
      <c r="BH157" s="15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9"/>
      <c r="CF157" s="9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</row>
    <row r="158" ht="15.75" customHeight="1">
      <c r="A158" s="9"/>
      <c r="B158" s="11"/>
      <c r="C158" s="11"/>
      <c r="D158" s="9"/>
      <c r="E158" s="9"/>
      <c r="F158" s="9"/>
      <c r="G158" s="9"/>
      <c r="H158" s="11"/>
      <c r="I158" s="11"/>
      <c r="J158" s="11"/>
      <c r="K158" s="11"/>
      <c r="L158" s="11"/>
      <c r="M158" s="9"/>
      <c r="N158" s="9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9"/>
      <c r="AK158" s="13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9"/>
      <c r="BH158" s="15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9"/>
      <c r="CF158" s="9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</row>
    <row r="159" ht="15.75" customHeight="1">
      <c r="A159" s="9"/>
      <c r="B159" s="11"/>
      <c r="C159" s="11"/>
      <c r="D159" s="9"/>
      <c r="E159" s="9"/>
      <c r="F159" s="9"/>
      <c r="G159" s="9"/>
      <c r="H159" s="11"/>
      <c r="I159" s="11"/>
      <c r="J159" s="11"/>
      <c r="K159" s="11"/>
      <c r="L159" s="11"/>
      <c r="M159" s="9"/>
      <c r="N159" s="9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9"/>
      <c r="AK159" s="13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9"/>
      <c r="BH159" s="15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9"/>
      <c r="CF159" s="9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</row>
    <row r="160" ht="15.75" customHeight="1">
      <c r="A160" s="9"/>
      <c r="B160" s="11"/>
      <c r="C160" s="11"/>
      <c r="D160" s="9"/>
      <c r="E160" s="9"/>
      <c r="F160" s="9"/>
      <c r="G160" s="9"/>
      <c r="H160" s="11"/>
      <c r="I160" s="11"/>
      <c r="J160" s="11"/>
      <c r="K160" s="11"/>
      <c r="L160" s="11"/>
      <c r="M160" s="9"/>
      <c r="N160" s="9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9"/>
      <c r="AK160" s="13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9"/>
      <c r="BH160" s="15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9"/>
      <c r="CF160" s="9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  <c r="CS160" s="11"/>
      <c r="CT160" s="11"/>
    </row>
    <row r="161" ht="15.75" customHeight="1">
      <c r="A161" s="9"/>
      <c r="B161" s="11"/>
      <c r="C161" s="11"/>
      <c r="D161" s="9"/>
      <c r="E161" s="9"/>
      <c r="F161" s="9"/>
      <c r="G161" s="9"/>
      <c r="H161" s="11"/>
      <c r="I161" s="11"/>
      <c r="J161" s="11"/>
      <c r="K161" s="11"/>
      <c r="L161" s="11"/>
      <c r="M161" s="9"/>
      <c r="N161" s="9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9"/>
      <c r="AK161" s="13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9"/>
      <c r="BH161" s="15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9"/>
      <c r="CF161" s="9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</row>
    <row r="162" ht="15.75" customHeight="1">
      <c r="A162" s="9"/>
      <c r="B162" s="11"/>
      <c r="C162" s="11"/>
      <c r="D162" s="9"/>
      <c r="E162" s="9"/>
      <c r="F162" s="9"/>
      <c r="G162" s="9"/>
      <c r="H162" s="11"/>
      <c r="I162" s="11"/>
      <c r="J162" s="11"/>
      <c r="K162" s="11"/>
      <c r="L162" s="11"/>
      <c r="M162" s="9"/>
      <c r="N162" s="9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9"/>
      <c r="AK162" s="13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9"/>
      <c r="BH162" s="15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9"/>
      <c r="CF162" s="9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</row>
    <row r="163" ht="15.75" customHeight="1">
      <c r="A163" s="9"/>
      <c r="B163" s="11"/>
      <c r="C163" s="11"/>
      <c r="D163" s="9"/>
      <c r="E163" s="9"/>
      <c r="F163" s="9"/>
      <c r="G163" s="9"/>
      <c r="H163" s="11"/>
      <c r="I163" s="11"/>
      <c r="J163" s="11"/>
      <c r="K163" s="11"/>
      <c r="L163" s="11"/>
      <c r="M163" s="9"/>
      <c r="N163" s="9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9"/>
      <c r="AK163" s="13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9"/>
      <c r="BH163" s="15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9"/>
      <c r="CF163" s="9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</row>
    <row r="164" ht="15.75" customHeight="1">
      <c r="A164" s="9"/>
      <c r="B164" s="11"/>
      <c r="C164" s="11"/>
      <c r="D164" s="9"/>
      <c r="E164" s="9"/>
      <c r="F164" s="9"/>
      <c r="G164" s="9"/>
      <c r="H164" s="11"/>
      <c r="I164" s="11"/>
      <c r="J164" s="11"/>
      <c r="K164" s="11"/>
      <c r="L164" s="11"/>
      <c r="M164" s="9"/>
      <c r="N164" s="9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9"/>
      <c r="AK164" s="13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9"/>
      <c r="BH164" s="15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9"/>
      <c r="CF164" s="9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</row>
    <row r="165" ht="15.75" customHeight="1">
      <c r="A165" s="9"/>
      <c r="B165" s="11"/>
      <c r="C165" s="11"/>
      <c r="D165" s="9"/>
      <c r="E165" s="9"/>
      <c r="F165" s="9"/>
      <c r="G165" s="9"/>
      <c r="H165" s="11"/>
      <c r="I165" s="11"/>
      <c r="J165" s="11"/>
      <c r="K165" s="11"/>
      <c r="L165" s="11"/>
      <c r="M165" s="9"/>
      <c r="N165" s="9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9"/>
      <c r="AK165" s="13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9"/>
      <c r="BH165" s="15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9"/>
      <c r="CF165" s="9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</row>
    <row r="166" ht="15.75" customHeight="1">
      <c r="A166" s="9"/>
      <c r="B166" s="11"/>
      <c r="C166" s="11"/>
      <c r="D166" s="9"/>
      <c r="E166" s="9"/>
      <c r="F166" s="9"/>
      <c r="G166" s="9"/>
      <c r="H166" s="11"/>
      <c r="I166" s="11"/>
      <c r="J166" s="11"/>
      <c r="K166" s="11"/>
      <c r="L166" s="11"/>
      <c r="M166" s="9"/>
      <c r="N166" s="9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9"/>
      <c r="AK166" s="13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9"/>
      <c r="BH166" s="15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9"/>
      <c r="CF166" s="9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</row>
    <row r="167" ht="15.75" customHeight="1">
      <c r="A167" s="9"/>
      <c r="B167" s="11"/>
      <c r="C167" s="11"/>
      <c r="D167" s="9"/>
      <c r="E167" s="9"/>
      <c r="F167" s="9"/>
      <c r="G167" s="9"/>
      <c r="H167" s="11"/>
      <c r="I167" s="11"/>
      <c r="J167" s="11"/>
      <c r="K167" s="11"/>
      <c r="L167" s="11"/>
      <c r="M167" s="9"/>
      <c r="N167" s="9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9"/>
      <c r="AK167" s="13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9"/>
      <c r="BH167" s="15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9"/>
      <c r="CF167" s="9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</row>
    <row r="168" ht="15.75" customHeight="1">
      <c r="A168" s="9"/>
      <c r="B168" s="11"/>
      <c r="C168" s="11"/>
      <c r="D168" s="9"/>
      <c r="E168" s="9"/>
      <c r="F168" s="9"/>
      <c r="G168" s="9"/>
      <c r="H168" s="11"/>
      <c r="I168" s="11"/>
      <c r="J168" s="11"/>
      <c r="K168" s="11"/>
      <c r="L168" s="11"/>
      <c r="M168" s="9"/>
      <c r="N168" s="9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9"/>
      <c r="AK168" s="13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9"/>
      <c r="BH168" s="15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9"/>
      <c r="CF168" s="9"/>
      <c r="CG168" s="11"/>
      <c r="CH168" s="11"/>
      <c r="CI168" s="11"/>
      <c r="CJ168" s="11"/>
      <c r="CK168" s="11"/>
      <c r="CL168" s="11"/>
      <c r="CM168" s="11"/>
      <c r="CN168" s="11"/>
      <c r="CO168" s="11"/>
      <c r="CP168" s="11"/>
      <c r="CQ168" s="11"/>
      <c r="CR168" s="11"/>
      <c r="CS168" s="11"/>
      <c r="CT168" s="11"/>
    </row>
    <row r="169" ht="15.75" customHeight="1">
      <c r="A169" s="9"/>
      <c r="B169" s="11"/>
      <c r="C169" s="11"/>
      <c r="D169" s="9"/>
      <c r="E169" s="9"/>
      <c r="F169" s="9"/>
      <c r="G169" s="9"/>
      <c r="H169" s="11"/>
      <c r="I169" s="11"/>
      <c r="J169" s="11"/>
      <c r="K169" s="11"/>
      <c r="L169" s="11"/>
      <c r="M169" s="9"/>
      <c r="N169" s="9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9"/>
      <c r="AK169" s="13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9"/>
      <c r="BH169" s="15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9"/>
      <c r="CF169" s="9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</row>
    <row r="170" ht="15.75" customHeight="1">
      <c r="A170" s="9"/>
      <c r="B170" s="11"/>
      <c r="C170" s="11"/>
      <c r="D170" s="9"/>
      <c r="E170" s="9"/>
      <c r="F170" s="9"/>
      <c r="G170" s="9"/>
      <c r="H170" s="11"/>
      <c r="I170" s="11"/>
      <c r="J170" s="11"/>
      <c r="K170" s="11"/>
      <c r="L170" s="11"/>
      <c r="M170" s="9"/>
      <c r="N170" s="9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9"/>
      <c r="AK170" s="13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9"/>
      <c r="BH170" s="15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9"/>
      <c r="CF170" s="9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</row>
    <row r="171" ht="15.75" customHeight="1">
      <c r="A171" s="9"/>
      <c r="B171" s="11"/>
      <c r="C171" s="11"/>
      <c r="D171" s="9"/>
      <c r="E171" s="9"/>
      <c r="F171" s="9"/>
      <c r="G171" s="9"/>
      <c r="H171" s="11"/>
      <c r="I171" s="11"/>
      <c r="J171" s="11"/>
      <c r="K171" s="11"/>
      <c r="L171" s="11"/>
      <c r="M171" s="9"/>
      <c r="N171" s="9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9"/>
      <c r="AK171" s="13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9"/>
      <c r="BH171" s="15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9"/>
      <c r="CF171" s="9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</row>
    <row r="172" ht="15.75" customHeight="1">
      <c r="A172" s="9"/>
      <c r="B172" s="11"/>
      <c r="C172" s="11"/>
      <c r="D172" s="9"/>
      <c r="E172" s="9"/>
      <c r="F172" s="9"/>
      <c r="G172" s="9"/>
      <c r="H172" s="11"/>
      <c r="I172" s="11"/>
      <c r="J172" s="11"/>
      <c r="K172" s="11"/>
      <c r="L172" s="11"/>
      <c r="M172" s="9"/>
      <c r="N172" s="9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9"/>
      <c r="AK172" s="13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9"/>
      <c r="BH172" s="15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9"/>
      <c r="CF172" s="9"/>
      <c r="CG172" s="11"/>
      <c r="CH172" s="11"/>
      <c r="CI172" s="11"/>
      <c r="CJ172" s="11"/>
      <c r="CK172" s="11"/>
      <c r="CL172" s="11"/>
      <c r="CM172" s="11"/>
      <c r="CN172" s="11"/>
      <c r="CO172" s="11"/>
      <c r="CP172" s="11"/>
      <c r="CQ172" s="11"/>
      <c r="CR172" s="11"/>
      <c r="CS172" s="11"/>
      <c r="CT172" s="11"/>
    </row>
    <row r="173" ht="15.75" customHeight="1">
      <c r="A173" s="9"/>
      <c r="B173" s="11"/>
      <c r="C173" s="11"/>
      <c r="D173" s="9"/>
      <c r="E173" s="9"/>
      <c r="F173" s="9"/>
      <c r="G173" s="9"/>
      <c r="H173" s="11"/>
      <c r="I173" s="11"/>
      <c r="J173" s="11"/>
      <c r="K173" s="11"/>
      <c r="L173" s="11"/>
      <c r="M173" s="9"/>
      <c r="N173" s="9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9"/>
      <c r="AK173" s="13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9"/>
      <c r="BH173" s="15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9"/>
      <c r="CF173" s="9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</row>
    <row r="174" ht="15.75" customHeight="1">
      <c r="A174" s="9"/>
      <c r="B174" s="11"/>
      <c r="C174" s="11"/>
      <c r="D174" s="9"/>
      <c r="E174" s="9"/>
      <c r="F174" s="9"/>
      <c r="G174" s="9"/>
      <c r="H174" s="11"/>
      <c r="I174" s="11"/>
      <c r="J174" s="11"/>
      <c r="K174" s="11"/>
      <c r="L174" s="11"/>
      <c r="M174" s="9"/>
      <c r="N174" s="9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9"/>
      <c r="AK174" s="13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9"/>
      <c r="BH174" s="15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9"/>
      <c r="CF174" s="9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/>
      <c r="CQ174" s="11"/>
      <c r="CR174" s="11"/>
      <c r="CS174" s="11"/>
      <c r="CT174" s="11"/>
    </row>
    <row r="175" ht="15.75" customHeight="1">
      <c r="A175" s="9"/>
      <c r="B175" s="11"/>
      <c r="C175" s="11"/>
      <c r="D175" s="9"/>
      <c r="E175" s="9"/>
      <c r="F175" s="9"/>
      <c r="G175" s="9"/>
      <c r="H175" s="11"/>
      <c r="I175" s="11"/>
      <c r="J175" s="11"/>
      <c r="K175" s="11"/>
      <c r="L175" s="11"/>
      <c r="M175" s="9"/>
      <c r="N175" s="9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9"/>
      <c r="AK175" s="13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9"/>
      <c r="BH175" s="15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9"/>
      <c r="CF175" s="9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</row>
    <row r="176" ht="15.75" customHeight="1">
      <c r="A176" s="9"/>
      <c r="B176" s="11"/>
      <c r="C176" s="11"/>
      <c r="D176" s="9"/>
      <c r="E176" s="9"/>
      <c r="F176" s="9"/>
      <c r="G176" s="9"/>
      <c r="H176" s="11"/>
      <c r="I176" s="11"/>
      <c r="J176" s="11"/>
      <c r="K176" s="11"/>
      <c r="L176" s="11"/>
      <c r="M176" s="9"/>
      <c r="N176" s="9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9"/>
      <c r="AK176" s="13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9"/>
      <c r="BH176" s="15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9"/>
      <c r="CF176" s="9"/>
      <c r="CG176" s="11"/>
      <c r="CH176" s="11"/>
      <c r="CI176" s="11"/>
      <c r="CJ176" s="11"/>
      <c r="CK176" s="11"/>
      <c r="CL176" s="11"/>
      <c r="CM176" s="11"/>
      <c r="CN176" s="11"/>
      <c r="CO176" s="11"/>
      <c r="CP176" s="11"/>
      <c r="CQ176" s="11"/>
      <c r="CR176" s="11"/>
      <c r="CS176" s="11"/>
      <c r="CT176" s="11"/>
    </row>
    <row r="177" ht="15.75" customHeight="1">
      <c r="A177" s="9"/>
      <c r="B177" s="11"/>
      <c r="C177" s="11"/>
      <c r="D177" s="9"/>
      <c r="E177" s="9"/>
      <c r="F177" s="9"/>
      <c r="G177" s="9"/>
      <c r="H177" s="11"/>
      <c r="I177" s="11"/>
      <c r="J177" s="11"/>
      <c r="K177" s="11"/>
      <c r="L177" s="11"/>
      <c r="M177" s="9"/>
      <c r="N177" s="9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9"/>
      <c r="AK177" s="13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9"/>
      <c r="BH177" s="15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9"/>
      <c r="CF177" s="9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</row>
    <row r="178" ht="15.75" customHeight="1">
      <c r="A178" s="9"/>
      <c r="B178" s="11"/>
      <c r="C178" s="11"/>
      <c r="D178" s="9"/>
      <c r="E178" s="9"/>
      <c r="F178" s="9"/>
      <c r="G178" s="9"/>
      <c r="H178" s="11"/>
      <c r="I178" s="11"/>
      <c r="J178" s="11"/>
      <c r="K178" s="11"/>
      <c r="L178" s="11"/>
      <c r="M178" s="9"/>
      <c r="N178" s="9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9"/>
      <c r="AK178" s="13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9"/>
      <c r="BH178" s="15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9"/>
      <c r="CF178" s="9"/>
      <c r="CG178" s="11"/>
      <c r="CH178" s="11"/>
      <c r="CI178" s="11"/>
      <c r="CJ178" s="11"/>
      <c r="CK178" s="11"/>
      <c r="CL178" s="11"/>
      <c r="CM178" s="11"/>
      <c r="CN178" s="11"/>
      <c r="CO178" s="11"/>
      <c r="CP178" s="11"/>
      <c r="CQ178" s="11"/>
      <c r="CR178" s="11"/>
      <c r="CS178" s="11"/>
      <c r="CT178" s="11"/>
    </row>
    <row r="179" ht="15.75" customHeight="1">
      <c r="A179" s="9"/>
      <c r="B179" s="11"/>
      <c r="C179" s="11"/>
      <c r="D179" s="9"/>
      <c r="E179" s="9"/>
      <c r="F179" s="9"/>
      <c r="G179" s="9"/>
      <c r="H179" s="11"/>
      <c r="I179" s="11"/>
      <c r="J179" s="11"/>
      <c r="K179" s="11"/>
      <c r="L179" s="11"/>
      <c r="M179" s="9"/>
      <c r="N179" s="9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9"/>
      <c r="AK179" s="13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9"/>
      <c r="BH179" s="15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9"/>
      <c r="CF179" s="9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</row>
    <row r="180" ht="15.75" customHeight="1">
      <c r="A180" s="9"/>
      <c r="B180" s="11"/>
      <c r="C180" s="11"/>
      <c r="D180" s="9"/>
      <c r="E180" s="9"/>
      <c r="F180" s="9"/>
      <c r="G180" s="9"/>
      <c r="H180" s="11"/>
      <c r="I180" s="11"/>
      <c r="J180" s="11"/>
      <c r="K180" s="11"/>
      <c r="L180" s="11"/>
      <c r="M180" s="9"/>
      <c r="N180" s="9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9"/>
      <c r="AK180" s="13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9"/>
      <c r="BH180" s="15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9"/>
      <c r="CF180" s="9"/>
      <c r="CG180" s="11"/>
      <c r="CH180" s="11"/>
      <c r="CI180" s="11"/>
      <c r="CJ180" s="11"/>
      <c r="CK180" s="11"/>
      <c r="CL180" s="11"/>
      <c r="CM180" s="11"/>
      <c r="CN180" s="11"/>
      <c r="CO180" s="11"/>
      <c r="CP180" s="11"/>
      <c r="CQ180" s="11"/>
      <c r="CR180" s="11"/>
      <c r="CS180" s="11"/>
      <c r="CT180" s="11"/>
    </row>
    <row r="181" ht="15.75" customHeight="1">
      <c r="A181" s="9"/>
      <c r="B181" s="11"/>
      <c r="C181" s="11"/>
      <c r="D181" s="9"/>
      <c r="E181" s="9"/>
      <c r="F181" s="9"/>
      <c r="G181" s="9"/>
      <c r="H181" s="11"/>
      <c r="I181" s="11"/>
      <c r="J181" s="11"/>
      <c r="K181" s="11"/>
      <c r="L181" s="11"/>
      <c r="M181" s="9"/>
      <c r="N181" s="9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9"/>
      <c r="AK181" s="13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9"/>
      <c r="BH181" s="15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9"/>
      <c r="CF181" s="9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</row>
    <row r="182" ht="15.75" customHeight="1">
      <c r="A182" s="9"/>
      <c r="B182" s="11"/>
      <c r="C182" s="11"/>
      <c r="D182" s="9"/>
      <c r="E182" s="9"/>
      <c r="F182" s="9"/>
      <c r="G182" s="9"/>
      <c r="H182" s="11"/>
      <c r="I182" s="11"/>
      <c r="J182" s="11"/>
      <c r="K182" s="11"/>
      <c r="L182" s="11"/>
      <c r="M182" s="9"/>
      <c r="N182" s="9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9"/>
      <c r="AK182" s="13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9"/>
      <c r="BH182" s="15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9"/>
      <c r="CF182" s="9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</row>
    <row r="183" ht="15.75" customHeight="1">
      <c r="A183" s="9"/>
      <c r="B183" s="11"/>
      <c r="C183" s="11"/>
      <c r="D183" s="9"/>
      <c r="E183" s="9"/>
      <c r="F183" s="9"/>
      <c r="G183" s="9"/>
      <c r="H183" s="11"/>
      <c r="I183" s="11"/>
      <c r="J183" s="11"/>
      <c r="K183" s="11"/>
      <c r="L183" s="11"/>
      <c r="M183" s="9"/>
      <c r="N183" s="9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9"/>
      <c r="AK183" s="13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9"/>
      <c r="BH183" s="15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9"/>
      <c r="CF183" s="9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</row>
    <row r="184" ht="15.75" customHeight="1">
      <c r="A184" s="9"/>
      <c r="B184" s="11"/>
      <c r="C184" s="11"/>
      <c r="D184" s="9"/>
      <c r="E184" s="9"/>
      <c r="F184" s="9"/>
      <c r="G184" s="9"/>
      <c r="H184" s="11"/>
      <c r="I184" s="11"/>
      <c r="J184" s="11"/>
      <c r="K184" s="11"/>
      <c r="L184" s="11"/>
      <c r="M184" s="9"/>
      <c r="N184" s="9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9"/>
      <c r="AK184" s="13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9"/>
      <c r="BH184" s="15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9"/>
      <c r="CF184" s="9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</row>
    <row r="185" ht="15.75" customHeight="1">
      <c r="A185" s="9"/>
      <c r="B185" s="11"/>
      <c r="C185" s="11"/>
      <c r="D185" s="9"/>
      <c r="E185" s="9"/>
      <c r="F185" s="9"/>
      <c r="G185" s="9"/>
      <c r="H185" s="11"/>
      <c r="I185" s="11"/>
      <c r="J185" s="11"/>
      <c r="K185" s="11"/>
      <c r="L185" s="11"/>
      <c r="M185" s="9"/>
      <c r="N185" s="9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9"/>
      <c r="AK185" s="13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9"/>
      <c r="BH185" s="15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9"/>
      <c r="CF185" s="9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</row>
    <row r="186" ht="15.75" customHeight="1">
      <c r="A186" s="9"/>
      <c r="B186" s="11"/>
      <c r="C186" s="11"/>
      <c r="D186" s="9"/>
      <c r="E186" s="9"/>
      <c r="F186" s="9"/>
      <c r="G186" s="9"/>
      <c r="H186" s="11"/>
      <c r="I186" s="11"/>
      <c r="J186" s="11"/>
      <c r="K186" s="11"/>
      <c r="L186" s="11"/>
      <c r="M186" s="9"/>
      <c r="N186" s="9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9"/>
      <c r="AK186" s="13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9"/>
      <c r="BH186" s="15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9"/>
      <c r="CF186" s="9"/>
      <c r="CG186" s="11"/>
      <c r="CH186" s="11"/>
      <c r="CI186" s="11"/>
      <c r="CJ186" s="11"/>
      <c r="CK186" s="11"/>
      <c r="CL186" s="11"/>
      <c r="CM186" s="11"/>
      <c r="CN186" s="11"/>
      <c r="CO186" s="11"/>
      <c r="CP186" s="11"/>
      <c r="CQ186" s="11"/>
      <c r="CR186" s="11"/>
      <c r="CS186" s="11"/>
      <c r="CT186" s="11"/>
    </row>
    <row r="187" ht="15.75" customHeight="1">
      <c r="A187" s="9"/>
      <c r="B187" s="11"/>
      <c r="C187" s="11"/>
      <c r="D187" s="9"/>
      <c r="E187" s="9"/>
      <c r="F187" s="9"/>
      <c r="G187" s="9"/>
      <c r="H187" s="11"/>
      <c r="I187" s="11"/>
      <c r="J187" s="11"/>
      <c r="K187" s="11"/>
      <c r="L187" s="11"/>
      <c r="M187" s="9"/>
      <c r="N187" s="9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9"/>
      <c r="AK187" s="13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9"/>
      <c r="BH187" s="15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9"/>
      <c r="CF187" s="9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</row>
    <row r="188" ht="15.75" customHeight="1">
      <c r="A188" s="9"/>
      <c r="B188" s="11"/>
      <c r="C188" s="11"/>
      <c r="D188" s="9"/>
      <c r="E188" s="9"/>
      <c r="F188" s="9"/>
      <c r="G188" s="9"/>
      <c r="H188" s="11"/>
      <c r="I188" s="11"/>
      <c r="J188" s="11"/>
      <c r="K188" s="11"/>
      <c r="L188" s="11"/>
      <c r="M188" s="9"/>
      <c r="N188" s="9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9"/>
      <c r="AK188" s="13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9"/>
      <c r="BH188" s="15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9"/>
      <c r="CF188" s="9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  <c r="CT188" s="11"/>
    </row>
    <row r="189" ht="15.75" customHeight="1">
      <c r="A189" s="9"/>
      <c r="B189" s="11"/>
      <c r="C189" s="11"/>
      <c r="D189" s="9"/>
      <c r="E189" s="9"/>
      <c r="F189" s="9"/>
      <c r="G189" s="9"/>
      <c r="H189" s="11"/>
      <c r="I189" s="11"/>
      <c r="J189" s="11"/>
      <c r="K189" s="11"/>
      <c r="L189" s="11"/>
      <c r="M189" s="9"/>
      <c r="N189" s="9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9"/>
      <c r="AK189" s="13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9"/>
      <c r="BH189" s="15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9"/>
      <c r="CF189" s="9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</row>
    <row r="190" ht="15.75" customHeight="1">
      <c r="A190" s="9"/>
      <c r="B190" s="11"/>
      <c r="C190" s="11"/>
      <c r="D190" s="9"/>
      <c r="E190" s="9"/>
      <c r="F190" s="9"/>
      <c r="G190" s="9"/>
      <c r="H190" s="11"/>
      <c r="I190" s="11"/>
      <c r="J190" s="11"/>
      <c r="K190" s="11"/>
      <c r="L190" s="11"/>
      <c r="M190" s="9"/>
      <c r="N190" s="9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9"/>
      <c r="AK190" s="13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9"/>
      <c r="BH190" s="15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9"/>
      <c r="CF190" s="9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</row>
    <row r="191" ht="15.75" customHeight="1">
      <c r="A191" s="9"/>
      <c r="B191" s="11"/>
      <c r="C191" s="11"/>
      <c r="D191" s="9"/>
      <c r="E191" s="9"/>
      <c r="F191" s="9"/>
      <c r="G191" s="9"/>
      <c r="H191" s="11"/>
      <c r="I191" s="11"/>
      <c r="J191" s="11"/>
      <c r="K191" s="11"/>
      <c r="L191" s="11"/>
      <c r="M191" s="9"/>
      <c r="N191" s="9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9"/>
      <c r="AK191" s="13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9"/>
      <c r="BH191" s="15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9"/>
      <c r="CF191" s="9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</row>
    <row r="192" ht="15.75" customHeight="1">
      <c r="A192" s="9"/>
      <c r="B192" s="11"/>
      <c r="C192" s="11"/>
      <c r="D192" s="9"/>
      <c r="E192" s="9"/>
      <c r="F192" s="9"/>
      <c r="G192" s="9"/>
      <c r="H192" s="11"/>
      <c r="I192" s="11"/>
      <c r="J192" s="11"/>
      <c r="K192" s="11"/>
      <c r="L192" s="11"/>
      <c r="M192" s="9"/>
      <c r="N192" s="9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9"/>
      <c r="AK192" s="13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9"/>
      <c r="BH192" s="15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9"/>
      <c r="CF192" s="9"/>
      <c r="CG192" s="11"/>
      <c r="CH192" s="11"/>
      <c r="CI192" s="11"/>
      <c r="CJ192" s="11"/>
      <c r="CK192" s="11"/>
      <c r="CL192" s="11"/>
      <c r="CM192" s="11"/>
      <c r="CN192" s="11"/>
      <c r="CO192" s="11"/>
      <c r="CP192" s="11"/>
      <c r="CQ192" s="11"/>
      <c r="CR192" s="11"/>
      <c r="CS192" s="11"/>
      <c r="CT192" s="11"/>
    </row>
    <row r="193" ht="15.75" customHeight="1">
      <c r="A193" s="9"/>
      <c r="B193" s="11"/>
      <c r="C193" s="11"/>
      <c r="D193" s="9"/>
      <c r="E193" s="9"/>
      <c r="F193" s="9"/>
      <c r="G193" s="9"/>
      <c r="H193" s="11"/>
      <c r="I193" s="11"/>
      <c r="J193" s="11"/>
      <c r="K193" s="11"/>
      <c r="L193" s="11"/>
      <c r="M193" s="9"/>
      <c r="N193" s="9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9"/>
      <c r="AK193" s="13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9"/>
      <c r="BH193" s="15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9"/>
      <c r="CF193" s="9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</row>
    <row r="194" ht="15.75" customHeight="1">
      <c r="A194" s="9"/>
      <c r="B194" s="11"/>
      <c r="C194" s="11"/>
      <c r="D194" s="9"/>
      <c r="E194" s="9"/>
      <c r="F194" s="9"/>
      <c r="G194" s="9"/>
      <c r="H194" s="11"/>
      <c r="I194" s="11"/>
      <c r="J194" s="11"/>
      <c r="K194" s="11"/>
      <c r="L194" s="11"/>
      <c r="M194" s="9"/>
      <c r="N194" s="9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9"/>
      <c r="AK194" s="13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9"/>
      <c r="BH194" s="15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9"/>
      <c r="CF194" s="9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</row>
    <row r="195" ht="15.75" customHeight="1">
      <c r="A195" s="9"/>
      <c r="B195" s="11"/>
      <c r="C195" s="11"/>
      <c r="D195" s="9"/>
      <c r="E195" s="9"/>
      <c r="F195" s="9"/>
      <c r="G195" s="9"/>
      <c r="H195" s="11"/>
      <c r="I195" s="11"/>
      <c r="J195" s="11"/>
      <c r="K195" s="11"/>
      <c r="L195" s="11"/>
      <c r="M195" s="9"/>
      <c r="N195" s="9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9"/>
      <c r="AK195" s="13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9"/>
      <c r="BH195" s="15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9"/>
      <c r="CF195" s="9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</row>
    <row r="196" ht="15.75" customHeight="1">
      <c r="A196" s="9"/>
      <c r="B196" s="11"/>
      <c r="C196" s="11"/>
      <c r="D196" s="9"/>
      <c r="E196" s="9"/>
      <c r="F196" s="9"/>
      <c r="G196" s="9"/>
      <c r="H196" s="11"/>
      <c r="I196" s="11"/>
      <c r="J196" s="11"/>
      <c r="K196" s="11"/>
      <c r="L196" s="11"/>
      <c r="M196" s="9"/>
      <c r="N196" s="9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9"/>
      <c r="AK196" s="13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9"/>
      <c r="BH196" s="15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9"/>
      <c r="CF196" s="9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</row>
    <row r="197" ht="15.75" customHeight="1">
      <c r="A197" s="9"/>
      <c r="B197" s="11"/>
      <c r="C197" s="11"/>
      <c r="D197" s="9"/>
      <c r="E197" s="9"/>
      <c r="F197" s="9"/>
      <c r="G197" s="9"/>
      <c r="H197" s="11"/>
      <c r="I197" s="11"/>
      <c r="J197" s="11"/>
      <c r="K197" s="11"/>
      <c r="L197" s="11"/>
      <c r="M197" s="9"/>
      <c r="N197" s="9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9"/>
      <c r="AK197" s="13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9"/>
      <c r="BH197" s="15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9"/>
      <c r="CF197" s="9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</row>
    <row r="198" ht="15.75" customHeight="1">
      <c r="A198" s="9"/>
      <c r="B198" s="11"/>
      <c r="C198" s="11"/>
      <c r="D198" s="9"/>
      <c r="E198" s="9"/>
      <c r="F198" s="9"/>
      <c r="G198" s="9"/>
      <c r="H198" s="11"/>
      <c r="I198" s="11"/>
      <c r="J198" s="11"/>
      <c r="K198" s="11"/>
      <c r="L198" s="11"/>
      <c r="M198" s="9"/>
      <c r="N198" s="9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9"/>
      <c r="AK198" s="13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9"/>
      <c r="BH198" s="15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9"/>
      <c r="CF198" s="9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</row>
    <row r="199" ht="15.75" customHeight="1">
      <c r="A199" s="9"/>
      <c r="B199" s="11"/>
      <c r="C199" s="11"/>
      <c r="D199" s="9"/>
      <c r="E199" s="9"/>
      <c r="F199" s="9"/>
      <c r="G199" s="9"/>
      <c r="H199" s="11"/>
      <c r="I199" s="11"/>
      <c r="J199" s="11"/>
      <c r="K199" s="11"/>
      <c r="L199" s="11"/>
      <c r="M199" s="9"/>
      <c r="N199" s="9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9"/>
      <c r="AK199" s="13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9"/>
      <c r="BH199" s="15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9"/>
      <c r="CF199" s="9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</row>
    <row r="200" ht="15.75" customHeight="1">
      <c r="A200" s="9"/>
      <c r="B200" s="11"/>
      <c r="C200" s="11"/>
      <c r="D200" s="9"/>
      <c r="E200" s="9"/>
      <c r="F200" s="9"/>
      <c r="G200" s="9"/>
      <c r="H200" s="11"/>
      <c r="I200" s="11"/>
      <c r="J200" s="11"/>
      <c r="K200" s="11"/>
      <c r="L200" s="11"/>
      <c r="M200" s="9"/>
      <c r="N200" s="9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9"/>
      <c r="AK200" s="13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9"/>
      <c r="BH200" s="15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9"/>
      <c r="CF200" s="9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</row>
    <row r="201" ht="15.75" customHeight="1">
      <c r="A201" s="9"/>
      <c r="B201" s="11"/>
      <c r="C201" s="11"/>
      <c r="D201" s="9"/>
      <c r="E201" s="9"/>
      <c r="F201" s="9"/>
      <c r="G201" s="9"/>
      <c r="H201" s="11"/>
      <c r="I201" s="11"/>
      <c r="J201" s="11"/>
      <c r="K201" s="11"/>
      <c r="L201" s="11"/>
      <c r="M201" s="9"/>
      <c r="N201" s="9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9"/>
      <c r="AK201" s="13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9"/>
      <c r="BH201" s="15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9"/>
      <c r="CF201" s="9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</row>
    <row r="202" ht="15.75" customHeight="1">
      <c r="A202" s="9"/>
      <c r="B202" s="11"/>
      <c r="C202" s="11"/>
      <c r="D202" s="9"/>
      <c r="E202" s="9"/>
      <c r="F202" s="9"/>
      <c r="G202" s="9"/>
      <c r="H202" s="11"/>
      <c r="I202" s="11"/>
      <c r="J202" s="11"/>
      <c r="K202" s="11"/>
      <c r="L202" s="11"/>
      <c r="M202" s="9"/>
      <c r="N202" s="9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9"/>
      <c r="AK202" s="13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9"/>
      <c r="BH202" s="15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9"/>
      <c r="CF202" s="9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</row>
    <row r="203" ht="15.75" customHeight="1">
      <c r="A203" s="9"/>
      <c r="B203" s="11"/>
      <c r="C203" s="11"/>
      <c r="D203" s="9"/>
      <c r="E203" s="9"/>
      <c r="F203" s="9"/>
      <c r="G203" s="9"/>
      <c r="H203" s="11"/>
      <c r="I203" s="11"/>
      <c r="J203" s="11"/>
      <c r="K203" s="11"/>
      <c r="L203" s="11"/>
      <c r="M203" s="9"/>
      <c r="N203" s="9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9"/>
      <c r="AK203" s="13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9"/>
      <c r="BH203" s="15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9"/>
      <c r="CF203" s="9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</row>
    <row r="204" ht="15.75" customHeight="1">
      <c r="A204" s="9"/>
      <c r="B204" s="11"/>
      <c r="C204" s="11"/>
      <c r="D204" s="9"/>
      <c r="E204" s="9"/>
      <c r="F204" s="9"/>
      <c r="G204" s="9"/>
      <c r="H204" s="11"/>
      <c r="I204" s="11"/>
      <c r="J204" s="11"/>
      <c r="K204" s="11"/>
      <c r="L204" s="11"/>
      <c r="M204" s="9"/>
      <c r="N204" s="9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9"/>
      <c r="AK204" s="13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9"/>
      <c r="BH204" s="15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9"/>
      <c r="CF204" s="9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</row>
    <row r="205" ht="15.75" customHeight="1">
      <c r="A205" s="9"/>
      <c r="B205" s="11"/>
      <c r="C205" s="11"/>
      <c r="D205" s="9"/>
      <c r="E205" s="9"/>
      <c r="F205" s="9"/>
      <c r="G205" s="9"/>
      <c r="H205" s="11"/>
      <c r="I205" s="11"/>
      <c r="J205" s="11"/>
      <c r="K205" s="11"/>
      <c r="L205" s="11"/>
      <c r="M205" s="9"/>
      <c r="N205" s="9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9"/>
      <c r="AK205" s="13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9"/>
      <c r="BH205" s="15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9"/>
      <c r="CF205" s="9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</row>
    <row r="206" ht="15.75" customHeight="1">
      <c r="A206" s="9"/>
      <c r="B206" s="11"/>
      <c r="C206" s="11"/>
      <c r="D206" s="9"/>
      <c r="E206" s="9"/>
      <c r="F206" s="9"/>
      <c r="G206" s="9"/>
      <c r="H206" s="11"/>
      <c r="I206" s="11"/>
      <c r="J206" s="11"/>
      <c r="K206" s="11"/>
      <c r="L206" s="11"/>
      <c r="M206" s="9"/>
      <c r="N206" s="9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9"/>
      <c r="AK206" s="13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9"/>
      <c r="BH206" s="15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9"/>
      <c r="CF206" s="9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</row>
    <row r="207" ht="15.75" customHeight="1">
      <c r="A207" s="9"/>
      <c r="B207" s="11"/>
      <c r="C207" s="11"/>
      <c r="D207" s="9"/>
      <c r="E207" s="9"/>
      <c r="F207" s="9"/>
      <c r="G207" s="9"/>
      <c r="H207" s="11"/>
      <c r="I207" s="11"/>
      <c r="J207" s="11"/>
      <c r="K207" s="11"/>
      <c r="L207" s="11"/>
      <c r="M207" s="9"/>
      <c r="N207" s="9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9"/>
      <c r="AK207" s="13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9"/>
      <c r="BH207" s="15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9"/>
      <c r="CF207" s="9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</row>
    <row r="208" ht="15.75" customHeight="1">
      <c r="A208" s="9"/>
      <c r="B208" s="11"/>
      <c r="C208" s="11"/>
      <c r="D208" s="9"/>
      <c r="E208" s="9"/>
      <c r="F208" s="9"/>
      <c r="G208" s="9"/>
      <c r="H208" s="11"/>
      <c r="I208" s="11"/>
      <c r="J208" s="11"/>
      <c r="K208" s="11"/>
      <c r="L208" s="11"/>
      <c r="M208" s="9"/>
      <c r="N208" s="9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9"/>
      <c r="AK208" s="13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9"/>
      <c r="BH208" s="15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9"/>
      <c r="CF208" s="9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</row>
    <row r="209" ht="15.75" customHeight="1">
      <c r="A209" s="9"/>
      <c r="B209" s="11"/>
      <c r="C209" s="11"/>
      <c r="D209" s="9"/>
      <c r="E209" s="9"/>
      <c r="F209" s="9"/>
      <c r="G209" s="9"/>
      <c r="H209" s="11"/>
      <c r="I209" s="11"/>
      <c r="J209" s="11"/>
      <c r="K209" s="11"/>
      <c r="L209" s="11"/>
      <c r="M209" s="9"/>
      <c r="N209" s="9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9"/>
      <c r="AK209" s="13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9"/>
      <c r="BH209" s="15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9"/>
      <c r="CF209" s="9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</row>
    <row r="210" ht="15.75" customHeight="1">
      <c r="A210" s="9"/>
      <c r="B210" s="11"/>
      <c r="C210" s="11"/>
      <c r="D210" s="9"/>
      <c r="E210" s="9"/>
      <c r="F210" s="9"/>
      <c r="G210" s="9"/>
      <c r="H210" s="11"/>
      <c r="I210" s="11"/>
      <c r="J210" s="11"/>
      <c r="K210" s="11"/>
      <c r="L210" s="11"/>
      <c r="M210" s="9"/>
      <c r="N210" s="9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9"/>
      <c r="AK210" s="13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9"/>
      <c r="BH210" s="15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9"/>
      <c r="CF210" s="9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</row>
    <row r="211" ht="15.75" customHeight="1">
      <c r="A211" s="9"/>
      <c r="B211" s="11"/>
      <c r="C211" s="11"/>
      <c r="D211" s="9"/>
      <c r="E211" s="9"/>
      <c r="F211" s="9"/>
      <c r="G211" s="9"/>
      <c r="H211" s="11"/>
      <c r="I211" s="11"/>
      <c r="J211" s="11"/>
      <c r="K211" s="11"/>
      <c r="L211" s="11"/>
      <c r="M211" s="9"/>
      <c r="N211" s="9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9"/>
      <c r="AK211" s="13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9"/>
      <c r="BH211" s="15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9"/>
      <c r="CF211" s="9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</row>
    <row r="212" ht="15.75" customHeight="1">
      <c r="A212" s="9"/>
      <c r="B212" s="11"/>
      <c r="C212" s="11"/>
      <c r="D212" s="9"/>
      <c r="E212" s="9"/>
      <c r="F212" s="9"/>
      <c r="G212" s="9"/>
      <c r="H212" s="11"/>
      <c r="I212" s="11"/>
      <c r="J212" s="11"/>
      <c r="K212" s="11"/>
      <c r="L212" s="11"/>
      <c r="M212" s="9"/>
      <c r="N212" s="9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9"/>
      <c r="AK212" s="13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9"/>
      <c r="BH212" s="15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9"/>
      <c r="CF212" s="9"/>
      <c r="CG212" s="11"/>
      <c r="CH212" s="11"/>
      <c r="CI212" s="11"/>
      <c r="CJ212" s="11"/>
      <c r="CK212" s="11"/>
      <c r="CL212" s="11"/>
      <c r="CM212" s="11"/>
      <c r="CN212" s="11"/>
      <c r="CO212" s="11"/>
      <c r="CP212" s="11"/>
      <c r="CQ212" s="11"/>
      <c r="CR212" s="11"/>
      <c r="CS212" s="11"/>
      <c r="CT212" s="11"/>
    </row>
    <row r="213" ht="15.75" customHeight="1">
      <c r="A213" s="9"/>
      <c r="B213" s="11"/>
      <c r="C213" s="11"/>
      <c r="D213" s="9"/>
      <c r="E213" s="9"/>
      <c r="F213" s="9"/>
      <c r="G213" s="9"/>
      <c r="H213" s="11"/>
      <c r="I213" s="11"/>
      <c r="J213" s="11"/>
      <c r="K213" s="11"/>
      <c r="L213" s="11"/>
      <c r="M213" s="9"/>
      <c r="N213" s="9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9"/>
      <c r="AK213" s="13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9"/>
      <c r="BH213" s="15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9"/>
      <c r="CF213" s="9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</row>
    <row r="214" ht="15.75" customHeight="1">
      <c r="A214" s="9"/>
      <c r="B214" s="11"/>
      <c r="C214" s="11"/>
      <c r="D214" s="9"/>
      <c r="E214" s="9"/>
      <c r="F214" s="9"/>
      <c r="G214" s="9"/>
      <c r="H214" s="11"/>
      <c r="I214" s="11"/>
      <c r="J214" s="11"/>
      <c r="K214" s="11"/>
      <c r="L214" s="11"/>
      <c r="M214" s="9"/>
      <c r="N214" s="9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9"/>
      <c r="AK214" s="13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9"/>
      <c r="BH214" s="15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9"/>
      <c r="CF214" s="9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  <c r="CT214" s="11"/>
    </row>
    <row r="215" ht="15.75" customHeight="1">
      <c r="A215" s="9"/>
      <c r="B215" s="11"/>
      <c r="C215" s="11"/>
      <c r="D215" s="9"/>
      <c r="E215" s="9"/>
      <c r="F215" s="9"/>
      <c r="G215" s="9"/>
      <c r="H215" s="11"/>
      <c r="I215" s="11"/>
      <c r="J215" s="11"/>
      <c r="K215" s="11"/>
      <c r="L215" s="11"/>
      <c r="M215" s="9"/>
      <c r="N215" s="9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9"/>
      <c r="AK215" s="13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9"/>
      <c r="BH215" s="15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9"/>
      <c r="CF215" s="9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</row>
    <row r="216" ht="15.75" customHeight="1">
      <c r="A216" s="9"/>
      <c r="B216" s="11"/>
      <c r="C216" s="11"/>
      <c r="D216" s="9"/>
      <c r="E216" s="9"/>
      <c r="F216" s="9"/>
      <c r="G216" s="9"/>
      <c r="H216" s="11"/>
      <c r="I216" s="11"/>
      <c r="J216" s="11"/>
      <c r="K216" s="11"/>
      <c r="L216" s="11"/>
      <c r="M216" s="9"/>
      <c r="N216" s="9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9"/>
      <c r="AK216" s="13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9"/>
      <c r="BH216" s="15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9"/>
      <c r="CF216" s="9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</row>
    <row r="217" ht="15.75" customHeight="1">
      <c r="A217" s="9"/>
      <c r="B217" s="11"/>
      <c r="C217" s="11"/>
      <c r="D217" s="9"/>
      <c r="E217" s="9"/>
      <c r="F217" s="9"/>
      <c r="G217" s="9"/>
      <c r="H217" s="11"/>
      <c r="I217" s="11"/>
      <c r="J217" s="11"/>
      <c r="K217" s="11"/>
      <c r="L217" s="11"/>
      <c r="M217" s="9"/>
      <c r="N217" s="9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9"/>
      <c r="AK217" s="13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9"/>
      <c r="BH217" s="15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9"/>
      <c r="CF217" s="9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</row>
    <row r="218" ht="15.75" customHeight="1">
      <c r="A218" s="9"/>
      <c r="B218" s="11"/>
      <c r="C218" s="11"/>
      <c r="D218" s="9"/>
      <c r="E218" s="9"/>
      <c r="F218" s="9"/>
      <c r="G218" s="9"/>
      <c r="H218" s="11"/>
      <c r="I218" s="11"/>
      <c r="J218" s="11"/>
      <c r="K218" s="11"/>
      <c r="L218" s="11"/>
      <c r="M218" s="9"/>
      <c r="N218" s="9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9"/>
      <c r="AK218" s="13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9"/>
      <c r="BH218" s="15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9"/>
      <c r="CF218" s="9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</row>
    <row r="219" ht="15.75" customHeight="1">
      <c r="A219" s="9"/>
      <c r="B219" s="11"/>
      <c r="C219" s="11"/>
      <c r="D219" s="9"/>
      <c r="E219" s="9"/>
      <c r="F219" s="9"/>
      <c r="G219" s="9"/>
      <c r="H219" s="11"/>
      <c r="I219" s="11"/>
      <c r="J219" s="11"/>
      <c r="K219" s="11"/>
      <c r="L219" s="11"/>
      <c r="M219" s="9"/>
      <c r="N219" s="9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9"/>
      <c r="AK219" s="13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9"/>
      <c r="BH219" s="15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9"/>
      <c r="CF219" s="9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</row>
    <row r="220" ht="15.75" customHeight="1">
      <c r="A220" s="9"/>
      <c r="B220" s="11"/>
      <c r="C220" s="11"/>
      <c r="D220" s="9"/>
      <c r="E220" s="9"/>
      <c r="F220" s="9"/>
      <c r="G220" s="9"/>
      <c r="H220" s="11"/>
      <c r="I220" s="11"/>
      <c r="J220" s="11"/>
      <c r="K220" s="11"/>
      <c r="L220" s="11"/>
      <c r="M220" s="9"/>
      <c r="N220" s="9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9"/>
      <c r="AK220" s="13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9"/>
      <c r="BH220" s="15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9"/>
      <c r="CF220" s="9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</row>
    <row r="221" ht="15.75" customHeight="1">
      <c r="A221" s="9"/>
      <c r="B221" s="11"/>
      <c r="C221" s="11"/>
      <c r="D221" s="9"/>
      <c r="E221" s="9"/>
      <c r="F221" s="9"/>
      <c r="G221" s="9"/>
      <c r="H221" s="11"/>
      <c r="I221" s="11"/>
      <c r="J221" s="11"/>
      <c r="K221" s="11"/>
      <c r="L221" s="11"/>
      <c r="M221" s="9"/>
      <c r="N221" s="9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9"/>
      <c r="AK221" s="13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9"/>
      <c r="BH221" s="15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9"/>
      <c r="CF221" s="9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</row>
    <row r="222" ht="15.75" customHeight="1">
      <c r="A222" s="9"/>
      <c r="B222" s="11"/>
      <c r="C222" s="11"/>
      <c r="D222" s="9"/>
      <c r="E222" s="9"/>
      <c r="F222" s="9"/>
      <c r="G222" s="9"/>
      <c r="H222" s="11"/>
      <c r="I222" s="11"/>
      <c r="J222" s="11"/>
      <c r="K222" s="11"/>
      <c r="L222" s="11"/>
      <c r="M222" s="9"/>
      <c r="N222" s="9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9"/>
      <c r="AK222" s="13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9"/>
      <c r="BH222" s="15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9"/>
      <c r="CF222" s="9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</row>
    <row r="223" ht="15.75" customHeight="1">
      <c r="A223" s="9"/>
      <c r="B223" s="11"/>
      <c r="C223" s="11"/>
      <c r="D223" s="9"/>
      <c r="E223" s="9"/>
      <c r="F223" s="9"/>
      <c r="G223" s="9"/>
      <c r="H223" s="11"/>
      <c r="I223" s="11"/>
      <c r="J223" s="11"/>
      <c r="K223" s="11"/>
      <c r="L223" s="11"/>
      <c r="M223" s="9"/>
      <c r="N223" s="9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9"/>
      <c r="AK223" s="13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9"/>
      <c r="BH223" s="15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9"/>
      <c r="CF223" s="9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</row>
    <row r="224" ht="15.75" customHeight="1">
      <c r="A224" s="9"/>
      <c r="B224" s="11"/>
      <c r="C224" s="11"/>
      <c r="D224" s="9"/>
      <c r="E224" s="9"/>
      <c r="F224" s="9"/>
      <c r="G224" s="9"/>
      <c r="H224" s="11"/>
      <c r="I224" s="11"/>
      <c r="J224" s="11"/>
      <c r="K224" s="11"/>
      <c r="L224" s="11"/>
      <c r="M224" s="9"/>
      <c r="N224" s="9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9"/>
      <c r="AK224" s="13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9"/>
      <c r="BH224" s="15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9"/>
      <c r="CF224" s="9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</row>
    <row r="225" ht="15.75" customHeight="1">
      <c r="A225" s="9"/>
      <c r="B225" s="11"/>
      <c r="C225" s="11"/>
      <c r="D225" s="9"/>
      <c r="E225" s="9"/>
      <c r="F225" s="9"/>
      <c r="G225" s="9"/>
      <c r="H225" s="11"/>
      <c r="I225" s="11"/>
      <c r="J225" s="11"/>
      <c r="K225" s="11"/>
      <c r="L225" s="11"/>
      <c r="M225" s="9"/>
      <c r="N225" s="9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9"/>
      <c r="AK225" s="13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9"/>
      <c r="BH225" s="15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9"/>
      <c r="CF225" s="9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</row>
    <row r="226" ht="15.75" customHeight="1">
      <c r="A226" s="9"/>
      <c r="B226" s="11"/>
      <c r="C226" s="11"/>
      <c r="D226" s="9"/>
      <c r="E226" s="9"/>
      <c r="F226" s="9"/>
      <c r="G226" s="9"/>
      <c r="H226" s="11"/>
      <c r="I226" s="11"/>
      <c r="J226" s="11"/>
      <c r="K226" s="11"/>
      <c r="L226" s="11"/>
      <c r="M226" s="9"/>
      <c r="N226" s="9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9"/>
      <c r="AK226" s="13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9"/>
      <c r="BH226" s="15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9"/>
      <c r="CF226" s="9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</row>
    <row r="227" ht="15.75" customHeight="1">
      <c r="A227" s="9"/>
      <c r="B227" s="11"/>
      <c r="C227" s="11"/>
      <c r="D227" s="9"/>
      <c r="E227" s="9"/>
      <c r="F227" s="9"/>
      <c r="G227" s="9"/>
      <c r="H227" s="11"/>
      <c r="I227" s="11"/>
      <c r="J227" s="11"/>
      <c r="K227" s="11"/>
      <c r="L227" s="11"/>
      <c r="M227" s="9"/>
      <c r="N227" s="9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9"/>
      <c r="AK227" s="13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9"/>
      <c r="BH227" s="15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9"/>
      <c r="CF227" s="9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</row>
    <row r="228" ht="15.75" customHeight="1">
      <c r="A228" s="9"/>
      <c r="B228" s="11"/>
      <c r="C228" s="11"/>
      <c r="D228" s="9"/>
      <c r="E228" s="9"/>
      <c r="F228" s="9"/>
      <c r="G228" s="9"/>
      <c r="H228" s="11"/>
      <c r="I228" s="11"/>
      <c r="J228" s="11"/>
      <c r="K228" s="11"/>
      <c r="L228" s="11"/>
      <c r="M228" s="9"/>
      <c r="N228" s="9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9"/>
      <c r="AK228" s="13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9"/>
      <c r="BH228" s="15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9"/>
      <c r="CF228" s="9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</row>
    <row r="229" ht="15.75" customHeight="1">
      <c r="A229" s="9"/>
      <c r="B229" s="11"/>
      <c r="C229" s="11"/>
      <c r="D229" s="9"/>
      <c r="E229" s="9"/>
      <c r="F229" s="9"/>
      <c r="G229" s="9"/>
      <c r="H229" s="11"/>
      <c r="I229" s="11"/>
      <c r="J229" s="11"/>
      <c r="K229" s="11"/>
      <c r="L229" s="11"/>
      <c r="M229" s="9"/>
      <c r="N229" s="9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9"/>
      <c r="AK229" s="13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9"/>
      <c r="BH229" s="15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9"/>
      <c r="CF229" s="9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</row>
    <row r="230" ht="15.75" customHeight="1">
      <c r="A230" s="9"/>
      <c r="B230" s="11"/>
      <c r="C230" s="11"/>
      <c r="D230" s="9"/>
      <c r="E230" s="9"/>
      <c r="F230" s="9"/>
      <c r="G230" s="9"/>
      <c r="H230" s="11"/>
      <c r="I230" s="11"/>
      <c r="J230" s="11"/>
      <c r="K230" s="11"/>
      <c r="L230" s="11"/>
      <c r="M230" s="9"/>
      <c r="N230" s="9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9"/>
      <c r="AK230" s="13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9"/>
      <c r="BH230" s="15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9"/>
      <c r="CF230" s="9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</row>
    <row r="231" ht="15.75" customHeight="1">
      <c r="A231" s="9"/>
      <c r="B231" s="11"/>
      <c r="C231" s="11"/>
      <c r="D231" s="9"/>
      <c r="E231" s="9"/>
      <c r="F231" s="9"/>
      <c r="G231" s="9"/>
      <c r="H231" s="11"/>
      <c r="I231" s="11"/>
      <c r="J231" s="11"/>
      <c r="K231" s="11"/>
      <c r="L231" s="11"/>
      <c r="M231" s="9"/>
      <c r="N231" s="9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9"/>
      <c r="AK231" s="13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9"/>
      <c r="BH231" s="15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9"/>
      <c r="CF231" s="9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</row>
    <row r="232" ht="15.75" customHeight="1">
      <c r="A232" s="9"/>
      <c r="B232" s="11"/>
      <c r="C232" s="11"/>
      <c r="D232" s="9"/>
      <c r="E232" s="9"/>
      <c r="F232" s="9"/>
      <c r="G232" s="9"/>
      <c r="H232" s="11"/>
      <c r="I232" s="11"/>
      <c r="J232" s="11"/>
      <c r="K232" s="11"/>
      <c r="L232" s="11"/>
      <c r="M232" s="9"/>
      <c r="N232" s="9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9"/>
      <c r="AK232" s="13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9"/>
      <c r="BH232" s="15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9"/>
      <c r="CF232" s="9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</row>
    <row r="233" ht="15.75" customHeight="1">
      <c r="A233" s="9"/>
      <c r="B233" s="11"/>
      <c r="C233" s="11"/>
      <c r="D233" s="9"/>
      <c r="E233" s="9"/>
      <c r="F233" s="9"/>
      <c r="G233" s="9"/>
      <c r="H233" s="11"/>
      <c r="I233" s="11"/>
      <c r="J233" s="11"/>
      <c r="K233" s="11"/>
      <c r="L233" s="11"/>
      <c r="M233" s="9"/>
      <c r="N233" s="9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9"/>
      <c r="AK233" s="13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9"/>
      <c r="BH233" s="15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9"/>
      <c r="CF233" s="9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</row>
    <row r="234" ht="15.75" customHeight="1">
      <c r="A234" s="9"/>
      <c r="B234" s="11"/>
      <c r="C234" s="11"/>
      <c r="D234" s="9"/>
      <c r="E234" s="9"/>
      <c r="F234" s="9"/>
      <c r="G234" s="9"/>
      <c r="H234" s="11"/>
      <c r="I234" s="11"/>
      <c r="J234" s="11"/>
      <c r="K234" s="11"/>
      <c r="L234" s="11"/>
      <c r="M234" s="9"/>
      <c r="N234" s="9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9"/>
      <c r="AK234" s="13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9"/>
      <c r="BH234" s="15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9"/>
      <c r="CF234" s="9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</row>
    <row r="235" ht="15.75" customHeight="1">
      <c r="A235" s="9"/>
      <c r="B235" s="11"/>
      <c r="C235" s="11"/>
      <c r="D235" s="9"/>
      <c r="E235" s="9"/>
      <c r="F235" s="9"/>
      <c r="G235" s="9"/>
      <c r="H235" s="11"/>
      <c r="I235" s="11"/>
      <c r="J235" s="11"/>
      <c r="K235" s="11"/>
      <c r="L235" s="11"/>
      <c r="M235" s="9"/>
      <c r="N235" s="9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9"/>
      <c r="AK235" s="13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9"/>
      <c r="BH235" s="15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9"/>
      <c r="CF235" s="9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</row>
    <row r="236" ht="15.75" customHeight="1">
      <c r="A236" s="9"/>
      <c r="B236" s="11"/>
      <c r="C236" s="11"/>
      <c r="D236" s="9"/>
      <c r="E236" s="9"/>
      <c r="F236" s="9"/>
      <c r="G236" s="9"/>
      <c r="H236" s="11"/>
      <c r="I236" s="11"/>
      <c r="J236" s="11"/>
      <c r="K236" s="11"/>
      <c r="L236" s="11"/>
      <c r="M236" s="9"/>
      <c r="N236" s="9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9"/>
      <c r="AK236" s="13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9"/>
      <c r="BH236" s="15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9"/>
      <c r="CF236" s="9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</row>
    <row r="237" ht="15.75" customHeight="1">
      <c r="A237" s="9"/>
      <c r="B237" s="11"/>
      <c r="C237" s="11"/>
      <c r="D237" s="9"/>
      <c r="E237" s="9"/>
      <c r="F237" s="9"/>
      <c r="G237" s="9"/>
      <c r="H237" s="11"/>
      <c r="I237" s="11"/>
      <c r="J237" s="11"/>
      <c r="K237" s="11"/>
      <c r="L237" s="11"/>
      <c r="M237" s="9"/>
      <c r="N237" s="9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9"/>
      <c r="AK237" s="13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9"/>
      <c r="BH237" s="15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9"/>
      <c r="CF237" s="9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</row>
    <row r="238" ht="15.75" customHeight="1">
      <c r="A238" s="9"/>
      <c r="B238" s="11"/>
      <c r="C238" s="11"/>
      <c r="D238" s="9"/>
      <c r="E238" s="9"/>
      <c r="F238" s="9"/>
      <c r="G238" s="9"/>
      <c r="H238" s="11"/>
      <c r="I238" s="11"/>
      <c r="J238" s="11"/>
      <c r="K238" s="11"/>
      <c r="L238" s="11"/>
      <c r="M238" s="9"/>
      <c r="N238" s="9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9"/>
      <c r="AK238" s="13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9"/>
      <c r="BH238" s="15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9"/>
      <c r="CF238" s="9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</row>
    <row r="239" ht="15.75" customHeight="1">
      <c r="A239" s="9"/>
      <c r="B239" s="11"/>
      <c r="C239" s="11"/>
      <c r="D239" s="9"/>
      <c r="E239" s="9"/>
      <c r="F239" s="9"/>
      <c r="G239" s="9"/>
      <c r="H239" s="11"/>
      <c r="I239" s="11"/>
      <c r="J239" s="11"/>
      <c r="K239" s="11"/>
      <c r="L239" s="11"/>
      <c r="M239" s="9"/>
      <c r="N239" s="9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9"/>
      <c r="AK239" s="13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9"/>
      <c r="BH239" s="15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9"/>
      <c r="CF239" s="9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</row>
    <row r="240" ht="15.75" customHeight="1">
      <c r="A240" s="9"/>
      <c r="B240" s="11"/>
      <c r="C240" s="11"/>
      <c r="D240" s="9"/>
      <c r="E240" s="9"/>
      <c r="F240" s="9"/>
      <c r="G240" s="9"/>
      <c r="H240" s="11"/>
      <c r="I240" s="11"/>
      <c r="J240" s="11"/>
      <c r="K240" s="11"/>
      <c r="L240" s="11"/>
      <c r="M240" s="9"/>
      <c r="N240" s="9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9"/>
      <c r="AK240" s="13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9"/>
      <c r="BH240" s="15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9"/>
      <c r="CF240" s="9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</row>
    <row r="241" ht="15.75" customHeight="1">
      <c r="A241" s="9"/>
      <c r="B241" s="11"/>
      <c r="C241" s="11"/>
      <c r="D241" s="9"/>
      <c r="E241" s="9"/>
      <c r="F241" s="9"/>
      <c r="G241" s="9"/>
      <c r="H241" s="11"/>
      <c r="I241" s="11"/>
      <c r="J241" s="11"/>
      <c r="K241" s="11"/>
      <c r="L241" s="11"/>
      <c r="M241" s="9"/>
      <c r="N241" s="9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9"/>
      <c r="AK241" s="13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9"/>
      <c r="BH241" s="15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9"/>
      <c r="CF241" s="9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</row>
    <row r="242" ht="15.75" customHeight="1">
      <c r="A242" s="9"/>
      <c r="B242" s="11"/>
      <c r="C242" s="11"/>
      <c r="D242" s="9"/>
      <c r="E242" s="9"/>
      <c r="F242" s="9"/>
      <c r="G242" s="9"/>
      <c r="H242" s="11"/>
      <c r="I242" s="11"/>
      <c r="J242" s="11"/>
      <c r="K242" s="11"/>
      <c r="L242" s="11"/>
      <c r="M242" s="9"/>
      <c r="N242" s="9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9"/>
      <c r="AK242" s="13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9"/>
      <c r="BH242" s="15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9"/>
      <c r="CF242" s="9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</row>
    <row r="243" ht="15.75" customHeight="1">
      <c r="A243" s="9"/>
      <c r="B243" s="11"/>
      <c r="C243" s="11"/>
      <c r="D243" s="9"/>
      <c r="E243" s="9"/>
      <c r="F243" s="9"/>
      <c r="G243" s="9"/>
      <c r="H243" s="11"/>
      <c r="I243" s="11"/>
      <c r="J243" s="11"/>
      <c r="K243" s="11"/>
      <c r="L243" s="11"/>
      <c r="M243" s="9"/>
      <c r="N243" s="9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9"/>
      <c r="AK243" s="13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9"/>
      <c r="BH243" s="15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9"/>
      <c r="CF243" s="9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</row>
    <row r="244" ht="15.75" customHeight="1">
      <c r="A244" s="9"/>
      <c r="B244" s="11"/>
      <c r="C244" s="11"/>
      <c r="D244" s="9"/>
      <c r="E244" s="9"/>
      <c r="F244" s="9"/>
      <c r="G244" s="9"/>
      <c r="H244" s="11"/>
      <c r="I244" s="11"/>
      <c r="J244" s="11"/>
      <c r="K244" s="11"/>
      <c r="L244" s="11"/>
      <c r="M244" s="9"/>
      <c r="N244" s="9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9"/>
      <c r="AK244" s="13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9"/>
      <c r="BH244" s="15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9"/>
      <c r="CF244" s="9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1"/>
    </row>
    <row r="245" ht="15.75" customHeight="1">
      <c r="A245" s="9"/>
      <c r="B245" s="11"/>
      <c r="C245" s="11"/>
      <c r="D245" s="9"/>
      <c r="E245" s="9"/>
      <c r="F245" s="9"/>
      <c r="G245" s="9"/>
      <c r="H245" s="11"/>
      <c r="I245" s="11"/>
      <c r="J245" s="11"/>
      <c r="K245" s="11"/>
      <c r="L245" s="11"/>
      <c r="M245" s="9"/>
      <c r="N245" s="9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9"/>
      <c r="AK245" s="13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9"/>
      <c r="BH245" s="15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9"/>
      <c r="CF245" s="9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</row>
    <row r="246" ht="15.75" customHeight="1">
      <c r="A246" s="9"/>
      <c r="B246" s="11"/>
      <c r="C246" s="11"/>
      <c r="D246" s="9"/>
      <c r="E246" s="9"/>
      <c r="F246" s="9"/>
      <c r="G246" s="9"/>
      <c r="H246" s="11"/>
      <c r="I246" s="11"/>
      <c r="J246" s="11"/>
      <c r="K246" s="11"/>
      <c r="L246" s="11"/>
      <c r="M246" s="9"/>
      <c r="N246" s="9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9"/>
      <c r="AK246" s="13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9"/>
      <c r="BH246" s="15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9"/>
      <c r="CF246" s="9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</row>
    <row r="247" ht="15.75" customHeight="1">
      <c r="A247" s="9"/>
      <c r="B247" s="11"/>
      <c r="C247" s="11"/>
      <c r="D247" s="9"/>
      <c r="E247" s="9"/>
      <c r="F247" s="9"/>
      <c r="G247" s="9"/>
      <c r="H247" s="11"/>
      <c r="I247" s="11"/>
      <c r="J247" s="11"/>
      <c r="K247" s="11"/>
      <c r="L247" s="11"/>
      <c r="M247" s="9"/>
      <c r="N247" s="9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9"/>
      <c r="AK247" s="13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9"/>
      <c r="BH247" s="15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9"/>
      <c r="CF247" s="9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</row>
    <row r="248" ht="15.75" customHeight="1">
      <c r="A248" s="9"/>
      <c r="B248" s="11"/>
      <c r="C248" s="11"/>
      <c r="D248" s="9"/>
      <c r="E248" s="9"/>
      <c r="F248" s="9"/>
      <c r="G248" s="9"/>
      <c r="H248" s="11"/>
      <c r="I248" s="11"/>
      <c r="J248" s="11"/>
      <c r="K248" s="11"/>
      <c r="L248" s="11"/>
      <c r="M248" s="9"/>
      <c r="N248" s="9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9"/>
      <c r="AK248" s="13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9"/>
      <c r="BH248" s="15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9"/>
      <c r="CF248" s="9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</row>
    <row r="249" ht="15.75" customHeight="1">
      <c r="A249" s="9"/>
      <c r="B249" s="11"/>
      <c r="C249" s="11"/>
      <c r="D249" s="9"/>
      <c r="E249" s="9"/>
      <c r="F249" s="9"/>
      <c r="G249" s="9"/>
      <c r="H249" s="11"/>
      <c r="I249" s="11"/>
      <c r="J249" s="11"/>
      <c r="K249" s="11"/>
      <c r="L249" s="11"/>
      <c r="M249" s="9"/>
      <c r="N249" s="9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9"/>
      <c r="AK249" s="13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9"/>
      <c r="BH249" s="15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9"/>
      <c r="CF249" s="9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</row>
    <row r="250" ht="15.75" customHeight="1">
      <c r="A250" s="9"/>
      <c r="B250" s="11"/>
      <c r="C250" s="11"/>
      <c r="D250" s="9"/>
      <c r="E250" s="9"/>
      <c r="F250" s="9"/>
      <c r="G250" s="9"/>
      <c r="H250" s="11"/>
      <c r="I250" s="11"/>
      <c r="J250" s="11"/>
      <c r="K250" s="11"/>
      <c r="L250" s="11"/>
      <c r="M250" s="9"/>
      <c r="N250" s="9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9"/>
      <c r="AK250" s="13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9"/>
      <c r="BH250" s="15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9"/>
      <c r="CF250" s="9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</row>
    <row r="251" ht="15.75" customHeight="1">
      <c r="A251" s="9"/>
      <c r="B251" s="11"/>
      <c r="C251" s="11"/>
      <c r="D251" s="9"/>
      <c r="E251" s="9"/>
      <c r="F251" s="9"/>
      <c r="G251" s="9"/>
      <c r="H251" s="11"/>
      <c r="I251" s="11"/>
      <c r="J251" s="11"/>
      <c r="K251" s="11"/>
      <c r="L251" s="11"/>
      <c r="M251" s="9"/>
      <c r="N251" s="9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9"/>
      <c r="AK251" s="13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9"/>
      <c r="BH251" s="15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9"/>
      <c r="CF251" s="9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</row>
    <row r="252" ht="15.75" customHeight="1">
      <c r="A252" s="9"/>
      <c r="B252" s="11"/>
      <c r="C252" s="11"/>
      <c r="D252" s="9"/>
      <c r="E252" s="9"/>
      <c r="F252" s="9"/>
      <c r="G252" s="9"/>
      <c r="H252" s="11"/>
      <c r="I252" s="11"/>
      <c r="J252" s="11"/>
      <c r="K252" s="11"/>
      <c r="L252" s="11"/>
      <c r="M252" s="9"/>
      <c r="N252" s="9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9"/>
      <c r="AK252" s="13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9"/>
      <c r="BH252" s="15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9"/>
      <c r="CF252" s="9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</row>
    <row r="253" ht="15.75" customHeight="1">
      <c r="A253" s="9"/>
      <c r="B253" s="11"/>
      <c r="C253" s="11"/>
      <c r="D253" s="9"/>
      <c r="E253" s="9"/>
      <c r="F253" s="9"/>
      <c r="G253" s="9"/>
      <c r="H253" s="11"/>
      <c r="I253" s="11"/>
      <c r="J253" s="11"/>
      <c r="K253" s="11"/>
      <c r="L253" s="11"/>
      <c r="M253" s="9"/>
      <c r="N253" s="9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9"/>
      <c r="AK253" s="13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9"/>
      <c r="BH253" s="15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9"/>
      <c r="CF253" s="9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</row>
    <row r="254" ht="15.75" customHeight="1">
      <c r="A254" s="9"/>
      <c r="B254" s="11"/>
      <c r="C254" s="11"/>
      <c r="D254" s="9"/>
      <c r="E254" s="9"/>
      <c r="F254" s="9"/>
      <c r="G254" s="9"/>
      <c r="H254" s="11"/>
      <c r="I254" s="11"/>
      <c r="J254" s="11"/>
      <c r="K254" s="11"/>
      <c r="L254" s="11"/>
      <c r="M254" s="9"/>
      <c r="N254" s="9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9"/>
      <c r="AK254" s="13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9"/>
      <c r="BH254" s="15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9"/>
      <c r="CF254" s="9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</row>
    <row r="255" ht="15.75" customHeight="1">
      <c r="A255" s="9"/>
      <c r="B255" s="11"/>
      <c r="C255" s="11"/>
      <c r="D255" s="9"/>
      <c r="E255" s="9"/>
      <c r="F255" s="9"/>
      <c r="G255" s="9"/>
      <c r="H255" s="11"/>
      <c r="I255" s="11"/>
      <c r="J255" s="11"/>
      <c r="K255" s="11"/>
      <c r="L255" s="11"/>
      <c r="M255" s="9"/>
      <c r="N255" s="9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9"/>
      <c r="AK255" s="13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9"/>
      <c r="BH255" s="15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9"/>
      <c r="CF255" s="9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</row>
    <row r="256" ht="15.75" customHeight="1">
      <c r="A256" s="9"/>
      <c r="B256" s="11"/>
      <c r="C256" s="11"/>
      <c r="D256" s="9"/>
      <c r="E256" s="9"/>
      <c r="F256" s="9"/>
      <c r="G256" s="9"/>
      <c r="H256" s="11"/>
      <c r="I256" s="11"/>
      <c r="J256" s="11"/>
      <c r="K256" s="11"/>
      <c r="L256" s="11"/>
      <c r="M256" s="9"/>
      <c r="N256" s="9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9"/>
      <c r="AK256" s="13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9"/>
      <c r="BH256" s="15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9"/>
      <c r="CF256" s="9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</row>
    <row r="257" ht="15.75" customHeight="1">
      <c r="A257" s="9"/>
      <c r="B257" s="11"/>
      <c r="C257" s="11"/>
      <c r="D257" s="9"/>
      <c r="E257" s="9"/>
      <c r="F257" s="9"/>
      <c r="G257" s="9"/>
      <c r="H257" s="11"/>
      <c r="I257" s="11"/>
      <c r="J257" s="11"/>
      <c r="K257" s="11"/>
      <c r="L257" s="11"/>
      <c r="M257" s="9"/>
      <c r="N257" s="9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9"/>
      <c r="AK257" s="13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9"/>
      <c r="BH257" s="15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9"/>
      <c r="CF257" s="9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</row>
    <row r="258" ht="15.75" customHeight="1">
      <c r="A258" s="9"/>
      <c r="B258" s="11"/>
      <c r="C258" s="11"/>
      <c r="D258" s="9"/>
      <c r="E258" s="9"/>
      <c r="F258" s="9"/>
      <c r="G258" s="9"/>
      <c r="H258" s="11"/>
      <c r="I258" s="11"/>
      <c r="J258" s="11"/>
      <c r="K258" s="11"/>
      <c r="L258" s="11"/>
      <c r="M258" s="9"/>
      <c r="N258" s="9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9"/>
      <c r="AK258" s="13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9"/>
      <c r="BH258" s="15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9"/>
      <c r="CF258" s="9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</row>
    <row r="259" ht="15.75" customHeight="1">
      <c r="A259" s="9"/>
      <c r="B259" s="11"/>
      <c r="C259" s="11"/>
      <c r="D259" s="9"/>
      <c r="E259" s="9"/>
      <c r="F259" s="9"/>
      <c r="G259" s="9"/>
      <c r="H259" s="11"/>
      <c r="I259" s="11"/>
      <c r="J259" s="11"/>
      <c r="K259" s="11"/>
      <c r="L259" s="11"/>
      <c r="M259" s="9"/>
      <c r="N259" s="9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9"/>
      <c r="AK259" s="13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9"/>
      <c r="BH259" s="15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9"/>
      <c r="CF259" s="9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</row>
    <row r="260" ht="15.75" customHeight="1">
      <c r="A260" s="9"/>
      <c r="B260" s="11"/>
      <c r="C260" s="11"/>
      <c r="D260" s="9"/>
      <c r="E260" s="9"/>
      <c r="F260" s="9"/>
      <c r="G260" s="9"/>
      <c r="H260" s="11"/>
      <c r="I260" s="11"/>
      <c r="J260" s="11"/>
      <c r="K260" s="11"/>
      <c r="L260" s="11"/>
      <c r="M260" s="9"/>
      <c r="N260" s="9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9"/>
      <c r="AK260" s="13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9"/>
      <c r="BH260" s="15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9"/>
      <c r="CF260" s="9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</row>
    <row r="261" ht="15.75" customHeight="1">
      <c r="A261" s="9"/>
      <c r="B261" s="11"/>
      <c r="C261" s="11"/>
      <c r="D261" s="9"/>
      <c r="E261" s="9"/>
      <c r="F261" s="9"/>
      <c r="G261" s="9"/>
      <c r="H261" s="11"/>
      <c r="I261" s="11"/>
      <c r="J261" s="11"/>
      <c r="K261" s="11"/>
      <c r="L261" s="11"/>
      <c r="M261" s="9"/>
      <c r="N261" s="9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9"/>
      <c r="AK261" s="13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9"/>
      <c r="BH261" s="15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9"/>
      <c r="CF261" s="9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</row>
    <row r="262" ht="15.75" customHeight="1">
      <c r="A262" s="9"/>
      <c r="B262" s="11"/>
      <c r="C262" s="11"/>
      <c r="D262" s="9"/>
      <c r="E262" s="9"/>
      <c r="F262" s="9"/>
      <c r="G262" s="9"/>
      <c r="H262" s="11"/>
      <c r="I262" s="11"/>
      <c r="J262" s="11"/>
      <c r="K262" s="11"/>
      <c r="L262" s="11"/>
      <c r="M262" s="9"/>
      <c r="N262" s="9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9"/>
      <c r="AK262" s="13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9"/>
      <c r="BH262" s="15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9"/>
      <c r="CF262" s="9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</row>
    <row r="263" ht="15.75" customHeight="1">
      <c r="A263" s="9"/>
      <c r="B263" s="11"/>
      <c r="C263" s="11"/>
      <c r="D263" s="9"/>
      <c r="E263" s="9"/>
      <c r="F263" s="9"/>
      <c r="G263" s="9"/>
      <c r="H263" s="11"/>
      <c r="I263" s="11"/>
      <c r="J263" s="11"/>
      <c r="K263" s="11"/>
      <c r="L263" s="11"/>
      <c r="M263" s="9"/>
      <c r="N263" s="9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9"/>
      <c r="AK263" s="13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9"/>
      <c r="BH263" s="15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9"/>
      <c r="CF263" s="9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</row>
    <row r="264" ht="15.75" customHeight="1">
      <c r="A264" s="9"/>
      <c r="B264" s="11"/>
      <c r="C264" s="11"/>
      <c r="D264" s="9"/>
      <c r="E264" s="9"/>
      <c r="F264" s="9"/>
      <c r="G264" s="9"/>
      <c r="H264" s="11"/>
      <c r="I264" s="11"/>
      <c r="J264" s="11"/>
      <c r="K264" s="11"/>
      <c r="L264" s="11"/>
      <c r="M264" s="9"/>
      <c r="N264" s="9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9"/>
      <c r="AK264" s="13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9"/>
      <c r="BH264" s="15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9"/>
      <c r="CF264" s="9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</row>
    <row r="265" ht="15.75" customHeight="1">
      <c r="A265" s="9"/>
      <c r="B265" s="11"/>
      <c r="C265" s="11"/>
      <c r="D265" s="9"/>
      <c r="E265" s="9"/>
      <c r="F265" s="9"/>
      <c r="G265" s="9"/>
      <c r="H265" s="11"/>
      <c r="I265" s="11"/>
      <c r="J265" s="11"/>
      <c r="K265" s="11"/>
      <c r="L265" s="11"/>
      <c r="M265" s="9"/>
      <c r="N265" s="9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9"/>
      <c r="AK265" s="13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9"/>
      <c r="BH265" s="15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9"/>
      <c r="CF265" s="9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</row>
    <row r="266" ht="15.75" customHeight="1">
      <c r="A266" s="9"/>
      <c r="B266" s="11"/>
      <c r="C266" s="11"/>
      <c r="D266" s="9"/>
      <c r="E266" s="9"/>
      <c r="F266" s="9"/>
      <c r="G266" s="9"/>
      <c r="H266" s="11"/>
      <c r="I266" s="11"/>
      <c r="J266" s="11"/>
      <c r="K266" s="11"/>
      <c r="L266" s="11"/>
      <c r="M266" s="9"/>
      <c r="N266" s="9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9"/>
      <c r="AK266" s="13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9"/>
      <c r="BH266" s="15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9"/>
      <c r="CF266" s="9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</row>
    <row r="267" ht="15.75" customHeight="1">
      <c r="A267" s="9"/>
      <c r="B267" s="11"/>
      <c r="C267" s="11"/>
      <c r="D267" s="9"/>
      <c r="E267" s="9"/>
      <c r="F267" s="9"/>
      <c r="G267" s="9"/>
      <c r="H267" s="11"/>
      <c r="I267" s="11"/>
      <c r="J267" s="11"/>
      <c r="K267" s="11"/>
      <c r="L267" s="11"/>
      <c r="M267" s="9"/>
      <c r="N267" s="9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9"/>
      <c r="AK267" s="13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9"/>
      <c r="BH267" s="15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9"/>
      <c r="CF267" s="9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</row>
    <row r="268" ht="15.75" customHeight="1">
      <c r="A268" s="9"/>
      <c r="B268" s="11"/>
      <c r="C268" s="11"/>
      <c r="D268" s="9"/>
      <c r="E268" s="9"/>
      <c r="F268" s="9"/>
      <c r="G268" s="9"/>
      <c r="H268" s="11"/>
      <c r="I268" s="11"/>
      <c r="J268" s="11"/>
      <c r="K268" s="11"/>
      <c r="L268" s="11"/>
      <c r="M268" s="9"/>
      <c r="N268" s="9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9"/>
      <c r="AK268" s="13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9"/>
      <c r="BH268" s="15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9"/>
      <c r="CF268" s="9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</row>
    <row r="269" ht="15.75" customHeight="1">
      <c r="A269" s="9"/>
      <c r="B269" s="11"/>
      <c r="C269" s="11"/>
      <c r="D269" s="9"/>
      <c r="E269" s="9"/>
      <c r="F269" s="9"/>
      <c r="G269" s="9"/>
      <c r="H269" s="11"/>
      <c r="I269" s="11"/>
      <c r="J269" s="11"/>
      <c r="K269" s="11"/>
      <c r="L269" s="11"/>
      <c r="M269" s="9"/>
      <c r="N269" s="9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9"/>
      <c r="AK269" s="13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9"/>
      <c r="BH269" s="15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9"/>
      <c r="CF269" s="9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</row>
    <row r="270" ht="15.75" customHeight="1">
      <c r="A270" s="9"/>
      <c r="B270" s="11"/>
      <c r="C270" s="11"/>
      <c r="D270" s="9"/>
      <c r="E270" s="9"/>
      <c r="F270" s="9"/>
      <c r="G270" s="9"/>
      <c r="H270" s="11"/>
      <c r="I270" s="11"/>
      <c r="J270" s="11"/>
      <c r="K270" s="11"/>
      <c r="L270" s="11"/>
      <c r="M270" s="9"/>
      <c r="N270" s="9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9"/>
      <c r="AK270" s="13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9"/>
      <c r="BH270" s="15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9"/>
      <c r="CF270" s="9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</row>
    <row r="271" ht="15.75" customHeight="1">
      <c r="A271" s="9"/>
      <c r="B271" s="11"/>
      <c r="C271" s="11"/>
      <c r="D271" s="9"/>
      <c r="E271" s="9"/>
      <c r="F271" s="9"/>
      <c r="G271" s="9"/>
      <c r="H271" s="11"/>
      <c r="I271" s="11"/>
      <c r="J271" s="11"/>
      <c r="K271" s="11"/>
      <c r="L271" s="11"/>
      <c r="M271" s="9"/>
      <c r="N271" s="9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9"/>
      <c r="AK271" s="13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9"/>
      <c r="BH271" s="15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9"/>
      <c r="CF271" s="9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</row>
    <row r="272" ht="15.75" customHeight="1">
      <c r="A272" s="9"/>
      <c r="B272" s="11"/>
      <c r="C272" s="11"/>
      <c r="D272" s="9"/>
      <c r="E272" s="9"/>
      <c r="F272" s="9"/>
      <c r="G272" s="9"/>
      <c r="H272" s="11"/>
      <c r="I272" s="11"/>
      <c r="J272" s="11"/>
      <c r="K272" s="11"/>
      <c r="L272" s="11"/>
      <c r="M272" s="9"/>
      <c r="N272" s="9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9"/>
      <c r="AK272" s="13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9"/>
      <c r="BH272" s="15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9"/>
      <c r="CF272" s="9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</row>
    <row r="273" ht="15.75" customHeight="1">
      <c r="A273" s="9"/>
      <c r="B273" s="11"/>
      <c r="C273" s="11"/>
      <c r="D273" s="9"/>
      <c r="E273" s="9"/>
      <c r="F273" s="9"/>
      <c r="G273" s="9"/>
      <c r="H273" s="11"/>
      <c r="I273" s="11"/>
      <c r="J273" s="11"/>
      <c r="K273" s="11"/>
      <c r="L273" s="11"/>
      <c r="M273" s="9"/>
      <c r="N273" s="9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9"/>
      <c r="AK273" s="13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9"/>
      <c r="BH273" s="15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9"/>
      <c r="CF273" s="9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</row>
    <row r="274" ht="15.75" customHeight="1">
      <c r="A274" s="9"/>
      <c r="B274" s="11"/>
      <c r="C274" s="11"/>
      <c r="D274" s="9"/>
      <c r="E274" s="9"/>
      <c r="F274" s="9"/>
      <c r="G274" s="9"/>
      <c r="H274" s="11"/>
      <c r="I274" s="11"/>
      <c r="J274" s="11"/>
      <c r="K274" s="11"/>
      <c r="L274" s="11"/>
      <c r="M274" s="9"/>
      <c r="N274" s="9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9"/>
      <c r="AK274" s="13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9"/>
      <c r="BH274" s="15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9"/>
      <c r="CF274" s="9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</row>
  </sheetData>
  <mergeCells count="13">
    <mergeCell ref="A4:B4"/>
    <mergeCell ref="A5:B5"/>
    <mergeCell ref="A6:B6"/>
    <mergeCell ref="A52:B52"/>
    <mergeCell ref="C5:F5"/>
    <mergeCell ref="C6:F6"/>
    <mergeCell ref="A1:B1"/>
    <mergeCell ref="C1:F1"/>
    <mergeCell ref="A2:B2"/>
    <mergeCell ref="C2:F2"/>
    <mergeCell ref="A3:B3"/>
    <mergeCell ref="C3:F3"/>
    <mergeCell ref="C4:F4"/>
  </mergeCells>
  <conditionalFormatting sqref="H9:CR9 H52:N52 AJ52:CR52">
    <cfRule type="cellIs" dxfId="0" priority="1" operator="lessThan">
      <formula>1</formula>
    </cfRule>
  </conditionalFormatting>
  <conditionalFormatting sqref="H9:CR9 H52:N52 AJ52:CR52">
    <cfRule type="cellIs" dxfId="0" priority="2" operator="lessThan">
      <formula>1</formula>
    </cfRule>
  </conditionalFormatting>
  <hyperlinks>
    <hyperlink r:id="rId1" ref="A9"/>
  </hyperlinks>
  <printOptions/>
  <pageMargins bottom="0.75" footer="0.0" header="0.0" left="0.7" right="0.7" top="0.75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4.29"/>
    <col customWidth="1" min="2" max="2" width="17.57"/>
    <col customWidth="1" min="3" max="3" width="34.43"/>
    <col customWidth="1" min="4" max="4" width="8.14"/>
    <col customWidth="1" min="5" max="5" width="8.0"/>
    <col customWidth="1" min="6" max="6" width="6.71"/>
    <col customWidth="1" min="7" max="7" width="6.57"/>
    <col customWidth="1" min="8" max="8" width="4.0"/>
    <col customWidth="1" min="9" max="12" width="3.71"/>
    <col customWidth="1" min="13" max="13" width="4.71"/>
    <col customWidth="1" min="14" max="14" width="6.57"/>
    <col customWidth="1" min="15" max="36" width="3.71"/>
    <col customWidth="1" min="37" max="37" width="5.86"/>
    <col customWidth="1" min="38" max="58" width="3.71"/>
    <col customWidth="1" min="59" max="59" width="4.0"/>
    <col customWidth="1" min="60" max="60" width="5.71"/>
    <col customWidth="1" min="61" max="82" width="3.71"/>
    <col customWidth="1" min="83" max="83" width="4.0"/>
    <col customWidth="1" min="84" max="84" width="5.57"/>
    <col customWidth="1" min="85" max="88" width="3.71"/>
    <col customWidth="1" min="89" max="89" width="3.43"/>
    <col customWidth="1" min="90" max="100" width="3.71"/>
    <col customWidth="1" min="101" max="101" width="5.29"/>
    <col customWidth="1" min="102" max="102" width="6.29"/>
    <col customWidth="1" min="103" max="103" width="4.71"/>
    <col customWidth="1" min="104" max="104" width="4.57"/>
    <col customWidth="1" min="105" max="105" width="5.14"/>
    <col customWidth="1" min="106" max="106" width="4.43"/>
    <col customWidth="1" min="107" max="107" width="4.29"/>
    <col customWidth="1" min="108" max="109" width="4.14"/>
    <col customWidth="1" min="110" max="110" width="3.43"/>
    <col customWidth="1" min="111" max="111" width="3.86"/>
    <col customWidth="1" min="112" max="112" width="4.43"/>
    <col customWidth="1" min="113" max="113" width="3.57"/>
    <col customWidth="1" min="114" max="114" width="4.0"/>
    <col customWidth="1" min="115" max="116" width="5.86"/>
  </cols>
  <sheetData>
    <row r="1">
      <c r="A1" s="1" t="s">
        <v>227</v>
      </c>
      <c r="B1" s="2"/>
      <c r="C1" s="4"/>
      <c r="D1" s="6"/>
      <c r="E1" s="6"/>
      <c r="F1" s="8"/>
      <c r="G1" s="9"/>
      <c r="H1" s="9"/>
      <c r="I1" s="9"/>
      <c r="J1" s="9"/>
      <c r="K1" s="9"/>
      <c r="L1" s="9"/>
      <c r="M1" s="9"/>
      <c r="N1" s="9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9"/>
      <c r="AK1" s="12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9"/>
      <c r="BH1" s="14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9"/>
      <c r="CF1" s="9"/>
      <c r="CG1" s="11"/>
      <c r="CH1" s="11"/>
      <c r="CI1" s="11"/>
      <c r="CJ1" s="11"/>
      <c r="CK1" s="11"/>
      <c r="CL1" s="11"/>
      <c r="CM1" s="11"/>
      <c r="CN1" s="11" t="s">
        <v>4</v>
      </c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</row>
    <row r="2">
      <c r="A2" s="17" t="s">
        <v>5</v>
      </c>
      <c r="B2" s="18"/>
      <c r="C2" s="19" t="s">
        <v>228</v>
      </c>
      <c r="D2" s="22"/>
      <c r="E2" s="22"/>
      <c r="F2" s="5"/>
      <c r="G2" s="9"/>
      <c r="H2" s="23"/>
      <c r="I2" s="23"/>
      <c r="J2" s="23"/>
      <c r="K2" s="23"/>
      <c r="L2" s="23"/>
      <c r="M2" s="23"/>
      <c r="N2" s="23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9"/>
      <c r="AK2" s="12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9"/>
      <c r="BH2" s="14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9"/>
      <c r="CF2" s="9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</row>
    <row r="3">
      <c r="A3" s="17" t="s">
        <v>9</v>
      </c>
      <c r="B3" s="18"/>
      <c r="C3" s="19" t="s">
        <v>229</v>
      </c>
      <c r="D3" s="22"/>
      <c r="E3" s="22"/>
      <c r="F3" s="5"/>
      <c r="G3" s="9"/>
      <c r="H3" s="23"/>
      <c r="I3" s="23"/>
      <c r="J3" s="23"/>
      <c r="K3" s="23"/>
      <c r="L3" s="23"/>
      <c r="M3" s="23"/>
      <c r="N3" s="23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9"/>
      <c r="AK3" s="12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9"/>
      <c r="BH3" s="14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9"/>
      <c r="CF3" s="9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</row>
    <row r="4">
      <c r="A4" s="17" t="s">
        <v>12</v>
      </c>
      <c r="B4" s="18"/>
      <c r="C4" s="27" t="s">
        <v>227</v>
      </c>
      <c r="D4" s="6"/>
      <c r="E4" s="6"/>
      <c r="F4" s="2"/>
      <c r="G4" s="9"/>
      <c r="H4" s="9"/>
      <c r="I4" s="9"/>
      <c r="J4" s="9"/>
      <c r="K4" s="9"/>
      <c r="L4" s="9"/>
      <c r="M4" s="9"/>
      <c r="N4" s="9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9"/>
      <c r="AK4" s="12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9"/>
      <c r="BH4" s="14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9"/>
      <c r="CF4" s="9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</row>
    <row r="5">
      <c r="A5" s="17" t="s">
        <v>14</v>
      </c>
      <c r="B5" s="18"/>
      <c r="C5" s="28">
        <v>46104.0</v>
      </c>
      <c r="D5" s="22"/>
      <c r="E5" s="22"/>
      <c r="F5" s="5"/>
      <c r="G5" s="31"/>
      <c r="H5" s="9"/>
      <c r="I5" s="9"/>
      <c r="J5" s="9"/>
      <c r="K5" s="9"/>
      <c r="L5" s="9"/>
      <c r="M5" s="9"/>
      <c r="N5" s="9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9"/>
      <c r="AK5" s="12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9"/>
      <c r="BH5" s="14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9"/>
      <c r="CF5" s="9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</row>
    <row r="6">
      <c r="A6" s="32" t="s">
        <v>15</v>
      </c>
      <c r="B6" s="33"/>
      <c r="C6" s="34"/>
      <c r="D6" s="38"/>
      <c r="E6" s="38"/>
      <c r="F6" s="39"/>
      <c r="G6" s="37"/>
      <c r="H6" s="9"/>
      <c r="I6" s="9"/>
      <c r="J6" s="9"/>
      <c r="K6" s="9"/>
      <c r="L6" s="9"/>
      <c r="M6" s="9"/>
      <c r="N6" s="9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83">
        <v>29.0</v>
      </c>
      <c r="AG6" s="11"/>
      <c r="AH6" s="83" t="s">
        <v>230</v>
      </c>
      <c r="AJ6" s="9"/>
      <c r="AK6" s="12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9"/>
      <c r="BH6" s="14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9"/>
      <c r="CF6" s="9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</row>
    <row r="7">
      <c r="A7" s="31"/>
      <c r="B7" s="40"/>
      <c r="C7" s="41"/>
      <c r="D7" s="31"/>
      <c r="E7" s="31"/>
      <c r="F7" s="42"/>
      <c r="G7" s="37"/>
      <c r="H7" s="50">
        <v>1.0</v>
      </c>
      <c r="I7" s="51">
        <v>2.0</v>
      </c>
      <c r="J7" s="51">
        <v>3.0</v>
      </c>
      <c r="K7" s="51">
        <v>4.0</v>
      </c>
      <c r="L7" s="53">
        <v>5.0</v>
      </c>
      <c r="M7" s="54"/>
      <c r="N7" s="54"/>
      <c r="O7" s="45">
        <v>1.0</v>
      </c>
      <c r="P7" s="45">
        <v>2.0</v>
      </c>
      <c r="Q7" s="45">
        <v>3.0</v>
      </c>
      <c r="R7" s="45">
        <v>4.0</v>
      </c>
      <c r="S7" s="45">
        <v>5.0</v>
      </c>
      <c r="T7" s="45">
        <v>6.0</v>
      </c>
      <c r="U7" s="45">
        <v>7.0</v>
      </c>
      <c r="V7" s="45">
        <v>8.0</v>
      </c>
      <c r="W7" s="45">
        <v>9.0</v>
      </c>
      <c r="X7" s="45">
        <v>10.0</v>
      </c>
      <c r="Y7" s="45">
        <v>11.0</v>
      </c>
      <c r="Z7" s="45">
        <v>12.0</v>
      </c>
      <c r="AA7" s="45">
        <v>13.0</v>
      </c>
      <c r="AB7" s="45">
        <v>14.0</v>
      </c>
      <c r="AC7" s="45">
        <v>15.0</v>
      </c>
      <c r="AD7" s="45">
        <v>16.0</v>
      </c>
      <c r="AE7" s="45">
        <v>17.0</v>
      </c>
      <c r="AF7" s="45">
        <v>18.0</v>
      </c>
      <c r="AG7" s="45">
        <v>19.0</v>
      </c>
      <c r="AH7" s="45">
        <v>20.0</v>
      </c>
      <c r="AI7" s="45">
        <v>21.0</v>
      </c>
      <c r="AJ7" s="54"/>
      <c r="AK7" s="57"/>
      <c r="AL7" s="45">
        <v>1.0</v>
      </c>
      <c r="AM7" s="45">
        <v>2.0</v>
      </c>
      <c r="AN7" s="45">
        <v>3.0</v>
      </c>
      <c r="AO7" s="45">
        <v>4.0</v>
      </c>
      <c r="AP7" s="45">
        <v>5.0</v>
      </c>
      <c r="AQ7" s="45">
        <v>6.0</v>
      </c>
      <c r="AR7" s="45">
        <v>7.0</v>
      </c>
      <c r="AS7" s="45">
        <v>8.0</v>
      </c>
      <c r="AT7" s="45">
        <v>9.0</v>
      </c>
      <c r="AU7" s="45">
        <v>10.0</v>
      </c>
      <c r="AV7" s="45">
        <v>11.0</v>
      </c>
      <c r="AW7" s="45">
        <v>12.0</v>
      </c>
      <c r="AX7" s="45">
        <v>13.0</v>
      </c>
      <c r="AY7" s="45">
        <v>14.0</v>
      </c>
      <c r="AZ7" s="45">
        <v>15.0</v>
      </c>
      <c r="BA7" s="45">
        <v>16.0</v>
      </c>
      <c r="BB7" s="45">
        <v>17.0</v>
      </c>
      <c r="BC7" s="45">
        <v>18.0</v>
      </c>
      <c r="BD7" s="45">
        <v>19.0</v>
      </c>
      <c r="BE7" s="45">
        <v>20.0</v>
      </c>
      <c r="BF7" s="45">
        <v>21.0</v>
      </c>
      <c r="BG7" s="47"/>
      <c r="BH7" s="63"/>
      <c r="BI7" s="49">
        <v>1.0</v>
      </c>
      <c r="BJ7" s="49">
        <v>2.0</v>
      </c>
      <c r="BK7" s="49">
        <v>3.0</v>
      </c>
      <c r="BL7" s="49">
        <v>4.0</v>
      </c>
      <c r="BM7" s="49">
        <v>5.0</v>
      </c>
      <c r="BN7" s="49">
        <v>6.0</v>
      </c>
      <c r="BO7" s="49">
        <v>7.0</v>
      </c>
      <c r="BP7" s="49">
        <v>8.0</v>
      </c>
      <c r="BQ7" s="49">
        <v>9.0</v>
      </c>
      <c r="BR7" s="49">
        <v>10.0</v>
      </c>
      <c r="BS7" s="49">
        <v>11.0</v>
      </c>
      <c r="BT7" s="49">
        <v>12.0</v>
      </c>
      <c r="BU7" s="49">
        <v>13.0</v>
      </c>
      <c r="BV7" s="49">
        <v>14.0</v>
      </c>
      <c r="BW7" s="49">
        <v>15.0</v>
      </c>
      <c r="BX7" s="49">
        <v>16.0</v>
      </c>
      <c r="BY7" s="49">
        <v>17.0</v>
      </c>
      <c r="BZ7" s="49">
        <v>18.0</v>
      </c>
      <c r="CA7" s="49">
        <v>19.0</v>
      </c>
      <c r="CB7" s="49">
        <v>20.0</v>
      </c>
      <c r="CC7" s="49">
        <v>21.0</v>
      </c>
      <c r="CD7" s="49">
        <v>22.0</v>
      </c>
      <c r="CE7" s="47"/>
      <c r="CF7" s="47"/>
      <c r="CG7" s="49">
        <v>1.0</v>
      </c>
      <c r="CH7" s="49">
        <v>2.0</v>
      </c>
      <c r="CI7" s="49">
        <v>3.0</v>
      </c>
      <c r="CJ7" s="49">
        <v>4.0</v>
      </c>
      <c r="CK7" s="49">
        <v>5.0</v>
      </c>
      <c r="CL7" s="49">
        <v>6.0</v>
      </c>
      <c r="CM7" s="49">
        <v>7.0</v>
      </c>
      <c r="CN7" s="49">
        <v>8.0</v>
      </c>
      <c r="CO7" s="49">
        <v>9.0</v>
      </c>
      <c r="CP7" s="49">
        <v>10.0</v>
      </c>
      <c r="CQ7" s="49">
        <v>11.0</v>
      </c>
      <c r="CR7" s="49">
        <v>12.0</v>
      </c>
      <c r="CS7" s="49">
        <v>13.0</v>
      </c>
      <c r="CT7" s="49">
        <v>14.0</v>
      </c>
      <c r="CU7" s="49">
        <v>15.0</v>
      </c>
      <c r="CV7" s="49">
        <v>16.0</v>
      </c>
      <c r="CW7" s="55"/>
      <c r="CX7" s="55"/>
      <c r="CY7" s="69"/>
      <c r="CZ7" s="69"/>
      <c r="DA7" s="69"/>
      <c r="DB7" s="69"/>
      <c r="DC7" s="69"/>
      <c r="DD7" s="69"/>
      <c r="DE7" s="69"/>
      <c r="DF7" s="69"/>
      <c r="DG7" s="69"/>
      <c r="DH7" s="69"/>
      <c r="DI7" s="69"/>
      <c r="DJ7" s="69"/>
      <c r="DK7" s="55"/>
      <c r="DL7" s="55"/>
    </row>
    <row r="8" ht="78.75" customHeight="1">
      <c r="A8" s="56"/>
      <c r="B8" s="49"/>
      <c r="C8" s="49"/>
      <c r="D8" s="72" t="s">
        <v>17</v>
      </c>
      <c r="E8" s="73" t="s">
        <v>18</v>
      </c>
      <c r="F8" s="61" t="s">
        <v>19</v>
      </c>
      <c r="G8" s="61" t="s">
        <v>20</v>
      </c>
      <c r="H8" s="62">
        <v>46104.0</v>
      </c>
      <c r="I8" s="62">
        <v>46105.0</v>
      </c>
      <c r="J8" s="62">
        <v>46106.0</v>
      </c>
      <c r="K8" s="62">
        <v>46107.0</v>
      </c>
      <c r="L8" s="64">
        <v>46111.0</v>
      </c>
      <c r="M8" s="76" t="s">
        <v>29</v>
      </c>
      <c r="N8" s="78" t="s">
        <v>30</v>
      </c>
      <c r="O8" s="62">
        <v>46113.0</v>
      </c>
      <c r="P8" s="62">
        <v>46114.0</v>
      </c>
      <c r="Q8" s="62">
        <v>46115.0</v>
      </c>
      <c r="R8" s="62">
        <v>46118.0</v>
      </c>
      <c r="S8" s="62">
        <v>46119.0</v>
      </c>
      <c r="T8" s="62">
        <v>46120.0</v>
      </c>
      <c r="U8" s="62">
        <v>46121.0</v>
      </c>
      <c r="V8" s="62">
        <v>46122.0</v>
      </c>
      <c r="W8" s="62">
        <v>46125.0</v>
      </c>
      <c r="X8" s="62">
        <v>46127.0</v>
      </c>
      <c r="Y8" s="62">
        <v>46128.0</v>
      </c>
      <c r="Z8" s="62">
        <v>46129.0</v>
      </c>
      <c r="AA8" s="62">
        <v>46132.0</v>
      </c>
      <c r="AB8" s="62">
        <v>46133.0</v>
      </c>
      <c r="AC8" s="62">
        <v>46134.0</v>
      </c>
      <c r="AD8" s="62">
        <v>46135.0</v>
      </c>
      <c r="AE8" s="62">
        <v>46136.0</v>
      </c>
      <c r="AF8" s="62">
        <v>46139.0</v>
      </c>
      <c r="AG8" s="62">
        <v>46140.0</v>
      </c>
      <c r="AH8" s="62">
        <v>46141.0</v>
      </c>
      <c r="AI8" s="62">
        <v>46142.0</v>
      </c>
      <c r="AJ8" s="76" t="s">
        <v>34</v>
      </c>
      <c r="AK8" s="78" t="s">
        <v>35</v>
      </c>
      <c r="AL8" s="62">
        <v>46143.0</v>
      </c>
      <c r="AM8" s="62">
        <v>46146.0</v>
      </c>
      <c r="AN8" s="62">
        <v>46147.0</v>
      </c>
      <c r="AO8" s="62">
        <v>46148.0</v>
      </c>
      <c r="AP8" s="62">
        <v>46149.0</v>
      </c>
      <c r="AQ8" s="62">
        <v>46150.0</v>
      </c>
      <c r="AR8" s="62">
        <v>46153.0</v>
      </c>
      <c r="AS8" s="62">
        <v>46154.0</v>
      </c>
      <c r="AT8" s="62">
        <v>46155.0</v>
      </c>
      <c r="AU8" s="62">
        <v>46156.0</v>
      </c>
      <c r="AV8" s="62">
        <v>46157.0</v>
      </c>
      <c r="AW8" s="62">
        <v>46160.0</v>
      </c>
      <c r="AX8" s="62">
        <v>46161.0</v>
      </c>
      <c r="AY8" s="62">
        <v>46162.0</v>
      </c>
      <c r="AZ8" s="62">
        <v>46163.0</v>
      </c>
      <c r="BA8" s="62">
        <v>46164.0</v>
      </c>
      <c r="BB8" s="62">
        <v>46167.0</v>
      </c>
      <c r="BC8" s="62">
        <v>46168.0</v>
      </c>
      <c r="BD8" s="62">
        <v>46169.0</v>
      </c>
      <c r="BE8" s="62">
        <v>46170.0</v>
      </c>
      <c r="BF8" s="62">
        <v>46171.0</v>
      </c>
      <c r="BG8" s="70" t="s">
        <v>36</v>
      </c>
      <c r="BH8" s="82" t="s">
        <v>37</v>
      </c>
      <c r="BI8" s="62">
        <v>46174.0</v>
      </c>
      <c r="BJ8" s="62">
        <v>46175.0</v>
      </c>
      <c r="BK8" s="62">
        <v>46176.0</v>
      </c>
      <c r="BL8" s="62">
        <v>46177.0</v>
      </c>
      <c r="BM8" s="62">
        <v>46178.0</v>
      </c>
      <c r="BN8" s="62">
        <v>46181.0</v>
      </c>
      <c r="BO8" s="62">
        <v>46182.0</v>
      </c>
      <c r="BP8" s="62">
        <v>46183.0</v>
      </c>
      <c r="BQ8" s="62">
        <v>46184.0</v>
      </c>
      <c r="BR8" s="62">
        <v>46185.0</v>
      </c>
      <c r="BS8" s="64">
        <v>46188.0</v>
      </c>
      <c r="BT8" s="64">
        <v>46189.0</v>
      </c>
      <c r="BU8" s="64">
        <v>46190.0</v>
      </c>
      <c r="BV8" s="64">
        <v>46191.0</v>
      </c>
      <c r="BW8" s="64">
        <v>46192.0</v>
      </c>
      <c r="BX8" s="64">
        <v>46195.0</v>
      </c>
      <c r="BY8" s="64">
        <v>46196.0</v>
      </c>
      <c r="BZ8" s="64">
        <v>46197.0</v>
      </c>
      <c r="CA8" s="64">
        <v>46198.0</v>
      </c>
      <c r="CB8" s="64">
        <v>46199.0</v>
      </c>
      <c r="CC8" s="64">
        <v>46202.0</v>
      </c>
      <c r="CD8" s="64">
        <v>46203.0</v>
      </c>
      <c r="CE8" s="70" t="s">
        <v>39</v>
      </c>
      <c r="CF8" s="86" t="s">
        <v>41</v>
      </c>
      <c r="CG8" s="64">
        <v>46204.0</v>
      </c>
      <c r="CH8" s="64">
        <v>46205.0</v>
      </c>
      <c r="CI8" s="64">
        <v>46206.0</v>
      </c>
      <c r="CJ8" s="79"/>
      <c r="CK8" s="79"/>
      <c r="CL8" s="79"/>
      <c r="CM8" s="79"/>
      <c r="CN8" s="79"/>
      <c r="CO8" s="88"/>
      <c r="CP8" s="88"/>
      <c r="CQ8" s="88"/>
      <c r="CR8" s="88"/>
      <c r="CS8" s="88"/>
      <c r="CT8" s="89"/>
      <c r="CU8" s="88"/>
      <c r="CV8" s="88"/>
      <c r="CW8" s="70" t="s">
        <v>43</v>
      </c>
      <c r="CX8" s="86" t="s">
        <v>44</v>
      </c>
      <c r="CY8" s="90"/>
      <c r="CZ8" s="90"/>
      <c r="DA8" s="90"/>
      <c r="DB8" s="90"/>
      <c r="DC8" s="90"/>
      <c r="DD8" s="90"/>
      <c r="DE8" s="90"/>
      <c r="DF8" s="90"/>
      <c r="DG8" s="90"/>
      <c r="DH8" s="90"/>
      <c r="DI8" s="90"/>
      <c r="DJ8" s="90"/>
      <c r="DK8" s="70" t="s">
        <v>45</v>
      </c>
      <c r="DL8" s="86" t="s">
        <v>46</v>
      </c>
    </row>
    <row r="9">
      <c r="A9" s="84" t="s">
        <v>231</v>
      </c>
      <c r="B9" s="95" t="s">
        <v>48</v>
      </c>
      <c r="C9" s="97" t="s">
        <v>42</v>
      </c>
      <c r="D9" s="98">
        <f t="shared" ref="D9:D92" si="8">SUM(M9+AJ9+BG9+CE9+CW9+DK9)</f>
        <v>38</v>
      </c>
      <c r="E9" s="99"/>
      <c r="F9" s="100"/>
      <c r="G9" s="100"/>
      <c r="H9" s="101">
        <f t="shared" ref="H9:L9" si="1">SUM(H11:H92)</f>
        <v>0</v>
      </c>
      <c r="I9" s="101">
        <f t="shared" si="1"/>
        <v>0</v>
      </c>
      <c r="J9" s="101">
        <f t="shared" si="1"/>
        <v>0</v>
      </c>
      <c r="K9" s="101">
        <f t="shared" si="1"/>
        <v>0</v>
      </c>
      <c r="L9" s="101">
        <f t="shared" si="1"/>
        <v>0</v>
      </c>
      <c r="M9" s="104">
        <f>COUNTIF(H9:L9,"&gt;0")</f>
        <v>0</v>
      </c>
      <c r="N9" s="104">
        <f>COUNTIF(H9:K9,"&gt;0")</f>
        <v>0</v>
      </c>
      <c r="O9" s="105">
        <f t="shared" ref="O9:AI9" si="2">SUM(O11:O92)</f>
        <v>0</v>
      </c>
      <c r="P9" s="105">
        <f t="shared" si="2"/>
        <v>0</v>
      </c>
      <c r="Q9" s="105">
        <f t="shared" si="2"/>
        <v>0</v>
      </c>
      <c r="R9" s="105">
        <f t="shared" si="2"/>
        <v>0</v>
      </c>
      <c r="S9" s="105">
        <f t="shared" si="2"/>
        <v>0</v>
      </c>
      <c r="T9" s="105">
        <f t="shared" si="2"/>
        <v>0</v>
      </c>
      <c r="U9" s="105">
        <f t="shared" si="2"/>
        <v>0</v>
      </c>
      <c r="V9" s="105">
        <f t="shared" si="2"/>
        <v>0</v>
      </c>
      <c r="W9" s="105">
        <f t="shared" si="2"/>
        <v>32</v>
      </c>
      <c r="X9" s="105">
        <f t="shared" si="2"/>
        <v>38</v>
      </c>
      <c r="Y9" s="105">
        <f t="shared" si="2"/>
        <v>39</v>
      </c>
      <c r="Z9" s="105">
        <f t="shared" si="2"/>
        <v>0</v>
      </c>
      <c r="AA9" s="105">
        <f t="shared" si="2"/>
        <v>33</v>
      </c>
      <c r="AB9" s="105">
        <f t="shared" si="2"/>
        <v>50</v>
      </c>
      <c r="AC9" s="105">
        <f t="shared" si="2"/>
        <v>35</v>
      </c>
      <c r="AD9" s="105">
        <f t="shared" si="2"/>
        <v>0</v>
      </c>
      <c r="AE9" s="105">
        <f t="shared" si="2"/>
        <v>4</v>
      </c>
      <c r="AF9" s="105">
        <f t="shared" si="2"/>
        <v>43</v>
      </c>
      <c r="AG9" s="105">
        <f t="shared" si="2"/>
        <v>52</v>
      </c>
      <c r="AH9" s="105">
        <f t="shared" si="2"/>
        <v>43</v>
      </c>
      <c r="AI9" s="105">
        <f t="shared" si="2"/>
        <v>0</v>
      </c>
      <c r="AJ9" s="104">
        <f>COUNTIF(O9:AI9,"&gt;0")</f>
        <v>10</v>
      </c>
      <c r="AK9" s="108">
        <f>SUM(M9+AJ9)</f>
        <v>10</v>
      </c>
      <c r="AL9" s="105">
        <f t="shared" ref="AL9:BF9" si="3">SUM(AL11:AL92)</f>
        <v>30</v>
      </c>
      <c r="AM9" s="105">
        <f t="shared" si="3"/>
        <v>47</v>
      </c>
      <c r="AN9" s="105">
        <f t="shared" si="3"/>
        <v>38</v>
      </c>
      <c r="AO9" s="105">
        <f t="shared" si="3"/>
        <v>0</v>
      </c>
      <c r="AP9" s="105">
        <f t="shared" si="3"/>
        <v>0</v>
      </c>
      <c r="AQ9" s="105">
        <f t="shared" si="3"/>
        <v>20</v>
      </c>
      <c r="AR9" s="105">
        <f t="shared" si="3"/>
        <v>0</v>
      </c>
      <c r="AS9" s="105">
        <f t="shared" si="3"/>
        <v>41</v>
      </c>
      <c r="AT9" s="105">
        <f t="shared" si="3"/>
        <v>41</v>
      </c>
      <c r="AU9" s="105">
        <f t="shared" si="3"/>
        <v>0</v>
      </c>
      <c r="AV9" s="105">
        <f t="shared" si="3"/>
        <v>17</v>
      </c>
      <c r="AW9" s="105">
        <f t="shared" si="3"/>
        <v>0</v>
      </c>
      <c r="AX9" s="105">
        <f t="shared" si="3"/>
        <v>33</v>
      </c>
      <c r="AY9" s="105">
        <f t="shared" si="3"/>
        <v>59</v>
      </c>
      <c r="AZ9" s="105">
        <f t="shared" si="3"/>
        <v>0</v>
      </c>
      <c r="BA9" s="105">
        <f t="shared" si="3"/>
        <v>0</v>
      </c>
      <c r="BB9" s="105">
        <f t="shared" si="3"/>
        <v>38</v>
      </c>
      <c r="BC9" s="105">
        <f t="shared" si="3"/>
        <v>25</v>
      </c>
      <c r="BD9" s="105">
        <f t="shared" si="3"/>
        <v>26</v>
      </c>
      <c r="BE9" s="105">
        <f t="shared" si="3"/>
        <v>0</v>
      </c>
      <c r="BF9" s="105">
        <f t="shared" si="3"/>
        <v>0</v>
      </c>
      <c r="BG9" s="47">
        <f>COUNTIF(AM9:BF9,"&gt;0")</f>
        <v>11</v>
      </c>
      <c r="BH9" s="63">
        <f>SUM(AK9+BG9)</f>
        <v>21</v>
      </c>
      <c r="BI9" s="107">
        <f t="shared" ref="BI9:CD9" si="4">SUM(BI11:BI92)</f>
        <v>0</v>
      </c>
      <c r="BJ9" s="107">
        <f t="shared" si="4"/>
        <v>0</v>
      </c>
      <c r="BK9" s="107">
        <f t="shared" si="4"/>
        <v>0</v>
      </c>
      <c r="BL9" s="107">
        <f t="shared" si="4"/>
        <v>0</v>
      </c>
      <c r="BM9" s="107">
        <f t="shared" si="4"/>
        <v>0</v>
      </c>
      <c r="BN9" s="107">
        <f t="shared" si="4"/>
        <v>46</v>
      </c>
      <c r="BO9" s="107">
        <f t="shared" si="4"/>
        <v>46</v>
      </c>
      <c r="BP9" s="107">
        <f t="shared" si="4"/>
        <v>0</v>
      </c>
      <c r="BQ9" s="107">
        <f t="shared" si="4"/>
        <v>0</v>
      </c>
      <c r="BR9" s="107">
        <f t="shared" si="4"/>
        <v>13</v>
      </c>
      <c r="BS9" s="107">
        <f t="shared" si="4"/>
        <v>46</v>
      </c>
      <c r="BT9" s="107">
        <f t="shared" si="4"/>
        <v>15</v>
      </c>
      <c r="BU9" s="107">
        <f t="shared" si="4"/>
        <v>36</v>
      </c>
      <c r="BV9" s="107">
        <f t="shared" si="4"/>
        <v>0</v>
      </c>
      <c r="BW9" s="107">
        <f t="shared" si="4"/>
        <v>65</v>
      </c>
      <c r="BX9" s="107">
        <f t="shared" si="4"/>
        <v>65</v>
      </c>
      <c r="BY9" s="107">
        <f t="shared" si="4"/>
        <v>52</v>
      </c>
      <c r="BZ9" s="107">
        <f t="shared" si="4"/>
        <v>48</v>
      </c>
      <c r="CA9" s="107">
        <f t="shared" si="4"/>
        <v>41</v>
      </c>
      <c r="CB9" s="107">
        <f t="shared" si="4"/>
        <v>29</v>
      </c>
      <c r="CC9" s="107">
        <f t="shared" si="4"/>
        <v>38</v>
      </c>
      <c r="CD9" s="107">
        <f t="shared" si="4"/>
        <v>66</v>
      </c>
      <c r="CE9" s="47">
        <f>COUNTIF(BI9:CD9,"&gt;0")</f>
        <v>14</v>
      </c>
      <c r="CF9" s="115">
        <f>SUM(BH9+CE9)</f>
        <v>35</v>
      </c>
      <c r="CG9" s="117">
        <f t="shared" ref="CG9:CR9" si="5">SUM(CG11:CG85)</f>
        <v>48</v>
      </c>
      <c r="CH9" s="107">
        <f t="shared" si="5"/>
        <v>47</v>
      </c>
      <c r="CI9" s="107">
        <f t="shared" si="5"/>
        <v>12</v>
      </c>
      <c r="CJ9" s="107">
        <f t="shared" si="5"/>
        <v>0</v>
      </c>
      <c r="CK9" s="107">
        <f t="shared" si="5"/>
        <v>0</v>
      </c>
      <c r="CL9" s="107">
        <f t="shared" si="5"/>
        <v>0</v>
      </c>
      <c r="CM9" s="107">
        <f t="shared" si="5"/>
        <v>0</v>
      </c>
      <c r="CN9" s="107">
        <f t="shared" si="5"/>
        <v>0</v>
      </c>
      <c r="CO9" s="107">
        <f t="shared" si="5"/>
        <v>0</v>
      </c>
      <c r="CP9" s="107">
        <f t="shared" si="5"/>
        <v>0</v>
      </c>
      <c r="CQ9" s="107">
        <f t="shared" si="5"/>
        <v>0</v>
      </c>
      <c r="CR9" s="107">
        <f t="shared" si="5"/>
        <v>0</v>
      </c>
      <c r="CS9" s="107">
        <f t="shared" ref="CS9:CT9" si="6">SUM(CS10:CS92)</f>
        <v>0</v>
      </c>
      <c r="CT9" s="107">
        <f t="shared" si="6"/>
        <v>0</v>
      </c>
      <c r="CU9" s="107">
        <f>SUM(CU11:CU92)</f>
        <v>0</v>
      </c>
      <c r="CV9" s="117">
        <f>SUM(CV11:CV85)</f>
        <v>0</v>
      </c>
      <c r="CW9" s="109">
        <f>COUNTIF(CG9:CV9,"&gt;0")</f>
        <v>3</v>
      </c>
      <c r="CX9" s="123">
        <f>SUM(CF9+CW9)</f>
        <v>38</v>
      </c>
      <c r="CY9" s="117">
        <f t="shared" ref="CY9:DJ9" si="7">SUM(CY11:CY85)</f>
        <v>0</v>
      </c>
      <c r="CZ9" s="117">
        <f t="shared" si="7"/>
        <v>0</v>
      </c>
      <c r="DA9" s="117">
        <f t="shared" si="7"/>
        <v>0</v>
      </c>
      <c r="DB9" s="117">
        <f t="shared" si="7"/>
        <v>0</v>
      </c>
      <c r="DC9" s="117">
        <f t="shared" si="7"/>
        <v>0</v>
      </c>
      <c r="DD9" s="117">
        <f t="shared" si="7"/>
        <v>0</v>
      </c>
      <c r="DE9" s="117">
        <f t="shared" si="7"/>
        <v>0</v>
      </c>
      <c r="DF9" s="117">
        <f t="shared" si="7"/>
        <v>0</v>
      </c>
      <c r="DG9" s="117">
        <f t="shared" si="7"/>
        <v>0</v>
      </c>
      <c r="DH9" s="117">
        <f t="shared" si="7"/>
        <v>0</v>
      </c>
      <c r="DI9" s="117">
        <f t="shared" si="7"/>
        <v>0</v>
      </c>
      <c r="DJ9" s="117">
        <f t="shared" si="7"/>
        <v>0</v>
      </c>
      <c r="DK9" s="109">
        <f>COUNTIF(CY9:DJ9,"&gt;0")</f>
        <v>0</v>
      </c>
      <c r="DL9" s="123">
        <f>SUM(CX9+DK9)</f>
        <v>38</v>
      </c>
    </row>
    <row r="10">
      <c r="A10" s="50">
        <v>1.0</v>
      </c>
      <c r="B10" s="126" t="s">
        <v>51</v>
      </c>
      <c r="C10" s="127" t="s">
        <v>52</v>
      </c>
      <c r="D10" s="98">
        <f t="shared" si="8"/>
        <v>0</v>
      </c>
      <c r="E10" s="130">
        <f t="shared" ref="E10:E92" si="9">(D10)/D$9*100</f>
        <v>0</v>
      </c>
      <c r="F10" s="132">
        <f t="shared" ref="F10:F92" si="10">IF(E10&lt;50,E10, "  ")</f>
        <v>0</v>
      </c>
      <c r="G10" s="134">
        <f t="shared" ref="G10:G92" si="11">IF(E10&lt;30,E10, "  ")</f>
        <v>0</v>
      </c>
      <c r="H10" s="136"/>
      <c r="I10" s="136"/>
      <c r="J10" s="136"/>
      <c r="K10" s="136"/>
      <c r="L10" s="137"/>
      <c r="M10" s="139">
        <f t="shared" ref="M10:M92" si="12">SUM(H10:L10)</f>
        <v>0</v>
      </c>
      <c r="N10" s="140" t="str">
        <f t="shared" ref="N10:N92" si="13">M10/M$9*100</f>
        <v>#DIV/0!</v>
      </c>
      <c r="O10" s="141"/>
      <c r="P10" s="141"/>
      <c r="Q10" s="116"/>
      <c r="R10" s="141"/>
      <c r="S10" s="141"/>
      <c r="T10" s="141"/>
      <c r="U10" s="141"/>
      <c r="V10" s="141"/>
      <c r="W10" s="177"/>
      <c r="X10" s="177"/>
      <c r="Y10" s="177"/>
      <c r="Z10" s="142"/>
      <c r="AA10" s="143"/>
      <c r="AB10" s="141"/>
      <c r="AC10" s="141"/>
      <c r="AD10" s="144"/>
      <c r="AE10" s="144"/>
      <c r="AF10" s="138"/>
      <c r="AG10" s="144"/>
      <c r="AH10" s="144"/>
      <c r="AI10" s="144"/>
      <c r="AJ10" s="139">
        <f t="shared" ref="AJ10:AJ92" si="14">SUM(O10:AI10)</f>
        <v>0</v>
      </c>
      <c r="AK10" s="140">
        <f t="shared" ref="AK10:AK92" si="15">AJ10/AJ$9*100</f>
        <v>0</v>
      </c>
      <c r="AL10" s="147"/>
      <c r="AM10" s="177"/>
      <c r="AN10" s="141"/>
      <c r="AO10" s="141"/>
      <c r="AP10" s="141"/>
      <c r="AQ10" s="141"/>
      <c r="AR10" s="141"/>
      <c r="AS10" s="148"/>
      <c r="AT10" s="141"/>
      <c r="AU10" s="141"/>
      <c r="AV10" s="141"/>
      <c r="AW10" s="141"/>
      <c r="AX10" s="141"/>
      <c r="AY10" s="141"/>
      <c r="AZ10" s="136"/>
      <c r="BA10" s="136"/>
      <c r="BB10" s="137"/>
      <c r="BC10" s="137"/>
      <c r="BD10" s="137"/>
      <c r="BE10" s="137"/>
      <c r="BF10" s="137"/>
      <c r="BG10" s="139">
        <f t="shared" ref="BG10:BG92" si="16">SUM(AM10:BF10)</f>
        <v>0</v>
      </c>
      <c r="BH10" s="152">
        <f t="shared" ref="BH10:BH92" si="17">BG10/BG$9*100</f>
        <v>0</v>
      </c>
      <c r="BI10" s="141"/>
      <c r="BJ10" s="136"/>
      <c r="BK10" s="136"/>
      <c r="BL10" s="141"/>
      <c r="BM10" s="141"/>
      <c r="BN10" s="141"/>
      <c r="BO10" s="141"/>
      <c r="BP10" s="141"/>
      <c r="BQ10" s="147"/>
      <c r="BR10" s="148"/>
      <c r="BS10" s="144"/>
      <c r="BT10" s="142"/>
      <c r="BU10" s="153"/>
      <c r="BV10" s="153"/>
      <c r="BW10" s="281"/>
      <c r="BX10" s="144"/>
      <c r="BY10" s="141"/>
      <c r="BZ10" s="144"/>
      <c r="CA10" s="116"/>
      <c r="CB10" s="144"/>
      <c r="CC10" s="144"/>
      <c r="CD10" s="144"/>
      <c r="CE10" s="124">
        <f t="shared" ref="CE10:CE92" si="18">SUM(BI10:CD10)</f>
        <v>0</v>
      </c>
      <c r="CF10" s="159">
        <f t="shared" ref="CF10:CF92" si="19">CE10/CE$9*100</f>
        <v>0</v>
      </c>
      <c r="CG10" s="160"/>
      <c r="CH10" s="43"/>
      <c r="CI10" s="43"/>
      <c r="CJ10" s="43"/>
      <c r="CK10" s="43"/>
      <c r="CL10" s="43"/>
      <c r="CM10" s="163"/>
      <c r="CN10" s="163"/>
      <c r="CO10" s="163"/>
      <c r="CP10" s="166"/>
      <c r="CQ10" s="166"/>
      <c r="CR10" s="166"/>
      <c r="CS10" s="166"/>
      <c r="CT10" s="166"/>
      <c r="CU10" s="166"/>
      <c r="CV10" s="167"/>
      <c r="CW10" s="128">
        <f t="shared" ref="CW10:CW92" si="20">SUM(CG10:CV10)</f>
        <v>0</v>
      </c>
      <c r="CX10" s="170">
        <f t="shared" ref="CX10:CX92" si="21">CW10/CW$9*100</f>
        <v>0</v>
      </c>
      <c r="CY10" s="171"/>
      <c r="CZ10" s="171"/>
      <c r="DA10" s="171"/>
      <c r="DB10" s="171"/>
      <c r="DC10" s="171"/>
      <c r="DD10" s="171"/>
      <c r="DE10" s="171"/>
      <c r="DF10" s="171"/>
      <c r="DG10" s="171"/>
      <c r="DH10" s="171"/>
      <c r="DI10" s="171"/>
      <c r="DJ10" s="171"/>
      <c r="DK10" s="128">
        <f t="shared" ref="DK10:DK92" si="22">SUM(CY10:DJ10)</f>
        <v>0</v>
      </c>
      <c r="DL10" s="129" t="str">
        <f t="shared" ref="DL10:DL92" si="23">DK10/DK$9*100</f>
        <v>#DIV/0!</v>
      </c>
    </row>
    <row r="11">
      <c r="A11" s="131">
        <v>2.0</v>
      </c>
      <c r="B11" s="111" t="s">
        <v>53</v>
      </c>
      <c r="C11" s="112" t="s">
        <v>61</v>
      </c>
      <c r="D11" s="98">
        <f t="shared" si="8"/>
        <v>30</v>
      </c>
      <c r="E11" s="130">
        <f t="shared" si="9"/>
        <v>78.94736842</v>
      </c>
      <c r="F11" s="132" t="str">
        <f t="shared" si="10"/>
        <v>  </v>
      </c>
      <c r="G11" s="178" t="str">
        <f t="shared" si="11"/>
        <v>  </v>
      </c>
      <c r="H11" s="180"/>
      <c r="I11" s="180"/>
      <c r="J11" s="180"/>
      <c r="K11" s="180"/>
      <c r="L11" s="181"/>
      <c r="M11" s="139">
        <f t="shared" si="12"/>
        <v>0</v>
      </c>
      <c r="N11" s="140" t="str">
        <f t="shared" si="13"/>
        <v>#DIV/0!</v>
      </c>
      <c r="O11" s="116"/>
      <c r="P11" s="116"/>
      <c r="Q11" s="116"/>
      <c r="R11" s="116"/>
      <c r="S11" s="116"/>
      <c r="T11" s="116"/>
      <c r="U11" s="116"/>
      <c r="V11" s="116"/>
      <c r="W11" s="116"/>
      <c r="X11" s="138">
        <v>1.0</v>
      </c>
      <c r="Y11" s="138">
        <v>1.0</v>
      </c>
      <c r="Z11" s="185"/>
      <c r="AA11" s="187">
        <v>1.0</v>
      </c>
      <c r="AB11" s="138">
        <v>1.0</v>
      </c>
      <c r="AC11" s="116"/>
      <c r="AD11" s="116"/>
      <c r="AE11" s="116"/>
      <c r="AF11" s="196">
        <v>1.0</v>
      </c>
      <c r="AG11" s="188">
        <v>1.0</v>
      </c>
      <c r="AH11" s="138">
        <v>1.0</v>
      </c>
      <c r="AI11" s="116"/>
      <c r="AJ11" s="139">
        <f t="shared" si="14"/>
        <v>7</v>
      </c>
      <c r="AK11" s="140">
        <f t="shared" si="15"/>
        <v>70</v>
      </c>
      <c r="AL11" s="220">
        <v>1.0</v>
      </c>
      <c r="AM11" s="138">
        <v>1.0</v>
      </c>
      <c r="AN11" s="116"/>
      <c r="AO11" s="116"/>
      <c r="AP11" s="116"/>
      <c r="AQ11" s="116"/>
      <c r="AR11" s="116"/>
      <c r="AS11" s="166"/>
      <c r="AT11" s="138">
        <v>1.0</v>
      </c>
      <c r="AU11" s="116"/>
      <c r="AV11" s="116"/>
      <c r="AW11" s="116"/>
      <c r="AX11" s="138">
        <v>1.0</v>
      </c>
      <c r="AY11" s="138">
        <v>1.0</v>
      </c>
      <c r="AZ11" s="116"/>
      <c r="BA11" s="180"/>
      <c r="BB11" s="116"/>
      <c r="BC11" s="138">
        <v>1.0</v>
      </c>
      <c r="BD11" s="188">
        <v>1.0</v>
      </c>
      <c r="BE11" s="194"/>
      <c r="BF11" s="194"/>
      <c r="BG11" s="139">
        <f t="shared" si="16"/>
        <v>6</v>
      </c>
      <c r="BH11" s="152">
        <f t="shared" si="17"/>
        <v>54.54545455</v>
      </c>
      <c r="BI11" s="116"/>
      <c r="BJ11" s="116"/>
      <c r="BK11" s="180"/>
      <c r="BL11" s="116"/>
      <c r="BM11" s="116"/>
      <c r="BN11" s="138">
        <v>1.0</v>
      </c>
      <c r="BO11" s="138">
        <v>1.0</v>
      </c>
      <c r="BP11" s="116"/>
      <c r="BQ11" s="116"/>
      <c r="BR11" s="191">
        <v>1.0</v>
      </c>
      <c r="BS11" s="196">
        <v>1.0</v>
      </c>
      <c r="BT11" s="138">
        <v>1.0</v>
      </c>
      <c r="BU11" s="145">
        <v>1.0</v>
      </c>
      <c r="BV11" s="116"/>
      <c r="BW11" s="282">
        <v>1.0</v>
      </c>
      <c r="BX11" s="188">
        <v>1.0</v>
      </c>
      <c r="BY11" s="138">
        <v>1.0</v>
      </c>
      <c r="BZ11" s="188">
        <v>1.0</v>
      </c>
      <c r="CA11" s="138">
        <v>1.0</v>
      </c>
      <c r="CB11" s="138">
        <v>1.0</v>
      </c>
      <c r="CC11" s="188">
        <v>1.0</v>
      </c>
      <c r="CD11" s="188">
        <v>1.0</v>
      </c>
      <c r="CE11" s="124">
        <f t="shared" si="18"/>
        <v>14</v>
      </c>
      <c r="CF11" s="159">
        <f t="shared" si="19"/>
        <v>100</v>
      </c>
      <c r="CG11" s="138">
        <v>1.0</v>
      </c>
      <c r="CH11" s="138">
        <v>1.0</v>
      </c>
      <c r="CI11" s="145">
        <v>1.0</v>
      </c>
      <c r="CJ11" s="116"/>
      <c r="CK11" s="116"/>
      <c r="CL11" s="43"/>
      <c r="CM11" s="116"/>
      <c r="CN11" s="163"/>
      <c r="CO11" s="116"/>
      <c r="CP11" s="116"/>
      <c r="CQ11" s="116"/>
      <c r="CR11" s="116"/>
      <c r="CS11" s="116"/>
      <c r="CT11" s="116"/>
      <c r="CU11" s="116"/>
      <c r="CV11" s="194"/>
      <c r="CW11" s="128">
        <f t="shared" si="20"/>
        <v>3</v>
      </c>
      <c r="CX11" s="170">
        <f t="shared" si="21"/>
        <v>100</v>
      </c>
      <c r="CY11" s="171"/>
      <c r="CZ11" s="171"/>
      <c r="DA11" s="171"/>
      <c r="DB11" s="171"/>
      <c r="DC11" s="171"/>
      <c r="DD11" s="171"/>
      <c r="DE11" s="171"/>
      <c r="DF11" s="171"/>
      <c r="DG11" s="171"/>
      <c r="DH11" s="171"/>
      <c r="DI11" s="171"/>
      <c r="DJ11" s="171"/>
      <c r="DK11" s="128">
        <f t="shared" si="22"/>
        <v>0</v>
      </c>
      <c r="DL11" s="129" t="str">
        <f t="shared" si="23"/>
        <v>#DIV/0!</v>
      </c>
    </row>
    <row r="12" ht="16.5" customHeight="1">
      <c r="A12" s="146">
        <v>3.0</v>
      </c>
      <c r="B12" s="111" t="s">
        <v>55</v>
      </c>
      <c r="C12" s="112" t="s">
        <v>56</v>
      </c>
      <c r="D12" s="98">
        <f t="shared" si="8"/>
        <v>20</v>
      </c>
      <c r="E12" s="130">
        <f t="shared" si="9"/>
        <v>52.63157895</v>
      </c>
      <c r="F12" s="114" t="str">
        <f t="shared" si="10"/>
        <v>  </v>
      </c>
      <c r="G12" s="149" t="str">
        <f t="shared" si="11"/>
        <v>  </v>
      </c>
      <c r="H12" s="180"/>
      <c r="I12" s="203"/>
      <c r="J12" s="180"/>
      <c r="K12" s="180"/>
      <c r="L12" s="204"/>
      <c r="M12" s="139">
        <f t="shared" si="12"/>
        <v>0</v>
      </c>
      <c r="N12" s="140" t="str">
        <f t="shared" si="13"/>
        <v>#DIV/0!</v>
      </c>
      <c r="O12" s="116"/>
      <c r="P12" s="116"/>
      <c r="Q12" s="116"/>
      <c r="R12" s="116"/>
      <c r="S12" s="116"/>
      <c r="T12" s="116"/>
      <c r="U12" s="116"/>
      <c r="V12" s="116"/>
      <c r="W12" s="116"/>
      <c r="X12" s="138">
        <v>1.0</v>
      </c>
      <c r="Y12" s="138">
        <v>1.0</v>
      </c>
      <c r="Z12" s="185"/>
      <c r="AA12" s="187">
        <v>1.0</v>
      </c>
      <c r="AB12" s="138">
        <v>1.0</v>
      </c>
      <c r="AC12" s="138">
        <v>1.0</v>
      </c>
      <c r="AD12" s="116"/>
      <c r="AE12" s="116"/>
      <c r="AF12" s="196">
        <v>1.0</v>
      </c>
      <c r="AG12" s="165"/>
      <c r="AH12" s="196">
        <v>1.0</v>
      </c>
      <c r="AI12" s="165"/>
      <c r="AJ12" s="139">
        <f t="shared" si="14"/>
        <v>7</v>
      </c>
      <c r="AK12" s="205">
        <f t="shared" si="15"/>
        <v>70</v>
      </c>
      <c r="AL12" s="116"/>
      <c r="AM12" s="138">
        <v>1.0</v>
      </c>
      <c r="AN12" s="138">
        <v>1.0</v>
      </c>
      <c r="AO12" s="116"/>
      <c r="AP12" s="116"/>
      <c r="AQ12" s="116"/>
      <c r="AR12" s="116"/>
      <c r="AS12" s="191">
        <v>1.0</v>
      </c>
      <c r="AT12" s="116"/>
      <c r="AU12" s="116"/>
      <c r="AV12" s="116"/>
      <c r="AW12" s="116"/>
      <c r="AX12" s="138">
        <v>1.0</v>
      </c>
      <c r="AY12" s="138">
        <v>2.0</v>
      </c>
      <c r="AZ12" s="180"/>
      <c r="BA12" s="180"/>
      <c r="BB12" s="204"/>
      <c r="BC12" s="204"/>
      <c r="BD12" s="181"/>
      <c r="BE12" s="181"/>
      <c r="BF12" s="181"/>
      <c r="BG12" s="139">
        <f t="shared" si="16"/>
        <v>6</v>
      </c>
      <c r="BH12" s="208">
        <f t="shared" si="17"/>
        <v>54.54545455</v>
      </c>
      <c r="BI12" s="116"/>
      <c r="BJ12" s="180"/>
      <c r="BK12" s="180"/>
      <c r="BL12" s="116"/>
      <c r="BM12" s="116"/>
      <c r="BN12" s="116"/>
      <c r="BO12" s="116"/>
      <c r="BP12" s="116"/>
      <c r="BQ12" s="211"/>
      <c r="BR12" s="166"/>
      <c r="BS12" s="116"/>
      <c r="BT12" s="138">
        <v>1.0</v>
      </c>
      <c r="BU12" s="145">
        <v>1.0</v>
      </c>
      <c r="BV12" s="43"/>
      <c r="BW12" s="268">
        <v>1.0</v>
      </c>
      <c r="BX12" s="196">
        <v>1.0</v>
      </c>
      <c r="BY12" s="138">
        <v>1.0</v>
      </c>
      <c r="BZ12" s="165"/>
      <c r="CA12" s="116"/>
      <c r="CB12" s="165"/>
      <c r="CC12" s="165"/>
      <c r="CD12" s="196">
        <v>1.0</v>
      </c>
      <c r="CE12" s="124">
        <f t="shared" si="18"/>
        <v>6</v>
      </c>
      <c r="CF12" s="173">
        <f t="shared" si="19"/>
        <v>42.85714286</v>
      </c>
      <c r="CG12" s="138">
        <v>1.0</v>
      </c>
      <c r="CH12" s="116"/>
      <c r="CI12" s="43"/>
      <c r="CJ12" s="116"/>
      <c r="CK12" s="43"/>
      <c r="CL12" s="43"/>
      <c r="CM12" s="163"/>
      <c r="CN12" s="163"/>
      <c r="CO12" s="163"/>
      <c r="CP12" s="166"/>
      <c r="CQ12" s="166"/>
      <c r="CR12" s="166"/>
      <c r="CS12" s="166"/>
      <c r="CT12" s="116"/>
      <c r="CU12" s="116"/>
      <c r="CV12" s="213"/>
      <c r="CW12" s="128">
        <f t="shared" si="20"/>
        <v>1</v>
      </c>
      <c r="CX12" s="214">
        <f t="shared" si="21"/>
        <v>33.33333333</v>
      </c>
      <c r="CY12" s="171"/>
      <c r="CZ12" s="171"/>
      <c r="DA12" s="171"/>
      <c r="DB12" s="171"/>
      <c r="DC12" s="171"/>
      <c r="DD12" s="171"/>
      <c r="DE12" s="171"/>
      <c r="DF12" s="171"/>
      <c r="DG12" s="171"/>
      <c r="DH12" s="171"/>
      <c r="DI12" s="171"/>
      <c r="DJ12" s="171"/>
      <c r="DK12" s="128">
        <f t="shared" si="22"/>
        <v>0</v>
      </c>
      <c r="DL12" s="158" t="str">
        <f t="shared" si="23"/>
        <v>#DIV/0!</v>
      </c>
    </row>
    <row r="13">
      <c r="A13" s="50">
        <v>4.0</v>
      </c>
      <c r="B13" s="161" t="s">
        <v>57</v>
      </c>
      <c r="C13" s="162" t="s">
        <v>58</v>
      </c>
      <c r="D13" s="98">
        <f t="shared" si="8"/>
        <v>23</v>
      </c>
      <c r="E13" s="130">
        <f t="shared" si="9"/>
        <v>60.52631579</v>
      </c>
      <c r="F13" s="114" t="str">
        <f t="shared" si="10"/>
        <v>  </v>
      </c>
      <c r="G13" s="149" t="str">
        <f t="shared" si="11"/>
        <v>  </v>
      </c>
      <c r="H13" s="180"/>
      <c r="I13" s="180"/>
      <c r="J13" s="180"/>
      <c r="K13" s="180"/>
      <c r="L13" s="204"/>
      <c r="M13" s="139">
        <f t="shared" si="12"/>
        <v>0</v>
      </c>
      <c r="N13" s="140" t="str">
        <f t="shared" si="13"/>
        <v>#DIV/0!</v>
      </c>
      <c r="O13" s="116"/>
      <c r="P13" s="116"/>
      <c r="Q13" s="180"/>
      <c r="R13" s="116"/>
      <c r="S13" s="116"/>
      <c r="T13" s="116"/>
      <c r="U13" s="116"/>
      <c r="V13" s="116"/>
      <c r="W13" s="116"/>
      <c r="X13" s="138">
        <v>1.0</v>
      </c>
      <c r="Y13" s="138">
        <v>1.0</v>
      </c>
      <c r="Z13" s="185"/>
      <c r="AA13" s="187">
        <v>1.0</v>
      </c>
      <c r="AB13" s="138">
        <v>1.0</v>
      </c>
      <c r="AC13" s="138">
        <v>1.0</v>
      </c>
      <c r="AD13" s="116"/>
      <c r="AE13" s="116"/>
      <c r="AF13" s="138">
        <v>1.0</v>
      </c>
      <c r="AG13" s="196">
        <v>1.0</v>
      </c>
      <c r="AH13" s="196">
        <v>1.0</v>
      </c>
      <c r="AI13" s="165"/>
      <c r="AJ13" s="139">
        <f t="shared" si="14"/>
        <v>8</v>
      </c>
      <c r="AK13" s="205">
        <f t="shared" si="15"/>
        <v>80</v>
      </c>
      <c r="AL13" s="116"/>
      <c r="AM13" s="138">
        <v>1.0</v>
      </c>
      <c r="AN13" s="138">
        <v>1.0</v>
      </c>
      <c r="AO13" s="116"/>
      <c r="AP13" s="116"/>
      <c r="AQ13" s="116"/>
      <c r="AR13" s="116"/>
      <c r="AS13" s="191">
        <v>1.0</v>
      </c>
      <c r="AT13" s="116"/>
      <c r="AU13" s="116"/>
      <c r="AV13" s="116"/>
      <c r="AW13" s="116"/>
      <c r="AX13" s="138">
        <v>1.0</v>
      </c>
      <c r="AY13" s="138">
        <v>2.0</v>
      </c>
      <c r="AZ13" s="180"/>
      <c r="BA13" s="180"/>
      <c r="BB13" s="204"/>
      <c r="BC13" s="204"/>
      <c r="BD13" s="181"/>
      <c r="BE13" s="181"/>
      <c r="BF13" s="181"/>
      <c r="BG13" s="139">
        <f t="shared" si="16"/>
        <v>6</v>
      </c>
      <c r="BH13" s="208">
        <f t="shared" si="17"/>
        <v>54.54545455</v>
      </c>
      <c r="BI13" s="116"/>
      <c r="BJ13" s="180"/>
      <c r="BK13" s="180"/>
      <c r="BL13" s="116"/>
      <c r="BM13" s="116"/>
      <c r="BN13" s="138">
        <v>1.0</v>
      </c>
      <c r="BO13" s="138">
        <v>1.0</v>
      </c>
      <c r="BP13" s="116"/>
      <c r="BQ13" s="211"/>
      <c r="BR13" s="166"/>
      <c r="BS13" s="116"/>
      <c r="BT13" s="138">
        <v>1.0</v>
      </c>
      <c r="BU13" s="145">
        <v>1.0</v>
      </c>
      <c r="BV13" s="43"/>
      <c r="BW13" s="268">
        <v>1.0</v>
      </c>
      <c r="BX13" s="196">
        <v>1.0</v>
      </c>
      <c r="BY13" s="138">
        <v>1.0</v>
      </c>
      <c r="BZ13" s="165"/>
      <c r="CA13" s="116"/>
      <c r="CB13" s="165"/>
      <c r="CC13" s="165"/>
      <c r="CD13" s="196">
        <v>1.0</v>
      </c>
      <c r="CE13" s="124">
        <f t="shared" si="18"/>
        <v>8</v>
      </c>
      <c r="CF13" s="173">
        <f t="shared" si="19"/>
        <v>57.14285714</v>
      </c>
      <c r="CG13" s="138">
        <v>1.0</v>
      </c>
      <c r="CH13" s="116"/>
      <c r="CI13" s="43"/>
      <c r="CJ13" s="116"/>
      <c r="CK13" s="116"/>
      <c r="CL13" s="43"/>
      <c r="CM13" s="163"/>
      <c r="CN13" s="116"/>
      <c r="CO13" s="116"/>
      <c r="CP13" s="166"/>
      <c r="CQ13" s="213"/>
      <c r="CR13" s="213"/>
      <c r="CS13" s="116"/>
      <c r="CT13" s="116"/>
      <c r="CU13" s="116"/>
      <c r="CV13" s="213"/>
      <c r="CW13" s="128">
        <f t="shared" si="20"/>
        <v>1</v>
      </c>
      <c r="CX13" s="214">
        <f t="shared" si="21"/>
        <v>33.33333333</v>
      </c>
      <c r="CY13" s="171"/>
      <c r="CZ13" s="171"/>
      <c r="DA13" s="171"/>
      <c r="DB13" s="171"/>
      <c r="DC13" s="171"/>
      <c r="DD13" s="171"/>
      <c r="DE13" s="171"/>
      <c r="DF13" s="171"/>
      <c r="DG13" s="171"/>
      <c r="DH13" s="171"/>
      <c r="DI13" s="171"/>
      <c r="DJ13" s="171"/>
      <c r="DK13" s="128">
        <f t="shared" si="22"/>
        <v>0</v>
      </c>
      <c r="DL13" s="158" t="str">
        <f t="shared" si="23"/>
        <v>#DIV/0!</v>
      </c>
    </row>
    <row r="14">
      <c r="A14" s="131">
        <v>5.0</v>
      </c>
      <c r="B14" s="111" t="s">
        <v>59</v>
      </c>
      <c r="C14" s="112" t="s">
        <v>60</v>
      </c>
      <c r="D14" s="98">
        <f t="shared" si="8"/>
        <v>27</v>
      </c>
      <c r="E14" s="130">
        <f t="shared" si="9"/>
        <v>71.05263158</v>
      </c>
      <c r="F14" s="114" t="str">
        <f t="shared" si="10"/>
        <v>  </v>
      </c>
      <c r="G14" s="149" t="str">
        <f t="shared" si="11"/>
        <v>  </v>
      </c>
      <c r="H14" s="180"/>
      <c r="I14" s="180"/>
      <c r="J14" s="221"/>
      <c r="K14" s="180"/>
      <c r="L14" s="204"/>
      <c r="M14" s="139">
        <f t="shared" si="12"/>
        <v>0</v>
      </c>
      <c r="N14" s="140" t="str">
        <f t="shared" si="13"/>
        <v>#DIV/0!</v>
      </c>
      <c r="O14" s="116"/>
      <c r="P14" s="116"/>
      <c r="Q14" s="116"/>
      <c r="R14" s="179"/>
      <c r="S14" s="116"/>
      <c r="T14" s="116"/>
      <c r="U14" s="116"/>
      <c r="V14" s="179"/>
      <c r="W14" s="138">
        <v>1.0</v>
      </c>
      <c r="X14" s="138">
        <v>1.0</v>
      </c>
      <c r="Y14" s="184">
        <v>1.0</v>
      </c>
      <c r="Z14" s="185"/>
      <c r="AA14" s="187">
        <v>1.0</v>
      </c>
      <c r="AB14" s="138">
        <v>1.0</v>
      </c>
      <c r="AC14" s="179"/>
      <c r="AD14" s="116"/>
      <c r="AE14" s="116"/>
      <c r="AF14" s="138">
        <v>1.0</v>
      </c>
      <c r="AG14" s="182">
        <v>1.0</v>
      </c>
      <c r="AH14" s="138">
        <v>1.0</v>
      </c>
      <c r="AI14" s="116"/>
      <c r="AJ14" s="139">
        <f t="shared" si="14"/>
        <v>8</v>
      </c>
      <c r="AK14" s="205">
        <f t="shared" si="15"/>
        <v>80</v>
      </c>
      <c r="AL14" s="235">
        <v>1.0</v>
      </c>
      <c r="AM14" s="179"/>
      <c r="AN14" s="179"/>
      <c r="AO14" s="116"/>
      <c r="AP14" s="116"/>
      <c r="AQ14" s="116"/>
      <c r="AR14" s="116"/>
      <c r="AS14" s="166"/>
      <c r="AT14" s="138">
        <v>1.0</v>
      </c>
      <c r="AU14" s="116"/>
      <c r="AV14" s="138">
        <v>1.0</v>
      </c>
      <c r="AW14" s="179"/>
      <c r="AX14" s="138">
        <v>1.0</v>
      </c>
      <c r="AY14" s="138">
        <v>2.0</v>
      </c>
      <c r="AZ14" s="116"/>
      <c r="BA14" s="180"/>
      <c r="BB14" s="138">
        <v>1.0</v>
      </c>
      <c r="BC14" s="138">
        <v>1.0</v>
      </c>
      <c r="BD14" s="188">
        <v>1.0</v>
      </c>
      <c r="BE14" s="194"/>
      <c r="BF14" s="194"/>
      <c r="BG14" s="139">
        <f t="shared" si="16"/>
        <v>8</v>
      </c>
      <c r="BH14" s="208">
        <f t="shared" si="17"/>
        <v>72.72727273</v>
      </c>
      <c r="BI14" s="116"/>
      <c r="BJ14" s="116"/>
      <c r="BK14" s="180"/>
      <c r="BL14" s="116"/>
      <c r="BM14" s="116"/>
      <c r="BN14" s="138">
        <v>1.0</v>
      </c>
      <c r="BO14" s="138">
        <v>1.0</v>
      </c>
      <c r="BP14" s="116"/>
      <c r="BQ14" s="116"/>
      <c r="BR14" s="166"/>
      <c r="BS14" s="196">
        <v>1.0</v>
      </c>
      <c r="BT14" s="138">
        <v>1.0</v>
      </c>
      <c r="BU14" s="145">
        <v>1.0</v>
      </c>
      <c r="BV14" s="116"/>
      <c r="BW14" s="268">
        <v>1.0</v>
      </c>
      <c r="BX14" s="196">
        <v>1.0</v>
      </c>
      <c r="BY14" s="138">
        <v>1.0</v>
      </c>
      <c r="BZ14" s="165"/>
      <c r="CA14" s="165"/>
      <c r="CB14" s="165"/>
      <c r="CC14" s="165"/>
      <c r="CD14" s="196">
        <v>1.0</v>
      </c>
      <c r="CE14" s="124">
        <f t="shared" si="18"/>
        <v>9</v>
      </c>
      <c r="CF14" s="173">
        <f t="shared" si="19"/>
        <v>64.28571429</v>
      </c>
      <c r="CG14" s="138">
        <v>1.0</v>
      </c>
      <c r="CH14" s="138">
        <v>1.0</v>
      </c>
      <c r="CI14" s="116"/>
      <c r="CJ14" s="116"/>
      <c r="CK14" s="116"/>
      <c r="CL14" s="186"/>
      <c r="CM14" s="116"/>
      <c r="CN14" s="116"/>
      <c r="CO14" s="223"/>
      <c r="CP14" s="116"/>
      <c r="CQ14" s="165"/>
      <c r="CR14" s="165"/>
      <c r="CS14" s="116"/>
      <c r="CT14" s="116"/>
      <c r="CU14" s="165"/>
      <c r="CV14" s="165"/>
      <c r="CW14" s="128">
        <f t="shared" si="20"/>
        <v>2</v>
      </c>
      <c r="CX14" s="214">
        <f t="shared" si="21"/>
        <v>66.66666667</v>
      </c>
      <c r="CY14" s="171"/>
      <c r="CZ14" s="171"/>
      <c r="DA14" s="171"/>
      <c r="DB14" s="171"/>
      <c r="DC14" s="171"/>
      <c r="DD14" s="171"/>
      <c r="DE14" s="171"/>
      <c r="DF14" s="171"/>
      <c r="DG14" s="171"/>
      <c r="DH14" s="171"/>
      <c r="DI14" s="171"/>
      <c r="DJ14" s="171"/>
      <c r="DK14" s="128">
        <f t="shared" si="22"/>
        <v>0</v>
      </c>
      <c r="DL14" s="158" t="str">
        <f t="shared" si="23"/>
        <v>#DIV/0!</v>
      </c>
    </row>
    <row r="15">
      <c r="A15" s="146">
        <v>6.0</v>
      </c>
      <c r="B15" s="111" t="s">
        <v>62</v>
      </c>
      <c r="C15" s="112" t="s">
        <v>63</v>
      </c>
      <c r="D15" s="98">
        <f t="shared" si="8"/>
        <v>23</v>
      </c>
      <c r="E15" s="130">
        <f t="shared" si="9"/>
        <v>60.52631579</v>
      </c>
      <c r="F15" s="92" t="str">
        <f t="shared" si="10"/>
        <v>  </v>
      </c>
      <c r="G15" s="149" t="str">
        <f t="shared" si="11"/>
        <v>  </v>
      </c>
      <c r="H15" s="203"/>
      <c r="I15" s="224"/>
      <c r="J15" s="180"/>
      <c r="K15" s="180"/>
      <c r="L15" s="204"/>
      <c r="M15" s="139">
        <f t="shared" si="12"/>
        <v>0</v>
      </c>
      <c r="N15" s="140" t="str">
        <f t="shared" si="13"/>
        <v>#DIV/0!</v>
      </c>
      <c r="O15" s="116"/>
      <c r="P15" s="116"/>
      <c r="Q15" s="116"/>
      <c r="R15" s="186"/>
      <c r="S15" s="116"/>
      <c r="T15" s="116"/>
      <c r="U15" s="116"/>
      <c r="V15" s="186"/>
      <c r="W15" s="116"/>
      <c r="X15" s="116"/>
      <c r="Y15" s="200">
        <v>1.0</v>
      </c>
      <c r="Z15" s="185"/>
      <c r="AA15" s="187">
        <v>1.0</v>
      </c>
      <c r="AB15" s="138">
        <v>1.0</v>
      </c>
      <c r="AC15" s="186"/>
      <c r="AD15" s="116"/>
      <c r="AE15" s="116"/>
      <c r="AF15" s="116"/>
      <c r="AG15" s="197">
        <v>1.0</v>
      </c>
      <c r="AH15" s="138">
        <v>1.0</v>
      </c>
      <c r="AI15" s="116"/>
      <c r="AJ15" s="139">
        <f t="shared" si="14"/>
        <v>5</v>
      </c>
      <c r="AK15" s="205">
        <f t="shared" si="15"/>
        <v>50</v>
      </c>
      <c r="AL15" s="237">
        <v>1.0</v>
      </c>
      <c r="AM15" s="116"/>
      <c r="AN15" s="186"/>
      <c r="AO15" s="116"/>
      <c r="AP15" s="116"/>
      <c r="AQ15" s="116"/>
      <c r="AR15" s="116"/>
      <c r="AS15" s="166"/>
      <c r="AT15" s="138">
        <v>1.0</v>
      </c>
      <c r="AU15" s="116"/>
      <c r="AV15" s="138">
        <v>1.0</v>
      </c>
      <c r="AW15" s="186"/>
      <c r="AX15" s="138">
        <v>1.0</v>
      </c>
      <c r="AY15" s="138">
        <v>1.0</v>
      </c>
      <c r="AZ15" s="116"/>
      <c r="BA15" s="180"/>
      <c r="BB15" s="138">
        <v>1.0</v>
      </c>
      <c r="BC15" s="116"/>
      <c r="BD15" s="188">
        <v>1.0</v>
      </c>
      <c r="BE15" s="194"/>
      <c r="BF15" s="194"/>
      <c r="BG15" s="139">
        <f t="shared" si="16"/>
        <v>6</v>
      </c>
      <c r="BH15" s="208">
        <f t="shared" si="17"/>
        <v>54.54545455</v>
      </c>
      <c r="BI15" s="116"/>
      <c r="BJ15" s="116"/>
      <c r="BK15" s="180"/>
      <c r="BL15" s="116"/>
      <c r="BM15" s="116"/>
      <c r="BN15" s="138">
        <v>1.0</v>
      </c>
      <c r="BO15" s="138">
        <v>1.0</v>
      </c>
      <c r="BP15" s="116"/>
      <c r="BQ15" s="116"/>
      <c r="BR15" s="191">
        <v>1.0</v>
      </c>
      <c r="BS15" s="196">
        <v>1.0</v>
      </c>
      <c r="BT15" s="138">
        <v>1.0</v>
      </c>
      <c r="BU15" s="145">
        <v>1.0</v>
      </c>
      <c r="BV15" s="116"/>
      <c r="BW15" s="268">
        <v>1.0</v>
      </c>
      <c r="BX15" s="196">
        <v>1.0</v>
      </c>
      <c r="BY15" s="116"/>
      <c r="BZ15" s="165"/>
      <c r="CA15" s="116"/>
      <c r="CB15" s="138">
        <v>1.0</v>
      </c>
      <c r="CC15" s="165"/>
      <c r="CD15" s="196">
        <v>1.0</v>
      </c>
      <c r="CE15" s="124">
        <f t="shared" si="18"/>
        <v>10</v>
      </c>
      <c r="CF15" s="173">
        <f t="shared" si="19"/>
        <v>71.42857143</v>
      </c>
      <c r="CG15" s="138">
        <v>1.0</v>
      </c>
      <c r="CH15" s="138">
        <v>1.0</v>
      </c>
      <c r="CI15" s="116"/>
      <c r="CJ15" s="116"/>
      <c r="CK15" s="116"/>
      <c r="CL15" s="186"/>
      <c r="CM15" s="116"/>
      <c r="CN15" s="116"/>
      <c r="CO15" s="116"/>
      <c r="CP15" s="116"/>
      <c r="CQ15" s="165"/>
      <c r="CR15" s="165"/>
      <c r="CS15" s="116"/>
      <c r="CT15" s="116"/>
      <c r="CU15" s="165"/>
      <c r="CV15" s="165"/>
      <c r="CW15" s="128">
        <f t="shared" si="20"/>
        <v>2</v>
      </c>
      <c r="CX15" s="214">
        <f t="shared" si="21"/>
        <v>66.66666667</v>
      </c>
      <c r="CY15" s="171"/>
      <c r="CZ15" s="171"/>
      <c r="DA15" s="171"/>
      <c r="DB15" s="171"/>
      <c r="DC15" s="171"/>
      <c r="DD15" s="171"/>
      <c r="DE15" s="171"/>
      <c r="DF15" s="171"/>
      <c r="DG15" s="171"/>
      <c r="DH15" s="171"/>
      <c r="DI15" s="171"/>
      <c r="DJ15" s="171"/>
      <c r="DK15" s="128">
        <f t="shared" si="22"/>
        <v>0</v>
      </c>
      <c r="DL15" s="158" t="str">
        <f t="shared" si="23"/>
        <v>#DIV/0!</v>
      </c>
    </row>
    <row r="16">
      <c r="A16" s="50">
        <v>7.0</v>
      </c>
      <c r="B16" s="111" t="s">
        <v>64</v>
      </c>
      <c r="C16" s="112" t="s">
        <v>65</v>
      </c>
      <c r="D16" s="98">
        <f t="shared" si="8"/>
        <v>6</v>
      </c>
      <c r="E16" s="130">
        <f t="shared" si="9"/>
        <v>15.78947368</v>
      </c>
      <c r="F16" s="114">
        <f t="shared" si="10"/>
        <v>15.78947368</v>
      </c>
      <c r="G16" s="226">
        <f t="shared" si="11"/>
        <v>15.78947368</v>
      </c>
      <c r="H16" s="180"/>
      <c r="I16" s="221"/>
      <c r="J16" s="203"/>
      <c r="K16" s="180"/>
      <c r="L16" s="204"/>
      <c r="M16" s="139">
        <f t="shared" si="12"/>
        <v>0</v>
      </c>
      <c r="N16" s="140" t="str">
        <f t="shared" si="13"/>
        <v>#DIV/0!</v>
      </c>
      <c r="O16" s="116"/>
      <c r="P16" s="116"/>
      <c r="Q16" s="116"/>
      <c r="R16" s="179"/>
      <c r="S16" s="116"/>
      <c r="T16" s="116"/>
      <c r="U16" s="116"/>
      <c r="V16" s="179"/>
      <c r="W16" s="116"/>
      <c r="X16" s="116"/>
      <c r="Y16" s="179"/>
      <c r="Z16" s="185"/>
      <c r="AA16" s="217"/>
      <c r="AB16" s="138">
        <v>1.0</v>
      </c>
      <c r="AC16" s="184">
        <v>1.0</v>
      </c>
      <c r="AD16" s="176"/>
      <c r="AE16" s="176"/>
      <c r="AF16" s="138">
        <v>1.0</v>
      </c>
      <c r="AG16" s="176"/>
      <c r="AH16" s="116"/>
      <c r="AI16" s="176"/>
      <c r="AJ16" s="139">
        <f t="shared" si="14"/>
        <v>3</v>
      </c>
      <c r="AK16" s="205">
        <f t="shared" si="15"/>
        <v>30</v>
      </c>
      <c r="AL16" s="222"/>
      <c r="AM16" s="138">
        <v>1.0</v>
      </c>
      <c r="AN16" s="179"/>
      <c r="AO16" s="116"/>
      <c r="AP16" s="116"/>
      <c r="AQ16" s="116"/>
      <c r="AR16" s="116"/>
      <c r="AS16" s="166"/>
      <c r="AT16" s="116"/>
      <c r="AU16" s="116"/>
      <c r="AV16" s="116"/>
      <c r="AW16" s="179"/>
      <c r="AX16" s="116"/>
      <c r="AY16" s="138">
        <v>1.0</v>
      </c>
      <c r="AZ16" s="180"/>
      <c r="BA16" s="180"/>
      <c r="BB16" s="204"/>
      <c r="BC16" s="204"/>
      <c r="BD16" s="219">
        <v>1.0</v>
      </c>
      <c r="BE16" s="181"/>
      <c r="BF16" s="181"/>
      <c r="BG16" s="139">
        <f t="shared" si="16"/>
        <v>3</v>
      </c>
      <c r="BH16" s="208">
        <f t="shared" si="17"/>
        <v>27.27272727</v>
      </c>
      <c r="BI16" s="116"/>
      <c r="BJ16" s="116"/>
      <c r="BK16" s="180"/>
      <c r="BL16" s="116"/>
      <c r="BM16" s="116"/>
      <c r="BN16" s="116"/>
      <c r="BO16" s="116"/>
      <c r="BP16" s="116"/>
      <c r="BQ16" s="211"/>
      <c r="BR16" s="166"/>
      <c r="BS16" s="116"/>
      <c r="BT16" s="185"/>
      <c r="BU16" s="43"/>
      <c r="BV16" s="43"/>
      <c r="BW16" s="266"/>
      <c r="BX16" s="165"/>
      <c r="BY16" s="116"/>
      <c r="BZ16" s="165"/>
      <c r="CA16" s="116"/>
      <c r="CB16" s="165"/>
      <c r="CC16" s="165"/>
      <c r="CD16" s="165"/>
      <c r="CE16" s="124">
        <f t="shared" si="18"/>
        <v>0</v>
      </c>
      <c r="CF16" s="173">
        <f t="shared" si="19"/>
        <v>0</v>
      </c>
      <c r="CG16" s="179"/>
      <c r="CH16" s="238"/>
      <c r="CI16" s="186"/>
      <c r="CJ16" s="186"/>
      <c r="CK16" s="231"/>
      <c r="CL16" s="186"/>
      <c r="CM16" s="223"/>
      <c r="CN16" s="223"/>
      <c r="CO16" s="223"/>
      <c r="CP16" s="166"/>
      <c r="CQ16" s="213"/>
      <c r="CR16" s="213"/>
      <c r="CS16" s="213"/>
      <c r="CT16" s="116"/>
      <c r="CU16" s="213"/>
      <c r="CV16" s="213"/>
      <c r="CW16" s="128">
        <f t="shared" si="20"/>
        <v>0</v>
      </c>
      <c r="CX16" s="214">
        <f t="shared" si="21"/>
        <v>0</v>
      </c>
      <c r="CY16" s="171"/>
      <c r="CZ16" s="171"/>
      <c r="DA16" s="171"/>
      <c r="DB16" s="171"/>
      <c r="DC16" s="171"/>
      <c r="DD16" s="171"/>
      <c r="DE16" s="171"/>
      <c r="DF16" s="171"/>
      <c r="DG16" s="171"/>
      <c r="DH16" s="171"/>
      <c r="DI16" s="171"/>
      <c r="DJ16" s="171"/>
      <c r="DK16" s="128">
        <f t="shared" si="22"/>
        <v>0</v>
      </c>
      <c r="DL16" s="158" t="str">
        <f t="shared" si="23"/>
        <v>#DIV/0!</v>
      </c>
    </row>
    <row r="17">
      <c r="A17" s="131">
        <v>8.0</v>
      </c>
      <c r="B17" s="111" t="s">
        <v>66</v>
      </c>
      <c r="C17" s="112" t="s">
        <v>67</v>
      </c>
      <c r="D17" s="98">
        <f t="shared" si="8"/>
        <v>16</v>
      </c>
      <c r="E17" s="130">
        <f t="shared" si="9"/>
        <v>42.10526316</v>
      </c>
      <c r="F17" s="114">
        <f t="shared" si="10"/>
        <v>42.10526316</v>
      </c>
      <c r="G17" s="149" t="str">
        <f t="shared" si="11"/>
        <v>  </v>
      </c>
      <c r="H17" s="180"/>
      <c r="I17" s="203"/>
      <c r="J17" s="203"/>
      <c r="K17" s="180"/>
      <c r="L17" s="204"/>
      <c r="M17" s="139">
        <f t="shared" si="12"/>
        <v>0</v>
      </c>
      <c r="N17" s="140" t="str">
        <f t="shared" si="13"/>
        <v>#DIV/0!</v>
      </c>
      <c r="O17" s="116"/>
      <c r="P17" s="116"/>
      <c r="Q17" s="116"/>
      <c r="R17" s="207"/>
      <c r="S17" s="207"/>
      <c r="T17" s="116"/>
      <c r="U17" s="116"/>
      <c r="V17" s="207"/>
      <c r="W17" s="116"/>
      <c r="X17" s="116"/>
      <c r="Y17" s="234">
        <v>1.0</v>
      </c>
      <c r="Z17" s="185"/>
      <c r="AA17" s="217"/>
      <c r="AB17" s="138">
        <v>1.0</v>
      </c>
      <c r="AC17" s="207"/>
      <c r="AD17" s="206"/>
      <c r="AE17" s="116"/>
      <c r="AF17" s="116"/>
      <c r="AG17" s="206"/>
      <c r="AH17" s="138">
        <v>1.0</v>
      </c>
      <c r="AI17" s="206"/>
      <c r="AJ17" s="139">
        <f t="shared" si="14"/>
        <v>3</v>
      </c>
      <c r="AK17" s="205">
        <f t="shared" si="15"/>
        <v>30</v>
      </c>
      <c r="AL17" s="240">
        <v>1.0</v>
      </c>
      <c r="AM17" s="116"/>
      <c r="AN17" s="207"/>
      <c r="AO17" s="207"/>
      <c r="AP17" s="116"/>
      <c r="AQ17" s="116"/>
      <c r="AR17" s="116"/>
      <c r="AS17" s="166"/>
      <c r="AT17" s="116"/>
      <c r="AU17" s="116"/>
      <c r="AV17" s="116"/>
      <c r="AW17" s="207"/>
      <c r="AX17" s="116"/>
      <c r="AY17" s="138">
        <v>1.0</v>
      </c>
      <c r="AZ17" s="180"/>
      <c r="BA17" s="180"/>
      <c r="BB17" s="204"/>
      <c r="BC17" s="204"/>
      <c r="BD17" s="181"/>
      <c r="BE17" s="181"/>
      <c r="BF17" s="181"/>
      <c r="BG17" s="139">
        <f t="shared" si="16"/>
        <v>1</v>
      </c>
      <c r="BH17" s="208">
        <f t="shared" si="17"/>
        <v>9.090909091</v>
      </c>
      <c r="BI17" s="116"/>
      <c r="BJ17" s="116"/>
      <c r="BK17" s="180"/>
      <c r="BL17" s="116"/>
      <c r="BM17" s="116"/>
      <c r="BN17" s="138">
        <v>1.0</v>
      </c>
      <c r="BO17" s="138">
        <v>1.0</v>
      </c>
      <c r="BP17" s="116"/>
      <c r="BQ17" s="211"/>
      <c r="BR17" s="191">
        <v>1.0</v>
      </c>
      <c r="BS17" s="165"/>
      <c r="BT17" s="210">
        <v>1.0</v>
      </c>
      <c r="BU17" s="43"/>
      <c r="BV17" s="43"/>
      <c r="BW17" s="268">
        <v>1.0</v>
      </c>
      <c r="BX17" s="196">
        <v>1.0</v>
      </c>
      <c r="BY17" s="138">
        <v>1.0</v>
      </c>
      <c r="BZ17" s="196">
        <v>1.0</v>
      </c>
      <c r="CA17" s="165"/>
      <c r="CB17" s="138">
        <v>1.0</v>
      </c>
      <c r="CC17" s="165"/>
      <c r="CD17" s="196">
        <v>1.0</v>
      </c>
      <c r="CE17" s="124">
        <f t="shared" si="18"/>
        <v>10</v>
      </c>
      <c r="CF17" s="173">
        <f t="shared" si="19"/>
        <v>71.42857143</v>
      </c>
      <c r="CG17" s="234">
        <v>1.0</v>
      </c>
      <c r="CH17" s="138">
        <v>1.0</v>
      </c>
      <c r="CI17" s="116"/>
      <c r="CJ17" s="186"/>
      <c r="CK17" s="116"/>
      <c r="CL17" s="186"/>
      <c r="CM17" s="223"/>
      <c r="CN17" s="116"/>
      <c r="CO17" s="223"/>
      <c r="CP17" s="116"/>
      <c r="CQ17" s="165"/>
      <c r="CR17" s="165"/>
      <c r="CS17" s="116"/>
      <c r="CT17" s="116"/>
      <c r="CU17" s="116"/>
      <c r="CV17" s="165"/>
      <c r="CW17" s="128">
        <f t="shared" si="20"/>
        <v>2</v>
      </c>
      <c r="CX17" s="214">
        <f t="shared" si="21"/>
        <v>66.66666667</v>
      </c>
      <c r="CY17" s="171"/>
      <c r="CZ17" s="171"/>
      <c r="DA17" s="171"/>
      <c r="DB17" s="171"/>
      <c r="DC17" s="171"/>
      <c r="DD17" s="171"/>
      <c r="DE17" s="171"/>
      <c r="DF17" s="171"/>
      <c r="DG17" s="171"/>
      <c r="DH17" s="171"/>
      <c r="DI17" s="171"/>
      <c r="DJ17" s="171"/>
      <c r="DK17" s="128">
        <f t="shared" si="22"/>
        <v>0</v>
      </c>
      <c r="DL17" s="158" t="str">
        <f t="shared" si="23"/>
        <v>#DIV/0!</v>
      </c>
    </row>
    <row r="18" ht="15.0" customHeight="1">
      <c r="A18" s="146">
        <v>9.0</v>
      </c>
      <c r="B18" s="111" t="s">
        <v>68</v>
      </c>
      <c r="C18" s="112" t="s">
        <v>69</v>
      </c>
      <c r="D18" s="98">
        <f t="shared" si="8"/>
        <v>15</v>
      </c>
      <c r="E18" s="130">
        <f t="shared" si="9"/>
        <v>39.47368421</v>
      </c>
      <c r="F18" s="114">
        <f t="shared" si="10"/>
        <v>39.47368421</v>
      </c>
      <c r="G18" s="149" t="str">
        <f t="shared" si="11"/>
        <v>  </v>
      </c>
      <c r="H18" s="180"/>
      <c r="I18" s="203"/>
      <c r="J18" s="180"/>
      <c r="K18" s="180"/>
      <c r="L18" s="204"/>
      <c r="M18" s="139">
        <f t="shared" si="12"/>
        <v>0</v>
      </c>
      <c r="N18" s="140" t="str">
        <f t="shared" si="13"/>
        <v>#DIV/0!</v>
      </c>
      <c r="O18" s="116"/>
      <c r="P18" s="116"/>
      <c r="Q18" s="180"/>
      <c r="R18" s="186"/>
      <c r="S18" s="116"/>
      <c r="T18" s="116"/>
      <c r="U18" s="116"/>
      <c r="V18" s="186"/>
      <c r="W18" s="116"/>
      <c r="X18" s="138">
        <v>1.0</v>
      </c>
      <c r="Y18" s="186"/>
      <c r="Z18" s="185"/>
      <c r="AA18" s="217"/>
      <c r="AB18" s="116"/>
      <c r="AC18" s="200">
        <v>1.0</v>
      </c>
      <c r="AD18" s="195"/>
      <c r="AE18" s="116"/>
      <c r="AF18" s="138">
        <v>1.0</v>
      </c>
      <c r="AG18" s="197">
        <v>1.0</v>
      </c>
      <c r="AH18" s="116"/>
      <c r="AI18" s="195"/>
      <c r="AJ18" s="139">
        <f t="shared" si="14"/>
        <v>4</v>
      </c>
      <c r="AK18" s="205">
        <f t="shared" si="15"/>
        <v>40</v>
      </c>
      <c r="AL18" s="116"/>
      <c r="AM18" s="138">
        <v>1.0</v>
      </c>
      <c r="AN18" s="186"/>
      <c r="AO18" s="116"/>
      <c r="AP18" s="186"/>
      <c r="AQ18" s="116"/>
      <c r="AR18" s="116"/>
      <c r="AS18" s="166"/>
      <c r="AT18" s="116"/>
      <c r="AU18" s="116"/>
      <c r="AV18" s="116"/>
      <c r="AW18" s="186"/>
      <c r="AX18" s="116"/>
      <c r="AY18" s="116"/>
      <c r="AZ18" s="180"/>
      <c r="BA18" s="180"/>
      <c r="BB18" s="116"/>
      <c r="BC18" s="204"/>
      <c r="BD18" s="181"/>
      <c r="BE18" s="181"/>
      <c r="BF18" s="181"/>
      <c r="BG18" s="139">
        <f t="shared" si="16"/>
        <v>1</v>
      </c>
      <c r="BH18" s="208">
        <f t="shared" si="17"/>
        <v>9.090909091</v>
      </c>
      <c r="BI18" s="116"/>
      <c r="BJ18" s="180"/>
      <c r="BK18" s="180"/>
      <c r="BL18" s="116"/>
      <c r="BM18" s="116"/>
      <c r="BN18" s="138">
        <v>1.0</v>
      </c>
      <c r="BO18" s="138">
        <v>1.0</v>
      </c>
      <c r="BP18" s="116"/>
      <c r="BQ18" s="116"/>
      <c r="BR18" s="166"/>
      <c r="BS18" s="138">
        <v>1.0</v>
      </c>
      <c r="BT18" s="185"/>
      <c r="BU18" s="43"/>
      <c r="BV18" s="43"/>
      <c r="BW18" s="268">
        <v>1.0</v>
      </c>
      <c r="BX18" s="196">
        <v>1.0</v>
      </c>
      <c r="BY18" s="138">
        <v>1.0</v>
      </c>
      <c r="BZ18" s="165"/>
      <c r="CA18" s="116"/>
      <c r="CB18" s="138">
        <v>1.0</v>
      </c>
      <c r="CC18" s="165"/>
      <c r="CD18" s="196">
        <v>1.0</v>
      </c>
      <c r="CE18" s="124">
        <f t="shared" si="18"/>
        <v>8</v>
      </c>
      <c r="CF18" s="173">
        <f t="shared" si="19"/>
        <v>57.14285714</v>
      </c>
      <c r="CG18" s="138">
        <v>1.0</v>
      </c>
      <c r="CH18" s="230">
        <v>1.0</v>
      </c>
      <c r="CI18" s="186"/>
      <c r="CJ18" s="116"/>
      <c r="CK18" s="116"/>
      <c r="CL18" s="186"/>
      <c r="CM18" s="223"/>
      <c r="CN18" s="116"/>
      <c r="CO18" s="223"/>
      <c r="CP18" s="166"/>
      <c r="CQ18" s="213"/>
      <c r="CR18" s="213"/>
      <c r="CS18" s="116"/>
      <c r="CT18" s="213"/>
      <c r="CU18" s="213"/>
      <c r="CV18" s="213"/>
      <c r="CW18" s="128">
        <f t="shared" si="20"/>
        <v>2</v>
      </c>
      <c r="CX18" s="214">
        <f t="shared" si="21"/>
        <v>66.66666667</v>
      </c>
      <c r="CY18" s="171"/>
      <c r="CZ18" s="171"/>
      <c r="DA18" s="171"/>
      <c r="DB18" s="171"/>
      <c r="DC18" s="171"/>
      <c r="DD18" s="171"/>
      <c r="DE18" s="171"/>
      <c r="DF18" s="171"/>
      <c r="DG18" s="171"/>
      <c r="DH18" s="171"/>
      <c r="DI18" s="171"/>
      <c r="DJ18" s="171"/>
      <c r="DK18" s="128">
        <f t="shared" si="22"/>
        <v>0</v>
      </c>
      <c r="DL18" s="158" t="str">
        <f t="shared" si="23"/>
        <v>#DIV/0!</v>
      </c>
    </row>
    <row r="19">
      <c r="A19" s="50">
        <v>10.0</v>
      </c>
      <c r="B19" s="111" t="s">
        <v>70</v>
      </c>
      <c r="C19" s="112" t="s">
        <v>71</v>
      </c>
      <c r="D19" s="98">
        <f t="shared" si="8"/>
        <v>29</v>
      </c>
      <c r="E19" s="130">
        <f t="shared" si="9"/>
        <v>76.31578947</v>
      </c>
      <c r="F19" s="114" t="str">
        <f t="shared" si="10"/>
        <v>  </v>
      </c>
      <c r="G19" s="149" t="str">
        <f t="shared" si="11"/>
        <v>  </v>
      </c>
      <c r="H19" s="180"/>
      <c r="I19" s="180"/>
      <c r="J19" s="180"/>
      <c r="K19" s="180"/>
      <c r="L19" s="204"/>
      <c r="M19" s="139">
        <f t="shared" si="12"/>
        <v>0</v>
      </c>
      <c r="N19" s="140" t="str">
        <f t="shared" si="13"/>
        <v>#DIV/0!</v>
      </c>
      <c r="O19" s="116"/>
      <c r="P19" s="116"/>
      <c r="Q19" s="180"/>
      <c r="R19" s="179"/>
      <c r="S19" s="179"/>
      <c r="T19" s="116"/>
      <c r="U19" s="116"/>
      <c r="V19" s="179"/>
      <c r="W19" s="138">
        <v>1.0</v>
      </c>
      <c r="X19" s="138">
        <v>1.0</v>
      </c>
      <c r="Y19" s="184">
        <v>1.0</v>
      </c>
      <c r="Z19" s="185"/>
      <c r="AA19" s="187">
        <v>1.0</v>
      </c>
      <c r="AB19" s="138">
        <v>1.0</v>
      </c>
      <c r="AC19" s="184">
        <v>1.0</v>
      </c>
      <c r="AD19" s="116"/>
      <c r="AE19" s="116"/>
      <c r="AF19" s="138">
        <v>1.0</v>
      </c>
      <c r="AG19" s="182">
        <v>1.0</v>
      </c>
      <c r="AH19" s="138">
        <v>1.0</v>
      </c>
      <c r="AI19" s="176"/>
      <c r="AJ19" s="139">
        <f t="shared" si="14"/>
        <v>9</v>
      </c>
      <c r="AK19" s="205">
        <f t="shared" si="15"/>
        <v>90</v>
      </c>
      <c r="AL19" s="235">
        <v>1.0</v>
      </c>
      <c r="AM19" s="184">
        <v>1.0</v>
      </c>
      <c r="AN19" s="184">
        <v>1.0</v>
      </c>
      <c r="AO19" s="116"/>
      <c r="AP19" s="116"/>
      <c r="AQ19" s="138">
        <v>1.0</v>
      </c>
      <c r="AR19" s="116"/>
      <c r="AS19" s="191">
        <v>1.0</v>
      </c>
      <c r="AT19" s="138">
        <v>1.0</v>
      </c>
      <c r="AU19" s="116"/>
      <c r="AV19" s="138">
        <v>1.0</v>
      </c>
      <c r="AW19" s="179"/>
      <c r="AX19" s="138">
        <v>1.0</v>
      </c>
      <c r="AY19" s="116"/>
      <c r="AZ19" s="116"/>
      <c r="BA19" s="180"/>
      <c r="BB19" s="138">
        <v>1.0</v>
      </c>
      <c r="BC19" s="138">
        <v>1.0</v>
      </c>
      <c r="BD19" s="194"/>
      <c r="BE19" s="194"/>
      <c r="BF19" s="194"/>
      <c r="BG19" s="139">
        <f t="shared" si="16"/>
        <v>9</v>
      </c>
      <c r="BH19" s="208">
        <f t="shared" si="17"/>
        <v>81.81818182</v>
      </c>
      <c r="BI19" s="116"/>
      <c r="BJ19" s="116"/>
      <c r="BK19" s="180"/>
      <c r="BL19" s="116"/>
      <c r="BM19" s="116"/>
      <c r="BN19" s="138">
        <v>1.0</v>
      </c>
      <c r="BO19" s="138">
        <v>1.0</v>
      </c>
      <c r="BP19" s="116"/>
      <c r="BQ19" s="211"/>
      <c r="BR19" s="166"/>
      <c r="BS19" s="138">
        <v>1.0</v>
      </c>
      <c r="BT19" s="138">
        <v>1.0</v>
      </c>
      <c r="BU19" s="145">
        <v>1.0</v>
      </c>
      <c r="BV19" s="43"/>
      <c r="BW19" s="268">
        <v>1.0</v>
      </c>
      <c r="BX19" s="196">
        <v>1.0</v>
      </c>
      <c r="BY19" s="138">
        <v>1.0</v>
      </c>
      <c r="BZ19" s="165"/>
      <c r="CA19" s="116"/>
      <c r="CB19" s="196">
        <v>1.0</v>
      </c>
      <c r="CC19" s="165"/>
      <c r="CD19" s="196">
        <v>1.0</v>
      </c>
      <c r="CE19" s="124">
        <f t="shared" si="18"/>
        <v>10</v>
      </c>
      <c r="CF19" s="173">
        <f t="shared" si="19"/>
        <v>71.42857143</v>
      </c>
      <c r="CG19" s="116"/>
      <c r="CH19" s="230">
        <v>1.0</v>
      </c>
      <c r="CI19" s="186"/>
      <c r="CJ19" s="116"/>
      <c r="CK19" s="116"/>
      <c r="CL19" s="186"/>
      <c r="CM19" s="116"/>
      <c r="CN19" s="223"/>
      <c r="CO19" s="116"/>
      <c r="CP19" s="166"/>
      <c r="CQ19" s="213"/>
      <c r="CR19" s="213"/>
      <c r="CS19" s="116"/>
      <c r="CT19" s="213"/>
      <c r="CU19" s="213"/>
      <c r="CV19" s="213"/>
      <c r="CW19" s="128">
        <f t="shared" si="20"/>
        <v>1</v>
      </c>
      <c r="CX19" s="214">
        <f t="shared" si="21"/>
        <v>33.33333333</v>
      </c>
      <c r="CY19" s="171"/>
      <c r="CZ19" s="171"/>
      <c r="DA19" s="171"/>
      <c r="DB19" s="171"/>
      <c r="DC19" s="171"/>
      <c r="DD19" s="171"/>
      <c r="DE19" s="171"/>
      <c r="DF19" s="171"/>
      <c r="DG19" s="171"/>
      <c r="DH19" s="171"/>
      <c r="DI19" s="171"/>
      <c r="DJ19" s="171"/>
      <c r="DK19" s="128">
        <f t="shared" si="22"/>
        <v>0</v>
      </c>
      <c r="DL19" s="158" t="str">
        <f t="shared" si="23"/>
        <v>#DIV/0!</v>
      </c>
    </row>
    <row r="20">
      <c r="A20" s="131">
        <v>11.0</v>
      </c>
      <c r="B20" s="111" t="s">
        <v>72</v>
      </c>
      <c r="C20" s="112" t="s">
        <v>73</v>
      </c>
      <c r="D20" s="98">
        <f t="shared" si="8"/>
        <v>29</v>
      </c>
      <c r="E20" s="130">
        <f t="shared" si="9"/>
        <v>76.31578947</v>
      </c>
      <c r="F20" s="92" t="str">
        <f t="shared" si="10"/>
        <v>  </v>
      </c>
      <c r="G20" s="149" t="str">
        <f t="shared" si="11"/>
        <v>  </v>
      </c>
      <c r="H20" s="180"/>
      <c r="I20" s="180"/>
      <c r="J20" s="221"/>
      <c r="K20" s="180"/>
      <c r="L20" s="204"/>
      <c r="M20" s="139">
        <f t="shared" si="12"/>
        <v>0</v>
      </c>
      <c r="N20" s="140" t="str">
        <f t="shared" si="13"/>
        <v>#DIV/0!</v>
      </c>
      <c r="O20" s="116"/>
      <c r="P20" s="116"/>
      <c r="Q20" s="116"/>
      <c r="R20" s="186"/>
      <c r="S20" s="116"/>
      <c r="T20" s="116"/>
      <c r="U20" s="116"/>
      <c r="V20" s="186"/>
      <c r="W20" s="138">
        <v>1.0</v>
      </c>
      <c r="X20" s="138">
        <v>1.0</v>
      </c>
      <c r="Y20" s="200">
        <v>1.0</v>
      </c>
      <c r="Z20" s="185"/>
      <c r="AA20" s="187">
        <v>1.0</v>
      </c>
      <c r="AB20" s="138">
        <v>1.0</v>
      </c>
      <c r="AC20" s="200">
        <v>1.0</v>
      </c>
      <c r="AD20" s="116"/>
      <c r="AE20" s="116"/>
      <c r="AF20" s="182">
        <v>1.0</v>
      </c>
      <c r="AG20" s="197">
        <v>1.0</v>
      </c>
      <c r="AH20" s="138">
        <v>1.0</v>
      </c>
      <c r="AI20" s="116"/>
      <c r="AJ20" s="139">
        <f t="shared" si="14"/>
        <v>9</v>
      </c>
      <c r="AK20" s="205">
        <f t="shared" si="15"/>
        <v>90</v>
      </c>
      <c r="AL20" s="138">
        <v>1.0</v>
      </c>
      <c r="AM20" s="138">
        <v>1.0</v>
      </c>
      <c r="AN20" s="186"/>
      <c r="AO20" s="116"/>
      <c r="AP20" s="116"/>
      <c r="AQ20" s="116"/>
      <c r="AR20" s="116"/>
      <c r="AS20" s="191">
        <v>1.0</v>
      </c>
      <c r="AT20" s="138">
        <v>1.0</v>
      </c>
      <c r="AU20" s="116"/>
      <c r="AV20" s="116"/>
      <c r="AW20" s="186"/>
      <c r="AX20" s="138">
        <v>1.0</v>
      </c>
      <c r="AY20" s="138">
        <v>1.0</v>
      </c>
      <c r="AZ20" s="116"/>
      <c r="BA20" s="180"/>
      <c r="BB20" s="138">
        <v>1.0</v>
      </c>
      <c r="BC20" s="116"/>
      <c r="BD20" s="188">
        <v>1.0</v>
      </c>
      <c r="BE20" s="194"/>
      <c r="BF20" s="194"/>
      <c r="BG20" s="139">
        <f t="shared" si="16"/>
        <v>7</v>
      </c>
      <c r="BH20" s="208">
        <f t="shared" si="17"/>
        <v>63.63636364</v>
      </c>
      <c r="BI20" s="116"/>
      <c r="BJ20" s="116"/>
      <c r="BK20" s="180"/>
      <c r="BL20" s="116"/>
      <c r="BM20" s="116"/>
      <c r="BN20" s="138">
        <v>1.0</v>
      </c>
      <c r="BO20" s="138">
        <v>1.0</v>
      </c>
      <c r="BP20" s="116"/>
      <c r="BQ20" s="116"/>
      <c r="BR20" s="166"/>
      <c r="BS20" s="138">
        <v>1.0</v>
      </c>
      <c r="BT20" s="138">
        <v>1.0</v>
      </c>
      <c r="BU20" s="145">
        <v>1.0</v>
      </c>
      <c r="BV20" s="43"/>
      <c r="BW20" s="268">
        <v>1.0</v>
      </c>
      <c r="BX20" s="196">
        <v>1.0</v>
      </c>
      <c r="BY20" s="138">
        <v>1.0</v>
      </c>
      <c r="BZ20" s="165"/>
      <c r="CA20" s="138">
        <v>1.0</v>
      </c>
      <c r="CB20" s="138">
        <v>1.0</v>
      </c>
      <c r="CC20" s="196">
        <v>1.0</v>
      </c>
      <c r="CD20" s="196">
        <v>1.0</v>
      </c>
      <c r="CE20" s="124">
        <f t="shared" si="18"/>
        <v>12</v>
      </c>
      <c r="CF20" s="173">
        <f t="shared" si="19"/>
        <v>85.71428571</v>
      </c>
      <c r="CG20" s="116"/>
      <c r="CH20" s="138">
        <v>1.0</v>
      </c>
      <c r="CI20" s="116"/>
      <c r="CJ20" s="116"/>
      <c r="CK20" s="116"/>
      <c r="CL20" s="186"/>
      <c r="CM20" s="223"/>
      <c r="CN20" s="116"/>
      <c r="CO20" s="116"/>
      <c r="CP20" s="166"/>
      <c r="CQ20" s="213"/>
      <c r="CR20" s="213"/>
      <c r="CS20" s="116"/>
      <c r="CT20" s="116"/>
      <c r="CU20" s="213"/>
      <c r="CV20" s="213"/>
      <c r="CW20" s="128">
        <f t="shared" si="20"/>
        <v>1</v>
      </c>
      <c r="CX20" s="214">
        <f t="shared" si="21"/>
        <v>33.33333333</v>
      </c>
      <c r="CY20" s="171"/>
      <c r="CZ20" s="171"/>
      <c r="DA20" s="171"/>
      <c r="DB20" s="171"/>
      <c r="DC20" s="171"/>
      <c r="DD20" s="171"/>
      <c r="DE20" s="171"/>
      <c r="DF20" s="171"/>
      <c r="DG20" s="171"/>
      <c r="DH20" s="171"/>
      <c r="DI20" s="171"/>
      <c r="DJ20" s="171"/>
      <c r="DK20" s="128">
        <f t="shared" si="22"/>
        <v>0</v>
      </c>
      <c r="DL20" s="158" t="str">
        <f t="shared" si="23"/>
        <v>#DIV/0!</v>
      </c>
    </row>
    <row r="21" ht="15.75" customHeight="1">
      <c r="A21" s="146">
        <v>12.0</v>
      </c>
      <c r="B21" s="111" t="s">
        <v>74</v>
      </c>
      <c r="C21" s="112" t="s">
        <v>75</v>
      </c>
      <c r="D21" s="98">
        <f t="shared" si="8"/>
        <v>21</v>
      </c>
      <c r="E21" s="130">
        <f t="shared" si="9"/>
        <v>55.26315789</v>
      </c>
      <c r="F21" s="114" t="str">
        <f t="shared" si="10"/>
        <v>  </v>
      </c>
      <c r="G21" s="149" t="str">
        <f t="shared" si="11"/>
        <v>  </v>
      </c>
      <c r="H21" s="180"/>
      <c r="I21" s="180"/>
      <c r="J21" s="180"/>
      <c r="K21" s="203"/>
      <c r="L21" s="239"/>
      <c r="M21" s="139">
        <f t="shared" si="12"/>
        <v>0</v>
      </c>
      <c r="N21" s="140" t="str">
        <f t="shared" si="13"/>
        <v>#DIV/0!</v>
      </c>
      <c r="O21" s="116"/>
      <c r="P21" s="116"/>
      <c r="Q21" s="116"/>
      <c r="R21" s="179"/>
      <c r="S21" s="116"/>
      <c r="T21" s="116"/>
      <c r="U21" s="116"/>
      <c r="V21" s="179"/>
      <c r="W21" s="138">
        <v>1.0</v>
      </c>
      <c r="X21" s="138">
        <v>1.0</v>
      </c>
      <c r="Y21" s="184">
        <v>1.0</v>
      </c>
      <c r="Z21" s="185"/>
      <c r="AA21" s="217"/>
      <c r="AB21" s="138">
        <v>1.0</v>
      </c>
      <c r="AC21" s="184">
        <v>1.0</v>
      </c>
      <c r="AD21" s="176"/>
      <c r="AE21" s="176"/>
      <c r="AF21" s="176"/>
      <c r="AG21" s="182">
        <v>1.0</v>
      </c>
      <c r="AH21" s="182">
        <v>1.0</v>
      </c>
      <c r="AI21" s="176"/>
      <c r="AJ21" s="139">
        <f t="shared" si="14"/>
        <v>7</v>
      </c>
      <c r="AK21" s="205">
        <f t="shared" si="15"/>
        <v>70</v>
      </c>
      <c r="AL21" s="235">
        <v>1.0</v>
      </c>
      <c r="AM21" s="138">
        <v>1.0</v>
      </c>
      <c r="AN21" s="179"/>
      <c r="AO21" s="179"/>
      <c r="AP21" s="116"/>
      <c r="AQ21" s="138">
        <v>1.0</v>
      </c>
      <c r="AR21" s="116"/>
      <c r="AS21" s="166"/>
      <c r="AT21" s="138">
        <v>1.0</v>
      </c>
      <c r="AU21" s="116"/>
      <c r="AV21" s="116"/>
      <c r="AW21" s="179"/>
      <c r="AX21" s="138">
        <v>1.0</v>
      </c>
      <c r="AY21" s="138">
        <v>1.0</v>
      </c>
      <c r="AZ21" s="180"/>
      <c r="BA21" s="180"/>
      <c r="BB21" s="204"/>
      <c r="BC21" s="204"/>
      <c r="BD21" s="181"/>
      <c r="BE21" s="181"/>
      <c r="BF21" s="181"/>
      <c r="BG21" s="139">
        <f t="shared" si="16"/>
        <v>5</v>
      </c>
      <c r="BH21" s="208">
        <f t="shared" si="17"/>
        <v>45.45454545</v>
      </c>
      <c r="BI21" s="116"/>
      <c r="BJ21" s="116"/>
      <c r="BK21" s="180"/>
      <c r="BL21" s="116"/>
      <c r="BM21" s="116"/>
      <c r="BN21" s="138">
        <v>1.0</v>
      </c>
      <c r="BO21" s="138">
        <v>1.0</v>
      </c>
      <c r="BP21" s="116"/>
      <c r="BQ21" s="116"/>
      <c r="BR21" s="166"/>
      <c r="BS21" s="196">
        <v>1.0</v>
      </c>
      <c r="BT21" s="116"/>
      <c r="BU21" s="43"/>
      <c r="BV21" s="43"/>
      <c r="BW21" s="268">
        <v>1.0</v>
      </c>
      <c r="BX21" s="196">
        <v>1.0</v>
      </c>
      <c r="BY21" s="138">
        <v>1.0</v>
      </c>
      <c r="BZ21" s="165"/>
      <c r="CA21" s="116"/>
      <c r="CB21" s="138">
        <v>1.0</v>
      </c>
      <c r="CC21" s="165"/>
      <c r="CD21" s="196">
        <v>1.0</v>
      </c>
      <c r="CE21" s="124">
        <f t="shared" si="18"/>
        <v>8</v>
      </c>
      <c r="CF21" s="173">
        <f t="shared" si="19"/>
        <v>57.14285714</v>
      </c>
      <c r="CG21" s="138">
        <v>1.0</v>
      </c>
      <c r="CH21" s="116"/>
      <c r="CI21" s="116"/>
      <c r="CJ21" s="116"/>
      <c r="CK21" s="116"/>
      <c r="CL21" s="186"/>
      <c r="CM21" s="223"/>
      <c r="CN21" s="116"/>
      <c r="CO21" s="223"/>
      <c r="CP21" s="166"/>
      <c r="CQ21" s="213"/>
      <c r="CR21" s="213"/>
      <c r="CS21" s="116"/>
      <c r="CT21" s="116"/>
      <c r="CU21" s="213"/>
      <c r="CV21" s="213"/>
      <c r="CW21" s="128">
        <f t="shared" si="20"/>
        <v>1</v>
      </c>
      <c r="CX21" s="214">
        <f t="shared" si="21"/>
        <v>33.33333333</v>
      </c>
      <c r="CY21" s="171"/>
      <c r="CZ21" s="171"/>
      <c r="DA21" s="171"/>
      <c r="DB21" s="171"/>
      <c r="DC21" s="171"/>
      <c r="DD21" s="171"/>
      <c r="DE21" s="171"/>
      <c r="DF21" s="171"/>
      <c r="DG21" s="171"/>
      <c r="DH21" s="171"/>
      <c r="DI21" s="171"/>
      <c r="DJ21" s="171"/>
      <c r="DK21" s="128">
        <f t="shared" si="22"/>
        <v>0</v>
      </c>
      <c r="DL21" s="158" t="str">
        <f t="shared" si="23"/>
        <v>#DIV/0!</v>
      </c>
    </row>
    <row r="22" ht="15.75" customHeight="1">
      <c r="A22" s="50">
        <v>13.0</v>
      </c>
      <c r="B22" s="111" t="s">
        <v>76</v>
      </c>
      <c r="C22" s="112" t="s">
        <v>77</v>
      </c>
      <c r="D22" s="98">
        <f t="shared" si="8"/>
        <v>17</v>
      </c>
      <c r="E22" s="130">
        <f t="shared" si="9"/>
        <v>44.73684211</v>
      </c>
      <c r="F22" s="114">
        <f t="shared" si="10"/>
        <v>44.73684211</v>
      </c>
      <c r="G22" s="149" t="str">
        <f t="shared" si="11"/>
        <v>  </v>
      </c>
      <c r="H22" s="203"/>
      <c r="I22" s="180"/>
      <c r="J22" s="180"/>
      <c r="K22" s="180"/>
      <c r="L22" s="204"/>
      <c r="M22" s="139">
        <f t="shared" si="12"/>
        <v>0</v>
      </c>
      <c r="N22" s="140" t="str">
        <f t="shared" si="13"/>
        <v>#DIV/0!</v>
      </c>
      <c r="O22" s="116"/>
      <c r="P22" s="116"/>
      <c r="Q22" s="116"/>
      <c r="R22" s="179"/>
      <c r="S22" s="116"/>
      <c r="T22" s="116"/>
      <c r="U22" s="116"/>
      <c r="V22" s="179"/>
      <c r="W22" s="116"/>
      <c r="X22" s="138">
        <v>1.0</v>
      </c>
      <c r="Y22" s="179"/>
      <c r="Z22" s="185"/>
      <c r="AA22" s="217"/>
      <c r="AB22" s="116"/>
      <c r="AC22" s="184">
        <v>1.0</v>
      </c>
      <c r="AD22" s="176"/>
      <c r="AE22" s="176"/>
      <c r="AF22" s="116"/>
      <c r="AG22" s="182">
        <v>1.0</v>
      </c>
      <c r="AH22" s="176"/>
      <c r="AI22" s="176"/>
      <c r="AJ22" s="139">
        <f t="shared" si="14"/>
        <v>3</v>
      </c>
      <c r="AK22" s="205">
        <f t="shared" si="15"/>
        <v>30</v>
      </c>
      <c r="AL22" s="116"/>
      <c r="AM22" s="138">
        <v>1.0</v>
      </c>
      <c r="AN22" s="179"/>
      <c r="AO22" s="179"/>
      <c r="AP22" s="116"/>
      <c r="AQ22" s="116"/>
      <c r="AR22" s="116"/>
      <c r="AS22" s="166"/>
      <c r="AT22" s="116"/>
      <c r="AU22" s="116"/>
      <c r="AV22" s="116"/>
      <c r="AW22" s="179"/>
      <c r="AX22" s="116"/>
      <c r="AY22" s="116"/>
      <c r="AZ22" s="180"/>
      <c r="BA22" s="180"/>
      <c r="BB22" s="204"/>
      <c r="BC22" s="204"/>
      <c r="BD22" s="181"/>
      <c r="BE22" s="181"/>
      <c r="BF22" s="181"/>
      <c r="BG22" s="139">
        <f t="shared" si="16"/>
        <v>1</v>
      </c>
      <c r="BH22" s="208">
        <f t="shared" si="17"/>
        <v>9.090909091</v>
      </c>
      <c r="BI22" s="116"/>
      <c r="BJ22" s="180"/>
      <c r="BK22" s="180"/>
      <c r="BL22" s="116"/>
      <c r="BM22" s="116"/>
      <c r="BN22" s="138">
        <v>1.0</v>
      </c>
      <c r="BO22" s="138">
        <v>1.0</v>
      </c>
      <c r="BP22" s="116"/>
      <c r="BQ22" s="116"/>
      <c r="BR22" s="166"/>
      <c r="BS22" s="138">
        <v>1.0</v>
      </c>
      <c r="BT22" s="138">
        <v>1.0</v>
      </c>
      <c r="BU22" s="43"/>
      <c r="BV22" s="43"/>
      <c r="BW22" s="268">
        <v>1.0</v>
      </c>
      <c r="BX22" s="196">
        <v>1.0</v>
      </c>
      <c r="BY22" s="138">
        <v>1.0</v>
      </c>
      <c r="BZ22" s="165"/>
      <c r="CA22" s="138">
        <v>1.0</v>
      </c>
      <c r="CB22" s="138">
        <v>1.0</v>
      </c>
      <c r="CC22" s="196">
        <v>1.0</v>
      </c>
      <c r="CD22" s="196">
        <v>1.0</v>
      </c>
      <c r="CE22" s="124">
        <f t="shared" si="18"/>
        <v>11</v>
      </c>
      <c r="CF22" s="173">
        <f t="shared" si="19"/>
        <v>78.57142857</v>
      </c>
      <c r="CG22" s="138">
        <v>1.0</v>
      </c>
      <c r="CH22" s="138">
        <v>1.0</v>
      </c>
      <c r="CI22" s="186"/>
      <c r="CJ22" s="116"/>
      <c r="CK22" s="116"/>
      <c r="CL22" s="186"/>
      <c r="CM22" s="223"/>
      <c r="CN22" s="116"/>
      <c r="CO22" s="116"/>
      <c r="CP22" s="166"/>
      <c r="CQ22" s="213"/>
      <c r="CR22" s="213"/>
      <c r="CS22" s="116"/>
      <c r="CT22" s="213"/>
      <c r="CU22" s="213"/>
      <c r="CV22" s="213"/>
      <c r="CW22" s="128">
        <f t="shared" si="20"/>
        <v>2</v>
      </c>
      <c r="CX22" s="214">
        <f t="shared" si="21"/>
        <v>66.66666667</v>
      </c>
      <c r="CY22" s="171"/>
      <c r="CZ22" s="171"/>
      <c r="DA22" s="171"/>
      <c r="DB22" s="171"/>
      <c r="DC22" s="171"/>
      <c r="DD22" s="171"/>
      <c r="DE22" s="171"/>
      <c r="DF22" s="171"/>
      <c r="DG22" s="171"/>
      <c r="DH22" s="171"/>
      <c r="DI22" s="171"/>
      <c r="DJ22" s="171"/>
      <c r="DK22" s="128">
        <f t="shared" si="22"/>
        <v>0</v>
      </c>
      <c r="DL22" s="158" t="str">
        <f t="shared" si="23"/>
        <v>#DIV/0!</v>
      </c>
    </row>
    <row r="23" ht="15.75" customHeight="1">
      <c r="A23" s="131">
        <v>14.0</v>
      </c>
      <c r="B23" s="111" t="s">
        <v>78</v>
      </c>
      <c r="C23" s="112" t="s">
        <v>79</v>
      </c>
      <c r="D23" s="98">
        <f t="shared" si="8"/>
        <v>15</v>
      </c>
      <c r="E23" s="130">
        <f t="shared" si="9"/>
        <v>39.47368421</v>
      </c>
      <c r="F23" s="114">
        <f t="shared" si="10"/>
        <v>39.47368421</v>
      </c>
      <c r="G23" s="149" t="str">
        <f t="shared" si="11"/>
        <v>  </v>
      </c>
      <c r="H23" s="180"/>
      <c r="I23" s="203"/>
      <c r="J23" s="180"/>
      <c r="K23" s="180"/>
      <c r="L23" s="204"/>
      <c r="M23" s="139">
        <f t="shared" si="12"/>
        <v>0</v>
      </c>
      <c r="N23" s="140" t="str">
        <f t="shared" si="13"/>
        <v>#DIV/0!</v>
      </c>
      <c r="O23" s="116"/>
      <c r="P23" s="116"/>
      <c r="Q23" s="180"/>
      <c r="R23" s="179"/>
      <c r="S23" s="179"/>
      <c r="T23" s="116"/>
      <c r="U23" s="116"/>
      <c r="V23" s="179"/>
      <c r="W23" s="116"/>
      <c r="X23" s="116"/>
      <c r="Y23" s="179"/>
      <c r="Z23" s="185"/>
      <c r="AA23" s="217"/>
      <c r="AB23" s="116"/>
      <c r="AC23" s="179"/>
      <c r="AD23" s="176"/>
      <c r="AE23" s="138">
        <v>1.0</v>
      </c>
      <c r="AF23" s="182">
        <v>1.0</v>
      </c>
      <c r="AG23" s="182">
        <v>1.0</v>
      </c>
      <c r="AH23" s="116"/>
      <c r="AI23" s="116"/>
      <c r="AJ23" s="139">
        <f t="shared" si="14"/>
        <v>3</v>
      </c>
      <c r="AK23" s="205">
        <f t="shared" si="15"/>
        <v>30</v>
      </c>
      <c r="AL23" s="116"/>
      <c r="AM23" s="184">
        <v>1.0</v>
      </c>
      <c r="AN23" s="179"/>
      <c r="AO23" s="179"/>
      <c r="AP23" s="116"/>
      <c r="AQ23" s="116"/>
      <c r="AR23" s="116"/>
      <c r="AS23" s="166"/>
      <c r="AT23" s="138">
        <v>1.0</v>
      </c>
      <c r="AU23" s="116"/>
      <c r="AV23" s="116"/>
      <c r="AW23" s="179"/>
      <c r="AX23" s="116"/>
      <c r="AY23" s="138">
        <v>1.0</v>
      </c>
      <c r="AZ23" s="116"/>
      <c r="BA23" s="180"/>
      <c r="BB23" s="241">
        <v>1.0</v>
      </c>
      <c r="BC23" s="204"/>
      <c r="BD23" s="219">
        <v>1.0</v>
      </c>
      <c r="BE23" s="181"/>
      <c r="BF23" s="181"/>
      <c r="BG23" s="139">
        <f t="shared" si="16"/>
        <v>5</v>
      </c>
      <c r="BH23" s="208">
        <f t="shared" si="17"/>
        <v>45.45454545</v>
      </c>
      <c r="BI23" s="116"/>
      <c r="BJ23" s="116"/>
      <c r="BK23" s="180"/>
      <c r="BL23" s="116"/>
      <c r="BM23" s="116"/>
      <c r="BN23" s="116"/>
      <c r="BO23" s="116"/>
      <c r="BP23" s="116"/>
      <c r="BQ23" s="116"/>
      <c r="BR23" s="166"/>
      <c r="BS23" s="165"/>
      <c r="BT23" s="116"/>
      <c r="BU23" s="43"/>
      <c r="BV23" s="116"/>
      <c r="BW23" s="268">
        <v>1.0</v>
      </c>
      <c r="BX23" s="196">
        <v>1.0</v>
      </c>
      <c r="BY23" s="138">
        <v>1.0</v>
      </c>
      <c r="BZ23" s="165"/>
      <c r="CA23" s="116"/>
      <c r="CB23" s="116"/>
      <c r="CC23" s="165"/>
      <c r="CD23" s="196">
        <v>1.0</v>
      </c>
      <c r="CE23" s="124">
        <f t="shared" si="18"/>
        <v>4</v>
      </c>
      <c r="CF23" s="173">
        <f t="shared" si="19"/>
        <v>28.57142857</v>
      </c>
      <c r="CG23" s="184">
        <v>1.0</v>
      </c>
      <c r="CH23" s="138">
        <v>1.0</v>
      </c>
      <c r="CI23" s="138">
        <v>1.0</v>
      </c>
      <c r="CJ23" s="186"/>
      <c r="CK23" s="231"/>
      <c r="CL23" s="186"/>
      <c r="CM23" s="116"/>
      <c r="CN23" s="223"/>
      <c r="CO23" s="116"/>
      <c r="CP23" s="166"/>
      <c r="CQ23" s="213"/>
      <c r="CR23" s="213"/>
      <c r="CS23" s="213"/>
      <c r="CT23" s="116"/>
      <c r="CU23" s="116"/>
      <c r="CV23" s="213"/>
      <c r="CW23" s="128">
        <f t="shared" si="20"/>
        <v>3</v>
      </c>
      <c r="CX23" s="214">
        <f t="shared" si="21"/>
        <v>100</v>
      </c>
      <c r="CY23" s="171"/>
      <c r="CZ23" s="171"/>
      <c r="DA23" s="171"/>
      <c r="DB23" s="171"/>
      <c r="DC23" s="171"/>
      <c r="DD23" s="171"/>
      <c r="DE23" s="171"/>
      <c r="DF23" s="171"/>
      <c r="DG23" s="171"/>
      <c r="DH23" s="171"/>
      <c r="DI23" s="171"/>
      <c r="DJ23" s="171"/>
      <c r="DK23" s="128">
        <f t="shared" si="22"/>
        <v>0</v>
      </c>
      <c r="DL23" s="158" t="str">
        <f t="shared" si="23"/>
        <v>#DIV/0!</v>
      </c>
    </row>
    <row r="24" ht="15.75" customHeight="1">
      <c r="A24" s="146">
        <v>15.0</v>
      </c>
      <c r="B24" s="111" t="s">
        <v>80</v>
      </c>
      <c r="C24" s="112" t="s">
        <v>81</v>
      </c>
      <c r="D24" s="98">
        <f t="shared" si="8"/>
        <v>19</v>
      </c>
      <c r="E24" s="130">
        <f t="shared" si="9"/>
        <v>50</v>
      </c>
      <c r="F24" s="92" t="str">
        <f t="shared" si="10"/>
        <v>  </v>
      </c>
      <c r="G24" s="149" t="str">
        <f t="shared" si="11"/>
        <v>  </v>
      </c>
      <c r="H24" s="180"/>
      <c r="I24" s="180"/>
      <c r="J24" s="180"/>
      <c r="K24" s="203"/>
      <c r="L24" s="239"/>
      <c r="M24" s="139">
        <f t="shared" si="12"/>
        <v>0</v>
      </c>
      <c r="N24" s="140" t="str">
        <f t="shared" si="13"/>
        <v>#DIV/0!</v>
      </c>
      <c r="O24" s="116"/>
      <c r="P24" s="116"/>
      <c r="Q24" s="116"/>
      <c r="R24" s="179"/>
      <c r="S24" s="179"/>
      <c r="T24" s="116"/>
      <c r="U24" s="116"/>
      <c r="V24" s="179"/>
      <c r="W24" s="116"/>
      <c r="X24" s="138">
        <v>1.0</v>
      </c>
      <c r="Y24" s="184">
        <v>1.0</v>
      </c>
      <c r="Z24" s="185"/>
      <c r="AA24" s="217"/>
      <c r="AB24" s="138">
        <v>1.0</v>
      </c>
      <c r="AC24" s="184">
        <v>1.0</v>
      </c>
      <c r="AD24" s="176"/>
      <c r="AE24" s="116"/>
      <c r="AF24" s="116"/>
      <c r="AG24" s="176"/>
      <c r="AH24" s="182">
        <v>1.0</v>
      </c>
      <c r="AI24" s="176"/>
      <c r="AJ24" s="139">
        <f t="shared" si="14"/>
        <v>5</v>
      </c>
      <c r="AK24" s="205">
        <f t="shared" si="15"/>
        <v>50</v>
      </c>
      <c r="AL24" s="235">
        <v>1.0</v>
      </c>
      <c r="AM24" s="138">
        <v>1.0</v>
      </c>
      <c r="AN24" s="179"/>
      <c r="AO24" s="179"/>
      <c r="AP24" s="116"/>
      <c r="AQ24" s="116"/>
      <c r="AR24" s="116"/>
      <c r="AS24" s="166"/>
      <c r="AT24" s="138">
        <v>1.0</v>
      </c>
      <c r="AU24" s="116"/>
      <c r="AV24" s="116"/>
      <c r="AW24" s="179"/>
      <c r="AX24" s="138">
        <v>1.0</v>
      </c>
      <c r="AY24" s="138">
        <v>1.0</v>
      </c>
      <c r="AZ24" s="180"/>
      <c r="BA24" s="180"/>
      <c r="BB24" s="204"/>
      <c r="BC24" s="204"/>
      <c r="BD24" s="181"/>
      <c r="BE24" s="181"/>
      <c r="BF24" s="181"/>
      <c r="BG24" s="139">
        <f t="shared" si="16"/>
        <v>4</v>
      </c>
      <c r="BH24" s="208">
        <f t="shared" si="17"/>
        <v>36.36363636</v>
      </c>
      <c r="BI24" s="116"/>
      <c r="BJ24" s="116"/>
      <c r="BK24" s="180"/>
      <c r="BL24" s="116"/>
      <c r="BM24" s="116"/>
      <c r="BN24" s="138">
        <v>1.0</v>
      </c>
      <c r="BO24" s="138">
        <v>1.0</v>
      </c>
      <c r="BP24" s="116"/>
      <c r="BQ24" s="116"/>
      <c r="BR24" s="166"/>
      <c r="BS24" s="138">
        <v>1.0</v>
      </c>
      <c r="BT24" s="116"/>
      <c r="BU24" s="43"/>
      <c r="BV24" s="43"/>
      <c r="BW24" s="268">
        <v>1.0</v>
      </c>
      <c r="BX24" s="196">
        <v>1.0</v>
      </c>
      <c r="BY24" s="138">
        <v>1.0</v>
      </c>
      <c r="BZ24" s="165"/>
      <c r="CA24" s="116"/>
      <c r="CB24" s="196">
        <v>1.0</v>
      </c>
      <c r="CC24" s="165"/>
      <c r="CD24" s="196">
        <v>1.0</v>
      </c>
      <c r="CE24" s="124">
        <f t="shared" si="18"/>
        <v>8</v>
      </c>
      <c r="CF24" s="173">
        <f t="shared" si="19"/>
        <v>57.14285714</v>
      </c>
      <c r="CG24" s="138">
        <v>1.0</v>
      </c>
      <c r="CH24" s="138">
        <v>1.0</v>
      </c>
      <c r="CI24" s="186"/>
      <c r="CJ24" s="116"/>
      <c r="CK24" s="116"/>
      <c r="CL24" s="186"/>
      <c r="CM24" s="223"/>
      <c r="CN24" s="116"/>
      <c r="CO24" s="116"/>
      <c r="CP24" s="166"/>
      <c r="CQ24" s="213"/>
      <c r="CR24" s="213"/>
      <c r="CS24" s="116"/>
      <c r="CT24" s="116"/>
      <c r="CU24" s="213"/>
      <c r="CV24" s="213"/>
      <c r="CW24" s="128">
        <f t="shared" si="20"/>
        <v>2</v>
      </c>
      <c r="CX24" s="214">
        <f t="shared" si="21"/>
        <v>66.66666667</v>
      </c>
      <c r="CY24" s="171"/>
      <c r="CZ24" s="171"/>
      <c r="DA24" s="171"/>
      <c r="DB24" s="171"/>
      <c r="DC24" s="171"/>
      <c r="DD24" s="171"/>
      <c r="DE24" s="171"/>
      <c r="DF24" s="171"/>
      <c r="DG24" s="171"/>
      <c r="DH24" s="171"/>
      <c r="DI24" s="171"/>
      <c r="DJ24" s="171"/>
      <c r="DK24" s="128">
        <f t="shared" si="22"/>
        <v>0</v>
      </c>
      <c r="DL24" s="158" t="str">
        <f t="shared" si="23"/>
        <v>#DIV/0!</v>
      </c>
    </row>
    <row r="25" ht="15.75" customHeight="1">
      <c r="A25" s="50">
        <v>16.0</v>
      </c>
      <c r="B25" s="111" t="s">
        <v>82</v>
      </c>
      <c r="C25" s="112" t="s">
        <v>83</v>
      </c>
      <c r="D25" s="98">
        <f t="shared" si="8"/>
        <v>14</v>
      </c>
      <c r="E25" s="130">
        <f t="shared" si="9"/>
        <v>36.84210526</v>
      </c>
      <c r="F25" s="114">
        <f t="shared" si="10"/>
        <v>36.84210526</v>
      </c>
      <c r="G25" s="149" t="str">
        <f t="shared" si="11"/>
        <v>  </v>
      </c>
      <c r="H25" s="180"/>
      <c r="I25" s="203"/>
      <c r="J25" s="203"/>
      <c r="K25" s="180"/>
      <c r="L25" s="204"/>
      <c r="M25" s="139">
        <f t="shared" si="12"/>
        <v>0</v>
      </c>
      <c r="N25" s="140" t="str">
        <f t="shared" si="13"/>
        <v>#DIV/0!</v>
      </c>
      <c r="O25" s="116"/>
      <c r="P25" s="116"/>
      <c r="Q25" s="180"/>
      <c r="R25" s="179"/>
      <c r="S25" s="179"/>
      <c r="T25" s="116"/>
      <c r="U25" s="116"/>
      <c r="V25" s="179"/>
      <c r="W25" s="116"/>
      <c r="X25" s="138">
        <v>1.0</v>
      </c>
      <c r="Y25" s="179"/>
      <c r="Z25" s="185"/>
      <c r="AA25" s="217"/>
      <c r="AB25" s="116"/>
      <c r="AC25" s="184">
        <v>1.0</v>
      </c>
      <c r="AD25" s="176"/>
      <c r="AE25" s="116"/>
      <c r="AF25" s="116"/>
      <c r="AG25" s="182">
        <v>1.0</v>
      </c>
      <c r="AH25" s="116"/>
      <c r="AI25" s="116"/>
      <c r="AJ25" s="139">
        <f t="shared" si="14"/>
        <v>3</v>
      </c>
      <c r="AK25" s="205">
        <f t="shared" si="15"/>
        <v>30</v>
      </c>
      <c r="AL25" s="138">
        <v>1.0</v>
      </c>
      <c r="AM25" s="138">
        <v>1.0</v>
      </c>
      <c r="AN25" s="179"/>
      <c r="AO25" s="116"/>
      <c r="AP25" s="116"/>
      <c r="AQ25" s="116"/>
      <c r="AR25" s="116"/>
      <c r="AS25" s="166"/>
      <c r="AT25" s="138">
        <v>1.0</v>
      </c>
      <c r="AU25" s="116"/>
      <c r="AV25" s="116"/>
      <c r="AW25" s="179"/>
      <c r="AX25" s="116"/>
      <c r="AY25" s="116"/>
      <c r="AZ25" s="180"/>
      <c r="BA25" s="180"/>
      <c r="BB25" s="116"/>
      <c r="BC25" s="204"/>
      <c r="BD25" s="181"/>
      <c r="BE25" s="181"/>
      <c r="BF25" s="181"/>
      <c r="BG25" s="139">
        <f t="shared" si="16"/>
        <v>2</v>
      </c>
      <c r="BH25" s="208">
        <f t="shared" si="17"/>
        <v>18.18181818</v>
      </c>
      <c r="BI25" s="116"/>
      <c r="BJ25" s="180"/>
      <c r="BK25" s="180"/>
      <c r="BL25" s="116"/>
      <c r="BM25" s="116"/>
      <c r="BN25" s="138">
        <v>1.0</v>
      </c>
      <c r="BO25" s="138">
        <v>1.0</v>
      </c>
      <c r="BP25" s="116"/>
      <c r="BQ25" s="116"/>
      <c r="BR25" s="166"/>
      <c r="BS25" s="116"/>
      <c r="BT25" s="185"/>
      <c r="BU25" s="43"/>
      <c r="BV25" s="43"/>
      <c r="BW25" s="268">
        <v>1.0</v>
      </c>
      <c r="BX25" s="196">
        <v>1.0</v>
      </c>
      <c r="BY25" s="138">
        <v>1.0</v>
      </c>
      <c r="BZ25" s="165"/>
      <c r="CA25" s="116"/>
      <c r="CB25" s="138">
        <v>1.0</v>
      </c>
      <c r="CC25" s="165"/>
      <c r="CD25" s="196">
        <v>1.0</v>
      </c>
      <c r="CE25" s="124">
        <f t="shared" si="18"/>
        <v>7</v>
      </c>
      <c r="CF25" s="173">
        <f t="shared" si="19"/>
        <v>50</v>
      </c>
      <c r="CG25" s="138">
        <v>1.0</v>
      </c>
      <c r="CH25" s="138">
        <v>1.0</v>
      </c>
      <c r="CI25" s="186"/>
      <c r="CJ25" s="116"/>
      <c r="CK25" s="116"/>
      <c r="CL25" s="186"/>
      <c r="CM25" s="223"/>
      <c r="CN25" s="223"/>
      <c r="CO25" s="116"/>
      <c r="CP25" s="166"/>
      <c r="CQ25" s="213"/>
      <c r="CR25" s="213"/>
      <c r="CS25" s="213"/>
      <c r="CT25" s="116"/>
      <c r="CU25" s="213"/>
      <c r="CV25" s="213"/>
      <c r="CW25" s="128">
        <f t="shared" si="20"/>
        <v>2</v>
      </c>
      <c r="CX25" s="214">
        <f t="shared" si="21"/>
        <v>66.66666667</v>
      </c>
      <c r="CY25" s="171"/>
      <c r="CZ25" s="171"/>
      <c r="DA25" s="171"/>
      <c r="DB25" s="171"/>
      <c r="DC25" s="171"/>
      <c r="DD25" s="171"/>
      <c r="DE25" s="171"/>
      <c r="DF25" s="171"/>
      <c r="DG25" s="171"/>
      <c r="DH25" s="171"/>
      <c r="DI25" s="171"/>
      <c r="DJ25" s="171"/>
      <c r="DK25" s="128">
        <f t="shared" si="22"/>
        <v>0</v>
      </c>
      <c r="DL25" s="158" t="str">
        <f t="shared" si="23"/>
        <v>#DIV/0!</v>
      </c>
    </row>
    <row r="26" ht="15.75" customHeight="1">
      <c r="A26" s="131">
        <v>17.0</v>
      </c>
      <c r="B26" s="111" t="s">
        <v>84</v>
      </c>
      <c r="C26" s="112" t="s">
        <v>85</v>
      </c>
      <c r="D26" s="98">
        <f t="shared" si="8"/>
        <v>25</v>
      </c>
      <c r="E26" s="130">
        <f t="shared" si="9"/>
        <v>65.78947368</v>
      </c>
      <c r="F26" s="92" t="str">
        <f t="shared" si="10"/>
        <v>  </v>
      </c>
      <c r="G26" s="149" t="str">
        <f t="shared" si="11"/>
        <v>  </v>
      </c>
      <c r="H26" s="180"/>
      <c r="I26" s="203"/>
      <c r="J26" s="180"/>
      <c r="K26" s="180"/>
      <c r="L26" s="204"/>
      <c r="M26" s="139">
        <f t="shared" si="12"/>
        <v>0</v>
      </c>
      <c r="N26" s="140" t="str">
        <f t="shared" si="13"/>
        <v>#DIV/0!</v>
      </c>
      <c r="O26" s="116"/>
      <c r="P26" s="116"/>
      <c r="Q26" s="180"/>
      <c r="R26" s="228"/>
      <c r="S26" s="228"/>
      <c r="T26" s="116"/>
      <c r="U26" s="116"/>
      <c r="V26" s="228"/>
      <c r="W26" s="138">
        <v>1.0</v>
      </c>
      <c r="X26" s="138">
        <v>1.0</v>
      </c>
      <c r="Y26" s="233">
        <v>1.0</v>
      </c>
      <c r="Z26" s="185"/>
      <c r="AA26" s="217"/>
      <c r="AB26" s="138">
        <v>1.0</v>
      </c>
      <c r="AC26" s="233">
        <v>1.0</v>
      </c>
      <c r="AD26" s="116"/>
      <c r="AE26" s="116"/>
      <c r="AF26" s="176"/>
      <c r="AG26" s="229">
        <v>1.0</v>
      </c>
      <c r="AH26" s="116"/>
      <c r="AI26" s="116"/>
      <c r="AJ26" s="139">
        <f t="shared" si="14"/>
        <v>6</v>
      </c>
      <c r="AK26" s="205">
        <f t="shared" si="15"/>
        <v>60</v>
      </c>
      <c r="AL26" s="116"/>
      <c r="AM26" s="116"/>
      <c r="AN26" s="228"/>
      <c r="AO26" s="116"/>
      <c r="AP26" s="116"/>
      <c r="AQ26" s="116"/>
      <c r="AR26" s="116"/>
      <c r="AS26" s="191">
        <v>1.0</v>
      </c>
      <c r="AT26" s="138">
        <v>1.0</v>
      </c>
      <c r="AU26" s="116"/>
      <c r="AV26" s="138">
        <v>1.0</v>
      </c>
      <c r="AW26" s="228"/>
      <c r="AX26" s="138">
        <v>1.0</v>
      </c>
      <c r="AY26" s="138">
        <v>1.0</v>
      </c>
      <c r="AZ26" s="180"/>
      <c r="BA26" s="180"/>
      <c r="BB26" s="218">
        <v>1.0</v>
      </c>
      <c r="BC26" s="218">
        <v>1.0</v>
      </c>
      <c r="BD26" s="219">
        <v>1.0</v>
      </c>
      <c r="BE26" s="181"/>
      <c r="BF26" s="181"/>
      <c r="BG26" s="139">
        <f t="shared" si="16"/>
        <v>8</v>
      </c>
      <c r="BH26" s="208">
        <f t="shared" si="17"/>
        <v>72.72727273</v>
      </c>
      <c r="BI26" s="116"/>
      <c r="BJ26" s="116"/>
      <c r="BK26" s="180"/>
      <c r="BL26" s="116"/>
      <c r="BM26" s="116"/>
      <c r="BN26" s="116"/>
      <c r="BO26" s="116"/>
      <c r="BP26" s="116"/>
      <c r="BQ26" s="116"/>
      <c r="BR26" s="166"/>
      <c r="BS26" s="138">
        <v>1.0</v>
      </c>
      <c r="BT26" s="210">
        <v>1.0</v>
      </c>
      <c r="BU26" s="145">
        <v>1.0</v>
      </c>
      <c r="BV26" s="43"/>
      <c r="BW26" s="268">
        <v>1.0</v>
      </c>
      <c r="BX26" s="196">
        <v>1.0</v>
      </c>
      <c r="BY26" s="138">
        <v>1.0</v>
      </c>
      <c r="BZ26" s="165"/>
      <c r="CA26" s="138">
        <v>1.0</v>
      </c>
      <c r="CB26" s="138">
        <v>1.0</v>
      </c>
      <c r="CC26" s="196">
        <v>1.0</v>
      </c>
      <c r="CD26" s="196">
        <v>1.0</v>
      </c>
      <c r="CE26" s="124">
        <f t="shared" si="18"/>
        <v>10</v>
      </c>
      <c r="CF26" s="173">
        <f t="shared" si="19"/>
        <v>71.42857143</v>
      </c>
      <c r="CG26" s="116"/>
      <c r="CH26" s="138">
        <v>1.0</v>
      </c>
      <c r="CI26" s="116"/>
      <c r="CJ26" s="186"/>
      <c r="CK26" s="116"/>
      <c r="CL26" s="186"/>
      <c r="CM26" s="116"/>
      <c r="CN26" s="116"/>
      <c r="CO26" s="116"/>
      <c r="CP26" s="166"/>
      <c r="CQ26" s="213"/>
      <c r="CR26" s="213"/>
      <c r="CS26" s="116"/>
      <c r="CT26" s="213"/>
      <c r="CU26" s="213"/>
      <c r="CV26" s="213"/>
      <c r="CW26" s="128">
        <f t="shared" si="20"/>
        <v>1</v>
      </c>
      <c r="CX26" s="214">
        <f t="shared" si="21"/>
        <v>33.33333333</v>
      </c>
      <c r="CY26" s="171"/>
      <c r="CZ26" s="171"/>
      <c r="DA26" s="171"/>
      <c r="DB26" s="171"/>
      <c r="DC26" s="171"/>
      <c r="DD26" s="171"/>
      <c r="DE26" s="171"/>
      <c r="DF26" s="171"/>
      <c r="DG26" s="171"/>
      <c r="DH26" s="171"/>
      <c r="DI26" s="171"/>
      <c r="DJ26" s="171"/>
      <c r="DK26" s="128">
        <f t="shared" si="22"/>
        <v>0</v>
      </c>
      <c r="DL26" s="158" t="str">
        <f t="shared" si="23"/>
        <v>#DIV/0!</v>
      </c>
    </row>
    <row r="27" ht="15.75" customHeight="1">
      <c r="A27" s="146">
        <v>18.0</v>
      </c>
      <c r="B27" s="111" t="s">
        <v>86</v>
      </c>
      <c r="C27" s="112" t="s">
        <v>87</v>
      </c>
      <c r="D27" s="98">
        <f t="shared" si="8"/>
        <v>17</v>
      </c>
      <c r="E27" s="130">
        <f t="shared" si="9"/>
        <v>44.73684211</v>
      </c>
      <c r="F27" s="114">
        <f t="shared" si="10"/>
        <v>44.73684211</v>
      </c>
      <c r="G27" s="149" t="str">
        <f t="shared" si="11"/>
        <v>  </v>
      </c>
      <c r="H27" s="180"/>
      <c r="I27" s="180"/>
      <c r="J27" s="203"/>
      <c r="K27" s="180"/>
      <c r="L27" s="204"/>
      <c r="M27" s="139">
        <f t="shared" si="12"/>
        <v>0</v>
      </c>
      <c r="N27" s="140" t="str">
        <f t="shared" si="13"/>
        <v>#DIV/0!</v>
      </c>
      <c r="O27" s="116"/>
      <c r="P27" s="116"/>
      <c r="Q27" s="180"/>
      <c r="R27" s="179"/>
      <c r="S27" s="116"/>
      <c r="T27" s="116"/>
      <c r="U27" s="116"/>
      <c r="V27" s="179"/>
      <c r="W27" s="116"/>
      <c r="X27" s="116"/>
      <c r="Y27" s="184">
        <v>1.0</v>
      </c>
      <c r="Z27" s="185"/>
      <c r="AA27" s="217"/>
      <c r="AB27" s="138">
        <v>1.0</v>
      </c>
      <c r="AC27" s="179"/>
      <c r="AD27" s="116"/>
      <c r="AE27" s="116"/>
      <c r="AF27" s="138">
        <v>1.0</v>
      </c>
      <c r="AG27" s="176"/>
      <c r="AH27" s="176"/>
      <c r="AI27" s="116"/>
      <c r="AJ27" s="139">
        <f t="shared" si="14"/>
        <v>3</v>
      </c>
      <c r="AK27" s="205">
        <f t="shared" si="15"/>
        <v>30</v>
      </c>
      <c r="AL27" s="116"/>
      <c r="AM27" s="184">
        <v>1.0</v>
      </c>
      <c r="AN27" s="179"/>
      <c r="AO27" s="116"/>
      <c r="AP27" s="179"/>
      <c r="AQ27" s="116"/>
      <c r="AR27" s="116"/>
      <c r="AS27" s="166"/>
      <c r="AT27" s="116"/>
      <c r="AU27" s="116"/>
      <c r="AV27" s="116"/>
      <c r="AW27" s="179"/>
      <c r="AX27" s="116"/>
      <c r="AY27" s="138">
        <v>1.0</v>
      </c>
      <c r="AZ27" s="116"/>
      <c r="BA27" s="180"/>
      <c r="BB27" s="204"/>
      <c r="BC27" s="204"/>
      <c r="BD27" s="181"/>
      <c r="BE27" s="181"/>
      <c r="BF27" s="181"/>
      <c r="BG27" s="139">
        <f t="shared" si="16"/>
        <v>2</v>
      </c>
      <c r="BH27" s="208">
        <f t="shared" si="17"/>
        <v>18.18181818</v>
      </c>
      <c r="BI27" s="116"/>
      <c r="BJ27" s="116"/>
      <c r="BK27" s="180"/>
      <c r="BL27" s="116"/>
      <c r="BM27" s="116"/>
      <c r="BN27" s="138">
        <v>1.0</v>
      </c>
      <c r="BO27" s="138">
        <v>1.0</v>
      </c>
      <c r="BP27" s="116"/>
      <c r="BQ27" s="116"/>
      <c r="BR27" s="166"/>
      <c r="BS27" s="138">
        <v>1.0</v>
      </c>
      <c r="BT27" s="185"/>
      <c r="BU27" s="145">
        <v>1.0</v>
      </c>
      <c r="BV27" s="43"/>
      <c r="BW27" s="268">
        <v>1.0</v>
      </c>
      <c r="BX27" s="196">
        <v>1.0</v>
      </c>
      <c r="BY27" s="116"/>
      <c r="BZ27" s="196">
        <v>1.0</v>
      </c>
      <c r="CA27" s="138">
        <v>1.0</v>
      </c>
      <c r="CB27" s="116"/>
      <c r="CC27" s="196">
        <v>1.0</v>
      </c>
      <c r="CD27" s="196">
        <v>1.0</v>
      </c>
      <c r="CE27" s="124">
        <f t="shared" si="18"/>
        <v>10</v>
      </c>
      <c r="CF27" s="173">
        <f t="shared" si="19"/>
        <v>71.42857143</v>
      </c>
      <c r="CG27" s="138">
        <v>1.0</v>
      </c>
      <c r="CH27" s="116"/>
      <c r="CI27" s="200">
        <v>1.0</v>
      </c>
      <c r="CJ27" s="116"/>
      <c r="CK27" s="116"/>
      <c r="CL27" s="186"/>
      <c r="CM27" s="223"/>
      <c r="CN27" s="116"/>
      <c r="CO27" s="223"/>
      <c r="CP27" s="166"/>
      <c r="CQ27" s="213"/>
      <c r="CR27" s="213"/>
      <c r="CS27" s="213"/>
      <c r="CT27" s="116"/>
      <c r="CU27" s="213"/>
      <c r="CV27" s="213"/>
      <c r="CW27" s="128">
        <f t="shared" si="20"/>
        <v>2</v>
      </c>
      <c r="CX27" s="214">
        <f t="shared" si="21"/>
        <v>66.66666667</v>
      </c>
      <c r="CY27" s="171"/>
      <c r="CZ27" s="171"/>
      <c r="DA27" s="171"/>
      <c r="DB27" s="171"/>
      <c r="DC27" s="171"/>
      <c r="DD27" s="171"/>
      <c r="DE27" s="171"/>
      <c r="DF27" s="171"/>
      <c r="DG27" s="171"/>
      <c r="DH27" s="171"/>
      <c r="DI27" s="171"/>
      <c r="DJ27" s="171"/>
      <c r="DK27" s="128">
        <f t="shared" si="22"/>
        <v>0</v>
      </c>
      <c r="DL27" s="158" t="str">
        <f t="shared" si="23"/>
        <v>#DIV/0!</v>
      </c>
    </row>
    <row r="28" ht="15.75" customHeight="1">
      <c r="A28" s="50">
        <v>19.0</v>
      </c>
      <c r="B28" s="111" t="s">
        <v>88</v>
      </c>
      <c r="C28" s="112" t="s">
        <v>89</v>
      </c>
      <c r="D28" s="98">
        <f t="shared" si="8"/>
        <v>22</v>
      </c>
      <c r="E28" s="130">
        <f t="shared" si="9"/>
        <v>57.89473684</v>
      </c>
      <c r="F28" s="92" t="str">
        <f t="shared" si="10"/>
        <v>  </v>
      </c>
      <c r="G28" s="149" t="str">
        <f t="shared" si="11"/>
        <v>  </v>
      </c>
      <c r="H28" s="180"/>
      <c r="I28" s="180"/>
      <c r="J28" s="180"/>
      <c r="K28" s="180"/>
      <c r="L28" s="204"/>
      <c r="M28" s="139">
        <f t="shared" si="12"/>
        <v>0</v>
      </c>
      <c r="N28" s="140" t="str">
        <f t="shared" si="13"/>
        <v>#DIV/0!</v>
      </c>
      <c r="O28" s="116"/>
      <c r="P28" s="116"/>
      <c r="Q28" s="180"/>
      <c r="R28" s="179"/>
      <c r="S28" s="179"/>
      <c r="T28" s="116"/>
      <c r="U28" s="116"/>
      <c r="V28" s="179"/>
      <c r="W28" s="116"/>
      <c r="X28" s="116"/>
      <c r="Y28" s="179"/>
      <c r="Z28" s="185"/>
      <c r="AA28" s="217"/>
      <c r="AB28" s="138">
        <v>1.0</v>
      </c>
      <c r="AC28" s="179"/>
      <c r="AD28" s="176"/>
      <c r="AE28" s="138">
        <v>1.0</v>
      </c>
      <c r="AF28" s="116"/>
      <c r="AG28" s="182">
        <v>1.0</v>
      </c>
      <c r="AH28" s="138">
        <v>1.0</v>
      </c>
      <c r="AI28" s="116"/>
      <c r="AJ28" s="139">
        <f t="shared" si="14"/>
        <v>4</v>
      </c>
      <c r="AK28" s="205">
        <f t="shared" si="15"/>
        <v>40</v>
      </c>
      <c r="AL28" s="138">
        <v>1.0</v>
      </c>
      <c r="AM28" s="184">
        <v>1.0</v>
      </c>
      <c r="AN28" s="184">
        <v>1.0</v>
      </c>
      <c r="AO28" s="179"/>
      <c r="AP28" s="116"/>
      <c r="AQ28" s="116"/>
      <c r="AR28" s="116"/>
      <c r="AS28" s="166"/>
      <c r="AT28" s="138">
        <v>1.0</v>
      </c>
      <c r="AU28" s="116"/>
      <c r="AV28" s="138">
        <v>1.0</v>
      </c>
      <c r="AW28" s="179"/>
      <c r="AX28" s="116"/>
      <c r="AY28" s="138">
        <v>1.0</v>
      </c>
      <c r="AZ28" s="116"/>
      <c r="BA28" s="180"/>
      <c r="BB28" s="218">
        <v>1.0</v>
      </c>
      <c r="BC28" s="204"/>
      <c r="BD28" s="219">
        <v>1.0</v>
      </c>
      <c r="BE28" s="181"/>
      <c r="BF28" s="181"/>
      <c r="BG28" s="139">
        <f t="shared" si="16"/>
        <v>7</v>
      </c>
      <c r="BH28" s="208">
        <f t="shared" si="17"/>
        <v>63.63636364</v>
      </c>
      <c r="BI28" s="116"/>
      <c r="BJ28" s="116"/>
      <c r="BK28" s="180"/>
      <c r="BL28" s="116"/>
      <c r="BM28" s="116"/>
      <c r="BN28" s="138">
        <v>1.0</v>
      </c>
      <c r="BO28" s="138">
        <v>1.0</v>
      </c>
      <c r="BP28" s="116"/>
      <c r="BQ28" s="211"/>
      <c r="BR28" s="166"/>
      <c r="BS28" s="196">
        <v>1.0</v>
      </c>
      <c r="BT28" s="210">
        <v>1.0</v>
      </c>
      <c r="BU28" s="43"/>
      <c r="BV28" s="116"/>
      <c r="BW28" s="268">
        <v>1.0</v>
      </c>
      <c r="BX28" s="196">
        <v>1.0</v>
      </c>
      <c r="BY28" s="138">
        <v>1.0</v>
      </c>
      <c r="BZ28" s="165"/>
      <c r="CA28" s="116"/>
      <c r="CB28" s="116"/>
      <c r="CC28" s="165"/>
      <c r="CD28" s="196">
        <v>1.0</v>
      </c>
      <c r="CE28" s="124">
        <f t="shared" si="18"/>
        <v>8</v>
      </c>
      <c r="CF28" s="173">
        <f t="shared" si="19"/>
        <v>57.14285714</v>
      </c>
      <c r="CG28" s="184">
        <v>1.0</v>
      </c>
      <c r="CH28" s="138">
        <v>1.0</v>
      </c>
      <c r="CI28" s="138">
        <v>1.0</v>
      </c>
      <c r="CJ28" s="186"/>
      <c r="CK28" s="116"/>
      <c r="CL28" s="186"/>
      <c r="CM28" s="116"/>
      <c r="CN28" s="223"/>
      <c r="CO28" s="116"/>
      <c r="CP28" s="166"/>
      <c r="CQ28" s="213"/>
      <c r="CR28" s="213"/>
      <c r="CS28" s="213"/>
      <c r="CT28" s="116"/>
      <c r="CU28" s="116"/>
      <c r="CV28" s="213"/>
      <c r="CW28" s="128">
        <f t="shared" si="20"/>
        <v>3</v>
      </c>
      <c r="CX28" s="214">
        <f t="shared" si="21"/>
        <v>100</v>
      </c>
      <c r="CY28" s="171"/>
      <c r="CZ28" s="171"/>
      <c r="DA28" s="171"/>
      <c r="DB28" s="171"/>
      <c r="DC28" s="171"/>
      <c r="DD28" s="171"/>
      <c r="DE28" s="171"/>
      <c r="DF28" s="171"/>
      <c r="DG28" s="171"/>
      <c r="DH28" s="171"/>
      <c r="DI28" s="171"/>
      <c r="DJ28" s="171"/>
      <c r="DK28" s="128">
        <f t="shared" si="22"/>
        <v>0</v>
      </c>
      <c r="DL28" s="158" t="str">
        <f t="shared" si="23"/>
        <v>#DIV/0!</v>
      </c>
    </row>
    <row r="29" ht="15.75" customHeight="1">
      <c r="A29" s="131">
        <v>20.0</v>
      </c>
      <c r="B29" s="111" t="s">
        <v>90</v>
      </c>
      <c r="C29" s="112" t="s">
        <v>91</v>
      </c>
      <c r="D29" s="98">
        <f t="shared" si="8"/>
        <v>14</v>
      </c>
      <c r="E29" s="130">
        <f t="shared" si="9"/>
        <v>36.84210526</v>
      </c>
      <c r="F29" s="114">
        <f t="shared" si="10"/>
        <v>36.84210526</v>
      </c>
      <c r="G29" s="149" t="str">
        <f t="shared" si="11"/>
        <v>  </v>
      </c>
      <c r="H29" s="180"/>
      <c r="I29" s="180"/>
      <c r="J29" s="180"/>
      <c r="K29" s="180"/>
      <c r="L29" s="204"/>
      <c r="M29" s="139">
        <f t="shared" si="12"/>
        <v>0</v>
      </c>
      <c r="N29" s="140" t="str">
        <f t="shared" si="13"/>
        <v>#DIV/0!</v>
      </c>
      <c r="O29" s="116"/>
      <c r="P29" s="116"/>
      <c r="Q29" s="180"/>
      <c r="R29" s="179"/>
      <c r="S29" s="116"/>
      <c r="T29" s="116"/>
      <c r="U29" s="116"/>
      <c r="V29" s="179"/>
      <c r="W29" s="116"/>
      <c r="X29" s="138">
        <v>1.0</v>
      </c>
      <c r="Y29" s="179"/>
      <c r="Z29" s="185"/>
      <c r="AA29" s="217"/>
      <c r="AB29" s="116"/>
      <c r="AC29" s="184">
        <v>1.0</v>
      </c>
      <c r="AD29" s="176"/>
      <c r="AE29" s="116"/>
      <c r="AF29" s="176"/>
      <c r="AG29" s="182">
        <v>1.0</v>
      </c>
      <c r="AH29" s="116"/>
      <c r="AI29" s="176"/>
      <c r="AJ29" s="139">
        <f t="shared" si="14"/>
        <v>3</v>
      </c>
      <c r="AK29" s="205">
        <f t="shared" si="15"/>
        <v>30</v>
      </c>
      <c r="AL29" s="138">
        <v>1.0</v>
      </c>
      <c r="AM29" s="116"/>
      <c r="AN29" s="179"/>
      <c r="AO29" s="116"/>
      <c r="AP29" s="116"/>
      <c r="AQ29" s="116"/>
      <c r="AR29" s="116"/>
      <c r="AS29" s="191">
        <v>1.0</v>
      </c>
      <c r="AT29" s="116"/>
      <c r="AU29" s="116"/>
      <c r="AV29" s="116"/>
      <c r="AW29" s="179"/>
      <c r="AX29" s="116"/>
      <c r="AY29" s="116"/>
      <c r="AZ29" s="180"/>
      <c r="BA29" s="180"/>
      <c r="BB29" s="218">
        <v>1.0</v>
      </c>
      <c r="BC29" s="204"/>
      <c r="BD29" s="181"/>
      <c r="BE29" s="181"/>
      <c r="BF29" s="181"/>
      <c r="BG29" s="139">
        <f t="shared" si="16"/>
        <v>2</v>
      </c>
      <c r="BH29" s="208">
        <f t="shared" si="17"/>
        <v>18.18181818</v>
      </c>
      <c r="BI29" s="116"/>
      <c r="BJ29" s="180"/>
      <c r="BK29" s="180"/>
      <c r="BL29" s="116"/>
      <c r="BM29" s="116"/>
      <c r="BN29" s="138">
        <v>1.0</v>
      </c>
      <c r="BO29" s="138">
        <v>1.0</v>
      </c>
      <c r="BP29" s="116"/>
      <c r="BQ29" s="116"/>
      <c r="BR29" s="166"/>
      <c r="BS29" s="116"/>
      <c r="BT29" s="210">
        <v>1.0</v>
      </c>
      <c r="BU29" s="43"/>
      <c r="BV29" s="43"/>
      <c r="BW29" s="268">
        <v>1.0</v>
      </c>
      <c r="BX29" s="196">
        <v>1.0</v>
      </c>
      <c r="BY29" s="138">
        <v>1.0</v>
      </c>
      <c r="BZ29" s="165"/>
      <c r="CA29" s="116"/>
      <c r="CB29" s="116"/>
      <c r="CC29" s="165"/>
      <c r="CD29" s="196">
        <v>1.0</v>
      </c>
      <c r="CE29" s="124">
        <f t="shared" si="18"/>
        <v>7</v>
      </c>
      <c r="CF29" s="173">
        <f t="shared" si="19"/>
        <v>50</v>
      </c>
      <c r="CG29" s="138">
        <v>1.0</v>
      </c>
      <c r="CH29" s="138">
        <v>1.0</v>
      </c>
      <c r="CI29" s="186"/>
      <c r="CJ29" s="116"/>
      <c r="CK29" s="116"/>
      <c r="CL29" s="186"/>
      <c r="CM29" s="223"/>
      <c r="CN29" s="116"/>
      <c r="CO29" s="223"/>
      <c r="CP29" s="166"/>
      <c r="CQ29" s="213"/>
      <c r="CR29" s="213"/>
      <c r="CS29" s="116"/>
      <c r="CT29" s="213"/>
      <c r="CU29" s="213"/>
      <c r="CV29" s="213"/>
      <c r="CW29" s="128">
        <f t="shared" si="20"/>
        <v>2</v>
      </c>
      <c r="CX29" s="214">
        <f t="shared" si="21"/>
        <v>66.66666667</v>
      </c>
      <c r="CY29" s="171"/>
      <c r="CZ29" s="171"/>
      <c r="DA29" s="171"/>
      <c r="DB29" s="171"/>
      <c r="DC29" s="171"/>
      <c r="DD29" s="171"/>
      <c r="DE29" s="171"/>
      <c r="DF29" s="171"/>
      <c r="DG29" s="171"/>
      <c r="DH29" s="171"/>
      <c r="DI29" s="171"/>
      <c r="DJ29" s="171"/>
      <c r="DK29" s="128">
        <f t="shared" si="22"/>
        <v>0</v>
      </c>
      <c r="DL29" s="158" t="str">
        <f t="shared" si="23"/>
        <v>#DIV/0!</v>
      </c>
    </row>
    <row r="30" ht="15.75" customHeight="1">
      <c r="A30" s="146">
        <v>21.0</v>
      </c>
      <c r="B30" s="111" t="s">
        <v>92</v>
      </c>
      <c r="C30" s="112" t="s">
        <v>93</v>
      </c>
      <c r="D30" s="98">
        <f t="shared" si="8"/>
        <v>1</v>
      </c>
      <c r="E30" s="130">
        <f t="shared" si="9"/>
        <v>2.631578947</v>
      </c>
      <c r="F30" s="114">
        <f t="shared" si="10"/>
        <v>2.631578947</v>
      </c>
      <c r="G30" s="226">
        <f t="shared" si="11"/>
        <v>2.631578947</v>
      </c>
      <c r="H30" s="180"/>
      <c r="I30" s="180"/>
      <c r="J30" s="180"/>
      <c r="K30" s="180"/>
      <c r="L30" s="204"/>
      <c r="M30" s="139">
        <f t="shared" si="12"/>
        <v>0</v>
      </c>
      <c r="N30" s="140" t="str">
        <f t="shared" si="13"/>
        <v>#DIV/0!</v>
      </c>
      <c r="O30" s="116"/>
      <c r="P30" s="116"/>
      <c r="Q30" s="180"/>
      <c r="R30" s="179"/>
      <c r="S30" s="179"/>
      <c r="T30" s="116"/>
      <c r="U30" s="116"/>
      <c r="V30" s="179"/>
      <c r="W30" s="116"/>
      <c r="X30" s="116"/>
      <c r="Y30" s="179"/>
      <c r="Z30" s="185"/>
      <c r="AA30" s="217"/>
      <c r="AB30" s="116"/>
      <c r="AC30" s="179"/>
      <c r="AD30" s="176"/>
      <c r="AE30" s="176"/>
      <c r="AF30" s="182">
        <v>1.0</v>
      </c>
      <c r="AG30" s="176"/>
      <c r="AH30" s="176"/>
      <c r="AI30" s="176"/>
      <c r="AJ30" s="139">
        <f t="shared" si="14"/>
        <v>1</v>
      </c>
      <c r="AK30" s="205">
        <f t="shared" si="15"/>
        <v>10</v>
      </c>
      <c r="AL30" s="235">
        <v>1.0</v>
      </c>
      <c r="AM30" s="179"/>
      <c r="AN30" s="179"/>
      <c r="AO30" s="179"/>
      <c r="AP30" s="179"/>
      <c r="AQ30" s="116"/>
      <c r="AR30" s="116"/>
      <c r="AS30" s="166"/>
      <c r="AT30" s="116"/>
      <c r="AU30" s="116"/>
      <c r="AV30" s="116"/>
      <c r="AW30" s="179"/>
      <c r="AX30" s="116"/>
      <c r="AY30" s="116"/>
      <c r="AZ30" s="180"/>
      <c r="BA30" s="180"/>
      <c r="BB30" s="204"/>
      <c r="BC30" s="204"/>
      <c r="BD30" s="181"/>
      <c r="BE30" s="181"/>
      <c r="BF30" s="181"/>
      <c r="BG30" s="139">
        <f t="shared" si="16"/>
        <v>0</v>
      </c>
      <c r="BH30" s="208">
        <f t="shared" si="17"/>
        <v>0</v>
      </c>
      <c r="BI30" s="116"/>
      <c r="BJ30" s="180"/>
      <c r="BK30" s="180"/>
      <c r="BL30" s="116"/>
      <c r="BM30" s="116"/>
      <c r="BN30" s="116"/>
      <c r="BO30" s="116"/>
      <c r="BP30" s="116"/>
      <c r="BQ30" s="211"/>
      <c r="BR30" s="166"/>
      <c r="BS30" s="165"/>
      <c r="BT30" s="185"/>
      <c r="BU30" s="43"/>
      <c r="BV30" s="43"/>
      <c r="BW30" s="266"/>
      <c r="BX30" s="165"/>
      <c r="BY30" s="116"/>
      <c r="BZ30" s="165"/>
      <c r="CA30" s="165"/>
      <c r="CB30" s="165"/>
      <c r="CC30" s="165"/>
      <c r="CD30" s="165"/>
      <c r="CE30" s="124">
        <f t="shared" si="18"/>
        <v>0</v>
      </c>
      <c r="CF30" s="173">
        <f t="shared" si="19"/>
        <v>0</v>
      </c>
      <c r="CG30" s="179"/>
      <c r="CH30" s="238"/>
      <c r="CI30" s="186"/>
      <c r="CJ30" s="186"/>
      <c r="CK30" s="231"/>
      <c r="CL30" s="186"/>
      <c r="CM30" s="223"/>
      <c r="CN30" s="223"/>
      <c r="CO30" s="223"/>
      <c r="CP30" s="166"/>
      <c r="CQ30" s="213"/>
      <c r="CR30" s="213"/>
      <c r="CS30" s="213"/>
      <c r="CT30" s="213"/>
      <c r="CU30" s="213"/>
      <c r="CV30" s="213"/>
      <c r="CW30" s="128">
        <f t="shared" si="20"/>
        <v>0</v>
      </c>
      <c r="CX30" s="214">
        <f t="shared" si="21"/>
        <v>0</v>
      </c>
      <c r="CY30" s="171"/>
      <c r="CZ30" s="171"/>
      <c r="DA30" s="171"/>
      <c r="DB30" s="171"/>
      <c r="DC30" s="171"/>
      <c r="DD30" s="171"/>
      <c r="DE30" s="171"/>
      <c r="DF30" s="171"/>
      <c r="DG30" s="171"/>
      <c r="DH30" s="171"/>
      <c r="DI30" s="171"/>
      <c r="DJ30" s="171"/>
      <c r="DK30" s="128">
        <f t="shared" si="22"/>
        <v>0</v>
      </c>
      <c r="DL30" s="158" t="str">
        <f t="shared" si="23"/>
        <v>#DIV/0!</v>
      </c>
    </row>
    <row r="31" ht="15.75" customHeight="1">
      <c r="A31" s="50">
        <v>22.0</v>
      </c>
      <c r="B31" s="111" t="s">
        <v>94</v>
      </c>
      <c r="C31" s="112" t="s">
        <v>95</v>
      </c>
      <c r="D31" s="98">
        <f t="shared" si="8"/>
        <v>16</v>
      </c>
      <c r="E31" s="130">
        <f t="shared" si="9"/>
        <v>42.10526316</v>
      </c>
      <c r="F31" s="114">
        <f t="shared" si="10"/>
        <v>42.10526316</v>
      </c>
      <c r="G31" s="149" t="str">
        <f t="shared" si="11"/>
        <v>  </v>
      </c>
      <c r="H31" s="180"/>
      <c r="I31" s="203"/>
      <c r="J31" s="203"/>
      <c r="K31" s="180"/>
      <c r="L31" s="204"/>
      <c r="M31" s="139">
        <f t="shared" si="12"/>
        <v>0</v>
      </c>
      <c r="N31" s="140" t="str">
        <f t="shared" si="13"/>
        <v>#DIV/0!</v>
      </c>
      <c r="O31" s="116"/>
      <c r="P31" s="116"/>
      <c r="Q31" s="180"/>
      <c r="R31" s="179"/>
      <c r="S31" s="179"/>
      <c r="T31" s="116"/>
      <c r="U31" s="116"/>
      <c r="V31" s="179"/>
      <c r="W31" s="116"/>
      <c r="X31" s="116"/>
      <c r="Y31" s="179"/>
      <c r="Z31" s="185"/>
      <c r="AA31" s="217"/>
      <c r="AB31" s="116"/>
      <c r="AC31" s="184">
        <v>1.0</v>
      </c>
      <c r="AD31" s="176"/>
      <c r="AE31" s="116"/>
      <c r="AF31" s="182">
        <v>1.0</v>
      </c>
      <c r="AG31" s="176"/>
      <c r="AH31" s="182">
        <v>1.0</v>
      </c>
      <c r="AI31" s="176"/>
      <c r="AJ31" s="139">
        <f t="shared" si="14"/>
        <v>3</v>
      </c>
      <c r="AK31" s="205">
        <f t="shared" si="15"/>
        <v>30</v>
      </c>
      <c r="AL31" s="116"/>
      <c r="AM31" s="116"/>
      <c r="AN31" s="184">
        <v>1.0</v>
      </c>
      <c r="AO31" s="179"/>
      <c r="AP31" s="116"/>
      <c r="AQ31" s="116"/>
      <c r="AR31" s="116"/>
      <c r="AS31" s="191">
        <v>1.0</v>
      </c>
      <c r="AT31" s="116"/>
      <c r="AU31" s="116"/>
      <c r="AV31" s="116"/>
      <c r="AW31" s="179"/>
      <c r="AX31" s="138">
        <v>1.0</v>
      </c>
      <c r="AY31" s="116"/>
      <c r="AZ31" s="180"/>
      <c r="BA31" s="180"/>
      <c r="BB31" s="116"/>
      <c r="BC31" s="116"/>
      <c r="BD31" s="194"/>
      <c r="BE31" s="194"/>
      <c r="BF31" s="194"/>
      <c r="BG31" s="139">
        <f t="shared" si="16"/>
        <v>3</v>
      </c>
      <c r="BH31" s="208">
        <f t="shared" si="17"/>
        <v>27.27272727</v>
      </c>
      <c r="BI31" s="116"/>
      <c r="BJ31" s="116"/>
      <c r="BK31" s="180"/>
      <c r="BL31" s="116"/>
      <c r="BM31" s="116"/>
      <c r="BN31" s="138">
        <v>1.0</v>
      </c>
      <c r="BO31" s="138">
        <v>1.0</v>
      </c>
      <c r="BP31" s="116"/>
      <c r="BQ31" s="116"/>
      <c r="BR31" s="166"/>
      <c r="BS31" s="116"/>
      <c r="BT31" s="138">
        <v>1.0</v>
      </c>
      <c r="BU31" s="43"/>
      <c r="BV31" s="43"/>
      <c r="BW31" s="268">
        <v>1.0</v>
      </c>
      <c r="BX31" s="196">
        <v>1.0</v>
      </c>
      <c r="BY31" s="116"/>
      <c r="BZ31" s="196">
        <v>1.0</v>
      </c>
      <c r="CA31" s="116"/>
      <c r="CB31" s="196">
        <v>1.0</v>
      </c>
      <c r="CC31" s="165"/>
      <c r="CD31" s="196">
        <v>1.0</v>
      </c>
      <c r="CE31" s="124">
        <f t="shared" si="18"/>
        <v>8</v>
      </c>
      <c r="CF31" s="173">
        <f t="shared" si="19"/>
        <v>57.14285714</v>
      </c>
      <c r="CG31" s="138">
        <v>1.0</v>
      </c>
      <c r="CH31" s="230">
        <v>1.0</v>
      </c>
      <c r="CI31" s="116"/>
      <c r="CJ31" s="116"/>
      <c r="CK31" s="231"/>
      <c r="CL31" s="186"/>
      <c r="CM31" s="116"/>
      <c r="CN31" s="223"/>
      <c r="CO31" s="116"/>
      <c r="CP31" s="166"/>
      <c r="CQ31" s="213"/>
      <c r="CR31" s="213"/>
      <c r="CS31" s="213"/>
      <c r="CT31" s="213"/>
      <c r="CU31" s="213"/>
      <c r="CV31" s="213"/>
      <c r="CW31" s="128">
        <f t="shared" si="20"/>
        <v>2</v>
      </c>
      <c r="CX31" s="214">
        <f t="shared" si="21"/>
        <v>66.66666667</v>
      </c>
      <c r="CY31" s="171"/>
      <c r="CZ31" s="171"/>
      <c r="DA31" s="171"/>
      <c r="DB31" s="171"/>
      <c r="DC31" s="171"/>
      <c r="DD31" s="171"/>
      <c r="DE31" s="171"/>
      <c r="DF31" s="171"/>
      <c r="DG31" s="171"/>
      <c r="DH31" s="171"/>
      <c r="DI31" s="171"/>
      <c r="DJ31" s="171"/>
      <c r="DK31" s="128">
        <f t="shared" si="22"/>
        <v>0</v>
      </c>
      <c r="DL31" s="158" t="str">
        <f t="shared" si="23"/>
        <v>#DIV/0!</v>
      </c>
    </row>
    <row r="32" ht="15.75" customHeight="1">
      <c r="A32" s="131">
        <v>23.0</v>
      </c>
      <c r="B32" s="111" t="s">
        <v>96</v>
      </c>
      <c r="C32" s="112" t="s">
        <v>97</v>
      </c>
      <c r="D32" s="98">
        <f t="shared" si="8"/>
        <v>17</v>
      </c>
      <c r="E32" s="130">
        <f t="shared" si="9"/>
        <v>44.73684211</v>
      </c>
      <c r="F32" s="114">
        <f t="shared" si="10"/>
        <v>44.73684211</v>
      </c>
      <c r="G32" s="149" t="str">
        <f t="shared" si="11"/>
        <v>  </v>
      </c>
      <c r="H32" s="180"/>
      <c r="I32" s="203"/>
      <c r="J32" s="180"/>
      <c r="K32" s="180"/>
      <c r="L32" s="204"/>
      <c r="M32" s="139">
        <f t="shared" si="12"/>
        <v>0</v>
      </c>
      <c r="N32" s="140" t="str">
        <f t="shared" si="13"/>
        <v>#DIV/0!</v>
      </c>
      <c r="O32" s="116"/>
      <c r="P32" s="116"/>
      <c r="Q32" s="180"/>
      <c r="R32" s="179"/>
      <c r="S32" s="116"/>
      <c r="T32" s="116"/>
      <c r="U32" s="116"/>
      <c r="V32" s="179"/>
      <c r="W32" s="138">
        <v>1.0</v>
      </c>
      <c r="X32" s="116"/>
      <c r="Y32" s="184">
        <v>1.0</v>
      </c>
      <c r="Z32" s="185"/>
      <c r="AA32" s="217"/>
      <c r="AB32" s="138">
        <v>1.0</v>
      </c>
      <c r="AC32" s="184">
        <v>1.0</v>
      </c>
      <c r="AD32" s="116"/>
      <c r="AE32" s="116"/>
      <c r="AF32" s="209">
        <v>1.0</v>
      </c>
      <c r="AG32" s="182">
        <v>1.0</v>
      </c>
      <c r="AH32" s="182">
        <v>1.0</v>
      </c>
      <c r="AI32" s="116"/>
      <c r="AJ32" s="139">
        <f t="shared" si="14"/>
        <v>7</v>
      </c>
      <c r="AK32" s="205">
        <f t="shared" si="15"/>
        <v>70</v>
      </c>
      <c r="AL32" s="116"/>
      <c r="AM32" s="184">
        <v>1.0</v>
      </c>
      <c r="AN32" s="179"/>
      <c r="AO32" s="116"/>
      <c r="AP32" s="116"/>
      <c r="AQ32" s="116"/>
      <c r="AR32" s="116"/>
      <c r="AS32" s="166"/>
      <c r="AT32" s="116"/>
      <c r="AU32" s="116"/>
      <c r="AV32" s="116"/>
      <c r="AW32" s="179"/>
      <c r="AX32" s="116"/>
      <c r="AY32" s="138">
        <v>1.0</v>
      </c>
      <c r="AZ32" s="116"/>
      <c r="BA32" s="180"/>
      <c r="BB32" s="116"/>
      <c r="BC32" s="204"/>
      <c r="BD32" s="219">
        <v>1.0</v>
      </c>
      <c r="BE32" s="181"/>
      <c r="BF32" s="181"/>
      <c r="BG32" s="139">
        <f t="shared" si="16"/>
        <v>3</v>
      </c>
      <c r="BH32" s="208">
        <f t="shared" si="17"/>
        <v>27.27272727</v>
      </c>
      <c r="BI32" s="116"/>
      <c r="BJ32" s="116"/>
      <c r="BK32" s="180"/>
      <c r="BL32" s="116"/>
      <c r="BM32" s="116"/>
      <c r="BN32" s="116"/>
      <c r="BO32" s="116"/>
      <c r="BP32" s="116"/>
      <c r="BQ32" s="116"/>
      <c r="BR32" s="166"/>
      <c r="BS32" s="138">
        <v>1.0</v>
      </c>
      <c r="BT32" s="116"/>
      <c r="BU32" s="145">
        <v>1.0</v>
      </c>
      <c r="BV32" s="43"/>
      <c r="BW32" s="268">
        <v>1.0</v>
      </c>
      <c r="BX32" s="196">
        <v>1.0</v>
      </c>
      <c r="BY32" s="116"/>
      <c r="BZ32" s="165"/>
      <c r="CA32" s="165"/>
      <c r="CB32" s="165"/>
      <c r="CC32" s="165"/>
      <c r="CD32" s="196">
        <v>1.0</v>
      </c>
      <c r="CE32" s="124">
        <f t="shared" si="18"/>
        <v>5</v>
      </c>
      <c r="CF32" s="173">
        <f t="shared" si="19"/>
        <v>35.71428571</v>
      </c>
      <c r="CG32" s="184">
        <v>1.0</v>
      </c>
      <c r="CH32" s="238"/>
      <c r="CI32" s="200">
        <v>1.0</v>
      </c>
      <c r="CJ32" s="186"/>
      <c r="CK32" s="116"/>
      <c r="CL32" s="186"/>
      <c r="CM32" s="223"/>
      <c r="CN32" s="116"/>
      <c r="CO32" s="223"/>
      <c r="CP32" s="166"/>
      <c r="CQ32" s="213"/>
      <c r="CR32" s="213"/>
      <c r="CS32" s="116"/>
      <c r="CT32" s="116"/>
      <c r="CU32" s="213"/>
      <c r="CV32" s="213"/>
      <c r="CW32" s="128">
        <f t="shared" si="20"/>
        <v>2</v>
      </c>
      <c r="CX32" s="214">
        <f t="shared" si="21"/>
        <v>66.66666667</v>
      </c>
      <c r="CY32" s="171"/>
      <c r="CZ32" s="171"/>
      <c r="DA32" s="171"/>
      <c r="DB32" s="171"/>
      <c r="DC32" s="171"/>
      <c r="DD32" s="171"/>
      <c r="DE32" s="171"/>
      <c r="DF32" s="171"/>
      <c r="DG32" s="171"/>
      <c r="DH32" s="171"/>
      <c r="DI32" s="171"/>
      <c r="DJ32" s="171"/>
      <c r="DK32" s="128">
        <f t="shared" si="22"/>
        <v>0</v>
      </c>
      <c r="DL32" s="158" t="str">
        <f t="shared" si="23"/>
        <v>#DIV/0!</v>
      </c>
    </row>
    <row r="33" ht="15.75" customHeight="1">
      <c r="A33" s="146">
        <v>24.0</v>
      </c>
      <c r="B33" s="111" t="s">
        <v>98</v>
      </c>
      <c r="C33" s="112" t="s">
        <v>99</v>
      </c>
      <c r="D33" s="98">
        <f t="shared" si="8"/>
        <v>20</v>
      </c>
      <c r="E33" s="130">
        <f t="shared" si="9"/>
        <v>52.63157895</v>
      </c>
      <c r="F33" s="114" t="str">
        <f t="shared" si="10"/>
        <v>  </v>
      </c>
      <c r="G33" s="149" t="str">
        <f t="shared" si="11"/>
        <v>  </v>
      </c>
      <c r="H33" s="180"/>
      <c r="I33" s="203"/>
      <c r="J33" s="180"/>
      <c r="K33" s="180"/>
      <c r="L33" s="204"/>
      <c r="M33" s="139">
        <f t="shared" si="12"/>
        <v>0</v>
      </c>
      <c r="N33" s="140" t="str">
        <f t="shared" si="13"/>
        <v>#DIV/0!</v>
      </c>
      <c r="O33" s="116"/>
      <c r="P33" s="116"/>
      <c r="Q33" s="116"/>
      <c r="R33" s="207"/>
      <c r="S33" s="207"/>
      <c r="T33" s="116"/>
      <c r="U33" s="116"/>
      <c r="V33" s="207"/>
      <c r="W33" s="116"/>
      <c r="X33" s="138">
        <v>1.0</v>
      </c>
      <c r="Y33" s="234">
        <v>1.0</v>
      </c>
      <c r="Z33" s="185"/>
      <c r="AA33" s="187">
        <v>1.0</v>
      </c>
      <c r="AB33" s="138">
        <v>1.0</v>
      </c>
      <c r="AC33" s="234">
        <v>1.0</v>
      </c>
      <c r="AD33" s="116"/>
      <c r="AE33" s="206"/>
      <c r="AF33" s="209">
        <v>1.0</v>
      </c>
      <c r="AG33" s="209">
        <v>1.0</v>
      </c>
      <c r="AH33" s="209">
        <v>1.0</v>
      </c>
      <c r="AI33" s="206"/>
      <c r="AJ33" s="139">
        <f t="shared" si="14"/>
        <v>8</v>
      </c>
      <c r="AK33" s="205">
        <f t="shared" si="15"/>
        <v>80</v>
      </c>
      <c r="AL33" s="116"/>
      <c r="AM33" s="138">
        <v>1.0</v>
      </c>
      <c r="AN33" s="234">
        <v>1.0</v>
      </c>
      <c r="AO33" s="116"/>
      <c r="AP33" s="116"/>
      <c r="AQ33" s="116"/>
      <c r="AR33" s="116"/>
      <c r="AS33" s="191">
        <v>1.0</v>
      </c>
      <c r="AT33" s="116"/>
      <c r="AU33" s="116"/>
      <c r="AV33" s="116"/>
      <c r="AW33" s="207"/>
      <c r="AX33" s="138">
        <v>1.0</v>
      </c>
      <c r="AY33" s="138">
        <v>1.0</v>
      </c>
      <c r="AZ33" s="180"/>
      <c r="BA33" s="180"/>
      <c r="BB33" s="204"/>
      <c r="BC33" s="204"/>
      <c r="BD33" s="181"/>
      <c r="BE33" s="181"/>
      <c r="BF33" s="181"/>
      <c r="BG33" s="139">
        <f t="shared" si="16"/>
        <v>5</v>
      </c>
      <c r="BH33" s="208">
        <f t="shared" si="17"/>
        <v>45.45454545</v>
      </c>
      <c r="BI33" s="116"/>
      <c r="BJ33" s="180"/>
      <c r="BK33" s="180"/>
      <c r="BL33" s="116"/>
      <c r="BM33" s="116"/>
      <c r="BN33" s="138">
        <v>1.0</v>
      </c>
      <c r="BO33" s="138">
        <v>1.0</v>
      </c>
      <c r="BP33" s="116"/>
      <c r="BQ33" s="211"/>
      <c r="BR33" s="166"/>
      <c r="BS33" s="116"/>
      <c r="BT33" s="116"/>
      <c r="BU33" s="43"/>
      <c r="BV33" s="43"/>
      <c r="BW33" s="268">
        <v>1.0</v>
      </c>
      <c r="BX33" s="196">
        <v>1.0</v>
      </c>
      <c r="BY33" s="138">
        <v>1.0</v>
      </c>
      <c r="BZ33" s="165"/>
      <c r="CA33" s="165"/>
      <c r="CB33" s="165"/>
      <c r="CC33" s="165"/>
      <c r="CD33" s="196">
        <v>1.0</v>
      </c>
      <c r="CE33" s="124">
        <f t="shared" si="18"/>
        <v>6</v>
      </c>
      <c r="CF33" s="173">
        <f t="shared" si="19"/>
        <v>42.85714286</v>
      </c>
      <c r="CG33" s="234">
        <v>1.0</v>
      </c>
      <c r="CH33" s="238"/>
      <c r="CI33" s="116"/>
      <c r="CJ33" s="116"/>
      <c r="CK33" s="116"/>
      <c r="CL33" s="186"/>
      <c r="CM33" s="223"/>
      <c r="CN33" s="116"/>
      <c r="CO33" s="116"/>
      <c r="CP33" s="166"/>
      <c r="CQ33" s="213"/>
      <c r="CR33" s="213"/>
      <c r="CS33" s="116"/>
      <c r="CT33" s="116"/>
      <c r="CU33" s="116"/>
      <c r="CV33" s="213"/>
      <c r="CW33" s="128">
        <f t="shared" si="20"/>
        <v>1</v>
      </c>
      <c r="CX33" s="214">
        <f t="shared" si="21"/>
        <v>33.33333333</v>
      </c>
      <c r="CY33" s="171"/>
      <c r="CZ33" s="171"/>
      <c r="DA33" s="171"/>
      <c r="DB33" s="171"/>
      <c r="DC33" s="171"/>
      <c r="DD33" s="171"/>
      <c r="DE33" s="171"/>
      <c r="DF33" s="171"/>
      <c r="DG33" s="171"/>
      <c r="DH33" s="171"/>
      <c r="DI33" s="171"/>
      <c r="DJ33" s="171"/>
      <c r="DK33" s="128">
        <f t="shared" si="22"/>
        <v>0</v>
      </c>
      <c r="DL33" s="158" t="str">
        <f t="shared" si="23"/>
        <v>#DIV/0!</v>
      </c>
    </row>
    <row r="34" ht="15.75" customHeight="1">
      <c r="A34" s="50">
        <v>25.0</v>
      </c>
      <c r="B34" s="111" t="s">
        <v>100</v>
      </c>
      <c r="C34" s="112" t="s">
        <v>101</v>
      </c>
      <c r="D34" s="98">
        <f t="shared" si="8"/>
        <v>26</v>
      </c>
      <c r="E34" s="130">
        <f t="shared" si="9"/>
        <v>68.42105263</v>
      </c>
      <c r="F34" s="92" t="str">
        <f t="shared" si="10"/>
        <v>  </v>
      </c>
      <c r="G34" s="149" t="str">
        <f t="shared" si="11"/>
        <v>  </v>
      </c>
      <c r="H34" s="180"/>
      <c r="I34" s="221"/>
      <c r="J34" s="221"/>
      <c r="K34" s="180"/>
      <c r="L34" s="204"/>
      <c r="M34" s="139">
        <f t="shared" si="12"/>
        <v>0</v>
      </c>
      <c r="N34" s="140" t="str">
        <f t="shared" si="13"/>
        <v>#DIV/0!</v>
      </c>
      <c r="O34" s="116"/>
      <c r="P34" s="116"/>
      <c r="Q34" s="180"/>
      <c r="R34" s="207"/>
      <c r="S34" s="207"/>
      <c r="T34" s="116"/>
      <c r="U34" s="116"/>
      <c r="V34" s="207"/>
      <c r="W34" s="138">
        <v>1.0</v>
      </c>
      <c r="X34" s="138">
        <v>1.0</v>
      </c>
      <c r="Y34" s="234">
        <v>1.0</v>
      </c>
      <c r="Z34" s="185"/>
      <c r="AA34" s="187">
        <v>1.0</v>
      </c>
      <c r="AB34" s="138">
        <v>1.0</v>
      </c>
      <c r="AC34" s="234">
        <v>1.0</v>
      </c>
      <c r="AD34" s="116"/>
      <c r="AE34" s="116"/>
      <c r="AF34" s="182">
        <v>1.0</v>
      </c>
      <c r="AG34" s="209">
        <v>1.0</v>
      </c>
      <c r="AH34" s="209">
        <v>1.0</v>
      </c>
      <c r="AI34" s="116"/>
      <c r="AJ34" s="139">
        <f t="shared" si="14"/>
        <v>9</v>
      </c>
      <c r="AK34" s="205">
        <f t="shared" si="15"/>
        <v>90</v>
      </c>
      <c r="AL34" s="116"/>
      <c r="AM34" s="138">
        <v>1.0</v>
      </c>
      <c r="AN34" s="234">
        <v>1.0</v>
      </c>
      <c r="AO34" s="116"/>
      <c r="AP34" s="207"/>
      <c r="AQ34" s="116"/>
      <c r="AR34" s="116"/>
      <c r="AS34" s="166"/>
      <c r="AT34" s="138">
        <v>1.0</v>
      </c>
      <c r="AU34" s="116"/>
      <c r="AV34" s="116"/>
      <c r="AW34" s="207"/>
      <c r="AX34" s="116"/>
      <c r="AY34" s="138">
        <v>1.0</v>
      </c>
      <c r="AZ34" s="116"/>
      <c r="BA34" s="180"/>
      <c r="BB34" s="138">
        <v>1.0</v>
      </c>
      <c r="BC34" s="218">
        <v>1.0</v>
      </c>
      <c r="BD34" s="181"/>
      <c r="BE34" s="181"/>
      <c r="BF34" s="181"/>
      <c r="BG34" s="139">
        <f t="shared" si="16"/>
        <v>6</v>
      </c>
      <c r="BH34" s="208">
        <f t="shared" si="17"/>
        <v>54.54545455</v>
      </c>
      <c r="BI34" s="116"/>
      <c r="BJ34" s="116"/>
      <c r="BK34" s="180"/>
      <c r="BL34" s="116"/>
      <c r="BM34" s="116"/>
      <c r="BN34" s="138">
        <v>1.0</v>
      </c>
      <c r="BO34" s="138">
        <v>1.0</v>
      </c>
      <c r="BP34" s="116"/>
      <c r="BQ34" s="211"/>
      <c r="BR34" s="116"/>
      <c r="BS34" s="138">
        <v>1.0</v>
      </c>
      <c r="BT34" s="116"/>
      <c r="BU34" s="43"/>
      <c r="BV34" s="43"/>
      <c r="BW34" s="268">
        <v>1.0</v>
      </c>
      <c r="BX34" s="196">
        <v>1.0</v>
      </c>
      <c r="BY34" s="138">
        <v>1.0</v>
      </c>
      <c r="BZ34" s="196">
        <v>1.0</v>
      </c>
      <c r="CA34" s="138">
        <v>1.0</v>
      </c>
      <c r="CB34" s="165"/>
      <c r="CC34" s="196">
        <v>1.0</v>
      </c>
      <c r="CD34" s="196">
        <v>1.0</v>
      </c>
      <c r="CE34" s="124">
        <f t="shared" si="18"/>
        <v>10</v>
      </c>
      <c r="CF34" s="173">
        <f t="shared" si="19"/>
        <v>71.42857143</v>
      </c>
      <c r="CG34" s="116"/>
      <c r="CH34" s="138">
        <v>1.0</v>
      </c>
      <c r="CI34" s="186"/>
      <c r="CJ34" s="116"/>
      <c r="CK34" s="116"/>
      <c r="CL34" s="186"/>
      <c r="CM34" s="116"/>
      <c r="CN34" s="116"/>
      <c r="CO34" s="116"/>
      <c r="CP34" s="166"/>
      <c r="CQ34" s="213"/>
      <c r="CR34" s="213"/>
      <c r="CS34" s="116"/>
      <c r="CT34" s="116"/>
      <c r="CU34" s="116"/>
      <c r="CV34" s="213"/>
      <c r="CW34" s="128">
        <f t="shared" si="20"/>
        <v>1</v>
      </c>
      <c r="CX34" s="214">
        <f t="shared" si="21"/>
        <v>33.33333333</v>
      </c>
      <c r="CY34" s="171"/>
      <c r="CZ34" s="171"/>
      <c r="DA34" s="171"/>
      <c r="DB34" s="171"/>
      <c r="DC34" s="171"/>
      <c r="DD34" s="171"/>
      <c r="DE34" s="171"/>
      <c r="DF34" s="171"/>
      <c r="DG34" s="171"/>
      <c r="DH34" s="171"/>
      <c r="DI34" s="171"/>
      <c r="DJ34" s="171"/>
      <c r="DK34" s="128">
        <f t="shared" si="22"/>
        <v>0</v>
      </c>
      <c r="DL34" s="158" t="str">
        <f t="shared" si="23"/>
        <v>#DIV/0!</v>
      </c>
    </row>
    <row r="35" ht="15.75" customHeight="1">
      <c r="A35" s="131">
        <v>26.0</v>
      </c>
      <c r="B35" s="111" t="s">
        <v>102</v>
      </c>
      <c r="C35" s="112" t="s">
        <v>103</v>
      </c>
      <c r="D35" s="98">
        <f t="shared" si="8"/>
        <v>18</v>
      </c>
      <c r="E35" s="130">
        <f t="shared" si="9"/>
        <v>47.36842105</v>
      </c>
      <c r="F35" s="114">
        <f t="shared" si="10"/>
        <v>47.36842105</v>
      </c>
      <c r="G35" s="149" t="str">
        <f t="shared" si="11"/>
        <v>  </v>
      </c>
      <c r="H35" s="203"/>
      <c r="I35" s="180"/>
      <c r="J35" s="180"/>
      <c r="K35" s="180"/>
      <c r="L35" s="204"/>
      <c r="M35" s="139">
        <f t="shared" si="12"/>
        <v>0</v>
      </c>
      <c r="N35" s="140" t="str">
        <f t="shared" si="13"/>
        <v>#DIV/0!</v>
      </c>
      <c r="O35" s="116"/>
      <c r="P35" s="116"/>
      <c r="Q35" s="180"/>
      <c r="R35" s="179"/>
      <c r="S35" s="116"/>
      <c r="T35" s="116"/>
      <c r="U35" s="116"/>
      <c r="V35" s="179"/>
      <c r="W35" s="138">
        <v>1.0</v>
      </c>
      <c r="X35" s="116"/>
      <c r="Y35" s="179"/>
      <c r="Z35" s="185"/>
      <c r="AA35" s="217"/>
      <c r="AB35" s="138">
        <v>1.0</v>
      </c>
      <c r="AC35" s="184">
        <v>1.0</v>
      </c>
      <c r="AD35" s="116"/>
      <c r="AE35" s="116"/>
      <c r="AF35" s="138">
        <v>1.0</v>
      </c>
      <c r="AG35" s="176"/>
      <c r="AH35" s="182">
        <v>1.0</v>
      </c>
      <c r="AI35" s="176"/>
      <c r="AJ35" s="139">
        <f t="shared" si="14"/>
        <v>5</v>
      </c>
      <c r="AK35" s="205">
        <f t="shared" si="15"/>
        <v>50</v>
      </c>
      <c r="AL35" s="222"/>
      <c r="AM35" s="179"/>
      <c r="AN35" s="179"/>
      <c r="AO35" s="116"/>
      <c r="AP35" s="179"/>
      <c r="AQ35" s="116"/>
      <c r="AR35" s="116"/>
      <c r="AS35" s="166"/>
      <c r="AT35" s="116"/>
      <c r="AU35" s="116"/>
      <c r="AV35" s="116"/>
      <c r="AW35" s="179"/>
      <c r="AX35" s="116"/>
      <c r="AY35" s="138">
        <v>1.0</v>
      </c>
      <c r="AZ35" s="116"/>
      <c r="BA35" s="180"/>
      <c r="BB35" s="116"/>
      <c r="BC35" s="204"/>
      <c r="BD35" s="219">
        <v>1.0</v>
      </c>
      <c r="BE35" s="181"/>
      <c r="BF35" s="181"/>
      <c r="BG35" s="139">
        <f t="shared" si="16"/>
        <v>2</v>
      </c>
      <c r="BH35" s="208">
        <f t="shared" si="17"/>
        <v>18.18181818</v>
      </c>
      <c r="BI35" s="116"/>
      <c r="BJ35" s="116"/>
      <c r="BK35" s="180"/>
      <c r="BL35" s="116"/>
      <c r="BM35" s="116"/>
      <c r="BN35" s="138">
        <v>1.0</v>
      </c>
      <c r="BO35" s="138">
        <v>1.0</v>
      </c>
      <c r="BP35" s="116"/>
      <c r="BQ35" s="116"/>
      <c r="BR35" s="166"/>
      <c r="BS35" s="116"/>
      <c r="BT35" s="116"/>
      <c r="BU35" s="145">
        <v>1.0</v>
      </c>
      <c r="BV35" s="43"/>
      <c r="BW35" s="268">
        <v>1.0</v>
      </c>
      <c r="BX35" s="196">
        <v>1.0</v>
      </c>
      <c r="BY35" s="116"/>
      <c r="BZ35" s="196">
        <v>1.0</v>
      </c>
      <c r="CA35" s="138">
        <v>1.0</v>
      </c>
      <c r="CB35" s="116"/>
      <c r="CC35" s="196">
        <v>1.0</v>
      </c>
      <c r="CD35" s="196">
        <v>1.0</v>
      </c>
      <c r="CE35" s="124">
        <f t="shared" si="18"/>
        <v>9</v>
      </c>
      <c r="CF35" s="173">
        <f t="shared" si="19"/>
        <v>64.28571429</v>
      </c>
      <c r="CG35" s="184">
        <v>1.0</v>
      </c>
      <c r="CH35" s="116"/>
      <c r="CI35" s="200">
        <v>1.0</v>
      </c>
      <c r="CJ35" s="116"/>
      <c r="CK35" s="116"/>
      <c r="CL35" s="186"/>
      <c r="CM35" s="223"/>
      <c r="CN35" s="223"/>
      <c r="CO35" s="223"/>
      <c r="CP35" s="166"/>
      <c r="CQ35" s="213"/>
      <c r="CR35" s="213"/>
      <c r="CS35" s="213"/>
      <c r="CT35" s="213"/>
      <c r="CU35" s="213"/>
      <c r="CV35" s="213"/>
      <c r="CW35" s="128">
        <f t="shared" si="20"/>
        <v>2</v>
      </c>
      <c r="CX35" s="214">
        <f t="shared" si="21"/>
        <v>66.66666667</v>
      </c>
      <c r="CY35" s="171"/>
      <c r="CZ35" s="171"/>
      <c r="DA35" s="171"/>
      <c r="DB35" s="171"/>
      <c r="DC35" s="171"/>
      <c r="DD35" s="171"/>
      <c r="DE35" s="171"/>
      <c r="DF35" s="171"/>
      <c r="DG35" s="171"/>
      <c r="DH35" s="171"/>
      <c r="DI35" s="171"/>
      <c r="DJ35" s="171"/>
      <c r="DK35" s="128">
        <f t="shared" si="22"/>
        <v>0</v>
      </c>
      <c r="DL35" s="158" t="str">
        <f t="shared" si="23"/>
        <v>#DIV/0!</v>
      </c>
    </row>
    <row r="36" ht="15.75" customHeight="1">
      <c r="A36" s="146">
        <v>27.0</v>
      </c>
      <c r="B36" s="111" t="s">
        <v>104</v>
      </c>
      <c r="C36" s="112" t="s">
        <v>105</v>
      </c>
      <c r="D36" s="98">
        <f t="shared" si="8"/>
        <v>29</v>
      </c>
      <c r="E36" s="130">
        <f t="shared" si="9"/>
        <v>76.31578947</v>
      </c>
      <c r="F36" s="92" t="str">
        <f t="shared" si="10"/>
        <v>  </v>
      </c>
      <c r="G36" s="149" t="str">
        <f t="shared" si="11"/>
        <v>  </v>
      </c>
      <c r="H36" s="180"/>
      <c r="I36" s="180"/>
      <c r="J36" s="180"/>
      <c r="K36" s="180"/>
      <c r="L36" s="204"/>
      <c r="M36" s="139">
        <f t="shared" si="12"/>
        <v>0</v>
      </c>
      <c r="N36" s="140" t="str">
        <f t="shared" si="13"/>
        <v>#DIV/0!</v>
      </c>
      <c r="O36" s="116"/>
      <c r="P36" s="116"/>
      <c r="Q36" s="180"/>
      <c r="R36" s="179"/>
      <c r="S36" s="179"/>
      <c r="T36" s="116"/>
      <c r="U36" s="116"/>
      <c r="V36" s="179"/>
      <c r="W36" s="138">
        <v>1.0</v>
      </c>
      <c r="X36" s="138">
        <v>1.0</v>
      </c>
      <c r="Y36" s="184">
        <v>1.0</v>
      </c>
      <c r="Z36" s="185"/>
      <c r="AA36" s="187">
        <v>1.0</v>
      </c>
      <c r="AB36" s="138">
        <v>1.0</v>
      </c>
      <c r="AC36" s="184">
        <v>1.0</v>
      </c>
      <c r="AD36" s="116"/>
      <c r="AE36" s="116"/>
      <c r="AF36" s="182">
        <v>1.0</v>
      </c>
      <c r="AG36" s="182">
        <v>1.0</v>
      </c>
      <c r="AH36" s="138">
        <v>1.0</v>
      </c>
      <c r="AI36" s="176"/>
      <c r="AJ36" s="139">
        <f t="shared" si="14"/>
        <v>9</v>
      </c>
      <c r="AK36" s="205">
        <f t="shared" si="15"/>
        <v>90</v>
      </c>
      <c r="AL36" s="235">
        <v>1.0</v>
      </c>
      <c r="AM36" s="184">
        <v>1.0</v>
      </c>
      <c r="AN36" s="184">
        <v>1.0</v>
      </c>
      <c r="AO36" s="116"/>
      <c r="AP36" s="116"/>
      <c r="AQ36" s="116"/>
      <c r="AR36" s="116"/>
      <c r="AS36" s="191">
        <v>1.0</v>
      </c>
      <c r="AT36" s="138">
        <v>1.0</v>
      </c>
      <c r="AU36" s="116"/>
      <c r="AV36" s="138">
        <v>1.0</v>
      </c>
      <c r="AW36" s="179"/>
      <c r="AX36" s="138">
        <v>1.0</v>
      </c>
      <c r="AY36" s="116"/>
      <c r="AZ36" s="116"/>
      <c r="BA36" s="180"/>
      <c r="BB36" s="138">
        <v>1.0</v>
      </c>
      <c r="BC36" s="138">
        <v>1.0</v>
      </c>
      <c r="BD36" s="188">
        <v>1.0</v>
      </c>
      <c r="BE36" s="194"/>
      <c r="BF36" s="194"/>
      <c r="BG36" s="139">
        <f t="shared" si="16"/>
        <v>9</v>
      </c>
      <c r="BH36" s="208">
        <f t="shared" si="17"/>
        <v>81.81818182</v>
      </c>
      <c r="BI36" s="116"/>
      <c r="BJ36" s="116"/>
      <c r="BK36" s="180"/>
      <c r="BL36" s="116"/>
      <c r="BM36" s="116"/>
      <c r="BN36" s="138">
        <v>1.0</v>
      </c>
      <c r="BO36" s="138">
        <v>1.0</v>
      </c>
      <c r="BP36" s="116"/>
      <c r="BQ36" s="211"/>
      <c r="BR36" s="166"/>
      <c r="BS36" s="138">
        <v>1.0</v>
      </c>
      <c r="BT36" s="138">
        <v>1.0</v>
      </c>
      <c r="BU36" s="145">
        <v>1.0</v>
      </c>
      <c r="BV36" s="43"/>
      <c r="BW36" s="268">
        <v>1.0</v>
      </c>
      <c r="BX36" s="196">
        <v>1.0</v>
      </c>
      <c r="BY36" s="138">
        <v>1.0</v>
      </c>
      <c r="BZ36" s="165"/>
      <c r="CA36" s="116"/>
      <c r="CB36" s="196">
        <v>1.0</v>
      </c>
      <c r="CC36" s="165"/>
      <c r="CD36" s="196">
        <v>1.0</v>
      </c>
      <c r="CE36" s="124">
        <f t="shared" si="18"/>
        <v>10</v>
      </c>
      <c r="CF36" s="173">
        <f t="shared" si="19"/>
        <v>71.42857143</v>
      </c>
      <c r="CG36" s="116"/>
      <c r="CH36" s="230">
        <v>1.0</v>
      </c>
      <c r="CI36" s="186"/>
      <c r="CJ36" s="116"/>
      <c r="CK36" s="116"/>
      <c r="CL36" s="186"/>
      <c r="CM36" s="116"/>
      <c r="CN36" s="223"/>
      <c r="CO36" s="116"/>
      <c r="CP36" s="166"/>
      <c r="CQ36" s="213"/>
      <c r="CR36" s="213"/>
      <c r="CS36" s="116"/>
      <c r="CT36" s="213"/>
      <c r="CU36" s="213"/>
      <c r="CV36" s="213"/>
      <c r="CW36" s="128">
        <f t="shared" si="20"/>
        <v>1</v>
      </c>
      <c r="CX36" s="214">
        <f t="shared" si="21"/>
        <v>33.33333333</v>
      </c>
      <c r="CY36" s="171"/>
      <c r="CZ36" s="171"/>
      <c r="DA36" s="171"/>
      <c r="DB36" s="171"/>
      <c r="DC36" s="171"/>
      <c r="DD36" s="171"/>
      <c r="DE36" s="171"/>
      <c r="DF36" s="171"/>
      <c r="DG36" s="171"/>
      <c r="DH36" s="171"/>
      <c r="DI36" s="171"/>
      <c r="DJ36" s="171"/>
      <c r="DK36" s="128">
        <f t="shared" si="22"/>
        <v>0</v>
      </c>
      <c r="DL36" s="158" t="str">
        <f t="shared" si="23"/>
        <v>#DIV/0!</v>
      </c>
    </row>
    <row r="37" ht="15.75" customHeight="1">
      <c r="A37" s="50">
        <v>28.0</v>
      </c>
      <c r="B37" s="111" t="s">
        <v>106</v>
      </c>
      <c r="C37" s="112" t="s">
        <v>107</v>
      </c>
      <c r="D37" s="98">
        <f t="shared" si="8"/>
        <v>11</v>
      </c>
      <c r="E37" s="130">
        <f t="shared" si="9"/>
        <v>28.94736842</v>
      </c>
      <c r="F37" s="114">
        <f t="shared" si="10"/>
        <v>28.94736842</v>
      </c>
      <c r="G37" s="226">
        <f t="shared" si="11"/>
        <v>28.94736842</v>
      </c>
      <c r="H37" s="180"/>
      <c r="I37" s="203"/>
      <c r="J37" s="203"/>
      <c r="K37" s="203"/>
      <c r="L37" s="239"/>
      <c r="M37" s="139">
        <f t="shared" si="12"/>
        <v>0</v>
      </c>
      <c r="N37" s="140" t="str">
        <f t="shared" si="13"/>
        <v>#DIV/0!</v>
      </c>
      <c r="O37" s="116"/>
      <c r="P37" s="116"/>
      <c r="Q37" s="180"/>
      <c r="R37" s="179"/>
      <c r="S37" s="179"/>
      <c r="T37" s="116"/>
      <c r="U37" s="116"/>
      <c r="V37" s="179"/>
      <c r="W37" s="116"/>
      <c r="X37" s="116"/>
      <c r="Y37" s="179"/>
      <c r="Z37" s="185"/>
      <c r="AA37" s="217"/>
      <c r="AB37" s="116"/>
      <c r="AC37" s="184"/>
      <c r="AD37" s="176"/>
      <c r="AE37" s="176"/>
      <c r="AF37" s="138">
        <v>1.0</v>
      </c>
      <c r="AG37" s="176"/>
      <c r="AH37" s="176"/>
      <c r="AI37" s="176"/>
      <c r="AJ37" s="139">
        <f t="shared" si="14"/>
        <v>1</v>
      </c>
      <c r="AK37" s="205">
        <f t="shared" si="15"/>
        <v>10</v>
      </c>
      <c r="AL37" s="235">
        <v>1.0</v>
      </c>
      <c r="AM37" s="179"/>
      <c r="AN37" s="184">
        <v>1.0</v>
      </c>
      <c r="AO37" s="179"/>
      <c r="AP37" s="179"/>
      <c r="AQ37" s="116"/>
      <c r="AR37" s="116"/>
      <c r="AS37" s="166"/>
      <c r="AT37" s="138">
        <v>1.0</v>
      </c>
      <c r="AU37" s="116"/>
      <c r="AV37" s="138">
        <v>1.0</v>
      </c>
      <c r="AW37" s="179"/>
      <c r="AX37" s="116"/>
      <c r="AY37" s="116"/>
      <c r="AZ37" s="116"/>
      <c r="BA37" s="180"/>
      <c r="BB37" s="138">
        <v>1.0</v>
      </c>
      <c r="BC37" s="204"/>
      <c r="BD37" s="219">
        <v>1.0</v>
      </c>
      <c r="BE37" s="181"/>
      <c r="BF37" s="181"/>
      <c r="BG37" s="139">
        <f t="shared" si="16"/>
        <v>5</v>
      </c>
      <c r="BH37" s="208">
        <f t="shared" si="17"/>
        <v>45.45454545</v>
      </c>
      <c r="BI37" s="116"/>
      <c r="BJ37" s="116"/>
      <c r="BK37" s="180"/>
      <c r="BL37" s="116"/>
      <c r="BM37" s="116"/>
      <c r="BN37" s="138">
        <v>1.0</v>
      </c>
      <c r="BO37" s="138">
        <v>1.0</v>
      </c>
      <c r="BP37" s="116"/>
      <c r="BQ37" s="116"/>
      <c r="BR37" s="166"/>
      <c r="BS37" s="116"/>
      <c r="BT37" s="116"/>
      <c r="BV37" s="116"/>
      <c r="BW37" s="268">
        <v>1.0</v>
      </c>
      <c r="BX37" s="196">
        <v>1.0</v>
      </c>
      <c r="BY37" s="116"/>
      <c r="BZ37" s="165"/>
      <c r="CA37" s="116"/>
      <c r="CB37" s="116"/>
      <c r="CC37" s="165"/>
      <c r="CD37" s="196">
        <v>1.0</v>
      </c>
      <c r="CE37" s="124">
        <f t="shared" si="18"/>
        <v>5</v>
      </c>
      <c r="CF37" s="173">
        <f t="shared" si="19"/>
        <v>35.71428571</v>
      </c>
      <c r="CG37" s="179"/>
      <c r="CH37" s="116"/>
      <c r="CI37" s="116"/>
      <c r="CJ37" s="186"/>
      <c r="CK37" s="231"/>
      <c r="CL37" s="186"/>
      <c r="CM37" s="116"/>
      <c r="CN37" s="223"/>
      <c r="CO37" s="116"/>
      <c r="CP37" s="166"/>
      <c r="CQ37" s="213"/>
      <c r="CR37" s="213"/>
      <c r="CS37" s="213"/>
      <c r="CT37" s="116"/>
      <c r="CU37" s="116"/>
      <c r="CV37" s="213"/>
      <c r="CW37" s="128">
        <f t="shared" si="20"/>
        <v>0</v>
      </c>
      <c r="CX37" s="214">
        <f t="shared" si="21"/>
        <v>0</v>
      </c>
      <c r="CY37" s="171"/>
      <c r="CZ37" s="171"/>
      <c r="DA37" s="171"/>
      <c r="DB37" s="171"/>
      <c r="DC37" s="171"/>
      <c r="DD37" s="171"/>
      <c r="DE37" s="171"/>
      <c r="DF37" s="171"/>
      <c r="DG37" s="171"/>
      <c r="DH37" s="171"/>
      <c r="DI37" s="171"/>
      <c r="DJ37" s="171"/>
      <c r="DK37" s="128">
        <f t="shared" si="22"/>
        <v>0</v>
      </c>
      <c r="DL37" s="158" t="str">
        <f t="shared" si="23"/>
        <v>#DIV/0!</v>
      </c>
    </row>
    <row r="38" ht="15.75" customHeight="1">
      <c r="A38" s="131">
        <v>29.0</v>
      </c>
      <c r="B38" s="111" t="s">
        <v>108</v>
      </c>
      <c r="C38" s="112" t="s">
        <v>109</v>
      </c>
      <c r="D38" s="98">
        <f t="shared" si="8"/>
        <v>19</v>
      </c>
      <c r="E38" s="130">
        <f t="shared" si="9"/>
        <v>50</v>
      </c>
      <c r="F38" s="92" t="str">
        <f t="shared" si="10"/>
        <v>  </v>
      </c>
      <c r="G38" s="149" t="str">
        <f t="shared" si="11"/>
        <v>  </v>
      </c>
      <c r="H38" s="180"/>
      <c r="I38" s="203"/>
      <c r="J38" s="203"/>
      <c r="K38" s="203"/>
      <c r="L38" s="239"/>
      <c r="M38" s="139">
        <f t="shared" si="12"/>
        <v>0</v>
      </c>
      <c r="N38" s="140" t="str">
        <f t="shared" si="13"/>
        <v>#DIV/0!</v>
      </c>
      <c r="O38" s="116"/>
      <c r="P38" s="116"/>
      <c r="Q38" s="180"/>
      <c r="R38" s="179"/>
      <c r="S38" s="116"/>
      <c r="T38" s="116"/>
      <c r="U38" s="116"/>
      <c r="V38" s="179"/>
      <c r="W38" s="116"/>
      <c r="X38" s="116"/>
      <c r="Y38" s="179"/>
      <c r="Z38" s="185"/>
      <c r="AA38" s="217"/>
      <c r="AB38" s="138">
        <v>1.0</v>
      </c>
      <c r="AC38" s="184">
        <v>1.0</v>
      </c>
      <c r="AD38" s="176"/>
      <c r="AE38" s="116"/>
      <c r="AF38" s="182">
        <v>1.0</v>
      </c>
      <c r="AG38" s="182">
        <v>1.0</v>
      </c>
      <c r="AH38" s="138">
        <v>1.0</v>
      </c>
      <c r="AI38" s="116"/>
      <c r="AJ38" s="139">
        <f t="shared" si="14"/>
        <v>5</v>
      </c>
      <c r="AK38" s="205">
        <f t="shared" si="15"/>
        <v>50</v>
      </c>
      <c r="AL38" s="222"/>
      <c r="AM38" s="184">
        <v>1.0</v>
      </c>
      <c r="AN38" s="184">
        <v>1.0</v>
      </c>
      <c r="AO38" s="179"/>
      <c r="AP38" s="179"/>
      <c r="AQ38" s="116"/>
      <c r="AR38" s="116"/>
      <c r="AS38" s="166"/>
      <c r="AT38" s="138">
        <v>1.0</v>
      </c>
      <c r="AU38" s="116"/>
      <c r="AV38" s="116"/>
      <c r="AW38" s="179"/>
      <c r="AX38" s="116"/>
      <c r="AY38" s="138">
        <v>1.0</v>
      </c>
      <c r="AZ38" s="180"/>
      <c r="BA38" s="180"/>
      <c r="BB38" s="204"/>
      <c r="BC38" s="204"/>
      <c r="BD38" s="181"/>
      <c r="BE38" s="181"/>
      <c r="BF38" s="181"/>
      <c r="BG38" s="139">
        <f t="shared" si="16"/>
        <v>4</v>
      </c>
      <c r="BH38" s="208">
        <f t="shared" si="17"/>
        <v>36.36363636</v>
      </c>
      <c r="BI38" s="116"/>
      <c r="BJ38" s="116"/>
      <c r="BK38" s="180"/>
      <c r="BL38" s="116"/>
      <c r="BM38" s="116"/>
      <c r="BN38" s="116"/>
      <c r="BO38" s="116"/>
      <c r="BP38" s="116"/>
      <c r="BQ38" s="211"/>
      <c r="BR38" s="116"/>
      <c r="BS38" s="138">
        <v>1.0</v>
      </c>
      <c r="BT38" s="116"/>
      <c r="BU38" s="145">
        <v>1.0</v>
      </c>
      <c r="BV38" s="43"/>
      <c r="BW38" s="268">
        <v>1.0</v>
      </c>
      <c r="BX38" s="196">
        <v>1.0</v>
      </c>
      <c r="BY38" s="138">
        <v>1.0</v>
      </c>
      <c r="BZ38" s="196">
        <v>1.0</v>
      </c>
      <c r="CA38" s="138">
        <v>1.0</v>
      </c>
      <c r="CB38" s="116"/>
      <c r="CC38" s="196">
        <v>1.0</v>
      </c>
      <c r="CD38" s="196">
        <v>1.0</v>
      </c>
      <c r="CE38" s="124">
        <f t="shared" si="18"/>
        <v>9</v>
      </c>
      <c r="CF38" s="173">
        <f t="shared" si="19"/>
        <v>64.28571429</v>
      </c>
      <c r="CG38" s="138">
        <v>1.0</v>
      </c>
      <c r="CH38" s="116"/>
      <c r="CI38" s="186"/>
      <c r="CJ38" s="116"/>
      <c r="CK38" s="116"/>
      <c r="CL38" s="186"/>
      <c r="CM38" s="223"/>
      <c r="CN38" s="223"/>
      <c r="CO38" s="116"/>
      <c r="CP38" s="166"/>
      <c r="CQ38" s="213"/>
      <c r="CR38" s="213"/>
      <c r="CS38" s="116"/>
      <c r="CT38" s="116"/>
      <c r="CU38" s="213"/>
      <c r="CV38" s="213"/>
      <c r="CW38" s="128">
        <f t="shared" si="20"/>
        <v>1</v>
      </c>
      <c r="CX38" s="214">
        <f t="shared" si="21"/>
        <v>33.33333333</v>
      </c>
      <c r="CY38" s="171"/>
      <c r="CZ38" s="171"/>
      <c r="DA38" s="171"/>
      <c r="DB38" s="171"/>
      <c r="DC38" s="171"/>
      <c r="DD38" s="171"/>
      <c r="DE38" s="171"/>
      <c r="DF38" s="171"/>
      <c r="DG38" s="171"/>
      <c r="DH38" s="171"/>
      <c r="DI38" s="171"/>
      <c r="DJ38" s="171"/>
      <c r="DK38" s="128">
        <f t="shared" si="22"/>
        <v>0</v>
      </c>
      <c r="DL38" s="158" t="str">
        <f t="shared" si="23"/>
        <v>#DIV/0!</v>
      </c>
    </row>
    <row r="39" ht="15.75" customHeight="1">
      <c r="A39" s="146">
        <v>30.0</v>
      </c>
      <c r="B39" s="111" t="s">
        <v>110</v>
      </c>
      <c r="C39" s="112" t="s">
        <v>111</v>
      </c>
      <c r="D39" s="98">
        <f t="shared" si="8"/>
        <v>24</v>
      </c>
      <c r="E39" s="130">
        <f t="shared" si="9"/>
        <v>63.15789474</v>
      </c>
      <c r="F39" s="92" t="str">
        <f t="shared" si="10"/>
        <v>  </v>
      </c>
      <c r="G39" s="149" t="str">
        <f t="shared" si="11"/>
        <v>  </v>
      </c>
      <c r="H39" s="180"/>
      <c r="I39" s="203"/>
      <c r="J39" s="203"/>
      <c r="K39" s="203"/>
      <c r="L39" s="239"/>
      <c r="M39" s="139">
        <f t="shared" si="12"/>
        <v>0</v>
      </c>
      <c r="N39" s="140" t="str">
        <f t="shared" si="13"/>
        <v>#DIV/0!</v>
      </c>
      <c r="O39" s="116"/>
      <c r="P39" s="116"/>
      <c r="Q39" s="180"/>
      <c r="R39" s="179"/>
      <c r="S39" s="116"/>
      <c r="T39" s="116"/>
      <c r="U39" s="116"/>
      <c r="V39" s="179"/>
      <c r="W39" s="116"/>
      <c r="X39" s="116"/>
      <c r="Y39" s="179"/>
      <c r="Z39" s="185"/>
      <c r="AA39" s="217"/>
      <c r="AB39" s="116"/>
      <c r="AC39" s="179"/>
      <c r="AD39" s="116"/>
      <c r="AE39" s="176"/>
      <c r="AF39" s="138">
        <v>1.0</v>
      </c>
      <c r="AG39" s="182">
        <v>1.0</v>
      </c>
      <c r="AH39" s="182">
        <v>1.0</v>
      </c>
      <c r="AI39" s="176"/>
      <c r="AJ39" s="139">
        <f t="shared" si="14"/>
        <v>3</v>
      </c>
      <c r="AK39" s="205">
        <f t="shared" si="15"/>
        <v>30</v>
      </c>
      <c r="AL39" s="116"/>
      <c r="AM39" s="138">
        <v>1.0</v>
      </c>
      <c r="AN39" s="184">
        <v>1.0</v>
      </c>
      <c r="AO39" s="116"/>
      <c r="AP39" s="116"/>
      <c r="AQ39" s="116"/>
      <c r="AR39" s="116"/>
      <c r="AS39" s="191">
        <v>1.0</v>
      </c>
      <c r="AT39" s="138">
        <v>1.0</v>
      </c>
      <c r="AU39" s="116"/>
      <c r="AV39" s="116"/>
      <c r="AW39" s="179"/>
      <c r="AX39" s="116"/>
      <c r="AY39" s="138">
        <v>1.0</v>
      </c>
      <c r="AZ39" s="116"/>
      <c r="BA39" s="180"/>
      <c r="BB39" s="116"/>
      <c r="BC39" s="138">
        <v>1.0</v>
      </c>
      <c r="BD39" s="188">
        <v>1.0</v>
      </c>
      <c r="BE39" s="194"/>
      <c r="BF39" s="194"/>
      <c r="BG39" s="139">
        <f t="shared" si="16"/>
        <v>7</v>
      </c>
      <c r="BH39" s="208">
        <f t="shared" si="17"/>
        <v>63.63636364</v>
      </c>
      <c r="BI39" s="116"/>
      <c r="BJ39" s="116"/>
      <c r="BK39" s="180"/>
      <c r="BL39" s="116"/>
      <c r="BM39" s="116"/>
      <c r="BN39" s="138">
        <v>1.0</v>
      </c>
      <c r="BO39" s="138">
        <v>1.0</v>
      </c>
      <c r="BP39" s="116"/>
      <c r="BQ39" s="116"/>
      <c r="BR39" s="166"/>
      <c r="BS39" s="138">
        <v>1.0</v>
      </c>
      <c r="BT39" s="116"/>
      <c r="BU39" s="145">
        <v>1.0</v>
      </c>
      <c r="BV39" s="43"/>
      <c r="BW39" s="268">
        <v>1.0</v>
      </c>
      <c r="BX39" s="196">
        <v>1.0</v>
      </c>
      <c r="BY39" s="138">
        <v>1.0</v>
      </c>
      <c r="BZ39" s="196">
        <v>1.0</v>
      </c>
      <c r="CA39" s="138">
        <v>1.0</v>
      </c>
      <c r="CB39" s="138">
        <v>1.0</v>
      </c>
      <c r="CC39" s="196">
        <v>1.0</v>
      </c>
      <c r="CD39" s="196">
        <v>1.0</v>
      </c>
      <c r="CE39" s="124">
        <f t="shared" si="18"/>
        <v>12</v>
      </c>
      <c r="CF39" s="173">
        <f t="shared" si="19"/>
        <v>85.71428571</v>
      </c>
      <c r="CG39" s="184">
        <v>1.0</v>
      </c>
      <c r="CH39" s="230">
        <v>1.0</v>
      </c>
      <c r="CI39" s="186"/>
      <c r="CJ39" s="186"/>
      <c r="CK39" s="116"/>
      <c r="CL39" s="186"/>
      <c r="CM39" s="223"/>
      <c r="CN39" s="223"/>
      <c r="CO39" s="116"/>
      <c r="CP39" s="166"/>
      <c r="CQ39" s="213"/>
      <c r="CR39" s="213"/>
      <c r="CS39" s="213"/>
      <c r="CT39" s="213"/>
      <c r="CU39" s="213"/>
      <c r="CV39" s="213"/>
      <c r="CW39" s="128">
        <f t="shared" si="20"/>
        <v>2</v>
      </c>
      <c r="CX39" s="214">
        <f t="shared" si="21"/>
        <v>66.66666667</v>
      </c>
      <c r="CY39" s="171"/>
      <c r="CZ39" s="171"/>
      <c r="DA39" s="171"/>
      <c r="DB39" s="171"/>
      <c r="DC39" s="171"/>
      <c r="DD39" s="171"/>
      <c r="DE39" s="171"/>
      <c r="DF39" s="171"/>
      <c r="DG39" s="171"/>
      <c r="DH39" s="171"/>
      <c r="DI39" s="171"/>
      <c r="DJ39" s="171"/>
      <c r="DK39" s="128">
        <f t="shared" si="22"/>
        <v>0</v>
      </c>
      <c r="DL39" s="158" t="str">
        <f t="shared" si="23"/>
        <v>#DIV/0!</v>
      </c>
    </row>
    <row r="40" ht="15.75" customHeight="1">
      <c r="A40" s="50">
        <v>31.0</v>
      </c>
      <c r="B40" s="111" t="s">
        <v>112</v>
      </c>
      <c r="C40" s="112" t="s">
        <v>113</v>
      </c>
      <c r="D40" s="98">
        <f t="shared" si="8"/>
        <v>27</v>
      </c>
      <c r="E40" s="130">
        <f t="shared" si="9"/>
        <v>71.05263158</v>
      </c>
      <c r="F40" s="114" t="str">
        <f t="shared" si="10"/>
        <v>  </v>
      </c>
      <c r="G40" s="149" t="str">
        <f t="shared" si="11"/>
        <v>  </v>
      </c>
      <c r="H40" s="180"/>
      <c r="I40" s="180"/>
      <c r="J40" s="180"/>
      <c r="K40" s="180"/>
      <c r="L40" s="204"/>
      <c r="M40" s="139">
        <f t="shared" si="12"/>
        <v>0</v>
      </c>
      <c r="N40" s="140" t="str">
        <f t="shared" si="13"/>
        <v>#DIV/0!</v>
      </c>
      <c r="O40" s="116"/>
      <c r="P40" s="116"/>
      <c r="Q40" s="116"/>
      <c r="R40" s="207"/>
      <c r="S40" s="116"/>
      <c r="T40" s="116"/>
      <c r="U40" s="116"/>
      <c r="V40" s="207"/>
      <c r="W40" s="138">
        <v>1.0</v>
      </c>
      <c r="X40" s="138">
        <v>1.0</v>
      </c>
      <c r="Y40" s="234">
        <v>1.0</v>
      </c>
      <c r="Z40" s="185"/>
      <c r="AA40" s="187">
        <v>1.0</v>
      </c>
      <c r="AB40" s="138">
        <v>1.0</v>
      </c>
      <c r="AC40" s="207"/>
      <c r="AD40" s="116"/>
      <c r="AE40" s="116"/>
      <c r="AF40" s="138">
        <v>1.0</v>
      </c>
      <c r="AG40" s="209">
        <v>1.0</v>
      </c>
      <c r="AH40" s="138">
        <v>1.0</v>
      </c>
      <c r="AI40" s="116"/>
      <c r="AJ40" s="139">
        <f t="shared" si="14"/>
        <v>8</v>
      </c>
      <c r="AK40" s="205">
        <f t="shared" si="15"/>
        <v>80</v>
      </c>
      <c r="AL40" s="240">
        <v>1.0</v>
      </c>
      <c r="AM40" s="138">
        <v>1.0</v>
      </c>
      <c r="AN40" s="207"/>
      <c r="AO40" s="116"/>
      <c r="AP40" s="116"/>
      <c r="AQ40" s="116"/>
      <c r="AR40" s="116"/>
      <c r="AS40" s="191">
        <v>1.0</v>
      </c>
      <c r="AT40" s="116"/>
      <c r="AU40" s="116"/>
      <c r="AV40" s="116"/>
      <c r="AW40" s="207"/>
      <c r="AX40" s="116"/>
      <c r="AY40" s="138">
        <v>1.0</v>
      </c>
      <c r="AZ40" s="116"/>
      <c r="BA40" s="180"/>
      <c r="BB40" s="116"/>
      <c r="BC40" s="116"/>
      <c r="BD40" s="194"/>
      <c r="BE40" s="194"/>
      <c r="BF40" s="194"/>
      <c r="BG40" s="139">
        <f t="shared" si="16"/>
        <v>3</v>
      </c>
      <c r="BH40" s="208">
        <f t="shared" si="17"/>
        <v>27.27272727</v>
      </c>
      <c r="BI40" s="116"/>
      <c r="BJ40" s="116"/>
      <c r="BK40" s="180"/>
      <c r="BL40" s="116"/>
      <c r="BM40" s="116"/>
      <c r="BN40" s="138">
        <v>1.0</v>
      </c>
      <c r="BO40" s="138">
        <v>1.0</v>
      </c>
      <c r="BP40" s="116"/>
      <c r="BQ40" s="116"/>
      <c r="BR40" s="191">
        <v>1.0</v>
      </c>
      <c r="BS40" s="196">
        <v>1.0</v>
      </c>
      <c r="BT40" s="116"/>
      <c r="BU40" s="241">
        <v>1.0</v>
      </c>
      <c r="BV40" s="116"/>
      <c r="BW40" s="268">
        <v>1.0</v>
      </c>
      <c r="BX40" s="196">
        <v>1.0</v>
      </c>
      <c r="BY40" s="138">
        <v>1.0</v>
      </c>
      <c r="BZ40" s="196">
        <v>1.0</v>
      </c>
      <c r="CA40" s="138">
        <v>1.0</v>
      </c>
      <c r="CB40" s="138">
        <v>1.0</v>
      </c>
      <c r="CC40" s="196">
        <v>1.0</v>
      </c>
      <c r="CD40" s="196">
        <v>1.0</v>
      </c>
      <c r="CE40" s="124">
        <f t="shared" si="18"/>
        <v>13</v>
      </c>
      <c r="CF40" s="173">
        <f t="shared" si="19"/>
        <v>92.85714286</v>
      </c>
      <c r="CG40" s="138">
        <v>1.0</v>
      </c>
      <c r="CH40" s="230">
        <v>1.0</v>
      </c>
      <c r="CI40" s="200">
        <v>1.0</v>
      </c>
      <c r="CJ40" s="116"/>
      <c r="CK40" s="116"/>
      <c r="CL40" s="186"/>
      <c r="CM40" s="223"/>
      <c r="CN40" s="116"/>
      <c r="CO40" s="116"/>
      <c r="CP40" s="166"/>
      <c r="CQ40" s="213"/>
      <c r="CR40" s="213"/>
      <c r="CS40" s="116"/>
      <c r="CT40" s="116"/>
      <c r="CU40" s="116"/>
      <c r="CV40" s="213"/>
      <c r="CW40" s="128">
        <f t="shared" si="20"/>
        <v>3</v>
      </c>
      <c r="CX40" s="214">
        <f t="shared" si="21"/>
        <v>100</v>
      </c>
      <c r="CY40" s="171"/>
      <c r="CZ40" s="171"/>
      <c r="DA40" s="171"/>
      <c r="DB40" s="171"/>
      <c r="DC40" s="171"/>
      <c r="DD40" s="171"/>
      <c r="DE40" s="171"/>
      <c r="DF40" s="171"/>
      <c r="DG40" s="171"/>
      <c r="DH40" s="171"/>
      <c r="DI40" s="171"/>
      <c r="DJ40" s="171"/>
      <c r="DK40" s="128">
        <f t="shared" si="22"/>
        <v>0</v>
      </c>
      <c r="DL40" s="158" t="str">
        <f t="shared" si="23"/>
        <v>#DIV/0!</v>
      </c>
    </row>
    <row r="41" ht="15.75" customHeight="1">
      <c r="A41" s="131">
        <v>32.0</v>
      </c>
      <c r="B41" s="111" t="s">
        <v>114</v>
      </c>
      <c r="C41" s="112" t="s">
        <v>115</v>
      </c>
      <c r="D41" s="98">
        <f t="shared" si="8"/>
        <v>23</v>
      </c>
      <c r="E41" s="130">
        <f t="shared" si="9"/>
        <v>60.52631579</v>
      </c>
      <c r="F41" s="92" t="str">
        <f t="shared" si="10"/>
        <v>  </v>
      </c>
      <c r="G41" s="149" t="str">
        <f t="shared" si="11"/>
        <v>  </v>
      </c>
      <c r="H41" s="180"/>
      <c r="I41" s="180"/>
      <c r="J41" s="180"/>
      <c r="K41" s="180"/>
      <c r="L41" s="204"/>
      <c r="M41" s="139">
        <f t="shared" si="12"/>
        <v>0</v>
      </c>
      <c r="N41" s="140" t="str">
        <f t="shared" si="13"/>
        <v>#DIV/0!</v>
      </c>
      <c r="O41" s="116"/>
      <c r="P41" s="116"/>
      <c r="Q41" s="180"/>
      <c r="R41" s="179"/>
      <c r="S41" s="179"/>
      <c r="T41" s="116"/>
      <c r="U41" s="116"/>
      <c r="V41" s="179"/>
      <c r="W41" s="138">
        <v>1.0</v>
      </c>
      <c r="X41" s="116"/>
      <c r="Y41" s="179"/>
      <c r="Z41" s="185"/>
      <c r="AA41" s="187">
        <v>1.0</v>
      </c>
      <c r="AB41" s="138">
        <v>1.0</v>
      </c>
      <c r="AC41" s="184">
        <v>1.0</v>
      </c>
      <c r="AD41" s="116"/>
      <c r="AE41" s="116"/>
      <c r="AF41" s="176"/>
      <c r="AG41" s="182">
        <v>1.0</v>
      </c>
      <c r="AH41" s="138">
        <v>1.0</v>
      </c>
      <c r="AI41" s="116"/>
      <c r="AJ41" s="139">
        <f t="shared" si="14"/>
        <v>6</v>
      </c>
      <c r="AK41" s="205">
        <f t="shared" si="15"/>
        <v>60</v>
      </c>
      <c r="AL41" s="138">
        <v>1.0</v>
      </c>
      <c r="AM41" s="138">
        <v>1.0</v>
      </c>
      <c r="AN41" s="184">
        <v>1.0</v>
      </c>
      <c r="AO41" s="116"/>
      <c r="AP41" s="116"/>
      <c r="AQ41" s="138">
        <v>1.0</v>
      </c>
      <c r="AR41" s="116"/>
      <c r="AS41" s="166"/>
      <c r="AT41" s="116"/>
      <c r="AU41" s="116"/>
      <c r="AV41" s="116"/>
      <c r="AW41" s="179"/>
      <c r="AX41" s="116"/>
      <c r="AY41" s="138">
        <v>1.0</v>
      </c>
      <c r="AZ41" s="116"/>
      <c r="BA41" s="180"/>
      <c r="BB41" s="138">
        <v>1.0</v>
      </c>
      <c r="BC41" s="116"/>
      <c r="BD41" s="194"/>
      <c r="BE41" s="194"/>
      <c r="BF41" s="194"/>
      <c r="BG41" s="139">
        <f t="shared" si="16"/>
        <v>5</v>
      </c>
      <c r="BH41" s="208">
        <f t="shared" si="17"/>
        <v>45.45454545</v>
      </c>
      <c r="BI41" s="116"/>
      <c r="BJ41" s="116"/>
      <c r="BK41" s="180"/>
      <c r="BL41" s="116"/>
      <c r="BM41" s="116"/>
      <c r="BN41" s="138">
        <v>1.0</v>
      </c>
      <c r="BO41" s="138">
        <v>1.0</v>
      </c>
      <c r="BP41" s="116"/>
      <c r="BQ41" s="116"/>
      <c r="BR41" s="116"/>
      <c r="BS41" s="138">
        <v>1.0</v>
      </c>
      <c r="BT41" s="210">
        <v>1.0</v>
      </c>
      <c r="BU41" s="43"/>
      <c r="BV41" s="43"/>
      <c r="BW41" s="268">
        <v>1.0</v>
      </c>
      <c r="BX41" s="196">
        <v>1.0</v>
      </c>
      <c r="BY41" s="138">
        <v>1.0</v>
      </c>
      <c r="BZ41" s="196">
        <v>1.0</v>
      </c>
      <c r="CA41" s="138">
        <v>1.0</v>
      </c>
      <c r="CB41" s="116"/>
      <c r="CC41" s="196">
        <v>1.0</v>
      </c>
      <c r="CD41" s="196">
        <v>1.0</v>
      </c>
      <c r="CE41" s="124">
        <f t="shared" si="18"/>
        <v>11</v>
      </c>
      <c r="CF41" s="173">
        <f t="shared" si="19"/>
        <v>78.57142857</v>
      </c>
      <c r="CG41" s="116"/>
      <c r="CH41" s="138">
        <v>1.0</v>
      </c>
      <c r="CI41" s="186"/>
      <c r="CJ41" s="116"/>
      <c r="CK41" s="116"/>
      <c r="CL41" s="186"/>
      <c r="CM41" s="223"/>
      <c r="CN41" s="116"/>
      <c r="CO41" s="116"/>
      <c r="CP41" s="166"/>
      <c r="CQ41" s="213"/>
      <c r="CR41" s="213"/>
      <c r="CS41" s="116"/>
      <c r="CT41" s="116"/>
      <c r="CU41" s="213"/>
      <c r="CV41" s="213"/>
      <c r="CW41" s="128">
        <f t="shared" si="20"/>
        <v>1</v>
      </c>
      <c r="CX41" s="214">
        <f t="shared" si="21"/>
        <v>33.33333333</v>
      </c>
      <c r="CY41" s="171"/>
      <c r="CZ41" s="171"/>
      <c r="DA41" s="171"/>
      <c r="DB41" s="171"/>
      <c r="DC41" s="171"/>
      <c r="DD41" s="171"/>
      <c r="DE41" s="171"/>
      <c r="DF41" s="171"/>
      <c r="DG41" s="171"/>
      <c r="DH41" s="171"/>
      <c r="DI41" s="171"/>
      <c r="DJ41" s="171"/>
      <c r="DK41" s="128">
        <f t="shared" si="22"/>
        <v>0</v>
      </c>
      <c r="DL41" s="158" t="str">
        <f t="shared" si="23"/>
        <v>#DIV/0!</v>
      </c>
    </row>
    <row r="42" ht="15.75" customHeight="1">
      <c r="A42" s="146">
        <v>33.0</v>
      </c>
      <c r="B42" s="111" t="s">
        <v>116</v>
      </c>
      <c r="C42" s="112" t="s">
        <v>117</v>
      </c>
      <c r="D42" s="98">
        <f t="shared" si="8"/>
        <v>11</v>
      </c>
      <c r="E42" s="130">
        <f t="shared" si="9"/>
        <v>28.94736842</v>
      </c>
      <c r="F42" s="114">
        <f t="shared" si="10"/>
        <v>28.94736842</v>
      </c>
      <c r="G42" s="226">
        <f t="shared" si="11"/>
        <v>28.94736842</v>
      </c>
      <c r="H42" s="203"/>
      <c r="I42" s="203"/>
      <c r="J42" s="203"/>
      <c r="K42" s="180"/>
      <c r="L42" s="204"/>
      <c r="M42" s="139">
        <f t="shared" si="12"/>
        <v>0</v>
      </c>
      <c r="N42" s="140" t="str">
        <f t="shared" si="13"/>
        <v>#DIV/0!</v>
      </c>
      <c r="O42" s="116"/>
      <c r="P42" s="116"/>
      <c r="Q42" s="180"/>
      <c r="R42" s="179"/>
      <c r="S42" s="179"/>
      <c r="T42" s="116"/>
      <c r="U42" s="116"/>
      <c r="V42" s="179"/>
      <c r="W42" s="116"/>
      <c r="X42" s="116"/>
      <c r="Y42" s="179"/>
      <c r="Z42" s="185"/>
      <c r="AA42" s="217"/>
      <c r="AB42" s="138">
        <v>1.0</v>
      </c>
      <c r="AC42" s="179"/>
      <c r="AD42" s="176"/>
      <c r="AE42" s="176"/>
      <c r="AF42" s="176"/>
      <c r="AG42" s="176"/>
      <c r="AH42" s="176"/>
      <c r="AI42" s="176"/>
      <c r="AJ42" s="139">
        <f t="shared" si="14"/>
        <v>1</v>
      </c>
      <c r="AK42" s="205">
        <f t="shared" si="15"/>
        <v>10</v>
      </c>
      <c r="AL42" s="222"/>
      <c r="AM42" s="116"/>
      <c r="AN42" s="184">
        <v>1.0</v>
      </c>
      <c r="AO42" s="179"/>
      <c r="AP42" s="179"/>
      <c r="AQ42" s="138">
        <v>1.0</v>
      </c>
      <c r="AR42" s="116"/>
      <c r="AS42" s="191">
        <v>1.0</v>
      </c>
      <c r="AT42" s="116"/>
      <c r="AU42" s="116"/>
      <c r="AV42" s="116"/>
      <c r="AW42" s="179"/>
      <c r="AX42" s="138">
        <v>1.0</v>
      </c>
      <c r="AY42" s="116"/>
      <c r="AZ42" s="180"/>
      <c r="BA42" s="180"/>
      <c r="BB42" s="204"/>
      <c r="BC42" s="204"/>
      <c r="BD42" s="181"/>
      <c r="BE42" s="181"/>
      <c r="BF42" s="181"/>
      <c r="BG42" s="139">
        <f t="shared" si="16"/>
        <v>4</v>
      </c>
      <c r="BH42" s="208">
        <f t="shared" si="17"/>
        <v>36.36363636</v>
      </c>
      <c r="BI42" s="116"/>
      <c r="BJ42" s="180"/>
      <c r="BK42" s="180"/>
      <c r="BL42" s="116"/>
      <c r="BM42" s="116"/>
      <c r="BN42" s="116"/>
      <c r="BO42" s="116"/>
      <c r="BP42" s="116"/>
      <c r="BQ42" s="211"/>
      <c r="BR42" s="166"/>
      <c r="BS42" s="196">
        <v>1.0</v>
      </c>
      <c r="BT42" s="185"/>
      <c r="BU42" s="43"/>
      <c r="BV42" s="43"/>
      <c r="BW42" s="268">
        <v>1.0</v>
      </c>
      <c r="BX42" s="196">
        <v>1.0</v>
      </c>
      <c r="BY42" s="138">
        <v>1.0</v>
      </c>
      <c r="BZ42" s="165"/>
      <c r="CA42" s="165"/>
      <c r="CB42" s="165"/>
      <c r="CC42" s="165"/>
      <c r="CD42" s="196">
        <v>1.0</v>
      </c>
      <c r="CE42" s="124">
        <f t="shared" si="18"/>
        <v>5</v>
      </c>
      <c r="CF42" s="173">
        <f t="shared" si="19"/>
        <v>35.71428571</v>
      </c>
      <c r="CG42" s="179"/>
      <c r="CH42" s="230">
        <v>1.0</v>
      </c>
      <c r="CI42" s="186"/>
      <c r="CJ42" s="186"/>
      <c r="CK42" s="116"/>
      <c r="CL42" s="186"/>
      <c r="CM42" s="223"/>
      <c r="CN42" s="223"/>
      <c r="CO42" s="223"/>
      <c r="CP42" s="166"/>
      <c r="CQ42" s="213"/>
      <c r="CR42" s="213"/>
      <c r="CS42" s="116"/>
      <c r="CT42" s="116"/>
      <c r="CU42" s="213"/>
      <c r="CV42" s="213"/>
      <c r="CW42" s="128">
        <f t="shared" si="20"/>
        <v>1</v>
      </c>
      <c r="CX42" s="214">
        <f t="shared" si="21"/>
        <v>33.33333333</v>
      </c>
      <c r="CY42" s="171"/>
      <c r="CZ42" s="171"/>
      <c r="DA42" s="171"/>
      <c r="DB42" s="171"/>
      <c r="DC42" s="171"/>
      <c r="DD42" s="171"/>
      <c r="DE42" s="171"/>
      <c r="DF42" s="171"/>
      <c r="DG42" s="171"/>
      <c r="DH42" s="171"/>
      <c r="DI42" s="171"/>
      <c r="DJ42" s="171"/>
      <c r="DK42" s="128">
        <f t="shared" si="22"/>
        <v>0</v>
      </c>
      <c r="DL42" s="158" t="str">
        <f t="shared" si="23"/>
        <v>#DIV/0!</v>
      </c>
    </row>
    <row r="43" ht="15.75" customHeight="1">
      <c r="A43" s="50">
        <v>34.0</v>
      </c>
      <c r="B43" s="111" t="s">
        <v>118</v>
      </c>
      <c r="C43" s="112" t="s">
        <v>119</v>
      </c>
      <c r="D43" s="98">
        <f t="shared" si="8"/>
        <v>1</v>
      </c>
      <c r="E43" s="130">
        <f t="shared" si="9"/>
        <v>2.631578947</v>
      </c>
      <c r="F43" s="114">
        <f t="shared" si="10"/>
        <v>2.631578947</v>
      </c>
      <c r="G43" s="226">
        <f t="shared" si="11"/>
        <v>2.631578947</v>
      </c>
      <c r="H43" s="180"/>
      <c r="I43" s="180"/>
      <c r="J43" s="180"/>
      <c r="K43" s="203"/>
      <c r="L43" s="239"/>
      <c r="M43" s="139">
        <f t="shared" si="12"/>
        <v>0</v>
      </c>
      <c r="N43" s="140" t="str">
        <f t="shared" si="13"/>
        <v>#DIV/0!</v>
      </c>
      <c r="O43" s="116"/>
      <c r="P43" s="116"/>
      <c r="Q43" s="180"/>
      <c r="R43" s="179"/>
      <c r="S43" s="116"/>
      <c r="T43" s="116"/>
      <c r="U43" s="116"/>
      <c r="V43" s="179"/>
      <c r="W43" s="116"/>
      <c r="X43" s="116"/>
      <c r="Y43" s="179"/>
      <c r="Z43" s="185"/>
      <c r="AA43" s="217"/>
      <c r="AB43" s="116"/>
      <c r="AC43" s="179"/>
      <c r="AD43" s="176"/>
      <c r="AE43" s="176"/>
      <c r="AF43" s="197">
        <v>1.0</v>
      </c>
      <c r="AG43" s="176"/>
      <c r="AH43" s="176"/>
      <c r="AI43" s="176"/>
      <c r="AJ43" s="139">
        <f t="shared" si="14"/>
        <v>1</v>
      </c>
      <c r="AK43" s="205">
        <f t="shared" si="15"/>
        <v>10</v>
      </c>
      <c r="AL43" s="222"/>
      <c r="AM43" s="179"/>
      <c r="AN43" s="179"/>
      <c r="AO43" s="179"/>
      <c r="AP43" s="179"/>
      <c r="AQ43" s="116"/>
      <c r="AR43" s="116"/>
      <c r="AS43" s="166"/>
      <c r="AT43" s="116"/>
      <c r="AU43" s="116"/>
      <c r="AV43" s="116"/>
      <c r="AW43" s="179"/>
      <c r="AX43" s="116"/>
      <c r="AY43" s="116"/>
      <c r="AZ43" s="180"/>
      <c r="BA43" s="180"/>
      <c r="BB43" s="204"/>
      <c r="BC43" s="204"/>
      <c r="BD43" s="181"/>
      <c r="BE43" s="181"/>
      <c r="BF43" s="181"/>
      <c r="BG43" s="139">
        <f t="shared" si="16"/>
        <v>0</v>
      </c>
      <c r="BH43" s="208">
        <f t="shared" si="17"/>
        <v>0</v>
      </c>
      <c r="BI43" s="116"/>
      <c r="BJ43" s="116"/>
      <c r="BK43" s="180"/>
      <c r="BL43" s="116"/>
      <c r="BM43" s="116"/>
      <c r="BN43" s="116"/>
      <c r="BO43" s="116"/>
      <c r="BP43" s="116"/>
      <c r="BQ43" s="116"/>
      <c r="BR43" s="166"/>
      <c r="BS43" s="165"/>
      <c r="BT43" s="116"/>
      <c r="BU43" s="43"/>
      <c r="BV43" s="43"/>
      <c r="BW43" s="266"/>
      <c r="BX43" s="165"/>
      <c r="BY43" s="116"/>
      <c r="BZ43" s="165"/>
      <c r="CA43" s="165"/>
      <c r="CB43" s="165"/>
      <c r="CC43" s="165"/>
      <c r="CD43" s="165"/>
      <c r="CE43" s="124">
        <f t="shared" si="18"/>
        <v>0</v>
      </c>
      <c r="CF43" s="173">
        <f t="shared" si="19"/>
        <v>0</v>
      </c>
      <c r="CG43" s="179"/>
      <c r="CH43" s="238"/>
      <c r="CI43" s="186"/>
      <c r="CJ43" s="116"/>
      <c r="CK43" s="231"/>
      <c r="CL43" s="186"/>
      <c r="CM43" s="223"/>
      <c r="CN43" s="223"/>
      <c r="CO43" s="116"/>
      <c r="CP43" s="166"/>
      <c r="CQ43" s="213"/>
      <c r="CR43" s="213"/>
      <c r="CS43" s="213"/>
      <c r="CT43" s="213"/>
      <c r="CU43" s="116"/>
      <c r="CV43" s="213"/>
      <c r="CW43" s="128">
        <f t="shared" si="20"/>
        <v>0</v>
      </c>
      <c r="CX43" s="214">
        <f t="shared" si="21"/>
        <v>0</v>
      </c>
      <c r="CY43" s="171"/>
      <c r="CZ43" s="171"/>
      <c r="DA43" s="171"/>
      <c r="DB43" s="171"/>
      <c r="DC43" s="171"/>
      <c r="DD43" s="171"/>
      <c r="DE43" s="171"/>
      <c r="DF43" s="171"/>
      <c r="DG43" s="171"/>
      <c r="DH43" s="171"/>
      <c r="DI43" s="171"/>
      <c r="DJ43" s="171"/>
      <c r="DK43" s="128">
        <f t="shared" si="22"/>
        <v>0</v>
      </c>
      <c r="DL43" s="158" t="str">
        <f t="shared" si="23"/>
        <v>#DIV/0!</v>
      </c>
    </row>
    <row r="44" ht="15.75" customHeight="1">
      <c r="A44" s="131">
        <v>35.0</v>
      </c>
      <c r="B44" s="111" t="s">
        <v>120</v>
      </c>
      <c r="C44" s="112" t="s">
        <v>121</v>
      </c>
      <c r="D44" s="98">
        <f t="shared" si="8"/>
        <v>15</v>
      </c>
      <c r="E44" s="130">
        <f t="shared" si="9"/>
        <v>39.47368421</v>
      </c>
      <c r="F44" s="114">
        <f t="shared" si="10"/>
        <v>39.47368421</v>
      </c>
      <c r="G44" s="149" t="str">
        <f t="shared" si="11"/>
        <v>  </v>
      </c>
      <c r="H44" s="180"/>
      <c r="I44" s="180"/>
      <c r="J44" s="221"/>
      <c r="K44" s="180"/>
      <c r="L44" s="204"/>
      <c r="M44" s="139">
        <f t="shared" si="12"/>
        <v>0</v>
      </c>
      <c r="N44" s="140" t="str">
        <f t="shared" si="13"/>
        <v>#DIV/0!</v>
      </c>
      <c r="O44" s="116"/>
      <c r="P44" s="116"/>
      <c r="Q44" s="116"/>
      <c r="R44" s="186"/>
      <c r="S44" s="186"/>
      <c r="T44" s="116"/>
      <c r="U44" s="116"/>
      <c r="V44" s="186"/>
      <c r="W44" s="116"/>
      <c r="X44" s="116"/>
      <c r="Y44" s="186"/>
      <c r="Z44" s="185"/>
      <c r="AA44" s="217"/>
      <c r="AB44" s="138">
        <v>1.0</v>
      </c>
      <c r="AC44" s="200">
        <v>1.0</v>
      </c>
      <c r="AD44" s="195"/>
      <c r="AE44" s="195"/>
      <c r="AF44" s="116"/>
      <c r="AG44" s="197">
        <v>1.0</v>
      </c>
      <c r="AH44" s="197">
        <v>1.0</v>
      </c>
      <c r="AI44" s="195"/>
      <c r="AJ44" s="139">
        <f t="shared" si="14"/>
        <v>4</v>
      </c>
      <c r="AK44" s="205">
        <f t="shared" si="15"/>
        <v>40</v>
      </c>
      <c r="AL44" s="237">
        <v>1.0</v>
      </c>
      <c r="AM44" s="186"/>
      <c r="AN44" s="200">
        <v>1.0</v>
      </c>
      <c r="AO44" s="186"/>
      <c r="AP44" s="186"/>
      <c r="AQ44" s="138">
        <v>1.0</v>
      </c>
      <c r="AR44" s="116"/>
      <c r="AS44" s="191">
        <v>1.0</v>
      </c>
      <c r="AT44" s="138">
        <v>1.0</v>
      </c>
      <c r="AU44" s="116"/>
      <c r="AV44" s="116"/>
      <c r="AW44" s="186"/>
      <c r="AX44" s="116"/>
      <c r="AY44" s="138">
        <v>1.0</v>
      </c>
      <c r="AZ44" s="180"/>
      <c r="BA44" s="180"/>
      <c r="BB44" s="218">
        <v>1.0</v>
      </c>
      <c r="BC44" s="218">
        <v>1.0</v>
      </c>
      <c r="BD44" s="181"/>
      <c r="BE44" s="181"/>
      <c r="BF44" s="181"/>
      <c r="BG44" s="139">
        <f t="shared" si="16"/>
        <v>7</v>
      </c>
      <c r="BH44" s="208">
        <f t="shared" si="17"/>
        <v>63.63636364</v>
      </c>
      <c r="BI44" s="116"/>
      <c r="BJ44" s="116"/>
      <c r="BK44" s="180"/>
      <c r="BL44" s="116"/>
      <c r="BM44" s="116"/>
      <c r="BN44" s="138">
        <v>1.0</v>
      </c>
      <c r="BO44" s="138">
        <v>1.0</v>
      </c>
      <c r="BP44" s="116"/>
      <c r="BQ44" s="211"/>
      <c r="BR44" s="166"/>
      <c r="BS44" s="165"/>
      <c r="BT44" s="185"/>
      <c r="BU44" s="43"/>
      <c r="BV44" s="43"/>
      <c r="BW44" s="266"/>
      <c r="BX44" s="165"/>
      <c r="BY44" s="116"/>
      <c r="BZ44" s="165"/>
      <c r="CA44" s="116"/>
      <c r="CB44" s="196">
        <v>1.0</v>
      </c>
      <c r="CC44" s="165"/>
      <c r="CD44" s="165"/>
      <c r="CE44" s="124">
        <f t="shared" si="18"/>
        <v>3</v>
      </c>
      <c r="CF44" s="173">
        <f t="shared" si="19"/>
        <v>21.42857143</v>
      </c>
      <c r="CG44" s="186"/>
      <c r="CH44" s="138">
        <v>1.0</v>
      </c>
      <c r="CI44" s="116"/>
      <c r="CJ44" s="186"/>
      <c r="CK44" s="231"/>
      <c r="CL44" s="186"/>
      <c r="CM44" s="223"/>
      <c r="CN44" s="223"/>
      <c r="CO44" s="223"/>
      <c r="CP44" s="166"/>
      <c r="CQ44" s="213"/>
      <c r="CR44" s="213"/>
      <c r="CS44" s="116"/>
      <c r="CT44" s="116"/>
      <c r="CU44" s="116"/>
      <c r="CV44" s="213"/>
      <c r="CW44" s="128">
        <f t="shared" si="20"/>
        <v>1</v>
      </c>
      <c r="CX44" s="214">
        <f t="shared" si="21"/>
        <v>33.33333333</v>
      </c>
      <c r="CY44" s="171"/>
      <c r="CZ44" s="171"/>
      <c r="DA44" s="171"/>
      <c r="DB44" s="171"/>
      <c r="DC44" s="171"/>
      <c r="DD44" s="171"/>
      <c r="DE44" s="171"/>
      <c r="DF44" s="171"/>
      <c r="DG44" s="171"/>
      <c r="DH44" s="171"/>
      <c r="DI44" s="171"/>
      <c r="DJ44" s="171"/>
      <c r="DK44" s="128">
        <f t="shared" si="22"/>
        <v>0</v>
      </c>
      <c r="DL44" s="158" t="str">
        <f t="shared" si="23"/>
        <v>#DIV/0!</v>
      </c>
    </row>
    <row r="45" ht="15.75" customHeight="1">
      <c r="A45" s="146">
        <v>36.0</v>
      </c>
      <c r="B45" s="111" t="s">
        <v>122</v>
      </c>
      <c r="C45" s="112" t="s">
        <v>123</v>
      </c>
      <c r="D45" s="98">
        <f t="shared" si="8"/>
        <v>20</v>
      </c>
      <c r="E45" s="130">
        <f t="shared" si="9"/>
        <v>52.63157895</v>
      </c>
      <c r="F45" s="92" t="str">
        <f t="shared" si="10"/>
        <v>  </v>
      </c>
      <c r="G45" s="149" t="str">
        <f t="shared" si="11"/>
        <v>  </v>
      </c>
      <c r="H45" s="180"/>
      <c r="I45" s="180"/>
      <c r="J45" s="180"/>
      <c r="K45" s="180"/>
      <c r="L45" s="204"/>
      <c r="M45" s="139">
        <f t="shared" si="12"/>
        <v>0</v>
      </c>
      <c r="N45" s="140" t="str">
        <f t="shared" si="13"/>
        <v>#DIV/0!</v>
      </c>
      <c r="O45" s="116"/>
      <c r="P45" s="116"/>
      <c r="Q45" s="180"/>
      <c r="R45" s="186"/>
      <c r="S45" s="116"/>
      <c r="T45" s="116"/>
      <c r="U45" s="116"/>
      <c r="V45" s="186"/>
      <c r="W45" s="138">
        <v>1.0</v>
      </c>
      <c r="X45" s="138">
        <v>1.0</v>
      </c>
      <c r="Y45" s="200">
        <v>1.0</v>
      </c>
      <c r="Z45" s="185"/>
      <c r="AA45" s="187">
        <v>1.0</v>
      </c>
      <c r="AB45" s="138">
        <v>1.0</v>
      </c>
      <c r="AC45" s="186"/>
      <c r="AD45" s="116"/>
      <c r="AE45" s="116"/>
      <c r="AF45" s="138">
        <v>1.0</v>
      </c>
      <c r="AG45" s="197">
        <v>1.0</v>
      </c>
      <c r="AH45" s="116"/>
      <c r="AI45" s="116"/>
      <c r="AJ45" s="139">
        <f t="shared" si="14"/>
        <v>7</v>
      </c>
      <c r="AK45" s="205">
        <f t="shared" si="15"/>
        <v>70</v>
      </c>
      <c r="AL45" s="225"/>
      <c r="AM45" s="186"/>
      <c r="AN45" s="186"/>
      <c r="AO45" s="179"/>
      <c r="AP45" s="179"/>
      <c r="AQ45" s="116"/>
      <c r="AR45" s="116"/>
      <c r="AS45" s="166"/>
      <c r="AT45" s="138">
        <v>1.0</v>
      </c>
      <c r="AU45" s="116"/>
      <c r="AV45" s="116"/>
      <c r="AW45" s="186"/>
      <c r="AX45" s="116"/>
      <c r="AY45" s="138">
        <v>1.0</v>
      </c>
      <c r="AZ45" s="116"/>
      <c r="BA45" s="180"/>
      <c r="BB45" s="138">
        <v>1.0</v>
      </c>
      <c r="BC45" s="138">
        <v>1.0</v>
      </c>
      <c r="BD45" s="194"/>
      <c r="BE45" s="194"/>
      <c r="BF45" s="194"/>
      <c r="BG45" s="139">
        <f t="shared" si="16"/>
        <v>4</v>
      </c>
      <c r="BH45" s="208">
        <f t="shared" si="17"/>
        <v>36.36363636</v>
      </c>
      <c r="BI45" s="116"/>
      <c r="BJ45" s="180"/>
      <c r="BK45" s="180"/>
      <c r="BL45" s="116"/>
      <c r="BM45" s="116"/>
      <c r="BN45" s="138">
        <v>1.0</v>
      </c>
      <c r="BO45" s="138">
        <v>1.0</v>
      </c>
      <c r="BP45" s="116"/>
      <c r="BQ45" s="211"/>
      <c r="BR45" s="116"/>
      <c r="BS45" s="138">
        <v>1.0</v>
      </c>
      <c r="BT45" s="116"/>
      <c r="BU45" s="145">
        <v>1.0</v>
      </c>
      <c r="BV45" s="43"/>
      <c r="BW45" s="266"/>
      <c r="BX45" s="165"/>
      <c r="BY45" s="138">
        <v>1.0</v>
      </c>
      <c r="BZ45" s="196">
        <v>1.0</v>
      </c>
      <c r="CA45" s="138">
        <v>1.0</v>
      </c>
      <c r="CB45" s="165"/>
      <c r="CC45" s="196">
        <v>1.0</v>
      </c>
      <c r="CD45" s="165"/>
      <c r="CE45" s="124">
        <f t="shared" si="18"/>
        <v>8</v>
      </c>
      <c r="CF45" s="173">
        <f t="shared" si="19"/>
        <v>57.14285714</v>
      </c>
      <c r="CG45" s="116"/>
      <c r="CH45" s="138">
        <v>1.0</v>
      </c>
      <c r="CI45" s="186"/>
      <c r="CJ45" s="116"/>
      <c r="CK45" s="116"/>
      <c r="CL45" s="186"/>
      <c r="CM45" s="116"/>
      <c r="CN45" s="116"/>
      <c r="CO45" s="116"/>
      <c r="CP45" s="166"/>
      <c r="CQ45" s="213"/>
      <c r="CR45" s="213"/>
      <c r="CS45" s="116"/>
      <c r="CT45" s="116"/>
      <c r="CU45" s="116"/>
      <c r="CV45" s="213"/>
      <c r="CW45" s="128">
        <f t="shared" si="20"/>
        <v>1</v>
      </c>
      <c r="CX45" s="214">
        <f t="shared" si="21"/>
        <v>33.33333333</v>
      </c>
      <c r="CY45" s="171"/>
      <c r="CZ45" s="171"/>
      <c r="DA45" s="171"/>
      <c r="DB45" s="171"/>
      <c r="DC45" s="171"/>
      <c r="DD45" s="171"/>
      <c r="DE45" s="171"/>
      <c r="DF45" s="171"/>
      <c r="DG45" s="171"/>
      <c r="DH45" s="171"/>
      <c r="DI45" s="171"/>
      <c r="DJ45" s="171"/>
      <c r="DK45" s="128">
        <f t="shared" si="22"/>
        <v>0</v>
      </c>
      <c r="DL45" s="158" t="str">
        <f t="shared" si="23"/>
        <v>#DIV/0!</v>
      </c>
    </row>
    <row r="46" ht="15.75" customHeight="1">
      <c r="A46" s="50">
        <v>37.0</v>
      </c>
      <c r="B46" s="111" t="s">
        <v>124</v>
      </c>
      <c r="C46" s="112" t="s">
        <v>125</v>
      </c>
      <c r="D46" s="98">
        <f t="shared" si="8"/>
        <v>17</v>
      </c>
      <c r="E46" s="130">
        <f t="shared" si="9"/>
        <v>44.73684211</v>
      </c>
      <c r="F46" s="114">
        <f t="shared" si="10"/>
        <v>44.73684211</v>
      </c>
      <c r="G46" s="226" t="str">
        <f t="shared" si="11"/>
        <v>  </v>
      </c>
      <c r="H46" s="180"/>
      <c r="I46" s="180"/>
      <c r="J46" s="221"/>
      <c r="K46" s="180"/>
      <c r="L46" s="204"/>
      <c r="M46" s="139">
        <f t="shared" si="12"/>
        <v>0</v>
      </c>
      <c r="N46" s="140" t="str">
        <f t="shared" si="13"/>
        <v>#DIV/0!</v>
      </c>
      <c r="O46" s="116"/>
      <c r="P46" s="116"/>
      <c r="Q46" s="180"/>
      <c r="R46" s="179"/>
      <c r="S46" s="179"/>
      <c r="T46" s="116"/>
      <c r="U46" s="116"/>
      <c r="V46" s="179"/>
      <c r="W46" s="116"/>
      <c r="X46" s="116"/>
      <c r="Y46" s="179"/>
      <c r="Z46" s="185"/>
      <c r="AA46" s="187">
        <v>1.0</v>
      </c>
      <c r="AB46" s="138">
        <v>1.0</v>
      </c>
      <c r="AC46" s="179"/>
      <c r="AD46" s="176"/>
      <c r="AE46" s="116"/>
      <c r="AF46" s="182">
        <v>1.0</v>
      </c>
      <c r="AG46" s="182">
        <v>1.0</v>
      </c>
      <c r="AH46" s="138">
        <v>1.0</v>
      </c>
      <c r="AI46" s="176"/>
      <c r="AJ46" s="139">
        <f t="shared" si="14"/>
        <v>5</v>
      </c>
      <c r="AK46" s="205">
        <f t="shared" si="15"/>
        <v>50</v>
      </c>
      <c r="AL46" s="116"/>
      <c r="AM46" s="138">
        <v>1.0</v>
      </c>
      <c r="AN46" s="184">
        <v>1.0</v>
      </c>
      <c r="AO46" s="116"/>
      <c r="AP46" s="116"/>
      <c r="AQ46" s="116"/>
      <c r="AR46" s="116"/>
      <c r="AS46" s="191">
        <v>1.0</v>
      </c>
      <c r="AT46" s="116"/>
      <c r="AU46" s="116"/>
      <c r="AV46" s="116"/>
      <c r="AW46" s="179"/>
      <c r="AX46" s="138">
        <v>1.0</v>
      </c>
      <c r="AY46" s="116"/>
      <c r="AZ46" s="116"/>
      <c r="BA46" s="180"/>
      <c r="BB46" s="116"/>
      <c r="BC46" s="116"/>
      <c r="BD46" s="194"/>
      <c r="BE46" s="194"/>
      <c r="BF46" s="194"/>
      <c r="BG46" s="139">
        <f t="shared" si="16"/>
        <v>4</v>
      </c>
      <c r="BH46" s="208">
        <f t="shared" si="17"/>
        <v>36.36363636</v>
      </c>
      <c r="BI46" s="116"/>
      <c r="BJ46" s="116"/>
      <c r="BK46" s="180"/>
      <c r="BL46" s="116"/>
      <c r="BM46" s="116"/>
      <c r="BN46" s="138">
        <v>1.0</v>
      </c>
      <c r="BO46" s="138">
        <v>1.0</v>
      </c>
      <c r="BP46" s="116"/>
      <c r="BQ46" s="116"/>
      <c r="BR46" s="166"/>
      <c r="BS46" s="138">
        <v>1.0</v>
      </c>
      <c r="BT46" s="185"/>
      <c r="BU46" s="43"/>
      <c r="BV46" s="43"/>
      <c r="BW46" s="268">
        <v>1.0</v>
      </c>
      <c r="BX46" s="196">
        <v>1.0</v>
      </c>
      <c r="BY46" s="116"/>
      <c r="BZ46" s="196">
        <v>1.0</v>
      </c>
      <c r="CA46" s="116"/>
      <c r="CB46" s="196"/>
      <c r="CC46" s="165"/>
      <c r="CD46" s="196">
        <v>1.0</v>
      </c>
      <c r="CE46" s="124">
        <f t="shared" si="18"/>
        <v>7</v>
      </c>
      <c r="CF46" s="173">
        <f t="shared" si="19"/>
        <v>50</v>
      </c>
      <c r="CG46" s="116"/>
      <c r="CH46" s="230">
        <v>1.0</v>
      </c>
      <c r="CI46" s="186"/>
      <c r="CJ46" s="186"/>
      <c r="CK46" s="116"/>
      <c r="CL46" s="186"/>
      <c r="CM46" s="116"/>
      <c r="CN46" s="223"/>
      <c r="CO46" s="116"/>
      <c r="CP46" s="166"/>
      <c r="CQ46" s="213"/>
      <c r="CR46" s="213"/>
      <c r="CS46" s="213"/>
      <c r="CT46" s="116"/>
      <c r="CU46" s="213"/>
      <c r="CV46" s="213"/>
      <c r="CW46" s="128">
        <f t="shared" si="20"/>
        <v>1</v>
      </c>
      <c r="CX46" s="214">
        <f t="shared" si="21"/>
        <v>33.33333333</v>
      </c>
      <c r="CY46" s="171"/>
      <c r="CZ46" s="171"/>
      <c r="DA46" s="171"/>
      <c r="DB46" s="171"/>
      <c r="DC46" s="171"/>
      <c r="DD46" s="171"/>
      <c r="DE46" s="171"/>
      <c r="DF46" s="171"/>
      <c r="DG46" s="171"/>
      <c r="DH46" s="171"/>
      <c r="DI46" s="171"/>
      <c r="DJ46" s="171"/>
      <c r="DK46" s="128">
        <f t="shared" si="22"/>
        <v>0</v>
      </c>
      <c r="DL46" s="158" t="str">
        <f t="shared" si="23"/>
        <v>#DIV/0!</v>
      </c>
    </row>
    <row r="47" ht="15.75" customHeight="1">
      <c r="A47" s="131">
        <v>38.0</v>
      </c>
      <c r="B47" s="111" t="s">
        <v>126</v>
      </c>
      <c r="C47" s="112" t="s">
        <v>127</v>
      </c>
      <c r="D47" s="98">
        <f t="shared" si="8"/>
        <v>14</v>
      </c>
      <c r="E47" s="130">
        <f t="shared" si="9"/>
        <v>36.84210526</v>
      </c>
      <c r="F47" s="114">
        <f t="shared" si="10"/>
        <v>36.84210526</v>
      </c>
      <c r="G47" s="226" t="str">
        <f t="shared" si="11"/>
        <v>  </v>
      </c>
      <c r="H47" s="180"/>
      <c r="I47" s="180"/>
      <c r="J47" s="180"/>
      <c r="K47" s="180"/>
      <c r="L47" s="204"/>
      <c r="M47" s="139">
        <f t="shared" si="12"/>
        <v>0</v>
      </c>
      <c r="N47" s="140" t="str">
        <f t="shared" si="13"/>
        <v>#DIV/0!</v>
      </c>
      <c r="O47" s="116"/>
      <c r="P47" s="116"/>
      <c r="Q47" s="180"/>
      <c r="R47" s="179"/>
      <c r="S47" s="116"/>
      <c r="T47" s="116"/>
      <c r="U47" s="116"/>
      <c r="V47" s="179"/>
      <c r="W47" s="138">
        <v>1.0</v>
      </c>
      <c r="X47" s="116"/>
      <c r="Y47" s="184">
        <v>1.0</v>
      </c>
      <c r="Z47" s="185"/>
      <c r="AA47" s="217"/>
      <c r="AB47" s="138">
        <v>1.0</v>
      </c>
      <c r="AC47" s="179"/>
      <c r="AD47" s="176"/>
      <c r="AE47" s="176"/>
      <c r="AF47" s="138">
        <v>1.0</v>
      </c>
      <c r="AG47" s="176"/>
      <c r="AH47" s="182">
        <v>1.0</v>
      </c>
      <c r="AI47" s="176"/>
      <c r="AJ47" s="139">
        <f t="shared" si="14"/>
        <v>5</v>
      </c>
      <c r="AK47" s="205">
        <f t="shared" si="15"/>
        <v>50</v>
      </c>
      <c r="AL47" s="116"/>
      <c r="AM47" s="184">
        <v>1.0</v>
      </c>
      <c r="AN47" s="179"/>
      <c r="AO47" s="179"/>
      <c r="AP47" s="179"/>
      <c r="AQ47" s="116"/>
      <c r="AR47" s="116"/>
      <c r="AS47" s="166"/>
      <c r="AT47" s="116"/>
      <c r="AU47" s="116"/>
      <c r="AV47" s="116"/>
      <c r="AW47" s="179"/>
      <c r="AX47" s="116"/>
      <c r="AY47" s="138">
        <v>1.0</v>
      </c>
      <c r="AZ47" s="180"/>
      <c r="BA47" s="180"/>
      <c r="BB47" s="204"/>
      <c r="BC47" s="204"/>
      <c r="BD47" s="219">
        <v>1.0</v>
      </c>
      <c r="BE47" s="181"/>
      <c r="BF47" s="181"/>
      <c r="BG47" s="139">
        <f t="shared" si="16"/>
        <v>3</v>
      </c>
      <c r="BH47" s="208">
        <f t="shared" si="17"/>
        <v>27.27272727</v>
      </c>
      <c r="BI47" s="116"/>
      <c r="BJ47" s="116"/>
      <c r="BK47" s="180"/>
      <c r="BL47" s="116"/>
      <c r="BM47" s="116"/>
      <c r="BN47" s="116"/>
      <c r="BO47" s="116"/>
      <c r="BP47" s="116"/>
      <c r="BQ47" s="211"/>
      <c r="BR47" s="166"/>
      <c r="BS47" s="116"/>
      <c r="BT47" s="185"/>
      <c r="BU47" s="43"/>
      <c r="BV47" s="43"/>
      <c r="BW47" s="268">
        <v>1.0</v>
      </c>
      <c r="BX47" s="196">
        <v>1.0</v>
      </c>
      <c r="BY47" s="138">
        <v>1.0</v>
      </c>
      <c r="BZ47" s="165"/>
      <c r="CA47" s="116"/>
      <c r="CB47" s="165"/>
      <c r="CC47" s="165"/>
      <c r="CD47" s="196">
        <v>1.0</v>
      </c>
      <c r="CE47" s="124">
        <f t="shared" si="18"/>
        <v>4</v>
      </c>
      <c r="CF47" s="173">
        <f t="shared" si="19"/>
        <v>28.57142857</v>
      </c>
      <c r="CG47" s="184">
        <v>1.0</v>
      </c>
      <c r="CH47" s="116"/>
      <c r="CI47" s="200">
        <v>1.0</v>
      </c>
      <c r="CJ47" s="186"/>
      <c r="CK47" s="231"/>
      <c r="CL47" s="186"/>
      <c r="CM47" s="223"/>
      <c r="CN47" s="223"/>
      <c r="CO47" s="223"/>
      <c r="CP47" s="166"/>
      <c r="CQ47" s="213"/>
      <c r="CR47" s="213"/>
      <c r="CS47" s="213"/>
      <c r="CT47" s="116"/>
      <c r="CU47" s="213"/>
      <c r="CV47" s="213"/>
      <c r="CW47" s="128">
        <f t="shared" si="20"/>
        <v>2</v>
      </c>
      <c r="CX47" s="214">
        <f t="shared" si="21"/>
        <v>66.66666667</v>
      </c>
      <c r="CY47" s="171"/>
      <c r="CZ47" s="171"/>
      <c r="DA47" s="171"/>
      <c r="DB47" s="171"/>
      <c r="DC47" s="171"/>
      <c r="DD47" s="171"/>
      <c r="DE47" s="171"/>
      <c r="DF47" s="171"/>
      <c r="DG47" s="171"/>
      <c r="DH47" s="171"/>
      <c r="DI47" s="171"/>
      <c r="DJ47" s="171"/>
      <c r="DK47" s="128">
        <f t="shared" si="22"/>
        <v>0</v>
      </c>
      <c r="DL47" s="158" t="str">
        <f t="shared" si="23"/>
        <v>#DIV/0!</v>
      </c>
    </row>
    <row r="48" ht="15.75" customHeight="1">
      <c r="A48" s="146">
        <v>39.0</v>
      </c>
      <c r="B48" s="111" t="s">
        <v>128</v>
      </c>
      <c r="C48" s="112" t="s">
        <v>129</v>
      </c>
      <c r="D48" s="98">
        <f t="shared" si="8"/>
        <v>27</v>
      </c>
      <c r="E48" s="130">
        <f t="shared" si="9"/>
        <v>71.05263158</v>
      </c>
      <c r="F48" s="92" t="str">
        <f t="shared" si="10"/>
        <v>  </v>
      </c>
      <c r="G48" s="149" t="str">
        <f t="shared" si="11"/>
        <v>  </v>
      </c>
      <c r="H48" s="203"/>
      <c r="I48" s="221"/>
      <c r="J48" s="221"/>
      <c r="K48" s="180"/>
      <c r="L48" s="204"/>
      <c r="M48" s="139">
        <f t="shared" si="12"/>
        <v>0</v>
      </c>
      <c r="N48" s="140" t="str">
        <f t="shared" si="13"/>
        <v>#DIV/0!</v>
      </c>
      <c r="O48" s="116"/>
      <c r="P48" s="116"/>
      <c r="Q48" s="116"/>
      <c r="R48" s="179"/>
      <c r="S48" s="179"/>
      <c r="T48" s="116"/>
      <c r="U48" s="116"/>
      <c r="V48" s="179"/>
      <c r="W48" s="138">
        <v>1.0</v>
      </c>
      <c r="X48" s="138">
        <v>1.0</v>
      </c>
      <c r="Y48" s="184">
        <v>1.0</v>
      </c>
      <c r="Z48" s="185"/>
      <c r="AA48" s="187">
        <v>1.0</v>
      </c>
      <c r="AB48" s="116"/>
      <c r="AC48" s="184">
        <v>1.0</v>
      </c>
      <c r="AD48" s="116"/>
      <c r="AE48" s="116"/>
      <c r="AF48" s="176"/>
      <c r="AG48" s="182">
        <v>1.0</v>
      </c>
      <c r="AH48" s="138">
        <v>1.0</v>
      </c>
      <c r="AI48" s="116"/>
      <c r="AJ48" s="139">
        <f t="shared" si="14"/>
        <v>7</v>
      </c>
      <c r="AK48" s="205">
        <f t="shared" si="15"/>
        <v>70</v>
      </c>
      <c r="AL48" s="138">
        <v>1.0</v>
      </c>
      <c r="AM48" s="138">
        <v>1.0</v>
      </c>
      <c r="AN48" s="184">
        <v>1.0</v>
      </c>
      <c r="AO48" s="116"/>
      <c r="AP48" s="116"/>
      <c r="AQ48" s="138">
        <v>1.0</v>
      </c>
      <c r="AR48" s="116"/>
      <c r="AS48" s="191">
        <v>1.0</v>
      </c>
      <c r="AT48" s="138">
        <v>1.0</v>
      </c>
      <c r="AU48" s="116"/>
      <c r="AV48" s="116"/>
      <c r="AW48" s="179"/>
      <c r="AX48" s="116"/>
      <c r="AY48" s="138">
        <v>1.0</v>
      </c>
      <c r="AZ48" s="116"/>
      <c r="BA48" s="180"/>
      <c r="BB48" s="138">
        <v>1.0</v>
      </c>
      <c r="BC48" s="116"/>
      <c r="BD48" s="194"/>
      <c r="BE48" s="194"/>
      <c r="BF48" s="194"/>
      <c r="BG48" s="139">
        <f t="shared" si="16"/>
        <v>7</v>
      </c>
      <c r="BH48" s="208">
        <f t="shared" si="17"/>
        <v>63.63636364</v>
      </c>
      <c r="BI48" s="116"/>
      <c r="BJ48" s="116"/>
      <c r="BK48" s="180"/>
      <c r="BL48" s="116"/>
      <c r="BM48" s="116"/>
      <c r="BN48" s="116"/>
      <c r="BO48" s="116"/>
      <c r="BP48" s="116"/>
      <c r="BQ48" s="116"/>
      <c r="BR48" s="138">
        <v>1.0</v>
      </c>
      <c r="BS48" s="138">
        <v>1.0</v>
      </c>
      <c r="BT48" s="116"/>
      <c r="BU48" s="145">
        <v>1.0</v>
      </c>
      <c r="BV48" s="43"/>
      <c r="BW48" s="268">
        <v>1.0</v>
      </c>
      <c r="BX48" s="196">
        <v>1.0</v>
      </c>
      <c r="BY48" s="138">
        <v>1.0</v>
      </c>
      <c r="BZ48" s="196">
        <v>1.0</v>
      </c>
      <c r="CA48" s="138">
        <v>1.0</v>
      </c>
      <c r="CB48" s="138">
        <v>1.0</v>
      </c>
      <c r="CC48" s="196">
        <v>1.0</v>
      </c>
      <c r="CD48" s="196">
        <v>1.0</v>
      </c>
      <c r="CE48" s="124">
        <f t="shared" si="18"/>
        <v>11</v>
      </c>
      <c r="CF48" s="173">
        <f t="shared" si="19"/>
        <v>78.57142857</v>
      </c>
      <c r="CG48" s="138">
        <v>1.0</v>
      </c>
      <c r="CH48" s="138">
        <v>1.0</v>
      </c>
      <c r="CI48" s="116"/>
      <c r="CJ48" s="116"/>
      <c r="CK48" s="116"/>
      <c r="CL48" s="186"/>
      <c r="CM48" s="223"/>
      <c r="CN48" s="116"/>
      <c r="CO48" s="223"/>
      <c r="CP48" s="166"/>
      <c r="CQ48" s="213"/>
      <c r="CR48" s="213"/>
      <c r="CS48" s="116"/>
      <c r="CT48" s="116"/>
      <c r="CU48" s="116"/>
      <c r="CV48" s="213"/>
      <c r="CW48" s="128">
        <f t="shared" si="20"/>
        <v>2</v>
      </c>
      <c r="CX48" s="214">
        <f t="shared" si="21"/>
        <v>66.66666667</v>
      </c>
      <c r="CY48" s="171"/>
      <c r="CZ48" s="171"/>
      <c r="DA48" s="171"/>
      <c r="DB48" s="171"/>
      <c r="DC48" s="171"/>
      <c r="DD48" s="171"/>
      <c r="DE48" s="171"/>
      <c r="DF48" s="171"/>
      <c r="DG48" s="171"/>
      <c r="DH48" s="171"/>
      <c r="DI48" s="171"/>
      <c r="DJ48" s="171"/>
      <c r="DK48" s="128">
        <f t="shared" si="22"/>
        <v>0</v>
      </c>
      <c r="DL48" s="158" t="str">
        <f t="shared" si="23"/>
        <v>#DIV/0!</v>
      </c>
    </row>
    <row r="49" ht="15.75" customHeight="1">
      <c r="A49" s="50">
        <v>40.0</v>
      </c>
      <c r="B49" s="111" t="s">
        <v>130</v>
      </c>
      <c r="C49" s="112" t="s">
        <v>131</v>
      </c>
      <c r="D49" s="98">
        <f t="shared" si="8"/>
        <v>0</v>
      </c>
      <c r="E49" s="130">
        <f t="shared" si="9"/>
        <v>0</v>
      </c>
      <c r="F49" s="114">
        <f t="shared" si="10"/>
        <v>0</v>
      </c>
      <c r="G49" s="226">
        <f t="shared" si="11"/>
        <v>0</v>
      </c>
      <c r="H49" s="254"/>
      <c r="I49" s="255"/>
      <c r="J49" s="256"/>
      <c r="K49" s="254"/>
      <c r="L49" s="257"/>
      <c r="M49" s="139">
        <f t="shared" si="12"/>
        <v>0</v>
      </c>
      <c r="N49" s="140" t="str">
        <f t="shared" si="13"/>
        <v>#DIV/0!</v>
      </c>
      <c r="O49" s="116"/>
      <c r="P49" s="116"/>
      <c r="Q49" s="180"/>
      <c r="R49" s="179"/>
      <c r="S49" s="179"/>
      <c r="T49" s="116"/>
      <c r="U49" s="116"/>
      <c r="V49" s="179"/>
      <c r="W49" s="116"/>
      <c r="X49" s="116"/>
      <c r="Y49" s="179"/>
      <c r="Z49" s="185"/>
      <c r="AA49" s="217"/>
      <c r="AB49" s="116"/>
      <c r="AC49" s="179"/>
      <c r="AD49" s="176"/>
      <c r="AE49" s="176"/>
      <c r="AF49" s="195"/>
      <c r="AG49" s="176"/>
      <c r="AH49" s="176"/>
      <c r="AI49" s="176"/>
      <c r="AJ49" s="139">
        <f t="shared" si="14"/>
        <v>0</v>
      </c>
      <c r="AK49" s="205">
        <f t="shared" si="15"/>
        <v>0</v>
      </c>
      <c r="AL49" s="222"/>
      <c r="AM49" s="179"/>
      <c r="AN49" s="179"/>
      <c r="AO49" s="186"/>
      <c r="AP49" s="186"/>
      <c r="AQ49" s="116"/>
      <c r="AR49" s="116"/>
      <c r="AS49" s="166"/>
      <c r="AT49" s="116"/>
      <c r="AU49" s="116"/>
      <c r="AV49" s="116"/>
      <c r="AW49" s="179"/>
      <c r="AX49" s="116"/>
      <c r="AY49" s="116"/>
      <c r="AZ49" s="180"/>
      <c r="BA49" s="180"/>
      <c r="BB49" s="204"/>
      <c r="BC49" s="204"/>
      <c r="BD49" s="181"/>
      <c r="BE49" s="181"/>
      <c r="BF49" s="181"/>
      <c r="BG49" s="139">
        <f t="shared" si="16"/>
        <v>0</v>
      </c>
      <c r="BH49" s="208">
        <f t="shared" si="17"/>
        <v>0</v>
      </c>
      <c r="BI49" s="116"/>
      <c r="BJ49" s="180"/>
      <c r="BK49" s="180"/>
      <c r="BL49" s="116"/>
      <c r="BM49" s="116"/>
      <c r="BN49" s="116"/>
      <c r="BO49" s="116"/>
      <c r="BP49" s="116"/>
      <c r="BQ49" s="116"/>
      <c r="BR49" s="166"/>
      <c r="BS49" s="165"/>
      <c r="BT49" s="185"/>
      <c r="BU49" s="43"/>
      <c r="BV49" s="43"/>
      <c r="BW49" s="266"/>
      <c r="BX49" s="165"/>
      <c r="BY49" s="116"/>
      <c r="BZ49" s="165"/>
      <c r="CA49" s="165"/>
      <c r="CB49" s="165"/>
      <c r="CC49" s="165"/>
      <c r="CD49" s="165"/>
      <c r="CE49" s="124">
        <f t="shared" si="18"/>
        <v>0</v>
      </c>
      <c r="CF49" s="173">
        <f t="shared" si="19"/>
        <v>0</v>
      </c>
      <c r="CG49" s="179"/>
      <c r="CH49" s="238"/>
      <c r="CI49" s="186"/>
      <c r="CJ49" s="186"/>
      <c r="CK49" s="116"/>
      <c r="CL49" s="186"/>
      <c r="CM49" s="223"/>
      <c r="CN49" s="223"/>
      <c r="CO49" s="223"/>
      <c r="CP49" s="166"/>
      <c r="CQ49" s="213"/>
      <c r="CR49" s="213"/>
      <c r="CS49" s="213"/>
      <c r="CT49" s="213"/>
      <c r="CU49" s="213"/>
      <c r="CV49" s="213"/>
      <c r="CW49" s="128">
        <f t="shared" si="20"/>
        <v>0</v>
      </c>
      <c r="CX49" s="214">
        <f t="shared" si="21"/>
        <v>0</v>
      </c>
      <c r="CY49" s="171"/>
      <c r="CZ49" s="171"/>
      <c r="DA49" s="171"/>
      <c r="DB49" s="171"/>
      <c r="DC49" s="171"/>
      <c r="DD49" s="171"/>
      <c r="DE49" s="171"/>
      <c r="DF49" s="171"/>
      <c r="DG49" s="171"/>
      <c r="DH49" s="171"/>
      <c r="DI49" s="171"/>
      <c r="DJ49" s="171"/>
      <c r="DK49" s="128">
        <f t="shared" si="22"/>
        <v>0</v>
      </c>
      <c r="DL49" s="158" t="str">
        <f t="shared" si="23"/>
        <v>#DIV/0!</v>
      </c>
    </row>
    <row r="50" ht="15.75" customHeight="1">
      <c r="A50" s="131">
        <v>41.0</v>
      </c>
      <c r="B50" s="111" t="s">
        <v>132</v>
      </c>
      <c r="C50" s="112" t="s">
        <v>133</v>
      </c>
      <c r="D50" s="98">
        <f t="shared" si="8"/>
        <v>18</v>
      </c>
      <c r="E50" s="130">
        <f t="shared" si="9"/>
        <v>47.36842105</v>
      </c>
      <c r="F50" s="114">
        <f t="shared" si="10"/>
        <v>47.36842105</v>
      </c>
      <c r="G50" s="149" t="str">
        <f t="shared" si="11"/>
        <v>  </v>
      </c>
      <c r="H50" s="254"/>
      <c r="I50" s="258"/>
      <c r="J50" s="254"/>
      <c r="K50" s="254"/>
      <c r="L50" s="257"/>
      <c r="M50" s="139">
        <f t="shared" si="12"/>
        <v>0</v>
      </c>
      <c r="N50" s="140" t="str">
        <f t="shared" si="13"/>
        <v>#DIV/0!</v>
      </c>
      <c r="O50" s="116"/>
      <c r="P50" s="116"/>
      <c r="Q50" s="180"/>
      <c r="R50" s="186"/>
      <c r="S50" s="186"/>
      <c r="T50" s="116"/>
      <c r="U50" s="116"/>
      <c r="V50" s="186"/>
      <c r="W50" s="116"/>
      <c r="X50" s="138">
        <v>1.0</v>
      </c>
      <c r="Y50" s="200">
        <v>1.0</v>
      </c>
      <c r="Z50" s="185"/>
      <c r="AA50" s="187">
        <v>1.0</v>
      </c>
      <c r="AB50" s="116"/>
      <c r="AC50" s="186"/>
      <c r="AD50" s="116"/>
      <c r="AE50" s="116"/>
      <c r="AF50" s="116"/>
      <c r="AG50" s="197">
        <v>1.0</v>
      </c>
      <c r="AH50" s="195"/>
      <c r="AI50" s="116"/>
      <c r="AJ50" s="139">
        <f t="shared" si="14"/>
        <v>4</v>
      </c>
      <c r="AK50" s="205">
        <f t="shared" si="15"/>
        <v>40</v>
      </c>
      <c r="AL50" s="225"/>
      <c r="AM50" s="138">
        <v>1.0</v>
      </c>
      <c r="AN50" s="200">
        <v>1.0</v>
      </c>
      <c r="AO50" s="116"/>
      <c r="AP50" s="207"/>
      <c r="AQ50" s="116"/>
      <c r="AR50" s="116"/>
      <c r="AS50" s="166"/>
      <c r="AT50" s="116"/>
      <c r="AU50" s="116"/>
      <c r="AV50" s="116"/>
      <c r="AW50" s="186"/>
      <c r="AX50" s="116"/>
      <c r="AY50" s="138">
        <v>1.0</v>
      </c>
      <c r="AZ50" s="180"/>
      <c r="BA50" s="180"/>
      <c r="BB50" s="138">
        <v>1.0</v>
      </c>
      <c r="BC50" s="204"/>
      <c r="BD50" s="181"/>
      <c r="BE50" s="181"/>
      <c r="BF50" s="181"/>
      <c r="BG50" s="139">
        <f t="shared" si="16"/>
        <v>4</v>
      </c>
      <c r="BH50" s="208">
        <f t="shared" si="17"/>
        <v>36.36363636</v>
      </c>
      <c r="BI50" s="116"/>
      <c r="BJ50" s="116"/>
      <c r="BK50" s="180"/>
      <c r="BL50" s="116"/>
      <c r="BM50" s="116"/>
      <c r="BN50" s="116"/>
      <c r="BO50" s="116"/>
      <c r="BP50" s="116"/>
      <c r="BQ50" s="211"/>
      <c r="BR50" s="166"/>
      <c r="BS50" s="138">
        <v>1.0</v>
      </c>
      <c r="BT50" s="116"/>
      <c r="BU50" s="145">
        <v>1.0</v>
      </c>
      <c r="BV50" s="43"/>
      <c r="BW50" s="268">
        <v>1.0</v>
      </c>
      <c r="BX50" s="196">
        <v>1.0</v>
      </c>
      <c r="BY50" s="138">
        <v>1.0</v>
      </c>
      <c r="BZ50" s="196">
        <v>1.0</v>
      </c>
      <c r="CA50" s="138">
        <v>1.0</v>
      </c>
      <c r="CB50" s="165"/>
      <c r="CC50" s="196">
        <v>1.0</v>
      </c>
      <c r="CD50" s="196">
        <v>1.0</v>
      </c>
      <c r="CE50" s="124">
        <f t="shared" si="18"/>
        <v>9</v>
      </c>
      <c r="CF50" s="173">
        <f t="shared" si="19"/>
        <v>64.28571429</v>
      </c>
      <c r="CG50" s="116"/>
      <c r="CH50" s="138">
        <v>1.0</v>
      </c>
      <c r="CI50" s="186"/>
      <c r="CJ50" s="116"/>
      <c r="CK50" s="231"/>
      <c r="CL50" s="186"/>
      <c r="CM50" s="223"/>
      <c r="CN50" s="116"/>
      <c r="CO50" s="116"/>
      <c r="CP50" s="166"/>
      <c r="CQ50" s="213"/>
      <c r="CR50" s="213"/>
      <c r="CS50" s="213"/>
      <c r="CT50" s="116"/>
      <c r="CU50" s="116"/>
      <c r="CV50" s="213"/>
      <c r="CW50" s="128">
        <f t="shared" si="20"/>
        <v>1</v>
      </c>
      <c r="CX50" s="214">
        <f t="shared" si="21"/>
        <v>33.33333333</v>
      </c>
      <c r="CY50" s="171"/>
      <c r="CZ50" s="171"/>
      <c r="DA50" s="171"/>
      <c r="DB50" s="171"/>
      <c r="DC50" s="171"/>
      <c r="DD50" s="171"/>
      <c r="DE50" s="171"/>
      <c r="DF50" s="171"/>
      <c r="DG50" s="171"/>
      <c r="DH50" s="171"/>
      <c r="DI50" s="171"/>
      <c r="DJ50" s="171"/>
      <c r="DK50" s="128">
        <f t="shared" si="22"/>
        <v>0</v>
      </c>
      <c r="DL50" s="158" t="str">
        <f t="shared" si="23"/>
        <v>#DIV/0!</v>
      </c>
    </row>
    <row r="51" ht="15.75" customHeight="1">
      <c r="A51" s="146">
        <v>42.0</v>
      </c>
      <c r="B51" s="111" t="s">
        <v>134</v>
      </c>
      <c r="C51" s="112" t="s">
        <v>135</v>
      </c>
      <c r="D51" s="98">
        <f t="shared" si="8"/>
        <v>16</v>
      </c>
      <c r="E51" s="130">
        <f t="shared" si="9"/>
        <v>42.10526316</v>
      </c>
      <c r="F51" s="114">
        <f t="shared" si="10"/>
        <v>42.10526316</v>
      </c>
      <c r="G51" s="149" t="str">
        <f t="shared" si="11"/>
        <v>  </v>
      </c>
      <c r="H51" s="254"/>
      <c r="I51" s="254"/>
      <c r="J51" s="254"/>
      <c r="K51" s="256"/>
      <c r="L51" s="259"/>
      <c r="M51" s="139">
        <f t="shared" si="12"/>
        <v>0</v>
      </c>
      <c r="N51" s="140" t="str">
        <f t="shared" si="13"/>
        <v>#DIV/0!</v>
      </c>
      <c r="O51" s="116"/>
      <c r="P51" s="116"/>
      <c r="Q51" s="116"/>
      <c r="R51" s="207"/>
      <c r="S51" s="116"/>
      <c r="T51" s="116"/>
      <c r="U51" s="116"/>
      <c r="V51" s="207"/>
      <c r="W51" s="138">
        <v>1.0</v>
      </c>
      <c r="X51" s="116"/>
      <c r="Y51" s="207"/>
      <c r="Z51" s="185"/>
      <c r="AA51" s="187">
        <v>1.0</v>
      </c>
      <c r="AB51" s="116"/>
      <c r="AC51" s="207"/>
      <c r="AD51" s="206"/>
      <c r="AE51" s="116"/>
      <c r="AF51" s="138">
        <v>1.0</v>
      </c>
      <c r="AG51" s="206"/>
      <c r="AH51" s="116"/>
      <c r="AI51" s="116"/>
      <c r="AJ51" s="139">
        <f t="shared" si="14"/>
        <v>3</v>
      </c>
      <c r="AK51" s="205">
        <f t="shared" si="15"/>
        <v>30</v>
      </c>
      <c r="AL51" s="116"/>
      <c r="AM51" s="116"/>
      <c r="AN51" s="234">
        <v>1.0</v>
      </c>
      <c r="AO51" s="116"/>
      <c r="AP51" s="228"/>
      <c r="AQ51" s="116"/>
      <c r="AR51" s="116"/>
      <c r="AS51" s="191">
        <v>1.0</v>
      </c>
      <c r="AT51" s="138">
        <v>1.0</v>
      </c>
      <c r="AU51" s="116"/>
      <c r="AV51" s="116"/>
      <c r="AW51" s="207"/>
      <c r="AX51" s="116"/>
      <c r="AY51" s="138">
        <v>1.0</v>
      </c>
      <c r="AZ51" s="116"/>
      <c r="BA51" s="180"/>
      <c r="BB51" s="138">
        <v>1.0</v>
      </c>
      <c r="BC51" s="138">
        <v>1.0</v>
      </c>
      <c r="BD51" s="188">
        <v>1.0</v>
      </c>
      <c r="BE51" s="194"/>
      <c r="BF51" s="194"/>
      <c r="BG51" s="139">
        <f t="shared" si="16"/>
        <v>7</v>
      </c>
      <c r="BH51" s="208">
        <f t="shared" si="17"/>
        <v>63.63636364</v>
      </c>
      <c r="BI51" s="116"/>
      <c r="BJ51" s="180"/>
      <c r="BK51" s="180"/>
      <c r="BL51" s="116"/>
      <c r="BM51" s="116"/>
      <c r="BN51" s="116"/>
      <c r="BO51" s="116"/>
      <c r="BP51" s="116"/>
      <c r="BQ51" s="116"/>
      <c r="BR51" s="166"/>
      <c r="BS51" s="116"/>
      <c r="BT51" s="116"/>
      <c r="BU51" s="43"/>
      <c r="BV51" s="43"/>
      <c r="BW51" s="268">
        <v>1.0</v>
      </c>
      <c r="BX51" s="196">
        <v>1.0</v>
      </c>
      <c r="BY51" s="116"/>
      <c r="BZ51" s="196">
        <v>1.0</v>
      </c>
      <c r="CA51" s="116"/>
      <c r="CB51" s="165"/>
      <c r="CC51" s="165"/>
      <c r="CD51" s="196">
        <v>1.0</v>
      </c>
      <c r="CE51" s="124">
        <f t="shared" si="18"/>
        <v>4</v>
      </c>
      <c r="CF51" s="173">
        <f t="shared" si="19"/>
        <v>28.57142857</v>
      </c>
      <c r="CG51" s="138">
        <v>1.0</v>
      </c>
      <c r="CH51" s="138">
        <v>1.0</v>
      </c>
      <c r="CI51" s="186"/>
      <c r="CJ51" s="116"/>
      <c r="CK51" s="116"/>
      <c r="CL51" s="186"/>
      <c r="CM51" s="116"/>
      <c r="CN51" s="223"/>
      <c r="CO51" s="116"/>
      <c r="CP51" s="166"/>
      <c r="CQ51" s="213"/>
      <c r="CR51" s="213"/>
      <c r="CS51" s="213"/>
      <c r="CT51" s="116"/>
      <c r="CU51" s="116"/>
      <c r="CV51" s="213"/>
      <c r="CW51" s="128">
        <f t="shared" si="20"/>
        <v>2</v>
      </c>
      <c r="CX51" s="214">
        <f t="shared" si="21"/>
        <v>66.66666667</v>
      </c>
      <c r="CY51" s="171"/>
      <c r="CZ51" s="171"/>
      <c r="DA51" s="171"/>
      <c r="DB51" s="171"/>
      <c r="DC51" s="171"/>
      <c r="DD51" s="171"/>
      <c r="DE51" s="171"/>
      <c r="DF51" s="171"/>
      <c r="DG51" s="171"/>
      <c r="DH51" s="171"/>
      <c r="DI51" s="171"/>
      <c r="DJ51" s="171"/>
      <c r="DK51" s="128">
        <f t="shared" si="22"/>
        <v>0</v>
      </c>
      <c r="DL51" s="158" t="str">
        <f t="shared" si="23"/>
        <v>#DIV/0!</v>
      </c>
    </row>
    <row r="52" ht="15.75" customHeight="1">
      <c r="A52" s="50">
        <v>43.0</v>
      </c>
      <c r="B52" s="111" t="s">
        <v>137</v>
      </c>
      <c r="C52" s="112" t="s">
        <v>138</v>
      </c>
      <c r="D52" s="98">
        <f t="shared" si="8"/>
        <v>13</v>
      </c>
      <c r="E52" s="130">
        <f t="shared" si="9"/>
        <v>34.21052632</v>
      </c>
      <c r="F52" s="114">
        <f t="shared" si="10"/>
        <v>34.21052632</v>
      </c>
      <c r="G52" s="149" t="str">
        <f t="shared" si="11"/>
        <v>  </v>
      </c>
      <c r="H52" s="254"/>
      <c r="I52" s="256"/>
      <c r="J52" s="254"/>
      <c r="K52" s="254"/>
      <c r="L52" s="257"/>
      <c r="M52" s="139">
        <f t="shared" si="12"/>
        <v>0</v>
      </c>
      <c r="N52" s="140" t="str">
        <f t="shared" si="13"/>
        <v>#DIV/0!</v>
      </c>
      <c r="O52" s="116"/>
      <c r="P52" s="116"/>
      <c r="Q52" s="180"/>
      <c r="R52" s="228"/>
      <c r="S52" s="116"/>
      <c r="T52" s="116"/>
      <c r="U52" s="116"/>
      <c r="V52" s="228"/>
      <c r="W52" s="116"/>
      <c r="X52" s="116"/>
      <c r="Y52" s="233">
        <v>1.0</v>
      </c>
      <c r="Z52" s="185"/>
      <c r="AA52" s="217"/>
      <c r="AB52" s="116"/>
      <c r="AC52" s="228"/>
      <c r="AD52" s="116"/>
      <c r="AE52" s="116"/>
      <c r="AF52" s="116"/>
      <c r="AG52" s="229">
        <v>1.0</v>
      </c>
      <c r="AH52" s="138">
        <v>1.0</v>
      </c>
      <c r="AI52" s="116"/>
      <c r="AJ52" s="139">
        <f t="shared" si="14"/>
        <v>3</v>
      </c>
      <c r="AK52" s="205">
        <f t="shared" si="15"/>
        <v>30</v>
      </c>
      <c r="AL52" s="261"/>
      <c r="AM52" s="116"/>
      <c r="AN52" s="233">
        <v>1.0</v>
      </c>
      <c r="AO52" s="116"/>
      <c r="AP52" s="116"/>
      <c r="AQ52" s="116"/>
      <c r="AR52" s="116"/>
      <c r="AS52" s="166"/>
      <c r="AT52" s="138">
        <v>1.0</v>
      </c>
      <c r="AU52" s="116"/>
      <c r="AV52" s="116"/>
      <c r="AW52" s="228"/>
      <c r="AX52" s="116"/>
      <c r="AY52" s="138">
        <v>1.0</v>
      </c>
      <c r="AZ52" s="180"/>
      <c r="BA52" s="180"/>
      <c r="BB52" s="116"/>
      <c r="BC52" s="204"/>
      <c r="BD52" s="181"/>
      <c r="BE52" s="181"/>
      <c r="BF52" s="181"/>
      <c r="BG52" s="139">
        <f t="shared" si="16"/>
        <v>3</v>
      </c>
      <c r="BH52" s="208">
        <f t="shared" si="17"/>
        <v>27.27272727</v>
      </c>
      <c r="BI52" s="116"/>
      <c r="BJ52" s="116"/>
      <c r="BK52" s="180"/>
      <c r="BL52" s="116"/>
      <c r="BM52" s="116"/>
      <c r="BN52" s="116"/>
      <c r="BO52" s="116"/>
      <c r="BP52" s="116"/>
      <c r="BQ52" s="116"/>
      <c r="BR52" s="166"/>
      <c r="BS52" s="138">
        <v>1.0</v>
      </c>
      <c r="BT52" s="185"/>
      <c r="BU52" s="145">
        <v>1.0</v>
      </c>
      <c r="BV52" s="43"/>
      <c r="BW52" s="268">
        <v>1.0</v>
      </c>
      <c r="BX52" s="196">
        <v>1.0</v>
      </c>
      <c r="BY52" s="138">
        <v>1.0</v>
      </c>
      <c r="BZ52" s="165"/>
      <c r="CA52" s="116"/>
      <c r="CB52" s="116"/>
      <c r="CC52" s="165"/>
      <c r="CD52" s="196">
        <v>1.0</v>
      </c>
      <c r="CE52" s="124">
        <f t="shared" si="18"/>
        <v>6</v>
      </c>
      <c r="CF52" s="173">
        <f t="shared" si="19"/>
        <v>42.85714286</v>
      </c>
      <c r="CG52" s="233">
        <v>1.0</v>
      </c>
      <c r="CH52" s="116"/>
      <c r="CI52" s="186"/>
      <c r="CJ52" s="116"/>
      <c r="CK52" s="116"/>
      <c r="CL52" s="186"/>
      <c r="CM52" s="223"/>
      <c r="CN52" s="223"/>
      <c r="CO52" s="223"/>
      <c r="CP52" s="166"/>
      <c r="CQ52" s="213"/>
      <c r="CR52" s="213"/>
      <c r="CS52" s="116"/>
      <c r="CT52" s="213"/>
      <c r="CU52" s="213"/>
      <c r="CV52" s="213"/>
      <c r="CW52" s="128">
        <f t="shared" si="20"/>
        <v>1</v>
      </c>
      <c r="CX52" s="214">
        <f t="shared" si="21"/>
        <v>33.33333333</v>
      </c>
      <c r="CY52" s="171"/>
      <c r="CZ52" s="171"/>
      <c r="DA52" s="171"/>
      <c r="DB52" s="171"/>
      <c r="DC52" s="171"/>
      <c r="DD52" s="171"/>
      <c r="DE52" s="171"/>
      <c r="DF52" s="171"/>
      <c r="DG52" s="171"/>
      <c r="DH52" s="171"/>
      <c r="DI52" s="171"/>
      <c r="DJ52" s="171"/>
      <c r="DK52" s="128">
        <f t="shared" si="22"/>
        <v>0</v>
      </c>
      <c r="DL52" s="158" t="str">
        <f t="shared" si="23"/>
        <v>#DIV/0!</v>
      </c>
    </row>
    <row r="53" ht="15.75" customHeight="1">
      <c r="A53" s="131">
        <v>44.0</v>
      </c>
      <c r="B53" s="111" t="s">
        <v>139</v>
      </c>
      <c r="C53" s="112" t="s">
        <v>140</v>
      </c>
      <c r="D53" s="98">
        <f t="shared" si="8"/>
        <v>22</v>
      </c>
      <c r="E53" s="130">
        <f t="shared" si="9"/>
        <v>57.89473684</v>
      </c>
      <c r="F53" s="92" t="str">
        <f t="shared" si="10"/>
        <v>  </v>
      </c>
      <c r="G53" s="149" t="str">
        <f t="shared" si="11"/>
        <v>  </v>
      </c>
      <c r="H53" s="254"/>
      <c r="I53" s="254"/>
      <c r="J53" s="254"/>
      <c r="K53" s="254"/>
      <c r="L53" s="257"/>
      <c r="M53" s="139">
        <f t="shared" si="12"/>
        <v>0</v>
      </c>
      <c r="N53" s="140" t="str">
        <f t="shared" si="13"/>
        <v>#DIV/0!</v>
      </c>
      <c r="O53" s="116"/>
      <c r="P53" s="116"/>
      <c r="Q53" s="180"/>
      <c r="R53" s="179"/>
      <c r="S53" s="179"/>
      <c r="T53" s="116"/>
      <c r="U53" s="116"/>
      <c r="V53" s="179"/>
      <c r="W53" s="138">
        <v>1.0</v>
      </c>
      <c r="X53" s="138">
        <v>1.0</v>
      </c>
      <c r="Y53" s="179"/>
      <c r="Z53" s="185"/>
      <c r="AA53" s="217"/>
      <c r="AB53" s="116"/>
      <c r="AC53" s="179"/>
      <c r="AD53" s="116"/>
      <c r="AE53" s="116"/>
      <c r="AF53" s="182">
        <v>1.0</v>
      </c>
      <c r="AG53" s="182">
        <v>1.0</v>
      </c>
      <c r="AH53" s="116"/>
      <c r="AI53" s="176"/>
      <c r="AJ53" s="139">
        <f t="shared" si="14"/>
        <v>4</v>
      </c>
      <c r="AK53" s="205">
        <f t="shared" si="15"/>
        <v>40</v>
      </c>
      <c r="AL53" s="138">
        <v>1.0</v>
      </c>
      <c r="AM53" s="116"/>
      <c r="AN53" s="184">
        <v>1.0</v>
      </c>
      <c r="AO53" s="116"/>
      <c r="AP53" s="179"/>
      <c r="AQ53" s="138">
        <v>1.0</v>
      </c>
      <c r="AR53" s="116"/>
      <c r="AS53" s="191">
        <v>1.0</v>
      </c>
      <c r="AT53" s="116"/>
      <c r="AU53" s="116"/>
      <c r="AV53" s="116"/>
      <c r="AW53" s="179"/>
      <c r="AX53" s="138">
        <v>1.0</v>
      </c>
      <c r="AY53" s="138">
        <v>1.0</v>
      </c>
      <c r="AZ53" s="180"/>
      <c r="BA53" s="180"/>
      <c r="BB53" s="138">
        <v>1.0</v>
      </c>
      <c r="BC53" s="204"/>
      <c r="BD53" s="219">
        <v>1.0</v>
      </c>
      <c r="BE53" s="181"/>
      <c r="BF53" s="181"/>
      <c r="BG53" s="139">
        <f t="shared" si="16"/>
        <v>7</v>
      </c>
      <c r="BH53" s="208">
        <f t="shared" si="17"/>
        <v>63.63636364</v>
      </c>
      <c r="BI53" s="116"/>
      <c r="BJ53" s="180"/>
      <c r="BK53" s="180"/>
      <c r="BL53" s="116"/>
      <c r="BM53" s="116"/>
      <c r="BN53" s="138">
        <v>1.0</v>
      </c>
      <c r="BO53" s="138">
        <v>1.0</v>
      </c>
      <c r="BP53" s="116"/>
      <c r="BQ53" s="116"/>
      <c r="BR53" s="166"/>
      <c r="BS53" s="138">
        <v>1.0</v>
      </c>
      <c r="BT53" s="185"/>
      <c r="BU53" s="43"/>
      <c r="BV53" s="43"/>
      <c r="BW53" s="268">
        <v>1.0</v>
      </c>
      <c r="BX53" s="196">
        <v>1.0</v>
      </c>
      <c r="BY53" s="138">
        <v>1.0</v>
      </c>
      <c r="BZ53" s="196">
        <v>1.0</v>
      </c>
      <c r="CA53" s="138">
        <v>1.0</v>
      </c>
      <c r="CB53" s="116"/>
      <c r="CC53" s="196">
        <v>1.0</v>
      </c>
      <c r="CD53" s="196">
        <v>1.0</v>
      </c>
      <c r="CE53" s="124">
        <f t="shared" si="18"/>
        <v>10</v>
      </c>
      <c r="CF53" s="173">
        <f t="shared" si="19"/>
        <v>71.42857143</v>
      </c>
      <c r="CG53" s="116"/>
      <c r="CH53" s="138">
        <v>1.0</v>
      </c>
      <c r="CI53" s="116"/>
      <c r="CJ53" s="116"/>
      <c r="CK53" s="231"/>
      <c r="CL53" s="186"/>
      <c r="CM53" s="116"/>
      <c r="CN53" s="116"/>
      <c r="CO53" s="116"/>
      <c r="CP53" s="166"/>
      <c r="CQ53" s="213"/>
      <c r="CR53" s="213"/>
      <c r="CS53" s="116"/>
      <c r="CT53" s="213"/>
      <c r="CU53" s="213"/>
      <c r="CV53" s="213"/>
      <c r="CW53" s="128">
        <f t="shared" si="20"/>
        <v>1</v>
      </c>
      <c r="CX53" s="214">
        <f t="shared" si="21"/>
        <v>33.33333333</v>
      </c>
      <c r="CY53" s="171"/>
      <c r="CZ53" s="171"/>
      <c r="DA53" s="171"/>
      <c r="DB53" s="171"/>
      <c r="DC53" s="171"/>
      <c r="DD53" s="171"/>
      <c r="DE53" s="171"/>
      <c r="DF53" s="171"/>
      <c r="DG53" s="171"/>
      <c r="DH53" s="171"/>
      <c r="DI53" s="171"/>
      <c r="DJ53" s="171"/>
      <c r="DK53" s="128">
        <f t="shared" si="22"/>
        <v>0</v>
      </c>
      <c r="DL53" s="158" t="str">
        <f t="shared" si="23"/>
        <v>#DIV/0!</v>
      </c>
    </row>
    <row r="54" ht="15.75" customHeight="1">
      <c r="A54" s="146">
        <v>45.0</v>
      </c>
      <c r="B54" s="111" t="s">
        <v>141</v>
      </c>
      <c r="C54" s="112" t="s">
        <v>142</v>
      </c>
      <c r="D54" s="98">
        <f t="shared" si="8"/>
        <v>23</v>
      </c>
      <c r="E54" s="130">
        <f t="shared" si="9"/>
        <v>60.52631579</v>
      </c>
      <c r="F54" s="92" t="str">
        <f t="shared" si="10"/>
        <v>  </v>
      </c>
      <c r="G54" s="149" t="str">
        <f t="shared" si="11"/>
        <v>  </v>
      </c>
      <c r="H54" s="254"/>
      <c r="I54" s="254"/>
      <c r="J54" s="254"/>
      <c r="K54" s="254"/>
      <c r="L54" s="257"/>
      <c r="M54" s="139">
        <f t="shared" si="12"/>
        <v>0</v>
      </c>
      <c r="N54" s="140" t="str">
        <f t="shared" si="13"/>
        <v>#DIV/0!</v>
      </c>
      <c r="O54" s="116"/>
      <c r="P54" s="116"/>
      <c r="Q54" s="116"/>
      <c r="R54" s="179"/>
      <c r="S54" s="179"/>
      <c r="T54" s="116"/>
      <c r="U54" s="116"/>
      <c r="V54" s="179"/>
      <c r="W54" s="138">
        <v>1.0</v>
      </c>
      <c r="X54" s="138">
        <v>1.0</v>
      </c>
      <c r="Y54" s="184">
        <v>1.0</v>
      </c>
      <c r="Z54" s="185"/>
      <c r="AA54" s="217"/>
      <c r="AB54" s="116"/>
      <c r="AC54" s="179"/>
      <c r="AD54" s="116"/>
      <c r="AE54" s="116"/>
      <c r="AF54" s="138">
        <v>1.0</v>
      </c>
      <c r="AG54" s="182">
        <v>1.0</v>
      </c>
      <c r="AH54" s="182">
        <v>1.0</v>
      </c>
      <c r="AI54" s="116"/>
      <c r="AJ54" s="139">
        <f t="shared" si="14"/>
        <v>6</v>
      </c>
      <c r="AK54" s="205">
        <f t="shared" si="15"/>
        <v>60</v>
      </c>
      <c r="AL54" s="116"/>
      <c r="AM54" s="116"/>
      <c r="AN54" s="179"/>
      <c r="AO54" s="116"/>
      <c r="AP54" s="116"/>
      <c r="AQ54" s="116"/>
      <c r="AR54" s="116"/>
      <c r="AS54" s="191">
        <v>1.0</v>
      </c>
      <c r="AT54" s="138">
        <v>1.0</v>
      </c>
      <c r="AU54" s="116"/>
      <c r="AV54" s="138">
        <v>1.0</v>
      </c>
      <c r="AW54" s="179"/>
      <c r="AX54" s="138">
        <v>1.0</v>
      </c>
      <c r="AY54" s="138">
        <v>1.0</v>
      </c>
      <c r="AZ54" s="180"/>
      <c r="BA54" s="180"/>
      <c r="BB54" s="116"/>
      <c r="BC54" s="204"/>
      <c r="BD54" s="219">
        <v>1.0</v>
      </c>
      <c r="BE54" s="181"/>
      <c r="BF54" s="181"/>
      <c r="BG54" s="139">
        <f t="shared" si="16"/>
        <v>6</v>
      </c>
      <c r="BH54" s="208">
        <f t="shared" si="17"/>
        <v>54.54545455</v>
      </c>
      <c r="BI54" s="116"/>
      <c r="BJ54" s="116"/>
      <c r="BK54" s="180"/>
      <c r="BL54" s="116"/>
      <c r="BM54" s="116"/>
      <c r="BN54" s="138">
        <v>1.0</v>
      </c>
      <c r="BO54" s="138">
        <v>1.0</v>
      </c>
      <c r="BP54" s="116"/>
      <c r="BQ54" s="116"/>
      <c r="BR54" s="166"/>
      <c r="BS54" s="138">
        <v>1.0</v>
      </c>
      <c r="BT54" s="116"/>
      <c r="BU54" s="145">
        <v>1.0</v>
      </c>
      <c r="BV54" s="43"/>
      <c r="BW54" s="268">
        <v>1.0</v>
      </c>
      <c r="BX54" s="196">
        <v>1.0</v>
      </c>
      <c r="BY54" s="116"/>
      <c r="BZ54" s="196">
        <v>1.0</v>
      </c>
      <c r="CA54" s="138">
        <v>1.0</v>
      </c>
      <c r="CB54" s="196">
        <v>1.0</v>
      </c>
      <c r="CC54" s="196">
        <v>1.0</v>
      </c>
      <c r="CD54" s="196">
        <v>1.0</v>
      </c>
      <c r="CE54" s="124">
        <f t="shared" si="18"/>
        <v>11</v>
      </c>
      <c r="CF54" s="173">
        <f t="shared" si="19"/>
        <v>78.57142857</v>
      </c>
      <c r="CG54" s="179"/>
      <c r="CH54" s="238"/>
      <c r="CI54" s="186"/>
      <c r="CJ54" s="116"/>
      <c r="CK54" s="116"/>
      <c r="CL54" s="186"/>
      <c r="CM54" s="116"/>
      <c r="CN54" s="116"/>
      <c r="CO54" s="116"/>
      <c r="CP54" s="166"/>
      <c r="CQ54" s="213"/>
      <c r="CR54" s="213"/>
      <c r="CS54" s="213"/>
      <c r="CT54" s="213"/>
      <c r="CU54" s="213"/>
      <c r="CV54" s="213"/>
      <c r="CW54" s="128">
        <f t="shared" si="20"/>
        <v>0</v>
      </c>
      <c r="CX54" s="214">
        <f t="shared" si="21"/>
        <v>0</v>
      </c>
      <c r="CY54" s="171"/>
      <c r="CZ54" s="171"/>
      <c r="DA54" s="171"/>
      <c r="DB54" s="171"/>
      <c r="DC54" s="171"/>
      <c r="DD54" s="171"/>
      <c r="DE54" s="171"/>
      <c r="DF54" s="171"/>
      <c r="DG54" s="171"/>
      <c r="DH54" s="171"/>
      <c r="DI54" s="171"/>
      <c r="DJ54" s="171"/>
      <c r="DK54" s="128">
        <f t="shared" si="22"/>
        <v>0</v>
      </c>
      <c r="DL54" s="158" t="str">
        <f t="shared" si="23"/>
        <v>#DIV/0!</v>
      </c>
    </row>
    <row r="55" ht="15.75" customHeight="1">
      <c r="A55" s="50">
        <v>46.0</v>
      </c>
      <c r="B55" s="111" t="s">
        <v>143</v>
      </c>
      <c r="C55" s="112" t="s">
        <v>144</v>
      </c>
      <c r="D55" s="98">
        <f t="shared" si="8"/>
        <v>24</v>
      </c>
      <c r="E55" s="130">
        <f t="shared" si="9"/>
        <v>63.15789474</v>
      </c>
      <c r="F55" s="114" t="str">
        <f t="shared" si="10"/>
        <v>  </v>
      </c>
      <c r="G55" s="149" t="str">
        <f t="shared" si="11"/>
        <v>  </v>
      </c>
      <c r="H55" s="256"/>
      <c r="I55" s="254"/>
      <c r="J55" s="256"/>
      <c r="K55" s="254"/>
      <c r="L55" s="257"/>
      <c r="M55" s="139">
        <f t="shared" si="12"/>
        <v>0</v>
      </c>
      <c r="N55" s="140" t="str">
        <f t="shared" si="13"/>
        <v>#DIV/0!</v>
      </c>
      <c r="O55" s="116"/>
      <c r="P55" s="116"/>
      <c r="Q55" s="116"/>
      <c r="R55" s="179"/>
      <c r="S55" s="179"/>
      <c r="T55" s="116"/>
      <c r="U55" s="116"/>
      <c r="V55" s="179"/>
      <c r="W55" s="116"/>
      <c r="X55" s="138">
        <v>1.0</v>
      </c>
      <c r="Y55" s="184">
        <v>1.0</v>
      </c>
      <c r="Z55" s="185"/>
      <c r="AA55" s="187">
        <v>1.0</v>
      </c>
      <c r="AB55" s="138">
        <v>1.0</v>
      </c>
      <c r="AC55" s="179"/>
      <c r="AD55" s="116"/>
      <c r="AE55" s="116"/>
      <c r="AF55" s="138">
        <v>1.0</v>
      </c>
      <c r="AG55" s="182">
        <v>1.0</v>
      </c>
      <c r="AH55" s="138">
        <v>1.0</v>
      </c>
      <c r="AI55" s="176"/>
      <c r="AJ55" s="139">
        <f t="shared" si="14"/>
        <v>7</v>
      </c>
      <c r="AK55" s="205">
        <f t="shared" si="15"/>
        <v>70</v>
      </c>
      <c r="AL55" s="235">
        <v>1.0</v>
      </c>
      <c r="AM55" s="184">
        <v>1.0</v>
      </c>
      <c r="AN55" s="184">
        <v>1.0</v>
      </c>
      <c r="AO55" s="116"/>
      <c r="AP55" s="116"/>
      <c r="AQ55" s="138">
        <v>1.0</v>
      </c>
      <c r="AR55" s="116"/>
      <c r="AS55" s="191">
        <v>1.0</v>
      </c>
      <c r="AT55" s="138">
        <v>1.0</v>
      </c>
      <c r="AU55" s="116"/>
      <c r="AV55" s="116"/>
      <c r="AW55" s="179"/>
      <c r="AX55" s="138">
        <v>1.0</v>
      </c>
      <c r="AY55" s="116"/>
      <c r="AZ55" s="116"/>
      <c r="BA55" s="180"/>
      <c r="BB55" s="138">
        <v>1.0</v>
      </c>
      <c r="BC55" s="138">
        <v>1.0</v>
      </c>
      <c r="BD55" s="188">
        <v>1.0</v>
      </c>
      <c r="BE55" s="194"/>
      <c r="BF55" s="194"/>
      <c r="BG55" s="139">
        <f t="shared" si="16"/>
        <v>9</v>
      </c>
      <c r="BH55" s="208">
        <f t="shared" si="17"/>
        <v>81.81818182</v>
      </c>
      <c r="BI55" s="116"/>
      <c r="BJ55" s="116"/>
      <c r="BK55" s="180"/>
      <c r="BL55" s="116"/>
      <c r="BM55" s="116"/>
      <c r="BN55" s="138">
        <v>1.0</v>
      </c>
      <c r="BO55" s="138">
        <v>1.0</v>
      </c>
      <c r="BP55" s="116"/>
      <c r="BQ55" s="211"/>
      <c r="BR55" s="166"/>
      <c r="BS55" s="138">
        <v>1.0</v>
      </c>
      <c r="BT55" s="116"/>
      <c r="BU55" s="43"/>
      <c r="BV55" s="43"/>
      <c r="BW55" s="266"/>
      <c r="BX55" s="165"/>
      <c r="BY55" s="138">
        <v>1.0</v>
      </c>
      <c r="BZ55" s="196">
        <v>1.0</v>
      </c>
      <c r="CA55" s="138">
        <v>1.0</v>
      </c>
      <c r="CB55" s="196">
        <v>1.0</v>
      </c>
      <c r="CC55" s="196">
        <v>1.0</v>
      </c>
      <c r="CD55" s="165"/>
      <c r="CE55" s="124">
        <f t="shared" si="18"/>
        <v>8</v>
      </c>
      <c r="CF55" s="173">
        <f t="shared" si="19"/>
        <v>57.14285714</v>
      </c>
      <c r="CG55" s="116"/>
      <c r="CH55" s="238"/>
      <c r="CI55" s="186"/>
      <c r="CJ55" s="116"/>
      <c r="CK55" s="116"/>
      <c r="CL55" s="186"/>
      <c r="CM55" s="116"/>
      <c r="CN55" s="223"/>
      <c r="CO55" s="116"/>
      <c r="CP55" s="166"/>
      <c r="CQ55" s="213"/>
      <c r="CR55" s="213"/>
      <c r="CS55" s="116"/>
      <c r="CT55" s="213"/>
      <c r="CU55" s="213"/>
      <c r="CV55" s="213"/>
      <c r="CW55" s="128">
        <f t="shared" si="20"/>
        <v>0</v>
      </c>
      <c r="CX55" s="214">
        <f t="shared" si="21"/>
        <v>0</v>
      </c>
      <c r="CY55" s="171"/>
      <c r="CZ55" s="171"/>
      <c r="DA55" s="171"/>
      <c r="DB55" s="171"/>
      <c r="DC55" s="171"/>
      <c r="DD55" s="171"/>
      <c r="DE55" s="171"/>
      <c r="DF55" s="171"/>
      <c r="DG55" s="171"/>
      <c r="DH55" s="171"/>
      <c r="DI55" s="171"/>
      <c r="DJ55" s="171"/>
      <c r="DK55" s="128">
        <f t="shared" si="22"/>
        <v>0</v>
      </c>
      <c r="DL55" s="158" t="str">
        <f t="shared" si="23"/>
        <v>#DIV/0!</v>
      </c>
    </row>
    <row r="56" ht="15.75" customHeight="1">
      <c r="A56" s="131">
        <v>47.0</v>
      </c>
      <c r="B56" s="111" t="s">
        <v>145</v>
      </c>
      <c r="C56" s="112" t="s">
        <v>146</v>
      </c>
      <c r="D56" s="98">
        <f t="shared" si="8"/>
        <v>23</v>
      </c>
      <c r="E56" s="130">
        <f t="shared" si="9"/>
        <v>60.52631579</v>
      </c>
      <c r="F56" s="92" t="str">
        <f t="shared" si="10"/>
        <v>  </v>
      </c>
      <c r="G56" s="149" t="str">
        <f t="shared" si="11"/>
        <v>  </v>
      </c>
      <c r="H56" s="254"/>
      <c r="I56" s="255"/>
      <c r="J56" s="254"/>
      <c r="K56" s="254"/>
      <c r="L56" s="257"/>
      <c r="M56" s="139">
        <f t="shared" si="12"/>
        <v>0</v>
      </c>
      <c r="N56" s="140" t="str">
        <f t="shared" si="13"/>
        <v>#DIV/0!</v>
      </c>
      <c r="O56" s="116"/>
      <c r="P56" s="116"/>
      <c r="Q56" s="116"/>
      <c r="R56" s="179"/>
      <c r="S56" s="116"/>
      <c r="T56" s="116"/>
      <c r="U56" s="116"/>
      <c r="V56" s="179"/>
      <c r="W56" s="138">
        <v>1.0</v>
      </c>
      <c r="X56" s="138">
        <v>1.0</v>
      </c>
      <c r="Y56" s="184">
        <v>1.0</v>
      </c>
      <c r="Z56" s="185"/>
      <c r="AA56" s="187">
        <v>1.0</v>
      </c>
      <c r="AB56" s="138">
        <v>1.0</v>
      </c>
      <c r="AC56" s="179"/>
      <c r="AD56" s="116"/>
      <c r="AE56" s="116"/>
      <c r="AF56" s="176"/>
      <c r="AG56" s="182">
        <v>1.0</v>
      </c>
      <c r="AH56" s="138">
        <v>1.0</v>
      </c>
      <c r="AI56" s="176"/>
      <c r="AJ56" s="139">
        <f t="shared" si="14"/>
        <v>7</v>
      </c>
      <c r="AK56" s="205">
        <f t="shared" si="15"/>
        <v>70</v>
      </c>
      <c r="AL56" s="138">
        <v>1.0</v>
      </c>
      <c r="AM56" s="138">
        <v>1.0</v>
      </c>
      <c r="AN56" s="179"/>
      <c r="AO56" s="179"/>
      <c r="AP56" s="179"/>
      <c r="AQ56" s="116"/>
      <c r="AR56" s="116"/>
      <c r="AS56" s="191">
        <v>1.0</v>
      </c>
      <c r="AT56" s="116"/>
      <c r="AU56" s="116"/>
      <c r="AV56" s="116"/>
      <c r="AW56" s="179"/>
      <c r="AX56" s="116"/>
      <c r="AY56" s="138">
        <v>1.0</v>
      </c>
      <c r="AZ56" s="116"/>
      <c r="BA56" s="180"/>
      <c r="BB56" s="116"/>
      <c r="BC56" s="116"/>
      <c r="BD56" s="194"/>
      <c r="BE56" s="194"/>
      <c r="BF56" s="194"/>
      <c r="BG56" s="139">
        <f t="shared" si="16"/>
        <v>3</v>
      </c>
      <c r="BH56" s="208">
        <f t="shared" si="17"/>
        <v>27.27272727</v>
      </c>
      <c r="BI56" s="116"/>
      <c r="BJ56" s="116"/>
      <c r="BK56" s="180"/>
      <c r="BL56" s="116"/>
      <c r="BM56" s="116"/>
      <c r="BN56" s="138">
        <v>1.0</v>
      </c>
      <c r="BO56" s="138">
        <v>1.0</v>
      </c>
      <c r="BP56" s="116"/>
      <c r="BQ56" s="116"/>
      <c r="BR56" s="116"/>
      <c r="BS56" s="116"/>
      <c r="BT56" s="116"/>
      <c r="BU56" s="241">
        <v>1.0</v>
      </c>
      <c r="BV56" s="116"/>
      <c r="BW56" s="268">
        <v>1.0</v>
      </c>
      <c r="BX56" s="196">
        <v>1.0</v>
      </c>
      <c r="BY56" s="138">
        <v>1.0</v>
      </c>
      <c r="BZ56" s="196">
        <v>1.0</v>
      </c>
      <c r="CA56" s="138">
        <v>1.0</v>
      </c>
      <c r="CB56" s="138">
        <v>1.0</v>
      </c>
      <c r="CC56" s="196">
        <v>1.0</v>
      </c>
      <c r="CD56" s="196">
        <v>1.0</v>
      </c>
      <c r="CE56" s="124">
        <f t="shared" si="18"/>
        <v>11</v>
      </c>
      <c r="CF56" s="173">
        <f t="shared" si="19"/>
        <v>78.57142857</v>
      </c>
      <c r="CG56" s="184">
        <v>1.0</v>
      </c>
      <c r="CH56" s="116"/>
      <c r="CI56" s="138">
        <v>1.0</v>
      </c>
      <c r="CJ56" s="116"/>
      <c r="CK56" s="116"/>
      <c r="CL56" s="186"/>
      <c r="CM56" s="116"/>
      <c r="CN56" s="116"/>
      <c r="CO56" s="116"/>
      <c r="CP56" s="166"/>
      <c r="CQ56" s="213"/>
      <c r="CR56" s="213"/>
      <c r="CS56" s="116"/>
      <c r="CT56" s="116"/>
      <c r="CU56" s="116"/>
      <c r="CV56" s="213"/>
      <c r="CW56" s="128">
        <f t="shared" si="20"/>
        <v>2</v>
      </c>
      <c r="CX56" s="214">
        <f t="shared" si="21"/>
        <v>66.66666667</v>
      </c>
      <c r="CY56" s="171"/>
      <c r="CZ56" s="171"/>
      <c r="DA56" s="171"/>
      <c r="DB56" s="171"/>
      <c r="DC56" s="171"/>
      <c r="DD56" s="171"/>
      <c r="DE56" s="171"/>
      <c r="DF56" s="171"/>
      <c r="DG56" s="171"/>
      <c r="DH56" s="171"/>
      <c r="DI56" s="171"/>
      <c r="DJ56" s="171"/>
      <c r="DK56" s="128">
        <f t="shared" si="22"/>
        <v>0</v>
      </c>
      <c r="DL56" s="158" t="str">
        <f t="shared" si="23"/>
        <v>#DIV/0!</v>
      </c>
    </row>
    <row r="57" ht="15.75" customHeight="1">
      <c r="A57" s="146">
        <v>48.0</v>
      </c>
      <c r="B57" s="111" t="s">
        <v>147</v>
      </c>
      <c r="C57" s="112" t="s">
        <v>148</v>
      </c>
      <c r="D57" s="98">
        <f t="shared" si="8"/>
        <v>17</v>
      </c>
      <c r="E57" s="130">
        <f t="shared" si="9"/>
        <v>44.73684211</v>
      </c>
      <c r="F57" s="114">
        <f t="shared" si="10"/>
        <v>44.73684211</v>
      </c>
      <c r="G57" s="226" t="str">
        <f t="shared" si="11"/>
        <v>  </v>
      </c>
      <c r="H57" s="254"/>
      <c r="I57" s="256"/>
      <c r="J57" s="256"/>
      <c r="K57" s="254"/>
      <c r="L57" s="257"/>
      <c r="M57" s="139">
        <f t="shared" si="12"/>
        <v>0</v>
      </c>
      <c r="N57" s="140" t="str">
        <f t="shared" si="13"/>
        <v>#DIV/0!</v>
      </c>
      <c r="O57" s="116"/>
      <c r="P57" s="116"/>
      <c r="Q57" s="180"/>
      <c r="R57" s="179"/>
      <c r="S57" s="179"/>
      <c r="T57" s="116"/>
      <c r="U57" s="116"/>
      <c r="V57" s="179"/>
      <c r="W57" s="138">
        <v>1.0</v>
      </c>
      <c r="X57" s="138">
        <v>1.0</v>
      </c>
      <c r="Y57" s="184">
        <v>1.0</v>
      </c>
      <c r="Z57" s="185"/>
      <c r="AA57" s="217"/>
      <c r="AB57" s="138">
        <v>1.0</v>
      </c>
      <c r="AC57" s="184">
        <v>1.0</v>
      </c>
      <c r="AD57" s="116"/>
      <c r="AE57" s="116"/>
      <c r="AF57" s="138">
        <v>1.0</v>
      </c>
      <c r="AG57" s="182">
        <v>1.0</v>
      </c>
      <c r="AH57" s="176"/>
      <c r="AI57" s="116"/>
      <c r="AJ57" s="139">
        <f t="shared" si="14"/>
        <v>7</v>
      </c>
      <c r="AK57" s="205">
        <f t="shared" si="15"/>
        <v>70</v>
      </c>
      <c r="AL57" s="116"/>
      <c r="AM57" s="116"/>
      <c r="AN57" s="179"/>
      <c r="AO57" s="116"/>
      <c r="AP57" s="116"/>
      <c r="AQ57" s="116"/>
      <c r="AR57" s="116"/>
      <c r="AS57" s="166"/>
      <c r="AT57" s="138">
        <v>1.0</v>
      </c>
      <c r="AU57" s="116"/>
      <c r="AV57" s="116"/>
      <c r="AW57" s="179"/>
      <c r="AX57" s="138">
        <v>1.0</v>
      </c>
      <c r="AY57" s="138">
        <v>1.0</v>
      </c>
      <c r="AZ57" s="180"/>
      <c r="BA57" s="180"/>
      <c r="BB57" s="138">
        <v>1.0</v>
      </c>
      <c r="BC57" s="218">
        <v>1.0</v>
      </c>
      <c r="BD57" s="181"/>
      <c r="BE57" s="181"/>
      <c r="BF57" s="181"/>
      <c r="BG57" s="139">
        <f t="shared" si="16"/>
        <v>5</v>
      </c>
      <c r="BH57" s="208">
        <f t="shared" si="17"/>
        <v>45.45454545</v>
      </c>
      <c r="BI57" s="116"/>
      <c r="BJ57" s="116"/>
      <c r="BK57" s="180"/>
      <c r="BL57" s="116"/>
      <c r="BM57" s="116"/>
      <c r="BN57" s="138">
        <v>1.0</v>
      </c>
      <c r="BO57" s="138">
        <v>1.0</v>
      </c>
      <c r="BP57" s="116"/>
      <c r="BQ57" s="116"/>
      <c r="BR57" s="166"/>
      <c r="BS57" s="138">
        <v>1.0</v>
      </c>
      <c r="BT57" s="116"/>
      <c r="BV57" s="43"/>
      <c r="BW57" s="266"/>
      <c r="BX57" s="165"/>
      <c r="BY57" s="138">
        <v>1.0</v>
      </c>
      <c r="BZ57" s="165"/>
      <c r="CA57" s="116"/>
      <c r="CB57" s="165"/>
      <c r="CC57" s="165"/>
      <c r="CD57" s="165"/>
      <c r="CE57" s="124">
        <f t="shared" si="18"/>
        <v>4</v>
      </c>
      <c r="CF57" s="173">
        <f t="shared" si="19"/>
        <v>28.57142857</v>
      </c>
      <c r="CG57" s="116"/>
      <c r="CH57" s="138">
        <v>1.0</v>
      </c>
      <c r="CI57" s="116"/>
      <c r="CJ57" s="116"/>
      <c r="CK57" s="116"/>
      <c r="CL57" s="186"/>
      <c r="CM57" s="116"/>
      <c r="CN57" s="116"/>
      <c r="CO57" s="116"/>
      <c r="CP57" s="166"/>
      <c r="CQ57" s="213"/>
      <c r="CR57" s="213"/>
      <c r="CS57" s="213"/>
      <c r="CT57" s="213"/>
      <c r="CU57" s="213"/>
      <c r="CV57" s="213"/>
      <c r="CW57" s="128">
        <f t="shared" si="20"/>
        <v>1</v>
      </c>
      <c r="CX57" s="214">
        <f t="shared" si="21"/>
        <v>33.33333333</v>
      </c>
      <c r="CY57" s="171"/>
      <c r="CZ57" s="171"/>
      <c r="DA57" s="171"/>
      <c r="DB57" s="171"/>
      <c r="DC57" s="171"/>
      <c r="DD57" s="171"/>
      <c r="DE57" s="171"/>
      <c r="DF57" s="171"/>
      <c r="DG57" s="171"/>
      <c r="DH57" s="171"/>
      <c r="DI57" s="171"/>
      <c r="DJ57" s="171"/>
      <c r="DK57" s="128">
        <f t="shared" si="22"/>
        <v>0</v>
      </c>
      <c r="DL57" s="158" t="str">
        <f t="shared" si="23"/>
        <v>#DIV/0!</v>
      </c>
    </row>
    <row r="58" ht="15.75" customHeight="1">
      <c r="A58" s="50">
        <v>49.0</v>
      </c>
      <c r="B58" s="111" t="s">
        <v>149</v>
      </c>
      <c r="C58" s="112" t="s">
        <v>150</v>
      </c>
      <c r="D58" s="98">
        <f t="shared" si="8"/>
        <v>18</v>
      </c>
      <c r="E58" s="130">
        <f t="shared" si="9"/>
        <v>47.36842105</v>
      </c>
      <c r="F58" s="114">
        <f t="shared" si="10"/>
        <v>47.36842105</v>
      </c>
      <c r="G58" s="149" t="str">
        <f t="shared" si="11"/>
        <v>  </v>
      </c>
      <c r="H58" s="254"/>
      <c r="I58" s="254"/>
      <c r="J58" s="254"/>
      <c r="K58" s="254"/>
      <c r="L58" s="257"/>
      <c r="M58" s="139">
        <f t="shared" si="12"/>
        <v>0</v>
      </c>
      <c r="N58" s="140" t="str">
        <f t="shared" si="13"/>
        <v>#DIV/0!</v>
      </c>
      <c r="O58" s="116"/>
      <c r="P58" s="116"/>
      <c r="Q58" s="180"/>
      <c r="R58" s="179"/>
      <c r="S58" s="179"/>
      <c r="T58" s="116"/>
      <c r="U58" s="116"/>
      <c r="V58" s="179"/>
      <c r="W58" s="116"/>
      <c r="X58" s="116"/>
      <c r="Y58" s="179"/>
      <c r="Z58" s="185"/>
      <c r="AA58" s="187">
        <v>1.0</v>
      </c>
      <c r="AB58" s="138">
        <v>1.0</v>
      </c>
      <c r="AC58" s="179"/>
      <c r="AD58" s="176"/>
      <c r="AE58" s="116"/>
      <c r="AF58" s="138">
        <v>1.0</v>
      </c>
      <c r="AG58" s="182">
        <v>1.0</v>
      </c>
      <c r="AH58" s="138">
        <v>1.0</v>
      </c>
      <c r="AI58" s="116"/>
      <c r="AJ58" s="139">
        <f t="shared" si="14"/>
        <v>5</v>
      </c>
      <c r="AK58" s="205">
        <f t="shared" si="15"/>
        <v>50</v>
      </c>
      <c r="AL58" s="116"/>
      <c r="AM58" s="138">
        <v>1.0</v>
      </c>
      <c r="AN58" s="184">
        <v>1.0</v>
      </c>
      <c r="AO58" s="116"/>
      <c r="AP58" s="186"/>
      <c r="AQ58" s="116"/>
      <c r="AR58" s="116"/>
      <c r="AS58" s="191">
        <v>1.0</v>
      </c>
      <c r="AT58" s="116"/>
      <c r="AU58" s="116"/>
      <c r="AV58" s="116"/>
      <c r="AW58" s="179"/>
      <c r="AX58" s="138">
        <v>1.0</v>
      </c>
      <c r="AY58" s="116"/>
      <c r="AZ58" s="116"/>
      <c r="BA58" s="180"/>
      <c r="BB58" s="138">
        <v>1.0</v>
      </c>
      <c r="BC58" s="204"/>
      <c r="BD58" s="181"/>
      <c r="BE58" s="181"/>
      <c r="BF58" s="181"/>
      <c r="BG58" s="139">
        <f t="shared" si="16"/>
        <v>5</v>
      </c>
      <c r="BH58" s="208">
        <f t="shared" si="17"/>
        <v>45.45454545</v>
      </c>
      <c r="BI58" s="116"/>
      <c r="BJ58" s="116"/>
      <c r="BK58" s="180"/>
      <c r="BL58" s="116"/>
      <c r="BM58" s="116"/>
      <c r="BN58" s="138">
        <v>1.0</v>
      </c>
      <c r="BO58" s="138">
        <v>1.0</v>
      </c>
      <c r="BP58" s="116"/>
      <c r="BQ58" s="116"/>
      <c r="BR58" s="166"/>
      <c r="BS58" s="138">
        <v>1.0</v>
      </c>
      <c r="BT58" s="116"/>
      <c r="BV58" s="43"/>
      <c r="BW58" s="266"/>
      <c r="BX58" s="165"/>
      <c r="BY58" s="116"/>
      <c r="BZ58" s="196">
        <v>1.0</v>
      </c>
      <c r="CA58" s="196">
        <v>1.0</v>
      </c>
      <c r="CB58" s="138"/>
      <c r="CC58" s="196">
        <v>1.0</v>
      </c>
      <c r="CD58" s="196">
        <v>1.0</v>
      </c>
      <c r="CE58" s="124">
        <f t="shared" si="18"/>
        <v>7</v>
      </c>
      <c r="CF58" s="173">
        <f t="shared" si="19"/>
        <v>50</v>
      </c>
      <c r="CG58" s="179"/>
      <c r="CH58" s="138">
        <v>1.0</v>
      </c>
      <c r="CI58" s="186"/>
      <c r="CJ58" s="116"/>
      <c r="CK58" s="116"/>
      <c r="CL58" s="186"/>
      <c r="CM58" s="223"/>
      <c r="CN58" s="223"/>
      <c r="CO58" s="116"/>
      <c r="CP58" s="166"/>
      <c r="CQ58" s="213"/>
      <c r="CR58" s="213"/>
      <c r="CS58" s="213"/>
      <c r="CT58" s="116"/>
      <c r="CU58" s="213"/>
      <c r="CV58" s="213"/>
      <c r="CW58" s="128">
        <f t="shared" si="20"/>
        <v>1</v>
      </c>
      <c r="CX58" s="214">
        <f t="shared" si="21"/>
        <v>33.33333333</v>
      </c>
      <c r="CY58" s="171"/>
      <c r="CZ58" s="171"/>
      <c r="DA58" s="171"/>
      <c r="DB58" s="171"/>
      <c r="DC58" s="171"/>
      <c r="DD58" s="171"/>
      <c r="DE58" s="171"/>
      <c r="DF58" s="171"/>
      <c r="DG58" s="171"/>
      <c r="DH58" s="171"/>
      <c r="DI58" s="171"/>
      <c r="DJ58" s="171"/>
      <c r="DK58" s="128">
        <f t="shared" si="22"/>
        <v>0</v>
      </c>
      <c r="DL58" s="158" t="str">
        <f t="shared" si="23"/>
        <v>#DIV/0!</v>
      </c>
    </row>
    <row r="59" ht="15.75" customHeight="1">
      <c r="A59" s="131">
        <v>50.0</v>
      </c>
      <c r="B59" s="111" t="s">
        <v>151</v>
      </c>
      <c r="C59" s="112" t="s">
        <v>152</v>
      </c>
      <c r="D59" s="98">
        <f t="shared" si="8"/>
        <v>27</v>
      </c>
      <c r="E59" s="130">
        <f t="shared" si="9"/>
        <v>71.05263158</v>
      </c>
      <c r="F59" s="92" t="str">
        <f t="shared" si="10"/>
        <v>  </v>
      </c>
      <c r="G59" s="149" t="str">
        <f t="shared" si="11"/>
        <v>  </v>
      </c>
      <c r="H59" s="254"/>
      <c r="I59" s="258"/>
      <c r="J59" s="256"/>
      <c r="K59" s="254"/>
      <c r="L59" s="257"/>
      <c r="M59" s="139">
        <f t="shared" si="12"/>
        <v>0</v>
      </c>
      <c r="N59" s="140" t="str">
        <f t="shared" si="13"/>
        <v>#DIV/0!</v>
      </c>
      <c r="O59" s="116"/>
      <c r="P59" s="116"/>
      <c r="Q59" s="116"/>
      <c r="R59" s="186"/>
      <c r="S59" s="186"/>
      <c r="T59" s="116"/>
      <c r="U59" s="116"/>
      <c r="V59" s="186"/>
      <c r="W59" s="138">
        <v>1.0</v>
      </c>
      <c r="X59" s="138">
        <v>1.0</v>
      </c>
      <c r="Y59" s="200">
        <v>1.0</v>
      </c>
      <c r="Z59" s="185"/>
      <c r="AA59" s="187">
        <v>1.0</v>
      </c>
      <c r="AB59" s="138">
        <v>1.0</v>
      </c>
      <c r="AC59" s="200">
        <v>1.0</v>
      </c>
      <c r="AD59" s="116"/>
      <c r="AE59" s="116"/>
      <c r="AF59" s="197">
        <v>1.0</v>
      </c>
      <c r="AG59" s="197">
        <v>1.0</v>
      </c>
      <c r="AH59" s="138">
        <v>1.0</v>
      </c>
      <c r="AI59" s="195"/>
      <c r="AJ59" s="139">
        <f t="shared" si="14"/>
        <v>9</v>
      </c>
      <c r="AK59" s="205">
        <f t="shared" si="15"/>
        <v>90</v>
      </c>
      <c r="AL59" s="116"/>
      <c r="AM59" s="116"/>
      <c r="AN59" s="186"/>
      <c r="AO59" s="116"/>
      <c r="AP59" s="116"/>
      <c r="AQ59" s="138">
        <v>1.0</v>
      </c>
      <c r="AR59" s="116"/>
      <c r="AS59" s="191">
        <v>1.0</v>
      </c>
      <c r="AT59" s="138">
        <v>1.0</v>
      </c>
      <c r="AU59" s="116"/>
      <c r="AV59" s="116"/>
      <c r="AW59" s="186"/>
      <c r="AX59" s="138">
        <v>1.0</v>
      </c>
      <c r="AY59" s="138">
        <v>1.0</v>
      </c>
      <c r="AZ59" s="116"/>
      <c r="BA59" s="180"/>
      <c r="BB59" s="138">
        <v>1.0</v>
      </c>
      <c r="BC59" s="116"/>
      <c r="BD59" s="188">
        <v>1.0</v>
      </c>
      <c r="BE59" s="194"/>
      <c r="BF59" s="194"/>
      <c r="BG59" s="139">
        <f t="shared" si="16"/>
        <v>7</v>
      </c>
      <c r="BH59" s="208">
        <f t="shared" si="17"/>
        <v>63.63636364</v>
      </c>
      <c r="BI59" s="116"/>
      <c r="BJ59" s="116"/>
      <c r="BK59" s="180"/>
      <c r="BL59" s="116"/>
      <c r="BM59" s="116"/>
      <c r="BN59" s="116"/>
      <c r="BO59" s="116"/>
      <c r="BP59" s="116"/>
      <c r="BQ59" s="116"/>
      <c r="BR59" s="166"/>
      <c r="BS59" s="116"/>
      <c r="BT59" s="116"/>
      <c r="BU59" s="241">
        <v>1.0</v>
      </c>
      <c r="BV59" s="116"/>
      <c r="BW59" s="268">
        <v>1.0</v>
      </c>
      <c r="BX59" s="196">
        <v>1.0</v>
      </c>
      <c r="BY59" s="138">
        <v>1.0</v>
      </c>
      <c r="BZ59" s="196">
        <v>1.0</v>
      </c>
      <c r="CA59" s="138">
        <v>1.0</v>
      </c>
      <c r="CB59" s="138">
        <v>1.0</v>
      </c>
      <c r="CC59" s="196">
        <v>1.0</v>
      </c>
      <c r="CD59" s="196">
        <v>1.0</v>
      </c>
      <c r="CE59" s="124">
        <f t="shared" si="18"/>
        <v>9</v>
      </c>
      <c r="CF59" s="173">
        <f t="shared" si="19"/>
        <v>64.28571429</v>
      </c>
      <c r="CG59" s="138">
        <v>1.0</v>
      </c>
      <c r="CH59" s="138">
        <v>1.0</v>
      </c>
      <c r="CI59" s="116"/>
      <c r="CJ59" s="116"/>
      <c r="CK59" s="116"/>
      <c r="CL59" s="186"/>
      <c r="CM59" s="116"/>
      <c r="CN59" s="116"/>
      <c r="CO59" s="116"/>
      <c r="CP59" s="166"/>
      <c r="CQ59" s="213"/>
      <c r="CR59" s="213"/>
      <c r="CS59" s="116"/>
      <c r="CT59" s="116"/>
      <c r="CU59" s="116"/>
      <c r="CV59" s="213"/>
      <c r="CW59" s="128">
        <f t="shared" si="20"/>
        <v>2</v>
      </c>
      <c r="CX59" s="214">
        <f t="shared" si="21"/>
        <v>66.66666667</v>
      </c>
      <c r="CY59" s="171"/>
      <c r="CZ59" s="171"/>
      <c r="DA59" s="171"/>
      <c r="DB59" s="171"/>
      <c r="DC59" s="171"/>
      <c r="DD59" s="171"/>
      <c r="DE59" s="171"/>
      <c r="DF59" s="171"/>
      <c r="DG59" s="171"/>
      <c r="DH59" s="171"/>
      <c r="DI59" s="171"/>
      <c r="DJ59" s="171"/>
      <c r="DK59" s="128">
        <f t="shared" si="22"/>
        <v>0</v>
      </c>
      <c r="DL59" s="158" t="str">
        <f t="shared" si="23"/>
        <v>#DIV/0!</v>
      </c>
    </row>
    <row r="60" ht="15.75" customHeight="1">
      <c r="A60" s="146">
        <v>51.0</v>
      </c>
      <c r="B60" s="111" t="s">
        <v>153</v>
      </c>
      <c r="C60" s="112" t="s">
        <v>154</v>
      </c>
      <c r="D60" s="98">
        <f t="shared" si="8"/>
        <v>13</v>
      </c>
      <c r="E60" s="130">
        <f t="shared" si="9"/>
        <v>34.21052632</v>
      </c>
      <c r="F60" s="114">
        <f t="shared" si="10"/>
        <v>34.21052632</v>
      </c>
      <c r="G60" s="226" t="str">
        <f t="shared" si="11"/>
        <v>  </v>
      </c>
      <c r="H60" s="254"/>
      <c r="I60" s="258"/>
      <c r="J60" s="258"/>
      <c r="K60" s="254"/>
      <c r="L60" s="257"/>
      <c r="M60" s="139">
        <f t="shared" si="12"/>
        <v>0</v>
      </c>
      <c r="N60" s="140" t="str">
        <f t="shared" si="13"/>
        <v>#DIV/0!</v>
      </c>
      <c r="O60" s="116"/>
      <c r="P60" s="116"/>
      <c r="Q60" s="180"/>
      <c r="R60" s="186"/>
      <c r="S60" s="186"/>
      <c r="T60" s="116"/>
      <c r="U60" s="116"/>
      <c r="V60" s="186"/>
      <c r="W60" s="116"/>
      <c r="X60" s="116"/>
      <c r="Y60" s="186"/>
      <c r="Z60" s="185"/>
      <c r="AA60" s="217"/>
      <c r="AB60" s="116"/>
      <c r="AC60" s="186"/>
      <c r="AD60" s="195"/>
      <c r="AE60" s="116"/>
      <c r="AF60" s="182">
        <v>1.0</v>
      </c>
      <c r="AG60" s="197">
        <v>1.0</v>
      </c>
      <c r="AH60" s="197">
        <v>1.0</v>
      </c>
      <c r="AI60" s="195"/>
      <c r="AJ60" s="139">
        <f t="shared" si="14"/>
        <v>3</v>
      </c>
      <c r="AK60" s="205">
        <f t="shared" si="15"/>
        <v>30</v>
      </c>
      <c r="AL60" s="225"/>
      <c r="AM60" s="116"/>
      <c r="AN60" s="186"/>
      <c r="AO60" s="116"/>
      <c r="AP60" s="179"/>
      <c r="AQ60" s="116"/>
      <c r="AR60" s="116"/>
      <c r="AS60" s="191">
        <v>1.0</v>
      </c>
      <c r="AT60" s="116"/>
      <c r="AU60" s="116"/>
      <c r="AV60" s="138">
        <v>1.0</v>
      </c>
      <c r="AW60" s="186"/>
      <c r="AX60" s="138">
        <v>1.0</v>
      </c>
      <c r="AY60" s="116"/>
      <c r="AZ60" s="180"/>
      <c r="BA60" s="180"/>
      <c r="BB60" s="204"/>
      <c r="BC60" s="204"/>
      <c r="BD60" s="181"/>
      <c r="BE60" s="181"/>
      <c r="BF60" s="181"/>
      <c r="BG60" s="139">
        <f t="shared" si="16"/>
        <v>3</v>
      </c>
      <c r="BH60" s="208">
        <f t="shared" si="17"/>
        <v>27.27272727</v>
      </c>
      <c r="BI60" s="116"/>
      <c r="BJ60" s="180"/>
      <c r="BK60" s="180"/>
      <c r="BL60" s="116"/>
      <c r="BM60" s="116"/>
      <c r="BN60" s="116"/>
      <c r="BO60" s="116"/>
      <c r="BP60" s="116"/>
      <c r="BQ60" s="211"/>
      <c r="BR60" s="166"/>
      <c r="BS60" s="165"/>
      <c r="BT60" s="185"/>
      <c r="BU60" s="43"/>
      <c r="BV60" s="43"/>
      <c r="BW60" s="268">
        <v>1.0</v>
      </c>
      <c r="BX60" s="196">
        <v>1.0</v>
      </c>
      <c r="BY60" s="116"/>
      <c r="BZ60" s="196">
        <v>1.0</v>
      </c>
      <c r="CA60" s="196">
        <v>1.0</v>
      </c>
      <c r="CB60" s="165"/>
      <c r="CC60" s="196">
        <v>1.0</v>
      </c>
      <c r="CD60" s="196">
        <v>1.0</v>
      </c>
      <c r="CE60" s="124">
        <f t="shared" si="18"/>
        <v>6</v>
      </c>
      <c r="CF60" s="173">
        <f t="shared" si="19"/>
        <v>42.85714286</v>
      </c>
      <c r="CG60" s="200">
        <v>1.0</v>
      </c>
      <c r="CH60" s="238"/>
      <c r="CI60" s="186"/>
      <c r="CJ60" s="186"/>
      <c r="CK60" s="231"/>
      <c r="CL60" s="186"/>
      <c r="CM60" s="223"/>
      <c r="CN60" s="223"/>
      <c r="CO60" s="223"/>
      <c r="CP60" s="166"/>
      <c r="CQ60" s="213"/>
      <c r="CR60" s="213"/>
      <c r="CS60" s="213"/>
      <c r="CT60" s="213"/>
      <c r="CU60" s="213"/>
      <c r="CV60" s="213"/>
      <c r="CW60" s="128">
        <f t="shared" si="20"/>
        <v>1</v>
      </c>
      <c r="CX60" s="214">
        <f t="shared" si="21"/>
        <v>33.33333333</v>
      </c>
      <c r="CY60" s="171"/>
      <c r="CZ60" s="171"/>
      <c r="DA60" s="171"/>
      <c r="DB60" s="171"/>
      <c r="DC60" s="171"/>
      <c r="DD60" s="171"/>
      <c r="DE60" s="171"/>
      <c r="DF60" s="171"/>
      <c r="DG60" s="171"/>
      <c r="DH60" s="171"/>
      <c r="DI60" s="171"/>
      <c r="DJ60" s="171"/>
      <c r="DK60" s="128">
        <f t="shared" si="22"/>
        <v>0</v>
      </c>
      <c r="DL60" s="158" t="str">
        <f t="shared" si="23"/>
        <v>#DIV/0!</v>
      </c>
    </row>
    <row r="61" ht="15.75" customHeight="1">
      <c r="A61" s="50">
        <v>52.0</v>
      </c>
      <c r="B61" s="111" t="s">
        <v>155</v>
      </c>
      <c r="C61" s="112" t="s">
        <v>156</v>
      </c>
      <c r="D61" s="98">
        <f t="shared" si="8"/>
        <v>15</v>
      </c>
      <c r="E61" s="130">
        <f t="shared" si="9"/>
        <v>39.47368421</v>
      </c>
      <c r="F61" s="114">
        <f t="shared" si="10"/>
        <v>39.47368421</v>
      </c>
      <c r="G61" s="149" t="str">
        <f t="shared" si="11"/>
        <v>  </v>
      </c>
      <c r="H61" s="254"/>
      <c r="I61" s="256"/>
      <c r="J61" s="256"/>
      <c r="K61" s="254"/>
      <c r="L61" s="257"/>
      <c r="M61" s="139">
        <f t="shared" si="12"/>
        <v>0</v>
      </c>
      <c r="N61" s="140" t="str">
        <f t="shared" si="13"/>
        <v>#DIV/0!</v>
      </c>
      <c r="O61" s="116"/>
      <c r="P61" s="116"/>
      <c r="Q61" s="116"/>
      <c r="R61" s="179"/>
      <c r="S61" s="116"/>
      <c r="T61" s="116"/>
      <c r="U61" s="116"/>
      <c r="V61" s="179"/>
      <c r="W61" s="116"/>
      <c r="X61" s="116"/>
      <c r="Y61" s="179"/>
      <c r="Z61" s="185"/>
      <c r="AA61" s="217"/>
      <c r="AB61" s="138">
        <v>1.0</v>
      </c>
      <c r="AC61" s="179"/>
      <c r="AD61" s="116"/>
      <c r="AE61" s="116"/>
      <c r="AF61" s="116"/>
      <c r="AG61" s="182">
        <v>1.0</v>
      </c>
      <c r="AH61" s="182">
        <v>1.0</v>
      </c>
      <c r="AI61" s="176"/>
      <c r="AJ61" s="139">
        <f t="shared" si="14"/>
        <v>3</v>
      </c>
      <c r="AK61" s="205">
        <f t="shared" si="15"/>
        <v>30</v>
      </c>
      <c r="AL61" s="116"/>
      <c r="AM61" s="138">
        <v>1.0</v>
      </c>
      <c r="AN61" s="184">
        <v>1.0</v>
      </c>
      <c r="AO61" s="116"/>
      <c r="AP61" s="116"/>
      <c r="AQ61" s="116"/>
      <c r="AR61" s="116"/>
      <c r="AS61" s="166"/>
      <c r="AT61" s="116"/>
      <c r="AU61" s="116"/>
      <c r="AV61" s="116"/>
      <c r="AW61" s="179"/>
      <c r="AX61" s="138">
        <v>1.0</v>
      </c>
      <c r="AY61" s="116"/>
      <c r="AZ61" s="180"/>
      <c r="BA61" s="180"/>
      <c r="BB61" s="116"/>
      <c r="BC61" s="116"/>
      <c r="BD61" s="194"/>
      <c r="BE61" s="194"/>
      <c r="BF61" s="194"/>
      <c r="BG61" s="139">
        <f t="shared" si="16"/>
        <v>3</v>
      </c>
      <c r="BH61" s="208">
        <f t="shared" si="17"/>
        <v>27.27272727</v>
      </c>
      <c r="BI61" s="116"/>
      <c r="BJ61" s="116"/>
      <c r="BK61" s="180"/>
      <c r="BL61" s="116"/>
      <c r="BM61" s="116"/>
      <c r="BN61" s="116"/>
      <c r="BO61" s="116"/>
      <c r="BP61" s="116"/>
      <c r="BQ61" s="211"/>
      <c r="BR61" s="166"/>
      <c r="BS61" s="116"/>
      <c r="BT61" s="116"/>
      <c r="BU61" s="145">
        <v>1.0</v>
      </c>
      <c r="BV61" s="43"/>
      <c r="BW61" s="268">
        <v>1.0</v>
      </c>
      <c r="BX61" s="196">
        <v>1.0</v>
      </c>
      <c r="BY61" s="116"/>
      <c r="BZ61" s="196">
        <v>1.0</v>
      </c>
      <c r="CA61" s="138">
        <v>1.0</v>
      </c>
      <c r="CB61" s="165"/>
      <c r="CC61" s="196">
        <v>1.0</v>
      </c>
      <c r="CD61" s="196">
        <v>1.0</v>
      </c>
      <c r="CE61" s="124">
        <f t="shared" si="18"/>
        <v>7</v>
      </c>
      <c r="CF61" s="173">
        <f t="shared" si="19"/>
        <v>50</v>
      </c>
      <c r="CG61" s="184">
        <v>1.0</v>
      </c>
      <c r="CH61" s="230">
        <v>1.0</v>
      </c>
      <c r="CI61" s="186"/>
      <c r="CJ61" s="116"/>
      <c r="CK61" s="116"/>
      <c r="CL61" s="186"/>
      <c r="CM61" s="223"/>
      <c r="CN61" s="223"/>
      <c r="CO61" s="116"/>
      <c r="CP61" s="166"/>
      <c r="CQ61" s="213"/>
      <c r="CR61" s="213"/>
      <c r="CS61" s="213"/>
      <c r="CT61" s="213"/>
      <c r="CU61" s="213"/>
      <c r="CV61" s="213"/>
      <c r="CW61" s="128">
        <f t="shared" si="20"/>
        <v>2</v>
      </c>
      <c r="CX61" s="214">
        <f t="shared" si="21"/>
        <v>66.66666667</v>
      </c>
      <c r="CY61" s="171"/>
      <c r="CZ61" s="171"/>
      <c r="DA61" s="171"/>
      <c r="DB61" s="171"/>
      <c r="DC61" s="171"/>
      <c r="DD61" s="171"/>
      <c r="DE61" s="171"/>
      <c r="DF61" s="171"/>
      <c r="DG61" s="171"/>
      <c r="DH61" s="171"/>
      <c r="DI61" s="171"/>
      <c r="DJ61" s="171"/>
      <c r="DK61" s="128">
        <f t="shared" si="22"/>
        <v>0</v>
      </c>
      <c r="DL61" s="158" t="str">
        <f t="shared" si="23"/>
        <v>#DIV/0!</v>
      </c>
    </row>
    <row r="62" ht="15.75" customHeight="1">
      <c r="A62" s="131">
        <v>53.0</v>
      </c>
      <c r="B62" s="111" t="s">
        <v>157</v>
      </c>
      <c r="C62" s="112" t="s">
        <v>158</v>
      </c>
      <c r="D62" s="98">
        <f t="shared" si="8"/>
        <v>19</v>
      </c>
      <c r="E62" s="130">
        <f t="shared" si="9"/>
        <v>50</v>
      </c>
      <c r="F62" s="92" t="str">
        <f t="shared" si="10"/>
        <v>  </v>
      </c>
      <c r="G62" s="149" t="str">
        <f t="shared" si="11"/>
        <v>  </v>
      </c>
      <c r="H62" s="256"/>
      <c r="I62" s="254"/>
      <c r="J62" s="254"/>
      <c r="K62" s="254"/>
      <c r="L62" s="257"/>
      <c r="M62" s="139">
        <f t="shared" si="12"/>
        <v>0</v>
      </c>
      <c r="N62" s="140" t="str">
        <f t="shared" si="13"/>
        <v>#DIV/0!</v>
      </c>
      <c r="O62" s="116"/>
      <c r="P62" s="116"/>
      <c r="Q62" s="116"/>
      <c r="R62" s="179"/>
      <c r="S62" s="179"/>
      <c r="T62" s="116"/>
      <c r="U62" s="116"/>
      <c r="V62" s="179"/>
      <c r="W62" s="116"/>
      <c r="X62" s="116"/>
      <c r="Y62" s="179"/>
      <c r="Z62" s="185"/>
      <c r="AA62" s="187">
        <v>1.0</v>
      </c>
      <c r="AB62" s="138">
        <v>1.0</v>
      </c>
      <c r="AC62" s="179"/>
      <c r="AD62" s="116"/>
      <c r="AE62" s="116"/>
      <c r="AF62" s="116"/>
      <c r="AG62" s="176"/>
      <c r="AH62" s="116"/>
      <c r="AI62" s="176"/>
      <c r="AJ62" s="139">
        <f t="shared" si="14"/>
        <v>2</v>
      </c>
      <c r="AK62" s="205">
        <f t="shared" si="15"/>
        <v>20</v>
      </c>
      <c r="AL62" s="116"/>
      <c r="AM62" s="138">
        <v>1.0</v>
      </c>
      <c r="AN62" s="184">
        <v>1.0</v>
      </c>
      <c r="AO62" s="207"/>
      <c r="AP62" s="116"/>
      <c r="AQ62" s="116"/>
      <c r="AR62" s="116"/>
      <c r="AS62" s="191">
        <v>1.0</v>
      </c>
      <c r="AT62" s="116"/>
      <c r="AU62" s="116"/>
      <c r="AV62" s="116"/>
      <c r="AW62" s="179"/>
      <c r="AX62" s="138">
        <v>1.0</v>
      </c>
      <c r="AY62" s="116"/>
      <c r="AZ62" s="116"/>
      <c r="BA62" s="180"/>
      <c r="BB62" s="138">
        <v>1.0</v>
      </c>
      <c r="BC62" s="116"/>
      <c r="BD62" s="194"/>
      <c r="BE62" s="194"/>
      <c r="BF62" s="194"/>
      <c r="BG62" s="139">
        <f t="shared" si="16"/>
        <v>5</v>
      </c>
      <c r="BH62" s="208">
        <f t="shared" si="17"/>
        <v>45.45454545</v>
      </c>
      <c r="BI62" s="116"/>
      <c r="BJ62" s="116"/>
      <c r="BK62" s="180"/>
      <c r="BL62" s="116"/>
      <c r="BM62" s="116"/>
      <c r="BN62" s="138">
        <v>1.0</v>
      </c>
      <c r="BO62" s="138">
        <v>1.0</v>
      </c>
      <c r="BP62" s="116"/>
      <c r="BQ62" s="211"/>
      <c r="BR62" s="166"/>
      <c r="BS62" s="196">
        <v>1.0</v>
      </c>
      <c r="BT62" s="185"/>
      <c r="BU62" s="145">
        <v>1.0</v>
      </c>
      <c r="BV62" s="43"/>
      <c r="BW62" s="268">
        <v>1.0</v>
      </c>
      <c r="BX62" s="196">
        <v>1.0</v>
      </c>
      <c r="BY62" s="138">
        <v>1.0</v>
      </c>
      <c r="BZ62" s="196">
        <v>1.0</v>
      </c>
      <c r="CA62" s="138">
        <v>1.0</v>
      </c>
      <c r="CB62" s="165"/>
      <c r="CC62" s="196">
        <v>1.0</v>
      </c>
      <c r="CD62" s="196">
        <v>1.0</v>
      </c>
      <c r="CE62" s="124">
        <f t="shared" si="18"/>
        <v>11</v>
      </c>
      <c r="CF62" s="173">
        <f t="shared" si="19"/>
        <v>78.57142857</v>
      </c>
      <c r="CG62" s="116"/>
      <c r="CH62" s="138">
        <v>1.0</v>
      </c>
      <c r="CI62" s="186"/>
      <c r="CJ62" s="116"/>
      <c r="CK62" s="116"/>
      <c r="CL62" s="186"/>
      <c r="CM62" s="116"/>
      <c r="CN62" s="223"/>
      <c r="CO62" s="116"/>
      <c r="CP62" s="166"/>
      <c r="CQ62" s="213"/>
      <c r="CR62" s="213"/>
      <c r="CS62" s="213"/>
      <c r="CT62" s="213"/>
      <c r="CU62" s="213"/>
      <c r="CV62" s="213"/>
      <c r="CW62" s="128">
        <f t="shared" si="20"/>
        <v>1</v>
      </c>
      <c r="CX62" s="214">
        <f t="shared" si="21"/>
        <v>33.33333333</v>
      </c>
      <c r="CY62" s="171"/>
      <c r="CZ62" s="171"/>
      <c r="DA62" s="171"/>
      <c r="DB62" s="171"/>
      <c r="DC62" s="171"/>
      <c r="DD62" s="171"/>
      <c r="DE62" s="171"/>
      <c r="DF62" s="171"/>
      <c r="DG62" s="171"/>
      <c r="DH62" s="171"/>
      <c r="DI62" s="171"/>
      <c r="DJ62" s="171"/>
      <c r="DK62" s="128">
        <f t="shared" si="22"/>
        <v>0</v>
      </c>
      <c r="DL62" s="158" t="str">
        <f t="shared" si="23"/>
        <v>#DIV/0!</v>
      </c>
    </row>
    <row r="63" ht="15.75" customHeight="1">
      <c r="A63" s="146">
        <v>54.0</v>
      </c>
      <c r="B63" s="111" t="s">
        <v>159</v>
      </c>
      <c r="C63" s="112" t="s">
        <v>160</v>
      </c>
      <c r="D63" s="98">
        <f t="shared" si="8"/>
        <v>11</v>
      </c>
      <c r="E63" s="130">
        <f t="shared" si="9"/>
        <v>28.94736842</v>
      </c>
      <c r="F63" s="114">
        <f t="shared" si="10"/>
        <v>28.94736842</v>
      </c>
      <c r="G63" s="226">
        <f t="shared" si="11"/>
        <v>28.94736842</v>
      </c>
      <c r="H63" s="254"/>
      <c r="I63" s="254"/>
      <c r="J63" s="254"/>
      <c r="K63" s="254"/>
      <c r="L63" s="257"/>
      <c r="M63" s="139">
        <f t="shared" si="12"/>
        <v>0</v>
      </c>
      <c r="N63" s="140" t="str">
        <f t="shared" si="13"/>
        <v>#DIV/0!</v>
      </c>
      <c r="O63" s="116"/>
      <c r="P63" s="116"/>
      <c r="Q63" s="180"/>
      <c r="R63" s="207"/>
      <c r="S63" s="207"/>
      <c r="T63" s="116"/>
      <c r="U63" s="116"/>
      <c r="V63" s="207"/>
      <c r="W63" s="138">
        <v>1.0</v>
      </c>
      <c r="X63" s="116"/>
      <c r="Y63" s="207"/>
      <c r="Z63" s="185"/>
      <c r="AA63" s="217"/>
      <c r="AB63" s="116"/>
      <c r="AC63" s="207"/>
      <c r="AD63" s="116"/>
      <c r="AE63" s="116"/>
      <c r="AF63" s="176"/>
      <c r="AG63" s="206"/>
      <c r="AH63" s="116"/>
      <c r="AI63" s="116"/>
      <c r="AJ63" s="139">
        <f t="shared" si="14"/>
        <v>1</v>
      </c>
      <c r="AK63" s="205">
        <f t="shared" si="15"/>
        <v>10</v>
      </c>
      <c r="AL63" s="116"/>
      <c r="AM63" s="116"/>
      <c r="AN63" s="234">
        <v>1.0</v>
      </c>
      <c r="AO63" s="116"/>
      <c r="AP63" s="186"/>
      <c r="AQ63" s="116"/>
      <c r="AR63" s="116"/>
      <c r="AS63" s="191">
        <v>1.0</v>
      </c>
      <c r="AT63" s="138">
        <v>1.0</v>
      </c>
      <c r="AU63" s="116"/>
      <c r="AV63" s="116"/>
      <c r="AW63" s="207"/>
      <c r="AX63" s="116"/>
      <c r="AY63" s="138">
        <v>1.0</v>
      </c>
      <c r="AZ63" s="116"/>
      <c r="BA63" s="180"/>
      <c r="BB63" s="138">
        <v>1.0</v>
      </c>
      <c r="BC63" s="116"/>
      <c r="BD63" s="194"/>
      <c r="BE63" s="194"/>
      <c r="BF63" s="194"/>
      <c r="BG63" s="139">
        <f t="shared" si="16"/>
        <v>5</v>
      </c>
      <c r="BH63" s="208">
        <f t="shared" si="17"/>
        <v>45.45454545</v>
      </c>
      <c r="BI63" s="116"/>
      <c r="BJ63" s="116"/>
      <c r="BK63" s="180"/>
      <c r="BL63" s="116"/>
      <c r="BM63" s="116"/>
      <c r="BN63" s="116"/>
      <c r="BO63" s="116"/>
      <c r="BP63" s="116"/>
      <c r="BQ63" s="116"/>
      <c r="BR63" s="166"/>
      <c r="BS63" s="116"/>
      <c r="BT63" s="116"/>
      <c r="BV63" s="116"/>
      <c r="BW63" s="266"/>
      <c r="BX63" s="165"/>
      <c r="BY63" s="138">
        <v>1.0</v>
      </c>
      <c r="BZ63" s="196">
        <v>1.0</v>
      </c>
      <c r="CA63" s="116"/>
      <c r="CB63" s="165"/>
      <c r="CC63" s="165"/>
      <c r="CD63" s="165"/>
      <c r="CE63" s="124">
        <f t="shared" si="18"/>
        <v>2</v>
      </c>
      <c r="CF63" s="173">
        <f t="shared" si="19"/>
        <v>14.28571429</v>
      </c>
      <c r="CG63" s="138">
        <v>1.0</v>
      </c>
      <c r="CH63" s="138">
        <v>1.0</v>
      </c>
      <c r="CI63" s="200">
        <v>1.0</v>
      </c>
      <c r="CJ63" s="116"/>
      <c r="CK63" s="116"/>
      <c r="CL63" s="186"/>
      <c r="CM63" s="223"/>
      <c r="CN63" s="223"/>
      <c r="CO63" s="116"/>
      <c r="CP63" s="166"/>
      <c r="CQ63" s="213"/>
      <c r="CR63" s="213"/>
      <c r="CS63" s="213"/>
      <c r="CT63" s="213"/>
      <c r="CU63" s="213"/>
      <c r="CV63" s="213"/>
      <c r="CW63" s="128">
        <f t="shared" si="20"/>
        <v>3</v>
      </c>
      <c r="CX63" s="214">
        <f t="shared" si="21"/>
        <v>100</v>
      </c>
      <c r="CY63" s="171"/>
      <c r="CZ63" s="171"/>
      <c r="DA63" s="171"/>
      <c r="DB63" s="171"/>
      <c r="DC63" s="171"/>
      <c r="DD63" s="171"/>
      <c r="DE63" s="171"/>
      <c r="DF63" s="171"/>
      <c r="DG63" s="171"/>
      <c r="DH63" s="171"/>
      <c r="DI63" s="171"/>
      <c r="DJ63" s="171"/>
      <c r="DK63" s="128">
        <f t="shared" si="22"/>
        <v>0</v>
      </c>
      <c r="DL63" s="158" t="str">
        <f t="shared" si="23"/>
        <v>#DIV/0!</v>
      </c>
    </row>
    <row r="64" ht="15.75" customHeight="1">
      <c r="A64" s="50">
        <v>55.0</v>
      </c>
      <c r="B64" s="111" t="s">
        <v>161</v>
      </c>
      <c r="C64" s="112" t="s">
        <v>162</v>
      </c>
      <c r="D64" s="98">
        <f t="shared" si="8"/>
        <v>14</v>
      </c>
      <c r="E64" s="130">
        <f t="shared" si="9"/>
        <v>36.84210526</v>
      </c>
      <c r="F64" s="114">
        <f t="shared" si="10"/>
        <v>36.84210526</v>
      </c>
      <c r="G64" s="149" t="str">
        <f t="shared" si="11"/>
        <v>  </v>
      </c>
      <c r="H64" s="254"/>
      <c r="I64" s="254"/>
      <c r="J64" s="254"/>
      <c r="K64" s="254"/>
      <c r="L64" s="257"/>
      <c r="M64" s="139">
        <f t="shared" si="12"/>
        <v>0</v>
      </c>
      <c r="N64" s="140" t="str">
        <f t="shared" si="13"/>
        <v>#DIV/0!</v>
      </c>
      <c r="O64" s="116"/>
      <c r="P64" s="116"/>
      <c r="Q64" s="180"/>
      <c r="R64" s="179"/>
      <c r="S64" s="179"/>
      <c r="T64" s="116"/>
      <c r="U64" s="116"/>
      <c r="V64" s="179"/>
      <c r="W64" s="116"/>
      <c r="X64" s="116"/>
      <c r="Y64" s="179"/>
      <c r="Z64" s="185"/>
      <c r="AA64" s="217"/>
      <c r="AB64" s="138">
        <v>1.0</v>
      </c>
      <c r="AC64" s="184">
        <v>1.0</v>
      </c>
      <c r="AD64" s="176"/>
      <c r="AE64" s="116"/>
      <c r="AF64" s="138">
        <v>1.0</v>
      </c>
      <c r="AG64" s="182">
        <v>1.0</v>
      </c>
      <c r="AH64" s="176"/>
      <c r="AI64" s="176"/>
      <c r="AJ64" s="139">
        <f t="shared" si="14"/>
        <v>4</v>
      </c>
      <c r="AK64" s="205">
        <f t="shared" si="15"/>
        <v>40</v>
      </c>
      <c r="AL64" s="116"/>
      <c r="AM64" s="116"/>
      <c r="AN64" s="179"/>
      <c r="AO64" s="179"/>
      <c r="AP64" s="116"/>
      <c r="AQ64" s="116"/>
      <c r="AR64" s="116"/>
      <c r="AS64" s="166"/>
      <c r="AT64" s="138">
        <v>1.0</v>
      </c>
      <c r="AU64" s="116"/>
      <c r="AV64" s="116"/>
      <c r="AW64" s="179"/>
      <c r="AX64" s="138">
        <v>1.0</v>
      </c>
      <c r="AY64" s="116"/>
      <c r="AZ64" s="116"/>
      <c r="BA64" s="180"/>
      <c r="BB64" s="138">
        <v>1.0</v>
      </c>
      <c r="BC64" s="138">
        <v>1.0</v>
      </c>
      <c r="BD64" s="194"/>
      <c r="BE64" s="194"/>
      <c r="BF64" s="194"/>
      <c r="BG64" s="139">
        <f t="shared" si="16"/>
        <v>4</v>
      </c>
      <c r="BH64" s="208">
        <f t="shared" si="17"/>
        <v>36.36363636</v>
      </c>
      <c r="BI64" s="116"/>
      <c r="BJ64" s="180"/>
      <c r="BK64" s="180"/>
      <c r="BL64" s="116"/>
      <c r="BM64" s="116"/>
      <c r="BN64" s="116"/>
      <c r="BO64" s="116"/>
      <c r="BP64" s="116"/>
      <c r="BQ64" s="116"/>
      <c r="BR64" s="166"/>
      <c r="BS64" s="138">
        <v>1.0</v>
      </c>
      <c r="BT64" s="116"/>
      <c r="BU64" s="43"/>
      <c r="BV64" s="43"/>
      <c r="BW64" s="268">
        <v>1.0</v>
      </c>
      <c r="BX64" s="196">
        <v>1.0</v>
      </c>
      <c r="BY64" s="116"/>
      <c r="BZ64" s="165"/>
      <c r="CA64" s="196">
        <v>1.0</v>
      </c>
      <c r="CB64" s="165"/>
      <c r="CC64" s="196">
        <v>1.0</v>
      </c>
      <c r="CD64" s="196">
        <v>1.0</v>
      </c>
      <c r="CE64" s="124">
        <f t="shared" si="18"/>
        <v>6</v>
      </c>
      <c r="CF64" s="173">
        <f t="shared" si="19"/>
        <v>42.85714286</v>
      </c>
      <c r="CG64" s="179"/>
      <c r="CH64" s="238"/>
      <c r="CI64" s="116"/>
      <c r="CJ64" s="116"/>
      <c r="CK64" s="116"/>
      <c r="CL64" s="186"/>
      <c r="CM64" s="116"/>
      <c r="CN64" s="223"/>
      <c r="CO64" s="223"/>
      <c r="CP64" s="166"/>
      <c r="CQ64" s="213"/>
      <c r="CR64" s="213"/>
      <c r="CS64" s="213"/>
      <c r="CT64" s="213"/>
      <c r="CU64" s="213"/>
      <c r="CV64" s="213"/>
      <c r="CW64" s="128">
        <f t="shared" si="20"/>
        <v>0</v>
      </c>
      <c r="CX64" s="214">
        <f t="shared" si="21"/>
        <v>0</v>
      </c>
      <c r="CY64" s="171"/>
      <c r="CZ64" s="171"/>
      <c r="DA64" s="171"/>
      <c r="DB64" s="171"/>
      <c r="DC64" s="171"/>
      <c r="DD64" s="171"/>
      <c r="DE64" s="171"/>
      <c r="DF64" s="171"/>
      <c r="DG64" s="171"/>
      <c r="DH64" s="171"/>
      <c r="DI64" s="171"/>
      <c r="DJ64" s="171"/>
      <c r="DK64" s="128">
        <f t="shared" si="22"/>
        <v>0</v>
      </c>
      <c r="DL64" s="158" t="str">
        <f t="shared" si="23"/>
        <v>#DIV/0!</v>
      </c>
    </row>
    <row r="65" ht="15.75" customHeight="1">
      <c r="A65" s="131">
        <v>56.0</v>
      </c>
      <c r="B65" s="111" t="s">
        <v>163</v>
      </c>
      <c r="C65" s="112" t="s">
        <v>164</v>
      </c>
      <c r="D65" s="98">
        <f t="shared" si="8"/>
        <v>23</v>
      </c>
      <c r="E65" s="130">
        <f t="shared" si="9"/>
        <v>60.52631579</v>
      </c>
      <c r="F65" s="114" t="str">
        <f t="shared" si="10"/>
        <v>  </v>
      </c>
      <c r="G65" s="149" t="str">
        <f t="shared" si="11"/>
        <v>  </v>
      </c>
      <c r="H65" s="254"/>
      <c r="I65" s="254"/>
      <c r="J65" s="258"/>
      <c r="K65" s="254"/>
      <c r="L65" s="257"/>
      <c r="M65" s="139">
        <f t="shared" si="12"/>
        <v>0</v>
      </c>
      <c r="N65" s="140" t="str">
        <f t="shared" si="13"/>
        <v>#DIV/0!</v>
      </c>
      <c r="O65" s="116"/>
      <c r="P65" s="116"/>
      <c r="Q65" s="116"/>
      <c r="R65" s="179"/>
      <c r="S65" s="116"/>
      <c r="T65" s="116"/>
      <c r="U65" s="116"/>
      <c r="V65" s="179"/>
      <c r="W65" s="138">
        <v>1.0</v>
      </c>
      <c r="X65" s="138">
        <v>1.0</v>
      </c>
      <c r="Y65" s="184">
        <v>1.0</v>
      </c>
      <c r="Z65" s="185"/>
      <c r="AA65" s="187">
        <v>1.0</v>
      </c>
      <c r="AB65" s="138">
        <v>1.0</v>
      </c>
      <c r="AC65" s="184">
        <v>1.0</v>
      </c>
      <c r="AD65" s="176"/>
      <c r="AE65" s="116"/>
      <c r="AF65" s="138">
        <v>1.0</v>
      </c>
      <c r="AG65" s="182">
        <v>1.0</v>
      </c>
      <c r="AH65" s="138">
        <v>1.0</v>
      </c>
      <c r="AI65" s="176"/>
      <c r="AJ65" s="139">
        <f t="shared" si="14"/>
        <v>9</v>
      </c>
      <c r="AK65" s="205">
        <f t="shared" si="15"/>
        <v>90</v>
      </c>
      <c r="AL65" s="138">
        <v>1.0</v>
      </c>
      <c r="AM65" s="184">
        <v>1.0</v>
      </c>
      <c r="AN65" s="179"/>
      <c r="AO65" s="116"/>
      <c r="AP65" s="116"/>
      <c r="AQ65" s="138">
        <v>1.0</v>
      </c>
      <c r="AR65" s="116"/>
      <c r="AS65" s="191">
        <v>1.0</v>
      </c>
      <c r="AT65" s="116"/>
      <c r="AU65" s="116"/>
      <c r="AV65" s="116"/>
      <c r="AW65" s="179"/>
      <c r="AX65" s="116"/>
      <c r="AY65" s="138">
        <v>1.0</v>
      </c>
      <c r="AZ65" s="180"/>
      <c r="BA65" s="180"/>
      <c r="BB65" s="204"/>
      <c r="BC65" s="204"/>
      <c r="BD65" s="181"/>
      <c r="BE65" s="181"/>
      <c r="BF65" s="181"/>
      <c r="BG65" s="139">
        <f t="shared" si="16"/>
        <v>4</v>
      </c>
      <c r="BH65" s="208">
        <f t="shared" si="17"/>
        <v>36.36363636</v>
      </c>
      <c r="BI65" s="116"/>
      <c r="BJ65" s="116"/>
      <c r="BK65" s="180"/>
      <c r="BL65" s="116"/>
      <c r="BM65" s="116"/>
      <c r="BN65" s="138">
        <v>1.0</v>
      </c>
      <c r="BO65" s="138">
        <v>1.0</v>
      </c>
      <c r="BP65" s="116"/>
      <c r="BQ65" s="211"/>
      <c r="BR65" s="138">
        <v>1.0</v>
      </c>
      <c r="BS65" s="116"/>
      <c r="BT65" s="116"/>
      <c r="BU65" s="43"/>
      <c r="BV65" s="43"/>
      <c r="BW65" s="268">
        <v>1.0</v>
      </c>
      <c r="BX65" s="196">
        <v>1.0</v>
      </c>
      <c r="BY65" s="138">
        <v>1.0</v>
      </c>
      <c r="BZ65" s="196">
        <v>1.0</v>
      </c>
      <c r="CA65" s="116"/>
      <c r="CB65" s="116"/>
      <c r="CC65" s="165"/>
      <c r="CD65" s="196">
        <v>1.0</v>
      </c>
      <c r="CE65" s="124">
        <f t="shared" si="18"/>
        <v>8</v>
      </c>
      <c r="CF65" s="173">
        <f t="shared" si="19"/>
        <v>57.14285714</v>
      </c>
      <c r="CG65" s="184">
        <v>1.0</v>
      </c>
      <c r="CH65" s="138">
        <v>1.0</v>
      </c>
      <c r="CI65" s="116"/>
      <c r="CJ65" s="186"/>
      <c r="CK65" s="116"/>
      <c r="CL65" s="186"/>
      <c r="CM65" s="223"/>
      <c r="CN65" s="116"/>
      <c r="CO65" s="116"/>
      <c r="CP65" s="116"/>
      <c r="CQ65" s="165"/>
      <c r="CR65" s="165"/>
      <c r="CS65" s="116"/>
      <c r="CT65" s="116"/>
      <c r="CU65" s="116"/>
      <c r="CV65" s="165"/>
      <c r="CW65" s="128">
        <f t="shared" si="20"/>
        <v>2</v>
      </c>
      <c r="CX65" s="214">
        <f t="shared" si="21"/>
        <v>66.66666667</v>
      </c>
      <c r="CY65" s="171"/>
      <c r="CZ65" s="171"/>
      <c r="DA65" s="171"/>
      <c r="DB65" s="171"/>
      <c r="DC65" s="171"/>
      <c r="DD65" s="171"/>
      <c r="DE65" s="171"/>
      <c r="DF65" s="171"/>
      <c r="DG65" s="171"/>
      <c r="DH65" s="171"/>
      <c r="DI65" s="171"/>
      <c r="DJ65" s="171"/>
      <c r="DK65" s="128">
        <f t="shared" si="22"/>
        <v>0</v>
      </c>
      <c r="DL65" s="158" t="str">
        <f t="shared" si="23"/>
        <v>#DIV/0!</v>
      </c>
    </row>
    <row r="66" ht="15.75" customHeight="1">
      <c r="A66" s="146">
        <v>57.0</v>
      </c>
      <c r="B66" s="111" t="s">
        <v>165</v>
      </c>
      <c r="C66" s="112" t="s">
        <v>166</v>
      </c>
      <c r="D66" s="98">
        <f t="shared" si="8"/>
        <v>25</v>
      </c>
      <c r="E66" s="130">
        <f t="shared" si="9"/>
        <v>65.78947368</v>
      </c>
      <c r="F66" s="114" t="str">
        <f t="shared" si="10"/>
        <v>  </v>
      </c>
      <c r="G66" s="226" t="str">
        <f t="shared" si="11"/>
        <v>  </v>
      </c>
      <c r="H66" s="254"/>
      <c r="I66" s="254"/>
      <c r="J66" s="254"/>
      <c r="K66" s="254"/>
      <c r="L66" s="257"/>
      <c r="M66" s="139">
        <f t="shared" si="12"/>
        <v>0</v>
      </c>
      <c r="N66" s="140" t="str">
        <f t="shared" si="13"/>
        <v>#DIV/0!</v>
      </c>
      <c r="O66" s="116"/>
      <c r="P66" s="116"/>
      <c r="Q66" s="116"/>
      <c r="R66" s="179"/>
      <c r="S66" s="116"/>
      <c r="T66" s="116"/>
      <c r="U66" s="116"/>
      <c r="V66" s="179"/>
      <c r="W66" s="138">
        <v>1.0</v>
      </c>
      <c r="X66" s="138">
        <v>1.0</v>
      </c>
      <c r="Y66" s="184">
        <v>1.0</v>
      </c>
      <c r="Z66" s="185"/>
      <c r="AA66" s="187">
        <v>1.0</v>
      </c>
      <c r="AB66" s="138">
        <v>1.0</v>
      </c>
      <c r="AC66" s="184">
        <v>1.0</v>
      </c>
      <c r="AD66" s="116"/>
      <c r="AE66" s="116"/>
      <c r="AF66" s="182">
        <v>1.0</v>
      </c>
      <c r="AG66" s="182">
        <v>1.0</v>
      </c>
      <c r="AH66" s="138">
        <v>1.0</v>
      </c>
      <c r="AI66" s="116"/>
      <c r="AJ66" s="139">
        <f t="shared" si="14"/>
        <v>9</v>
      </c>
      <c r="AK66" s="205">
        <f t="shared" si="15"/>
        <v>90</v>
      </c>
      <c r="AL66" s="116"/>
      <c r="AM66" s="116"/>
      <c r="AN66" s="179"/>
      <c r="AO66" s="116"/>
      <c r="AP66" s="116"/>
      <c r="AQ66" s="138">
        <v>1.0</v>
      </c>
      <c r="AR66" s="116"/>
      <c r="AS66" s="191">
        <v>1.0</v>
      </c>
      <c r="AT66" s="116"/>
      <c r="AU66" s="116"/>
      <c r="AV66" s="138">
        <v>1.0</v>
      </c>
      <c r="AW66" s="179"/>
      <c r="AX66" s="116"/>
      <c r="AY66" s="138">
        <v>1.0</v>
      </c>
      <c r="AZ66" s="116"/>
      <c r="BA66" s="180"/>
      <c r="BB66" s="138">
        <v>1.0</v>
      </c>
      <c r="BC66" s="116"/>
      <c r="BD66" s="188">
        <v>1.0</v>
      </c>
      <c r="BE66" s="194"/>
      <c r="BF66" s="194"/>
      <c r="BG66" s="139">
        <f t="shared" si="16"/>
        <v>6</v>
      </c>
      <c r="BH66" s="208">
        <f t="shared" si="17"/>
        <v>54.54545455</v>
      </c>
      <c r="BI66" s="116"/>
      <c r="BJ66" s="116"/>
      <c r="BK66" s="180"/>
      <c r="BL66" s="116"/>
      <c r="BM66" s="116"/>
      <c r="BN66" s="116"/>
      <c r="BO66" s="116"/>
      <c r="BP66" s="116"/>
      <c r="BQ66" s="116"/>
      <c r="BR66" s="116"/>
      <c r="BS66" s="116"/>
      <c r="BT66" s="185"/>
      <c r="BU66" s="145">
        <v>1.0</v>
      </c>
      <c r="BV66" s="43"/>
      <c r="BW66" s="268">
        <v>1.0</v>
      </c>
      <c r="BX66" s="196">
        <v>1.0</v>
      </c>
      <c r="BY66" s="138">
        <v>1.0</v>
      </c>
      <c r="BZ66" s="196">
        <v>1.0</v>
      </c>
      <c r="CA66" s="138">
        <v>1.0</v>
      </c>
      <c r="CB66" s="138">
        <v>1.0</v>
      </c>
      <c r="CC66" s="196">
        <v>1.0</v>
      </c>
      <c r="CD66" s="196">
        <v>1.0</v>
      </c>
      <c r="CE66" s="124">
        <f t="shared" si="18"/>
        <v>9</v>
      </c>
      <c r="CF66" s="173">
        <f t="shared" si="19"/>
        <v>64.28571429</v>
      </c>
      <c r="CG66" s="138">
        <v>1.0</v>
      </c>
      <c r="CH66" s="238"/>
      <c r="CI66" s="116"/>
      <c r="CJ66" s="116"/>
      <c r="CK66" s="116"/>
      <c r="CL66" s="186"/>
      <c r="CM66" s="116"/>
      <c r="CN66" s="116"/>
      <c r="CO66" s="223"/>
      <c r="CP66" s="166"/>
      <c r="CQ66" s="213"/>
      <c r="CR66" s="213"/>
      <c r="CS66" s="116"/>
      <c r="CT66" s="116"/>
      <c r="CU66" s="116"/>
      <c r="CV66" s="213"/>
      <c r="CW66" s="128">
        <f t="shared" si="20"/>
        <v>1</v>
      </c>
      <c r="CX66" s="214">
        <f t="shared" si="21"/>
        <v>33.33333333</v>
      </c>
      <c r="CY66" s="171"/>
      <c r="CZ66" s="171"/>
      <c r="DA66" s="171"/>
      <c r="DB66" s="171"/>
      <c r="DC66" s="171"/>
      <c r="DD66" s="171"/>
      <c r="DE66" s="171"/>
      <c r="DF66" s="171"/>
      <c r="DG66" s="171"/>
      <c r="DH66" s="171"/>
      <c r="DI66" s="171"/>
      <c r="DJ66" s="171"/>
      <c r="DK66" s="128">
        <f t="shared" si="22"/>
        <v>0</v>
      </c>
      <c r="DL66" s="158" t="str">
        <f t="shared" si="23"/>
        <v>#DIV/0!</v>
      </c>
    </row>
    <row r="67" ht="15.75" customHeight="1">
      <c r="A67" s="50">
        <v>58.0</v>
      </c>
      <c r="B67" s="111" t="s">
        <v>167</v>
      </c>
      <c r="C67" s="112" t="s">
        <v>168</v>
      </c>
      <c r="D67" s="98">
        <f t="shared" si="8"/>
        <v>28</v>
      </c>
      <c r="E67" s="130">
        <f t="shared" si="9"/>
        <v>73.68421053</v>
      </c>
      <c r="F67" s="92" t="str">
        <f t="shared" si="10"/>
        <v>  </v>
      </c>
      <c r="G67" s="149" t="str">
        <f t="shared" si="11"/>
        <v>  </v>
      </c>
      <c r="H67" s="254"/>
      <c r="I67" s="254"/>
      <c r="J67" s="254"/>
      <c r="K67" s="254"/>
      <c r="L67" s="257"/>
      <c r="M67" s="139">
        <f t="shared" si="12"/>
        <v>0</v>
      </c>
      <c r="N67" s="140" t="str">
        <f t="shared" si="13"/>
        <v>#DIV/0!</v>
      </c>
      <c r="O67" s="116"/>
      <c r="P67" s="116"/>
      <c r="Q67" s="180"/>
      <c r="R67" s="179"/>
      <c r="S67" s="116"/>
      <c r="T67" s="116"/>
      <c r="U67" s="116"/>
      <c r="V67" s="179"/>
      <c r="W67" s="116"/>
      <c r="X67" s="138">
        <v>1.0</v>
      </c>
      <c r="Y67" s="184">
        <v>1.0</v>
      </c>
      <c r="Z67" s="185"/>
      <c r="AA67" s="217"/>
      <c r="AB67" s="138">
        <v>1.0</v>
      </c>
      <c r="AC67" s="184">
        <v>1.0</v>
      </c>
      <c r="AD67" s="116"/>
      <c r="AE67" s="116"/>
      <c r="AF67" s="209">
        <v>1.0</v>
      </c>
      <c r="AG67" s="182">
        <v>1.0</v>
      </c>
      <c r="AH67" s="182">
        <v>1.0</v>
      </c>
      <c r="AI67" s="176"/>
      <c r="AJ67" s="139">
        <f t="shared" si="14"/>
        <v>7</v>
      </c>
      <c r="AK67" s="205">
        <f t="shared" si="15"/>
        <v>70</v>
      </c>
      <c r="AL67" s="116"/>
      <c r="AM67" s="138">
        <v>1.0</v>
      </c>
      <c r="AN67" s="184">
        <v>1.0</v>
      </c>
      <c r="AO67" s="116"/>
      <c r="AP67" s="116"/>
      <c r="AQ67" s="116"/>
      <c r="AR67" s="116"/>
      <c r="AS67" s="191">
        <v>1.0</v>
      </c>
      <c r="AT67" s="138">
        <v>1.0</v>
      </c>
      <c r="AU67" s="116"/>
      <c r="AV67" s="116"/>
      <c r="AW67" s="179"/>
      <c r="AX67" s="116"/>
      <c r="AY67" s="138">
        <v>1.0</v>
      </c>
      <c r="AZ67" s="116"/>
      <c r="BA67" s="180"/>
      <c r="BB67" s="116"/>
      <c r="BC67" s="138">
        <v>1.0</v>
      </c>
      <c r="BD67" s="188">
        <v>1.0</v>
      </c>
      <c r="BE67" s="194"/>
      <c r="BF67" s="194"/>
      <c r="BG67" s="139">
        <f t="shared" si="16"/>
        <v>7</v>
      </c>
      <c r="BH67" s="208">
        <f t="shared" si="17"/>
        <v>63.63636364</v>
      </c>
      <c r="BI67" s="116"/>
      <c r="BJ67" s="116"/>
      <c r="BK67" s="180"/>
      <c r="BL67" s="116"/>
      <c r="BM67" s="116"/>
      <c r="BN67" s="138">
        <v>1.0</v>
      </c>
      <c r="BO67" s="138">
        <v>1.0</v>
      </c>
      <c r="BP67" s="116"/>
      <c r="BQ67" s="116"/>
      <c r="BR67" s="166"/>
      <c r="BS67" s="138">
        <v>1.0</v>
      </c>
      <c r="BT67" s="116"/>
      <c r="BU67" s="145">
        <v>1.0</v>
      </c>
      <c r="BV67" s="43"/>
      <c r="BW67" s="268">
        <v>1.0</v>
      </c>
      <c r="BX67" s="196">
        <v>1.0</v>
      </c>
      <c r="BY67" s="138">
        <v>1.0</v>
      </c>
      <c r="BZ67" s="196">
        <v>1.0</v>
      </c>
      <c r="CA67" s="138">
        <v>1.0</v>
      </c>
      <c r="CB67" s="138">
        <v>1.0</v>
      </c>
      <c r="CC67" s="196">
        <v>1.0</v>
      </c>
      <c r="CD67" s="196">
        <v>1.0</v>
      </c>
      <c r="CE67" s="124">
        <f t="shared" si="18"/>
        <v>12</v>
      </c>
      <c r="CF67" s="173">
        <f t="shared" si="19"/>
        <v>85.71428571</v>
      </c>
      <c r="CG67" s="138">
        <v>1.0</v>
      </c>
      <c r="CH67" s="230">
        <v>1.0</v>
      </c>
      <c r="CI67" s="186"/>
      <c r="CJ67" s="186"/>
      <c r="CK67" s="116"/>
      <c r="CL67" s="186"/>
      <c r="CM67" s="223"/>
      <c r="CN67" s="223"/>
      <c r="CO67" s="116"/>
      <c r="CP67" s="166"/>
      <c r="CQ67" s="213"/>
      <c r="CR67" s="213"/>
      <c r="CS67" s="213"/>
      <c r="CT67" s="213"/>
      <c r="CU67" s="213"/>
      <c r="CV67" s="213"/>
      <c r="CW67" s="128">
        <f t="shared" si="20"/>
        <v>2</v>
      </c>
      <c r="CX67" s="214">
        <f t="shared" si="21"/>
        <v>66.66666667</v>
      </c>
      <c r="CY67" s="171"/>
      <c r="CZ67" s="171"/>
      <c r="DA67" s="171"/>
      <c r="DB67" s="171"/>
      <c r="DC67" s="171"/>
      <c r="DD67" s="171"/>
      <c r="DE67" s="171"/>
      <c r="DF67" s="171"/>
      <c r="DG67" s="171"/>
      <c r="DH67" s="171"/>
      <c r="DI67" s="171"/>
      <c r="DJ67" s="171"/>
      <c r="DK67" s="128">
        <f t="shared" si="22"/>
        <v>0</v>
      </c>
      <c r="DL67" s="158" t="str">
        <f t="shared" si="23"/>
        <v>#DIV/0!</v>
      </c>
    </row>
    <row r="68" ht="15.75" customHeight="1">
      <c r="A68" s="131">
        <v>59.0</v>
      </c>
      <c r="B68" s="111" t="s">
        <v>169</v>
      </c>
      <c r="C68" s="112" t="s">
        <v>170</v>
      </c>
      <c r="D68" s="98">
        <f t="shared" si="8"/>
        <v>24</v>
      </c>
      <c r="E68" s="130">
        <f t="shared" si="9"/>
        <v>63.15789474</v>
      </c>
      <c r="F68" s="114" t="str">
        <f t="shared" si="10"/>
        <v>  </v>
      </c>
      <c r="G68" s="149" t="str">
        <f t="shared" si="11"/>
        <v>  </v>
      </c>
      <c r="H68" s="256"/>
      <c r="I68" s="256"/>
      <c r="J68" s="256"/>
      <c r="K68" s="256"/>
      <c r="L68" s="259"/>
      <c r="M68" s="139">
        <f t="shared" si="12"/>
        <v>0</v>
      </c>
      <c r="N68" s="140" t="str">
        <f t="shared" si="13"/>
        <v>#DIV/0!</v>
      </c>
      <c r="O68" s="116"/>
      <c r="P68" s="116"/>
      <c r="Q68" s="116"/>
      <c r="R68" s="207"/>
      <c r="S68" s="116"/>
      <c r="T68" s="116"/>
      <c r="U68" s="116"/>
      <c r="V68" s="207"/>
      <c r="W68" s="116"/>
      <c r="X68" s="116"/>
      <c r="Y68" s="207"/>
      <c r="Z68" s="185"/>
      <c r="AA68" s="217"/>
      <c r="AB68" s="116"/>
      <c r="AC68" s="207"/>
      <c r="AD68" s="116"/>
      <c r="AE68" s="116"/>
      <c r="AF68" s="138">
        <v>1.0</v>
      </c>
      <c r="AG68" s="209">
        <v>1.0</v>
      </c>
      <c r="AH68" s="209">
        <v>1.0</v>
      </c>
      <c r="AI68" s="116"/>
      <c r="AJ68" s="139">
        <f t="shared" si="14"/>
        <v>3</v>
      </c>
      <c r="AK68" s="205">
        <f t="shared" si="15"/>
        <v>30</v>
      </c>
      <c r="AL68" s="138">
        <v>1.0</v>
      </c>
      <c r="AM68" s="138">
        <v>1.0</v>
      </c>
      <c r="AN68" s="207"/>
      <c r="AO68" s="116"/>
      <c r="AP68" s="116"/>
      <c r="AQ68" s="138">
        <v>1.0</v>
      </c>
      <c r="AR68" s="116"/>
      <c r="AS68" s="191">
        <v>1.0</v>
      </c>
      <c r="AT68" s="138">
        <v>1.0</v>
      </c>
      <c r="AU68" s="116"/>
      <c r="AV68" s="138">
        <v>1.0</v>
      </c>
      <c r="AW68" s="207"/>
      <c r="AX68" s="116"/>
      <c r="AY68" s="138">
        <v>1.0</v>
      </c>
      <c r="AZ68" s="116"/>
      <c r="BA68" s="180"/>
      <c r="BB68" s="138">
        <v>1.0</v>
      </c>
      <c r="BC68" s="138">
        <v>1.0</v>
      </c>
      <c r="BD68" s="194"/>
      <c r="BE68" s="194"/>
      <c r="BF68" s="194"/>
      <c r="BG68" s="139">
        <f t="shared" si="16"/>
        <v>8</v>
      </c>
      <c r="BH68" s="208">
        <f t="shared" si="17"/>
        <v>72.72727273</v>
      </c>
      <c r="BI68" s="116"/>
      <c r="BJ68" s="116"/>
      <c r="BK68" s="180"/>
      <c r="BL68" s="116"/>
      <c r="BM68" s="116"/>
      <c r="BN68" s="138">
        <v>1.0</v>
      </c>
      <c r="BO68" s="138">
        <v>1.0</v>
      </c>
      <c r="BP68" s="116"/>
      <c r="BQ68" s="211"/>
      <c r="BR68" s="138">
        <v>1.0</v>
      </c>
      <c r="BS68" s="138">
        <v>1.0</v>
      </c>
      <c r="BT68" s="116"/>
      <c r="BU68" s="43"/>
      <c r="BV68" s="43"/>
      <c r="BW68" s="268">
        <v>1.0</v>
      </c>
      <c r="BX68" s="196">
        <v>1.0</v>
      </c>
      <c r="BY68" s="138">
        <v>1.0</v>
      </c>
      <c r="BZ68" s="196">
        <v>1.0</v>
      </c>
      <c r="CA68" s="138">
        <v>1.0</v>
      </c>
      <c r="CB68" s="116"/>
      <c r="CC68" s="196">
        <v>1.0</v>
      </c>
      <c r="CD68" s="196">
        <v>1.0</v>
      </c>
      <c r="CE68" s="124">
        <f t="shared" si="18"/>
        <v>11</v>
      </c>
      <c r="CF68" s="173">
        <f t="shared" si="19"/>
        <v>78.57142857</v>
      </c>
      <c r="CG68" s="138">
        <v>1.0</v>
      </c>
      <c r="CH68" s="138">
        <v>1.0</v>
      </c>
      <c r="CI68" s="116"/>
      <c r="CJ68" s="116"/>
      <c r="CK68" s="116"/>
      <c r="CL68" s="186"/>
      <c r="CM68" s="223"/>
      <c r="CN68" s="116"/>
      <c r="CO68" s="223"/>
      <c r="CP68" s="166"/>
      <c r="CQ68" s="213"/>
      <c r="CR68" s="213"/>
      <c r="CS68" s="116"/>
      <c r="CT68" s="116"/>
      <c r="CU68" s="116"/>
      <c r="CV68" s="213"/>
      <c r="CW68" s="128">
        <f t="shared" si="20"/>
        <v>2</v>
      </c>
      <c r="CX68" s="214">
        <f t="shared" si="21"/>
        <v>66.66666667</v>
      </c>
      <c r="CY68" s="171"/>
      <c r="CZ68" s="171"/>
      <c r="DA68" s="171"/>
      <c r="DB68" s="171"/>
      <c r="DC68" s="171"/>
      <c r="DD68" s="171"/>
      <c r="DE68" s="171"/>
      <c r="DF68" s="171"/>
      <c r="DG68" s="171"/>
      <c r="DH68" s="171"/>
      <c r="DI68" s="171"/>
      <c r="DJ68" s="171"/>
      <c r="DK68" s="128">
        <f t="shared" si="22"/>
        <v>0</v>
      </c>
      <c r="DL68" s="158" t="str">
        <f t="shared" si="23"/>
        <v>#DIV/0!</v>
      </c>
    </row>
    <row r="69" ht="15.75" customHeight="1">
      <c r="A69" s="146">
        <v>60.0</v>
      </c>
      <c r="B69" s="111" t="s">
        <v>171</v>
      </c>
      <c r="C69" s="112" t="s">
        <v>172</v>
      </c>
      <c r="D69" s="98">
        <f t="shared" si="8"/>
        <v>23</v>
      </c>
      <c r="E69" s="130">
        <f t="shared" si="9"/>
        <v>60.52631579</v>
      </c>
      <c r="F69" s="114" t="str">
        <f t="shared" si="10"/>
        <v>  </v>
      </c>
      <c r="G69" s="226" t="str">
        <f t="shared" si="11"/>
        <v>  </v>
      </c>
      <c r="H69" s="254"/>
      <c r="I69" s="254"/>
      <c r="J69" s="254"/>
      <c r="K69" s="254"/>
      <c r="L69" s="257"/>
      <c r="M69" s="139">
        <f t="shared" si="12"/>
        <v>0</v>
      </c>
      <c r="N69" s="140" t="str">
        <f t="shared" si="13"/>
        <v>#DIV/0!</v>
      </c>
      <c r="O69" s="116"/>
      <c r="P69" s="116"/>
      <c r="Q69" s="116"/>
      <c r="R69" s="179"/>
      <c r="S69" s="179"/>
      <c r="T69" s="116"/>
      <c r="U69" s="116"/>
      <c r="V69" s="179"/>
      <c r="W69" s="138">
        <v>1.0</v>
      </c>
      <c r="X69" s="138">
        <v>1.0</v>
      </c>
      <c r="Y69" s="179"/>
      <c r="Z69" s="185"/>
      <c r="AA69" s="187">
        <v>1.0</v>
      </c>
      <c r="AB69" s="138">
        <v>1.0</v>
      </c>
      <c r="AC69" s="179"/>
      <c r="AD69" s="176"/>
      <c r="AE69" s="176"/>
      <c r="AF69" s="138">
        <v>1.0</v>
      </c>
      <c r="AG69" s="182">
        <v>1.0</v>
      </c>
      <c r="AH69" s="138">
        <v>1.0</v>
      </c>
      <c r="AI69" s="176"/>
      <c r="AJ69" s="139">
        <f t="shared" si="14"/>
        <v>7</v>
      </c>
      <c r="AK69" s="205">
        <f t="shared" si="15"/>
        <v>70</v>
      </c>
      <c r="AL69" s="222"/>
      <c r="AM69" s="179"/>
      <c r="AN69" s="179"/>
      <c r="AO69" s="179"/>
      <c r="AP69" s="116"/>
      <c r="AQ69" s="116"/>
      <c r="AR69" s="116"/>
      <c r="AS69" s="166"/>
      <c r="AT69" s="116"/>
      <c r="AU69" s="116"/>
      <c r="AV69" s="116"/>
      <c r="AW69" s="179"/>
      <c r="AX69" s="116"/>
      <c r="AY69" s="138">
        <v>1.0</v>
      </c>
      <c r="AZ69" s="180"/>
      <c r="BA69" s="180"/>
      <c r="BB69" s="204"/>
      <c r="BC69" s="204"/>
      <c r="BD69" s="181"/>
      <c r="BE69" s="181"/>
      <c r="BF69" s="181"/>
      <c r="BG69" s="139">
        <f t="shared" si="16"/>
        <v>1</v>
      </c>
      <c r="BH69" s="208">
        <f t="shared" si="17"/>
        <v>9.090909091</v>
      </c>
      <c r="BI69" s="116"/>
      <c r="BJ69" s="116"/>
      <c r="BK69" s="180"/>
      <c r="BL69" s="116"/>
      <c r="BM69" s="116"/>
      <c r="BN69" s="138">
        <v>1.0</v>
      </c>
      <c r="BO69" s="138">
        <v>1.0</v>
      </c>
      <c r="BP69" s="116"/>
      <c r="BQ69" s="211"/>
      <c r="BR69" s="138">
        <v>1.0</v>
      </c>
      <c r="BS69" s="196">
        <v>1.0</v>
      </c>
      <c r="BT69" s="185"/>
      <c r="BU69" s="145">
        <v>1.0</v>
      </c>
      <c r="BV69" s="43"/>
      <c r="BW69" s="268">
        <v>1.0</v>
      </c>
      <c r="BX69" s="196">
        <v>1.0</v>
      </c>
      <c r="BY69" s="138">
        <v>1.0</v>
      </c>
      <c r="BZ69" s="196">
        <v>1.0</v>
      </c>
      <c r="CA69" s="196">
        <v>1.0</v>
      </c>
      <c r="CB69" s="196">
        <v>1.0</v>
      </c>
      <c r="CC69" s="196">
        <v>1.0</v>
      </c>
      <c r="CD69" s="196">
        <v>1.0</v>
      </c>
      <c r="CE69" s="124">
        <f t="shared" si="18"/>
        <v>13</v>
      </c>
      <c r="CF69" s="173">
        <f t="shared" si="19"/>
        <v>92.85714286</v>
      </c>
      <c r="CG69" s="184">
        <v>1.0</v>
      </c>
      <c r="CH69" s="230">
        <v>1.0</v>
      </c>
      <c r="CI69" s="186"/>
      <c r="CJ69" s="186"/>
      <c r="CK69" s="231"/>
      <c r="CL69" s="186"/>
      <c r="CM69" s="223"/>
      <c r="CN69" s="116"/>
      <c r="CO69" s="223"/>
      <c r="CP69" s="166"/>
      <c r="CQ69" s="213"/>
      <c r="CR69" s="213"/>
      <c r="CS69" s="213"/>
      <c r="CT69" s="213"/>
      <c r="CU69" s="116"/>
      <c r="CV69" s="213"/>
      <c r="CW69" s="128">
        <f t="shared" si="20"/>
        <v>2</v>
      </c>
      <c r="CX69" s="214">
        <f t="shared" si="21"/>
        <v>66.66666667</v>
      </c>
      <c r="CY69" s="171"/>
      <c r="CZ69" s="171"/>
      <c r="DA69" s="171"/>
      <c r="DB69" s="171"/>
      <c r="DC69" s="171"/>
      <c r="DD69" s="171"/>
      <c r="DE69" s="171"/>
      <c r="DF69" s="171"/>
      <c r="DG69" s="171"/>
      <c r="DH69" s="171"/>
      <c r="DI69" s="171"/>
      <c r="DJ69" s="171"/>
      <c r="DK69" s="128">
        <f t="shared" si="22"/>
        <v>0</v>
      </c>
      <c r="DL69" s="158" t="str">
        <f t="shared" si="23"/>
        <v>#DIV/0!</v>
      </c>
    </row>
    <row r="70" ht="15.75" customHeight="1">
      <c r="A70" s="50">
        <v>61.0</v>
      </c>
      <c r="B70" s="111" t="s">
        <v>173</v>
      </c>
      <c r="C70" s="112" t="s">
        <v>174</v>
      </c>
      <c r="D70" s="98">
        <f t="shared" si="8"/>
        <v>15</v>
      </c>
      <c r="E70" s="130">
        <f t="shared" si="9"/>
        <v>39.47368421</v>
      </c>
      <c r="F70" s="114">
        <f t="shared" si="10"/>
        <v>39.47368421</v>
      </c>
      <c r="G70" s="149" t="str">
        <f t="shared" si="11"/>
        <v>  </v>
      </c>
      <c r="H70" s="254"/>
      <c r="I70" s="254"/>
      <c r="J70" s="254"/>
      <c r="K70" s="254"/>
      <c r="L70" s="257"/>
      <c r="M70" s="139">
        <f t="shared" si="12"/>
        <v>0</v>
      </c>
      <c r="N70" s="140" t="str">
        <f t="shared" si="13"/>
        <v>#DIV/0!</v>
      </c>
      <c r="O70" s="116"/>
      <c r="P70" s="116"/>
      <c r="Q70" s="180"/>
      <c r="R70" s="179"/>
      <c r="S70" s="179"/>
      <c r="T70" s="116"/>
      <c r="U70" s="116"/>
      <c r="V70" s="179"/>
      <c r="W70" s="116"/>
      <c r="X70" s="116"/>
      <c r="Y70" s="179"/>
      <c r="Z70" s="185"/>
      <c r="AA70" s="217"/>
      <c r="AB70" s="116"/>
      <c r="AC70" s="179"/>
      <c r="AD70" s="116"/>
      <c r="AE70" s="116"/>
      <c r="AF70" s="176"/>
      <c r="AG70" s="182">
        <v>1.0</v>
      </c>
      <c r="AH70" s="138">
        <v>1.0</v>
      </c>
      <c r="AI70" s="176"/>
      <c r="AJ70" s="139">
        <f t="shared" si="14"/>
        <v>2</v>
      </c>
      <c r="AK70" s="205">
        <f t="shared" si="15"/>
        <v>20</v>
      </c>
      <c r="AL70" s="222"/>
      <c r="AM70" s="116"/>
      <c r="AN70" s="184">
        <v>1.0</v>
      </c>
      <c r="AO70" s="116"/>
      <c r="AP70" s="179"/>
      <c r="AQ70" s="116"/>
      <c r="AR70" s="116"/>
      <c r="AS70" s="191">
        <v>1.0</v>
      </c>
      <c r="AT70" s="138">
        <v>1.0</v>
      </c>
      <c r="AU70" s="116"/>
      <c r="AV70" s="138">
        <v>1.0</v>
      </c>
      <c r="AW70" s="179"/>
      <c r="AX70" s="116"/>
      <c r="AY70" s="138">
        <v>1.0</v>
      </c>
      <c r="AZ70" s="180"/>
      <c r="BA70" s="180"/>
      <c r="BB70" s="218">
        <v>1.0</v>
      </c>
      <c r="BC70" s="204"/>
      <c r="BD70" s="181"/>
      <c r="BE70" s="181"/>
      <c r="BF70" s="181"/>
      <c r="BG70" s="139">
        <f t="shared" si="16"/>
        <v>6</v>
      </c>
      <c r="BH70" s="208">
        <f t="shared" si="17"/>
        <v>54.54545455</v>
      </c>
      <c r="BI70" s="116"/>
      <c r="BJ70" s="116"/>
      <c r="BK70" s="180"/>
      <c r="BL70" s="116"/>
      <c r="BM70" s="116"/>
      <c r="BN70" s="116"/>
      <c r="BO70" s="116"/>
      <c r="BP70" s="116"/>
      <c r="BQ70" s="116"/>
      <c r="BR70" s="166"/>
      <c r="BS70" s="165"/>
      <c r="BT70" s="116"/>
      <c r="BU70" s="145">
        <v>1.0</v>
      </c>
      <c r="BV70" s="43"/>
      <c r="BW70" s="268">
        <v>1.0</v>
      </c>
      <c r="BX70" s="196">
        <v>1.0</v>
      </c>
      <c r="BY70" s="116"/>
      <c r="BZ70" s="196">
        <v>1.0</v>
      </c>
      <c r="CA70" s="165"/>
      <c r="CB70" s="165"/>
      <c r="CC70" s="165"/>
      <c r="CD70" s="196">
        <v>1.0</v>
      </c>
      <c r="CE70" s="124">
        <f t="shared" si="18"/>
        <v>5</v>
      </c>
      <c r="CF70" s="173">
        <f t="shared" si="19"/>
        <v>35.71428571</v>
      </c>
      <c r="CG70" s="184">
        <v>1.0</v>
      </c>
      <c r="CH70" s="230">
        <v>1.0</v>
      </c>
      <c r="CI70" s="186"/>
      <c r="CJ70" s="116"/>
      <c r="CK70" s="231"/>
      <c r="CL70" s="186"/>
      <c r="CM70" s="223"/>
      <c r="CN70" s="223"/>
      <c r="CO70" s="116"/>
      <c r="CP70" s="166"/>
      <c r="CQ70" s="213"/>
      <c r="CR70" s="213"/>
      <c r="CS70" s="213"/>
      <c r="CT70" s="213"/>
      <c r="CU70" s="213"/>
      <c r="CV70" s="213"/>
      <c r="CW70" s="128">
        <f t="shared" si="20"/>
        <v>2</v>
      </c>
      <c r="CX70" s="214">
        <f t="shared" si="21"/>
        <v>66.66666667</v>
      </c>
      <c r="CY70" s="171"/>
      <c r="CZ70" s="171"/>
      <c r="DA70" s="171"/>
      <c r="DB70" s="171"/>
      <c r="DC70" s="171"/>
      <c r="DD70" s="171"/>
      <c r="DE70" s="171"/>
      <c r="DF70" s="171"/>
      <c r="DG70" s="171"/>
      <c r="DH70" s="171"/>
      <c r="DI70" s="171"/>
      <c r="DJ70" s="171"/>
      <c r="DK70" s="128">
        <f t="shared" si="22"/>
        <v>0</v>
      </c>
      <c r="DL70" s="158" t="str">
        <f t="shared" si="23"/>
        <v>#DIV/0!</v>
      </c>
    </row>
    <row r="71" ht="15.75" customHeight="1">
      <c r="A71" s="131">
        <v>62.0</v>
      </c>
      <c r="B71" s="111" t="s">
        <v>175</v>
      </c>
      <c r="C71" s="112" t="s">
        <v>176</v>
      </c>
      <c r="D71" s="98">
        <f t="shared" si="8"/>
        <v>1</v>
      </c>
      <c r="E71" s="130">
        <f t="shared" si="9"/>
        <v>2.631578947</v>
      </c>
      <c r="F71" s="114">
        <f t="shared" si="10"/>
        <v>2.631578947</v>
      </c>
      <c r="G71" s="226">
        <f t="shared" si="11"/>
        <v>2.631578947</v>
      </c>
      <c r="H71" s="254"/>
      <c r="I71" s="254"/>
      <c r="J71" s="254"/>
      <c r="K71" s="254"/>
      <c r="L71" s="257"/>
      <c r="M71" s="139">
        <f t="shared" si="12"/>
        <v>0</v>
      </c>
      <c r="N71" s="140" t="str">
        <f t="shared" si="13"/>
        <v>#DIV/0!</v>
      </c>
      <c r="O71" s="116"/>
      <c r="P71" s="116"/>
      <c r="Q71" s="180"/>
      <c r="R71" s="179"/>
      <c r="S71" s="179"/>
      <c r="T71" s="116"/>
      <c r="U71" s="116"/>
      <c r="V71" s="179"/>
      <c r="W71" s="116"/>
      <c r="X71" s="116"/>
      <c r="Y71" s="179"/>
      <c r="Z71" s="185"/>
      <c r="AA71" s="217"/>
      <c r="AB71" s="116"/>
      <c r="AC71" s="179"/>
      <c r="AD71" s="176"/>
      <c r="AE71" s="116"/>
      <c r="AF71" s="116"/>
      <c r="AG71" s="176"/>
      <c r="AH71" s="176"/>
      <c r="AI71" s="176"/>
      <c r="AJ71" s="139">
        <f t="shared" si="14"/>
        <v>0</v>
      </c>
      <c r="AK71" s="205">
        <f t="shared" si="15"/>
        <v>0</v>
      </c>
      <c r="AL71" s="222"/>
      <c r="AM71" s="179"/>
      <c r="AN71" s="179"/>
      <c r="AO71" s="179"/>
      <c r="AP71" s="179"/>
      <c r="AQ71" s="116"/>
      <c r="AR71" s="116"/>
      <c r="AS71" s="166"/>
      <c r="AT71" s="116"/>
      <c r="AU71" s="116"/>
      <c r="AV71" s="138">
        <v>1.0</v>
      </c>
      <c r="AW71" s="179"/>
      <c r="AX71" s="116"/>
      <c r="AY71" s="116"/>
      <c r="AZ71" s="180"/>
      <c r="BA71" s="180"/>
      <c r="BB71" s="204"/>
      <c r="BC71" s="204"/>
      <c r="BD71" s="181"/>
      <c r="BE71" s="181"/>
      <c r="BF71" s="181"/>
      <c r="BG71" s="139">
        <f t="shared" si="16"/>
        <v>1</v>
      </c>
      <c r="BH71" s="208">
        <f t="shared" si="17"/>
        <v>9.090909091</v>
      </c>
      <c r="BI71" s="116"/>
      <c r="BJ71" s="116"/>
      <c r="BK71" s="180"/>
      <c r="BL71" s="116"/>
      <c r="BM71" s="116"/>
      <c r="BN71" s="116"/>
      <c r="BO71" s="116"/>
      <c r="BP71" s="116"/>
      <c r="BQ71" s="211"/>
      <c r="BR71" s="166"/>
      <c r="BS71" s="165"/>
      <c r="BT71" s="116"/>
      <c r="BU71" s="43"/>
      <c r="BV71" s="43"/>
      <c r="BW71" s="266"/>
      <c r="BX71" s="165"/>
      <c r="BY71" s="116"/>
      <c r="BZ71" s="165"/>
      <c r="CA71" s="165"/>
      <c r="CB71" s="165"/>
      <c r="CC71" s="165"/>
      <c r="CD71" s="165"/>
      <c r="CE71" s="124">
        <f t="shared" si="18"/>
        <v>0</v>
      </c>
      <c r="CF71" s="173">
        <f t="shared" si="19"/>
        <v>0</v>
      </c>
      <c r="CG71" s="179"/>
      <c r="CH71" s="238"/>
      <c r="CI71" s="186"/>
      <c r="CJ71" s="186"/>
      <c r="CK71" s="116"/>
      <c r="CL71" s="186"/>
      <c r="CM71" s="223"/>
      <c r="CN71" s="223"/>
      <c r="CO71" s="223"/>
      <c r="CP71" s="116"/>
      <c r="CQ71" s="165"/>
      <c r="CR71" s="165"/>
      <c r="CS71" s="116"/>
      <c r="CT71" s="116"/>
      <c r="CU71" s="116"/>
      <c r="CV71" s="165"/>
      <c r="CW71" s="128">
        <f t="shared" si="20"/>
        <v>0</v>
      </c>
      <c r="CX71" s="214">
        <f t="shared" si="21"/>
        <v>0</v>
      </c>
      <c r="CY71" s="171"/>
      <c r="CZ71" s="171"/>
      <c r="DA71" s="171"/>
      <c r="DB71" s="171"/>
      <c r="DC71" s="171"/>
      <c r="DD71" s="171"/>
      <c r="DE71" s="171"/>
      <c r="DF71" s="171"/>
      <c r="DG71" s="171"/>
      <c r="DH71" s="171"/>
      <c r="DI71" s="171"/>
      <c r="DJ71" s="171"/>
      <c r="DK71" s="128">
        <f t="shared" si="22"/>
        <v>0</v>
      </c>
      <c r="DL71" s="158" t="str">
        <f t="shared" si="23"/>
        <v>#DIV/0!</v>
      </c>
    </row>
    <row r="72" ht="15.75" customHeight="1">
      <c r="A72" s="146">
        <v>63.0</v>
      </c>
      <c r="B72" s="111" t="s">
        <v>177</v>
      </c>
      <c r="C72" s="112" t="s">
        <v>178</v>
      </c>
      <c r="D72" s="98">
        <f t="shared" si="8"/>
        <v>14</v>
      </c>
      <c r="E72" s="130">
        <f t="shared" si="9"/>
        <v>36.84210526</v>
      </c>
      <c r="F72" s="114">
        <f t="shared" si="10"/>
        <v>36.84210526</v>
      </c>
      <c r="G72" s="149" t="str">
        <f t="shared" si="11"/>
        <v>  </v>
      </c>
      <c r="H72" s="254"/>
      <c r="I72" s="254"/>
      <c r="J72" s="254"/>
      <c r="K72" s="254"/>
      <c r="L72" s="257"/>
      <c r="M72" s="139">
        <f t="shared" si="12"/>
        <v>0</v>
      </c>
      <c r="N72" s="140" t="str">
        <f t="shared" si="13"/>
        <v>#DIV/0!</v>
      </c>
      <c r="O72" s="116"/>
      <c r="P72" s="116"/>
      <c r="Q72" s="180"/>
      <c r="R72" s="179"/>
      <c r="S72" s="179"/>
      <c r="T72" s="116"/>
      <c r="U72" s="116"/>
      <c r="V72" s="179"/>
      <c r="W72" s="138">
        <v>1.0</v>
      </c>
      <c r="X72" s="116"/>
      <c r="Y72" s="179"/>
      <c r="Z72" s="185"/>
      <c r="AA72" s="217"/>
      <c r="AB72" s="116"/>
      <c r="AC72" s="179"/>
      <c r="AD72" s="116"/>
      <c r="AE72" s="116"/>
      <c r="AF72" s="176"/>
      <c r="AG72" s="176"/>
      <c r="AH72" s="116"/>
      <c r="AI72" s="116"/>
      <c r="AJ72" s="139">
        <f t="shared" si="14"/>
        <v>1</v>
      </c>
      <c r="AK72" s="205">
        <f t="shared" si="15"/>
        <v>10</v>
      </c>
      <c r="AL72" s="116"/>
      <c r="AM72" s="116"/>
      <c r="AN72" s="184">
        <v>1.0</v>
      </c>
      <c r="AO72" s="179"/>
      <c r="AP72" s="179"/>
      <c r="AQ72" s="116"/>
      <c r="AR72" s="116"/>
      <c r="AS72" s="191">
        <v>1.0</v>
      </c>
      <c r="AT72" s="138">
        <v>1.0</v>
      </c>
      <c r="AU72" s="116"/>
      <c r="AV72" s="116"/>
      <c r="AW72" s="179"/>
      <c r="AX72" s="116"/>
      <c r="AY72" s="138">
        <v>1.0</v>
      </c>
      <c r="AZ72" s="180"/>
      <c r="BA72" s="180"/>
      <c r="BB72" s="138">
        <v>1.0</v>
      </c>
      <c r="BC72" s="116"/>
      <c r="BD72" s="194"/>
      <c r="BE72" s="194"/>
      <c r="BF72" s="194"/>
      <c r="BG72" s="139">
        <f t="shared" si="16"/>
        <v>5</v>
      </c>
      <c r="BH72" s="208">
        <f t="shared" si="17"/>
        <v>45.45454545</v>
      </c>
      <c r="BI72" s="116"/>
      <c r="BJ72" s="116"/>
      <c r="BK72" s="180"/>
      <c r="BL72" s="116"/>
      <c r="BM72" s="116"/>
      <c r="BN72" s="116"/>
      <c r="BO72" s="116"/>
      <c r="BP72" s="116"/>
      <c r="BQ72" s="116"/>
      <c r="BR72" s="166"/>
      <c r="BS72" s="116"/>
      <c r="BT72" s="116"/>
      <c r="BV72" s="116"/>
      <c r="BW72" s="268">
        <v>1.0</v>
      </c>
      <c r="BX72" s="196">
        <v>1.0</v>
      </c>
      <c r="BY72" s="116"/>
      <c r="BZ72" s="196">
        <v>1.0</v>
      </c>
      <c r="CA72" s="138">
        <v>1.0</v>
      </c>
      <c r="CB72" s="165"/>
      <c r="CC72" s="196">
        <v>1.0</v>
      </c>
      <c r="CD72" s="196">
        <v>1.0</v>
      </c>
      <c r="CE72" s="124">
        <f t="shared" si="18"/>
        <v>6</v>
      </c>
      <c r="CF72" s="173">
        <f t="shared" si="19"/>
        <v>42.85714286</v>
      </c>
      <c r="CG72" s="138">
        <v>1.0</v>
      </c>
      <c r="CH72" s="138">
        <v>1.0</v>
      </c>
      <c r="CI72" s="186"/>
      <c r="CJ72" s="116"/>
      <c r="CK72" s="116"/>
      <c r="CL72" s="186"/>
      <c r="CM72" s="223"/>
      <c r="CN72" s="223"/>
      <c r="CO72" s="116"/>
      <c r="CP72" s="166"/>
      <c r="CQ72" s="213"/>
      <c r="CR72" s="213"/>
      <c r="CS72" s="213"/>
      <c r="CT72" s="213"/>
      <c r="CU72" s="116"/>
      <c r="CV72" s="213"/>
      <c r="CW72" s="128">
        <f t="shared" si="20"/>
        <v>2</v>
      </c>
      <c r="CX72" s="214">
        <f t="shared" si="21"/>
        <v>66.66666667</v>
      </c>
      <c r="CY72" s="171"/>
      <c r="CZ72" s="171"/>
      <c r="DA72" s="171"/>
      <c r="DB72" s="171"/>
      <c r="DC72" s="171"/>
      <c r="DD72" s="171"/>
      <c r="DE72" s="171"/>
      <c r="DF72" s="171"/>
      <c r="DG72" s="171"/>
      <c r="DH72" s="171"/>
      <c r="DI72" s="171"/>
      <c r="DJ72" s="171"/>
      <c r="DK72" s="128">
        <f t="shared" si="22"/>
        <v>0</v>
      </c>
      <c r="DL72" s="158" t="str">
        <f t="shared" si="23"/>
        <v>#DIV/0!</v>
      </c>
    </row>
    <row r="73" ht="15.75" customHeight="1">
      <c r="A73" s="50">
        <v>64.0</v>
      </c>
      <c r="B73" s="111" t="s">
        <v>179</v>
      </c>
      <c r="C73" s="112" t="s">
        <v>180</v>
      </c>
      <c r="D73" s="98">
        <f t="shared" si="8"/>
        <v>24</v>
      </c>
      <c r="E73" s="130">
        <f t="shared" si="9"/>
        <v>63.15789474</v>
      </c>
      <c r="F73" s="92" t="str">
        <f t="shared" si="10"/>
        <v>  </v>
      </c>
      <c r="G73" s="149" t="str">
        <f t="shared" si="11"/>
        <v>  </v>
      </c>
      <c r="H73" s="254"/>
      <c r="I73" s="254"/>
      <c r="J73" s="254"/>
      <c r="K73" s="254"/>
      <c r="L73" s="257"/>
      <c r="M73" s="139">
        <f t="shared" si="12"/>
        <v>0</v>
      </c>
      <c r="N73" s="140" t="str">
        <f t="shared" si="13"/>
        <v>#DIV/0!</v>
      </c>
      <c r="O73" s="116"/>
      <c r="P73" s="116"/>
      <c r="Q73" s="116"/>
      <c r="R73" s="179"/>
      <c r="S73" s="116"/>
      <c r="T73" s="116"/>
      <c r="U73" s="116"/>
      <c r="V73" s="179"/>
      <c r="W73" s="138">
        <v>1.0</v>
      </c>
      <c r="X73" s="138">
        <v>1.0</v>
      </c>
      <c r="Y73" s="184">
        <v>1.0</v>
      </c>
      <c r="Z73" s="185"/>
      <c r="AA73" s="187">
        <v>1.0</v>
      </c>
      <c r="AB73" s="138">
        <v>1.0</v>
      </c>
      <c r="AC73" s="179"/>
      <c r="AD73" s="176"/>
      <c r="AE73" s="176"/>
      <c r="AF73" s="116"/>
      <c r="AG73" s="176"/>
      <c r="AH73" s="176"/>
      <c r="AI73" s="176"/>
      <c r="AJ73" s="139">
        <f t="shared" si="14"/>
        <v>5</v>
      </c>
      <c r="AK73" s="205">
        <f t="shared" si="15"/>
        <v>50</v>
      </c>
      <c r="AL73" s="235">
        <v>1.0</v>
      </c>
      <c r="AM73" s="138">
        <v>1.0</v>
      </c>
      <c r="AN73" s="179"/>
      <c r="AO73" s="116"/>
      <c r="AP73" s="116"/>
      <c r="AQ73" s="116"/>
      <c r="AR73" s="116"/>
      <c r="AS73" s="166"/>
      <c r="AT73" s="116"/>
      <c r="AU73" s="116"/>
      <c r="AV73" s="116"/>
      <c r="AW73" s="179"/>
      <c r="AX73" s="116"/>
      <c r="AY73" s="138">
        <v>1.0</v>
      </c>
      <c r="AZ73" s="116"/>
      <c r="BA73" s="180"/>
      <c r="BB73" s="138">
        <v>1.0</v>
      </c>
      <c r="BC73" s="138">
        <v>1.0</v>
      </c>
      <c r="BD73" s="188">
        <v>1.0</v>
      </c>
      <c r="BE73" s="194"/>
      <c r="BF73" s="194"/>
      <c r="BG73" s="139">
        <f t="shared" si="16"/>
        <v>5</v>
      </c>
      <c r="BH73" s="208">
        <f t="shared" si="17"/>
        <v>45.45454545</v>
      </c>
      <c r="BI73" s="116"/>
      <c r="BJ73" s="116"/>
      <c r="BK73" s="180"/>
      <c r="BL73" s="116"/>
      <c r="BM73" s="116"/>
      <c r="BN73" s="116"/>
      <c r="BO73" s="116"/>
      <c r="BP73" s="116"/>
      <c r="BQ73" s="116"/>
      <c r="BR73" s="138">
        <v>1.0</v>
      </c>
      <c r="BS73" s="196">
        <v>1.0</v>
      </c>
      <c r="BT73" s="116"/>
      <c r="BU73" s="241">
        <v>1.0</v>
      </c>
      <c r="BV73" s="116"/>
      <c r="BW73" s="268">
        <v>1.0</v>
      </c>
      <c r="BX73" s="196">
        <v>1.0</v>
      </c>
      <c r="BY73" s="138">
        <v>1.0</v>
      </c>
      <c r="BZ73" s="196">
        <v>1.0</v>
      </c>
      <c r="CA73" s="138">
        <v>1.0</v>
      </c>
      <c r="CB73" s="138">
        <v>1.0</v>
      </c>
      <c r="CC73" s="196">
        <v>1.0</v>
      </c>
      <c r="CD73" s="196">
        <v>1.0</v>
      </c>
      <c r="CE73" s="124">
        <f t="shared" si="18"/>
        <v>11</v>
      </c>
      <c r="CF73" s="173">
        <f t="shared" si="19"/>
        <v>78.57142857</v>
      </c>
      <c r="CG73" s="138">
        <v>1.0</v>
      </c>
      <c r="CH73" s="138">
        <v>1.0</v>
      </c>
      <c r="CI73" s="138">
        <v>1.0</v>
      </c>
      <c r="CJ73" s="116"/>
      <c r="CK73" s="116"/>
      <c r="CL73" s="186"/>
      <c r="CM73" s="116"/>
      <c r="CN73" s="116"/>
      <c r="CO73" s="116"/>
      <c r="CP73" s="166"/>
      <c r="CQ73" s="213"/>
      <c r="CR73" s="213"/>
      <c r="CS73" s="116"/>
      <c r="CT73" s="116"/>
      <c r="CU73" s="116"/>
      <c r="CV73" s="213"/>
      <c r="CW73" s="128">
        <f t="shared" si="20"/>
        <v>3</v>
      </c>
      <c r="CX73" s="214">
        <f t="shared" si="21"/>
        <v>100</v>
      </c>
      <c r="CY73" s="171"/>
      <c r="CZ73" s="171"/>
      <c r="DA73" s="171"/>
      <c r="DB73" s="171"/>
      <c r="DC73" s="171"/>
      <c r="DD73" s="171"/>
      <c r="DE73" s="171"/>
      <c r="DF73" s="171"/>
      <c r="DG73" s="171"/>
      <c r="DH73" s="171"/>
      <c r="DI73" s="171"/>
      <c r="DJ73" s="171"/>
      <c r="DK73" s="128">
        <f t="shared" si="22"/>
        <v>0</v>
      </c>
      <c r="DL73" s="158" t="str">
        <f t="shared" si="23"/>
        <v>#DIV/0!</v>
      </c>
    </row>
    <row r="74" ht="15.75" customHeight="1">
      <c r="A74" s="131">
        <v>65.0</v>
      </c>
      <c r="B74" s="111" t="s">
        <v>181</v>
      </c>
      <c r="C74" s="112" t="s">
        <v>182</v>
      </c>
      <c r="D74" s="98">
        <f t="shared" si="8"/>
        <v>17</v>
      </c>
      <c r="E74" s="130">
        <f t="shared" si="9"/>
        <v>44.73684211</v>
      </c>
      <c r="F74" s="114">
        <f t="shared" si="10"/>
        <v>44.73684211</v>
      </c>
      <c r="G74" s="149" t="str">
        <f t="shared" si="11"/>
        <v>  </v>
      </c>
      <c r="H74" s="254"/>
      <c r="I74" s="254"/>
      <c r="J74" s="254"/>
      <c r="K74" s="254"/>
      <c r="L74" s="257"/>
      <c r="M74" s="139">
        <f t="shared" si="12"/>
        <v>0</v>
      </c>
      <c r="N74" s="140" t="str">
        <f t="shared" si="13"/>
        <v>#DIV/0!</v>
      </c>
      <c r="O74" s="116"/>
      <c r="P74" s="116"/>
      <c r="Q74" s="116"/>
      <c r="R74" s="179"/>
      <c r="S74" s="116"/>
      <c r="T74" s="116"/>
      <c r="U74" s="116"/>
      <c r="V74" s="179"/>
      <c r="W74" s="138">
        <v>1.0</v>
      </c>
      <c r="X74" s="116"/>
      <c r="Y74" s="179"/>
      <c r="Z74" s="185"/>
      <c r="AA74" s="187">
        <v>1.0</v>
      </c>
      <c r="AB74" s="116"/>
      <c r="AC74" s="179"/>
      <c r="AD74" s="116"/>
      <c r="AE74" s="176"/>
      <c r="AF74" s="176"/>
      <c r="AG74" s="176"/>
      <c r="AH74" s="116"/>
      <c r="AI74" s="116"/>
      <c r="AJ74" s="139">
        <f t="shared" si="14"/>
        <v>2</v>
      </c>
      <c r="AK74" s="205">
        <f t="shared" si="15"/>
        <v>20</v>
      </c>
      <c r="AL74" s="116"/>
      <c r="AM74" s="138">
        <v>1.0</v>
      </c>
      <c r="AN74" s="179"/>
      <c r="AO74" s="116"/>
      <c r="AP74" s="116"/>
      <c r="AQ74" s="116"/>
      <c r="AR74" s="116"/>
      <c r="AS74" s="191">
        <v>1.0</v>
      </c>
      <c r="AT74" s="116"/>
      <c r="AU74" s="116"/>
      <c r="AV74" s="138">
        <v>1.0</v>
      </c>
      <c r="AW74" s="179"/>
      <c r="AX74" s="116"/>
      <c r="AY74" s="138">
        <v>1.0</v>
      </c>
      <c r="AZ74" s="116"/>
      <c r="BA74" s="180"/>
      <c r="BB74" s="138">
        <v>1.0</v>
      </c>
      <c r="BC74" s="138">
        <v>1.0</v>
      </c>
      <c r="BD74" s="188">
        <v>1.0</v>
      </c>
      <c r="BE74" s="194"/>
      <c r="BF74" s="194"/>
      <c r="BG74" s="139">
        <f t="shared" si="16"/>
        <v>7</v>
      </c>
      <c r="BH74" s="208">
        <f t="shared" si="17"/>
        <v>63.63636364</v>
      </c>
      <c r="BI74" s="116"/>
      <c r="BJ74" s="116"/>
      <c r="BK74" s="180"/>
      <c r="BL74" s="116"/>
      <c r="BM74" s="116"/>
      <c r="BN74" s="116"/>
      <c r="BO74" s="116"/>
      <c r="BP74" s="116"/>
      <c r="BQ74" s="116"/>
      <c r="BR74" s="166"/>
      <c r="BS74" s="116"/>
      <c r="BT74" s="116"/>
      <c r="BV74" s="116"/>
      <c r="BW74" s="268">
        <v>1.0</v>
      </c>
      <c r="BX74" s="196">
        <v>1.0</v>
      </c>
      <c r="BY74" s="116"/>
      <c r="BZ74" s="196">
        <v>1.0</v>
      </c>
      <c r="CA74" s="138">
        <v>1.0</v>
      </c>
      <c r="CB74" s="165"/>
      <c r="CC74" s="196">
        <v>1.0</v>
      </c>
      <c r="CD74" s="196">
        <v>1.0</v>
      </c>
      <c r="CE74" s="124">
        <f t="shared" si="18"/>
        <v>6</v>
      </c>
      <c r="CF74" s="173">
        <f t="shared" si="19"/>
        <v>42.85714286</v>
      </c>
      <c r="CG74" s="184">
        <v>1.0</v>
      </c>
      <c r="CH74" s="138">
        <v>1.0</v>
      </c>
      <c r="CI74" s="186"/>
      <c r="CJ74" s="116"/>
      <c r="CK74" s="116"/>
      <c r="CL74" s="186"/>
      <c r="CM74" s="116"/>
      <c r="CN74" s="223"/>
      <c r="CO74" s="116"/>
      <c r="CP74" s="166"/>
      <c r="CQ74" s="213"/>
      <c r="CR74" s="213"/>
      <c r="CS74" s="213"/>
      <c r="CT74" s="213"/>
      <c r="CU74" s="116"/>
      <c r="CV74" s="213"/>
      <c r="CW74" s="128">
        <f t="shared" si="20"/>
        <v>2</v>
      </c>
      <c r="CX74" s="214">
        <f t="shared" si="21"/>
        <v>66.66666667</v>
      </c>
      <c r="CY74" s="171"/>
      <c r="CZ74" s="171"/>
      <c r="DA74" s="171"/>
      <c r="DB74" s="171"/>
      <c r="DC74" s="171"/>
      <c r="DD74" s="171"/>
      <c r="DE74" s="171"/>
      <c r="DF74" s="171"/>
      <c r="DG74" s="171"/>
      <c r="DH74" s="171"/>
      <c r="DI74" s="171"/>
      <c r="DJ74" s="171"/>
      <c r="DK74" s="128">
        <f t="shared" si="22"/>
        <v>0</v>
      </c>
      <c r="DL74" s="158" t="str">
        <f t="shared" si="23"/>
        <v>#DIV/0!</v>
      </c>
    </row>
    <row r="75" ht="15.75" customHeight="1">
      <c r="A75" s="146">
        <v>66.0</v>
      </c>
      <c r="B75" s="111" t="s">
        <v>183</v>
      </c>
      <c r="C75" s="112" t="s">
        <v>184</v>
      </c>
      <c r="D75" s="98">
        <f t="shared" si="8"/>
        <v>2</v>
      </c>
      <c r="E75" s="130">
        <f t="shared" si="9"/>
        <v>5.263157895</v>
      </c>
      <c r="F75" s="114">
        <f t="shared" si="10"/>
        <v>5.263157895</v>
      </c>
      <c r="G75" s="226">
        <f t="shared" si="11"/>
        <v>5.263157895</v>
      </c>
      <c r="H75" s="254"/>
      <c r="I75" s="254"/>
      <c r="J75" s="254"/>
      <c r="K75" s="254"/>
      <c r="L75" s="257"/>
      <c r="M75" s="139">
        <f t="shared" si="12"/>
        <v>0</v>
      </c>
      <c r="N75" s="140" t="str">
        <f t="shared" si="13"/>
        <v>#DIV/0!</v>
      </c>
      <c r="O75" s="116"/>
      <c r="P75" s="116"/>
      <c r="Q75" s="180"/>
      <c r="R75" s="179"/>
      <c r="S75" s="179"/>
      <c r="T75" s="116"/>
      <c r="U75" s="116"/>
      <c r="V75" s="179"/>
      <c r="W75" s="116"/>
      <c r="X75" s="116"/>
      <c r="Y75" s="179"/>
      <c r="Z75" s="185"/>
      <c r="AA75" s="217"/>
      <c r="AB75" s="116"/>
      <c r="AC75" s="179"/>
      <c r="AD75" s="176"/>
      <c r="AE75" s="176"/>
      <c r="AF75" s="182">
        <v>1.0</v>
      </c>
      <c r="AG75" s="176"/>
      <c r="AH75" s="176"/>
      <c r="AI75" s="116"/>
      <c r="AJ75" s="139">
        <f t="shared" si="14"/>
        <v>1</v>
      </c>
      <c r="AK75" s="205">
        <f t="shared" si="15"/>
        <v>10</v>
      </c>
      <c r="AL75" s="222"/>
      <c r="AM75" s="116"/>
      <c r="AN75" s="184">
        <v>1.0</v>
      </c>
      <c r="AO75" s="179"/>
      <c r="AP75" s="179"/>
      <c r="AQ75" s="116"/>
      <c r="AR75" s="116"/>
      <c r="AS75" s="166"/>
      <c r="AT75" s="116"/>
      <c r="AU75" s="116"/>
      <c r="AV75" s="116"/>
      <c r="AW75" s="179"/>
      <c r="AX75" s="116"/>
      <c r="AY75" s="116"/>
      <c r="AZ75" s="180"/>
      <c r="BA75" s="180"/>
      <c r="BB75" s="204"/>
      <c r="BC75" s="204"/>
      <c r="BD75" s="181"/>
      <c r="BE75" s="181"/>
      <c r="BF75" s="181"/>
      <c r="BG75" s="139">
        <f t="shared" si="16"/>
        <v>1</v>
      </c>
      <c r="BH75" s="208">
        <f t="shared" si="17"/>
        <v>9.090909091</v>
      </c>
      <c r="BI75" s="116"/>
      <c r="BJ75" s="116"/>
      <c r="BK75" s="180"/>
      <c r="BL75" s="116"/>
      <c r="BM75" s="116"/>
      <c r="BN75" s="116"/>
      <c r="BO75" s="116"/>
      <c r="BP75" s="116"/>
      <c r="BQ75" s="116"/>
      <c r="BR75" s="166"/>
      <c r="BS75" s="165"/>
      <c r="BT75" s="185"/>
      <c r="BU75" s="43"/>
      <c r="BV75" s="43"/>
      <c r="BW75" s="266"/>
      <c r="BX75" s="165"/>
      <c r="BY75" s="116"/>
      <c r="BZ75" s="165"/>
      <c r="CA75" s="165"/>
      <c r="CB75" s="165"/>
      <c r="CC75" s="165"/>
      <c r="CD75" s="165"/>
      <c r="CE75" s="124">
        <f t="shared" si="18"/>
        <v>0</v>
      </c>
      <c r="CF75" s="173">
        <f t="shared" si="19"/>
        <v>0</v>
      </c>
      <c r="CG75" s="179"/>
      <c r="CH75" s="238"/>
      <c r="CI75" s="186"/>
      <c r="CJ75" s="116"/>
      <c r="CK75" s="231"/>
      <c r="CL75" s="186"/>
      <c r="CM75" s="223"/>
      <c r="CN75" s="223"/>
      <c r="CO75" s="223"/>
      <c r="CP75" s="166"/>
      <c r="CQ75" s="213"/>
      <c r="CR75" s="213"/>
      <c r="CS75" s="213"/>
      <c r="CT75" s="116"/>
      <c r="CU75" s="116"/>
      <c r="CV75" s="213"/>
      <c r="CW75" s="128">
        <f t="shared" si="20"/>
        <v>0</v>
      </c>
      <c r="CX75" s="214">
        <f t="shared" si="21"/>
        <v>0</v>
      </c>
      <c r="CY75" s="171"/>
      <c r="CZ75" s="171"/>
      <c r="DA75" s="171"/>
      <c r="DB75" s="171"/>
      <c r="DC75" s="171"/>
      <c r="DD75" s="171"/>
      <c r="DE75" s="171"/>
      <c r="DF75" s="171"/>
      <c r="DG75" s="171"/>
      <c r="DH75" s="171"/>
      <c r="DI75" s="171"/>
      <c r="DJ75" s="171"/>
      <c r="DK75" s="128">
        <f t="shared" si="22"/>
        <v>0</v>
      </c>
      <c r="DL75" s="158" t="str">
        <f t="shared" si="23"/>
        <v>#DIV/0!</v>
      </c>
    </row>
    <row r="76" ht="15.75" customHeight="1">
      <c r="A76" s="50">
        <v>67.0</v>
      </c>
      <c r="B76" s="111" t="s">
        <v>185</v>
      </c>
      <c r="C76" s="112" t="s">
        <v>186</v>
      </c>
      <c r="D76" s="98">
        <f t="shared" si="8"/>
        <v>23</v>
      </c>
      <c r="E76" s="130">
        <f t="shared" si="9"/>
        <v>60.52631579</v>
      </c>
      <c r="F76" s="114" t="str">
        <f t="shared" si="10"/>
        <v>  </v>
      </c>
      <c r="G76" s="226" t="str">
        <f t="shared" si="11"/>
        <v>  </v>
      </c>
      <c r="H76" s="265"/>
      <c r="I76" s="265"/>
      <c r="J76" s="265"/>
      <c r="K76" s="265"/>
      <c r="L76" s="266"/>
      <c r="M76" s="139">
        <f t="shared" si="12"/>
        <v>0</v>
      </c>
      <c r="N76" s="140" t="str">
        <f t="shared" si="13"/>
        <v>#DIV/0!</v>
      </c>
      <c r="O76" s="116"/>
      <c r="P76" s="116"/>
      <c r="Q76" s="180"/>
      <c r="R76" s="179"/>
      <c r="S76" s="116"/>
      <c r="T76" s="116"/>
      <c r="U76" s="116"/>
      <c r="V76" s="179"/>
      <c r="W76" s="138">
        <v>1.0</v>
      </c>
      <c r="X76" s="138">
        <v>1.0</v>
      </c>
      <c r="Y76" s="184">
        <v>1.0</v>
      </c>
      <c r="Z76" s="185"/>
      <c r="AA76" s="187">
        <v>1.0</v>
      </c>
      <c r="AB76" s="138">
        <v>1.0</v>
      </c>
      <c r="AC76" s="179"/>
      <c r="AD76" s="116"/>
      <c r="AE76" s="116"/>
      <c r="AF76" s="176"/>
      <c r="AG76" s="176"/>
      <c r="AH76" s="182">
        <v>1.0</v>
      </c>
      <c r="AI76" s="116"/>
      <c r="AJ76" s="139">
        <f t="shared" si="14"/>
        <v>6</v>
      </c>
      <c r="AK76" s="205">
        <f t="shared" si="15"/>
        <v>60</v>
      </c>
      <c r="AL76" s="235">
        <v>1.0</v>
      </c>
      <c r="AM76" s="138">
        <v>1.0</v>
      </c>
      <c r="AN76" s="184">
        <v>1.0</v>
      </c>
      <c r="AO76" s="116"/>
      <c r="AP76" s="179"/>
      <c r="AQ76" s="138">
        <v>1.0</v>
      </c>
      <c r="AR76" s="116"/>
      <c r="AS76" s="166"/>
      <c r="AT76" s="116"/>
      <c r="AU76" s="116"/>
      <c r="AV76" s="116"/>
      <c r="AW76" s="179"/>
      <c r="AX76" s="116"/>
      <c r="AY76" s="138">
        <v>1.0</v>
      </c>
      <c r="AZ76" s="180"/>
      <c r="BA76" s="180"/>
      <c r="BB76" s="138">
        <v>1.0</v>
      </c>
      <c r="BC76" s="204"/>
      <c r="BD76" s="181"/>
      <c r="BE76" s="181"/>
      <c r="BF76" s="181"/>
      <c r="BG76" s="139">
        <f t="shared" si="16"/>
        <v>5</v>
      </c>
      <c r="BH76" s="208">
        <f t="shared" si="17"/>
        <v>45.45454545</v>
      </c>
      <c r="BI76" s="116"/>
      <c r="BJ76" s="116"/>
      <c r="BK76" s="180"/>
      <c r="BL76" s="116"/>
      <c r="BM76" s="116"/>
      <c r="BN76" s="138">
        <v>1.0</v>
      </c>
      <c r="BO76" s="138">
        <v>1.0</v>
      </c>
      <c r="BP76" s="116"/>
      <c r="BQ76" s="211"/>
      <c r="BR76" s="166"/>
      <c r="BS76" s="196">
        <v>1.0</v>
      </c>
      <c r="BT76" s="116"/>
      <c r="BU76" s="145">
        <v>1.0</v>
      </c>
      <c r="BV76" s="43"/>
      <c r="BW76" s="268">
        <v>1.0</v>
      </c>
      <c r="BX76" s="196">
        <v>1.0</v>
      </c>
      <c r="BY76" s="138">
        <v>1.0</v>
      </c>
      <c r="BZ76" s="196">
        <v>1.0</v>
      </c>
      <c r="CA76" s="138">
        <v>1.0</v>
      </c>
      <c r="CB76" s="165"/>
      <c r="CC76" s="196">
        <v>1.0</v>
      </c>
      <c r="CD76" s="196">
        <v>1.0</v>
      </c>
      <c r="CE76" s="124">
        <f t="shared" si="18"/>
        <v>11</v>
      </c>
      <c r="CF76" s="173">
        <f t="shared" si="19"/>
        <v>78.57142857</v>
      </c>
      <c r="CG76" s="116"/>
      <c r="CH76" s="138">
        <v>1.0</v>
      </c>
      <c r="CI76" s="186"/>
      <c r="CJ76" s="116"/>
      <c r="CK76" s="116"/>
      <c r="CL76" s="186"/>
      <c r="CM76" s="223"/>
      <c r="CN76" s="116"/>
      <c r="CO76" s="116"/>
      <c r="CP76" s="166"/>
      <c r="CQ76" s="213"/>
      <c r="CR76" s="213"/>
      <c r="CS76" s="116"/>
      <c r="CT76" s="116"/>
      <c r="CU76" s="116"/>
      <c r="CV76" s="213"/>
      <c r="CW76" s="128">
        <f t="shared" si="20"/>
        <v>1</v>
      </c>
      <c r="CX76" s="214">
        <f t="shared" si="21"/>
        <v>33.33333333</v>
      </c>
      <c r="CY76" s="171"/>
      <c r="CZ76" s="171"/>
      <c r="DA76" s="171"/>
      <c r="DB76" s="171"/>
      <c r="DC76" s="171"/>
      <c r="DD76" s="171"/>
      <c r="DE76" s="171"/>
      <c r="DF76" s="171"/>
      <c r="DG76" s="171"/>
      <c r="DH76" s="171"/>
      <c r="DI76" s="171"/>
      <c r="DJ76" s="171"/>
      <c r="DK76" s="128">
        <f t="shared" si="22"/>
        <v>0</v>
      </c>
      <c r="DL76" s="158" t="str">
        <f t="shared" si="23"/>
        <v>#DIV/0!</v>
      </c>
    </row>
    <row r="77" ht="15.75" customHeight="1">
      <c r="A77" s="131">
        <v>68.0</v>
      </c>
      <c r="B77" s="161" t="s">
        <v>187</v>
      </c>
      <c r="C77" s="162" t="s">
        <v>188</v>
      </c>
      <c r="D77" s="98">
        <f t="shared" si="8"/>
        <v>18</v>
      </c>
      <c r="E77" s="130">
        <f t="shared" si="9"/>
        <v>47.36842105</v>
      </c>
      <c r="F77" s="114">
        <f t="shared" si="10"/>
        <v>47.36842105</v>
      </c>
      <c r="G77" s="149" t="str">
        <f t="shared" si="11"/>
        <v>  </v>
      </c>
      <c r="H77" s="265"/>
      <c r="I77" s="265"/>
      <c r="J77" s="267"/>
      <c r="K77" s="267"/>
      <c r="L77" s="268"/>
      <c r="M77" s="139">
        <f t="shared" si="12"/>
        <v>0</v>
      </c>
      <c r="N77" s="140" t="str">
        <f t="shared" si="13"/>
        <v>#DIV/0!</v>
      </c>
      <c r="O77" s="116"/>
      <c r="P77" s="116"/>
      <c r="Q77" s="180"/>
      <c r="R77" s="179"/>
      <c r="S77" s="179"/>
      <c r="T77" s="116"/>
      <c r="U77" s="116"/>
      <c r="V77" s="179"/>
      <c r="W77" s="116"/>
      <c r="X77" s="116"/>
      <c r="Y77" s="179"/>
      <c r="Z77" s="185"/>
      <c r="AA77" s="217"/>
      <c r="AB77" s="138">
        <v>1.0</v>
      </c>
      <c r="AC77" s="184">
        <v>1.0</v>
      </c>
      <c r="AD77" s="176"/>
      <c r="AE77" s="116"/>
      <c r="AF77" s="176"/>
      <c r="AG77" s="176"/>
      <c r="AH77" s="176"/>
      <c r="AI77" s="176"/>
      <c r="AJ77" s="139">
        <f t="shared" si="14"/>
        <v>2</v>
      </c>
      <c r="AK77" s="205">
        <f t="shared" si="15"/>
        <v>20</v>
      </c>
      <c r="AL77" s="222"/>
      <c r="AM77" s="116"/>
      <c r="AN77" s="184">
        <v>1.0</v>
      </c>
      <c r="AO77" s="116"/>
      <c r="AP77" s="116"/>
      <c r="AQ77" s="116"/>
      <c r="AR77" s="116"/>
      <c r="AS77" s="166"/>
      <c r="AT77" s="116"/>
      <c r="AU77" s="116"/>
      <c r="AV77" s="116"/>
      <c r="AW77" s="179"/>
      <c r="AX77" s="116"/>
      <c r="AY77" s="138">
        <v>1.0</v>
      </c>
      <c r="AZ77" s="180"/>
      <c r="BA77" s="180"/>
      <c r="BB77" s="204"/>
      <c r="BC77" s="204"/>
      <c r="BD77" s="181"/>
      <c r="BE77" s="181"/>
      <c r="BF77" s="181"/>
      <c r="BG77" s="139">
        <f t="shared" si="16"/>
        <v>2</v>
      </c>
      <c r="BH77" s="208">
        <f t="shared" si="17"/>
        <v>18.18181818</v>
      </c>
      <c r="BI77" s="116"/>
      <c r="BJ77" s="116"/>
      <c r="BK77" s="180"/>
      <c r="BL77" s="116"/>
      <c r="BM77" s="116"/>
      <c r="BN77" s="138">
        <v>1.0</v>
      </c>
      <c r="BO77" s="138">
        <v>1.0</v>
      </c>
      <c r="BP77" s="116"/>
      <c r="BQ77" s="211"/>
      <c r="BR77" s="191">
        <v>1.0</v>
      </c>
      <c r="BS77" s="116"/>
      <c r="BT77" s="116"/>
      <c r="BU77" s="145">
        <v>1.0</v>
      </c>
      <c r="BV77" s="43"/>
      <c r="BW77" s="268">
        <v>1.0</v>
      </c>
      <c r="BX77" s="196">
        <v>1.0</v>
      </c>
      <c r="BY77" s="138">
        <v>1.0</v>
      </c>
      <c r="BZ77" s="196">
        <v>1.0</v>
      </c>
      <c r="CA77" s="196">
        <v>1.0</v>
      </c>
      <c r="CB77" s="138">
        <v>1.0</v>
      </c>
      <c r="CC77" s="196">
        <v>1.0</v>
      </c>
      <c r="CD77" s="196">
        <v>1.0</v>
      </c>
      <c r="CE77" s="124">
        <f t="shared" si="18"/>
        <v>12</v>
      </c>
      <c r="CF77" s="173">
        <f t="shared" si="19"/>
        <v>85.71428571</v>
      </c>
      <c r="CG77" s="184">
        <v>1.0</v>
      </c>
      <c r="CH77" s="230">
        <v>1.0</v>
      </c>
      <c r="CI77" s="186"/>
      <c r="CJ77" s="186"/>
      <c r="CK77" s="116"/>
      <c r="CL77" s="186"/>
      <c r="CM77" s="223"/>
      <c r="CN77" s="223"/>
      <c r="CO77" s="116"/>
      <c r="CP77" s="116"/>
      <c r="CQ77" s="165"/>
      <c r="CR77" s="165"/>
      <c r="CS77" s="165"/>
      <c r="CT77" s="116"/>
      <c r="CU77" s="165"/>
      <c r="CV77" s="165"/>
      <c r="CW77" s="128">
        <f t="shared" si="20"/>
        <v>2</v>
      </c>
      <c r="CX77" s="214">
        <f t="shared" si="21"/>
        <v>66.66666667</v>
      </c>
      <c r="CY77" s="171"/>
      <c r="CZ77" s="171"/>
      <c r="DA77" s="171"/>
      <c r="DB77" s="171"/>
      <c r="DC77" s="171"/>
      <c r="DD77" s="171"/>
      <c r="DE77" s="171"/>
      <c r="DF77" s="171"/>
      <c r="DG77" s="171"/>
      <c r="DH77" s="171"/>
      <c r="DI77" s="171"/>
      <c r="DJ77" s="171"/>
      <c r="DK77" s="128">
        <f t="shared" si="22"/>
        <v>0</v>
      </c>
      <c r="DL77" s="158" t="str">
        <f t="shared" si="23"/>
        <v>#DIV/0!</v>
      </c>
    </row>
    <row r="78" ht="15.75" customHeight="1">
      <c r="A78" s="146">
        <v>69.0</v>
      </c>
      <c r="B78" s="161" t="s">
        <v>189</v>
      </c>
      <c r="C78" s="162" t="s">
        <v>190</v>
      </c>
      <c r="D78" s="98">
        <f t="shared" si="8"/>
        <v>11</v>
      </c>
      <c r="E78" s="130">
        <f t="shared" si="9"/>
        <v>28.94736842</v>
      </c>
      <c r="F78" s="114">
        <f t="shared" si="10"/>
        <v>28.94736842</v>
      </c>
      <c r="G78" s="226">
        <f t="shared" si="11"/>
        <v>28.94736842</v>
      </c>
      <c r="H78" s="265"/>
      <c r="I78" s="265"/>
      <c r="J78" s="265"/>
      <c r="K78" s="265"/>
      <c r="L78" s="266"/>
      <c r="M78" s="139">
        <f t="shared" si="12"/>
        <v>0</v>
      </c>
      <c r="N78" s="140" t="str">
        <f t="shared" si="13"/>
        <v>#DIV/0!</v>
      </c>
      <c r="O78" s="116"/>
      <c r="P78" s="116"/>
      <c r="Q78" s="180"/>
      <c r="R78" s="179"/>
      <c r="S78" s="116"/>
      <c r="T78" s="116"/>
      <c r="U78" s="116"/>
      <c r="V78" s="179"/>
      <c r="W78" s="116"/>
      <c r="X78" s="116"/>
      <c r="Y78" s="179"/>
      <c r="Z78" s="185"/>
      <c r="AA78" s="217"/>
      <c r="AB78" s="116"/>
      <c r="AC78" s="179"/>
      <c r="AD78" s="116"/>
      <c r="AE78" s="176"/>
      <c r="AF78" s="116"/>
      <c r="AG78" s="176"/>
      <c r="AH78" s="176"/>
      <c r="AI78" s="176"/>
      <c r="AJ78" s="139">
        <f t="shared" si="14"/>
        <v>0</v>
      </c>
      <c r="AK78" s="205">
        <f t="shared" si="15"/>
        <v>0</v>
      </c>
      <c r="AL78" s="222"/>
      <c r="AM78" s="116"/>
      <c r="AN78" s="179"/>
      <c r="AO78" s="116"/>
      <c r="AP78" s="116"/>
      <c r="AQ78" s="116"/>
      <c r="AR78" s="116"/>
      <c r="AS78" s="191">
        <v>1.0</v>
      </c>
      <c r="AT78" s="138">
        <v>1.0</v>
      </c>
      <c r="AU78" s="116"/>
      <c r="AV78" s="116"/>
      <c r="AW78" s="179"/>
      <c r="AX78" s="116"/>
      <c r="AY78" s="138">
        <v>1.0</v>
      </c>
      <c r="AZ78" s="180"/>
      <c r="BA78" s="180"/>
      <c r="BB78" s="138">
        <v>1.0</v>
      </c>
      <c r="BC78" s="116"/>
      <c r="BD78" s="194"/>
      <c r="BE78" s="194"/>
      <c r="BF78" s="194"/>
      <c r="BG78" s="139">
        <f t="shared" si="16"/>
        <v>4</v>
      </c>
      <c r="BH78" s="208">
        <f t="shared" si="17"/>
        <v>36.36363636</v>
      </c>
      <c r="BI78" s="116"/>
      <c r="BJ78" s="180"/>
      <c r="BK78" s="180"/>
      <c r="BL78" s="116"/>
      <c r="BM78" s="116"/>
      <c r="BN78" s="116"/>
      <c r="BO78" s="116"/>
      <c r="BP78" s="116"/>
      <c r="BQ78" s="211"/>
      <c r="BR78" s="166"/>
      <c r="BS78" s="116"/>
      <c r="BT78" s="116"/>
      <c r="BU78" s="43"/>
      <c r="BV78" s="43"/>
      <c r="BW78" s="268">
        <v>1.0</v>
      </c>
      <c r="BX78" s="196">
        <v>1.0</v>
      </c>
      <c r="BY78" s="116"/>
      <c r="BZ78" s="165"/>
      <c r="CA78" s="196">
        <v>1.0</v>
      </c>
      <c r="CB78" s="165"/>
      <c r="CC78" s="196">
        <v>1.0</v>
      </c>
      <c r="CD78" s="196">
        <v>1.0</v>
      </c>
      <c r="CE78" s="124">
        <f t="shared" si="18"/>
        <v>5</v>
      </c>
      <c r="CF78" s="173">
        <f t="shared" si="19"/>
        <v>35.71428571</v>
      </c>
      <c r="CG78" s="138">
        <v>1.0</v>
      </c>
      <c r="CH78" s="138">
        <v>1.0</v>
      </c>
      <c r="CI78" s="186"/>
      <c r="CJ78" s="116"/>
      <c r="CK78" s="231"/>
      <c r="CL78" s="186"/>
      <c r="CM78" s="223"/>
      <c r="CN78" s="223"/>
      <c r="CO78" s="223"/>
      <c r="CP78" s="166"/>
      <c r="CQ78" s="213"/>
      <c r="CR78" s="213"/>
      <c r="CS78" s="213"/>
      <c r="CT78" s="213"/>
      <c r="CU78" s="213"/>
      <c r="CV78" s="213"/>
      <c r="CW78" s="128">
        <f t="shared" si="20"/>
        <v>2</v>
      </c>
      <c r="CX78" s="214">
        <f t="shared" si="21"/>
        <v>66.66666667</v>
      </c>
      <c r="CY78" s="171"/>
      <c r="CZ78" s="171"/>
      <c r="DA78" s="171"/>
      <c r="DB78" s="171"/>
      <c r="DC78" s="171"/>
      <c r="DD78" s="171"/>
      <c r="DE78" s="171"/>
      <c r="DF78" s="171"/>
      <c r="DG78" s="171"/>
      <c r="DH78" s="171"/>
      <c r="DI78" s="171"/>
      <c r="DJ78" s="171"/>
      <c r="DK78" s="128">
        <f t="shared" si="22"/>
        <v>0</v>
      </c>
      <c r="DL78" s="158" t="str">
        <f t="shared" si="23"/>
        <v>#DIV/0!</v>
      </c>
    </row>
    <row r="79" ht="15.75" customHeight="1">
      <c r="A79" s="50">
        <v>70.0</v>
      </c>
      <c r="B79" s="111" t="s">
        <v>191</v>
      </c>
      <c r="C79" s="112" t="s">
        <v>192</v>
      </c>
      <c r="D79" s="98">
        <f t="shared" si="8"/>
        <v>25</v>
      </c>
      <c r="E79" s="130">
        <f t="shared" si="9"/>
        <v>65.78947368</v>
      </c>
      <c r="F79" s="92" t="str">
        <f t="shared" si="10"/>
        <v>  </v>
      </c>
      <c r="G79" s="149" t="str">
        <f t="shared" si="11"/>
        <v>  </v>
      </c>
      <c r="H79" s="265"/>
      <c r="I79" s="265"/>
      <c r="J79" s="269"/>
      <c r="K79" s="265"/>
      <c r="L79" s="266"/>
      <c r="M79" s="139">
        <f t="shared" si="12"/>
        <v>0</v>
      </c>
      <c r="N79" s="140" t="str">
        <f t="shared" si="13"/>
        <v>#DIV/0!</v>
      </c>
      <c r="O79" s="116"/>
      <c r="P79" s="116"/>
      <c r="Q79" s="116"/>
      <c r="R79" s="179"/>
      <c r="S79" s="179"/>
      <c r="T79" s="116"/>
      <c r="U79" s="116"/>
      <c r="V79" s="179"/>
      <c r="W79" s="138">
        <v>1.0</v>
      </c>
      <c r="X79" s="138">
        <v>1.0</v>
      </c>
      <c r="Y79" s="179"/>
      <c r="Z79" s="185"/>
      <c r="AA79" s="187">
        <v>1.0</v>
      </c>
      <c r="AB79" s="138">
        <v>1.0</v>
      </c>
      <c r="AC79" s="179"/>
      <c r="AD79" s="116"/>
      <c r="AE79" s="116"/>
      <c r="AF79" s="138">
        <v>1.0</v>
      </c>
      <c r="AG79" s="182">
        <v>1.0</v>
      </c>
      <c r="AH79" s="116"/>
      <c r="AI79" s="116"/>
      <c r="AJ79" s="139">
        <f t="shared" si="14"/>
        <v>6</v>
      </c>
      <c r="AK79" s="205">
        <f t="shared" si="15"/>
        <v>60</v>
      </c>
      <c r="AL79" s="116"/>
      <c r="AM79" s="138">
        <v>1.0</v>
      </c>
      <c r="AN79" s="184">
        <v>1.0</v>
      </c>
      <c r="AO79" s="116"/>
      <c r="AP79" s="179"/>
      <c r="AQ79" s="138">
        <v>1.0</v>
      </c>
      <c r="AR79" s="116"/>
      <c r="AS79" s="166"/>
      <c r="AT79" s="138">
        <v>1.0</v>
      </c>
      <c r="AU79" s="116"/>
      <c r="AV79" s="116"/>
      <c r="AW79" s="179"/>
      <c r="AX79" s="138">
        <v>1.0</v>
      </c>
      <c r="AY79" s="138">
        <v>1.0</v>
      </c>
      <c r="AZ79" s="116"/>
      <c r="BA79" s="180"/>
      <c r="BB79" s="204"/>
      <c r="BC79" s="218">
        <v>1.0</v>
      </c>
      <c r="BD79" s="181"/>
      <c r="BE79" s="181"/>
      <c r="BF79" s="181"/>
      <c r="BG79" s="139">
        <f t="shared" si="16"/>
        <v>7</v>
      </c>
      <c r="BH79" s="208">
        <f t="shared" si="17"/>
        <v>63.63636364</v>
      </c>
      <c r="BI79" s="116"/>
      <c r="BJ79" s="116"/>
      <c r="BK79" s="180"/>
      <c r="BL79" s="116"/>
      <c r="BM79" s="116"/>
      <c r="BN79" s="138">
        <v>1.0</v>
      </c>
      <c r="BO79" s="138">
        <v>1.0</v>
      </c>
      <c r="BP79" s="116"/>
      <c r="BQ79" s="116"/>
      <c r="BR79" s="166"/>
      <c r="BS79" s="138">
        <v>1.0</v>
      </c>
      <c r="BT79" s="185"/>
      <c r="BU79" s="241">
        <v>1.0</v>
      </c>
      <c r="BV79" s="116"/>
      <c r="BW79" s="268">
        <v>1.0</v>
      </c>
      <c r="BX79" s="196">
        <v>1.0</v>
      </c>
      <c r="BY79" s="138">
        <v>1.0</v>
      </c>
      <c r="BZ79" s="196">
        <v>1.0</v>
      </c>
      <c r="CA79" s="138">
        <v>1.0</v>
      </c>
      <c r="CB79" s="116"/>
      <c r="CC79" s="196">
        <v>1.0</v>
      </c>
      <c r="CD79" s="196">
        <v>1.0</v>
      </c>
      <c r="CE79" s="124">
        <f t="shared" si="18"/>
        <v>11</v>
      </c>
      <c r="CF79" s="173">
        <f t="shared" si="19"/>
        <v>78.57142857</v>
      </c>
      <c r="CG79" s="138">
        <v>1.0</v>
      </c>
      <c r="CH79" s="116"/>
      <c r="CI79" s="186"/>
      <c r="CJ79" s="186"/>
      <c r="CK79" s="116"/>
      <c r="CL79" s="186"/>
      <c r="CM79" s="116"/>
      <c r="CN79" s="223"/>
      <c r="CO79" s="116"/>
      <c r="CP79" s="166"/>
      <c r="CQ79" s="213"/>
      <c r="CR79" s="213"/>
      <c r="CS79" s="213"/>
      <c r="CT79" s="116"/>
      <c r="CU79" s="116"/>
      <c r="CV79" s="213"/>
      <c r="CW79" s="128">
        <f t="shared" si="20"/>
        <v>1</v>
      </c>
      <c r="CX79" s="214">
        <f t="shared" si="21"/>
        <v>33.33333333</v>
      </c>
      <c r="CY79" s="171"/>
      <c r="CZ79" s="171"/>
      <c r="DA79" s="171"/>
      <c r="DB79" s="171"/>
      <c r="DC79" s="171"/>
      <c r="DD79" s="171"/>
      <c r="DE79" s="171"/>
      <c r="DF79" s="171"/>
      <c r="DG79" s="171"/>
      <c r="DH79" s="171"/>
      <c r="DI79" s="171"/>
      <c r="DJ79" s="171"/>
      <c r="DK79" s="128">
        <f t="shared" si="22"/>
        <v>0</v>
      </c>
      <c r="DL79" s="158" t="str">
        <f t="shared" si="23"/>
        <v>#DIV/0!</v>
      </c>
    </row>
    <row r="80" ht="15.75" customHeight="1">
      <c r="A80" s="131">
        <v>71.0</v>
      </c>
      <c r="B80" s="111" t="s">
        <v>193</v>
      </c>
      <c r="C80" s="112" t="s">
        <v>194</v>
      </c>
      <c r="D80" s="98">
        <f t="shared" si="8"/>
        <v>27</v>
      </c>
      <c r="E80" s="130">
        <f t="shared" si="9"/>
        <v>71.05263158</v>
      </c>
      <c r="F80" s="114" t="str">
        <f t="shared" si="10"/>
        <v>  </v>
      </c>
      <c r="G80" s="149" t="str">
        <f t="shared" si="11"/>
        <v>  </v>
      </c>
      <c r="H80" s="265"/>
      <c r="I80" s="265"/>
      <c r="J80" s="265"/>
      <c r="K80" s="265"/>
      <c r="L80" s="266"/>
      <c r="M80" s="139">
        <f t="shared" si="12"/>
        <v>0</v>
      </c>
      <c r="N80" s="140" t="str">
        <f t="shared" si="13"/>
        <v>#DIV/0!</v>
      </c>
      <c r="O80" s="116"/>
      <c r="P80" s="116"/>
      <c r="Q80" s="116"/>
      <c r="R80" s="179"/>
      <c r="S80" s="179"/>
      <c r="T80" s="116"/>
      <c r="U80" s="116"/>
      <c r="V80" s="179"/>
      <c r="W80" s="116"/>
      <c r="X80" s="116"/>
      <c r="Y80" s="179"/>
      <c r="Z80" s="185"/>
      <c r="AA80" s="217"/>
      <c r="AB80" s="116"/>
      <c r="AC80" s="179"/>
      <c r="AD80" s="176"/>
      <c r="AE80" s="116"/>
      <c r="AF80" s="116"/>
      <c r="AG80" s="182">
        <v>1.0</v>
      </c>
      <c r="AH80" s="138">
        <v>1.0</v>
      </c>
      <c r="AI80" s="116"/>
      <c r="AJ80" s="139">
        <f t="shared" si="14"/>
        <v>2</v>
      </c>
      <c r="AK80" s="205">
        <f t="shared" si="15"/>
        <v>20</v>
      </c>
      <c r="AL80" s="138">
        <v>1.0</v>
      </c>
      <c r="AM80" s="138">
        <v>1.0</v>
      </c>
      <c r="AN80" s="184">
        <v>1.0</v>
      </c>
      <c r="AO80" s="116"/>
      <c r="AP80" s="179"/>
      <c r="AQ80" s="138">
        <v>1.0</v>
      </c>
      <c r="AR80" s="116"/>
      <c r="AS80" s="191">
        <v>1.0</v>
      </c>
      <c r="AT80" s="138">
        <v>1.0</v>
      </c>
      <c r="AU80" s="116"/>
      <c r="AV80" s="116"/>
      <c r="AW80" s="179"/>
      <c r="AX80" s="138">
        <v>1.0</v>
      </c>
      <c r="AY80" s="138">
        <v>1.0</v>
      </c>
      <c r="AZ80" s="116"/>
      <c r="BA80" s="180"/>
      <c r="BB80" s="218">
        <v>1.0</v>
      </c>
      <c r="BC80" s="218">
        <v>1.0</v>
      </c>
      <c r="BD80" s="219">
        <v>1.0</v>
      </c>
      <c r="BE80" s="181"/>
      <c r="BF80" s="181"/>
      <c r="BG80" s="139">
        <f t="shared" si="16"/>
        <v>10</v>
      </c>
      <c r="BH80" s="208">
        <f t="shared" si="17"/>
        <v>90.90909091</v>
      </c>
      <c r="BI80" s="116"/>
      <c r="BJ80" s="116"/>
      <c r="BK80" s="180"/>
      <c r="BL80" s="116"/>
      <c r="BM80" s="116"/>
      <c r="BN80" s="138">
        <v>1.0</v>
      </c>
      <c r="BO80" s="138">
        <v>1.0</v>
      </c>
      <c r="BP80" s="116"/>
      <c r="BQ80" s="116"/>
      <c r="BR80" s="138">
        <v>1.0</v>
      </c>
      <c r="BS80" s="138">
        <v>1.0</v>
      </c>
      <c r="BT80" s="116"/>
      <c r="BU80" s="241">
        <v>1.0</v>
      </c>
      <c r="BV80" s="116"/>
      <c r="BW80" s="268">
        <v>1.0</v>
      </c>
      <c r="BX80" s="196">
        <v>1.0</v>
      </c>
      <c r="BY80" s="138">
        <v>1.0</v>
      </c>
      <c r="BZ80" s="196">
        <v>1.0</v>
      </c>
      <c r="CA80" s="138">
        <v>1.0</v>
      </c>
      <c r="CB80" s="138">
        <v>1.0</v>
      </c>
      <c r="CC80" s="196">
        <v>1.0</v>
      </c>
      <c r="CD80" s="196">
        <v>1.0</v>
      </c>
      <c r="CE80" s="124">
        <f t="shared" si="18"/>
        <v>13</v>
      </c>
      <c r="CF80" s="173">
        <f t="shared" si="19"/>
        <v>92.85714286</v>
      </c>
      <c r="CG80" s="138">
        <v>1.0</v>
      </c>
      <c r="CH80" s="116"/>
      <c r="CI80" s="138">
        <v>1.0</v>
      </c>
      <c r="CJ80" s="186"/>
      <c r="CK80" s="116"/>
      <c r="CL80" s="186"/>
      <c r="CM80" s="116"/>
      <c r="CN80" s="116"/>
      <c r="CO80" s="116"/>
      <c r="CP80" s="166"/>
      <c r="CQ80" s="213"/>
      <c r="CR80" s="213"/>
      <c r="CS80" s="116"/>
      <c r="CT80" s="116"/>
      <c r="CU80" s="116"/>
      <c r="CV80" s="213"/>
      <c r="CW80" s="128">
        <f t="shared" si="20"/>
        <v>2</v>
      </c>
      <c r="CX80" s="214">
        <f t="shared" si="21"/>
        <v>66.66666667</v>
      </c>
      <c r="CY80" s="171"/>
      <c r="CZ80" s="171"/>
      <c r="DA80" s="171"/>
      <c r="DB80" s="171"/>
      <c r="DC80" s="171"/>
      <c r="DD80" s="171"/>
      <c r="DE80" s="171"/>
      <c r="DF80" s="171"/>
      <c r="DG80" s="171"/>
      <c r="DH80" s="171"/>
      <c r="DI80" s="171"/>
      <c r="DJ80" s="171"/>
      <c r="DK80" s="128">
        <f t="shared" si="22"/>
        <v>0</v>
      </c>
      <c r="DL80" s="158" t="str">
        <f t="shared" si="23"/>
        <v>#DIV/0!</v>
      </c>
    </row>
    <row r="81" ht="15.75" customHeight="1">
      <c r="A81" s="146">
        <v>72.0</v>
      </c>
      <c r="B81" s="111" t="s">
        <v>195</v>
      </c>
      <c r="C81" s="112" t="s">
        <v>196</v>
      </c>
      <c r="D81" s="98">
        <f t="shared" si="8"/>
        <v>12</v>
      </c>
      <c r="E81" s="130">
        <f t="shared" si="9"/>
        <v>31.57894737</v>
      </c>
      <c r="F81" s="114">
        <f t="shared" si="10"/>
        <v>31.57894737</v>
      </c>
      <c r="G81" s="149" t="str">
        <f t="shared" si="11"/>
        <v>  </v>
      </c>
      <c r="H81" s="265"/>
      <c r="I81" s="265"/>
      <c r="J81" s="270"/>
      <c r="K81" s="265"/>
      <c r="L81" s="266"/>
      <c r="M81" s="139">
        <f t="shared" si="12"/>
        <v>0</v>
      </c>
      <c r="N81" s="140" t="str">
        <f t="shared" si="13"/>
        <v>#DIV/0!</v>
      </c>
      <c r="O81" s="116"/>
      <c r="P81" s="116"/>
      <c r="Q81" s="180"/>
      <c r="R81" s="179"/>
      <c r="S81" s="116"/>
      <c r="T81" s="116"/>
      <c r="U81" s="116"/>
      <c r="V81" s="179"/>
      <c r="W81" s="116"/>
      <c r="X81" s="116"/>
      <c r="Y81" s="179"/>
      <c r="Z81" s="185"/>
      <c r="AA81" s="217"/>
      <c r="AB81" s="116"/>
      <c r="AC81" s="179"/>
      <c r="AD81" s="116"/>
      <c r="AE81" s="138">
        <v>1.0</v>
      </c>
      <c r="AF81" s="176"/>
      <c r="AG81" s="176"/>
      <c r="AH81" s="116"/>
      <c r="AI81" s="176"/>
      <c r="AJ81" s="139">
        <f t="shared" si="14"/>
        <v>1</v>
      </c>
      <c r="AK81" s="205">
        <f t="shared" si="15"/>
        <v>10</v>
      </c>
      <c r="AL81" s="138">
        <v>1.0</v>
      </c>
      <c r="AM81" s="138">
        <v>1.0</v>
      </c>
      <c r="AN81" s="184">
        <v>1.0</v>
      </c>
      <c r="AO81" s="116"/>
      <c r="AP81" s="179"/>
      <c r="AQ81" s="138">
        <v>1.0</v>
      </c>
      <c r="AR81" s="116"/>
      <c r="AS81" s="191">
        <v>1.0</v>
      </c>
      <c r="AT81" s="138">
        <v>1.0</v>
      </c>
      <c r="AU81" s="116"/>
      <c r="AV81" s="138">
        <v>1.0</v>
      </c>
      <c r="AW81" s="179"/>
      <c r="AX81" s="138">
        <v>1.0</v>
      </c>
      <c r="AY81" s="138">
        <v>1.0</v>
      </c>
      <c r="AZ81" s="180"/>
      <c r="BA81" s="180"/>
      <c r="BB81" s="116"/>
      <c r="BC81" s="204"/>
      <c r="BD81" s="181"/>
      <c r="BE81" s="181"/>
      <c r="BF81" s="181"/>
      <c r="BG81" s="139">
        <f t="shared" si="16"/>
        <v>8</v>
      </c>
      <c r="BH81" s="208">
        <f t="shared" si="17"/>
        <v>72.72727273</v>
      </c>
      <c r="BI81" s="116"/>
      <c r="BJ81" s="116"/>
      <c r="BK81" s="180"/>
      <c r="BL81" s="116"/>
      <c r="BM81" s="116"/>
      <c r="BN81" s="116"/>
      <c r="BO81" s="116"/>
      <c r="BP81" s="116"/>
      <c r="BQ81" s="116"/>
      <c r="BR81" s="166"/>
      <c r="BS81" s="138">
        <v>1.0</v>
      </c>
      <c r="BT81" s="185"/>
      <c r="BU81" s="43"/>
      <c r="BV81" s="43"/>
      <c r="BW81" s="266"/>
      <c r="BX81" s="165"/>
      <c r="BY81" s="116"/>
      <c r="BZ81" s="196">
        <v>1.0</v>
      </c>
      <c r="CA81" s="196">
        <v>1.0</v>
      </c>
      <c r="CB81" s="196"/>
      <c r="CC81" s="165"/>
      <c r="CD81" s="165"/>
      <c r="CE81" s="124">
        <f t="shared" si="18"/>
        <v>3</v>
      </c>
      <c r="CF81" s="173">
        <f t="shared" si="19"/>
        <v>21.42857143</v>
      </c>
      <c r="CG81" s="179"/>
      <c r="CH81" s="238"/>
      <c r="CI81" s="186"/>
      <c r="CJ81" s="186"/>
      <c r="CK81" s="116"/>
      <c r="CL81" s="186"/>
      <c r="CM81" s="223"/>
      <c r="CN81" s="223"/>
      <c r="CO81" s="223"/>
      <c r="CP81" s="166"/>
      <c r="CQ81" s="213"/>
      <c r="CR81" s="213"/>
      <c r="CS81" s="213"/>
      <c r="CT81" s="213"/>
      <c r="CU81" s="213"/>
      <c r="CV81" s="213"/>
      <c r="CW81" s="128">
        <f t="shared" si="20"/>
        <v>0</v>
      </c>
      <c r="CX81" s="214">
        <f t="shared" si="21"/>
        <v>0</v>
      </c>
      <c r="CY81" s="171"/>
      <c r="CZ81" s="171"/>
      <c r="DA81" s="171"/>
      <c r="DB81" s="171"/>
      <c r="DC81" s="171"/>
      <c r="DD81" s="171"/>
      <c r="DE81" s="171"/>
      <c r="DF81" s="171"/>
      <c r="DG81" s="171"/>
      <c r="DH81" s="171"/>
      <c r="DI81" s="171"/>
      <c r="DJ81" s="171"/>
      <c r="DK81" s="128">
        <f t="shared" si="22"/>
        <v>0</v>
      </c>
      <c r="DL81" s="158" t="str">
        <f t="shared" si="23"/>
        <v>#DIV/0!</v>
      </c>
    </row>
    <row r="82" ht="15.75" customHeight="1">
      <c r="A82" s="50">
        <v>73.0</v>
      </c>
      <c r="B82" s="111" t="s">
        <v>197</v>
      </c>
      <c r="C82" s="112" t="s">
        <v>198</v>
      </c>
      <c r="D82" s="98">
        <f t="shared" si="8"/>
        <v>10</v>
      </c>
      <c r="E82" s="130">
        <f t="shared" si="9"/>
        <v>26.31578947</v>
      </c>
      <c r="F82" s="114">
        <f t="shared" si="10"/>
        <v>26.31578947</v>
      </c>
      <c r="G82" s="226">
        <f t="shared" si="11"/>
        <v>26.31578947</v>
      </c>
      <c r="H82" s="265"/>
      <c r="I82" s="265"/>
      <c r="J82" s="265"/>
      <c r="K82" s="267"/>
      <c r="L82" s="268"/>
      <c r="M82" s="139">
        <f t="shared" si="12"/>
        <v>0</v>
      </c>
      <c r="N82" s="140" t="str">
        <f t="shared" si="13"/>
        <v>#DIV/0!</v>
      </c>
      <c r="O82" s="116"/>
      <c r="P82" s="116"/>
      <c r="Q82" s="116"/>
      <c r="R82" s="179"/>
      <c r="S82" s="179"/>
      <c r="T82" s="116"/>
      <c r="U82" s="116"/>
      <c r="V82" s="179"/>
      <c r="W82" s="116"/>
      <c r="X82" s="116"/>
      <c r="Y82" s="184">
        <v>1.0</v>
      </c>
      <c r="Z82" s="185"/>
      <c r="AA82" s="217"/>
      <c r="AB82" s="138">
        <v>1.0</v>
      </c>
      <c r="AC82" s="179"/>
      <c r="AD82" s="176"/>
      <c r="AE82" s="116"/>
      <c r="AF82" s="176"/>
      <c r="AG82" s="176"/>
      <c r="AH82" s="176"/>
      <c r="AI82" s="116"/>
      <c r="AJ82" s="139">
        <f t="shared" si="14"/>
        <v>2</v>
      </c>
      <c r="AK82" s="205">
        <f t="shared" si="15"/>
        <v>20</v>
      </c>
      <c r="AL82" s="116"/>
      <c r="AM82" s="138">
        <v>1.0</v>
      </c>
      <c r="AN82" s="179"/>
      <c r="AO82" s="116"/>
      <c r="AP82" s="179"/>
      <c r="AQ82" s="116"/>
      <c r="AR82" s="116"/>
      <c r="AS82" s="166"/>
      <c r="AT82" s="116"/>
      <c r="AU82" s="116"/>
      <c r="AV82" s="116"/>
      <c r="AW82" s="179"/>
      <c r="AX82" s="116"/>
      <c r="AY82" s="116"/>
      <c r="AZ82" s="180"/>
      <c r="BA82" s="180"/>
      <c r="BB82" s="204"/>
      <c r="BC82" s="204"/>
      <c r="BD82" s="181"/>
      <c r="BE82" s="181"/>
      <c r="BF82" s="181"/>
      <c r="BG82" s="139">
        <f t="shared" si="16"/>
        <v>1</v>
      </c>
      <c r="BH82" s="208">
        <f t="shared" si="17"/>
        <v>9.090909091</v>
      </c>
      <c r="BI82" s="116"/>
      <c r="BJ82" s="180"/>
      <c r="BK82" s="180"/>
      <c r="BL82" s="116"/>
      <c r="BM82" s="116"/>
      <c r="BN82" s="116"/>
      <c r="BO82" s="116"/>
      <c r="BP82" s="116"/>
      <c r="BQ82" s="211"/>
      <c r="BR82" s="166"/>
      <c r="BS82" s="165"/>
      <c r="BT82" s="116"/>
      <c r="BU82" s="43"/>
      <c r="BV82" s="43"/>
      <c r="BW82" s="268">
        <v>1.0</v>
      </c>
      <c r="BX82" s="196">
        <v>1.0</v>
      </c>
      <c r="BY82" s="138">
        <v>1.0</v>
      </c>
      <c r="BZ82" s="196">
        <v>1.0</v>
      </c>
      <c r="CA82" s="116"/>
      <c r="CB82" s="116"/>
      <c r="CC82" s="165"/>
      <c r="CD82" s="196">
        <v>1.0</v>
      </c>
      <c r="CE82" s="124">
        <f t="shared" si="18"/>
        <v>5</v>
      </c>
      <c r="CF82" s="173">
        <f t="shared" si="19"/>
        <v>35.71428571</v>
      </c>
      <c r="CG82" s="184">
        <v>1.0</v>
      </c>
      <c r="CH82" s="138">
        <v>1.0</v>
      </c>
      <c r="CI82" s="186"/>
      <c r="CJ82" s="186"/>
      <c r="CK82" s="116"/>
      <c r="CL82" s="186"/>
      <c r="CM82" s="223"/>
      <c r="CN82" s="223"/>
      <c r="CO82" s="116"/>
      <c r="CP82" s="166"/>
      <c r="CQ82" s="213"/>
      <c r="CR82" s="213"/>
      <c r="CS82" s="116"/>
      <c r="CT82" s="213"/>
      <c r="CU82" s="213"/>
      <c r="CV82" s="213"/>
      <c r="CW82" s="128">
        <f t="shared" si="20"/>
        <v>2</v>
      </c>
      <c r="CX82" s="214">
        <f t="shared" si="21"/>
        <v>66.66666667</v>
      </c>
      <c r="CY82" s="171"/>
      <c r="CZ82" s="171"/>
      <c r="DA82" s="171"/>
      <c r="DB82" s="171"/>
      <c r="DC82" s="171"/>
      <c r="DD82" s="171"/>
      <c r="DE82" s="171"/>
      <c r="DF82" s="171"/>
      <c r="DG82" s="171"/>
      <c r="DH82" s="171"/>
      <c r="DI82" s="171"/>
      <c r="DJ82" s="171"/>
      <c r="DK82" s="128">
        <f t="shared" si="22"/>
        <v>0</v>
      </c>
      <c r="DL82" s="158" t="str">
        <f t="shared" si="23"/>
        <v>#DIV/0!</v>
      </c>
    </row>
    <row r="83" ht="15.75" customHeight="1">
      <c r="A83" s="131">
        <v>74.0</v>
      </c>
      <c r="B83" s="111" t="s">
        <v>199</v>
      </c>
      <c r="C83" s="112" t="s">
        <v>200</v>
      </c>
      <c r="D83" s="98">
        <f t="shared" si="8"/>
        <v>11</v>
      </c>
      <c r="E83" s="130">
        <f t="shared" si="9"/>
        <v>28.94736842</v>
      </c>
      <c r="F83" s="114">
        <f t="shared" si="10"/>
        <v>28.94736842</v>
      </c>
      <c r="G83" s="226">
        <f t="shared" si="11"/>
        <v>28.94736842</v>
      </c>
      <c r="H83" s="265"/>
      <c r="I83" s="265"/>
      <c r="J83" s="267"/>
      <c r="K83" s="267"/>
      <c r="L83" s="268"/>
      <c r="M83" s="139">
        <f t="shared" si="12"/>
        <v>0</v>
      </c>
      <c r="N83" s="140" t="str">
        <f t="shared" si="13"/>
        <v>#DIV/0!</v>
      </c>
      <c r="O83" s="116"/>
      <c r="P83" s="116"/>
      <c r="Q83" s="116"/>
      <c r="R83" s="179"/>
      <c r="S83" s="179"/>
      <c r="T83" s="116"/>
      <c r="U83" s="116"/>
      <c r="V83" s="179"/>
      <c r="W83" s="116"/>
      <c r="X83" s="116"/>
      <c r="Y83" s="179"/>
      <c r="Z83" s="185"/>
      <c r="AA83" s="217"/>
      <c r="AB83" s="138">
        <v>1.0</v>
      </c>
      <c r="AC83" s="184">
        <v>1.0</v>
      </c>
      <c r="AD83" s="176"/>
      <c r="AE83" s="116"/>
      <c r="AF83" s="163"/>
      <c r="AG83" s="182">
        <v>1.0</v>
      </c>
      <c r="AH83" s="176"/>
      <c r="AI83" s="176"/>
      <c r="AJ83" s="139">
        <f t="shared" si="14"/>
        <v>3</v>
      </c>
      <c r="AK83" s="205">
        <f t="shared" si="15"/>
        <v>30</v>
      </c>
      <c r="AL83" s="116"/>
      <c r="AM83" s="116"/>
      <c r="AN83" s="179"/>
      <c r="AO83" s="116"/>
      <c r="AP83" s="179"/>
      <c r="AQ83" s="116"/>
      <c r="AR83" s="116"/>
      <c r="AS83" s="191">
        <v>1.0</v>
      </c>
      <c r="AT83" s="116"/>
      <c r="AU83" s="116"/>
      <c r="AV83" s="116"/>
      <c r="AW83" s="179"/>
      <c r="AX83" s="116"/>
      <c r="AY83" s="116"/>
      <c r="AZ83" s="180"/>
      <c r="BA83" s="180"/>
      <c r="BB83" s="204"/>
      <c r="BC83" s="218">
        <v>1.0</v>
      </c>
      <c r="BD83" s="181"/>
      <c r="BE83" s="181"/>
      <c r="BF83" s="181"/>
      <c r="BG83" s="139">
        <f t="shared" si="16"/>
        <v>2</v>
      </c>
      <c r="BH83" s="208">
        <f t="shared" si="17"/>
        <v>18.18181818</v>
      </c>
      <c r="BI83" s="116"/>
      <c r="BJ83" s="116"/>
      <c r="BK83" s="180"/>
      <c r="BL83" s="116"/>
      <c r="BM83" s="116"/>
      <c r="BN83" s="116"/>
      <c r="BO83" s="116"/>
      <c r="BP83" s="116"/>
      <c r="BQ83" s="211"/>
      <c r="BR83" s="166"/>
      <c r="BS83" s="165"/>
      <c r="BT83" s="116"/>
      <c r="BU83" s="43"/>
      <c r="BV83" s="43"/>
      <c r="BW83" s="268">
        <v>1.0</v>
      </c>
      <c r="BX83" s="196">
        <v>1.0</v>
      </c>
      <c r="BY83" s="138">
        <v>1.0</v>
      </c>
      <c r="BZ83" s="196">
        <v>1.0</v>
      </c>
      <c r="CA83" s="116"/>
      <c r="CB83" s="116"/>
      <c r="CC83" s="165"/>
      <c r="CD83" s="196">
        <v>1.0</v>
      </c>
      <c r="CE83" s="124">
        <f t="shared" si="18"/>
        <v>5</v>
      </c>
      <c r="CF83" s="173">
        <f t="shared" si="19"/>
        <v>35.71428571</v>
      </c>
      <c r="CG83" s="184">
        <v>1.0</v>
      </c>
      <c r="CH83" s="116"/>
      <c r="CI83" s="186"/>
      <c r="CJ83" s="116"/>
      <c r="CK83" s="231"/>
      <c r="CL83" s="186"/>
      <c r="CM83" s="116"/>
      <c r="CN83" s="223"/>
      <c r="CO83" s="223"/>
      <c r="CP83" s="166"/>
      <c r="CQ83" s="213"/>
      <c r="CR83" s="213"/>
      <c r="CS83" s="213"/>
      <c r="CT83" s="213"/>
      <c r="CU83" s="213"/>
      <c r="CV83" s="213"/>
      <c r="CW83" s="128">
        <f t="shared" si="20"/>
        <v>1</v>
      </c>
      <c r="CX83" s="214">
        <f t="shared" si="21"/>
        <v>33.33333333</v>
      </c>
      <c r="CY83" s="171"/>
      <c r="CZ83" s="171"/>
      <c r="DA83" s="171"/>
      <c r="DB83" s="171"/>
      <c r="DC83" s="171"/>
      <c r="DD83" s="171"/>
      <c r="DE83" s="171"/>
      <c r="DF83" s="171"/>
      <c r="DG83" s="171"/>
      <c r="DH83" s="171"/>
      <c r="DI83" s="171"/>
      <c r="DJ83" s="171"/>
      <c r="DK83" s="128">
        <f t="shared" si="22"/>
        <v>0</v>
      </c>
      <c r="DL83" s="158" t="str">
        <f t="shared" si="23"/>
        <v>#DIV/0!</v>
      </c>
    </row>
    <row r="84" ht="15.75" customHeight="1">
      <c r="A84" s="146">
        <v>75.0</v>
      </c>
      <c r="B84" s="111" t="s">
        <v>201</v>
      </c>
      <c r="C84" s="112" t="s">
        <v>202</v>
      </c>
      <c r="D84" s="98">
        <f t="shared" si="8"/>
        <v>11</v>
      </c>
      <c r="E84" s="130">
        <f t="shared" si="9"/>
        <v>28.94736842</v>
      </c>
      <c r="F84" s="114">
        <f t="shared" si="10"/>
        <v>28.94736842</v>
      </c>
      <c r="G84" s="226">
        <f t="shared" si="11"/>
        <v>28.94736842</v>
      </c>
      <c r="H84" s="265"/>
      <c r="I84" s="265"/>
      <c r="J84" s="265"/>
      <c r="K84" s="265"/>
      <c r="L84" s="266"/>
      <c r="M84" s="139">
        <f t="shared" si="12"/>
        <v>0</v>
      </c>
      <c r="N84" s="140" t="str">
        <f t="shared" si="13"/>
        <v>#DIV/0!</v>
      </c>
      <c r="O84" s="116"/>
      <c r="P84" s="116"/>
      <c r="Q84" s="116"/>
      <c r="R84" s="163"/>
      <c r="S84" s="163"/>
      <c r="T84" s="116"/>
      <c r="U84" s="116"/>
      <c r="V84" s="163"/>
      <c r="W84" s="116"/>
      <c r="X84" s="116"/>
      <c r="Y84" s="262">
        <v>1.0</v>
      </c>
      <c r="Z84" s="185"/>
      <c r="AA84" s="217"/>
      <c r="AB84" s="138">
        <v>1.0</v>
      </c>
      <c r="AC84" s="163"/>
      <c r="AD84" s="163"/>
      <c r="AE84" s="116"/>
      <c r="AF84" s="163"/>
      <c r="AG84" s="163"/>
      <c r="AH84" s="163"/>
      <c r="AI84" s="163"/>
      <c r="AJ84" s="139">
        <f t="shared" si="14"/>
        <v>2</v>
      </c>
      <c r="AK84" s="119">
        <f t="shared" si="15"/>
        <v>20</v>
      </c>
      <c r="AL84" s="163"/>
      <c r="AM84" s="262">
        <v>1.0</v>
      </c>
      <c r="AN84" s="179"/>
      <c r="AO84" s="116"/>
      <c r="AP84" s="116"/>
      <c r="AQ84" s="116"/>
      <c r="AR84" s="116"/>
      <c r="AS84" s="191">
        <v>1.0</v>
      </c>
      <c r="AT84" s="116"/>
      <c r="AU84" s="116"/>
      <c r="AV84" s="138">
        <v>1.0</v>
      </c>
      <c r="AW84" s="163"/>
      <c r="AX84" s="116"/>
      <c r="AY84" s="116"/>
      <c r="AZ84" s="180"/>
      <c r="BA84" s="180"/>
      <c r="BB84" s="116"/>
      <c r="BC84" s="215">
        <v>1.0</v>
      </c>
      <c r="BD84" s="181"/>
      <c r="BE84" s="181"/>
      <c r="BF84" s="181"/>
      <c r="BG84" s="139">
        <f t="shared" si="16"/>
        <v>4</v>
      </c>
      <c r="BH84" s="272">
        <f t="shared" si="17"/>
        <v>36.36363636</v>
      </c>
      <c r="BI84" s="116"/>
      <c r="BJ84" s="180"/>
      <c r="BK84" s="180"/>
      <c r="BL84" s="116"/>
      <c r="BM84" s="116"/>
      <c r="BN84" s="138">
        <v>1.0</v>
      </c>
      <c r="BO84" s="138">
        <v>1.0</v>
      </c>
      <c r="BP84" s="116"/>
      <c r="BQ84" s="211"/>
      <c r="BR84" s="166"/>
      <c r="BS84" s="165"/>
      <c r="BT84" s="116"/>
      <c r="BV84" s="116"/>
      <c r="BW84" s="265"/>
      <c r="BX84" s="116"/>
      <c r="BY84" s="138">
        <v>1.0</v>
      </c>
      <c r="BZ84" s="138">
        <v>1.0</v>
      </c>
      <c r="CA84" s="116"/>
      <c r="CB84" s="116"/>
      <c r="CC84" s="116"/>
      <c r="CD84" s="116"/>
      <c r="CE84" s="124">
        <f t="shared" si="18"/>
        <v>4</v>
      </c>
      <c r="CF84" s="44">
        <f t="shared" si="19"/>
        <v>28.57142857</v>
      </c>
      <c r="CG84" s="138">
        <v>1.0</v>
      </c>
      <c r="CH84" s="116"/>
      <c r="CI84" s="116"/>
      <c r="CJ84" s="163"/>
      <c r="CK84" s="163"/>
      <c r="CL84" s="163"/>
      <c r="CM84" s="163"/>
      <c r="CN84" s="163"/>
      <c r="CO84" s="163"/>
      <c r="CP84" s="166"/>
      <c r="CQ84" s="166"/>
      <c r="CR84" s="166"/>
      <c r="CS84" s="166"/>
      <c r="CT84" s="116"/>
      <c r="CU84" s="166"/>
      <c r="CV84" s="166"/>
      <c r="CW84" s="128">
        <f t="shared" si="20"/>
        <v>1</v>
      </c>
      <c r="CX84" s="214">
        <f t="shared" si="21"/>
        <v>33.33333333</v>
      </c>
      <c r="CY84" s="171"/>
      <c r="CZ84" s="171"/>
      <c r="DA84" s="171"/>
      <c r="DB84" s="171"/>
      <c r="DC84" s="171"/>
      <c r="DD84" s="171"/>
      <c r="DE84" s="171"/>
      <c r="DF84" s="171"/>
      <c r="DG84" s="171"/>
      <c r="DH84" s="171"/>
      <c r="DI84" s="171"/>
      <c r="DJ84" s="171"/>
      <c r="DK84" s="128">
        <f t="shared" si="22"/>
        <v>0</v>
      </c>
      <c r="DL84" s="158" t="str">
        <f t="shared" si="23"/>
        <v>#DIV/0!</v>
      </c>
    </row>
    <row r="85" ht="15.75" customHeight="1">
      <c r="A85" s="50">
        <v>76.0</v>
      </c>
      <c r="B85" s="111" t="s">
        <v>203</v>
      </c>
      <c r="C85" s="112" t="s">
        <v>204</v>
      </c>
      <c r="D85" s="98">
        <f t="shared" si="8"/>
        <v>16</v>
      </c>
      <c r="E85" s="130">
        <f t="shared" si="9"/>
        <v>42.10526316</v>
      </c>
      <c r="F85" s="114">
        <f t="shared" si="10"/>
        <v>42.10526316</v>
      </c>
      <c r="G85" s="149" t="str">
        <f t="shared" si="11"/>
        <v>  </v>
      </c>
      <c r="H85" s="265"/>
      <c r="I85" s="265"/>
      <c r="J85" s="269"/>
      <c r="K85" s="265"/>
      <c r="L85" s="266"/>
      <c r="M85" s="139">
        <f t="shared" si="12"/>
        <v>0</v>
      </c>
      <c r="N85" s="140" t="str">
        <f t="shared" si="13"/>
        <v>#DIV/0!</v>
      </c>
      <c r="O85" s="116"/>
      <c r="P85" s="116"/>
      <c r="Q85" s="116"/>
      <c r="R85" s="163"/>
      <c r="S85" s="163"/>
      <c r="T85" s="116"/>
      <c r="U85" s="116"/>
      <c r="V85" s="163"/>
      <c r="W85" s="116"/>
      <c r="X85" s="116"/>
      <c r="Y85" s="262">
        <v>1.0</v>
      </c>
      <c r="Z85" s="185"/>
      <c r="AA85" s="217"/>
      <c r="AB85" s="138">
        <v>1.0</v>
      </c>
      <c r="AC85" s="262">
        <v>1.0</v>
      </c>
      <c r="AD85" s="163"/>
      <c r="AE85" s="116"/>
      <c r="AF85" s="116"/>
      <c r="AG85" s="262">
        <v>1.0</v>
      </c>
      <c r="AH85" s="163"/>
      <c r="AI85" s="116"/>
      <c r="AJ85" s="139">
        <f t="shared" si="14"/>
        <v>4</v>
      </c>
      <c r="AK85" s="119">
        <f t="shared" si="15"/>
        <v>40</v>
      </c>
      <c r="AL85" s="116"/>
      <c r="AM85" s="138">
        <v>1.0</v>
      </c>
      <c r="AN85" s="179"/>
      <c r="AO85" s="116"/>
      <c r="AP85" s="179"/>
      <c r="AQ85" s="116"/>
      <c r="AR85" s="116"/>
      <c r="AS85" s="191">
        <v>1.0</v>
      </c>
      <c r="AT85" s="116"/>
      <c r="AU85" s="116"/>
      <c r="AV85" s="116"/>
      <c r="AW85" s="163"/>
      <c r="AX85" s="116"/>
      <c r="AY85" s="116"/>
      <c r="AZ85" s="180"/>
      <c r="BA85" s="180"/>
      <c r="BB85" s="116"/>
      <c r="BC85" s="215">
        <v>1.0</v>
      </c>
      <c r="BD85" s="181"/>
      <c r="BE85" s="181"/>
      <c r="BF85" s="181"/>
      <c r="BG85" s="139">
        <f t="shared" si="16"/>
        <v>3</v>
      </c>
      <c r="BH85" s="272">
        <f t="shared" si="17"/>
        <v>27.27272727</v>
      </c>
      <c r="BI85" s="116"/>
      <c r="BJ85" s="116"/>
      <c r="BK85" s="180"/>
      <c r="BL85" s="116"/>
      <c r="BM85" s="116"/>
      <c r="BN85" s="138">
        <v>1.0</v>
      </c>
      <c r="BO85" s="138">
        <v>1.0</v>
      </c>
      <c r="BP85" s="116"/>
      <c r="BQ85" s="211"/>
      <c r="BR85" s="166"/>
      <c r="BS85" s="165"/>
      <c r="BT85" s="116"/>
      <c r="BU85" s="43"/>
      <c r="BV85" s="43"/>
      <c r="BW85" s="267">
        <v>1.0</v>
      </c>
      <c r="BX85" s="138">
        <v>1.0</v>
      </c>
      <c r="BY85" s="138">
        <v>1.0</v>
      </c>
      <c r="BZ85" s="138">
        <v>1.0</v>
      </c>
      <c r="CA85" s="116"/>
      <c r="CB85" s="116"/>
      <c r="CC85" s="116"/>
      <c r="CD85" s="138">
        <v>1.0</v>
      </c>
      <c r="CE85" s="124">
        <f t="shared" si="18"/>
        <v>7</v>
      </c>
      <c r="CF85" s="44">
        <f t="shared" si="19"/>
        <v>50</v>
      </c>
      <c r="CG85" s="138">
        <v>1.0</v>
      </c>
      <c r="CH85" s="138">
        <v>1.0</v>
      </c>
      <c r="CI85" s="163"/>
      <c r="CJ85" s="163"/>
      <c r="CK85" s="163"/>
      <c r="CL85" s="163"/>
      <c r="CM85" s="116"/>
      <c r="CN85" s="163"/>
      <c r="CO85" s="163"/>
      <c r="CP85" s="166"/>
      <c r="CQ85" s="166"/>
      <c r="CR85" s="166"/>
      <c r="CS85" s="166"/>
      <c r="CT85" s="116"/>
      <c r="CU85" s="116"/>
      <c r="CV85" s="166"/>
      <c r="CW85" s="128">
        <f t="shared" si="20"/>
        <v>2</v>
      </c>
      <c r="CX85" s="214">
        <f t="shared" si="21"/>
        <v>66.66666667</v>
      </c>
      <c r="CY85" s="171"/>
      <c r="CZ85" s="171"/>
      <c r="DA85" s="171"/>
      <c r="DB85" s="171"/>
      <c r="DC85" s="171"/>
      <c r="DD85" s="171"/>
      <c r="DE85" s="171"/>
      <c r="DF85" s="171"/>
      <c r="DG85" s="171"/>
      <c r="DH85" s="171"/>
      <c r="DI85" s="171"/>
      <c r="DJ85" s="171"/>
      <c r="DK85" s="128">
        <f t="shared" si="22"/>
        <v>0</v>
      </c>
      <c r="DL85" s="158" t="str">
        <f t="shared" si="23"/>
        <v>#DIV/0!</v>
      </c>
    </row>
    <row r="86" ht="15.75" customHeight="1">
      <c r="A86" s="131">
        <v>77.0</v>
      </c>
      <c r="B86" s="126" t="s">
        <v>205</v>
      </c>
      <c r="C86" s="260" t="s">
        <v>206</v>
      </c>
      <c r="D86" s="98">
        <f t="shared" si="8"/>
        <v>15</v>
      </c>
      <c r="E86" s="130">
        <f t="shared" si="9"/>
        <v>39.47368421</v>
      </c>
      <c r="F86" s="114">
        <f t="shared" si="10"/>
        <v>39.47368421</v>
      </c>
      <c r="G86" s="149" t="str">
        <f t="shared" si="11"/>
        <v>  </v>
      </c>
      <c r="H86" s="265"/>
      <c r="I86" s="265"/>
      <c r="J86" s="265"/>
      <c r="K86" s="265"/>
      <c r="L86" s="266"/>
      <c r="M86" s="139">
        <f t="shared" si="12"/>
        <v>0</v>
      </c>
      <c r="N86" s="140" t="str">
        <f t="shared" si="13"/>
        <v>#DIV/0!</v>
      </c>
      <c r="O86" s="116"/>
      <c r="P86" s="116"/>
      <c r="Q86" s="116"/>
      <c r="R86" s="163"/>
      <c r="S86" s="116"/>
      <c r="T86" s="116"/>
      <c r="U86" s="116"/>
      <c r="V86" s="163"/>
      <c r="W86" s="116"/>
      <c r="X86" s="116"/>
      <c r="Y86" s="163"/>
      <c r="Z86" s="185"/>
      <c r="AA86" s="217"/>
      <c r="AB86" s="138">
        <v>1.0</v>
      </c>
      <c r="AC86" s="262">
        <v>1.0</v>
      </c>
      <c r="AD86" s="116"/>
      <c r="AE86" s="138">
        <v>1.0</v>
      </c>
      <c r="AF86" s="116"/>
      <c r="AG86" s="262">
        <v>1.0</v>
      </c>
      <c r="AH86" s="116"/>
      <c r="AI86" s="116"/>
      <c r="AJ86" s="139">
        <f t="shared" si="14"/>
        <v>4</v>
      </c>
      <c r="AK86" s="119">
        <f t="shared" si="15"/>
        <v>40</v>
      </c>
      <c r="AL86" s="138">
        <v>1.0</v>
      </c>
      <c r="AM86" s="138">
        <v>1.0</v>
      </c>
      <c r="AN86" s="262">
        <v>1.0</v>
      </c>
      <c r="AO86" s="116"/>
      <c r="AP86" s="163"/>
      <c r="AQ86" s="138">
        <v>1.0</v>
      </c>
      <c r="AR86" s="116"/>
      <c r="AS86" s="191">
        <v>1.0</v>
      </c>
      <c r="AT86" s="138">
        <v>1.0</v>
      </c>
      <c r="AU86" s="116"/>
      <c r="AV86" s="138">
        <v>1.0</v>
      </c>
      <c r="AW86" s="163"/>
      <c r="AX86" s="138">
        <v>1.0</v>
      </c>
      <c r="AY86" s="138">
        <v>1.0</v>
      </c>
      <c r="AZ86" s="180"/>
      <c r="BA86" s="180"/>
      <c r="BB86" s="116"/>
      <c r="BC86" s="180"/>
      <c r="BD86" s="181"/>
      <c r="BE86" s="181"/>
      <c r="BF86" s="181"/>
      <c r="BG86" s="139">
        <f t="shared" si="16"/>
        <v>8</v>
      </c>
      <c r="BH86" s="272">
        <f t="shared" si="17"/>
        <v>72.72727273</v>
      </c>
      <c r="BI86" s="116"/>
      <c r="BJ86" s="180"/>
      <c r="BK86" s="180"/>
      <c r="BL86" s="116"/>
      <c r="BM86" s="116"/>
      <c r="BN86" s="116"/>
      <c r="BO86" s="116"/>
      <c r="BP86" s="116"/>
      <c r="BQ86" s="116"/>
      <c r="BR86" s="166"/>
      <c r="BS86" s="138">
        <v>1.0</v>
      </c>
      <c r="BT86" s="116"/>
      <c r="BU86" s="43"/>
      <c r="BV86" s="43"/>
      <c r="BW86" s="265"/>
      <c r="BX86" s="116"/>
      <c r="BY86" s="116"/>
      <c r="BZ86" s="138">
        <v>1.0</v>
      </c>
      <c r="CA86" s="138">
        <v>1.0</v>
      </c>
      <c r="CB86" s="138"/>
      <c r="CC86" s="116"/>
      <c r="CD86" s="116"/>
      <c r="CE86" s="124">
        <f t="shared" si="18"/>
        <v>3</v>
      </c>
      <c r="CF86" s="44">
        <f t="shared" si="19"/>
        <v>21.42857143</v>
      </c>
      <c r="CG86" s="116"/>
      <c r="CH86" s="116"/>
      <c r="CI86" s="163"/>
      <c r="CJ86" s="163"/>
      <c r="CK86" s="116"/>
      <c r="CL86" s="163"/>
      <c r="CM86" s="163"/>
      <c r="CN86" s="163"/>
      <c r="CO86" s="116"/>
      <c r="CP86" s="163"/>
      <c r="CQ86" s="163"/>
      <c r="CR86" s="163"/>
      <c r="CS86" s="163"/>
      <c r="CT86" s="163"/>
      <c r="CU86" s="163"/>
      <c r="CV86" s="163"/>
      <c r="CW86" s="128">
        <f t="shared" si="20"/>
        <v>0</v>
      </c>
      <c r="CX86" s="214">
        <f t="shared" si="21"/>
        <v>0</v>
      </c>
      <c r="CY86" s="171"/>
      <c r="CZ86" s="171"/>
      <c r="DA86" s="171"/>
      <c r="DB86" s="171"/>
      <c r="DC86" s="171"/>
      <c r="DD86" s="171"/>
      <c r="DE86" s="171"/>
      <c r="DF86" s="171"/>
      <c r="DG86" s="171"/>
      <c r="DH86" s="171"/>
      <c r="DI86" s="171"/>
      <c r="DJ86" s="171"/>
      <c r="DK86" s="128">
        <f t="shared" si="22"/>
        <v>0</v>
      </c>
      <c r="DL86" s="158" t="str">
        <f t="shared" si="23"/>
        <v>#DIV/0!</v>
      </c>
    </row>
    <row r="87" ht="15.75" customHeight="1">
      <c r="A87" s="146">
        <v>78.0</v>
      </c>
      <c r="B87" s="111" t="s">
        <v>207</v>
      </c>
      <c r="C87" s="112" t="s">
        <v>208</v>
      </c>
      <c r="D87" s="98">
        <f t="shared" si="8"/>
        <v>20</v>
      </c>
      <c r="E87" s="130">
        <f t="shared" si="9"/>
        <v>52.63157895</v>
      </c>
      <c r="F87" s="92" t="str">
        <f t="shared" si="10"/>
        <v>  </v>
      </c>
      <c r="G87" s="92" t="str">
        <f t="shared" si="11"/>
        <v>  </v>
      </c>
      <c r="H87" s="265"/>
      <c r="I87" s="265"/>
      <c r="J87" s="267"/>
      <c r="K87" s="267"/>
      <c r="L87" s="268"/>
      <c r="M87" s="139">
        <f t="shared" si="12"/>
        <v>0</v>
      </c>
      <c r="N87" s="140" t="str">
        <f t="shared" si="13"/>
        <v>#DIV/0!</v>
      </c>
      <c r="O87" s="116"/>
      <c r="P87" s="116"/>
      <c r="Q87" s="180"/>
      <c r="R87" s="163"/>
      <c r="S87" s="116"/>
      <c r="T87" s="116"/>
      <c r="U87" s="116"/>
      <c r="V87" s="163"/>
      <c r="W87" s="116"/>
      <c r="X87" s="138">
        <v>1.0</v>
      </c>
      <c r="Y87" s="262">
        <v>1.0</v>
      </c>
      <c r="Z87" s="185"/>
      <c r="AA87" s="187">
        <v>1.0</v>
      </c>
      <c r="AB87" s="116"/>
      <c r="AC87" s="163"/>
      <c r="AD87" s="116"/>
      <c r="AE87" s="163"/>
      <c r="AF87" s="262">
        <v>1.0</v>
      </c>
      <c r="AG87" s="262">
        <v>1.0</v>
      </c>
      <c r="AH87" s="116"/>
      <c r="AI87" s="163"/>
      <c r="AJ87" s="139">
        <f t="shared" si="14"/>
        <v>5</v>
      </c>
      <c r="AK87" s="119">
        <f t="shared" si="15"/>
        <v>50</v>
      </c>
      <c r="AL87" s="138">
        <v>1.0</v>
      </c>
      <c r="AM87" s="163"/>
      <c r="AN87" s="163"/>
      <c r="AO87" s="163"/>
      <c r="AP87" s="116"/>
      <c r="AQ87" s="138">
        <v>1.0</v>
      </c>
      <c r="AR87" s="116"/>
      <c r="AS87" s="166"/>
      <c r="AT87" s="138">
        <v>1.0</v>
      </c>
      <c r="AU87" s="116"/>
      <c r="AV87" s="116"/>
      <c r="AW87" s="163"/>
      <c r="AX87" s="116"/>
      <c r="AY87" s="138">
        <v>1.0</v>
      </c>
      <c r="AZ87" s="116"/>
      <c r="BA87" s="116"/>
      <c r="BB87" s="215">
        <v>1.0</v>
      </c>
      <c r="BC87" s="116"/>
      <c r="BD87" s="188">
        <v>1.0</v>
      </c>
      <c r="BE87" s="194"/>
      <c r="BF87" s="194"/>
      <c r="BG87" s="139">
        <f t="shared" si="16"/>
        <v>5</v>
      </c>
      <c r="BH87" s="272">
        <f t="shared" si="17"/>
        <v>45.45454545</v>
      </c>
      <c r="BI87" s="116"/>
      <c r="BJ87" s="116"/>
      <c r="BK87" s="180"/>
      <c r="BL87" s="116"/>
      <c r="BM87" s="116"/>
      <c r="BN87" s="138">
        <v>1.0</v>
      </c>
      <c r="BO87" s="138">
        <v>1.0</v>
      </c>
      <c r="BP87" s="116"/>
      <c r="BQ87" s="116"/>
      <c r="BR87" s="166"/>
      <c r="BS87" s="138">
        <v>1.0</v>
      </c>
      <c r="BT87" s="116"/>
      <c r="BV87" s="116"/>
      <c r="BW87" s="267">
        <v>1.0</v>
      </c>
      <c r="BX87" s="138">
        <v>1.0</v>
      </c>
      <c r="BY87" s="116"/>
      <c r="BZ87" s="138">
        <v>1.0</v>
      </c>
      <c r="CA87" s="116"/>
      <c r="CB87" s="138">
        <v>1.0</v>
      </c>
      <c r="CC87" s="116"/>
      <c r="CD87" s="138">
        <v>1.0</v>
      </c>
      <c r="CE87" s="124">
        <f t="shared" si="18"/>
        <v>8</v>
      </c>
      <c r="CF87" s="44">
        <f t="shared" si="19"/>
        <v>57.14285714</v>
      </c>
      <c r="CG87" s="262">
        <v>1.0</v>
      </c>
      <c r="CH87" s="238"/>
      <c r="CI87" s="138">
        <v>1.0</v>
      </c>
      <c r="CJ87" s="163"/>
      <c r="CK87" s="163"/>
      <c r="CL87" s="163"/>
      <c r="CM87" s="116"/>
      <c r="CN87" s="116"/>
      <c r="CO87" s="116"/>
      <c r="CP87" s="163"/>
      <c r="CQ87" s="163"/>
      <c r="CR87" s="163"/>
      <c r="CS87" s="163"/>
      <c r="CT87" s="116"/>
      <c r="CU87" s="163"/>
      <c r="CV87" s="163"/>
      <c r="CW87" s="128">
        <f t="shared" si="20"/>
        <v>2</v>
      </c>
      <c r="CX87" s="214">
        <f t="shared" si="21"/>
        <v>66.66666667</v>
      </c>
      <c r="CY87" s="171"/>
      <c r="CZ87" s="171"/>
      <c r="DA87" s="171"/>
      <c r="DB87" s="171"/>
      <c r="DC87" s="171"/>
      <c r="DD87" s="171"/>
      <c r="DE87" s="171"/>
      <c r="DF87" s="171"/>
      <c r="DG87" s="171"/>
      <c r="DH87" s="171"/>
      <c r="DI87" s="171"/>
      <c r="DJ87" s="171"/>
      <c r="DK87" s="128">
        <f t="shared" si="22"/>
        <v>0</v>
      </c>
      <c r="DL87" s="158" t="str">
        <f t="shared" si="23"/>
        <v>#DIV/0!</v>
      </c>
    </row>
    <row r="88" ht="15.75" customHeight="1">
      <c r="A88" s="50">
        <v>79.0</v>
      </c>
      <c r="B88" s="111" t="s">
        <v>209</v>
      </c>
      <c r="C88" s="112" t="s">
        <v>210</v>
      </c>
      <c r="D88" s="98">
        <f t="shared" si="8"/>
        <v>17</v>
      </c>
      <c r="E88" s="130">
        <f t="shared" si="9"/>
        <v>44.73684211</v>
      </c>
      <c r="F88" s="114">
        <f t="shared" si="10"/>
        <v>44.73684211</v>
      </c>
      <c r="G88" s="92" t="str">
        <f t="shared" si="11"/>
        <v>  </v>
      </c>
      <c r="H88" s="265"/>
      <c r="I88" s="265"/>
      <c r="J88" s="267"/>
      <c r="K88" s="267"/>
      <c r="L88" s="268"/>
      <c r="M88" s="139">
        <f t="shared" si="12"/>
        <v>0</v>
      </c>
      <c r="N88" s="140" t="str">
        <f t="shared" si="13"/>
        <v>#DIV/0!</v>
      </c>
      <c r="O88" s="116"/>
      <c r="P88" s="116"/>
      <c r="Q88" s="180"/>
      <c r="R88" s="163"/>
      <c r="S88" s="116"/>
      <c r="T88" s="116"/>
      <c r="U88" s="116"/>
      <c r="V88" s="163"/>
      <c r="W88" s="138">
        <v>1.0</v>
      </c>
      <c r="X88" s="138">
        <v>1.0</v>
      </c>
      <c r="Y88" s="163"/>
      <c r="Z88" s="185"/>
      <c r="AA88" s="187">
        <v>1.0</v>
      </c>
      <c r="AB88" s="116"/>
      <c r="AC88" s="163"/>
      <c r="AD88" s="116"/>
      <c r="AE88" s="163"/>
      <c r="AF88" s="163"/>
      <c r="AG88" s="262">
        <v>1.0</v>
      </c>
      <c r="AH88" s="262">
        <v>1.0</v>
      </c>
      <c r="AI88" s="163"/>
      <c r="AJ88" s="139">
        <f t="shared" si="14"/>
        <v>5</v>
      </c>
      <c r="AK88" s="119">
        <f t="shared" si="15"/>
        <v>50</v>
      </c>
      <c r="AL88" s="116"/>
      <c r="AM88" s="116"/>
      <c r="AN88" s="163"/>
      <c r="AO88" s="116"/>
      <c r="AP88" s="116"/>
      <c r="AQ88" s="116"/>
      <c r="AR88" s="116"/>
      <c r="AS88" s="166"/>
      <c r="AT88" s="138">
        <v>1.0</v>
      </c>
      <c r="AU88" s="116"/>
      <c r="AV88" s="116"/>
      <c r="AW88" s="163"/>
      <c r="AX88" s="138">
        <v>1.0</v>
      </c>
      <c r="AY88" s="138">
        <v>1.0</v>
      </c>
      <c r="AZ88" s="180"/>
      <c r="BA88" s="180"/>
      <c r="BB88" s="138">
        <v>1.0</v>
      </c>
      <c r="BC88" s="138">
        <v>1.0</v>
      </c>
      <c r="BD88" s="194"/>
      <c r="BE88" s="194"/>
      <c r="BF88" s="194"/>
      <c r="BG88" s="139">
        <f t="shared" si="16"/>
        <v>5</v>
      </c>
      <c r="BH88" s="272">
        <f t="shared" si="17"/>
        <v>45.45454545</v>
      </c>
      <c r="BI88" s="116"/>
      <c r="BJ88" s="116"/>
      <c r="BK88" s="180"/>
      <c r="BL88" s="116"/>
      <c r="BM88" s="116"/>
      <c r="BN88" s="116"/>
      <c r="BO88" s="116"/>
      <c r="BP88" s="116"/>
      <c r="BQ88" s="116"/>
      <c r="BR88" s="166"/>
      <c r="BS88" s="138">
        <v>1.0</v>
      </c>
      <c r="BT88" s="185"/>
      <c r="BU88" s="145">
        <v>1.0</v>
      </c>
      <c r="BV88" s="43"/>
      <c r="BW88" s="267">
        <v>1.0</v>
      </c>
      <c r="BX88" s="138">
        <v>1.0</v>
      </c>
      <c r="BY88" s="116"/>
      <c r="BZ88" s="138">
        <v>1.0</v>
      </c>
      <c r="CA88" s="138">
        <v>1.0</v>
      </c>
      <c r="CB88" s="116"/>
      <c r="CC88" s="116"/>
      <c r="CD88" s="138">
        <v>1.0</v>
      </c>
      <c r="CE88" s="124">
        <f t="shared" si="18"/>
        <v>7</v>
      </c>
      <c r="CF88" s="44">
        <f t="shared" si="19"/>
        <v>50</v>
      </c>
      <c r="CG88" s="163"/>
      <c r="CH88" s="116"/>
      <c r="CI88" s="116"/>
      <c r="CJ88" s="163"/>
      <c r="CK88" s="163"/>
      <c r="CL88" s="163"/>
      <c r="CM88" s="163"/>
      <c r="CN88" s="116"/>
      <c r="CO88" s="116"/>
      <c r="CP88" s="163"/>
      <c r="CQ88" s="163"/>
      <c r="CR88" s="163"/>
      <c r="CS88" s="163"/>
      <c r="CT88" s="116"/>
      <c r="CU88" s="163"/>
      <c r="CV88" s="163"/>
      <c r="CW88" s="128">
        <f t="shared" si="20"/>
        <v>0</v>
      </c>
      <c r="CX88" s="214">
        <f t="shared" si="21"/>
        <v>0</v>
      </c>
      <c r="CY88" s="171"/>
      <c r="CZ88" s="171"/>
      <c r="DA88" s="171"/>
      <c r="DB88" s="171"/>
      <c r="DC88" s="171"/>
      <c r="DD88" s="171"/>
      <c r="DE88" s="171"/>
      <c r="DF88" s="171"/>
      <c r="DG88" s="171"/>
      <c r="DH88" s="171"/>
      <c r="DI88" s="171"/>
      <c r="DJ88" s="171"/>
      <c r="DK88" s="128">
        <f t="shared" si="22"/>
        <v>0</v>
      </c>
      <c r="DL88" s="158" t="str">
        <f t="shared" si="23"/>
        <v>#DIV/0!</v>
      </c>
    </row>
    <row r="89" ht="15.75" customHeight="1">
      <c r="A89" s="131">
        <v>80.0</v>
      </c>
      <c r="B89" s="111" t="s">
        <v>211</v>
      </c>
      <c r="C89" s="112" t="s">
        <v>212</v>
      </c>
      <c r="D89" s="98">
        <f t="shared" si="8"/>
        <v>12</v>
      </c>
      <c r="E89" s="130">
        <f t="shared" si="9"/>
        <v>31.57894737</v>
      </c>
      <c r="F89" s="114">
        <f t="shared" si="10"/>
        <v>31.57894737</v>
      </c>
      <c r="G89" s="92" t="str">
        <f t="shared" si="11"/>
        <v>  </v>
      </c>
      <c r="H89" s="274"/>
      <c r="I89" s="274"/>
      <c r="J89" s="274"/>
      <c r="K89" s="274"/>
      <c r="L89" s="275"/>
      <c r="M89" s="139">
        <f t="shared" si="12"/>
        <v>0</v>
      </c>
      <c r="N89" s="140" t="str">
        <f t="shared" si="13"/>
        <v>#DIV/0!</v>
      </c>
      <c r="O89" s="116"/>
      <c r="P89" s="116"/>
      <c r="Q89" s="180"/>
      <c r="R89" s="163"/>
      <c r="S89" s="116"/>
      <c r="T89" s="116"/>
      <c r="U89" s="116"/>
      <c r="V89" s="163"/>
      <c r="W89" s="138">
        <v>1.0</v>
      </c>
      <c r="X89" s="138">
        <v>1.0</v>
      </c>
      <c r="Y89" s="262">
        <v>1.0</v>
      </c>
      <c r="Z89" s="171"/>
      <c r="AA89" s="217"/>
      <c r="AB89" s="116"/>
      <c r="AC89" s="262">
        <v>1.0</v>
      </c>
      <c r="AD89" s="116"/>
      <c r="AE89" s="163"/>
      <c r="AF89" s="138">
        <v>1.0</v>
      </c>
      <c r="AG89" s="163"/>
      <c r="AH89" s="163"/>
      <c r="AI89" s="116"/>
      <c r="AJ89" s="139">
        <f t="shared" si="14"/>
        <v>5</v>
      </c>
      <c r="AK89" s="119">
        <f t="shared" si="15"/>
        <v>50</v>
      </c>
      <c r="AL89" s="116"/>
      <c r="AM89" s="138">
        <v>1.0</v>
      </c>
      <c r="AN89" s="262">
        <v>1.0</v>
      </c>
      <c r="AO89" s="163"/>
      <c r="AP89" s="116"/>
      <c r="AQ89" s="116"/>
      <c r="AR89" s="116"/>
      <c r="AS89" s="166"/>
      <c r="AT89" s="138">
        <v>1.0</v>
      </c>
      <c r="AU89" s="116"/>
      <c r="AV89" s="116"/>
      <c r="AW89" s="163"/>
      <c r="AX89" s="138">
        <v>1.0</v>
      </c>
      <c r="AY89" s="138">
        <v>1.0</v>
      </c>
      <c r="AZ89" s="180"/>
      <c r="BA89" s="180"/>
      <c r="BB89" s="180"/>
      <c r="BC89" s="116"/>
      <c r="BD89" s="194"/>
      <c r="BE89" s="194"/>
      <c r="BF89" s="194"/>
      <c r="BG89" s="139">
        <f t="shared" si="16"/>
        <v>5</v>
      </c>
      <c r="BH89" s="272">
        <f t="shared" si="17"/>
        <v>45.45454545</v>
      </c>
      <c r="BI89" s="116"/>
      <c r="BJ89" s="116"/>
      <c r="BK89" s="180"/>
      <c r="BL89" s="116"/>
      <c r="BM89" s="116"/>
      <c r="BN89" s="116"/>
      <c r="BO89" s="116"/>
      <c r="BP89" s="116"/>
      <c r="BQ89" s="116"/>
      <c r="BR89" s="166"/>
      <c r="BS89" s="196">
        <v>1.0</v>
      </c>
      <c r="BT89" s="116"/>
      <c r="BU89" s="43"/>
      <c r="BV89" s="43"/>
      <c r="BW89" s="265"/>
      <c r="BX89" s="116"/>
      <c r="BY89" s="116"/>
      <c r="BZ89" s="138">
        <v>1.0</v>
      </c>
      <c r="CA89" s="116"/>
      <c r="CB89" s="116"/>
      <c r="CC89" s="116"/>
      <c r="CD89" s="116"/>
      <c r="CE89" s="124">
        <f t="shared" si="18"/>
        <v>2</v>
      </c>
      <c r="CF89" s="44">
        <f t="shared" si="19"/>
        <v>14.28571429</v>
      </c>
      <c r="CG89" s="163"/>
      <c r="CH89" s="116"/>
      <c r="CI89" s="163"/>
      <c r="CJ89" s="163"/>
      <c r="CK89" s="116"/>
      <c r="CL89" s="163"/>
      <c r="CM89" s="116"/>
      <c r="CN89" s="163"/>
      <c r="CO89" s="116"/>
      <c r="CP89" s="163"/>
      <c r="CQ89" s="163"/>
      <c r="CR89" s="163"/>
      <c r="CS89" s="163"/>
      <c r="CT89" s="116"/>
      <c r="CU89" s="163"/>
      <c r="CV89" s="163"/>
      <c r="CW89" s="128">
        <f t="shared" si="20"/>
        <v>0</v>
      </c>
      <c r="CX89" s="214">
        <f t="shared" si="21"/>
        <v>0</v>
      </c>
      <c r="CY89" s="171"/>
      <c r="CZ89" s="171"/>
      <c r="DA89" s="171"/>
      <c r="DB89" s="171"/>
      <c r="DC89" s="171"/>
      <c r="DD89" s="171"/>
      <c r="DE89" s="171"/>
      <c r="DF89" s="171"/>
      <c r="DG89" s="171"/>
      <c r="DH89" s="171"/>
      <c r="DI89" s="171"/>
      <c r="DJ89" s="171"/>
      <c r="DK89" s="128">
        <f t="shared" si="22"/>
        <v>0</v>
      </c>
      <c r="DL89" s="158" t="str">
        <f t="shared" si="23"/>
        <v>#DIV/0!</v>
      </c>
    </row>
    <row r="90" ht="15.75" customHeight="1">
      <c r="A90" s="146">
        <v>81.0</v>
      </c>
      <c r="B90" s="111" t="s">
        <v>213</v>
      </c>
      <c r="C90" s="112" t="s">
        <v>214</v>
      </c>
      <c r="D90" s="98">
        <f t="shared" si="8"/>
        <v>32</v>
      </c>
      <c r="E90" s="130">
        <f t="shared" si="9"/>
        <v>84.21052632</v>
      </c>
      <c r="F90" s="114" t="str">
        <f t="shared" si="10"/>
        <v>  </v>
      </c>
      <c r="G90" s="92" t="str">
        <f t="shared" si="11"/>
        <v>  </v>
      </c>
      <c r="H90" s="274"/>
      <c r="I90" s="274"/>
      <c r="J90" s="274"/>
      <c r="K90" s="274"/>
      <c r="L90" s="275"/>
      <c r="M90" s="139">
        <f t="shared" si="12"/>
        <v>0</v>
      </c>
      <c r="N90" s="140" t="str">
        <f t="shared" si="13"/>
        <v>#DIV/0!</v>
      </c>
      <c r="O90" s="116"/>
      <c r="P90" s="116"/>
      <c r="Q90" s="116"/>
      <c r="R90" s="163"/>
      <c r="S90" s="116"/>
      <c r="T90" s="116"/>
      <c r="U90" s="116"/>
      <c r="V90" s="163"/>
      <c r="W90" s="116"/>
      <c r="X90" s="138">
        <v>1.0</v>
      </c>
      <c r="Y90" s="262">
        <v>1.0</v>
      </c>
      <c r="Z90" s="171"/>
      <c r="AA90" s="187">
        <v>1.0</v>
      </c>
      <c r="AB90" s="138">
        <v>1.0</v>
      </c>
      <c r="AC90" s="262">
        <v>1.0</v>
      </c>
      <c r="AD90" s="163"/>
      <c r="AE90" s="116"/>
      <c r="AF90" s="116"/>
      <c r="AG90" s="262">
        <v>1.0</v>
      </c>
      <c r="AH90" s="138">
        <v>1.0</v>
      </c>
      <c r="AI90" s="116"/>
      <c r="AJ90" s="139">
        <f t="shared" si="14"/>
        <v>7</v>
      </c>
      <c r="AK90" s="119">
        <f t="shared" si="15"/>
        <v>70</v>
      </c>
      <c r="AL90" s="138">
        <v>1.0</v>
      </c>
      <c r="AM90" s="138">
        <v>1.0</v>
      </c>
      <c r="AN90" s="262">
        <v>1.0</v>
      </c>
      <c r="AO90" s="116"/>
      <c r="AP90" s="163"/>
      <c r="AQ90" s="138">
        <v>1.0</v>
      </c>
      <c r="AR90" s="116"/>
      <c r="AS90" s="191">
        <v>1.0</v>
      </c>
      <c r="AT90" s="138">
        <v>1.0</v>
      </c>
      <c r="AU90" s="116"/>
      <c r="AV90" s="116"/>
      <c r="AW90" s="163"/>
      <c r="AX90" s="138">
        <v>1.0</v>
      </c>
      <c r="AY90" s="138">
        <v>1.0</v>
      </c>
      <c r="AZ90" s="116"/>
      <c r="BA90" s="116"/>
      <c r="BB90" s="215">
        <v>1.0</v>
      </c>
      <c r="BC90" s="215">
        <v>1.0</v>
      </c>
      <c r="BD90" s="219">
        <v>1.0</v>
      </c>
      <c r="BE90" s="181"/>
      <c r="BF90" s="181"/>
      <c r="BG90" s="139">
        <f t="shared" si="16"/>
        <v>10</v>
      </c>
      <c r="BH90" s="272">
        <f t="shared" si="17"/>
        <v>90.90909091</v>
      </c>
      <c r="BI90" s="116"/>
      <c r="BJ90" s="180"/>
      <c r="BK90" s="180"/>
      <c r="BL90" s="116"/>
      <c r="BM90" s="116"/>
      <c r="BN90" s="138">
        <v>1.0</v>
      </c>
      <c r="BO90" s="138">
        <v>1.0</v>
      </c>
      <c r="BP90" s="116"/>
      <c r="BQ90" s="116"/>
      <c r="BR90" s="138">
        <v>1.0</v>
      </c>
      <c r="BS90" s="196">
        <v>1.0</v>
      </c>
      <c r="BT90" s="116"/>
      <c r="BU90" s="241">
        <v>1.0</v>
      </c>
      <c r="BV90" s="116"/>
      <c r="BW90" s="267">
        <v>1.0</v>
      </c>
      <c r="BX90" s="138">
        <v>1.0</v>
      </c>
      <c r="BY90" s="138">
        <v>1.0</v>
      </c>
      <c r="BZ90" s="138">
        <v>1.0</v>
      </c>
      <c r="CA90" s="138">
        <v>1.0</v>
      </c>
      <c r="CB90" s="138">
        <v>1.0</v>
      </c>
      <c r="CC90" s="138">
        <v>1.0</v>
      </c>
      <c r="CD90" s="138">
        <v>1.0</v>
      </c>
      <c r="CE90" s="124">
        <f t="shared" si="18"/>
        <v>13</v>
      </c>
      <c r="CF90" s="44">
        <f t="shared" si="19"/>
        <v>92.85714286</v>
      </c>
      <c r="CG90" s="138">
        <v>1.0</v>
      </c>
      <c r="CH90" s="116"/>
      <c r="CI90" s="138">
        <v>1.0</v>
      </c>
      <c r="CJ90" s="163"/>
      <c r="CK90" s="116"/>
      <c r="CL90" s="163"/>
      <c r="CM90" s="116"/>
      <c r="CN90" s="116"/>
      <c r="CO90" s="116"/>
      <c r="CP90" s="163"/>
      <c r="CQ90" s="163"/>
      <c r="CR90" s="163"/>
      <c r="CS90" s="116"/>
      <c r="CT90" s="116"/>
      <c r="CU90" s="116"/>
      <c r="CV90" s="163"/>
      <c r="CW90" s="128">
        <f t="shared" si="20"/>
        <v>2</v>
      </c>
      <c r="CX90" s="214">
        <f t="shared" si="21"/>
        <v>66.66666667</v>
      </c>
      <c r="CY90" s="171"/>
      <c r="CZ90" s="171"/>
      <c r="DA90" s="171"/>
      <c r="DB90" s="171"/>
      <c r="DC90" s="171"/>
      <c r="DD90" s="171"/>
      <c r="DE90" s="171"/>
      <c r="DF90" s="171"/>
      <c r="DG90" s="171"/>
      <c r="DH90" s="171"/>
      <c r="DI90" s="171"/>
      <c r="DJ90" s="171"/>
      <c r="DK90" s="128">
        <f t="shared" si="22"/>
        <v>0</v>
      </c>
      <c r="DL90" s="158" t="str">
        <f t="shared" si="23"/>
        <v>#DIV/0!</v>
      </c>
    </row>
    <row r="91" ht="15.75" customHeight="1">
      <c r="A91" s="50">
        <v>82.0</v>
      </c>
      <c r="B91" s="111" t="s">
        <v>215</v>
      </c>
      <c r="C91" s="112" t="s">
        <v>216</v>
      </c>
      <c r="D91" s="98">
        <f t="shared" si="8"/>
        <v>27</v>
      </c>
      <c r="E91" s="130">
        <f t="shared" si="9"/>
        <v>71.05263158</v>
      </c>
      <c r="F91" s="114" t="str">
        <f t="shared" si="10"/>
        <v>  </v>
      </c>
      <c r="G91" s="92" t="str">
        <f t="shared" si="11"/>
        <v>  </v>
      </c>
      <c r="H91" s="274"/>
      <c r="I91" s="274"/>
      <c r="J91" s="274"/>
      <c r="K91" s="274"/>
      <c r="L91" s="275"/>
      <c r="M91" s="139">
        <f t="shared" si="12"/>
        <v>0</v>
      </c>
      <c r="N91" s="140" t="str">
        <f t="shared" si="13"/>
        <v>#DIV/0!</v>
      </c>
      <c r="O91" s="116"/>
      <c r="P91" s="116"/>
      <c r="Q91" s="116"/>
      <c r="R91" s="163"/>
      <c r="S91" s="116"/>
      <c r="T91" s="116"/>
      <c r="U91" s="116"/>
      <c r="V91" s="163"/>
      <c r="W91" s="138">
        <v>1.0</v>
      </c>
      <c r="X91" s="138">
        <v>1.0</v>
      </c>
      <c r="Y91" s="262">
        <v>1.0</v>
      </c>
      <c r="Z91" s="171"/>
      <c r="AA91" s="187">
        <v>1.0</v>
      </c>
      <c r="AB91" s="138">
        <v>1.0</v>
      </c>
      <c r="AC91" s="262">
        <v>1.0</v>
      </c>
      <c r="AD91" s="116"/>
      <c r="AE91" s="116"/>
      <c r="AF91" s="163"/>
      <c r="AG91" s="163"/>
      <c r="AH91" s="116"/>
      <c r="AI91" s="116"/>
      <c r="AJ91" s="139">
        <f t="shared" si="14"/>
        <v>6</v>
      </c>
      <c r="AK91" s="119">
        <f t="shared" si="15"/>
        <v>60</v>
      </c>
      <c r="AL91" s="163"/>
      <c r="AM91" s="138">
        <v>1.0</v>
      </c>
      <c r="AN91" s="262">
        <v>1.0</v>
      </c>
      <c r="AO91" s="116"/>
      <c r="AP91" s="116"/>
      <c r="AQ91" s="138">
        <v>1.0</v>
      </c>
      <c r="AR91" s="116"/>
      <c r="AS91" s="191">
        <v>1.0</v>
      </c>
      <c r="AT91" s="138">
        <v>1.0</v>
      </c>
      <c r="AU91" s="116"/>
      <c r="AV91" s="116"/>
      <c r="AW91" s="163"/>
      <c r="AX91" s="138">
        <v>1.0</v>
      </c>
      <c r="AY91" s="138">
        <v>1.0</v>
      </c>
      <c r="AZ91" s="116"/>
      <c r="BA91" s="116"/>
      <c r="BB91" s="138">
        <v>1.0</v>
      </c>
      <c r="BC91" s="138">
        <v>1.0</v>
      </c>
      <c r="BD91" s="194"/>
      <c r="BE91" s="194"/>
      <c r="BF91" s="194"/>
      <c r="BG91" s="139">
        <f t="shared" si="16"/>
        <v>9</v>
      </c>
      <c r="BH91" s="272">
        <f t="shared" si="17"/>
        <v>81.81818182</v>
      </c>
      <c r="BI91" s="116"/>
      <c r="BJ91" s="116"/>
      <c r="BK91" s="180"/>
      <c r="BL91" s="116"/>
      <c r="BM91" s="116"/>
      <c r="BN91" s="116"/>
      <c r="BO91" s="116"/>
      <c r="BP91" s="116"/>
      <c r="BQ91" s="116"/>
      <c r="BR91" s="138">
        <v>1.0</v>
      </c>
      <c r="BS91" s="138">
        <v>1.0</v>
      </c>
      <c r="BT91" s="116"/>
      <c r="BU91" s="241">
        <v>1.0</v>
      </c>
      <c r="BV91" s="116"/>
      <c r="BW91" s="267">
        <v>1.0</v>
      </c>
      <c r="BX91" s="138">
        <v>1.0</v>
      </c>
      <c r="BY91" s="138">
        <v>1.0</v>
      </c>
      <c r="BZ91" s="116"/>
      <c r="CA91" s="138">
        <v>1.0</v>
      </c>
      <c r="CB91" s="116"/>
      <c r="CC91" s="138">
        <v>1.0</v>
      </c>
      <c r="CD91" s="138">
        <v>1.0</v>
      </c>
      <c r="CE91" s="124">
        <f t="shared" si="18"/>
        <v>9</v>
      </c>
      <c r="CF91" s="44">
        <f t="shared" si="19"/>
        <v>64.28571429</v>
      </c>
      <c r="CG91" s="138">
        <v>1.0</v>
      </c>
      <c r="CH91" s="138">
        <v>1.0</v>
      </c>
      <c r="CI91" s="138">
        <v>1.0</v>
      </c>
      <c r="CJ91" s="116"/>
      <c r="CK91" s="116"/>
      <c r="CL91" s="163"/>
      <c r="CM91" s="116"/>
      <c r="CN91" s="116"/>
      <c r="CO91" s="163"/>
      <c r="CP91" s="163"/>
      <c r="CQ91" s="163"/>
      <c r="CR91" s="163"/>
      <c r="CS91" s="116"/>
      <c r="CT91" s="116"/>
      <c r="CU91" s="116"/>
      <c r="CV91" s="163"/>
      <c r="CW91" s="128">
        <f t="shared" si="20"/>
        <v>3</v>
      </c>
      <c r="CX91" s="214">
        <f t="shared" si="21"/>
        <v>100</v>
      </c>
      <c r="CY91" s="171"/>
      <c r="CZ91" s="171"/>
      <c r="DA91" s="171"/>
      <c r="DB91" s="171"/>
      <c r="DC91" s="171"/>
      <c r="DD91" s="171"/>
      <c r="DE91" s="171"/>
      <c r="DF91" s="171"/>
      <c r="DG91" s="171"/>
      <c r="DH91" s="171"/>
      <c r="DI91" s="171"/>
      <c r="DJ91" s="171"/>
      <c r="DK91" s="128">
        <f t="shared" si="22"/>
        <v>0</v>
      </c>
      <c r="DL91" s="158" t="str">
        <f t="shared" si="23"/>
        <v>#DIV/0!</v>
      </c>
    </row>
    <row r="92" ht="15.75" customHeight="1">
      <c r="A92" s="131">
        <v>83.0</v>
      </c>
      <c r="B92" s="111" t="s">
        <v>217</v>
      </c>
      <c r="C92" s="112" t="s">
        <v>218</v>
      </c>
      <c r="D92" s="98">
        <f t="shared" si="8"/>
        <v>0</v>
      </c>
      <c r="E92" s="130">
        <f t="shared" si="9"/>
        <v>0</v>
      </c>
      <c r="F92" s="114">
        <f t="shared" si="10"/>
        <v>0</v>
      </c>
      <c r="G92" s="114">
        <f t="shared" si="11"/>
        <v>0</v>
      </c>
      <c r="H92" s="274"/>
      <c r="I92" s="274"/>
      <c r="J92" s="274"/>
      <c r="K92" s="274"/>
      <c r="L92" s="275"/>
      <c r="M92" s="139">
        <f t="shared" si="12"/>
        <v>0</v>
      </c>
      <c r="N92" s="140" t="str">
        <f t="shared" si="13"/>
        <v>#DIV/0!</v>
      </c>
      <c r="O92" s="163"/>
      <c r="P92" s="163"/>
      <c r="Q92" s="180"/>
      <c r="R92" s="163"/>
      <c r="S92" s="163"/>
      <c r="T92" s="116"/>
      <c r="U92" s="116"/>
      <c r="V92" s="163"/>
      <c r="W92" s="116"/>
      <c r="X92" s="116"/>
      <c r="Y92" s="163"/>
      <c r="Z92" s="171"/>
      <c r="AA92" s="217"/>
      <c r="AB92" s="116"/>
      <c r="AC92" s="163"/>
      <c r="AD92" s="163"/>
      <c r="AE92" s="163"/>
      <c r="AF92" s="163"/>
      <c r="AG92" s="163"/>
      <c r="AH92" s="163"/>
      <c r="AI92" s="163"/>
      <c r="AJ92" s="139">
        <f t="shared" si="14"/>
        <v>0</v>
      </c>
      <c r="AK92" s="119">
        <f t="shared" si="15"/>
        <v>0</v>
      </c>
      <c r="AL92" s="163"/>
      <c r="AM92" s="163"/>
      <c r="AN92" s="163"/>
      <c r="AO92" s="163"/>
      <c r="AP92" s="163"/>
      <c r="AQ92" s="116"/>
      <c r="AR92" s="116"/>
      <c r="AS92" s="166"/>
      <c r="AT92" s="116"/>
      <c r="AU92" s="116"/>
      <c r="AV92" s="116"/>
      <c r="AW92" s="163"/>
      <c r="AX92" s="116"/>
      <c r="AY92" s="116"/>
      <c r="AZ92" s="180"/>
      <c r="BA92" s="180"/>
      <c r="BB92" s="180"/>
      <c r="BC92" s="180"/>
      <c r="BD92" s="181"/>
      <c r="BE92" s="181"/>
      <c r="BF92" s="181"/>
      <c r="BG92" s="139">
        <f t="shared" si="16"/>
        <v>0</v>
      </c>
      <c r="BH92" s="272">
        <f t="shared" si="17"/>
        <v>0</v>
      </c>
      <c r="BI92" s="116"/>
      <c r="BJ92" s="180"/>
      <c r="BK92" s="180"/>
      <c r="BL92" s="116"/>
      <c r="BM92" s="116"/>
      <c r="BN92" s="116"/>
      <c r="BO92" s="116"/>
      <c r="BP92" s="116"/>
      <c r="BQ92" s="211"/>
      <c r="BR92" s="166"/>
      <c r="BS92" s="165"/>
      <c r="BT92" s="185"/>
      <c r="BU92" s="43"/>
      <c r="BV92" s="43"/>
      <c r="BW92" s="265"/>
      <c r="BX92" s="116"/>
      <c r="BY92" s="116"/>
      <c r="BZ92" s="116"/>
      <c r="CA92" s="116"/>
      <c r="CB92" s="116"/>
      <c r="CC92" s="116"/>
      <c r="CD92" s="116"/>
      <c r="CE92" s="124">
        <f t="shared" si="18"/>
        <v>0</v>
      </c>
      <c r="CF92" s="44">
        <f t="shared" si="19"/>
        <v>0</v>
      </c>
      <c r="CG92" s="163"/>
      <c r="CH92" s="238"/>
      <c r="CI92" s="163"/>
      <c r="CJ92" s="163"/>
      <c r="CK92" s="163"/>
      <c r="CL92" s="163"/>
      <c r="CM92" s="163"/>
      <c r="CN92" s="163"/>
      <c r="CO92" s="163"/>
      <c r="CP92" s="163"/>
      <c r="CQ92" s="163"/>
      <c r="CR92" s="163"/>
      <c r="CS92" s="163"/>
      <c r="CT92" s="163"/>
      <c r="CU92" s="163"/>
      <c r="CV92" s="163"/>
      <c r="CW92" s="128">
        <f t="shared" si="20"/>
        <v>0</v>
      </c>
      <c r="CX92" s="214">
        <f t="shared" si="21"/>
        <v>0</v>
      </c>
      <c r="CY92" s="171"/>
      <c r="CZ92" s="171"/>
      <c r="DA92" s="171"/>
      <c r="DB92" s="171"/>
      <c r="DC92" s="171"/>
      <c r="DD92" s="171"/>
      <c r="DE92" s="171"/>
      <c r="DF92" s="171"/>
      <c r="DG92" s="171"/>
      <c r="DH92" s="171"/>
      <c r="DI92" s="171"/>
      <c r="DJ92" s="171"/>
      <c r="DK92" s="128">
        <f t="shared" si="22"/>
        <v>0</v>
      </c>
      <c r="DL92" s="158" t="str">
        <f t="shared" si="23"/>
        <v>#DIV/0!</v>
      </c>
    </row>
    <row r="93" ht="15.75" customHeight="1"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9"/>
      <c r="AK93" s="12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9"/>
      <c r="BH93" s="14"/>
      <c r="BI93" s="11"/>
      <c r="BJ93" s="11"/>
      <c r="BK93" s="11"/>
      <c r="BL93" s="11"/>
      <c r="BM93" s="11"/>
      <c r="BN93" s="11"/>
      <c r="BO93" s="11"/>
      <c r="BP93" s="11"/>
      <c r="BQ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9"/>
      <c r="CF93" s="9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</row>
    <row r="94" ht="15.75" customHeight="1"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9"/>
      <c r="AK94" s="12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9"/>
      <c r="BH94" s="14"/>
      <c r="BI94" s="11"/>
      <c r="BJ94" s="11"/>
      <c r="BK94" s="11"/>
      <c r="BL94" s="11"/>
      <c r="BM94" s="11"/>
      <c r="BN94" s="11"/>
      <c r="BO94" s="11"/>
      <c r="BP94" s="11"/>
      <c r="BQ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9"/>
      <c r="CF94" s="9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</row>
    <row r="95" ht="15.75" customHeight="1"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9"/>
      <c r="AK95" s="12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9"/>
      <c r="BH95" s="14"/>
      <c r="BI95" s="11"/>
      <c r="BJ95" s="11"/>
      <c r="BK95" s="11"/>
      <c r="BL95" s="11"/>
      <c r="BM95" s="11"/>
      <c r="BN95" s="11"/>
      <c r="BO95" s="11"/>
      <c r="BP95" s="11"/>
      <c r="BQ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9"/>
      <c r="CF95" s="9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</row>
    <row r="96" ht="15.75" customHeight="1"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9"/>
      <c r="AK96" s="12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9"/>
      <c r="BH96" s="14"/>
      <c r="BI96" s="11"/>
      <c r="BJ96" s="11"/>
      <c r="BK96" s="11"/>
      <c r="BL96" s="11"/>
      <c r="BM96" s="11"/>
      <c r="BN96" s="11"/>
      <c r="BO96" s="11"/>
      <c r="BP96" s="11"/>
      <c r="BQ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9"/>
      <c r="CF96" s="9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</row>
    <row r="97" ht="15.75" customHeight="1"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9"/>
      <c r="AK97" s="12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9"/>
      <c r="BH97" s="14"/>
      <c r="BI97" s="11"/>
      <c r="BJ97" s="11"/>
      <c r="BK97" s="11"/>
      <c r="BL97" s="11"/>
      <c r="BM97" s="11"/>
      <c r="BN97" s="11"/>
      <c r="BO97" s="11"/>
      <c r="BP97" s="11"/>
      <c r="BQ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9"/>
      <c r="CF97" s="9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</row>
    <row r="98" ht="15.75" customHeight="1"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9"/>
      <c r="AK98" s="12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9"/>
      <c r="BH98" s="14"/>
      <c r="BI98" s="11"/>
      <c r="BJ98" s="11"/>
      <c r="BK98" s="11"/>
      <c r="BL98" s="11"/>
      <c r="BM98" s="11"/>
      <c r="BN98" s="11"/>
      <c r="BO98" s="11"/>
      <c r="BP98" s="11"/>
      <c r="BQ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9"/>
      <c r="CF98" s="9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</row>
    <row r="99" ht="15.75" customHeight="1"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9"/>
      <c r="AK99" s="12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9"/>
      <c r="BH99" s="14"/>
      <c r="BI99" s="11"/>
      <c r="BJ99" s="11"/>
      <c r="BK99" s="11"/>
      <c r="BL99" s="11"/>
      <c r="BM99" s="11"/>
      <c r="BN99" s="11"/>
      <c r="BO99" s="11"/>
      <c r="BP99" s="11"/>
      <c r="BQ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9"/>
      <c r="CF99" s="9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</row>
    <row r="100" ht="15.75" customHeight="1"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9"/>
      <c r="AK100" s="12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9"/>
      <c r="BH100" s="14"/>
      <c r="BI100" s="11"/>
      <c r="BJ100" s="11"/>
      <c r="BK100" s="11"/>
      <c r="BL100" s="11"/>
      <c r="BM100" s="11"/>
      <c r="BN100" s="11"/>
      <c r="BO100" s="11"/>
      <c r="BP100" s="11"/>
      <c r="BQ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9"/>
      <c r="CF100" s="9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</row>
    <row r="101" ht="15.75" customHeight="1"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9"/>
      <c r="AK101" s="12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9"/>
      <c r="BH101" s="14"/>
      <c r="BI101" s="11"/>
      <c r="BJ101" s="11"/>
      <c r="BK101" s="11"/>
      <c r="BL101" s="11"/>
      <c r="BM101" s="11"/>
      <c r="BN101" s="11"/>
      <c r="BO101" s="11"/>
      <c r="BP101" s="11"/>
      <c r="BQ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9"/>
      <c r="CF101" s="9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</row>
    <row r="102" ht="15.75" customHeight="1"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9"/>
      <c r="AK102" s="12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9"/>
      <c r="BH102" s="14"/>
      <c r="BI102" s="11"/>
      <c r="BJ102" s="11"/>
      <c r="BK102" s="11"/>
      <c r="BL102" s="11"/>
      <c r="BM102" s="11"/>
      <c r="BN102" s="11"/>
      <c r="BO102" s="11"/>
      <c r="BP102" s="11"/>
      <c r="BQ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9"/>
      <c r="CF102" s="9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</row>
    <row r="103" ht="15.75" customHeight="1"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9"/>
      <c r="AK103" s="12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9"/>
      <c r="BH103" s="14"/>
      <c r="BI103" s="11"/>
      <c r="BJ103" s="11"/>
      <c r="BK103" s="11"/>
      <c r="BL103" s="11"/>
      <c r="BM103" s="11"/>
      <c r="BN103" s="11"/>
      <c r="BO103" s="11"/>
      <c r="BP103" s="11"/>
      <c r="BQ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9"/>
      <c r="CF103" s="9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</row>
    <row r="104" ht="15.75" customHeight="1"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9"/>
      <c r="AK104" s="12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9"/>
      <c r="BH104" s="14"/>
      <c r="BI104" s="11"/>
      <c r="BJ104" s="11"/>
      <c r="BK104" s="11"/>
      <c r="BL104" s="11"/>
      <c r="BM104" s="11"/>
      <c r="BN104" s="11"/>
      <c r="BO104" s="11"/>
      <c r="BP104" s="11"/>
      <c r="BQ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9"/>
      <c r="CF104" s="9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</row>
    <row r="105" ht="15.75" customHeight="1"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9"/>
      <c r="AK105" s="12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9"/>
      <c r="BH105" s="14"/>
      <c r="BI105" s="11"/>
      <c r="BJ105" s="11"/>
      <c r="BK105" s="11"/>
      <c r="BL105" s="11"/>
      <c r="BM105" s="11"/>
      <c r="BN105" s="11"/>
      <c r="BO105" s="11"/>
      <c r="BP105" s="11"/>
      <c r="BQ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9"/>
      <c r="CF105" s="9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  <c r="DK105" s="16"/>
      <c r="DL105" s="16"/>
    </row>
    <row r="106" ht="15.75" customHeight="1"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9"/>
      <c r="AK106" s="12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9"/>
      <c r="BH106" s="14"/>
      <c r="BI106" s="11"/>
      <c r="BJ106" s="11"/>
      <c r="BK106" s="11"/>
      <c r="BL106" s="11"/>
      <c r="BM106" s="11"/>
      <c r="BN106" s="11"/>
      <c r="BO106" s="11"/>
      <c r="BP106" s="11"/>
      <c r="BQ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9"/>
      <c r="CF106" s="9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  <c r="DJ106" s="16"/>
      <c r="DK106" s="16"/>
      <c r="DL106" s="16"/>
    </row>
    <row r="107" ht="15.75" customHeight="1"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9"/>
      <c r="AK107" s="12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9"/>
      <c r="BH107" s="14"/>
      <c r="BI107" s="11"/>
      <c r="BJ107" s="11"/>
      <c r="BK107" s="11"/>
      <c r="BL107" s="11"/>
      <c r="BM107" s="11"/>
      <c r="BN107" s="11"/>
      <c r="BO107" s="11"/>
      <c r="BP107" s="11"/>
      <c r="BQ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9"/>
      <c r="CF107" s="9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</row>
    <row r="108" ht="15.75" customHeight="1"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9"/>
      <c r="AK108" s="12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9"/>
      <c r="BH108" s="14"/>
      <c r="BI108" s="11"/>
      <c r="BJ108" s="11"/>
      <c r="BK108" s="11"/>
      <c r="BL108" s="11"/>
      <c r="BM108" s="11"/>
      <c r="BN108" s="11"/>
      <c r="BO108" s="11"/>
      <c r="BP108" s="11"/>
      <c r="BQ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9"/>
      <c r="CF108" s="9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</row>
    <row r="109" ht="15.75" customHeight="1"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9"/>
      <c r="AK109" s="12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9"/>
      <c r="BH109" s="14"/>
      <c r="BI109" s="11"/>
      <c r="BJ109" s="11"/>
      <c r="BK109" s="11"/>
      <c r="BL109" s="11"/>
      <c r="BM109" s="11"/>
      <c r="BN109" s="11"/>
      <c r="BO109" s="11"/>
      <c r="BP109" s="11"/>
      <c r="BQ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9"/>
      <c r="CF109" s="9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</row>
    <row r="110" ht="15.75" customHeight="1"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9"/>
      <c r="AK110" s="12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9"/>
      <c r="BH110" s="14"/>
      <c r="BI110" s="11"/>
      <c r="BJ110" s="11"/>
      <c r="BK110" s="11"/>
      <c r="BL110" s="11"/>
      <c r="BM110" s="11"/>
      <c r="BN110" s="11"/>
      <c r="BO110" s="11"/>
      <c r="BP110" s="11"/>
      <c r="BQ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9"/>
      <c r="CF110" s="9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</row>
    <row r="111" ht="15.75" customHeight="1"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9"/>
      <c r="AK111" s="12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9"/>
      <c r="BH111" s="14"/>
      <c r="BI111" s="11"/>
      <c r="BJ111" s="11"/>
      <c r="BK111" s="11"/>
      <c r="BL111" s="11"/>
      <c r="BM111" s="11"/>
      <c r="BN111" s="11"/>
      <c r="BO111" s="11"/>
      <c r="BP111" s="11"/>
      <c r="BQ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9"/>
      <c r="CF111" s="9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  <c r="DJ111" s="16"/>
      <c r="DK111" s="16"/>
      <c r="DL111" s="16"/>
    </row>
    <row r="112" ht="15.75" customHeight="1"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9"/>
      <c r="AK112" s="12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9"/>
      <c r="BH112" s="14"/>
      <c r="BI112" s="11"/>
      <c r="BJ112" s="11"/>
      <c r="BK112" s="11"/>
      <c r="BL112" s="11"/>
      <c r="BM112" s="11"/>
      <c r="BN112" s="11"/>
      <c r="BO112" s="11"/>
      <c r="BP112" s="11"/>
      <c r="BQ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9"/>
      <c r="CF112" s="9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  <c r="DK112" s="16"/>
      <c r="DL112" s="16"/>
    </row>
    <row r="113" ht="15.75" customHeight="1"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9"/>
      <c r="AK113" s="12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9"/>
      <c r="BH113" s="14"/>
      <c r="BI113" s="11"/>
      <c r="BJ113" s="11"/>
      <c r="BK113" s="11"/>
      <c r="BL113" s="11"/>
      <c r="BM113" s="11"/>
      <c r="BN113" s="11"/>
      <c r="BO113" s="11"/>
      <c r="BP113" s="11"/>
      <c r="BQ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9"/>
      <c r="CF113" s="9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  <c r="DJ113" s="16"/>
      <c r="DK113" s="16"/>
      <c r="DL113" s="16"/>
    </row>
    <row r="114" ht="15.75" customHeight="1"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9"/>
      <c r="AK114" s="12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9"/>
      <c r="BH114" s="14"/>
      <c r="BI114" s="11"/>
      <c r="BJ114" s="11"/>
      <c r="BK114" s="11"/>
      <c r="BL114" s="11"/>
      <c r="BM114" s="11"/>
      <c r="BN114" s="11"/>
      <c r="BO114" s="11"/>
      <c r="BP114" s="11"/>
      <c r="BQ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9"/>
      <c r="CF114" s="9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</row>
    <row r="115" ht="15.75" customHeight="1"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9"/>
      <c r="AK115" s="12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9"/>
      <c r="BH115" s="14"/>
      <c r="BI115" s="11"/>
      <c r="BJ115" s="11"/>
      <c r="BK115" s="11"/>
      <c r="BL115" s="11"/>
      <c r="BM115" s="11"/>
      <c r="BN115" s="11"/>
      <c r="BO115" s="11"/>
      <c r="BP115" s="11"/>
      <c r="BQ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9"/>
      <c r="CF115" s="9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  <c r="DJ115" s="16"/>
      <c r="DK115" s="16"/>
      <c r="DL115" s="16"/>
    </row>
    <row r="116" ht="15.75" customHeight="1"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9"/>
      <c r="AK116" s="12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9"/>
      <c r="BH116" s="14"/>
      <c r="BI116" s="11"/>
      <c r="BJ116" s="11"/>
      <c r="BK116" s="11"/>
      <c r="BL116" s="11"/>
      <c r="BM116" s="11"/>
      <c r="BN116" s="11"/>
      <c r="BO116" s="11"/>
      <c r="BP116" s="11"/>
      <c r="BQ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9"/>
      <c r="CF116" s="9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  <c r="DJ116" s="16"/>
      <c r="DK116" s="16"/>
      <c r="DL116" s="16"/>
    </row>
    <row r="117" ht="15.75" customHeight="1"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9"/>
      <c r="AK117" s="12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9"/>
      <c r="BH117" s="14"/>
      <c r="BI117" s="11"/>
      <c r="BJ117" s="11"/>
      <c r="BK117" s="11"/>
      <c r="BL117" s="11"/>
      <c r="BM117" s="11"/>
      <c r="BN117" s="11"/>
      <c r="BO117" s="11"/>
      <c r="BP117" s="11"/>
      <c r="BQ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9"/>
      <c r="CF117" s="9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</row>
    <row r="118" ht="15.75" customHeight="1"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9"/>
      <c r="AK118" s="12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9"/>
      <c r="BH118" s="14"/>
      <c r="BI118" s="11"/>
      <c r="BJ118" s="11"/>
      <c r="BK118" s="11"/>
      <c r="BL118" s="11"/>
      <c r="BM118" s="11"/>
      <c r="BN118" s="11"/>
      <c r="BO118" s="11"/>
      <c r="BP118" s="11"/>
      <c r="BQ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9"/>
      <c r="CF118" s="9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  <c r="DJ118" s="16"/>
      <c r="DK118" s="16"/>
      <c r="DL118" s="16"/>
    </row>
    <row r="119" ht="15.75" customHeight="1"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9"/>
      <c r="AK119" s="12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9"/>
      <c r="BH119" s="14"/>
      <c r="BI119" s="11"/>
      <c r="BJ119" s="11"/>
      <c r="BK119" s="11"/>
      <c r="BL119" s="11"/>
      <c r="BM119" s="11"/>
      <c r="BN119" s="11"/>
      <c r="BO119" s="11"/>
      <c r="BP119" s="11"/>
      <c r="BQ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9"/>
      <c r="CF119" s="9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  <c r="DJ119" s="16"/>
      <c r="DK119" s="16"/>
      <c r="DL119" s="16"/>
    </row>
    <row r="120" ht="15.75" customHeight="1"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9"/>
      <c r="AK120" s="12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9"/>
      <c r="BH120" s="14"/>
      <c r="BI120" s="11"/>
      <c r="BJ120" s="11"/>
      <c r="BK120" s="11"/>
      <c r="BL120" s="11"/>
      <c r="BM120" s="11"/>
      <c r="BN120" s="11"/>
      <c r="BO120" s="11"/>
      <c r="BP120" s="11"/>
      <c r="BQ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9"/>
      <c r="CF120" s="9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  <c r="DJ120" s="16"/>
      <c r="DK120" s="16"/>
      <c r="DL120" s="16"/>
    </row>
    <row r="121" ht="15.75" customHeight="1"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9"/>
      <c r="AK121" s="12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9"/>
      <c r="BH121" s="14"/>
      <c r="BI121" s="11"/>
      <c r="BJ121" s="11"/>
      <c r="BK121" s="11"/>
      <c r="BL121" s="11"/>
      <c r="BM121" s="11"/>
      <c r="BN121" s="11"/>
      <c r="BO121" s="11"/>
      <c r="BP121" s="11"/>
      <c r="BQ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9"/>
      <c r="CF121" s="9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  <c r="DJ121" s="16"/>
      <c r="DK121" s="16"/>
      <c r="DL121" s="16"/>
    </row>
    <row r="122" ht="15.75" customHeight="1"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9"/>
      <c r="AK122" s="12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9"/>
      <c r="BH122" s="14"/>
      <c r="BI122" s="11"/>
      <c r="BJ122" s="11"/>
      <c r="BK122" s="11"/>
      <c r="BL122" s="11"/>
      <c r="BM122" s="11"/>
      <c r="BN122" s="11"/>
      <c r="BO122" s="11"/>
      <c r="BP122" s="11"/>
      <c r="BQ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9"/>
      <c r="CF122" s="9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  <c r="DJ122" s="16"/>
      <c r="DK122" s="16"/>
      <c r="DL122" s="16"/>
    </row>
    <row r="123" ht="15.75" customHeight="1"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9"/>
      <c r="AK123" s="12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9"/>
      <c r="BH123" s="14"/>
      <c r="BI123" s="11"/>
      <c r="BJ123" s="11"/>
      <c r="BK123" s="11"/>
      <c r="BL123" s="11"/>
      <c r="BM123" s="11"/>
      <c r="BN123" s="11"/>
      <c r="BO123" s="11"/>
      <c r="BP123" s="11"/>
      <c r="BQ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9"/>
      <c r="CF123" s="9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  <c r="DJ123" s="16"/>
      <c r="DK123" s="16"/>
      <c r="DL123" s="16"/>
    </row>
    <row r="124" ht="15.75" customHeight="1"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9"/>
      <c r="AK124" s="12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9"/>
      <c r="BH124" s="14"/>
      <c r="BI124" s="11"/>
      <c r="BJ124" s="11"/>
      <c r="BK124" s="11"/>
      <c r="BL124" s="11"/>
      <c r="BM124" s="11"/>
      <c r="BN124" s="11"/>
      <c r="BO124" s="11"/>
      <c r="BP124" s="11"/>
      <c r="BQ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9"/>
      <c r="CF124" s="9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</row>
    <row r="125" ht="15.75" customHeight="1"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9"/>
      <c r="AK125" s="12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9"/>
      <c r="BH125" s="14"/>
      <c r="BI125" s="11"/>
      <c r="BJ125" s="11"/>
      <c r="BK125" s="11"/>
      <c r="BL125" s="11"/>
      <c r="BM125" s="11"/>
      <c r="BN125" s="11"/>
      <c r="BO125" s="11"/>
      <c r="BP125" s="11"/>
      <c r="BQ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9"/>
      <c r="CF125" s="9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  <c r="DJ125" s="16"/>
      <c r="DK125" s="16"/>
      <c r="DL125" s="16"/>
    </row>
    <row r="126" ht="15.75" customHeight="1"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9"/>
      <c r="AK126" s="12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9"/>
      <c r="BH126" s="14"/>
      <c r="BI126" s="11"/>
      <c r="BJ126" s="11"/>
      <c r="BK126" s="11"/>
      <c r="BL126" s="11"/>
      <c r="BM126" s="11"/>
      <c r="BN126" s="11"/>
      <c r="BO126" s="11"/>
      <c r="BP126" s="11"/>
      <c r="BQ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9"/>
      <c r="CF126" s="9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  <c r="DJ126" s="16"/>
      <c r="DK126" s="16"/>
      <c r="DL126" s="16"/>
    </row>
    <row r="127" ht="15.75" customHeight="1"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9"/>
      <c r="AK127" s="12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9"/>
      <c r="BH127" s="14"/>
      <c r="BI127" s="11"/>
      <c r="BJ127" s="11"/>
      <c r="BK127" s="11"/>
      <c r="BL127" s="11"/>
      <c r="BM127" s="11"/>
      <c r="BN127" s="11"/>
      <c r="BO127" s="11"/>
      <c r="BP127" s="11"/>
      <c r="BQ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9"/>
      <c r="CF127" s="9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/>
      <c r="DI127" s="16"/>
      <c r="DJ127" s="16"/>
      <c r="DK127" s="16"/>
      <c r="DL127" s="16"/>
    </row>
    <row r="128" ht="15.75" customHeight="1"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9"/>
      <c r="AK128" s="12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9"/>
      <c r="BH128" s="14"/>
      <c r="BI128" s="11"/>
      <c r="BJ128" s="11"/>
      <c r="BK128" s="11"/>
      <c r="BL128" s="11"/>
      <c r="BM128" s="11"/>
      <c r="BN128" s="11"/>
      <c r="BO128" s="11"/>
      <c r="BP128" s="11"/>
      <c r="BQ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9"/>
      <c r="CF128" s="9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  <c r="DJ128" s="16"/>
      <c r="DK128" s="16"/>
      <c r="DL128" s="16"/>
    </row>
    <row r="129" ht="15.75" customHeight="1"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9"/>
      <c r="AK129" s="12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9"/>
      <c r="BH129" s="14"/>
      <c r="BI129" s="11"/>
      <c r="BJ129" s="11"/>
      <c r="BK129" s="11"/>
      <c r="BL129" s="11"/>
      <c r="BM129" s="11"/>
      <c r="BN129" s="11"/>
      <c r="BO129" s="11"/>
      <c r="BP129" s="11"/>
      <c r="BQ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9"/>
      <c r="CF129" s="9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  <c r="DJ129" s="16"/>
      <c r="DK129" s="16"/>
      <c r="DL129" s="16"/>
    </row>
    <row r="130" ht="15.75" customHeight="1"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9"/>
      <c r="AK130" s="12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9"/>
      <c r="BH130" s="14"/>
      <c r="BI130" s="11"/>
      <c r="BJ130" s="11"/>
      <c r="BK130" s="11"/>
      <c r="BL130" s="11"/>
      <c r="BM130" s="11"/>
      <c r="BN130" s="11"/>
      <c r="BO130" s="11"/>
      <c r="BP130" s="11"/>
      <c r="BQ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9"/>
      <c r="CF130" s="9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  <c r="DK130" s="16"/>
      <c r="DL130" s="16"/>
    </row>
    <row r="131" ht="15.75" customHeight="1"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9"/>
      <c r="AK131" s="12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9"/>
      <c r="BH131" s="14"/>
      <c r="BI131" s="11"/>
      <c r="BJ131" s="11"/>
      <c r="BK131" s="11"/>
      <c r="BL131" s="11"/>
      <c r="BM131" s="11"/>
      <c r="BN131" s="11"/>
      <c r="BO131" s="11"/>
      <c r="BP131" s="11"/>
      <c r="BQ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9"/>
      <c r="CF131" s="9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</row>
    <row r="132" ht="15.75" customHeight="1"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9"/>
      <c r="AK132" s="12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9"/>
      <c r="BH132" s="14"/>
      <c r="BI132" s="11"/>
      <c r="BJ132" s="11"/>
      <c r="BK132" s="11"/>
      <c r="BL132" s="11"/>
      <c r="BM132" s="11"/>
      <c r="BN132" s="11"/>
      <c r="BO132" s="11"/>
      <c r="BP132" s="11"/>
      <c r="BQ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9"/>
      <c r="CF132" s="9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  <c r="DK132" s="16"/>
      <c r="DL132" s="16"/>
    </row>
    <row r="133" ht="15.75" customHeight="1"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9"/>
      <c r="AK133" s="12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9"/>
      <c r="BH133" s="14"/>
      <c r="BI133" s="11"/>
      <c r="BJ133" s="11"/>
      <c r="BK133" s="11"/>
      <c r="BL133" s="11"/>
      <c r="BM133" s="11"/>
      <c r="BN133" s="11"/>
      <c r="BO133" s="11"/>
      <c r="BP133" s="11"/>
      <c r="BQ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9"/>
      <c r="CF133" s="9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  <c r="DJ133" s="16"/>
      <c r="DK133" s="16"/>
      <c r="DL133" s="16"/>
    </row>
    <row r="134" ht="15.75" customHeight="1"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9"/>
      <c r="AK134" s="12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9"/>
      <c r="BH134" s="14"/>
      <c r="BI134" s="11"/>
      <c r="BJ134" s="11"/>
      <c r="BK134" s="11"/>
      <c r="BL134" s="11"/>
      <c r="BM134" s="11"/>
      <c r="BN134" s="11"/>
      <c r="BO134" s="11"/>
      <c r="BP134" s="11"/>
      <c r="BQ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9"/>
      <c r="CF134" s="9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</row>
    <row r="135" ht="15.75" customHeight="1"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9"/>
      <c r="AK135" s="12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9"/>
      <c r="BH135" s="14"/>
      <c r="BI135" s="11"/>
      <c r="BJ135" s="11"/>
      <c r="BK135" s="11"/>
      <c r="BL135" s="11"/>
      <c r="BM135" s="11"/>
      <c r="BN135" s="11"/>
      <c r="BO135" s="11"/>
      <c r="BP135" s="11"/>
      <c r="BQ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9"/>
      <c r="CF135" s="9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  <c r="DJ135" s="16"/>
      <c r="DK135" s="16"/>
      <c r="DL135" s="16"/>
    </row>
    <row r="136" ht="15.75" customHeight="1"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9"/>
      <c r="AK136" s="12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9"/>
      <c r="BH136" s="14"/>
      <c r="BI136" s="11"/>
      <c r="BJ136" s="11"/>
      <c r="BK136" s="11"/>
      <c r="BL136" s="11"/>
      <c r="BM136" s="11"/>
      <c r="BN136" s="11"/>
      <c r="BO136" s="11"/>
      <c r="BP136" s="11"/>
      <c r="BQ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9"/>
      <c r="CF136" s="9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</row>
    <row r="137" ht="15.75" customHeight="1"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9"/>
      <c r="AK137" s="12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9"/>
      <c r="BH137" s="14"/>
      <c r="BI137" s="11"/>
      <c r="BJ137" s="11"/>
      <c r="BK137" s="11"/>
      <c r="BL137" s="11"/>
      <c r="BM137" s="11"/>
      <c r="BN137" s="11"/>
      <c r="BO137" s="11"/>
      <c r="BP137" s="11"/>
      <c r="BQ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9"/>
      <c r="CF137" s="9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  <c r="DJ137" s="16"/>
      <c r="DK137" s="16"/>
      <c r="DL137" s="16"/>
    </row>
    <row r="138" ht="15.75" customHeight="1"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9"/>
      <c r="AK138" s="12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9"/>
      <c r="BH138" s="14"/>
      <c r="BI138" s="11"/>
      <c r="BJ138" s="11"/>
      <c r="BK138" s="11"/>
      <c r="BL138" s="11"/>
      <c r="BM138" s="11"/>
      <c r="BN138" s="11"/>
      <c r="BO138" s="11"/>
      <c r="BP138" s="11"/>
      <c r="BQ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9"/>
      <c r="CF138" s="9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</row>
    <row r="139" ht="15.75" customHeight="1"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9"/>
      <c r="AK139" s="12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9"/>
      <c r="BH139" s="14"/>
      <c r="BI139" s="11"/>
      <c r="BJ139" s="11"/>
      <c r="BK139" s="11"/>
      <c r="BL139" s="11"/>
      <c r="BM139" s="11"/>
      <c r="BN139" s="11"/>
      <c r="BO139" s="11"/>
      <c r="BP139" s="11"/>
      <c r="BQ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9"/>
      <c r="CF139" s="9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  <c r="DJ139" s="16"/>
      <c r="DK139" s="16"/>
      <c r="DL139" s="16"/>
    </row>
    <row r="140" ht="15.75" customHeight="1"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9"/>
      <c r="AK140" s="12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9"/>
      <c r="BH140" s="14"/>
      <c r="BI140" s="11"/>
      <c r="BJ140" s="11"/>
      <c r="BK140" s="11"/>
      <c r="BL140" s="11"/>
      <c r="BM140" s="11"/>
      <c r="BN140" s="11"/>
      <c r="BO140" s="11"/>
      <c r="BP140" s="11"/>
      <c r="BQ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9"/>
      <c r="CF140" s="9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  <c r="DJ140" s="16"/>
      <c r="DK140" s="16"/>
      <c r="DL140" s="16"/>
    </row>
    <row r="141" ht="15.75" customHeight="1"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9"/>
      <c r="AK141" s="12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9"/>
      <c r="BH141" s="14"/>
      <c r="BI141" s="11"/>
      <c r="BJ141" s="11"/>
      <c r="BK141" s="11"/>
      <c r="BL141" s="11"/>
      <c r="BM141" s="11"/>
      <c r="BN141" s="11"/>
      <c r="BO141" s="11"/>
      <c r="BP141" s="11"/>
      <c r="BQ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9"/>
      <c r="CF141" s="9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/>
      <c r="DI141" s="16"/>
      <c r="DJ141" s="16"/>
      <c r="DK141" s="16"/>
      <c r="DL141" s="16"/>
    </row>
    <row r="142" ht="15.75" customHeight="1"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9"/>
      <c r="AK142" s="12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9"/>
      <c r="BH142" s="14"/>
      <c r="BI142" s="11"/>
      <c r="BJ142" s="11"/>
      <c r="BK142" s="11"/>
      <c r="BL142" s="11"/>
      <c r="BM142" s="11"/>
      <c r="BN142" s="11"/>
      <c r="BO142" s="11"/>
      <c r="BP142" s="11"/>
      <c r="BQ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9"/>
      <c r="CF142" s="9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/>
      <c r="DI142" s="16"/>
      <c r="DJ142" s="16"/>
      <c r="DK142" s="16"/>
      <c r="DL142" s="16"/>
    </row>
    <row r="143" ht="15.75" customHeight="1"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9"/>
      <c r="AK143" s="12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9"/>
      <c r="BH143" s="14"/>
      <c r="BI143" s="11"/>
      <c r="BJ143" s="11"/>
      <c r="BK143" s="11"/>
      <c r="BL143" s="11"/>
      <c r="BM143" s="11"/>
      <c r="BN143" s="11"/>
      <c r="BO143" s="11"/>
      <c r="BP143" s="11"/>
      <c r="BQ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9"/>
      <c r="CF143" s="9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  <c r="DJ143" s="16"/>
      <c r="DK143" s="16"/>
      <c r="DL143" s="16"/>
    </row>
    <row r="144" ht="15.75" customHeight="1"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9"/>
      <c r="AK144" s="12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9"/>
      <c r="BH144" s="14"/>
      <c r="BI144" s="11"/>
      <c r="BJ144" s="11"/>
      <c r="BK144" s="11"/>
      <c r="BL144" s="11"/>
      <c r="BM144" s="11"/>
      <c r="BN144" s="11"/>
      <c r="BO144" s="11"/>
      <c r="BP144" s="11"/>
      <c r="BQ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9"/>
      <c r="CF144" s="9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  <c r="DJ144" s="16"/>
      <c r="DK144" s="16"/>
      <c r="DL144" s="16"/>
    </row>
    <row r="145" ht="15.75" customHeight="1"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9"/>
      <c r="AK145" s="12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9"/>
      <c r="BH145" s="14"/>
      <c r="BI145" s="11"/>
      <c r="BJ145" s="11"/>
      <c r="BK145" s="11"/>
      <c r="BL145" s="11"/>
      <c r="BM145" s="11"/>
      <c r="BN145" s="11"/>
      <c r="BO145" s="11"/>
      <c r="BP145" s="11"/>
      <c r="BQ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9"/>
      <c r="CF145" s="9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</row>
    <row r="146" ht="15.75" customHeight="1"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9"/>
      <c r="AK146" s="12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9"/>
      <c r="BH146" s="14"/>
      <c r="BI146" s="11"/>
      <c r="BJ146" s="11"/>
      <c r="BK146" s="11"/>
      <c r="BL146" s="11"/>
      <c r="BM146" s="11"/>
      <c r="BN146" s="11"/>
      <c r="BO146" s="11"/>
      <c r="BP146" s="11"/>
      <c r="BQ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9"/>
      <c r="CF146" s="9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  <c r="DJ146" s="16"/>
      <c r="DK146" s="16"/>
      <c r="DL146" s="16"/>
    </row>
    <row r="147" ht="15.75" customHeight="1"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9"/>
      <c r="AK147" s="12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9"/>
      <c r="BH147" s="14"/>
      <c r="BI147" s="11"/>
      <c r="BJ147" s="11"/>
      <c r="BK147" s="11"/>
      <c r="BL147" s="11"/>
      <c r="BM147" s="11"/>
      <c r="BN147" s="11"/>
      <c r="BO147" s="11"/>
      <c r="BP147" s="11"/>
      <c r="BQ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9"/>
      <c r="CF147" s="9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/>
      <c r="DI147" s="16"/>
      <c r="DJ147" s="16"/>
      <c r="DK147" s="16"/>
      <c r="DL147" s="16"/>
    </row>
    <row r="148" ht="15.75" customHeight="1"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9"/>
      <c r="AK148" s="12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9"/>
      <c r="BH148" s="14"/>
      <c r="BI148" s="11"/>
      <c r="BJ148" s="11"/>
      <c r="BK148" s="11"/>
      <c r="BL148" s="11"/>
      <c r="BM148" s="11"/>
      <c r="BN148" s="11"/>
      <c r="BO148" s="11"/>
      <c r="BP148" s="11"/>
      <c r="BQ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9"/>
      <c r="CF148" s="9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  <c r="CU148" s="11"/>
      <c r="CV148" s="11"/>
      <c r="CW148" s="11"/>
      <c r="CX148" s="11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  <c r="DJ148" s="16"/>
      <c r="DK148" s="16"/>
      <c r="DL148" s="16"/>
    </row>
    <row r="149" ht="15.75" customHeight="1"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9"/>
      <c r="AK149" s="12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9"/>
      <c r="BH149" s="14"/>
      <c r="BI149" s="11"/>
      <c r="BJ149" s="11"/>
      <c r="BK149" s="11"/>
      <c r="BL149" s="11"/>
      <c r="BM149" s="11"/>
      <c r="BN149" s="11"/>
      <c r="BO149" s="11"/>
      <c r="BP149" s="11"/>
      <c r="BQ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9"/>
      <c r="CF149" s="9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  <c r="DJ149" s="16"/>
      <c r="DK149" s="16"/>
      <c r="DL149" s="16"/>
    </row>
    <row r="150" ht="15.75" customHeight="1"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9"/>
      <c r="AK150" s="12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9"/>
      <c r="BH150" s="14"/>
      <c r="BI150" s="11"/>
      <c r="BJ150" s="11"/>
      <c r="BK150" s="11"/>
      <c r="BL150" s="11"/>
      <c r="BM150" s="11"/>
      <c r="BN150" s="11"/>
      <c r="BO150" s="11"/>
      <c r="BP150" s="11"/>
      <c r="BQ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9"/>
      <c r="CF150" s="9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  <c r="DJ150" s="16"/>
      <c r="DK150" s="16"/>
      <c r="DL150" s="16"/>
    </row>
    <row r="151" ht="15.75" customHeight="1"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9"/>
      <c r="AK151" s="12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9"/>
      <c r="BH151" s="14"/>
      <c r="BI151" s="11"/>
      <c r="BJ151" s="11"/>
      <c r="BK151" s="11"/>
      <c r="BL151" s="11"/>
      <c r="BM151" s="11"/>
      <c r="BN151" s="11"/>
      <c r="BO151" s="11"/>
      <c r="BP151" s="11"/>
      <c r="BQ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9"/>
      <c r="CF151" s="9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  <c r="DJ151" s="16"/>
      <c r="DK151" s="16"/>
      <c r="DL151" s="16"/>
    </row>
    <row r="152" ht="15.75" customHeight="1"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9"/>
      <c r="AK152" s="12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9"/>
      <c r="BH152" s="14"/>
      <c r="BI152" s="11"/>
      <c r="BJ152" s="11"/>
      <c r="BK152" s="11"/>
      <c r="BL152" s="11"/>
      <c r="BM152" s="11"/>
      <c r="BN152" s="11"/>
      <c r="BO152" s="11"/>
      <c r="BP152" s="11"/>
      <c r="BQ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9"/>
      <c r="CF152" s="9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  <c r="DK152" s="16"/>
      <c r="DL152" s="16"/>
    </row>
    <row r="153" ht="15.75" customHeight="1"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9"/>
      <c r="AK153" s="12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9"/>
      <c r="BH153" s="14"/>
      <c r="BI153" s="11"/>
      <c r="BJ153" s="11"/>
      <c r="BK153" s="11"/>
      <c r="BL153" s="11"/>
      <c r="BM153" s="11"/>
      <c r="BN153" s="11"/>
      <c r="BO153" s="11"/>
      <c r="BP153" s="11"/>
      <c r="BQ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9"/>
      <c r="CF153" s="9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  <c r="DJ153" s="16"/>
      <c r="DK153" s="16"/>
      <c r="DL153" s="16"/>
    </row>
    <row r="154" ht="15.75" customHeight="1"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9"/>
      <c r="AK154" s="12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9"/>
      <c r="BH154" s="14"/>
      <c r="BI154" s="11"/>
      <c r="BJ154" s="11"/>
      <c r="BK154" s="11"/>
      <c r="BL154" s="11"/>
      <c r="BM154" s="11"/>
      <c r="BN154" s="11"/>
      <c r="BO154" s="11"/>
      <c r="BP154" s="11"/>
      <c r="BQ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9"/>
      <c r="CF154" s="9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  <c r="CU154" s="11"/>
      <c r="CV154" s="11"/>
      <c r="CW154" s="11"/>
      <c r="CX154" s="11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  <c r="DJ154" s="16"/>
      <c r="DK154" s="16"/>
      <c r="DL154" s="16"/>
    </row>
    <row r="155" ht="15.75" customHeight="1"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9"/>
      <c r="AK155" s="12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9"/>
      <c r="BH155" s="14"/>
      <c r="BI155" s="11"/>
      <c r="BJ155" s="11"/>
      <c r="BK155" s="11"/>
      <c r="BL155" s="11"/>
      <c r="BM155" s="11"/>
      <c r="BN155" s="11"/>
      <c r="BO155" s="11"/>
      <c r="BP155" s="11"/>
      <c r="BQ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9"/>
      <c r="CF155" s="9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  <c r="DJ155" s="16"/>
      <c r="DK155" s="16"/>
      <c r="DL155" s="16"/>
    </row>
    <row r="156" ht="15.75" customHeight="1"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9"/>
      <c r="AK156" s="12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9"/>
      <c r="BH156" s="14"/>
      <c r="BI156" s="11"/>
      <c r="BJ156" s="11"/>
      <c r="BK156" s="11"/>
      <c r="BL156" s="11"/>
      <c r="BM156" s="11"/>
      <c r="BN156" s="11"/>
      <c r="BO156" s="11"/>
      <c r="BP156" s="11"/>
      <c r="BQ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9"/>
      <c r="CF156" s="9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/>
      <c r="CW156" s="11"/>
      <c r="CX156" s="11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  <c r="DJ156" s="16"/>
      <c r="DK156" s="16"/>
      <c r="DL156" s="16"/>
    </row>
    <row r="157" ht="15.75" customHeight="1"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9"/>
      <c r="AK157" s="12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9"/>
      <c r="BH157" s="14"/>
      <c r="BI157" s="11"/>
      <c r="BJ157" s="11"/>
      <c r="BK157" s="11"/>
      <c r="BL157" s="11"/>
      <c r="BM157" s="11"/>
      <c r="BN157" s="11"/>
      <c r="BO157" s="11"/>
      <c r="BP157" s="11"/>
      <c r="BQ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9"/>
      <c r="CF157" s="9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/>
      <c r="DI157" s="16"/>
      <c r="DJ157" s="16"/>
      <c r="DK157" s="16"/>
      <c r="DL157" s="16"/>
    </row>
    <row r="158" ht="15.75" customHeight="1"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9"/>
      <c r="AK158" s="12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9"/>
      <c r="BH158" s="14"/>
      <c r="BI158" s="11"/>
      <c r="BJ158" s="11"/>
      <c r="BK158" s="11"/>
      <c r="BL158" s="11"/>
      <c r="BM158" s="11"/>
      <c r="BN158" s="11"/>
      <c r="BO158" s="11"/>
      <c r="BP158" s="11"/>
      <c r="BQ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9"/>
      <c r="CF158" s="9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  <c r="CU158" s="11"/>
      <c r="CV158" s="11"/>
      <c r="CW158" s="11"/>
      <c r="CX158" s="11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  <c r="DJ158" s="16"/>
      <c r="DK158" s="16"/>
      <c r="DL158" s="16"/>
    </row>
    <row r="159" ht="15.75" customHeight="1"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9"/>
      <c r="AK159" s="12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9"/>
      <c r="BH159" s="14"/>
      <c r="BI159" s="11"/>
      <c r="BJ159" s="11"/>
      <c r="BK159" s="11"/>
      <c r="BL159" s="11"/>
      <c r="BM159" s="11"/>
      <c r="BN159" s="11"/>
      <c r="BO159" s="11"/>
      <c r="BP159" s="11"/>
      <c r="BQ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9"/>
      <c r="CF159" s="9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  <c r="DK159" s="16"/>
      <c r="DL159" s="16"/>
    </row>
    <row r="160" ht="15.75" customHeight="1"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9"/>
      <c r="AK160" s="12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9"/>
      <c r="BH160" s="14"/>
      <c r="BI160" s="11"/>
      <c r="BJ160" s="11"/>
      <c r="BK160" s="11"/>
      <c r="BL160" s="11"/>
      <c r="BM160" s="11"/>
      <c r="BN160" s="11"/>
      <c r="BO160" s="11"/>
      <c r="BP160" s="11"/>
      <c r="BQ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9"/>
      <c r="CF160" s="9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  <c r="CS160" s="11"/>
      <c r="CT160" s="11"/>
      <c r="CU160" s="11"/>
      <c r="CV160" s="11"/>
      <c r="CW160" s="11"/>
      <c r="CX160" s="11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/>
      <c r="DI160" s="16"/>
      <c r="DJ160" s="16"/>
      <c r="DK160" s="16"/>
      <c r="DL160" s="16"/>
    </row>
    <row r="161" ht="15.75" customHeight="1"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9"/>
      <c r="AK161" s="12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9"/>
      <c r="BH161" s="14"/>
      <c r="BI161" s="11"/>
      <c r="BJ161" s="11"/>
      <c r="BK161" s="11"/>
      <c r="BL161" s="11"/>
      <c r="BM161" s="11"/>
      <c r="BN161" s="11"/>
      <c r="BO161" s="11"/>
      <c r="BP161" s="11"/>
      <c r="BQ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9"/>
      <c r="CF161" s="9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/>
      <c r="DI161" s="16"/>
      <c r="DJ161" s="16"/>
      <c r="DK161" s="16"/>
      <c r="DL161" s="16"/>
    </row>
    <row r="162" ht="15.75" customHeight="1"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9"/>
      <c r="AK162" s="12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9"/>
      <c r="BH162" s="14"/>
      <c r="BI162" s="11"/>
      <c r="BJ162" s="11"/>
      <c r="BK162" s="11"/>
      <c r="BL162" s="11"/>
      <c r="BM162" s="11"/>
      <c r="BN162" s="11"/>
      <c r="BO162" s="11"/>
      <c r="BP162" s="11"/>
      <c r="BQ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9"/>
      <c r="CF162" s="9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  <c r="CU162" s="11"/>
      <c r="CV162" s="11"/>
      <c r="CW162" s="11"/>
      <c r="CX162" s="11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  <c r="DJ162" s="16"/>
      <c r="DK162" s="16"/>
      <c r="DL162" s="16"/>
    </row>
    <row r="163" ht="15.75" customHeight="1"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9"/>
      <c r="AK163" s="12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9"/>
      <c r="BH163" s="14"/>
      <c r="BI163" s="11"/>
      <c r="BJ163" s="11"/>
      <c r="BK163" s="11"/>
      <c r="BL163" s="11"/>
      <c r="BM163" s="11"/>
      <c r="BN163" s="11"/>
      <c r="BO163" s="11"/>
      <c r="BP163" s="11"/>
      <c r="BQ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9"/>
      <c r="CF163" s="9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/>
      <c r="DI163" s="16"/>
      <c r="DJ163" s="16"/>
      <c r="DK163" s="16"/>
      <c r="DL163" s="16"/>
    </row>
    <row r="164" ht="15.75" customHeight="1"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9"/>
      <c r="AK164" s="12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9"/>
      <c r="BH164" s="14"/>
      <c r="BI164" s="11"/>
      <c r="BJ164" s="11"/>
      <c r="BK164" s="11"/>
      <c r="BL164" s="11"/>
      <c r="BM164" s="11"/>
      <c r="BN164" s="11"/>
      <c r="BO164" s="11"/>
      <c r="BP164" s="11"/>
      <c r="BQ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9"/>
      <c r="CF164" s="9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  <c r="CU164" s="11"/>
      <c r="CV164" s="11"/>
      <c r="CW164" s="11"/>
      <c r="CX164" s="11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/>
      <c r="DI164" s="16"/>
      <c r="DJ164" s="16"/>
      <c r="DK164" s="16"/>
      <c r="DL164" s="16"/>
    </row>
    <row r="165" ht="15.75" customHeight="1"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9"/>
      <c r="AK165" s="12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9"/>
      <c r="BH165" s="14"/>
      <c r="BI165" s="11"/>
      <c r="BJ165" s="11"/>
      <c r="BK165" s="11"/>
      <c r="BL165" s="11"/>
      <c r="BM165" s="11"/>
      <c r="BN165" s="11"/>
      <c r="BO165" s="11"/>
      <c r="BP165" s="11"/>
      <c r="BQ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9"/>
      <c r="CF165" s="9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  <c r="CV165" s="11"/>
      <c r="CW165" s="11"/>
      <c r="CX165" s="11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/>
      <c r="DI165" s="16"/>
      <c r="DJ165" s="16"/>
      <c r="DK165" s="16"/>
      <c r="DL165" s="16"/>
    </row>
    <row r="166" ht="15.75" customHeight="1"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9"/>
      <c r="AK166" s="12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9"/>
      <c r="BH166" s="14"/>
      <c r="BI166" s="11"/>
      <c r="BJ166" s="11"/>
      <c r="BK166" s="11"/>
      <c r="BL166" s="11"/>
      <c r="BM166" s="11"/>
      <c r="BN166" s="11"/>
      <c r="BO166" s="11"/>
      <c r="BP166" s="11"/>
      <c r="BQ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9"/>
      <c r="CF166" s="9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  <c r="CU166" s="11"/>
      <c r="CV166" s="11"/>
      <c r="CW166" s="11"/>
      <c r="CX166" s="11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</row>
    <row r="167" ht="15.75" customHeight="1"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9"/>
      <c r="AK167" s="12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9"/>
      <c r="BH167" s="14"/>
      <c r="BI167" s="11"/>
      <c r="BJ167" s="11"/>
      <c r="BK167" s="11"/>
      <c r="BL167" s="11"/>
      <c r="BM167" s="11"/>
      <c r="BN167" s="11"/>
      <c r="BO167" s="11"/>
      <c r="BP167" s="11"/>
      <c r="BQ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9"/>
      <c r="CF167" s="9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6"/>
      <c r="CZ167" s="16"/>
      <c r="DA167" s="16"/>
      <c r="DB167" s="16"/>
      <c r="DC167" s="16"/>
      <c r="DD167" s="16"/>
      <c r="DE167" s="16"/>
      <c r="DF167" s="16"/>
      <c r="DG167" s="16"/>
      <c r="DH167" s="16"/>
      <c r="DI167" s="16"/>
      <c r="DJ167" s="16"/>
      <c r="DK167" s="16"/>
      <c r="DL167" s="16"/>
    </row>
    <row r="168" ht="15.75" customHeight="1"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9"/>
      <c r="AK168" s="12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9"/>
      <c r="BH168" s="14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9"/>
      <c r="CF168" s="9"/>
      <c r="CG168" s="11"/>
      <c r="CH168" s="11"/>
      <c r="CI168" s="11"/>
      <c r="CJ168" s="11"/>
      <c r="CK168" s="11"/>
      <c r="CL168" s="11"/>
      <c r="CM168" s="11"/>
      <c r="CN168" s="11"/>
      <c r="CO168" s="11"/>
      <c r="CP168" s="11"/>
      <c r="CQ168" s="11"/>
      <c r="CR168" s="11"/>
      <c r="CS168" s="11"/>
      <c r="CT168" s="11"/>
      <c r="CU168" s="11"/>
      <c r="CV168" s="11"/>
      <c r="CW168" s="11"/>
      <c r="CX168" s="11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/>
      <c r="DI168" s="16"/>
      <c r="DJ168" s="16"/>
      <c r="DK168" s="16"/>
      <c r="DL168" s="16"/>
    </row>
    <row r="169" ht="15.75" customHeight="1"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9"/>
      <c r="AK169" s="12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9"/>
      <c r="BH169" s="14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9"/>
      <c r="CF169" s="9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/>
      <c r="DI169" s="16"/>
      <c r="DJ169" s="16"/>
      <c r="DK169" s="16"/>
      <c r="DL169" s="16"/>
    </row>
    <row r="170" ht="15.75" customHeight="1"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9"/>
      <c r="AK170" s="12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9"/>
      <c r="BH170" s="14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9"/>
      <c r="CF170" s="9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/>
      <c r="DI170" s="16"/>
      <c r="DJ170" s="16"/>
      <c r="DK170" s="16"/>
      <c r="DL170" s="16"/>
    </row>
    <row r="171" ht="15.75" customHeight="1"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9"/>
      <c r="AK171" s="12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9"/>
      <c r="BH171" s="14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9"/>
      <c r="CF171" s="9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  <c r="CW171" s="11"/>
      <c r="CX171" s="11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/>
      <c r="DI171" s="16"/>
      <c r="DJ171" s="16"/>
      <c r="DK171" s="16"/>
      <c r="DL171" s="16"/>
    </row>
    <row r="172" ht="15.75" customHeight="1"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9"/>
      <c r="AK172" s="12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9"/>
      <c r="BH172" s="14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9"/>
      <c r="CF172" s="9"/>
      <c r="CG172" s="11"/>
      <c r="CH172" s="11"/>
      <c r="CI172" s="11"/>
      <c r="CJ172" s="11"/>
      <c r="CK172" s="11"/>
      <c r="CL172" s="11"/>
      <c r="CM172" s="11"/>
      <c r="CN172" s="11"/>
      <c r="CO172" s="11"/>
      <c r="CP172" s="11"/>
      <c r="CQ172" s="11"/>
      <c r="CR172" s="11"/>
      <c r="CS172" s="11"/>
      <c r="CT172" s="11"/>
      <c r="CU172" s="11"/>
      <c r="CV172" s="11"/>
      <c r="CW172" s="11"/>
      <c r="CX172" s="11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/>
      <c r="DI172" s="16"/>
      <c r="DJ172" s="16"/>
      <c r="DK172" s="16"/>
      <c r="DL172" s="16"/>
    </row>
    <row r="173" ht="15.75" customHeight="1"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9"/>
      <c r="AK173" s="12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9"/>
      <c r="BH173" s="14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9"/>
      <c r="CF173" s="9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</row>
    <row r="174" ht="15.75" customHeight="1"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9"/>
      <c r="AK174" s="12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9"/>
      <c r="BH174" s="14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9"/>
      <c r="CF174" s="9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/>
      <c r="CQ174" s="11"/>
      <c r="CR174" s="11"/>
      <c r="CS174" s="11"/>
      <c r="CT174" s="11"/>
      <c r="CU174" s="11"/>
      <c r="CV174" s="11"/>
      <c r="CW174" s="11"/>
      <c r="CX174" s="11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  <c r="DJ174" s="16"/>
      <c r="DK174" s="16"/>
      <c r="DL174" s="16"/>
    </row>
    <row r="175" ht="15.75" customHeight="1"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9"/>
      <c r="AK175" s="12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9"/>
      <c r="BH175" s="14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9"/>
      <c r="CF175" s="9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  <c r="CU175" s="11"/>
      <c r="CV175" s="11"/>
      <c r="CW175" s="11"/>
      <c r="CX175" s="11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/>
      <c r="DI175" s="16"/>
      <c r="DJ175" s="16"/>
      <c r="DK175" s="16"/>
      <c r="DL175" s="16"/>
    </row>
    <row r="176" ht="15.75" customHeight="1"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9"/>
      <c r="AK176" s="12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9"/>
      <c r="BH176" s="14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9"/>
      <c r="CF176" s="9"/>
      <c r="CG176" s="11"/>
      <c r="CH176" s="11"/>
      <c r="CI176" s="11"/>
      <c r="CJ176" s="11"/>
      <c r="CK176" s="11"/>
      <c r="CL176" s="11"/>
      <c r="CM176" s="11"/>
      <c r="CN176" s="11"/>
      <c r="CO176" s="11"/>
      <c r="CP176" s="11"/>
      <c r="CQ176" s="11"/>
      <c r="CR176" s="11"/>
      <c r="CS176" s="11"/>
      <c r="CT176" s="11"/>
      <c r="CU176" s="11"/>
      <c r="CV176" s="11"/>
      <c r="CW176" s="11"/>
      <c r="CX176" s="11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/>
      <c r="DI176" s="16"/>
      <c r="DJ176" s="16"/>
      <c r="DK176" s="16"/>
      <c r="DL176" s="16"/>
    </row>
    <row r="177" ht="15.75" customHeight="1">
      <c r="A177" s="9"/>
      <c r="B177" s="11"/>
      <c r="C177" s="11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9"/>
      <c r="AK177" s="12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9"/>
      <c r="BH177" s="14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9"/>
      <c r="CF177" s="9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6"/>
      <c r="CZ177" s="16"/>
      <c r="DA177" s="16"/>
      <c r="DB177" s="16"/>
      <c r="DC177" s="16"/>
      <c r="DD177" s="16"/>
      <c r="DE177" s="16"/>
      <c r="DF177" s="16"/>
      <c r="DG177" s="16"/>
      <c r="DH177" s="16"/>
      <c r="DI177" s="16"/>
      <c r="DJ177" s="16"/>
      <c r="DK177" s="16"/>
      <c r="DL177" s="16"/>
    </row>
    <row r="178" ht="15.75" customHeight="1">
      <c r="A178" s="9"/>
      <c r="B178" s="11"/>
      <c r="C178" s="11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9"/>
      <c r="AK178" s="12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9"/>
      <c r="BH178" s="14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9"/>
      <c r="CF178" s="9"/>
      <c r="CG178" s="11"/>
      <c r="CH178" s="11"/>
      <c r="CI178" s="11"/>
      <c r="CJ178" s="11"/>
      <c r="CK178" s="11"/>
      <c r="CL178" s="11"/>
      <c r="CM178" s="11"/>
      <c r="CN178" s="11"/>
      <c r="CO178" s="11"/>
      <c r="CP178" s="11"/>
      <c r="CQ178" s="11"/>
      <c r="CR178" s="11"/>
      <c r="CS178" s="11"/>
      <c r="CT178" s="11"/>
      <c r="CU178" s="11"/>
      <c r="CV178" s="11"/>
      <c r="CW178" s="11"/>
      <c r="CX178" s="11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  <c r="DJ178" s="16"/>
      <c r="DK178" s="16"/>
      <c r="DL178" s="16"/>
    </row>
    <row r="179" ht="15.75" customHeight="1">
      <c r="A179" s="9"/>
      <c r="B179" s="11"/>
      <c r="C179" s="11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9"/>
      <c r="AK179" s="12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9"/>
      <c r="BH179" s="14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9"/>
      <c r="CF179" s="9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  <c r="CU179" s="11"/>
      <c r="CV179" s="11"/>
      <c r="CW179" s="11"/>
      <c r="CX179" s="11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  <c r="DJ179" s="16"/>
      <c r="DK179" s="16"/>
      <c r="DL179" s="16"/>
    </row>
    <row r="180" ht="15.75" customHeight="1">
      <c r="A180" s="9"/>
      <c r="B180" s="11"/>
      <c r="C180" s="11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9"/>
      <c r="AK180" s="12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9"/>
      <c r="BH180" s="14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9"/>
      <c r="CF180" s="9"/>
      <c r="CG180" s="11"/>
      <c r="CH180" s="11"/>
      <c r="CI180" s="11"/>
      <c r="CJ180" s="11"/>
      <c r="CK180" s="11"/>
      <c r="CL180" s="11"/>
      <c r="CM180" s="11"/>
      <c r="CN180" s="11"/>
      <c r="CO180" s="11"/>
      <c r="CP180" s="11"/>
      <c r="CQ180" s="11"/>
      <c r="CR180" s="11"/>
      <c r="CS180" s="11"/>
      <c r="CT180" s="11"/>
      <c r="CU180" s="11"/>
      <c r="CV180" s="11"/>
      <c r="CW180" s="11"/>
      <c r="CX180" s="11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  <c r="DJ180" s="16"/>
      <c r="DK180" s="16"/>
      <c r="DL180" s="16"/>
    </row>
    <row r="181" ht="15.75" customHeight="1">
      <c r="A181" s="9"/>
      <c r="B181" s="11"/>
      <c r="C181" s="11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9"/>
      <c r="AK181" s="12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9"/>
      <c r="BH181" s="14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9"/>
      <c r="CF181" s="9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/>
      <c r="DI181" s="16"/>
      <c r="DJ181" s="16"/>
      <c r="DK181" s="16"/>
      <c r="DL181" s="16"/>
    </row>
    <row r="182" ht="15.75" customHeight="1">
      <c r="A182" s="9"/>
      <c r="B182" s="11"/>
      <c r="C182" s="11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9"/>
      <c r="AK182" s="12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9"/>
      <c r="BH182" s="14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9"/>
      <c r="CF182" s="9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  <c r="CU182" s="11"/>
      <c r="CV182" s="11"/>
      <c r="CW182" s="11"/>
      <c r="CX182" s="11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6"/>
      <c r="DJ182" s="16"/>
      <c r="DK182" s="16"/>
      <c r="DL182" s="16"/>
    </row>
    <row r="183" ht="15.75" customHeight="1">
      <c r="A183" s="9"/>
      <c r="B183" s="11"/>
      <c r="C183" s="11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9"/>
      <c r="AK183" s="12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9"/>
      <c r="BH183" s="14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9"/>
      <c r="CF183" s="9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/>
      <c r="DI183" s="16"/>
      <c r="DJ183" s="16"/>
      <c r="DK183" s="16"/>
      <c r="DL183" s="16"/>
    </row>
    <row r="184" ht="15.75" customHeight="1">
      <c r="A184" s="9"/>
      <c r="B184" s="11"/>
      <c r="C184" s="11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9"/>
      <c r="AK184" s="12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9"/>
      <c r="BH184" s="14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9"/>
      <c r="CF184" s="9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6"/>
      <c r="DJ184" s="16"/>
      <c r="DK184" s="16"/>
      <c r="DL184" s="16"/>
    </row>
    <row r="185" ht="15.75" customHeight="1">
      <c r="A185" s="9"/>
      <c r="B185" s="11"/>
      <c r="C185" s="11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9"/>
      <c r="AK185" s="12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9"/>
      <c r="BH185" s="14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9"/>
      <c r="CF185" s="9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/>
      <c r="DI185" s="16"/>
      <c r="DJ185" s="16"/>
      <c r="DK185" s="16"/>
      <c r="DL185" s="16"/>
    </row>
    <row r="186" ht="15.75" customHeight="1">
      <c r="A186" s="9"/>
      <c r="B186" s="11"/>
      <c r="C186" s="11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9"/>
      <c r="AK186" s="12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9"/>
      <c r="BH186" s="14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9"/>
      <c r="CF186" s="9"/>
      <c r="CG186" s="11"/>
      <c r="CH186" s="11"/>
      <c r="CI186" s="11"/>
      <c r="CJ186" s="11"/>
      <c r="CK186" s="11"/>
      <c r="CL186" s="11"/>
      <c r="CM186" s="11"/>
      <c r="CN186" s="11"/>
      <c r="CO186" s="11"/>
      <c r="CP186" s="11"/>
      <c r="CQ186" s="11"/>
      <c r="CR186" s="11"/>
      <c r="CS186" s="11"/>
      <c r="CT186" s="11"/>
      <c r="CU186" s="11"/>
      <c r="CV186" s="11"/>
      <c r="CW186" s="11"/>
      <c r="CX186" s="11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/>
      <c r="DI186" s="16"/>
      <c r="DJ186" s="16"/>
      <c r="DK186" s="16"/>
      <c r="DL186" s="16"/>
    </row>
    <row r="187" ht="15.75" customHeight="1">
      <c r="A187" s="9"/>
      <c r="B187" s="11"/>
      <c r="C187" s="11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9"/>
      <c r="AK187" s="12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9"/>
      <c r="BH187" s="14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9"/>
      <c r="CF187" s="9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  <c r="CU187" s="11"/>
      <c r="CV187" s="11"/>
      <c r="CW187" s="11"/>
      <c r="CX187" s="11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/>
      <c r="DI187" s="16"/>
      <c r="DJ187" s="16"/>
      <c r="DK187" s="16"/>
      <c r="DL187" s="16"/>
    </row>
    <row r="188" ht="15.75" customHeight="1">
      <c r="A188" s="9"/>
      <c r="B188" s="11"/>
      <c r="C188" s="11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9"/>
      <c r="AK188" s="12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9"/>
      <c r="BH188" s="14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9"/>
      <c r="CF188" s="9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  <c r="CT188" s="11"/>
      <c r="CU188" s="11"/>
      <c r="CV188" s="11"/>
      <c r="CW188" s="11"/>
      <c r="CX188" s="11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/>
      <c r="DI188" s="16"/>
      <c r="DJ188" s="16"/>
      <c r="DK188" s="16"/>
      <c r="DL188" s="16"/>
    </row>
    <row r="189" ht="15.75" customHeight="1">
      <c r="A189" s="9"/>
      <c r="B189" s="11"/>
      <c r="C189" s="11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9"/>
      <c r="AK189" s="12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9"/>
      <c r="BH189" s="14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9"/>
      <c r="CF189" s="9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  <c r="CV189" s="11"/>
      <c r="CW189" s="11"/>
      <c r="CX189" s="11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/>
      <c r="DI189" s="16"/>
      <c r="DJ189" s="16"/>
      <c r="DK189" s="16"/>
      <c r="DL189" s="16"/>
    </row>
    <row r="190" ht="15.75" customHeight="1">
      <c r="A190" s="9"/>
      <c r="B190" s="11"/>
      <c r="C190" s="11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9"/>
      <c r="AK190" s="12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9"/>
      <c r="BH190" s="14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9"/>
      <c r="CF190" s="9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/>
      <c r="DI190" s="16"/>
      <c r="DJ190" s="16"/>
      <c r="DK190" s="16"/>
      <c r="DL190" s="16"/>
    </row>
    <row r="191" ht="15.75" customHeight="1">
      <c r="A191" s="9"/>
      <c r="B191" s="11"/>
      <c r="C191" s="11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9"/>
      <c r="AK191" s="12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9"/>
      <c r="BH191" s="14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9"/>
      <c r="CF191" s="9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  <c r="CV191" s="11"/>
      <c r="CW191" s="11"/>
      <c r="CX191" s="11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/>
      <c r="DI191" s="16"/>
      <c r="DJ191" s="16"/>
      <c r="DK191" s="16"/>
      <c r="DL191" s="16"/>
    </row>
    <row r="192" ht="15.75" customHeight="1">
      <c r="A192" s="9"/>
      <c r="B192" s="11"/>
      <c r="C192" s="11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9"/>
      <c r="AK192" s="12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9"/>
      <c r="BH192" s="14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9"/>
      <c r="CF192" s="9"/>
      <c r="CG192" s="11"/>
      <c r="CH192" s="11"/>
      <c r="CI192" s="11"/>
      <c r="CJ192" s="11"/>
      <c r="CK192" s="11"/>
      <c r="CL192" s="11"/>
      <c r="CM192" s="11"/>
      <c r="CN192" s="11"/>
      <c r="CO192" s="11"/>
      <c r="CP192" s="11"/>
      <c r="CQ192" s="11"/>
      <c r="CR192" s="11"/>
      <c r="CS192" s="11"/>
      <c r="CT192" s="11"/>
      <c r="CU192" s="11"/>
      <c r="CV192" s="11"/>
      <c r="CW192" s="11"/>
      <c r="CX192" s="11"/>
      <c r="CY192" s="16"/>
      <c r="CZ192" s="16"/>
      <c r="DA192" s="16"/>
      <c r="DB192" s="16"/>
      <c r="DC192" s="16"/>
      <c r="DD192" s="16"/>
      <c r="DE192" s="16"/>
      <c r="DF192" s="16"/>
      <c r="DG192" s="16"/>
      <c r="DH192" s="16"/>
      <c r="DI192" s="16"/>
      <c r="DJ192" s="16"/>
      <c r="DK192" s="16"/>
      <c r="DL192" s="16"/>
    </row>
    <row r="193" ht="15.75" customHeight="1">
      <c r="A193" s="9"/>
      <c r="B193" s="11"/>
      <c r="C193" s="11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9"/>
      <c r="AK193" s="12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9"/>
      <c r="BH193" s="14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9"/>
      <c r="CF193" s="9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  <c r="CV193" s="11"/>
      <c r="CW193" s="11"/>
      <c r="CX193" s="11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/>
      <c r="DI193" s="16"/>
      <c r="DJ193" s="16"/>
      <c r="DK193" s="16"/>
      <c r="DL193" s="16"/>
    </row>
    <row r="194" ht="15.75" customHeight="1">
      <c r="A194" s="9"/>
      <c r="B194" s="11"/>
      <c r="C194" s="11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9"/>
      <c r="AK194" s="12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9"/>
      <c r="BH194" s="14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9"/>
      <c r="CF194" s="9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  <c r="CU194" s="11"/>
      <c r="CV194" s="11"/>
      <c r="CW194" s="11"/>
      <c r="CX194" s="11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  <c r="DJ194" s="16"/>
      <c r="DK194" s="16"/>
      <c r="DL194" s="16"/>
    </row>
    <row r="195" ht="15.75" customHeight="1">
      <c r="A195" s="9"/>
      <c r="B195" s="11"/>
      <c r="C195" s="11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9"/>
      <c r="AK195" s="12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9"/>
      <c r="BH195" s="14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9"/>
      <c r="CF195" s="9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/>
      <c r="DI195" s="16"/>
      <c r="DJ195" s="16"/>
      <c r="DK195" s="16"/>
      <c r="DL195" s="16"/>
    </row>
    <row r="196" ht="15.75" customHeight="1">
      <c r="A196" s="9"/>
      <c r="B196" s="11"/>
      <c r="C196" s="11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9"/>
      <c r="AK196" s="12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9"/>
      <c r="BH196" s="14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9"/>
      <c r="CF196" s="9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  <c r="CU196" s="11"/>
      <c r="CV196" s="11"/>
      <c r="CW196" s="11"/>
      <c r="CX196" s="11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/>
      <c r="DI196" s="16"/>
      <c r="DJ196" s="16"/>
      <c r="DK196" s="16"/>
      <c r="DL196" s="16"/>
    </row>
    <row r="197" ht="15.75" customHeight="1">
      <c r="A197" s="9"/>
      <c r="B197" s="11"/>
      <c r="C197" s="11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9"/>
      <c r="AK197" s="12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9"/>
      <c r="BH197" s="14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9"/>
      <c r="CF197" s="9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6"/>
      <c r="CZ197" s="16"/>
      <c r="DA197" s="16"/>
      <c r="DB197" s="16"/>
      <c r="DC197" s="16"/>
      <c r="DD197" s="16"/>
      <c r="DE197" s="16"/>
      <c r="DF197" s="16"/>
      <c r="DG197" s="16"/>
      <c r="DH197" s="16"/>
      <c r="DI197" s="16"/>
      <c r="DJ197" s="16"/>
      <c r="DK197" s="16"/>
      <c r="DL197" s="16"/>
    </row>
    <row r="198" ht="15.75" customHeight="1">
      <c r="A198" s="9"/>
      <c r="B198" s="11"/>
      <c r="C198" s="11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9"/>
      <c r="AK198" s="12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9"/>
      <c r="BH198" s="14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9"/>
      <c r="CF198" s="9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6"/>
      <c r="CZ198" s="16"/>
      <c r="DA198" s="16"/>
      <c r="DB198" s="16"/>
      <c r="DC198" s="16"/>
      <c r="DD198" s="16"/>
      <c r="DE198" s="16"/>
      <c r="DF198" s="16"/>
      <c r="DG198" s="16"/>
      <c r="DH198" s="16"/>
      <c r="DI198" s="16"/>
      <c r="DJ198" s="16"/>
      <c r="DK198" s="16"/>
      <c r="DL198" s="16"/>
    </row>
    <row r="199" ht="15.75" customHeight="1">
      <c r="A199" s="9"/>
      <c r="B199" s="11"/>
      <c r="C199" s="11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9"/>
      <c r="AK199" s="12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9"/>
      <c r="BH199" s="14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9"/>
      <c r="CF199" s="9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6"/>
      <c r="CZ199" s="16"/>
      <c r="DA199" s="16"/>
      <c r="DB199" s="16"/>
      <c r="DC199" s="16"/>
      <c r="DD199" s="16"/>
      <c r="DE199" s="16"/>
      <c r="DF199" s="16"/>
      <c r="DG199" s="16"/>
      <c r="DH199" s="16"/>
      <c r="DI199" s="16"/>
      <c r="DJ199" s="16"/>
      <c r="DK199" s="16"/>
      <c r="DL199" s="16"/>
    </row>
    <row r="200" ht="15.75" customHeight="1">
      <c r="A200" s="9"/>
      <c r="B200" s="11"/>
      <c r="C200" s="11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9"/>
      <c r="AK200" s="12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9"/>
      <c r="BH200" s="14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9"/>
      <c r="CF200" s="9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/>
      <c r="DI200" s="16"/>
      <c r="DJ200" s="16"/>
      <c r="DK200" s="16"/>
      <c r="DL200" s="16"/>
    </row>
    <row r="201" ht="15.75" customHeight="1">
      <c r="A201" s="9"/>
      <c r="B201" s="11"/>
      <c r="C201" s="11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9"/>
      <c r="AK201" s="12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9"/>
      <c r="BH201" s="14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9"/>
      <c r="CF201" s="9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/>
      <c r="DI201" s="16"/>
      <c r="DJ201" s="16"/>
      <c r="DK201" s="16"/>
      <c r="DL201" s="16"/>
    </row>
    <row r="202" ht="15.75" customHeight="1">
      <c r="A202" s="9"/>
      <c r="B202" s="11"/>
      <c r="C202" s="11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9"/>
      <c r="AK202" s="12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9"/>
      <c r="BH202" s="14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9"/>
      <c r="CF202" s="9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  <c r="CV202" s="11"/>
      <c r="CW202" s="11"/>
      <c r="CX202" s="11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/>
      <c r="DI202" s="16"/>
      <c r="DJ202" s="16"/>
      <c r="DK202" s="16"/>
      <c r="DL202" s="16"/>
    </row>
    <row r="203" ht="15.75" customHeight="1">
      <c r="A203" s="9"/>
      <c r="B203" s="11"/>
      <c r="C203" s="11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9"/>
      <c r="AK203" s="12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9"/>
      <c r="BH203" s="14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9"/>
      <c r="CF203" s="9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/>
      <c r="DI203" s="16"/>
      <c r="DJ203" s="16"/>
      <c r="DK203" s="16"/>
      <c r="DL203" s="16"/>
    </row>
    <row r="204" ht="15.75" customHeight="1">
      <c r="A204" s="9"/>
      <c r="B204" s="11"/>
      <c r="C204" s="11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9"/>
      <c r="AK204" s="12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9"/>
      <c r="BH204" s="14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9"/>
      <c r="CF204" s="9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  <c r="CV204" s="11"/>
      <c r="CW204" s="11"/>
      <c r="CX204" s="11"/>
      <c r="CY204" s="16"/>
      <c r="CZ204" s="16"/>
      <c r="DA204" s="16"/>
      <c r="DB204" s="16"/>
      <c r="DC204" s="16"/>
      <c r="DD204" s="16"/>
      <c r="DE204" s="16"/>
      <c r="DF204" s="16"/>
      <c r="DG204" s="16"/>
      <c r="DH204" s="16"/>
      <c r="DI204" s="16"/>
      <c r="DJ204" s="16"/>
      <c r="DK204" s="16"/>
      <c r="DL204" s="16"/>
    </row>
    <row r="205" ht="15.75" customHeight="1">
      <c r="A205" s="9"/>
      <c r="B205" s="11"/>
      <c r="C205" s="11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9"/>
      <c r="AK205" s="12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9"/>
      <c r="BH205" s="14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9"/>
      <c r="CF205" s="9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/>
      <c r="DI205" s="16"/>
      <c r="DJ205" s="16"/>
      <c r="DK205" s="16"/>
      <c r="DL205" s="16"/>
    </row>
    <row r="206" ht="15.75" customHeight="1">
      <c r="A206" s="9"/>
      <c r="B206" s="11"/>
      <c r="C206" s="11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9"/>
      <c r="AK206" s="12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9"/>
      <c r="BH206" s="14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9"/>
      <c r="CF206" s="9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/>
      <c r="DI206" s="16"/>
      <c r="DJ206" s="16"/>
      <c r="DK206" s="16"/>
      <c r="DL206" s="16"/>
    </row>
    <row r="207" ht="15.75" customHeight="1">
      <c r="A207" s="9"/>
      <c r="B207" s="11"/>
      <c r="C207" s="11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9"/>
      <c r="AK207" s="12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9"/>
      <c r="BH207" s="14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9"/>
      <c r="CF207" s="9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/>
      <c r="DI207" s="16"/>
      <c r="DJ207" s="16"/>
      <c r="DK207" s="16"/>
      <c r="DL207" s="16"/>
    </row>
    <row r="208" ht="15.75" customHeight="1">
      <c r="A208" s="9"/>
      <c r="B208" s="11"/>
      <c r="C208" s="11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9"/>
      <c r="AK208" s="12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9"/>
      <c r="BH208" s="14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9"/>
      <c r="CF208" s="9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  <c r="CU208" s="11"/>
      <c r="CV208" s="11"/>
      <c r="CW208" s="11"/>
      <c r="CX208" s="11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/>
      <c r="DI208" s="16"/>
      <c r="DJ208" s="16"/>
      <c r="DK208" s="16"/>
      <c r="DL208" s="16"/>
    </row>
    <row r="209" ht="15.75" customHeight="1">
      <c r="A209" s="9"/>
      <c r="B209" s="11"/>
      <c r="C209" s="11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9"/>
      <c r="AK209" s="12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9"/>
      <c r="BH209" s="14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9"/>
      <c r="CF209" s="9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/>
      <c r="DI209" s="16"/>
      <c r="DJ209" s="16"/>
      <c r="DK209" s="16"/>
      <c r="DL209" s="16"/>
    </row>
    <row r="210" ht="15.75" customHeight="1">
      <c r="A210" s="9"/>
      <c r="B210" s="11"/>
      <c r="C210" s="11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9"/>
      <c r="AK210" s="12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9"/>
      <c r="BH210" s="14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9"/>
      <c r="CF210" s="9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  <c r="CU210" s="11"/>
      <c r="CV210" s="11"/>
      <c r="CW210" s="11"/>
      <c r="CX210" s="11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/>
      <c r="DI210" s="16"/>
      <c r="DJ210" s="16"/>
      <c r="DK210" s="16"/>
      <c r="DL210" s="16"/>
    </row>
    <row r="211" ht="15.75" customHeight="1">
      <c r="A211" s="9"/>
      <c r="B211" s="11"/>
      <c r="C211" s="11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9"/>
      <c r="AK211" s="12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9"/>
      <c r="BH211" s="14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9"/>
      <c r="CF211" s="9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/>
      <c r="CY211" s="16"/>
      <c r="CZ211" s="16"/>
      <c r="DA211" s="16"/>
      <c r="DB211" s="16"/>
      <c r="DC211" s="16"/>
      <c r="DD211" s="16"/>
      <c r="DE211" s="16"/>
      <c r="DF211" s="16"/>
      <c r="DG211" s="16"/>
      <c r="DH211" s="16"/>
      <c r="DI211" s="16"/>
      <c r="DJ211" s="16"/>
      <c r="DK211" s="16"/>
      <c r="DL211" s="16"/>
    </row>
    <row r="212" ht="15.75" customHeight="1">
      <c r="A212" s="9"/>
      <c r="B212" s="11"/>
      <c r="C212" s="11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9"/>
      <c r="AK212" s="12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9"/>
      <c r="BH212" s="14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9"/>
      <c r="CF212" s="9"/>
      <c r="CG212" s="11"/>
      <c r="CH212" s="11"/>
      <c r="CI212" s="11"/>
      <c r="CJ212" s="11"/>
      <c r="CK212" s="11"/>
      <c r="CL212" s="11"/>
      <c r="CM212" s="11"/>
      <c r="CN212" s="11"/>
      <c r="CO212" s="11"/>
      <c r="CP212" s="11"/>
      <c r="CQ212" s="11"/>
      <c r="CR212" s="11"/>
      <c r="CS212" s="11"/>
      <c r="CT212" s="11"/>
      <c r="CU212" s="11"/>
      <c r="CV212" s="11"/>
      <c r="CW212" s="11"/>
      <c r="CX212" s="11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/>
      <c r="DI212" s="16"/>
      <c r="DJ212" s="16"/>
      <c r="DK212" s="16"/>
      <c r="DL212" s="16"/>
    </row>
    <row r="213" ht="15.75" customHeight="1">
      <c r="A213" s="9"/>
      <c r="B213" s="11"/>
      <c r="C213" s="11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9"/>
      <c r="AK213" s="12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9"/>
      <c r="BH213" s="14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9"/>
      <c r="CF213" s="9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/>
      <c r="DI213" s="16"/>
      <c r="DJ213" s="16"/>
      <c r="DK213" s="16"/>
      <c r="DL213" s="16"/>
    </row>
    <row r="214" ht="15.75" customHeight="1">
      <c r="A214" s="9"/>
      <c r="B214" s="11"/>
      <c r="C214" s="11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9"/>
      <c r="AK214" s="12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9"/>
      <c r="BH214" s="14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9"/>
      <c r="CF214" s="9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  <c r="CT214" s="11"/>
      <c r="CU214" s="11"/>
      <c r="CV214" s="11"/>
      <c r="CW214" s="11"/>
      <c r="CX214" s="11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/>
      <c r="DI214" s="16"/>
      <c r="DJ214" s="16"/>
      <c r="DK214" s="16"/>
      <c r="DL214" s="16"/>
    </row>
    <row r="215" ht="15.75" customHeight="1">
      <c r="A215" s="9"/>
      <c r="B215" s="11"/>
      <c r="C215" s="11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9"/>
      <c r="AK215" s="12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9"/>
      <c r="BH215" s="14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9"/>
      <c r="CF215" s="9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6"/>
      <c r="CZ215" s="16"/>
      <c r="DA215" s="16"/>
      <c r="DB215" s="16"/>
      <c r="DC215" s="16"/>
      <c r="DD215" s="16"/>
      <c r="DE215" s="16"/>
      <c r="DF215" s="16"/>
      <c r="DG215" s="16"/>
      <c r="DH215" s="16"/>
      <c r="DI215" s="16"/>
      <c r="DJ215" s="16"/>
      <c r="DK215" s="16"/>
      <c r="DL215" s="16"/>
    </row>
    <row r="216" ht="15.75" customHeight="1">
      <c r="A216" s="9"/>
      <c r="B216" s="11"/>
      <c r="C216" s="11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9"/>
      <c r="AK216" s="12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9"/>
      <c r="BH216" s="14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9"/>
      <c r="CF216" s="9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  <c r="CU216" s="11"/>
      <c r="CV216" s="11"/>
      <c r="CW216" s="11"/>
      <c r="CX216" s="11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/>
      <c r="DI216" s="16"/>
      <c r="DJ216" s="16"/>
      <c r="DK216" s="16"/>
      <c r="DL216" s="16"/>
    </row>
    <row r="217" ht="15.75" customHeight="1">
      <c r="A217" s="9"/>
      <c r="B217" s="11"/>
      <c r="C217" s="11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9"/>
      <c r="AK217" s="12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9"/>
      <c r="BH217" s="14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9"/>
      <c r="CF217" s="9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6"/>
      <c r="DJ217" s="16"/>
      <c r="DK217" s="16"/>
      <c r="DL217" s="16"/>
    </row>
    <row r="218" ht="15.75" customHeight="1">
      <c r="A218" s="9"/>
      <c r="B218" s="11"/>
      <c r="C218" s="11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9"/>
      <c r="AK218" s="12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9"/>
      <c r="BH218" s="14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9"/>
      <c r="CF218" s="9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/>
      <c r="DI218" s="16"/>
      <c r="DJ218" s="16"/>
      <c r="DK218" s="16"/>
      <c r="DL218" s="16"/>
    </row>
    <row r="219" ht="15.75" customHeight="1">
      <c r="A219" s="9"/>
      <c r="B219" s="11"/>
      <c r="C219" s="11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9"/>
      <c r="AK219" s="12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9"/>
      <c r="BH219" s="14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9"/>
      <c r="CF219" s="9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  <c r="DJ219" s="16"/>
      <c r="DK219" s="16"/>
      <c r="DL219" s="16"/>
    </row>
    <row r="220" ht="15.75" customHeight="1">
      <c r="A220" s="9"/>
      <c r="B220" s="11"/>
      <c r="C220" s="11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9"/>
      <c r="AK220" s="12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9"/>
      <c r="BH220" s="14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9"/>
      <c r="CF220" s="9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  <c r="CU220" s="11"/>
      <c r="CV220" s="11"/>
      <c r="CW220" s="11"/>
      <c r="CX220" s="11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/>
      <c r="DI220" s="16"/>
      <c r="DJ220" s="16"/>
      <c r="DK220" s="16"/>
      <c r="DL220" s="16"/>
    </row>
    <row r="221" ht="15.75" customHeight="1">
      <c r="A221" s="9"/>
      <c r="B221" s="11"/>
      <c r="C221" s="11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9"/>
      <c r="AK221" s="12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9"/>
      <c r="BH221" s="14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9"/>
      <c r="CF221" s="9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  <c r="CV221" s="11"/>
      <c r="CW221" s="11"/>
      <c r="CX221" s="11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/>
      <c r="DI221" s="16"/>
      <c r="DJ221" s="16"/>
      <c r="DK221" s="16"/>
      <c r="DL221" s="16"/>
    </row>
    <row r="222" ht="15.75" customHeight="1">
      <c r="A222" s="9"/>
      <c r="B222" s="11"/>
      <c r="C222" s="11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9"/>
      <c r="AK222" s="12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9"/>
      <c r="BH222" s="14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9"/>
      <c r="CF222" s="9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  <c r="CU222" s="11"/>
      <c r="CV222" s="11"/>
      <c r="CW222" s="11"/>
      <c r="CX222" s="11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/>
      <c r="DI222" s="16"/>
      <c r="DJ222" s="16"/>
      <c r="DK222" s="16"/>
      <c r="DL222" s="16"/>
    </row>
    <row r="223" ht="15.75" customHeight="1">
      <c r="A223" s="9"/>
      <c r="B223" s="11"/>
      <c r="C223" s="11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9"/>
      <c r="AK223" s="12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9"/>
      <c r="BH223" s="14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9"/>
      <c r="CF223" s="9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  <c r="CV223" s="11"/>
      <c r="CW223" s="11"/>
      <c r="CX223" s="11"/>
      <c r="CY223" s="16"/>
      <c r="CZ223" s="16"/>
      <c r="DA223" s="16"/>
      <c r="DB223" s="16"/>
      <c r="DC223" s="16"/>
      <c r="DD223" s="16"/>
      <c r="DE223" s="16"/>
      <c r="DF223" s="16"/>
      <c r="DG223" s="16"/>
      <c r="DH223" s="16"/>
      <c r="DI223" s="16"/>
      <c r="DJ223" s="16"/>
      <c r="DK223" s="16"/>
      <c r="DL223" s="16"/>
    </row>
    <row r="224" ht="15.75" customHeight="1">
      <c r="A224" s="9"/>
      <c r="B224" s="11"/>
      <c r="C224" s="11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9"/>
      <c r="AK224" s="12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9"/>
      <c r="BH224" s="14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9"/>
      <c r="CF224" s="9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/>
      <c r="DI224" s="16"/>
      <c r="DJ224" s="16"/>
      <c r="DK224" s="16"/>
      <c r="DL224" s="16"/>
    </row>
    <row r="225" ht="15.75" customHeight="1">
      <c r="A225" s="9"/>
      <c r="B225" s="11"/>
      <c r="C225" s="11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9"/>
      <c r="AK225" s="12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9"/>
      <c r="BH225" s="14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9"/>
      <c r="CF225" s="9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6"/>
      <c r="CZ225" s="16"/>
      <c r="DA225" s="16"/>
      <c r="DB225" s="16"/>
      <c r="DC225" s="16"/>
      <c r="DD225" s="16"/>
      <c r="DE225" s="16"/>
      <c r="DF225" s="16"/>
      <c r="DG225" s="16"/>
      <c r="DH225" s="16"/>
      <c r="DI225" s="16"/>
      <c r="DJ225" s="16"/>
      <c r="DK225" s="16"/>
      <c r="DL225" s="16"/>
    </row>
    <row r="226" ht="15.75" customHeight="1">
      <c r="A226" s="9"/>
      <c r="B226" s="11"/>
      <c r="C226" s="11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9"/>
      <c r="AK226" s="12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9"/>
      <c r="BH226" s="14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9"/>
      <c r="CF226" s="9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  <c r="CU226" s="11"/>
      <c r="CV226" s="11"/>
      <c r="CW226" s="11"/>
      <c r="CX226" s="11"/>
      <c r="CY226" s="16"/>
      <c r="CZ226" s="16"/>
      <c r="DA226" s="16"/>
      <c r="DB226" s="16"/>
      <c r="DC226" s="16"/>
      <c r="DD226" s="16"/>
      <c r="DE226" s="16"/>
      <c r="DF226" s="16"/>
      <c r="DG226" s="16"/>
      <c r="DH226" s="16"/>
      <c r="DI226" s="16"/>
      <c r="DJ226" s="16"/>
      <c r="DK226" s="16"/>
      <c r="DL226" s="16"/>
    </row>
    <row r="227" ht="15.75" customHeight="1">
      <c r="A227" s="9"/>
      <c r="B227" s="11"/>
      <c r="C227" s="11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9"/>
      <c r="AK227" s="12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9"/>
      <c r="BH227" s="14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9"/>
      <c r="CF227" s="9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6"/>
      <c r="CZ227" s="16"/>
      <c r="DA227" s="16"/>
      <c r="DB227" s="16"/>
      <c r="DC227" s="16"/>
      <c r="DD227" s="16"/>
      <c r="DE227" s="16"/>
      <c r="DF227" s="16"/>
      <c r="DG227" s="16"/>
      <c r="DH227" s="16"/>
      <c r="DI227" s="16"/>
      <c r="DJ227" s="16"/>
      <c r="DK227" s="16"/>
      <c r="DL227" s="16"/>
    </row>
    <row r="228" ht="15.75" customHeight="1">
      <c r="A228" s="9"/>
      <c r="B228" s="11"/>
      <c r="C228" s="11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9"/>
      <c r="AK228" s="12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9"/>
      <c r="BH228" s="14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9"/>
      <c r="CF228" s="9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  <c r="CU228" s="11"/>
      <c r="CV228" s="11"/>
      <c r="CW228" s="11"/>
      <c r="CX228" s="11"/>
      <c r="CY228" s="16"/>
      <c r="CZ228" s="16"/>
      <c r="DA228" s="16"/>
      <c r="DB228" s="16"/>
      <c r="DC228" s="16"/>
      <c r="DD228" s="16"/>
      <c r="DE228" s="16"/>
      <c r="DF228" s="16"/>
      <c r="DG228" s="16"/>
      <c r="DH228" s="16"/>
      <c r="DI228" s="16"/>
      <c r="DJ228" s="16"/>
      <c r="DK228" s="16"/>
      <c r="DL228" s="16"/>
    </row>
    <row r="229" ht="15.75" customHeight="1">
      <c r="A229" s="9"/>
      <c r="B229" s="11"/>
      <c r="C229" s="11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9"/>
      <c r="AK229" s="12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9"/>
      <c r="BH229" s="14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9"/>
      <c r="CF229" s="9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/>
      <c r="DI229" s="16"/>
      <c r="DJ229" s="16"/>
      <c r="DK229" s="16"/>
      <c r="DL229" s="16"/>
    </row>
    <row r="230" ht="15.75" customHeight="1">
      <c r="A230" s="9"/>
      <c r="B230" s="11"/>
      <c r="C230" s="11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9"/>
      <c r="AK230" s="12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9"/>
      <c r="BH230" s="14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9"/>
      <c r="CF230" s="9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6"/>
      <c r="CZ230" s="16"/>
      <c r="DA230" s="16"/>
      <c r="DB230" s="16"/>
      <c r="DC230" s="16"/>
      <c r="DD230" s="16"/>
      <c r="DE230" s="16"/>
      <c r="DF230" s="16"/>
      <c r="DG230" s="16"/>
      <c r="DH230" s="16"/>
      <c r="DI230" s="16"/>
      <c r="DJ230" s="16"/>
      <c r="DK230" s="16"/>
      <c r="DL230" s="16"/>
    </row>
    <row r="231" ht="15.75" customHeight="1">
      <c r="A231" s="9"/>
      <c r="B231" s="11"/>
      <c r="C231" s="11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9"/>
      <c r="AK231" s="12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9"/>
      <c r="BH231" s="14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9"/>
      <c r="CF231" s="9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6"/>
      <c r="CZ231" s="16"/>
      <c r="DA231" s="16"/>
      <c r="DB231" s="16"/>
      <c r="DC231" s="16"/>
      <c r="DD231" s="16"/>
      <c r="DE231" s="16"/>
      <c r="DF231" s="16"/>
      <c r="DG231" s="16"/>
      <c r="DH231" s="16"/>
      <c r="DI231" s="16"/>
      <c r="DJ231" s="16"/>
      <c r="DK231" s="16"/>
      <c r="DL231" s="16"/>
    </row>
    <row r="232" ht="15.75" customHeight="1">
      <c r="A232" s="9"/>
      <c r="B232" s="11"/>
      <c r="C232" s="11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9"/>
      <c r="AK232" s="12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9"/>
      <c r="BH232" s="14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9"/>
      <c r="CF232" s="9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  <c r="CV232" s="11"/>
      <c r="CW232" s="11"/>
      <c r="CX232" s="11"/>
      <c r="CY232" s="16"/>
      <c r="CZ232" s="16"/>
      <c r="DA232" s="16"/>
      <c r="DB232" s="16"/>
      <c r="DC232" s="16"/>
      <c r="DD232" s="16"/>
      <c r="DE232" s="16"/>
      <c r="DF232" s="16"/>
      <c r="DG232" s="16"/>
      <c r="DH232" s="16"/>
      <c r="DI232" s="16"/>
      <c r="DJ232" s="16"/>
      <c r="DK232" s="16"/>
      <c r="DL232" s="16"/>
    </row>
    <row r="233" ht="15.75" customHeight="1">
      <c r="A233" s="9"/>
      <c r="B233" s="11"/>
      <c r="C233" s="11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9"/>
      <c r="AK233" s="12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9"/>
      <c r="BH233" s="14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9"/>
      <c r="CF233" s="9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6"/>
      <c r="CZ233" s="16"/>
      <c r="DA233" s="16"/>
      <c r="DB233" s="16"/>
      <c r="DC233" s="16"/>
      <c r="DD233" s="16"/>
      <c r="DE233" s="16"/>
      <c r="DF233" s="16"/>
      <c r="DG233" s="16"/>
      <c r="DH233" s="16"/>
      <c r="DI233" s="16"/>
      <c r="DJ233" s="16"/>
      <c r="DK233" s="16"/>
      <c r="DL233" s="16"/>
    </row>
    <row r="234" ht="15.75" customHeight="1">
      <c r="A234" s="9"/>
      <c r="B234" s="11"/>
      <c r="C234" s="11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9"/>
      <c r="AK234" s="12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9"/>
      <c r="BH234" s="14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9"/>
      <c r="CF234" s="9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  <c r="CU234" s="11"/>
      <c r="CV234" s="11"/>
      <c r="CW234" s="11"/>
      <c r="CX234" s="11"/>
      <c r="CY234" s="16"/>
      <c r="CZ234" s="16"/>
      <c r="DA234" s="16"/>
      <c r="DB234" s="16"/>
      <c r="DC234" s="16"/>
      <c r="DD234" s="16"/>
      <c r="DE234" s="16"/>
      <c r="DF234" s="16"/>
      <c r="DG234" s="16"/>
      <c r="DH234" s="16"/>
      <c r="DI234" s="16"/>
      <c r="DJ234" s="16"/>
      <c r="DK234" s="16"/>
      <c r="DL234" s="16"/>
    </row>
    <row r="235" ht="15.75" customHeight="1">
      <c r="A235" s="9"/>
      <c r="B235" s="11"/>
      <c r="C235" s="11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9"/>
      <c r="AK235" s="12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9"/>
      <c r="BH235" s="14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9"/>
      <c r="CF235" s="9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6"/>
      <c r="CZ235" s="16"/>
      <c r="DA235" s="16"/>
      <c r="DB235" s="16"/>
      <c r="DC235" s="16"/>
      <c r="DD235" s="16"/>
      <c r="DE235" s="16"/>
      <c r="DF235" s="16"/>
      <c r="DG235" s="16"/>
      <c r="DH235" s="16"/>
      <c r="DI235" s="16"/>
      <c r="DJ235" s="16"/>
      <c r="DK235" s="16"/>
      <c r="DL235" s="16"/>
    </row>
    <row r="236" ht="15.75" customHeight="1">
      <c r="A236" s="9"/>
      <c r="B236" s="11"/>
      <c r="C236" s="11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9"/>
      <c r="AK236" s="12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9"/>
      <c r="BH236" s="14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9"/>
      <c r="CF236" s="9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  <c r="CU236" s="11"/>
      <c r="CV236" s="11"/>
      <c r="CW236" s="11"/>
      <c r="CX236" s="11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/>
      <c r="DI236" s="16"/>
      <c r="DJ236" s="16"/>
      <c r="DK236" s="16"/>
      <c r="DL236" s="16"/>
    </row>
    <row r="237" ht="15.75" customHeight="1">
      <c r="A237" s="9"/>
      <c r="B237" s="11"/>
      <c r="C237" s="11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9"/>
      <c r="AK237" s="12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9"/>
      <c r="BH237" s="14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9"/>
      <c r="CF237" s="9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  <c r="CV237" s="11"/>
      <c r="CW237" s="11"/>
      <c r="CX237" s="11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/>
      <c r="DI237" s="16"/>
      <c r="DJ237" s="16"/>
      <c r="DK237" s="16"/>
      <c r="DL237" s="16"/>
    </row>
    <row r="238" ht="15.75" customHeight="1">
      <c r="A238" s="9"/>
      <c r="B238" s="11"/>
      <c r="C238" s="11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9"/>
      <c r="AK238" s="12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9"/>
      <c r="BH238" s="14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9"/>
      <c r="CF238" s="9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  <c r="CU238" s="11"/>
      <c r="CV238" s="11"/>
      <c r="CW238" s="11"/>
      <c r="CX238" s="11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/>
      <c r="DI238" s="16"/>
      <c r="DJ238" s="16"/>
      <c r="DK238" s="16"/>
      <c r="DL238" s="16"/>
    </row>
    <row r="239" ht="15.75" customHeight="1">
      <c r="A239" s="9"/>
      <c r="B239" s="11"/>
      <c r="C239" s="11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9"/>
      <c r="AK239" s="12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9"/>
      <c r="BH239" s="14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9"/>
      <c r="CF239" s="9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6"/>
      <c r="CZ239" s="16"/>
      <c r="DA239" s="16"/>
      <c r="DB239" s="16"/>
      <c r="DC239" s="16"/>
      <c r="DD239" s="16"/>
      <c r="DE239" s="16"/>
      <c r="DF239" s="16"/>
      <c r="DG239" s="16"/>
      <c r="DH239" s="16"/>
      <c r="DI239" s="16"/>
      <c r="DJ239" s="16"/>
      <c r="DK239" s="16"/>
      <c r="DL239" s="16"/>
    </row>
    <row r="240" ht="15.75" customHeight="1">
      <c r="A240" s="9"/>
      <c r="B240" s="11"/>
      <c r="C240" s="11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9"/>
      <c r="AK240" s="12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9"/>
      <c r="BH240" s="14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9"/>
      <c r="CF240" s="9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  <c r="CV240" s="11"/>
      <c r="CW240" s="11"/>
      <c r="CX240" s="11"/>
      <c r="CY240" s="16"/>
      <c r="CZ240" s="16"/>
      <c r="DA240" s="16"/>
      <c r="DB240" s="16"/>
      <c r="DC240" s="16"/>
      <c r="DD240" s="16"/>
      <c r="DE240" s="16"/>
      <c r="DF240" s="16"/>
      <c r="DG240" s="16"/>
      <c r="DH240" s="16"/>
      <c r="DI240" s="16"/>
      <c r="DJ240" s="16"/>
      <c r="DK240" s="16"/>
      <c r="DL240" s="16"/>
    </row>
    <row r="241" ht="15.75" customHeight="1">
      <c r="A241" s="9"/>
      <c r="B241" s="11"/>
      <c r="C241" s="11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9"/>
      <c r="AK241" s="12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9"/>
      <c r="BH241" s="14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9"/>
      <c r="CF241" s="9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6"/>
      <c r="CZ241" s="16"/>
      <c r="DA241" s="16"/>
      <c r="DB241" s="16"/>
      <c r="DC241" s="16"/>
      <c r="DD241" s="16"/>
      <c r="DE241" s="16"/>
      <c r="DF241" s="16"/>
      <c r="DG241" s="16"/>
      <c r="DH241" s="16"/>
      <c r="DI241" s="16"/>
      <c r="DJ241" s="16"/>
      <c r="DK241" s="16"/>
      <c r="DL241" s="16"/>
    </row>
    <row r="242" ht="15.75" customHeight="1">
      <c r="A242" s="9"/>
      <c r="B242" s="11"/>
      <c r="C242" s="11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9"/>
      <c r="AK242" s="12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9"/>
      <c r="BH242" s="14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9"/>
      <c r="CF242" s="9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  <c r="CU242" s="11"/>
      <c r="CV242" s="11"/>
      <c r="CW242" s="11"/>
      <c r="CX242" s="11"/>
      <c r="CY242" s="16"/>
      <c r="CZ242" s="16"/>
      <c r="DA242" s="16"/>
      <c r="DB242" s="16"/>
      <c r="DC242" s="16"/>
      <c r="DD242" s="16"/>
      <c r="DE242" s="16"/>
      <c r="DF242" s="16"/>
      <c r="DG242" s="16"/>
      <c r="DH242" s="16"/>
      <c r="DI242" s="16"/>
      <c r="DJ242" s="16"/>
      <c r="DK242" s="16"/>
      <c r="DL242" s="16"/>
    </row>
    <row r="243" ht="15.75" customHeight="1">
      <c r="A243" s="9"/>
      <c r="B243" s="11"/>
      <c r="C243" s="11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9"/>
      <c r="AK243" s="12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9"/>
      <c r="BH243" s="14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9"/>
      <c r="CF243" s="9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6"/>
      <c r="CZ243" s="16"/>
      <c r="DA243" s="16"/>
      <c r="DB243" s="16"/>
      <c r="DC243" s="16"/>
      <c r="DD243" s="16"/>
      <c r="DE243" s="16"/>
      <c r="DF243" s="16"/>
      <c r="DG243" s="16"/>
      <c r="DH243" s="16"/>
      <c r="DI243" s="16"/>
      <c r="DJ243" s="16"/>
      <c r="DK243" s="16"/>
      <c r="DL243" s="16"/>
    </row>
    <row r="244" ht="15.75" customHeight="1">
      <c r="A244" s="9"/>
      <c r="B244" s="11"/>
      <c r="C244" s="11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9"/>
      <c r="AK244" s="12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9"/>
      <c r="BH244" s="14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9"/>
      <c r="CF244" s="9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1"/>
      <c r="CU244" s="11"/>
      <c r="CV244" s="11"/>
      <c r="CW244" s="11"/>
      <c r="CX244" s="11"/>
      <c r="CY244" s="16"/>
      <c r="CZ244" s="16"/>
      <c r="DA244" s="16"/>
      <c r="DB244" s="16"/>
      <c r="DC244" s="16"/>
      <c r="DD244" s="16"/>
      <c r="DE244" s="16"/>
      <c r="DF244" s="16"/>
      <c r="DG244" s="16"/>
      <c r="DH244" s="16"/>
      <c r="DI244" s="16"/>
      <c r="DJ244" s="16"/>
      <c r="DK244" s="16"/>
      <c r="DL244" s="16"/>
    </row>
    <row r="245" ht="15.75" customHeight="1">
      <c r="A245" s="9"/>
      <c r="B245" s="11"/>
      <c r="C245" s="11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9"/>
      <c r="AK245" s="12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9"/>
      <c r="BH245" s="14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9"/>
      <c r="CF245" s="9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  <c r="CV245" s="11"/>
      <c r="CW245" s="11"/>
      <c r="CX245" s="11"/>
      <c r="CY245" s="16"/>
      <c r="CZ245" s="16"/>
      <c r="DA245" s="16"/>
      <c r="DB245" s="16"/>
      <c r="DC245" s="16"/>
      <c r="DD245" s="16"/>
      <c r="DE245" s="16"/>
      <c r="DF245" s="16"/>
      <c r="DG245" s="16"/>
      <c r="DH245" s="16"/>
      <c r="DI245" s="16"/>
      <c r="DJ245" s="16"/>
      <c r="DK245" s="16"/>
      <c r="DL245" s="16"/>
    </row>
    <row r="246" ht="15.75" customHeight="1">
      <c r="A246" s="9"/>
      <c r="B246" s="11"/>
      <c r="C246" s="11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9"/>
      <c r="AK246" s="12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9"/>
      <c r="BH246" s="14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9"/>
      <c r="CF246" s="9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  <c r="CU246" s="11"/>
      <c r="CV246" s="11"/>
      <c r="CW246" s="11"/>
      <c r="CX246" s="11"/>
      <c r="CY246" s="16"/>
      <c r="CZ246" s="16"/>
      <c r="DA246" s="16"/>
      <c r="DB246" s="16"/>
      <c r="DC246" s="16"/>
      <c r="DD246" s="16"/>
      <c r="DE246" s="16"/>
      <c r="DF246" s="16"/>
      <c r="DG246" s="16"/>
      <c r="DH246" s="16"/>
      <c r="DI246" s="16"/>
      <c r="DJ246" s="16"/>
      <c r="DK246" s="16"/>
      <c r="DL246" s="16"/>
    </row>
    <row r="247" ht="15.75" customHeight="1">
      <c r="A247" s="9"/>
      <c r="B247" s="11"/>
      <c r="C247" s="11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9"/>
      <c r="AK247" s="12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9"/>
      <c r="BH247" s="14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9"/>
      <c r="CF247" s="9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  <c r="CV247" s="11"/>
      <c r="CW247" s="11"/>
      <c r="CX247" s="11"/>
      <c r="CY247" s="16"/>
      <c r="CZ247" s="16"/>
      <c r="DA247" s="16"/>
      <c r="DB247" s="16"/>
      <c r="DC247" s="16"/>
      <c r="DD247" s="16"/>
      <c r="DE247" s="16"/>
      <c r="DF247" s="16"/>
      <c r="DG247" s="16"/>
      <c r="DH247" s="16"/>
      <c r="DI247" s="16"/>
      <c r="DJ247" s="16"/>
      <c r="DK247" s="16"/>
      <c r="DL247" s="16"/>
    </row>
    <row r="248" ht="15.75" customHeight="1">
      <c r="A248" s="9"/>
      <c r="B248" s="11"/>
      <c r="C248" s="11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9"/>
      <c r="AK248" s="12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9"/>
      <c r="BH248" s="14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9"/>
      <c r="CF248" s="9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  <c r="CU248" s="11"/>
      <c r="CV248" s="11"/>
      <c r="CW248" s="11"/>
      <c r="CX248" s="11"/>
      <c r="CY248" s="16"/>
      <c r="CZ248" s="16"/>
      <c r="DA248" s="16"/>
      <c r="DB248" s="16"/>
      <c r="DC248" s="16"/>
      <c r="DD248" s="16"/>
      <c r="DE248" s="16"/>
      <c r="DF248" s="16"/>
      <c r="DG248" s="16"/>
      <c r="DH248" s="16"/>
      <c r="DI248" s="16"/>
      <c r="DJ248" s="16"/>
      <c r="DK248" s="16"/>
      <c r="DL248" s="16"/>
    </row>
    <row r="249" ht="15.75" customHeight="1">
      <c r="A249" s="9"/>
      <c r="B249" s="11"/>
      <c r="C249" s="11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9"/>
      <c r="AK249" s="12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9"/>
      <c r="BH249" s="14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9"/>
      <c r="CF249" s="9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6"/>
      <c r="CZ249" s="16"/>
      <c r="DA249" s="16"/>
      <c r="DB249" s="16"/>
      <c r="DC249" s="16"/>
      <c r="DD249" s="16"/>
      <c r="DE249" s="16"/>
      <c r="DF249" s="16"/>
      <c r="DG249" s="16"/>
      <c r="DH249" s="16"/>
      <c r="DI249" s="16"/>
      <c r="DJ249" s="16"/>
      <c r="DK249" s="16"/>
      <c r="DL249" s="16"/>
    </row>
    <row r="250" ht="15.75" customHeight="1">
      <c r="A250" s="9"/>
      <c r="B250" s="11"/>
      <c r="C250" s="11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9"/>
      <c r="AK250" s="12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9"/>
      <c r="BH250" s="14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9"/>
      <c r="CF250" s="9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  <c r="CU250" s="11"/>
      <c r="CV250" s="11"/>
      <c r="CW250" s="11"/>
      <c r="CX250" s="11"/>
      <c r="CY250" s="16"/>
      <c r="CZ250" s="16"/>
      <c r="DA250" s="16"/>
      <c r="DB250" s="16"/>
      <c r="DC250" s="16"/>
      <c r="DD250" s="16"/>
      <c r="DE250" s="16"/>
      <c r="DF250" s="16"/>
      <c r="DG250" s="16"/>
      <c r="DH250" s="16"/>
      <c r="DI250" s="16"/>
      <c r="DJ250" s="16"/>
      <c r="DK250" s="16"/>
      <c r="DL250" s="16"/>
    </row>
    <row r="251" ht="15.75" customHeight="1">
      <c r="A251" s="9"/>
      <c r="B251" s="11"/>
      <c r="C251" s="11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9"/>
      <c r="AK251" s="12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9"/>
      <c r="BH251" s="14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9"/>
      <c r="CF251" s="9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  <c r="CV251" s="11"/>
      <c r="CW251" s="11"/>
      <c r="CX251" s="11"/>
      <c r="CY251" s="16"/>
      <c r="CZ251" s="16"/>
      <c r="DA251" s="16"/>
      <c r="DB251" s="16"/>
      <c r="DC251" s="16"/>
      <c r="DD251" s="16"/>
      <c r="DE251" s="16"/>
      <c r="DF251" s="16"/>
      <c r="DG251" s="16"/>
      <c r="DH251" s="16"/>
      <c r="DI251" s="16"/>
      <c r="DJ251" s="16"/>
      <c r="DK251" s="16"/>
      <c r="DL251" s="16"/>
    </row>
    <row r="252" ht="15.75" customHeight="1">
      <c r="A252" s="9"/>
      <c r="B252" s="11"/>
      <c r="C252" s="11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9"/>
      <c r="AK252" s="12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9"/>
      <c r="BH252" s="14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9"/>
      <c r="CF252" s="9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  <c r="CU252" s="11"/>
      <c r="CV252" s="11"/>
      <c r="CW252" s="11"/>
      <c r="CX252" s="11"/>
      <c r="CY252" s="16"/>
      <c r="CZ252" s="16"/>
      <c r="DA252" s="16"/>
      <c r="DB252" s="16"/>
      <c r="DC252" s="16"/>
      <c r="DD252" s="16"/>
      <c r="DE252" s="16"/>
      <c r="DF252" s="16"/>
      <c r="DG252" s="16"/>
      <c r="DH252" s="16"/>
      <c r="DI252" s="16"/>
      <c r="DJ252" s="16"/>
      <c r="DK252" s="16"/>
      <c r="DL252" s="16"/>
    </row>
    <row r="253" ht="15.75" customHeight="1">
      <c r="A253" s="9"/>
      <c r="B253" s="11"/>
      <c r="C253" s="11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9"/>
      <c r="AK253" s="12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9"/>
      <c r="BH253" s="14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9"/>
      <c r="CF253" s="9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6"/>
      <c r="CZ253" s="16"/>
      <c r="DA253" s="16"/>
      <c r="DB253" s="16"/>
      <c r="DC253" s="16"/>
      <c r="DD253" s="16"/>
      <c r="DE253" s="16"/>
      <c r="DF253" s="16"/>
      <c r="DG253" s="16"/>
      <c r="DH253" s="16"/>
      <c r="DI253" s="16"/>
      <c r="DJ253" s="16"/>
      <c r="DK253" s="16"/>
      <c r="DL253" s="16"/>
    </row>
    <row r="254" ht="15.75" customHeight="1">
      <c r="A254" s="9"/>
      <c r="B254" s="11"/>
      <c r="C254" s="11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9"/>
      <c r="AK254" s="12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9"/>
      <c r="BH254" s="14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9"/>
      <c r="CF254" s="9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  <c r="CU254" s="11"/>
      <c r="CV254" s="11"/>
      <c r="CW254" s="11"/>
      <c r="CX254" s="11"/>
      <c r="CY254" s="16"/>
      <c r="CZ254" s="16"/>
      <c r="DA254" s="16"/>
      <c r="DB254" s="16"/>
      <c r="DC254" s="16"/>
      <c r="DD254" s="16"/>
      <c r="DE254" s="16"/>
      <c r="DF254" s="16"/>
      <c r="DG254" s="16"/>
      <c r="DH254" s="16"/>
      <c r="DI254" s="16"/>
      <c r="DJ254" s="16"/>
      <c r="DK254" s="16"/>
      <c r="DL254" s="16"/>
    </row>
    <row r="255" ht="15.75" customHeight="1">
      <c r="A255" s="9"/>
      <c r="B255" s="11"/>
      <c r="C255" s="11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9"/>
      <c r="AK255" s="12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9"/>
      <c r="BH255" s="14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9"/>
      <c r="CF255" s="9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6"/>
      <c r="CZ255" s="16"/>
      <c r="DA255" s="16"/>
      <c r="DB255" s="16"/>
      <c r="DC255" s="16"/>
      <c r="DD255" s="16"/>
      <c r="DE255" s="16"/>
      <c r="DF255" s="16"/>
      <c r="DG255" s="16"/>
      <c r="DH255" s="16"/>
      <c r="DI255" s="16"/>
      <c r="DJ255" s="16"/>
      <c r="DK255" s="16"/>
      <c r="DL255" s="16"/>
    </row>
    <row r="256" ht="15.75" customHeight="1">
      <c r="A256" s="9"/>
      <c r="B256" s="11"/>
      <c r="C256" s="11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9"/>
      <c r="AK256" s="12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9"/>
      <c r="BH256" s="14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9"/>
      <c r="CF256" s="9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6"/>
      <c r="CZ256" s="16"/>
      <c r="DA256" s="16"/>
      <c r="DB256" s="16"/>
      <c r="DC256" s="16"/>
      <c r="DD256" s="16"/>
      <c r="DE256" s="16"/>
      <c r="DF256" s="16"/>
      <c r="DG256" s="16"/>
      <c r="DH256" s="16"/>
      <c r="DI256" s="16"/>
      <c r="DJ256" s="16"/>
      <c r="DK256" s="16"/>
      <c r="DL256" s="16"/>
    </row>
    <row r="257" ht="15.75" customHeight="1">
      <c r="A257" s="9"/>
      <c r="B257" s="11"/>
      <c r="C257" s="11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9"/>
      <c r="AK257" s="12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9"/>
      <c r="BH257" s="14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9"/>
      <c r="CF257" s="9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/>
      <c r="CY257" s="16"/>
      <c r="CZ257" s="16"/>
      <c r="DA257" s="16"/>
      <c r="DB257" s="16"/>
      <c r="DC257" s="16"/>
      <c r="DD257" s="16"/>
      <c r="DE257" s="16"/>
      <c r="DF257" s="16"/>
      <c r="DG257" s="16"/>
      <c r="DH257" s="16"/>
      <c r="DI257" s="16"/>
      <c r="DJ257" s="16"/>
      <c r="DK257" s="16"/>
      <c r="DL257" s="16"/>
    </row>
    <row r="258" ht="15.75" customHeight="1">
      <c r="A258" s="9"/>
      <c r="B258" s="11"/>
      <c r="C258" s="11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9"/>
      <c r="AK258" s="12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9"/>
      <c r="BH258" s="14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9"/>
      <c r="CF258" s="9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  <c r="CU258" s="11"/>
      <c r="CV258" s="11"/>
      <c r="CW258" s="11"/>
      <c r="CX258" s="11"/>
      <c r="CY258" s="16"/>
      <c r="CZ258" s="16"/>
      <c r="DA258" s="16"/>
      <c r="DB258" s="16"/>
      <c r="DC258" s="16"/>
      <c r="DD258" s="16"/>
      <c r="DE258" s="16"/>
      <c r="DF258" s="16"/>
      <c r="DG258" s="16"/>
      <c r="DH258" s="16"/>
      <c r="DI258" s="16"/>
      <c r="DJ258" s="16"/>
      <c r="DK258" s="16"/>
      <c r="DL258" s="16"/>
    </row>
    <row r="259" ht="15.75" customHeight="1">
      <c r="A259" s="9"/>
      <c r="B259" s="11"/>
      <c r="C259" s="11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9"/>
      <c r="AK259" s="12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9"/>
      <c r="BH259" s="14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9"/>
      <c r="CF259" s="9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6"/>
      <c r="CZ259" s="16"/>
      <c r="DA259" s="16"/>
      <c r="DB259" s="16"/>
      <c r="DC259" s="16"/>
      <c r="DD259" s="16"/>
      <c r="DE259" s="16"/>
      <c r="DF259" s="16"/>
      <c r="DG259" s="16"/>
      <c r="DH259" s="16"/>
      <c r="DI259" s="16"/>
      <c r="DJ259" s="16"/>
      <c r="DK259" s="16"/>
      <c r="DL259" s="16"/>
    </row>
    <row r="260" ht="15.75" customHeight="1">
      <c r="A260" s="9"/>
      <c r="B260" s="11"/>
      <c r="C260" s="11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9"/>
      <c r="AK260" s="12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9"/>
      <c r="BH260" s="14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9"/>
      <c r="CF260" s="9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  <c r="CU260" s="11"/>
      <c r="CV260" s="11"/>
      <c r="CW260" s="11"/>
      <c r="CX260" s="11"/>
      <c r="CY260" s="16"/>
      <c r="CZ260" s="16"/>
      <c r="DA260" s="16"/>
      <c r="DB260" s="16"/>
      <c r="DC260" s="16"/>
      <c r="DD260" s="16"/>
      <c r="DE260" s="16"/>
      <c r="DF260" s="16"/>
      <c r="DG260" s="16"/>
      <c r="DH260" s="16"/>
      <c r="DI260" s="16"/>
      <c r="DJ260" s="16"/>
      <c r="DK260" s="16"/>
      <c r="DL260" s="16"/>
    </row>
    <row r="261" ht="15.75" customHeight="1">
      <c r="A261" s="9"/>
      <c r="B261" s="11"/>
      <c r="C261" s="11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9"/>
      <c r="AK261" s="12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9"/>
      <c r="BH261" s="14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9"/>
      <c r="CF261" s="9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6"/>
      <c r="CZ261" s="16"/>
      <c r="DA261" s="16"/>
      <c r="DB261" s="16"/>
      <c r="DC261" s="16"/>
      <c r="DD261" s="16"/>
      <c r="DE261" s="16"/>
      <c r="DF261" s="16"/>
      <c r="DG261" s="16"/>
      <c r="DH261" s="16"/>
      <c r="DI261" s="16"/>
      <c r="DJ261" s="16"/>
      <c r="DK261" s="16"/>
      <c r="DL261" s="16"/>
    </row>
    <row r="262" ht="15.75" customHeight="1">
      <c r="A262" s="9"/>
      <c r="B262" s="11"/>
      <c r="C262" s="11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9"/>
      <c r="AK262" s="12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9"/>
      <c r="BH262" s="14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9"/>
      <c r="CF262" s="9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  <c r="CV262" s="11"/>
      <c r="CW262" s="11"/>
      <c r="CX262" s="11"/>
      <c r="CY262" s="16"/>
      <c r="CZ262" s="16"/>
      <c r="DA262" s="16"/>
      <c r="DB262" s="16"/>
      <c r="DC262" s="16"/>
      <c r="DD262" s="16"/>
      <c r="DE262" s="16"/>
      <c r="DF262" s="16"/>
      <c r="DG262" s="16"/>
      <c r="DH262" s="16"/>
      <c r="DI262" s="16"/>
      <c r="DJ262" s="16"/>
      <c r="DK262" s="16"/>
      <c r="DL262" s="16"/>
    </row>
    <row r="263" ht="15.75" customHeight="1">
      <c r="A263" s="9"/>
      <c r="B263" s="11"/>
      <c r="C263" s="11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9"/>
      <c r="AK263" s="12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9"/>
      <c r="BH263" s="14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9"/>
      <c r="CF263" s="9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6"/>
      <c r="CZ263" s="16"/>
      <c r="DA263" s="16"/>
      <c r="DB263" s="16"/>
      <c r="DC263" s="16"/>
      <c r="DD263" s="16"/>
      <c r="DE263" s="16"/>
      <c r="DF263" s="16"/>
      <c r="DG263" s="16"/>
      <c r="DH263" s="16"/>
      <c r="DI263" s="16"/>
      <c r="DJ263" s="16"/>
      <c r="DK263" s="16"/>
      <c r="DL263" s="16"/>
    </row>
    <row r="264" ht="15.75" customHeight="1">
      <c r="A264" s="9"/>
      <c r="B264" s="11"/>
      <c r="C264" s="11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9"/>
      <c r="AK264" s="12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9"/>
      <c r="BH264" s="14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9"/>
      <c r="CF264" s="9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6"/>
      <c r="CZ264" s="16"/>
      <c r="DA264" s="16"/>
      <c r="DB264" s="16"/>
      <c r="DC264" s="16"/>
      <c r="DD264" s="16"/>
      <c r="DE264" s="16"/>
      <c r="DF264" s="16"/>
      <c r="DG264" s="16"/>
      <c r="DH264" s="16"/>
      <c r="DI264" s="16"/>
      <c r="DJ264" s="16"/>
      <c r="DK264" s="16"/>
      <c r="DL264" s="16"/>
    </row>
    <row r="265" ht="15.75" customHeight="1">
      <c r="A265" s="9"/>
      <c r="B265" s="11"/>
      <c r="C265" s="11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9"/>
      <c r="AK265" s="12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9"/>
      <c r="BH265" s="14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9"/>
      <c r="CF265" s="9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6"/>
      <c r="CZ265" s="16"/>
      <c r="DA265" s="16"/>
      <c r="DB265" s="16"/>
      <c r="DC265" s="16"/>
      <c r="DD265" s="16"/>
      <c r="DE265" s="16"/>
      <c r="DF265" s="16"/>
      <c r="DG265" s="16"/>
      <c r="DH265" s="16"/>
      <c r="DI265" s="16"/>
      <c r="DJ265" s="16"/>
      <c r="DK265" s="16"/>
      <c r="DL265" s="16"/>
    </row>
    <row r="266" ht="15.75" customHeight="1">
      <c r="A266" s="9"/>
      <c r="B266" s="11"/>
      <c r="C266" s="11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9"/>
      <c r="AK266" s="12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9"/>
      <c r="BH266" s="14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9"/>
      <c r="CF266" s="9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  <c r="CV266" s="11"/>
      <c r="CW266" s="11"/>
      <c r="CX266" s="11"/>
      <c r="CY266" s="16"/>
      <c r="CZ266" s="16"/>
      <c r="DA266" s="16"/>
      <c r="DB266" s="16"/>
      <c r="DC266" s="16"/>
      <c r="DD266" s="16"/>
      <c r="DE266" s="16"/>
      <c r="DF266" s="16"/>
      <c r="DG266" s="16"/>
      <c r="DH266" s="16"/>
      <c r="DI266" s="16"/>
      <c r="DJ266" s="16"/>
      <c r="DK266" s="16"/>
      <c r="DL266" s="16"/>
    </row>
    <row r="267" ht="15.75" customHeight="1">
      <c r="A267" s="9"/>
      <c r="B267" s="11"/>
      <c r="C267" s="11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9"/>
      <c r="AK267" s="12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9"/>
      <c r="BH267" s="14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9"/>
      <c r="CF267" s="9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6"/>
      <c r="CZ267" s="16"/>
      <c r="DA267" s="16"/>
      <c r="DB267" s="16"/>
      <c r="DC267" s="16"/>
      <c r="DD267" s="16"/>
      <c r="DE267" s="16"/>
      <c r="DF267" s="16"/>
      <c r="DG267" s="16"/>
      <c r="DH267" s="16"/>
      <c r="DI267" s="16"/>
      <c r="DJ267" s="16"/>
      <c r="DK267" s="16"/>
      <c r="DL267" s="16"/>
    </row>
    <row r="268" ht="15.75" customHeight="1">
      <c r="A268" s="9"/>
      <c r="B268" s="11"/>
      <c r="C268" s="11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9"/>
      <c r="AK268" s="12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9"/>
      <c r="BH268" s="14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9"/>
      <c r="CF268" s="9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  <c r="CV268" s="11"/>
      <c r="CW268" s="11"/>
      <c r="CX268" s="11"/>
      <c r="CY268" s="16"/>
      <c r="CZ268" s="16"/>
      <c r="DA268" s="16"/>
      <c r="DB268" s="16"/>
      <c r="DC268" s="16"/>
      <c r="DD268" s="16"/>
      <c r="DE268" s="16"/>
      <c r="DF268" s="16"/>
      <c r="DG268" s="16"/>
      <c r="DH268" s="16"/>
      <c r="DI268" s="16"/>
      <c r="DJ268" s="16"/>
      <c r="DK268" s="16"/>
      <c r="DL268" s="16"/>
    </row>
    <row r="269" ht="15.75" customHeight="1">
      <c r="A269" s="9"/>
      <c r="B269" s="11"/>
      <c r="C269" s="11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9"/>
      <c r="AK269" s="12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9"/>
      <c r="BH269" s="14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9"/>
      <c r="CF269" s="9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6"/>
      <c r="CZ269" s="16"/>
      <c r="DA269" s="16"/>
      <c r="DB269" s="16"/>
      <c r="DC269" s="16"/>
      <c r="DD269" s="16"/>
      <c r="DE269" s="16"/>
      <c r="DF269" s="16"/>
      <c r="DG269" s="16"/>
      <c r="DH269" s="16"/>
      <c r="DI269" s="16"/>
      <c r="DJ269" s="16"/>
      <c r="DK269" s="16"/>
      <c r="DL269" s="16"/>
    </row>
    <row r="270" ht="15.75" customHeight="1">
      <c r="A270" s="9"/>
      <c r="B270" s="11"/>
      <c r="C270" s="11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9"/>
      <c r="AK270" s="12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9"/>
      <c r="BH270" s="14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9"/>
      <c r="CF270" s="9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6"/>
      <c r="CZ270" s="16"/>
      <c r="DA270" s="16"/>
      <c r="DB270" s="16"/>
      <c r="DC270" s="16"/>
      <c r="DD270" s="16"/>
      <c r="DE270" s="16"/>
      <c r="DF270" s="16"/>
      <c r="DG270" s="16"/>
      <c r="DH270" s="16"/>
      <c r="DI270" s="16"/>
      <c r="DJ270" s="16"/>
      <c r="DK270" s="16"/>
      <c r="DL270" s="16"/>
    </row>
    <row r="271" ht="15.75" customHeight="1">
      <c r="A271" s="9"/>
      <c r="B271" s="11"/>
      <c r="C271" s="11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9"/>
      <c r="AK271" s="12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9"/>
      <c r="BH271" s="14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9"/>
      <c r="CF271" s="9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6"/>
      <c r="CZ271" s="16"/>
      <c r="DA271" s="16"/>
      <c r="DB271" s="16"/>
      <c r="DC271" s="16"/>
      <c r="DD271" s="16"/>
      <c r="DE271" s="16"/>
      <c r="DF271" s="16"/>
      <c r="DG271" s="16"/>
      <c r="DH271" s="16"/>
      <c r="DI271" s="16"/>
      <c r="DJ271" s="16"/>
      <c r="DK271" s="16"/>
      <c r="DL271" s="16"/>
    </row>
    <row r="272" ht="15.75" customHeight="1">
      <c r="A272" s="9"/>
      <c r="B272" s="11"/>
      <c r="C272" s="11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9"/>
      <c r="AK272" s="12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9"/>
      <c r="BH272" s="14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9"/>
      <c r="CF272" s="9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  <c r="CU272" s="11"/>
      <c r="CV272" s="11"/>
      <c r="CW272" s="11"/>
      <c r="CX272" s="11"/>
      <c r="CY272" s="16"/>
      <c r="CZ272" s="16"/>
      <c r="DA272" s="16"/>
      <c r="DB272" s="16"/>
      <c r="DC272" s="16"/>
      <c r="DD272" s="16"/>
      <c r="DE272" s="16"/>
      <c r="DF272" s="16"/>
      <c r="DG272" s="16"/>
      <c r="DH272" s="16"/>
      <c r="DI272" s="16"/>
      <c r="DJ272" s="16"/>
      <c r="DK272" s="16"/>
      <c r="DL272" s="16"/>
    </row>
    <row r="273" ht="15.75" customHeight="1">
      <c r="A273" s="9"/>
      <c r="B273" s="11"/>
      <c r="C273" s="11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9"/>
      <c r="AK273" s="12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9"/>
      <c r="BH273" s="14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9"/>
      <c r="CF273" s="9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6"/>
      <c r="CZ273" s="16"/>
      <c r="DA273" s="16"/>
      <c r="DB273" s="16"/>
      <c r="DC273" s="16"/>
      <c r="DD273" s="16"/>
      <c r="DE273" s="16"/>
      <c r="DF273" s="16"/>
      <c r="DG273" s="16"/>
      <c r="DH273" s="16"/>
      <c r="DI273" s="16"/>
      <c r="DJ273" s="16"/>
      <c r="DK273" s="16"/>
      <c r="DL273" s="16"/>
    </row>
    <row r="274" ht="15.75" customHeight="1">
      <c r="A274" s="9"/>
      <c r="B274" s="11"/>
      <c r="C274" s="11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9"/>
      <c r="AK274" s="12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9"/>
      <c r="BH274" s="14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9"/>
      <c r="CF274" s="9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  <c r="CU274" s="11"/>
      <c r="CV274" s="11"/>
      <c r="CW274" s="11"/>
      <c r="CX274" s="11"/>
      <c r="CY274" s="16"/>
      <c r="CZ274" s="16"/>
      <c r="DA274" s="16"/>
      <c r="DB274" s="16"/>
      <c r="DC274" s="16"/>
      <c r="DD274" s="16"/>
      <c r="DE274" s="16"/>
      <c r="DF274" s="16"/>
      <c r="DG274" s="16"/>
      <c r="DH274" s="16"/>
      <c r="DI274" s="16"/>
      <c r="DJ274" s="16"/>
      <c r="DK274" s="16"/>
      <c r="DL274" s="16"/>
    </row>
    <row r="275" ht="15.75" customHeight="1">
      <c r="A275" s="9"/>
      <c r="B275" s="11"/>
      <c r="C275" s="11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9"/>
      <c r="AK275" s="12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9"/>
      <c r="BH275" s="14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9"/>
      <c r="CF275" s="9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  <c r="CV275" s="11"/>
      <c r="CW275" s="11"/>
      <c r="CX275" s="11"/>
      <c r="CY275" s="16"/>
      <c r="CZ275" s="16"/>
      <c r="DA275" s="16"/>
      <c r="DB275" s="16"/>
      <c r="DC275" s="16"/>
      <c r="DD275" s="16"/>
      <c r="DE275" s="16"/>
      <c r="DF275" s="16"/>
      <c r="DG275" s="16"/>
      <c r="DH275" s="16"/>
      <c r="DI275" s="16"/>
      <c r="DJ275" s="16"/>
      <c r="DK275" s="16"/>
      <c r="DL275" s="16"/>
    </row>
    <row r="276" ht="15.75" customHeight="1">
      <c r="A276" s="9"/>
      <c r="B276" s="11"/>
      <c r="C276" s="11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9"/>
      <c r="AK276" s="12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9"/>
      <c r="BH276" s="14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9"/>
      <c r="CF276" s="9"/>
      <c r="CG276" s="11"/>
      <c r="CH276" s="11"/>
      <c r="CI276" s="11"/>
      <c r="CJ276" s="11"/>
      <c r="CK276" s="11"/>
      <c r="CL276" s="11"/>
      <c r="CM276" s="11"/>
      <c r="CN276" s="11"/>
      <c r="CO276" s="11"/>
      <c r="CP276" s="11"/>
      <c r="CQ276" s="11"/>
      <c r="CR276" s="11"/>
      <c r="CS276" s="11"/>
      <c r="CT276" s="11"/>
      <c r="CU276" s="11"/>
      <c r="CV276" s="11"/>
      <c r="CW276" s="11"/>
      <c r="CX276" s="11"/>
      <c r="CY276" s="16"/>
      <c r="CZ276" s="16"/>
      <c r="DA276" s="16"/>
      <c r="DB276" s="16"/>
      <c r="DC276" s="16"/>
      <c r="DD276" s="16"/>
      <c r="DE276" s="16"/>
      <c r="DF276" s="16"/>
      <c r="DG276" s="16"/>
      <c r="DH276" s="16"/>
      <c r="DI276" s="16"/>
      <c r="DJ276" s="16"/>
      <c r="DK276" s="16"/>
      <c r="DL276" s="16"/>
    </row>
    <row r="277" ht="15.75" customHeight="1">
      <c r="A277" s="9"/>
      <c r="B277" s="11"/>
      <c r="C277" s="11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9"/>
      <c r="AK277" s="12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9"/>
      <c r="BH277" s="14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9"/>
      <c r="CF277" s="9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  <c r="CV277" s="11"/>
      <c r="CW277" s="11"/>
      <c r="CX277" s="11"/>
      <c r="CY277" s="16"/>
      <c r="CZ277" s="16"/>
      <c r="DA277" s="16"/>
      <c r="DB277" s="16"/>
      <c r="DC277" s="16"/>
      <c r="DD277" s="16"/>
      <c r="DE277" s="16"/>
      <c r="DF277" s="16"/>
      <c r="DG277" s="16"/>
      <c r="DH277" s="16"/>
      <c r="DI277" s="16"/>
      <c r="DJ277" s="16"/>
      <c r="DK277" s="16"/>
      <c r="DL277" s="16"/>
    </row>
    <row r="278" ht="15.75" customHeight="1">
      <c r="A278" s="9"/>
      <c r="B278" s="11"/>
      <c r="C278" s="11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9"/>
      <c r="AK278" s="12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9"/>
      <c r="BH278" s="14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9"/>
      <c r="CF278" s="9"/>
      <c r="CG278" s="11"/>
      <c r="CH278" s="11"/>
      <c r="CI278" s="11"/>
      <c r="CJ278" s="11"/>
      <c r="CK278" s="11"/>
      <c r="CL278" s="11"/>
      <c r="CM278" s="11"/>
      <c r="CN278" s="11"/>
      <c r="CO278" s="11"/>
      <c r="CP278" s="11"/>
      <c r="CQ278" s="11"/>
      <c r="CR278" s="11"/>
      <c r="CS278" s="11"/>
      <c r="CT278" s="11"/>
      <c r="CU278" s="11"/>
      <c r="CV278" s="11"/>
      <c r="CW278" s="11"/>
      <c r="CX278" s="11"/>
      <c r="CY278" s="16"/>
      <c r="CZ278" s="16"/>
      <c r="DA278" s="16"/>
      <c r="DB278" s="16"/>
      <c r="DC278" s="16"/>
      <c r="DD278" s="16"/>
      <c r="DE278" s="16"/>
      <c r="DF278" s="16"/>
      <c r="DG278" s="16"/>
      <c r="DH278" s="16"/>
      <c r="DI278" s="16"/>
      <c r="DJ278" s="16"/>
      <c r="DK278" s="16"/>
      <c r="DL278" s="16"/>
    </row>
    <row r="279" ht="15.75" customHeight="1">
      <c r="A279" s="9"/>
      <c r="B279" s="11"/>
      <c r="C279" s="11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9"/>
      <c r="AK279" s="12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9"/>
      <c r="BH279" s="14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9"/>
      <c r="CF279" s="9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  <c r="CV279" s="11"/>
      <c r="CW279" s="11"/>
      <c r="CX279" s="11"/>
      <c r="CY279" s="16"/>
      <c r="CZ279" s="16"/>
      <c r="DA279" s="16"/>
      <c r="DB279" s="16"/>
      <c r="DC279" s="16"/>
      <c r="DD279" s="16"/>
      <c r="DE279" s="16"/>
      <c r="DF279" s="16"/>
      <c r="DG279" s="16"/>
      <c r="DH279" s="16"/>
      <c r="DI279" s="16"/>
      <c r="DJ279" s="16"/>
      <c r="DK279" s="16"/>
      <c r="DL279" s="16"/>
    </row>
    <row r="280" ht="15.75" customHeight="1">
      <c r="A280" s="9"/>
      <c r="B280" s="11"/>
      <c r="C280" s="11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9"/>
      <c r="AK280" s="12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9"/>
      <c r="BH280" s="14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9"/>
      <c r="CF280" s="9"/>
      <c r="CG280" s="11"/>
      <c r="CH280" s="11"/>
      <c r="CI280" s="11"/>
      <c r="CJ280" s="11"/>
      <c r="CK280" s="11"/>
      <c r="CL280" s="11"/>
      <c r="CM280" s="11"/>
      <c r="CN280" s="11"/>
      <c r="CO280" s="11"/>
      <c r="CP280" s="11"/>
      <c r="CQ280" s="11"/>
      <c r="CR280" s="11"/>
      <c r="CS280" s="11"/>
      <c r="CT280" s="11"/>
      <c r="CU280" s="11"/>
      <c r="CV280" s="11"/>
      <c r="CW280" s="11"/>
      <c r="CX280" s="11"/>
      <c r="CY280" s="16"/>
      <c r="CZ280" s="16"/>
      <c r="DA280" s="16"/>
      <c r="DB280" s="16"/>
      <c r="DC280" s="16"/>
      <c r="DD280" s="16"/>
      <c r="DE280" s="16"/>
      <c r="DF280" s="16"/>
      <c r="DG280" s="16"/>
      <c r="DH280" s="16"/>
      <c r="DI280" s="16"/>
      <c r="DJ280" s="16"/>
      <c r="DK280" s="16"/>
      <c r="DL280" s="16"/>
    </row>
    <row r="281" ht="15.75" customHeight="1">
      <c r="A281" s="9"/>
      <c r="B281" s="11"/>
      <c r="C281" s="11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9"/>
      <c r="AK281" s="12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9"/>
      <c r="BH281" s="14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9"/>
      <c r="CF281" s="9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  <c r="CV281" s="11"/>
      <c r="CW281" s="11"/>
      <c r="CX281" s="11"/>
      <c r="CY281" s="16"/>
      <c r="CZ281" s="16"/>
      <c r="DA281" s="16"/>
      <c r="DB281" s="16"/>
      <c r="DC281" s="16"/>
      <c r="DD281" s="16"/>
      <c r="DE281" s="16"/>
      <c r="DF281" s="16"/>
      <c r="DG281" s="16"/>
      <c r="DH281" s="16"/>
      <c r="DI281" s="16"/>
      <c r="DJ281" s="16"/>
      <c r="DK281" s="16"/>
      <c r="DL281" s="16"/>
    </row>
    <row r="282" ht="15.75" customHeight="1">
      <c r="A282" s="9"/>
      <c r="B282" s="11"/>
      <c r="C282" s="11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9"/>
      <c r="AK282" s="12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9"/>
      <c r="BH282" s="14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9"/>
      <c r="CF282" s="9"/>
      <c r="CG282" s="11"/>
      <c r="CH282" s="11"/>
      <c r="CI282" s="11"/>
      <c r="CJ282" s="11"/>
      <c r="CK282" s="11"/>
      <c r="CL282" s="11"/>
      <c r="CM282" s="11"/>
      <c r="CN282" s="11"/>
      <c r="CO282" s="11"/>
      <c r="CP282" s="11"/>
      <c r="CQ282" s="11"/>
      <c r="CR282" s="11"/>
      <c r="CS282" s="11"/>
      <c r="CT282" s="11"/>
      <c r="CU282" s="11"/>
      <c r="CV282" s="11"/>
      <c r="CW282" s="11"/>
      <c r="CX282" s="11"/>
      <c r="CY282" s="16"/>
      <c r="CZ282" s="16"/>
      <c r="DA282" s="16"/>
      <c r="DB282" s="16"/>
      <c r="DC282" s="16"/>
      <c r="DD282" s="16"/>
      <c r="DE282" s="16"/>
      <c r="DF282" s="16"/>
      <c r="DG282" s="16"/>
      <c r="DH282" s="16"/>
      <c r="DI282" s="16"/>
      <c r="DJ282" s="16"/>
      <c r="DK282" s="16"/>
      <c r="DL282" s="16"/>
    </row>
    <row r="283" ht="15.75" customHeight="1">
      <c r="A283" s="9"/>
      <c r="B283" s="11"/>
      <c r="C283" s="11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9"/>
      <c r="AK283" s="12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9"/>
      <c r="BH283" s="14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9"/>
      <c r="CF283" s="9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6"/>
      <c r="CZ283" s="16"/>
      <c r="DA283" s="16"/>
      <c r="DB283" s="16"/>
      <c r="DC283" s="16"/>
      <c r="DD283" s="16"/>
      <c r="DE283" s="16"/>
      <c r="DF283" s="16"/>
      <c r="DG283" s="16"/>
      <c r="DH283" s="16"/>
      <c r="DI283" s="16"/>
      <c r="DJ283" s="16"/>
      <c r="DK283" s="16"/>
      <c r="DL283" s="16"/>
    </row>
    <row r="284" ht="15.75" customHeight="1">
      <c r="A284" s="9"/>
      <c r="B284" s="11"/>
      <c r="C284" s="11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9"/>
      <c r="AK284" s="12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9"/>
      <c r="BH284" s="14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9"/>
      <c r="CF284" s="9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1"/>
      <c r="CU284" s="11"/>
      <c r="CV284" s="11"/>
      <c r="CW284" s="11"/>
      <c r="CX284" s="11"/>
      <c r="CY284" s="16"/>
      <c r="CZ284" s="16"/>
      <c r="DA284" s="16"/>
      <c r="DB284" s="16"/>
      <c r="DC284" s="16"/>
      <c r="DD284" s="16"/>
      <c r="DE284" s="16"/>
      <c r="DF284" s="16"/>
      <c r="DG284" s="16"/>
      <c r="DH284" s="16"/>
      <c r="DI284" s="16"/>
      <c r="DJ284" s="16"/>
      <c r="DK284" s="16"/>
      <c r="DL284" s="16"/>
    </row>
    <row r="285" ht="15.75" customHeight="1">
      <c r="A285" s="9"/>
      <c r="B285" s="11"/>
      <c r="C285" s="11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9"/>
      <c r="AK285" s="12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9"/>
      <c r="BH285" s="14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9"/>
      <c r="CF285" s="9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6"/>
      <c r="CZ285" s="16"/>
      <c r="DA285" s="16"/>
      <c r="DB285" s="16"/>
      <c r="DC285" s="16"/>
      <c r="DD285" s="16"/>
      <c r="DE285" s="16"/>
      <c r="DF285" s="16"/>
      <c r="DG285" s="16"/>
      <c r="DH285" s="16"/>
      <c r="DI285" s="16"/>
      <c r="DJ285" s="16"/>
      <c r="DK285" s="16"/>
      <c r="DL285" s="16"/>
    </row>
    <row r="286" ht="15.75" customHeight="1">
      <c r="A286" s="9"/>
      <c r="B286" s="11"/>
      <c r="C286" s="11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9"/>
      <c r="AK286" s="12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9"/>
      <c r="BH286" s="14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9"/>
      <c r="CF286" s="9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  <c r="CS286" s="11"/>
      <c r="CT286" s="11"/>
      <c r="CU286" s="11"/>
      <c r="CV286" s="11"/>
      <c r="CW286" s="11"/>
      <c r="CX286" s="11"/>
      <c r="CY286" s="16"/>
      <c r="CZ286" s="16"/>
      <c r="DA286" s="16"/>
      <c r="DB286" s="16"/>
      <c r="DC286" s="16"/>
      <c r="DD286" s="16"/>
      <c r="DE286" s="16"/>
      <c r="DF286" s="16"/>
      <c r="DG286" s="16"/>
      <c r="DH286" s="16"/>
      <c r="DI286" s="16"/>
      <c r="DJ286" s="16"/>
      <c r="DK286" s="16"/>
      <c r="DL286" s="16"/>
    </row>
  </sheetData>
  <mergeCells count="12">
    <mergeCell ref="A4:B4"/>
    <mergeCell ref="A5:B5"/>
    <mergeCell ref="A6:B6"/>
    <mergeCell ref="C5:F5"/>
    <mergeCell ref="C6:F6"/>
    <mergeCell ref="A1:B1"/>
    <mergeCell ref="C1:F1"/>
    <mergeCell ref="A2:B2"/>
    <mergeCell ref="C2:F2"/>
    <mergeCell ref="A3:B3"/>
    <mergeCell ref="C3:F3"/>
    <mergeCell ref="C4:F4"/>
  </mergeCells>
  <conditionalFormatting sqref="H9:CV9 CY9:DJ9 R49:S49 AP49">
    <cfRule type="cellIs" dxfId="0" priority="1" operator="lessThan">
      <formula>1</formula>
    </cfRule>
  </conditionalFormatting>
  <hyperlinks>
    <hyperlink r:id="rId1" ref="A9"/>
  </hyperlinks>
  <printOptions/>
  <pageMargins bottom="0.2" footer="0.0" header="0.0" left="0.7" right="0.16" top="0.28"/>
  <pageSetup paperSize="9" scale="45"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4.29"/>
    <col customWidth="1" min="2" max="2" width="15.86"/>
    <col customWidth="1" min="3" max="3" width="27.0"/>
    <col customWidth="1" min="4" max="4" width="8.14"/>
    <col customWidth="1" min="5" max="5" width="8.0"/>
    <col customWidth="1" min="6" max="6" width="6.71"/>
    <col customWidth="1" min="7" max="7" width="6.57"/>
    <col customWidth="1" min="8" max="8" width="4.0"/>
    <col customWidth="1" min="9" max="12" width="3.71"/>
    <col customWidth="1" min="13" max="13" width="4.71"/>
    <col customWidth="1" min="14" max="14" width="6.57"/>
    <col customWidth="1" min="15" max="36" width="3.71"/>
    <col customWidth="1" min="37" max="37" width="5.86"/>
    <col customWidth="1" min="38" max="58" width="3.71"/>
    <col customWidth="1" min="59" max="59" width="4.0"/>
    <col customWidth="1" min="60" max="60" width="5.71"/>
    <col customWidth="1" min="61" max="69" width="3.71"/>
    <col customWidth="1" min="70" max="70" width="3.29"/>
    <col customWidth="1" min="71" max="82" width="3.71"/>
    <col customWidth="1" min="83" max="83" width="4.0"/>
    <col customWidth="1" min="84" max="84" width="5.57"/>
    <col customWidth="1" min="85" max="96" width="3.71"/>
    <col customWidth="1" min="97" max="97" width="5.29"/>
    <col customWidth="1" min="98" max="98" width="6.29"/>
  </cols>
  <sheetData>
    <row r="1">
      <c r="A1" s="3" t="s">
        <v>232</v>
      </c>
      <c r="B1" s="5"/>
      <c r="C1" s="4"/>
      <c r="D1" s="6"/>
      <c r="E1" s="6"/>
      <c r="F1" s="8"/>
      <c r="G1" s="9"/>
      <c r="H1" s="11"/>
      <c r="I1" s="11"/>
      <c r="J1" s="11"/>
      <c r="K1" s="11"/>
      <c r="L1" s="11"/>
      <c r="M1" s="9"/>
      <c r="N1" s="9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9"/>
      <c r="AK1" s="13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9"/>
      <c r="BH1" s="15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9"/>
      <c r="CF1" s="9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</row>
    <row r="2">
      <c r="A2" s="17" t="s">
        <v>5</v>
      </c>
      <c r="B2" s="18"/>
      <c r="C2" s="19" t="s">
        <v>228</v>
      </c>
      <c r="D2" s="22"/>
      <c r="E2" s="22"/>
      <c r="F2" s="5"/>
      <c r="G2" s="9"/>
      <c r="H2" s="11"/>
      <c r="I2" s="11"/>
      <c r="J2" s="11"/>
      <c r="K2" s="11"/>
      <c r="L2" s="11"/>
      <c r="M2" s="9"/>
      <c r="N2" s="9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9"/>
      <c r="AK2" s="13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9"/>
      <c r="BH2" s="15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9"/>
      <c r="CF2" s="9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</row>
    <row r="3">
      <c r="A3" s="17" t="s">
        <v>9</v>
      </c>
      <c r="B3" s="18"/>
      <c r="C3" s="19" t="s">
        <v>229</v>
      </c>
      <c r="D3" s="22"/>
      <c r="E3" s="22"/>
      <c r="F3" s="5"/>
      <c r="G3" s="9"/>
      <c r="H3" s="11"/>
      <c r="I3" s="11"/>
      <c r="J3" s="11"/>
      <c r="K3" s="11"/>
      <c r="L3" s="11"/>
      <c r="M3" s="9"/>
      <c r="N3" s="9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9"/>
      <c r="AK3" s="13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9"/>
      <c r="BH3" s="15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9"/>
      <c r="CF3" s="9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</row>
    <row r="4">
      <c r="A4" s="17" t="s">
        <v>12</v>
      </c>
      <c r="B4" s="18"/>
      <c r="C4" s="27" t="s">
        <v>227</v>
      </c>
      <c r="D4" s="6"/>
      <c r="E4" s="6"/>
      <c r="F4" s="2"/>
      <c r="G4" s="9"/>
      <c r="H4" s="11"/>
      <c r="I4" s="11"/>
      <c r="J4" s="11"/>
      <c r="K4" s="11"/>
      <c r="L4" s="11"/>
      <c r="M4" s="9"/>
      <c r="N4" s="9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9"/>
      <c r="AK4" s="13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9"/>
      <c r="BH4" s="15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9"/>
      <c r="CF4" s="9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</row>
    <row r="5">
      <c r="A5" s="17" t="s">
        <v>14</v>
      </c>
      <c r="B5" s="18"/>
      <c r="C5" s="28">
        <v>46104.0</v>
      </c>
      <c r="D5" s="22"/>
      <c r="E5" s="22"/>
      <c r="F5" s="5"/>
      <c r="G5" s="31"/>
      <c r="H5" s="11"/>
      <c r="I5" s="11"/>
      <c r="J5" s="11"/>
      <c r="K5" s="11"/>
      <c r="L5" s="11"/>
      <c r="M5" s="9"/>
      <c r="N5" s="9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9"/>
      <c r="AK5" s="13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9"/>
      <c r="BH5" s="15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9"/>
      <c r="CF5" s="9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</row>
    <row r="6">
      <c r="A6" s="32" t="s">
        <v>15</v>
      </c>
      <c r="B6" s="33"/>
      <c r="C6" s="34"/>
      <c r="D6" s="38"/>
      <c r="E6" s="38"/>
      <c r="F6" s="39"/>
      <c r="G6" s="37"/>
      <c r="H6" s="11"/>
      <c r="I6" s="11"/>
      <c r="J6" s="11"/>
      <c r="K6" s="11"/>
      <c r="L6" s="11"/>
      <c r="M6" s="9"/>
      <c r="N6" s="9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9"/>
      <c r="AK6" s="13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9"/>
      <c r="BH6" s="15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9"/>
      <c r="CF6" s="9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</row>
    <row r="7">
      <c r="A7" s="31"/>
      <c r="B7" s="40"/>
      <c r="C7" s="41"/>
      <c r="D7" s="31"/>
      <c r="E7" s="31"/>
      <c r="F7" s="42"/>
      <c r="G7" s="37"/>
      <c r="H7" s="43">
        <v>1.0</v>
      </c>
      <c r="I7" s="43">
        <v>2.0</v>
      </c>
      <c r="J7" s="43">
        <v>3.0</v>
      </c>
      <c r="K7" s="43">
        <v>4.0</v>
      </c>
      <c r="L7" s="43">
        <v>5.0</v>
      </c>
      <c r="M7" s="44"/>
      <c r="N7" s="44"/>
      <c r="O7" s="43">
        <v>1.0</v>
      </c>
      <c r="P7" s="45">
        <v>2.0</v>
      </c>
      <c r="Q7" s="45">
        <v>3.0</v>
      </c>
      <c r="R7" s="46">
        <v>4.0</v>
      </c>
      <c r="S7" s="45">
        <v>5.0</v>
      </c>
      <c r="T7" s="45">
        <v>6.0</v>
      </c>
      <c r="U7" s="46">
        <v>7.0</v>
      </c>
      <c r="V7" s="45">
        <v>8.0</v>
      </c>
      <c r="W7" s="45">
        <v>9.0</v>
      </c>
      <c r="X7" s="46">
        <v>10.0</v>
      </c>
      <c r="Y7" s="45">
        <v>11.0</v>
      </c>
      <c r="Z7" s="45">
        <v>12.0</v>
      </c>
      <c r="AA7" s="46">
        <v>13.0</v>
      </c>
      <c r="AB7" s="45">
        <v>14.0</v>
      </c>
      <c r="AC7" s="45">
        <v>15.0</v>
      </c>
      <c r="AD7" s="46">
        <v>16.0</v>
      </c>
      <c r="AE7" s="45">
        <v>17.0</v>
      </c>
      <c r="AF7" s="45">
        <v>18.0</v>
      </c>
      <c r="AG7" s="46">
        <v>19.0</v>
      </c>
      <c r="AH7" s="45">
        <v>20.0</v>
      </c>
      <c r="AI7" s="45">
        <v>21.0</v>
      </c>
      <c r="AJ7" s="47"/>
      <c r="AK7" s="48"/>
      <c r="AL7" s="49">
        <v>1.0</v>
      </c>
      <c r="AM7" s="49">
        <v>2.0</v>
      </c>
      <c r="AN7" s="49">
        <v>3.0</v>
      </c>
      <c r="AO7" s="49">
        <v>4.0</v>
      </c>
      <c r="AP7" s="49">
        <v>5.0</v>
      </c>
      <c r="AQ7" s="49">
        <v>6.0</v>
      </c>
      <c r="AR7" s="49">
        <v>7.0</v>
      </c>
      <c r="AS7" s="49">
        <v>8.0</v>
      </c>
      <c r="AT7" s="49">
        <v>9.0</v>
      </c>
      <c r="AU7" s="49">
        <v>10.0</v>
      </c>
      <c r="AV7" s="49">
        <v>11.0</v>
      </c>
      <c r="AW7" s="49">
        <v>12.0</v>
      </c>
      <c r="AX7" s="49">
        <v>13.0</v>
      </c>
      <c r="AY7" s="49">
        <v>14.0</v>
      </c>
      <c r="AZ7" s="49">
        <v>15.0</v>
      </c>
      <c r="BA7" s="49">
        <v>16.0</v>
      </c>
      <c r="BB7" s="49">
        <v>17.0</v>
      </c>
      <c r="BC7" s="49">
        <v>18.0</v>
      </c>
      <c r="BD7" s="49">
        <v>19.0</v>
      </c>
      <c r="BE7" s="49">
        <v>20.0</v>
      </c>
      <c r="BF7" s="49">
        <v>21.0</v>
      </c>
      <c r="BG7" s="47"/>
      <c r="BH7" s="52"/>
      <c r="BI7" s="49">
        <v>1.0</v>
      </c>
      <c r="BJ7" s="49">
        <v>2.0</v>
      </c>
      <c r="BK7" s="49">
        <v>3.0</v>
      </c>
      <c r="BL7" s="49">
        <v>4.0</v>
      </c>
      <c r="BM7" s="49">
        <v>5.0</v>
      </c>
      <c r="BN7" s="49">
        <v>6.0</v>
      </c>
      <c r="BO7" s="49">
        <v>7.0</v>
      </c>
      <c r="BP7" s="49">
        <v>8.0</v>
      </c>
      <c r="BQ7" s="49">
        <v>9.0</v>
      </c>
      <c r="BR7" s="49">
        <v>10.0</v>
      </c>
      <c r="BS7" s="49">
        <v>11.0</v>
      </c>
      <c r="BT7" s="49">
        <v>12.0</v>
      </c>
      <c r="BU7" s="49">
        <v>13.0</v>
      </c>
      <c r="BV7" s="49">
        <v>14.0</v>
      </c>
      <c r="BW7" s="49">
        <v>15.0</v>
      </c>
      <c r="BX7" s="49">
        <v>16.0</v>
      </c>
      <c r="BY7" s="49">
        <v>17.0</v>
      </c>
      <c r="BZ7" s="49">
        <v>18.0</v>
      </c>
      <c r="CA7" s="49">
        <v>19.0</v>
      </c>
      <c r="CB7" s="49">
        <v>20.0</v>
      </c>
      <c r="CC7" s="49"/>
      <c r="CD7" s="49">
        <v>21.0</v>
      </c>
      <c r="CE7" s="47"/>
      <c r="CF7" s="47"/>
      <c r="CG7" s="49">
        <v>1.0</v>
      </c>
      <c r="CH7" s="49">
        <v>2.0</v>
      </c>
      <c r="CI7" s="49">
        <v>3.0</v>
      </c>
      <c r="CJ7" s="49">
        <v>4.0</v>
      </c>
      <c r="CK7" s="49">
        <v>5.0</v>
      </c>
      <c r="CL7" s="49">
        <v>6.0</v>
      </c>
      <c r="CM7" s="49">
        <v>7.0</v>
      </c>
      <c r="CN7" s="49">
        <v>8.0</v>
      </c>
      <c r="CO7" s="49">
        <v>9.0</v>
      </c>
      <c r="CP7" s="49">
        <v>10.0</v>
      </c>
      <c r="CQ7" s="49">
        <v>11.0</v>
      </c>
      <c r="CR7" s="49">
        <v>12.0</v>
      </c>
      <c r="CS7" s="55"/>
      <c r="CT7" s="55"/>
    </row>
    <row r="8" ht="78.75" customHeight="1">
      <c r="A8" s="56"/>
      <c r="B8" s="45"/>
      <c r="C8" s="45"/>
      <c r="D8" s="58" t="s">
        <v>17</v>
      </c>
      <c r="E8" s="59" t="s">
        <v>18</v>
      </c>
      <c r="F8" s="60" t="s">
        <v>19</v>
      </c>
      <c r="G8" s="61" t="s">
        <v>20</v>
      </c>
      <c r="H8" s="62">
        <v>46104.0</v>
      </c>
      <c r="I8" s="62">
        <v>46105.0</v>
      </c>
      <c r="J8" s="62">
        <v>46106.0</v>
      </c>
      <c r="K8" s="62">
        <v>46107.0</v>
      </c>
      <c r="L8" s="64">
        <v>46111.0</v>
      </c>
      <c r="M8" s="65" t="s">
        <v>21</v>
      </c>
      <c r="N8" s="66" t="s">
        <v>22</v>
      </c>
      <c r="O8" s="62">
        <v>46113.0</v>
      </c>
      <c r="P8" s="62">
        <v>46114.0</v>
      </c>
      <c r="Q8" s="62">
        <v>46115.0</v>
      </c>
      <c r="R8" s="62">
        <v>46118.0</v>
      </c>
      <c r="S8" s="62">
        <v>46119.0</v>
      </c>
      <c r="T8" s="62">
        <v>46120.0</v>
      </c>
      <c r="U8" s="62">
        <v>46121.0</v>
      </c>
      <c r="V8" s="62">
        <v>46122.0</v>
      </c>
      <c r="W8" s="62">
        <v>46125.0</v>
      </c>
      <c r="X8" s="62">
        <v>46127.0</v>
      </c>
      <c r="Y8" s="62">
        <v>46128.0</v>
      </c>
      <c r="Z8" s="62">
        <v>46129.0</v>
      </c>
      <c r="AA8" s="62">
        <v>46132.0</v>
      </c>
      <c r="AB8" s="62">
        <v>46133.0</v>
      </c>
      <c r="AC8" s="62">
        <v>46134.0</v>
      </c>
      <c r="AD8" s="62">
        <v>46135.0</v>
      </c>
      <c r="AE8" s="62">
        <v>46136.0</v>
      </c>
      <c r="AF8" s="62">
        <v>46139.0</v>
      </c>
      <c r="AG8" s="62">
        <v>46140.0</v>
      </c>
      <c r="AH8" s="62">
        <v>46141.0</v>
      </c>
      <c r="AI8" s="62">
        <v>46142.0</v>
      </c>
      <c r="AJ8" s="67" t="s">
        <v>23</v>
      </c>
      <c r="AK8" s="68" t="s">
        <v>24</v>
      </c>
      <c r="AL8" s="62">
        <v>46143.0</v>
      </c>
      <c r="AM8" s="62">
        <v>46146.0</v>
      </c>
      <c r="AN8" s="62">
        <v>46147.0</v>
      </c>
      <c r="AO8" s="62">
        <v>46148.0</v>
      </c>
      <c r="AP8" s="62">
        <v>46149.0</v>
      </c>
      <c r="AQ8" s="62">
        <v>46150.0</v>
      </c>
      <c r="AR8" s="62">
        <v>46153.0</v>
      </c>
      <c r="AS8" s="62">
        <v>46154.0</v>
      </c>
      <c r="AT8" s="62">
        <v>46155.0</v>
      </c>
      <c r="AU8" s="62">
        <v>46156.0</v>
      </c>
      <c r="AV8" s="62">
        <v>46157.0</v>
      </c>
      <c r="AW8" s="62">
        <v>46160.0</v>
      </c>
      <c r="AX8" s="62">
        <v>46161.0</v>
      </c>
      <c r="AY8" s="62">
        <v>46162.0</v>
      </c>
      <c r="AZ8" s="62">
        <v>46163.0</v>
      </c>
      <c r="BA8" s="62">
        <v>46164.0</v>
      </c>
      <c r="BB8" s="62">
        <v>46167.0</v>
      </c>
      <c r="BC8" s="62">
        <v>46168.0</v>
      </c>
      <c r="BD8" s="62">
        <v>46169.0</v>
      </c>
      <c r="BE8" s="62">
        <v>46170.0</v>
      </c>
      <c r="BF8" s="62">
        <v>46171.0</v>
      </c>
      <c r="BG8" s="70" t="s">
        <v>25</v>
      </c>
      <c r="BH8" s="71" t="s">
        <v>26</v>
      </c>
      <c r="BI8" s="62">
        <v>46174.0</v>
      </c>
      <c r="BJ8" s="62">
        <v>46175.0</v>
      </c>
      <c r="BK8" s="62">
        <v>46176.0</v>
      </c>
      <c r="BL8" s="62">
        <v>46177.0</v>
      </c>
      <c r="BM8" s="62">
        <v>46178.0</v>
      </c>
      <c r="BN8" s="62">
        <v>46181.0</v>
      </c>
      <c r="BO8" s="62">
        <v>46182.0</v>
      </c>
      <c r="BP8" s="62">
        <v>46183.0</v>
      </c>
      <c r="BQ8" s="62">
        <v>46184.0</v>
      </c>
      <c r="BR8" s="62">
        <v>46185.0</v>
      </c>
      <c r="BS8" s="64">
        <v>46188.0</v>
      </c>
      <c r="BT8" s="64">
        <v>46189.0</v>
      </c>
      <c r="BU8" s="64">
        <v>46190.0</v>
      </c>
      <c r="BV8" s="64">
        <v>46191.0</v>
      </c>
      <c r="BW8" s="64">
        <v>46192.0</v>
      </c>
      <c r="BX8" s="64">
        <v>46195.0</v>
      </c>
      <c r="BY8" s="64">
        <v>46196.0</v>
      </c>
      <c r="BZ8" s="64">
        <v>46197.0</v>
      </c>
      <c r="CA8" s="64">
        <v>46198.0</v>
      </c>
      <c r="CB8" s="64">
        <v>46199.0</v>
      </c>
      <c r="CC8" s="64">
        <v>46202.0</v>
      </c>
      <c r="CD8" s="64">
        <v>46203.0</v>
      </c>
      <c r="CE8" s="74" t="s">
        <v>27</v>
      </c>
      <c r="CF8" s="75" t="s">
        <v>28</v>
      </c>
      <c r="CG8" s="285"/>
      <c r="CH8" s="79"/>
      <c r="CI8" s="79"/>
      <c r="CJ8" s="79"/>
      <c r="CK8" s="79"/>
      <c r="CL8" s="79"/>
      <c r="CM8" s="79"/>
      <c r="CN8" s="79"/>
      <c r="CO8" s="79"/>
      <c r="CP8" s="79"/>
      <c r="CQ8" s="79"/>
      <c r="CR8" s="79"/>
      <c r="CS8" s="80" t="s">
        <v>31</v>
      </c>
      <c r="CT8" s="81" t="s">
        <v>32</v>
      </c>
    </row>
    <row r="9">
      <c r="A9" s="84" t="s">
        <v>233</v>
      </c>
      <c r="B9" s="85" t="s">
        <v>40</v>
      </c>
      <c r="C9" s="85" t="s">
        <v>42</v>
      </c>
      <c r="D9" s="91">
        <f t="shared" ref="D9:D93" si="6">SUM(M9+AJ9+BG9+CE9+CS9)</f>
        <v>12</v>
      </c>
      <c r="E9" s="91"/>
      <c r="F9" s="92"/>
      <c r="G9" s="92"/>
      <c r="H9" s="93">
        <f t="shared" ref="H9:L9" si="1">SUM(H10:H51)</f>
        <v>0</v>
      </c>
      <c r="I9" s="93">
        <f t="shared" si="1"/>
        <v>0</v>
      </c>
      <c r="J9" s="93">
        <f t="shared" si="1"/>
        <v>0</v>
      </c>
      <c r="K9" s="93">
        <f t="shared" si="1"/>
        <v>0</v>
      </c>
      <c r="L9" s="93">
        <f t="shared" si="1"/>
        <v>0</v>
      </c>
      <c r="M9" s="94">
        <f>COUNTIF(H9:L9,"&gt;0")</f>
        <v>0</v>
      </c>
      <c r="N9" s="96">
        <f>COUNTIF(H9:L9,"&gt;0")</f>
        <v>0</v>
      </c>
      <c r="O9" s="93">
        <f t="shared" ref="O9:AI9" si="2">SUM(O10:O51)</f>
        <v>0</v>
      </c>
      <c r="P9" s="93">
        <f t="shared" si="2"/>
        <v>0</v>
      </c>
      <c r="Q9" s="93">
        <f t="shared" si="2"/>
        <v>0</v>
      </c>
      <c r="R9" s="93">
        <f t="shared" si="2"/>
        <v>0</v>
      </c>
      <c r="S9" s="93">
        <f t="shared" si="2"/>
        <v>0</v>
      </c>
      <c r="T9" s="93">
        <f t="shared" si="2"/>
        <v>0</v>
      </c>
      <c r="U9" s="93">
        <f t="shared" si="2"/>
        <v>0</v>
      </c>
      <c r="V9" s="93">
        <f t="shared" si="2"/>
        <v>0</v>
      </c>
      <c r="W9" s="93">
        <f t="shared" si="2"/>
        <v>0</v>
      </c>
      <c r="X9" s="93">
        <f t="shared" si="2"/>
        <v>0</v>
      </c>
      <c r="Y9" s="93">
        <f t="shared" si="2"/>
        <v>0</v>
      </c>
      <c r="Z9" s="93">
        <f t="shared" si="2"/>
        <v>0</v>
      </c>
      <c r="AA9" s="93">
        <f t="shared" si="2"/>
        <v>0</v>
      </c>
      <c r="AB9" s="93">
        <f t="shared" si="2"/>
        <v>30</v>
      </c>
      <c r="AC9" s="93">
        <f t="shared" si="2"/>
        <v>0</v>
      </c>
      <c r="AD9" s="93">
        <f t="shared" si="2"/>
        <v>18</v>
      </c>
      <c r="AE9" s="93">
        <f t="shared" si="2"/>
        <v>0</v>
      </c>
      <c r="AF9" s="93">
        <f t="shared" si="2"/>
        <v>0</v>
      </c>
      <c r="AG9" s="93">
        <f t="shared" si="2"/>
        <v>28</v>
      </c>
      <c r="AH9" s="93">
        <f t="shared" si="2"/>
        <v>10</v>
      </c>
      <c r="AI9" s="93">
        <f t="shared" si="2"/>
        <v>0</v>
      </c>
      <c r="AJ9" s="44">
        <f>COUNTIF(O9:AI9,"&gt;0")</f>
        <v>4</v>
      </c>
      <c r="AK9" s="102">
        <f>SUM(M9+AJ9)</f>
        <v>4</v>
      </c>
      <c r="AL9" s="103">
        <f t="shared" ref="AL9:BF9" si="3">SUM(AL10:AL51)</f>
        <v>0</v>
      </c>
      <c r="AM9" s="103">
        <f t="shared" si="3"/>
        <v>0</v>
      </c>
      <c r="AN9" s="103">
        <f t="shared" si="3"/>
        <v>34</v>
      </c>
      <c r="AO9" s="103">
        <f t="shared" si="3"/>
        <v>0</v>
      </c>
      <c r="AP9" s="103">
        <f t="shared" si="3"/>
        <v>0</v>
      </c>
      <c r="AQ9" s="103">
        <f t="shared" si="3"/>
        <v>0</v>
      </c>
      <c r="AR9" s="103">
        <f t="shared" si="3"/>
        <v>0</v>
      </c>
      <c r="AS9" s="103">
        <f t="shared" si="3"/>
        <v>16</v>
      </c>
      <c r="AT9" s="103">
        <f t="shared" si="3"/>
        <v>0</v>
      </c>
      <c r="AU9" s="103">
        <f t="shared" si="3"/>
        <v>0</v>
      </c>
      <c r="AV9" s="103">
        <f t="shared" si="3"/>
        <v>0</v>
      </c>
      <c r="AW9" s="103">
        <f t="shared" si="3"/>
        <v>0</v>
      </c>
      <c r="AX9" s="103">
        <f t="shared" si="3"/>
        <v>0</v>
      </c>
      <c r="AY9" s="103">
        <f t="shared" si="3"/>
        <v>0</v>
      </c>
      <c r="AZ9" s="103">
        <f t="shared" si="3"/>
        <v>0</v>
      </c>
      <c r="BA9" s="103">
        <f t="shared" si="3"/>
        <v>0</v>
      </c>
      <c r="BB9" s="103">
        <f t="shared" si="3"/>
        <v>0</v>
      </c>
      <c r="BC9" s="103">
        <f t="shared" si="3"/>
        <v>17</v>
      </c>
      <c r="BD9" s="103">
        <f t="shared" si="3"/>
        <v>0</v>
      </c>
      <c r="BE9" s="103">
        <f t="shared" si="3"/>
        <v>0</v>
      </c>
      <c r="BF9" s="103">
        <f t="shared" si="3"/>
        <v>11</v>
      </c>
      <c r="BG9" s="54">
        <f>COUNTIF(AL9:BF9,"&gt;0")</f>
        <v>4</v>
      </c>
      <c r="BH9" s="106">
        <f>SUM(AK9+BG9)</f>
        <v>8</v>
      </c>
      <c r="BI9" s="107">
        <f t="shared" ref="BI9:CD9" si="4">SUM(BI10:BI51)</f>
        <v>0</v>
      </c>
      <c r="BJ9" s="107">
        <f t="shared" si="4"/>
        <v>0</v>
      </c>
      <c r="BK9" s="107">
        <f t="shared" si="4"/>
        <v>0</v>
      </c>
      <c r="BL9" s="107">
        <f t="shared" si="4"/>
        <v>0</v>
      </c>
      <c r="BM9" s="107">
        <f t="shared" si="4"/>
        <v>0</v>
      </c>
      <c r="BN9" s="107">
        <f t="shared" si="4"/>
        <v>0</v>
      </c>
      <c r="BO9" s="107">
        <f t="shared" si="4"/>
        <v>0</v>
      </c>
      <c r="BP9" s="107">
        <f t="shared" si="4"/>
        <v>0</v>
      </c>
      <c r="BQ9" s="107">
        <f t="shared" si="4"/>
        <v>0</v>
      </c>
      <c r="BR9" s="107">
        <f t="shared" si="4"/>
        <v>0</v>
      </c>
      <c r="BS9" s="107">
        <f t="shared" si="4"/>
        <v>0</v>
      </c>
      <c r="BT9" s="107">
        <f t="shared" si="4"/>
        <v>28</v>
      </c>
      <c r="BU9" s="107">
        <f t="shared" si="4"/>
        <v>0</v>
      </c>
      <c r="BV9" s="107">
        <f t="shared" si="4"/>
        <v>0</v>
      </c>
      <c r="BW9" s="107">
        <f t="shared" si="4"/>
        <v>0</v>
      </c>
      <c r="BX9" s="107">
        <f t="shared" si="4"/>
        <v>0</v>
      </c>
      <c r="BY9" s="107">
        <f t="shared" si="4"/>
        <v>28</v>
      </c>
      <c r="BZ9" s="107">
        <f t="shared" si="4"/>
        <v>0</v>
      </c>
      <c r="CA9" s="107">
        <f t="shared" si="4"/>
        <v>0</v>
      </c>
      <c r="CB9" s="107">
        <f t="shared" si="4"/>
        <v>8</v>
      </c>
      <c r="CC9" s="107">
        <f t="shared" si="4"/>
        <v>0</v>
      </c>
      <c r="CD9" s="107">
        <f t="shared" si="4"/>
        <v>36</v>
      </c>
      <c r="CE9" s="47">
        <f>COUNTIF(BI9:CD9,"&gt;0")</f>
        <v>4</v>
      </c>
      <c r="CF9" s="52">
        <f>SUM(BH9+CE9)</f>
        <v>12</v>
      </c>
      <c r="CG9" s="107">
        <f t="shared" ref="CG9:CR9" si="5">SUM(CG11:CG51)</f>
        <v>0</v>
      </c>
      <c r="CH9" s="107">
        <f t="shared" si="5"/>
        <v>0</v>
      </c>
      <c r="CI9" s="107">
        <f t="shared" si="5"/>
        <v>0</v>
      </c>
      <c r="CJ9" s="107">
        <f t="shared" si="5"/>
        <v>0</v>
      </c>
      <c r="CK9" s="107">
        <f t="shared" si="5"/>
        <v>0</v>
      </c>
      <c r="CL9" s="107">
        <f t="shared" si="5"/>
        <v>0</v>
      </c>
      <c r="CM9" s="107">
        <f t="shared" si="5"/>
        <v>0</v>
      </c>
      <c r="CN9" s="107">
        <f t="shared" si="5"/>
        <v>0</v>
      </c>
      <c r="CO9" s="107">
        <f t="shared" si="5"/>
        <v>0</v>
      </c>
      <c r="CP9" s="107">
        <f t="shared" si="5"/>
        <v>0</v>
      </c>
      <c r="CQ9" s="107">
        <f t="shared" si="5"/>
        <v>0</v>
      </c>
      <c r="CR9" s="107">
        <f t="shared" si="5"/>
        <v>0</v>
      </c>
      <c r="CS9" s="109">
        <f>COUNTIF(CG9:CR9,"&gt;0")</f>
        <v>0</v>
      </c>
      <c r="CT9" s="110">
        <f>SUM(CF9+CS9)</f>
        <v>12</v>
      </c>
    </row>
    <row r="10">
      <c r="A10" s="50">
        <v>1.0</v>
      </c>
      <c r="B10" s="111" t="s">
        <v>51</v>
      </c>
      <c r="C10" s="112" t="s">
        <v>52</v>
      </c>
      <c r="D10" s="91">
        <f t="shared" si="6"/>
        <v>0</v>
      </c>
      <c r="E10" s="113">
        <f t="shared" ref="E10:E51" si="7">(D10)/D$9*100</f>
        <v>0</v>
      </c>
      <c r="F10" s="114">
        <f t="shared" ref="F10:F51" si="8">IF(E10&lt;50,E10, "  ")</f>
        <v>0</v>
      </c>
      <c r="G10" s="114">
        <f t="shared" ref="G10:G51" si="9">IF(E10&lt;30,E10, "  ")</f>
        <v>0</v>
      </c>
      <c r="H10" s="116"/>
      <c r="I10" s="116"/>
      <c r="J10" s="116"/>
      <c r="K10" s="116"/>
      <c r="L10" s="116"/>
      <c r="M10" s="118">
        <f t="shared" ref="M10:M51" si="10">SUM(H10:L10)</f>
        <v>0</v>
      </c>
      <c r="N10" s="119" t="str">
        <f t="shared" ref="N10:N50" si="11">M10/M$9*100</f>
        <v>#DIV/0!</v>
      </c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38"/>
      <c r="AC10" s="116"/>
      <c r="AD10" s="116"/>
      <c r="AE10" s="116"/>
      <c r="AF10" s="116"/>
      <c r="AG10" s="116"/>
      <c r="AH10" s="116"/>
      <c r="AI10" s="116"/>
      <c r="AJ10" s="120">
        <f t="shared" ref="AJ10:AJ51" si="12">SUM(O10:AI10)</f>
        <v>0</v>
      </c>
      <c r="AK10" s="121">
        <f t="shared" ref="AK10:AK51" si="13">AJ10/AJ$9*100</f>
        <v>0</v>
      </c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37"/>
      <c r="BD10" s="116"/>
      <c r="BE10" s="116"/>
      <c r="BF10" s="116"/>
      <c r="BG10" s="118">
        <f t="shared" ref="BG10:BG51" si="14">SUM(AL10:BF10)</f>
        <v>0</v>
      </c>
      <c r="BH10" s="122">
        <f t="shared" ref="BH10:BH51" si="15">BG10/BG$9*100</f>
        <v>0</v>
      </c>
      <c r="BI10" s="116"/>
      <c r="BJ10" s="116"/>
      <c r="BK10" s="116"/>
      <c r="BL10" s="116"/>
      <c r="BM10" s="116"/>
      <c r="BN10" s="116"/>
      <c r="BO10" s="116"/>
      <c r="BP10" s="116"/>
      <c r="BQ10" s="116"/>
      <c r="BR10" s="116"/>
      <c r="BS10" s="116"/>
      <c r="BT10" s="116"/>
      <c r="BU10" s="116"/>
      <c r="BV10" s="116"/>
      <c r="BW10" s="43"/>
      <c r="BX10" s="43"/>
      <c r="BY10" s="43"/>
      <c r="BZ10" s="43"/>
      <c r="CA10" s="43"/>
      <c r="CB10" s="43"/>
      <c r="CC10" s="43"/>
      <c r="CD10" s="43"/>
      <c r="CE10" s="124">
        <f t="shared" ref="CE10:CE51" si="16">SUM(BI10:CD10)</f>
        <v>0</v>
      </c>
      <c r="CF10" s="125">
        <f t="shared" ref="CF10:CF51" si="17">CE10/CE$9*100</f>
        <v>0</v>
      </c>
      <c r="CG10" s="43"/>
      <c r="CH10" s="43"/>
      <c r="CI10" s="43"/>
      <c r="CJ10" s="43"/>
      <c r="CK10" s="43"/>
      <c r="CL10" s="43"/>
      <c r="CM10" s="43"/>
      <c r="CN10" s="43"/>
      <c r="CO10" s="43"/>
      <c r="CP10" s="43"/>
      <c r="CQ10" s="43"/>
      <c r="CR10" s="43"/>
      <c r="CS10" s="128">
        <f t="shared" ref="CS10:CS47" si="18">SUM(CG10:CR10)</f>
        <v>0</v>
      </c>
      <c r="CT10" s="129" t="str">
        <f t="shared" ref="CT10:CT47" si="19">CS10/CS$9*100</f>
        <v>#DIV/0!</v>
      </c>
    </row>
    <row r="11">
      <c r="A11" s="131">
        <v>2.0</v>
      </c>
      <c r="B11" s="111" t="s">
        <v>53</v>
      </c>
      <c r="C11" s="112" t="s">
        <v>54</v>
      </c>
      <c r="D11" s="91">
        <f t="shared" si="6"/>
        <v>9</v>
      </c>
      <c r="E11" s="113">
        <f t="shared" si="7"/>
        <v>75</v>
      </c>
      <c r="F11" s="133" t="str">
        <f t="shared" si="8"/>
        <v>  </v>
      </c>
      <c r="G11" s="135" t="str">
        <f t="shared" si="9"/>
        <v>  </v>
      </c>
      <c r="H11" s="116"/>
      <c r="I11" s="116"/>
      <c r="J11" s="116"/>
      <c r="K11" s="116"/>
      <c r="L11" s="116"/>
      <c r="M11" s="118">
        <f t="shared" si="10"/>
        <v>0</v>
      </c>
      <c r="N11" s="119" t="str">
        <f t="shared" si="11"/>
        <v>#DIV/0!</v>
      </c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38">
        <v>1.0</v>
      </c>
      <c r="AC11" s="116"/>
      <c r="AD11" s="138">
        <v>1.0</v>
      </c>
      <c r="AE11" s="116"/>
      <c r="AF11" s="116"/>
      <c r="AG11" s="138">
        <v>1.0</v>
      </c>
      <c r="AH11" s="138">
        <v>1.0</v>
      </c>
      <c r="AI11" s="116"/>
      <c r="AJ11" s="120">
        <f t="shared" si="12"/>
        <v>4</v>
      </c>
      <c r="AK11" s="121">
        <f t="shared" si="13"/>
        <v>100</v>
      </c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6"/>
      <c r="BF11" s="138">
        <v>1.0</v>
      </c>
      <c r="BG11" s="118">
        <f t="shared" si="14"/>
        <v>1</v>
      </c>
      <c r="BH11" s="122">
        <f t="shared" si="15"/>
        <v>25</v>
      </c>
      <c r="BI11" s="116"/>
      <c r="BJ11" s="116"/>
      <c r="BK11" s="116"/>
      <c r="BL11" s="116"/>
      <c r="BM11" s="116"/>
      <c r="BN11" s="116"/>
      <c r="BO11" s="116"/>
      <c r="BP11" s="116"/>
      <c r="BQ11" s="116"/>
      <c r="BR11" s="116"/>
      <c r="BS11" s="116"/>
      <c r="BT11" s="138">
        <v>1.0</v>
      </c>
      <c r="BU11" s="116"/>
      <c r="BV11" s="116"/>
      <c r="BW11" s="43"/>
      <c r="BX11" s="43"/>
      <c r="BY11" s="138">
        <v>1.0</v>
      </c>
      <c r="BZ11" s="43"/>
      <c r="CA11" s="43"/>
      <c r="CB11" s="145">
        <v>1.0</v>
      </c>
      <c r="CC11" s="43"/>
      <c r="CD11" s="145">
        <v>1.0</v>
      </c>
      <c r="CE11" s="124">
        <f t="shared" si="16"/>
        <v>4</v>
      </c>
      <c r="CF11" s="125">
        <f t="shared" si="17"/>
        <v>100</v>
      </c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128">
        <f t="shared" si="18"/>
        <v>0</v>
      </c>
      <c r="CT11" s="129" t="str">
        <f t="shared" si="19"/>
        <v>#DIV/0!</v>
      </c>
    </row>
    <row r="12" ht="18.0" customHeight="1">
      <c r="A12" s="146">
        <v>3.0</v>
      </c>
      <c r="B12" s="111" t="s">
        <v>55</v>
      </c>
      <c r="C12" s="112" t="s">
        <v>56</v>
      </c>
      <c r="D12" s="91">
        <f t="shared" si="6"/>
        <v>8</v>
      </c>
      <c r="E12" s="113">
        <f t="shared" si="7"/>
        <v>66.66666667</v>
      </c>
      <c r="F12" s="92" t="str">
        <f t="shared" si="8"/>
        <v>  </v>
      </c>
      <c r="G12" s="149" t="str">
        <f t="shared" si="9"/>
        <v>  </v>
      </c>
      <c r="H12" s="116"/>
      <c r="I12" s="150"/>
      <c r="J12" s="116"/>
      <c r="K12" s="116"/>
      <c r="L12" s="116"/>
      <c r="M12" s="118">
        <f t="shared" si="10"/>
        <v>0</v>
      </c>
      <c r="N12" s="119" t="str">
        <f t="shared" si="11"/>
        <v>#DIV/0!</v>
      </c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38">
        <v>1.0</v>
      </c>
      <c r="AC12" s="116"/>
      <c r="AD12" s="116"/>
      <c r="AE12" s="116"/>
      <c r="AF12" s="116"/>
      <c r="AG12" s="138">
        <v>1.0</v>
      </c>
      <c r="AH12" s="116"/>
      <c r="AI12" s="116"/>
      <c r="AJ12" s="120">
        <f t="shared" si="12"/>
        <v>2</v>
      </c>
      <c r="AK12" s="151">
        <f t="shared" si="13"/>
        <v>50</v>
      </c>
      <c r="AL12" s="116"/>
      <c r="AM12" s="116"/>
      <c r="AN12" s="138">
        <v>2.0</v>
      </c>
      <c r="AO12" s="116"/>
      <c r="AP12" s="116"/>
      <c r="AQ12" s="116"/>
      <c r="AR12" s="116"/>
      <c r="AS12" s="138">
        <v>1.0</v>
      </c>
      <c r="AT12" s="116"/>
      <c r="AU12" s="116"/>
      <c r="AV12" s="116"/>
      <c r="AW12" s="116"/>
      <c r="AX12" s="116"/>
      <c r="AY12" s="116"/>
      <c r="AZ12" s="116"/>
      <c r="BA12" s="116"/>
      <c r="BB12" s="116"/>
      <c r="BC12" s="204"/>
      <c r="BD12" s="116"/>
      <c r="BE12" s="116"/>
      <c r="BF12" s="116"/>
      <c r="BG12" s="118">
        <f t="shared" si="14"/>
        <v>3</v>
      </c>
      <c r="BH12" s="122">
        <f t="shared" si="15"/>
        <v>75</v>
      </c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/>
      <c r="BT12" s="138">
        <v>1.0</v>
      </c>
      <c r="BU12" s="116"/>
      <c r="BV12" s="116"/>
      <c r="BW12" s="43"/>
      <c r="BX12" s="43"/>
      <c r="BY12" s="138">
        <v>1.0</v>
      </c>
      <c r="BZ12" s="43"/>
      <c r="CA12" s="43"/>
      <c r="CB12" s="43"/>
      <c r="CC12" s="43"/>
      <c r="CD12" s="145">
        <v>1.0</v>
      </c>
      <c r="CE12" s="155">
        <f t="shared" si="16"/>
        <v>3</v>
      </c>
      <c r="CF12" s="156">
        <f t="shared" si="17"/>
        <v>75</v>
      </c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157">
        <f t="shared" si="18"/>
        <v>0</v>
      </c>
      <c r="CT12" s="158" t="str">
        <f t="shared" si="19"/>
        <v>#DIV/0!</v>
      </c>
    </row>
    <row r="13">
      <c r="A13" s="50">
        <v>4.0</v>
      </c>
      <c r="B13" s="161" t="s">
        <v>57</v>
      </c>
      <c r="C13" s="162" t="s">
        <v>58</v>
      </c>
      <c r="D13" s="91">
        <f t="shared" si="6"/>
        <v>9</v>
      </c>
      <c r="E13" s="113">
        <f t="shared" si="7"/>
        <v>75</v>
      </c>
      <c r="F13" s="114" t="str">
        <f t="shared" si="8"/>
        <v>  </v>
      </c>
      <c r="G13" s="164" t="str">
        <f t="shared" si="9"/>
        <v>  </v>
      </c>
      <c r="H13" s="165"/>
      <c r="I13" s="116"/>
      <c r="J13" s="116"/>
      <c r="K13" s="116"/>
      <c r="L13" s="116"/>
      <c r="M13" s="118">
        <f t="shared" si="10"/>
        <v>0</v>
      </c>
      <c r="N13" s="119" t="str">
        <f t="shared" si="11"/>
        <v>#DIV/0!</v>
      </c>
      <c r="O13" s="165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38">
        <v>1.0</v>
      </c>
      <c r="AC13" s="116"/>
      <c r="AD13" s="116"/>
      <c r="AE13" s="116"/>
      <c r="AF13" s="165"/>
      <c r="AG13" s="196">
        <v>1.0</v>
      </c>
      <c r="AH13" s="165"/>
      <c r="AI13" s="165"/>
      <c r="AJ13" s="168">
        <f t="shared" si="12"/>
        <v>2</v>
      </c>
      <c r="AK13" s="169">
        <f t="shared" si="13"/>
        <v>50</v>
      </c>
      <c r="AL13" s="165"/>
      <c r="AM13" s="116"/>
      <c r="AN13" s="138">
        <v>2.0</v>
      </c>
      <c r="AO13" s="116"/>
      <c r="AP13" s="116"/>
      <c r="AQ13" s="116"/>
      <c r="AR13" s="116"/>
      <c r="AS13" s="138">
        <v>1.0</v>
      </c>
      <c r="AT13" s="116"/>
      <c r="AU13" s="116"/>
      <c r="AV13" s="116"/>
      <c r="AW13" s="116"/>
      <c r="AX13" s="116"/>
      <c r="AY13" s="116"/>
      <c r="AZ13" s="116"/>
      <c r="BA13" s="116"/>
      <c r="BB13" s="116"/>
      <c r="BC13" s="204"/>
      <c r="BD13" s="116"/>
      <c r="BE13" s="116"/>
      <c r="BF13" s="138">
        <v>1.0</v>
      </c>
      <c r="BG13" s="118">
        <f t="shared" si="14"/>
        <v>4</v>
      </c>
      <c r="BH13" s="122">
        <f t="shared" si="15"/>
        <v>100</v>
      </c>
      <c r="BI13" s="165"/>
      <c r="BJ13" s="116"/>
      <c r="BK13" s="116"/>
      <c r="BL13" s="116"/>
      <c r="BM13" s="116"/>
      <c r="BN13" s="116"/>
      <c r="BO13" s="116"/>
      <c r="BP13" s="116"/>
      <c r="BQ13" s="116"/>
      <c r="BR13" s="116"/>
      <c r="BS13" s="116"/>
      <c r="BT13" s="138">
        <v>1.0</v>
      </c>
      <c r="BU13" s="116"/>
      <c r="BV13" s="116"/>
      <c r="BW13" s="43"/>
      <c r="BX13" s="43"/>
      <c r="BY13" s="138">
        <v>1.0</v>
      </c>
      <c r="BZ13" s="43"/>
      <c r="CA13" s="43"/>
      <c r="CB13" s="43"/>
      <c r="CC13" s="43"/>
      <c r="CD13" s="145">
        <v>1.0</v>
      </c>
      <c r="CE13" s="172">
        <f t="shared" si="16"/>
        <v>3</v>
      </c>
      <c r="CF13" s="173">
        <f t="shared" si="17"/>
        <v>75</v>
      </c>
      <c r="CG13" s="278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175">
        <f t="shared" si="18"/>
        <v>0</v>
      </c>
      <c r="CT13" s="158" t="str">
        <f t="shared" si="19"/>
        <v>#DIV/0!</v>
      </c>
    </row>
    <row r="14">
      <c r="A14" s="131">
        <v>5.0</v>
      </c>
      <c r="B14" s="111" t="s">
        <v>59</v>
      </c>
      <c r="C14" s="112" t="s">
        <v>60</v>
      </c>
      <c r="D14" s="91">
        <f t="shared" si="6"/>
        <v>8</v>
      </c>
      <c r="E14" s="113">
        <f t="shared" si="7"/>
        <v>66.66666667</v>
      </c>
      <c r="F14" s="92" t="str">
        <f t="shared" si="8"/>
        <v>  </v>
      </c>
      <c r="G14" s="164" t="str">
        <f t="shared" si="9"/>
        <v>  </v>
      </c>
      <c r="H14" s="165"/>
      <c r="I14" s="116"/>
      <c r="J14" s="43"/>
      <c r="K14" s="116"/>
      <c r="L14" s="116"/>
      <c r="M14" s="118">
        <f t="shared" si="10"/>
        <v>0</v>
      </c>
      <c r="N14" s="119" t="str">
        <f t="shared" si="11"/>
        <v>#DIV/0!</v>
      </c>
      <c r="O14" s="176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  <c r="AA14" s="179"/>
      <c r="AB14" s="184">
        <v>1.0</v>
      </c>
      <c r="AC14" s="179"/>
      <c r="AD14" s="184">
        <v>1.0</v>
      </c>
      <c r="AE14" s="179"/>
      <c r="AF14" s="176"/>
      <c r="AG14" s="182">
        <v>1.0</v>
      </c>
      <c r="AH14" s="182">
        <v>1.0</v>
      </c>
      <c r="AI14" s="176"/>
      <c r="AJ14" s="168">
        <f t="shared" si="12"/>
        <v>4</v>
      </c>
      <c r="AK14" s="169">
        <f t="shared" si="13"/>
        <v>100</v>
      </c>
      <c r="AL14" s="183"/>
      <c r="AM14" s="179"/>
      <c r="AN14" s="179"/>
      <c r="AO14" s="179"/>
      <c r="AP14" s="179"/>
      <c r="AQ14" s="179"/>
      <c r="AR14" s="179"/>
      <c r="AS14" s="179"/>
      <c r="AT14" s="179"/>
      <c r="AU14" s="179"/>
      <c r="AV14" s="179"/>
      <c r="AW14" s="179"/>
      <c r="AX14" s="179"/>
      <c r="AY14" s="179"/>
      <c r="AZ14" s="179"/>
      <c r="BA14" s="179"/>
      <c r="BB14" s="179"/>
      <c r="BC14" s="138">
        <v>1.0</v>
      </c>
      <c r="BD14" s="179"/>
      <c r="BE14" s="179"/>
      <c r="BF14" s="179"/>
      <c r="BG14" s="118">
        <f t="shared" si="14"/>
        <v>1</v>
      </c>
      <c r="BH14" s="122">
        <f t="shared" si="15"/>
        <v>25</v>
      </c>
      <c r="BI14" s="176"/>
      <c r="BJ14" s="179"/>
      <c r="BK14" s="179"/>
      <c r="BL14" s="179"/>
      <c r="BM14" s="179"/>
      <c r="BN14" s="179"/>
      <c r="BO14" s="179"/>
      <c r="BP14" s="179"/>
      <c r="BQ14" s="179"/>
      <c r="BR14" s="179"/>
      <c r="BS14" s="179"/>
      <c r="BT14" s="184">
        <v>1.0</v>
      </c>
      <c r="BU14" s="179"/>
      <c r="BV14" s="179"/>
      <c r="BW14" s="186"/>
      <c r="BX14" s="186"/>
      <c r="BY14" s="138">
        <v>1.0</v>
      </c>
      <c r="BZ14" s="186"/>
      <c r="CA14" s="186"/>
      <c r="CB14" s="186"/>
      <c r="CC14" s="186"/>
      <c r="CD14" s="200">
        <v>1.0</v>
      </c>
      <c r="CE14" s="172">
        <f t="shared" si="16"/>
        <v>3</v>
      </c>
      <c r="CF14" s="173">
        <f t="shared" si="17"/>
        <v>75</v>
      </c>
      <c r="CG14" s="199"/>
      <c r="CH14" s="186"/>
      <c r="CI14" s="186"/>
      <c r="CJ14" s="186"/>
      <c r="CK14" s="186"/>
      <c r="CL14" s="186"/>
      <c r="CM14" s="186"/>
      <c r="CN14" s="186"/>
      <c r="CO14" s="186"/>
      <c r="CP14" s="186"/>
      <c r="CQ14" s="186"/>
      <c r="CR14" s="186"/>
      <c r="CS14" s="175">
        <f t="shared" si="18"/>
        <v>0</v>
      </c>
      <c r="CT14" s="158" t="str">
        <f t="shared" si="19"/>
        <v>#DIV/0!</v>
      </c>
    </row>
    <row r="15">
      <c r="A15" s="146">
        <v>6.0</v>
      </c>
      <c r="B15" s="111" t="s">
        <v>62</v>
      </c>
      <c r="C15" s="112" t="s">
        <v>63</v>
      </c>
      <c r="D15" s="91">
        <f t="shared" si="6"/>
        <v>8</v>
      </c>
      <c r="E15" s="113">
        <f t="shared" si="7"/>
        <v>66.66666667</v>
      </c>
      <c r="F15" s="92" t="str">
        <f t="shared" si="8"/>
        <v>  </v>
      </c>
      <c r="G15" s="164" t="str">
        <f t="shared" si="9"/>
        <v>  </v>
      </c>
      <c r="H15" s="192"/>
      <c r="I15" s="193"/>
      <c r="J15" s="116"/>
      <c r="K15" s="116"/>
      <c r="L15" s="116"/>
      <c r="M15" s="118">
        <f t="shared" si="10"/>
        <v>0</v>
      </c>
      <c r="N15" s="119" t="str">
        <f t="shared" si="11"/>
        <v>#DIV/0!</v>
      </c>
      <c r="O15" s="195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  <c r="AB15" s="200">
        <v>1.0</v>
      </c>
      <c r="AC15" s="186"/>
      <c r="AD15" s="200">
        <v>1.0</v>
      </c>
      <c r="AE15" s="186"/>
      <c r="AF15" s="195"/>
      <c r="AG15" s="197">
        <v>1.0</v>
      </c>
      <c r="AH15" s="197">
        <v>1.0</v>
      </c>
      <c r="AI15" s="195"/>
      <c r="AJ15" s="168">
        <f t="shared" si="12"/>
        <v>4</v>
      </c>
      <c r="AK15" s="169">
        <f t="shared" si="13"/>
        <v>100</v>
      </c>
      <c r="AL15" s="199"/>
      <c r="AM15" s="186"/>
      <c r="AN15" s="186"/>
      <c r="AO15" s="186"/>
      <c r="AP15" s="200"/>
      <c r="AQ15" s="186"/>
      <c r="AR15" s="186"/>
      <c r="AS15" s="186"/>
      <c r="AT15" s="186"/>
      <c r="AU15" s="186"/>
      <c r="AV15" s="186"/>
      <c r="AW15" s="186"/>
      <c r="AX15" s="186"/>
      <c r="AY15" s="186"/>
      <c r="AZ15" s="186"/>
      <c r="BA15" s="186"/>
      <c r="BB15" s="186"/>
      <c r="BC15" s="138">
        <v>1.0</v>
      </c>
      <c r="BD15" s="186"/>
      <c r="BE15" s="186"/>
      <c r="BF15" s="186"/>
      <c r="BG15" s="118">
        <f t="shared" si="14"/>
        <v>1</v>
      </c>
      <c r="BH15" s="122">
        <f t="shared" si="15"/>
        <v>25</v>
      </c>
      <c r="BI15" s="195"/>
      <c r="BJ15" s="186"/>
      <c r="BK15" s="186"/>
      <c r="BL15" s="186"/>
      <c r="BM15" s="186"/>
      <c r="BN15" s="186"/>
      <c r="BO15" s="186"/>
      <c r="BP15" s="186"/>
      <c r="BQ15" s="186"/>
      <c r="BR15" s="186"/>
      <c r="BS15" s="186"/>
      <c r="BT15" s="200">
        <v>1.0</v>
      </c>
      <c r="BU15" s="186"/>
      <c r="BV15" s="186"/>
      <c r="BW15" s="186"/>
      <c r="BX15" s="186"/>
      <c r="BY15" s="116"/>
      <c r="BZ15" s="186"/>
      <c r="CA15" s="186"/>
      <c r="CB15" s="200">
        <v>1.0</v>
      </c>
      <c r="CC15" s="186"/>
      <c r="CD15" s="200">
        <v>1.0</v>
      </c>
      <c r="CE15" s="172">
        <f t="shared" si="16"/>
        <v>3</v>
      </c>
      <c r="CF15" s="173">
        <f t="shared" si="17"/>
        <v>75</v>
      </c>
      <c r="CG15" s="199"/>
      <c r="CH15" s="186"/>
      <c r="CI15" s="186"/>
      <c r="CJ15" s="186"/>
      <c r="CK15" s="186"/>
      <c r="CL15" s="186"/>
      <c r="CM15" s="186"/>
      <c r="CN15" s="186"/>
      <c r="CO15" s="186"/>
      <c r="CP15" s="186"/>
      <c r="CQ15" s="186"/>
      <c r="CR15" s="186"/>
      <c r="CS15" s="175">
        <f t="shared" si="18"/>
        <v>0</v>
      </c>
      <c r="CT15" s="158" t="str">
        <f t="shared" si="19"/>
        <v>#DIV/0!</v>
      </c>
    </row>
    <row r="16">
      <c r="A16" s="50">
        <v>7.0</v>
      </c>
      <c r="B16" s="111" t="s">
        <v>64</v>
      </c>
      <c r="C16" s="112" t="s">
        <v>65</v>
      </c>
      <c r="D16" s="91">
        <f t="shared" si="6"/>
        <v>1</v>
      </c>
      <c r="E16" s="113">
        <f t="shared" si="7"/>
        <v>8.333333333</v>
      </c>
      <c r="F16" s="114">
        <f t="shared" si="8"/>
        <v>8.333333333</v>
      </c>
      <c r="G16" s="202">
        <f t="shared" si="9"/>
        <v>8.333333333</v>
      </c>
      <c r="H16" s="165"/>
      <c r="I16" s="43"/>
      <c r="J16" s="150"/>
      <c r="K16" s="116"/>
      <c r="L16" s="116"/>
      <c r="M16" s="118">
        <f t="shared" si="10"/>
        <v>0</v>
      </c>
      <c r="N16" s="119" t="str">
        <f t="shared" si="11"/>
        <v>#DIV/0!</v>
      </c>
      <c r="O16" s="176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  <c r="AA16" s="179"/>
      <c r="AB16" s="184">
        <v>1.0</v>
      </c>
      <c r="AC16" s="179"/>
      <c r="AD16" s="179"/>
      <c r="AE16" s="179"/>
      <c r="AF16" s="176"/>
      <c r="AG16" s="176"/>
      <c r="AH16" s="176"/>
      <c r="AI16" s="176"/>
      <c r="AJ16" s="168">
        <f t="shared" si="12"/>
        <v>1</v>
      </c>
      <c r="AK16" s="169">
        <f t="shared" si="13"/>
        <v>25</v>
      </c>
      <c r="AL16" s="183"/>
      <c r="AM16" s="179"/>
      <c r="AN16" s="179"/>
      <c r="AO16" s="179"/>
      <c r="AP16" s="179"/>
      <c r="AQ16" s="179"/>
      <c r="AR16" s="179"/>
      <c r="AS16" s="179"/>
      <c r="AT16" s="179"/>
      <c r="AU16" s="179"/>
      <c r="AV16" s="179"/>
      <c r="AW16" s="179"/>
      <c r="AX16" s="179"/>
      <c r="AY16" s="179"/>
      <c r="AZ16" s="179"/>
      <c r="BA16" s="179"/>
      <c r="BB16" s="179"/>
      <c r="BC16" s="204"/>
      <c r="BD16" s="179"/>
      <c r="BE16" s="179"/>
      <c r="BF16" s="179"/>
      <c r="BG16" s="118">
        <f t="shared" si="14"/>
        <v>0</v>
      </c>
      <c r="BH16" s="122">
        <f t="shared" si="15"/>
        <v>0</v>
      </c>
      <c r="BI16" s="176"/>
      <c r="BJ16" s="179"/>
      <c r="BK16" s="179"/>
      <c r="BL16" s="179"/>
      <c r="BM16" s="179"/>
      <c r="BN16" s="179"/>
      <c r="BO16" s="179"/>
      <c r="BP16" s="179"/>
      <c r="BQ16" s="179"/>
      <c r="BR16" s="179"/>
      <c r="BS16" s="179"/>
      <c r="BT16" s="179"/>
      <c r="BU16" s="179"/>
      <c r="BV16" s="179"/>
      <c r="BW16" s="186"/>
      <c r="BX16" s="186"/>
      <c r="BY16" s="116"/>
      <c r="BZ16" s="186"/>
      <c r="CA16" s="186"/>
      <c r="CB16" s="186"/>
      <c r="CC16" s="186"/>
      <c r="CD16" s="186"/>
      <c r="CE16" s="172">
        <f t="shared" si="16"/>
        <v>0</v>
      </c>
      <c r="CF16" s="173">
        <f t="shared" si="17"/>
        <v>0</v>
      </c>
      <c r="CG16" s="199"/>
      <c r="CH16" s="186"/>
      <c r="CI16" s="186"/>
      <c r="CJ16" s="186"/>
      <c r="CK16" s="186"/>
      <c r="CL16" s="186"/>
      <c r="CM16" s="186"/>
      <c r="CN16" s="186"/>
      <c r="CO16" s="186"/>
      <c r="CP16" s="186"/>
      <c r="CQ16" s="186"/>
      <c r="CR16" s="186"/>
      <c r="CS16" s="175">
        <f t="shared" si="18"/>
        <v>0</v>
      </c>
      <c r="CT16" s="158" t="str">
        <f t="shared" si="19"/>
        <v>#DIV/0!</v>
      </c>
    </row>
    <row r="17">
      <c r="A17" s="131">
        <v>8.0</v>
      </c>
      <c r="B17" s="111" t="s">
        <v>66</v>
      </c>
      <c r="C17" s="112" t="s">
        <v>67</v>
      </c>
      <c r="D17" s="91">
        <f t="shared" si="6"/>
        <v>6</v>
      </c>
      <c r="E17" s="113">
        <f t="shared" si="7"/>
        <v>50</v>
      </c>
      <c r="F17" s="114" t="str">
        <f t="shared" si="8"/>
        <v>  </v>
      </c>
      <c r="G17" s="164" t="str">
        <f t="shared" si="9"/>
        <v>  </v>
      </c>
      <c r="H17" s="165"/>
      <c r="I17" s="150"/>
      <c r="J17" s="150"/>
      <c r="K17" s="116"/>
      <c r="L17" s="116"/>
      <c r="M17" s="118">
        <f t="shared" si="10"/>
        <v>0</v>
      </c>
      <c r="N17" s="119" t="str">
        <f t="shared" si="11"/>
        <v>#DIV/0!</v>
      </c>
      <c r="O17" s="206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34">
        <v>1.0</v>
      </c>
      <c r="AC17" s="207"/>
      <c r="AD17" s="234">
        <v>1.0</v>
      </c>
      <c r="AE17" s="207"/>
      <c r="AF17" s="206"/>
      <c r="AG17" s="206"/>
      <c r="AH17" s="206"/>
      <c r="AI17" s="206"/>
      <c r="AJ17" s="168">
        <f t="shared" si="12"/>
        <v>2</v>
      </c>
      <c r="AK17" s="169">
        <f t="shared" si="13"/>
        <v>50</v>
      </c>
      <c r="AL17" s="212"/>
      <c r="AM17" s="207"/>
      <c r="AN17" s="207"/>
      <c r="AO17" s="207"/>
      <c r="AP17" s="234"/>
      <c r="AQ17" s="207"/>
      <c r="AR17" s="207"/>
      <c r="AS17" s="207"/>
      <c r="AT17" s="207"/>
      <c r="AU17" s="207"/>
      <c r="AV17" s="207"/>
      <c r="AW17" s="207"/>
      <c r="AX17" s="207"/>
      <c r="AY17" s="207"/>
      <c r="AZ17" s="207"/>
      <c r="BA17" s="207"/>
      <c r="BB17" s="207"/>
      <c r="BC17" s="204"/>
      <c r="BD17" s="207"/>
      <c r="BE17" s="207"/>
      <c r="BF17" s="207"/>
      <c r="BG17" s="118">
        <f t="shared" si="14"/>
        <v>0</v>
      </c>
      <c r="BH17" s="122">
        <f t="shared" si="15"/>
        <v>0</v>
      </c>
      <c r="BI17" s="206"/>
      <c r="BJ17" s="207"/>
      <c r="BK17" s="207"/>
      <c r="BL17" s="207"/>
      <c r="BM17" s="207"/>
      <c r="BN17" s="207"/>
      <c r="BO17" s="207"/>
      <c r="BP17" s="207"/>
      <c r="BQ17" s="207"/>
      <c r="BR17" s="207"/>
      <c r="BS17" s="207"/>
      <c r="BT17" s="234">
        <v>1.0</v>
      </c>
      <c r="BU17" s="207"/>
      <c r="BV17" s="207"/>
      <c r="BW17" s="186"/>
      <c r="BX17" s="186"/>
      <c r="BY17" s="138">
        <v>1.0</v>
      </c>
      <c r="BZ17" s="186"/>
      <c r="CA17" s="186"/>
      <c r="CB17" s="200">
        <v>1.0</v>
      </c>
      <c r="CC17" s="186"/>
      <c r="CD17" s="200">
        <v>1.0</v>
      </c>
      <c r="CE17" s="172">
        <f t="shared" si="16"/>
        <v>4</v>
      </c>
      <c r="CF17" s="173">
        <f t="shared" si="17"/>
        <v>100</v>
      </c>
      <c r="CG17" s="199"/>
      <c r="CH17" s="186"/>
      <c r="CI17" s="186"/>
      <c r="CJ17" s="186"/>
      <c r="CK17" s="186"/>
      <c r="CL17" s="186"/>
      <c r="CM17" s="186"/>
      <c r="CN17" s="186"/>
      <c r="CO17" s="186"/>
      <c r="CP17" s="186"/>
      <c r="CQ17" s="186"/>
      <c r="CR17" s="186"/>
      <c r="CS17" s="175">
        <f t="shared" si="18"/>
        <v>0</v>
      </c>
      <c r="CT17" s="158" t="str">
        <f t="shared" si="19"/>
        <v>#DIV/0!</v>
      </c>
    </row>
    <row r="18" ht="15.0" customHeight="1">
      <c r="A18" s="146">
        <v>9.0</v>
      </c>
      <c r="B18" s="111" t="s">
        <v>68</v>
      </c>
      <c r="C18" s="112" t="s">
        <v>69</v>
      </c>
      <c r="D18" s="91">
        <f t="shared" si="6"/>
        <v>4</v>
      </c>
      <c r="E18" s="113">
        <f t="shared" si="7"/>
        <v>33.33333333</v>
      </c>
      <c r="F18" s="114">
        <f t="shared" si="8"/>
        <v>33.33333333</v>
      </c>
      <c r="G18" s="164" t="str">
        <f t="shared" si="9"/>
        <v>  </v>
      </c>
      <c r="H18" s="165"/>
      <c r="I18" s="150"/>
      <c r="J18" s="116"/>
      <c r="K18" s="116"/>
      <c r="L18" s="116"/>
      <c r="M18" s="118">
        <f t="shared" si="10"/>
        <v>0</v>
      </c>
      <c r="N18" s="119" t="str">
        <f t="shared" si="11"/>
        <v>#DIV/0!</v>
      </c>
      <c r="O18" s="195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86"/>
      <c r="AD18" s="200">
        <v>1.0</v>
      </c>
      <c r="AE18" s="186"/>
      <c r="AF18" s="195"/>
      <c r="AG18" s="197">
        <v>1.0</v>
      </c>
      <c r="AH18" s="195"/>
      <c r="AI18" s="195"/>
      <c r="AJ18" s="168">
        <f t="shared" si="12"/>
        <v>2</v>
      </c>
      <c r="AK18" s="169">
        <f t="shared" si="13"/>
        <v>50</v>
      </c>
      <c r="AL18" s="199"/>
      <c r="AM18" s="186"/>
      <c r="AN18" s="186"/>
      <c r="AO18" s="186"/>
      <c r="AP18" s="186"/>
      <c r="AQ18" s="186"/>
      <c r="AR18" s="186"/>
      <c r="AS18" s="186"/>
      <c r="AT18" s="186"/>
      <c r="AU18" s="186"/>
      <c r="AV18" s="186"/>
      <c r="AW18" s="186"/>
      <c r="AX18" s="186"/>
      <c r="AY18" s="186"/>
      <c r="AZ18" s="186"/>
      <c r="BA18" s="186"/>
      <c r="BB18" s="186"/>
      <c r="BC18" s="116"/>
      <c r="BD18" s="186"/>
      <c r="BE18" s="186"/>
      <c r="BF18" s="186"/>
      <c r="BG18" s="118">
        <f t="shared" si="14"/>
        <v>0</v>
      </c>
      <c r="BH18" s="122">
        <f t="shared" si="15"/>
        <v>0</v>
      </c>
      <c r="BI18" s="195"/>
      <c r="BJ18" s="186"/>
      <c r="BK18" s="186"/>
      <c r="BL18" s="186"/>
      <c r="BM18" s="186"/>
      <c r="BN18" s="186"/>
      <c r="BO18" s="186"/>
      <c r="BP18" s="186"/>
      <c r="BQ18" s="186"/>
      <c r="BR18" s="186"/>
      <c r="BS18" s="186"/>
      <c r="BT18" s="186"/>
      <c r="BU18" s="186"/>
      <c r="BV18" s="186"/>
      <c r="BW18" s="186"/>
      <c r="BX18" s="186"/>
      <c r="BY18" s="138">
        <v>1.0</v>
      </c>
      <c r="BZ18" s="186"/>
      <c r="CA18" s="186"/>
      <c r="CB18" s="186"/>
      <c r="CC18" s="186"/>
      <c r="CD18" s="200">
        <v>1.0</v>
      </c>
      <c r="CE18" s="172">
        <f t="shared" si="16"/>
        <v>2</v>
      </c>
      <c r="CF18" s="173">
        <f t="shared" si="17"/>
        <v>50</v>
      </c>
      <c r="CG18" s="199"/>
      <c r="CH18" s="186"/>
      <c r="CI18" s="186"/>
      <c r="CJ18" s="186"/>
      <c r="CK18" s="186"/>
      <c r="CL18" s="186"/>
      <c r="CM18" s="186"/>
      <c r="CN18" s="186"/>
      <c r="CO18" s="186"/>
      <c r="CP18" s="186"/>
      <c r="CQ18" s="186"/>
      <c r="CR18" s="186"/>
      <c r="CS18" s="175">
        <f t="shared" si="18"/>
        <v>0</v>
      </c>
      <c r="CT18" s="158" t="str">
        <f t="shared" si="19"/>
        <v>#DIV/0!</v>
      </c>
    </row>
    <row r="19">
      <c r="A19" s="50">
        <v>10.0</v>
      </c>
      <c r="B19" s="111" t="s">
        <v>70</v>
      </c>
      <c r="C19" s="112" t="s">
        <v>71</v>
      </c>
      <c r="D19" s="91">
        <f t="shared" si="6"/>
        <v>11</v>
      </c>
      <c r="E19" s="113">
        <f t="shared" si="7"/>
        <v>91.66666667</v>
      </c>
      <c r="F19" s="92" t="str">
        <f t="shared" si="8"/>
        <v>  </v>
      </c>
      <c r="G19" s="164" t="str">
        <f t="shared" si="9"/>
        <v>  </v>
      </c>
      <c r="H19" s="165"/>
      <c r="I19" s="116"/>
      <c r="J19" s="116"/>
      <c r="K19" s="116"/>
      <c r="L19" s="116"/>
      <c r="M19" s="118">
        <f t="shared" si="10"/>
        <v>0</v>
      </c>
      <c r="N19" s="119" t="str">
        <f t="shared" si="11"/>
        <v>#DIV/0!</v>
      </c>
      <c r="O19" s="176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Z19" s="179"/>
      <c r="AA19" s="179"/>
      <c r="AB19" s="184">
        <v>1.0</v>
      </c>
      <c r="AC19" s="179"/>
      <c r="AD19" s="184">
        <v>1.0</v>
      </c>
      <c r="AE19" s="179"/>
      <c r="AF19" s="176"/>
      <c r="AG19" s="182">
        <v>1.0</v>
      </c>
      <c r="AH19" s="182">
        <v>1.0</v>
      </c>
      <c r="AI19" s="176"/>
      <c r="AJ19" s="168">
        <f t="shared" si="12"/>
        <v>4</v>
      </c>
      <c r="AK19" s="169">
        <f t="shared" si="13"/>
        <v>100</v>
      </c>
      <c r="AL19" s="183"/>
      <c r="AM19" s="179"/>
      <c r="AN19" s="184">
        <v>2.0</v>
      </c>
      <c r="AO19" s="179"/>
      <c r="AP19" s="184"/>
      <c r="AQ19" s="179"/>
      <c r="AR19" s="179"/>
      <c r="AS19" s="184">
        <v>1.0</v>
      </c>
      <c r="AT19" s="179"/>
      <c r="AU19" s="179"/>
      <c r="AV19" s="179"/>
      <c r="AW19" s="179"/>
      <c r="AX19" s="179"/>
      <c r="AY19" s="179"/>
      <c r="AZ19" s="179"/>
      <c r="BA19" s="179"/>
      <c r="BB19" s="179"/>
      <c r="BC19" s="138">
        <v>1.0</v>
      </c>
      <c r="BD19" s="179"/>
      <c r="BE19" s="179"/>
      <c r="BF19" s="179"/>
      <c r="BG19" s="118">
        <f t="shared" si="14"/>
        <v>4</v>
      </c>
      <c r="BH19" s="122">
        <f t="shared" si="15"/>
        <v>100</v>
      </c>
      <c r="BI19" s="176"/>
      <c r="BJ19" s="179"/>
      <c r="BK19" s="179"/>
      <c r="BL19" s="179"/>
      <c r="BM19" s="179"/>
      <c r="BN19" s="179"/>
      <c r="BO19" s="179"/>
      <c r="BP19" s="179"/>
      <c r="BQ19" s="179"/>
      <c r="BR19" s="179"/>
      <c r="BS19" s="179"/>
      <c r="BT19" s="184">
        <v>1.0</v>
      </c>
      <c r="BU19" s="179"/>
      <c r="BV19" s="179"/>
      <c r="BW19" s="186"/>
      <c r="BX19" s="186"/>
      <c r="BY19" s="138">
        <v>1.0</v>
      </c>
      <c r="BZ19" s="186"/>
      <c r="CA19" s="186"/>
      <c r="CB19" s="186"/>
      <c r="CC19" s="186"/>
      <c r="CD19" s="200">
        <v>1.0</v>
      </c>
      <c r="CE19" s="172">
        <f t="shared" si="16"/>
        <v>3</v>
      </c>
      <c r="CF19" s="173">
        <f t="shared" si="17"/>
        <v>75</v>
      </c>
      <c r="CG19" s="199"/>
      <c r="CH19" s="186"/>
      <c r="CI19" s="186"/>
      <c r="CJ19" s="186"/>
      <c r="CK19" s="186"/>
      <c r="CL19" s="186"/>
      <c r="CM19" s="186"/>
      <c r="CN19" s="186"/>
      <c r="CO19" s="186"/>
      <c r="CP19" s="186"/>
      <c r="CQ19" s="186"/>
      <c r="CR19" s="186"/>
      <c r="CS19" s="175">
        <f t="shared" si="18"/>
        <v>0</v>
      </c>
      <c r="CT19" s="158" t="str">
        <f t="shared" si="19"/>
        <v>#DIV/0!</v>
      </c>
    </row>
    <row r="20">
      <c r="A20" s="131">
        <v>11.0</v>
      </c>
      <c r="B20" s="111" t="s">
        <v>72</v>
      </c>
      <c r="C20" s="112" t="s">
        <v>73</v>
      </c>
      <c r="D20" s="91">
        <f t="shared" si="6"/>
        <v>8</v>
      </c>
      <c r="E20" s="113">
        <f t="shared" si="7"/>
        <v>66.66666667</v>
      </c>
      <c r="F20" s="92" t="str">
        <f t="shared" si="8"/>
        <v>  </v>
      </c>
      <c r="G20" s="164" t="str">
        <f t="shared" si="9"/>
        <v>  </v>
      </c>
      <c r="H20" s="165"/>
      <c r="I20" s="116"/>
      <c r="J20" s="43"/>
      <c r="K20" s="116"/>
      <c r="L20" s="116"/>
      <c r="M20" s="118">
        <f t="shared" si="10"/>
        <v>0</v>
      </c>
      <c r="N20" s="119" t="str">
        <f t="shared" si="11"/>
        <v>#DIV/0!</v>
      </c>
      <c r="O20" s="195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86"/>
      <c r="AA20" s="186"/>
      <c r="AB20" s="200">
        <v>1.0</v>
      </c>
      <c r="AC20" s="186"/>
      <c r="AD20" s="200">
        <v>1.0</v>
      </c>
      <c r="AE20" s="186"/>
      <c r="AF20" s="195"/>
      <c r="AG20" s="197">
        <v>1.0</v>
      </c>
      <c r="AH20" s="195"/>
      <c r="AI20" s="195"/>
      <c r="AJ20" s="168">
        <f t="shared" si="12"/>
        <v>3</v>
      </c>
      <c r="AK20" s="169">
        <f t="shared" si="13"/>
        <v>75</v>
      </c>
      <c r="AL20" s="199"/>
      <c r="AM20" s="186"/>
      <c r="AN20" s="186"/>
      <c r="AO20" s="186"/>
      <c r="AP20" s="186"/>
      <c r="AQ20" s="186"/>
      <c r="AR20" s="186"/>
      <c r="AS20" s="200">
        <v>1.0</v>
      </c>
      <c r="AT20" s="186"/>
      <c r="AU20" s="186"/>
      <c r="AV20" s="186"/>
      <c r="AW20" s="186"/>
      <c r="AX20" s="186"/>
      <c r="AY20" s="186"/>
      <c r="AZ20" s="186"/>
      <c r="BA20" s="186"/>
      <c r="BB20" s="186"/>
      <c r="BC20" s="138">
        <v>1.0</v>
      </c>
      <c r="BD20" s="186"/>
      <c r="BE20" s="186"/>
      <c r="BF20" s="186"/>
      <c r="BG20" s="118">
        <f t="shared" si="14"/>
        <v>2</v>
      </c>
      <c r="BH20" s="122">
        <f t="shared" si="15"/>
        <v>50</v>
      </c>
      <c r="BI20" s="195"/>
      <c r="BJ20" s="186"/>
      <c r="BK20" s="186"/>
      <c r="BL20" s="186"/>
      <c r="BM20" s="186"/>
      <c r="BN20" s="186"/>
      <c r="BO20" s="186"/>
      <c r="BP20" s="186"/>
      <c r="BQ20" s="186"/>
      <c r="BR20" s="186"/>
      <c r="BS20" s="186"/>
      <c r="BT20" s="200">
        <v>1.0</v>
      </c>
      <c r="BU20" s="186"/>
      <c r="BV20" s="186"/>
      <c r="BW20" s="186"/>
      <c r="BX20" s="186"/>
      <c r="BY20" s="138">
        <v>1.0</v>
      </c>
      <c r="BZ20" s="186"/>
      <c r="CA20" s="186"/>
      <c r="CB20" s="186"/>
      <c r="CC20" s="186"/>
      <c r="CD20" s="200">
        <v>1.0</v>
      </c>
      <c r="CE20" s="172">
        <f t="shared" si="16"/>
        <v>3</v>
      </c>
      <c r="CF20" s="173">
        <f t="shared" si="17"/>
        <v>75</v>
      </c>
      <c r="CG20" s="199"/>
      <c r="CH20" s="186"/>
      <c r="CI20" s="186"/>
      <c r="CJ20" s="186"/>
      <c r="CK20" s="186"/>
      <c r="CL20" s="186"/>
      <c r="CM20" s="186"/>
      <c r="CN20" s="186"/>
      <c r="CO20" s="186"/>
      <c r="CP20" s="186"/>
      <c r="CQ20" s="186"/>
      <c r="CR20" s="186"/>
      <c r="CS20" s="175">
        <f t="shared" si="18"/>
        <v>0</v>
      </c>
      <c r="CT20" s="158" t="str">
        <f t="shared" si="19"/>
        <v>#DIV/0!</v>
      </c>
    </row>
    <row r="21" ht="15.75" customHeight="1">
      <c r="A21" s="146">
        <v>12.0</v>
      </c>
      <c r="B21" s="111" t="s">
        <v>74</v>
      </c>
      <c r="C21" s="112" t="s">
        <v>75</v>
      </c>
      <c r="D21" s="91">
        <f t="shared" si="6"/>
        <v>4</v>
      </c>
      <c r="E21" s="113">
        <f t="shared" si="7"/>
        <v>33.33333333</v>
      </c>
      <c r="F21" s="114">
        <f t="shared" si="8"/>
        <v>33.33333333</v>
      </c>
      <c r="G21" s="164" t="str">
        <f t="shared" si="9"/>
        <v>  </v>
      </c>
      <c r="H21" s="165"/>
      <c r="I21" s="116"/>
      <c r="J21" s="116"/>
      <c r="K21" s="150"/>
      <c r="L21" s="150"/>
      <c r="M21" s="118">
        <f t="shared" si="10"/>
        <v>0</v>
      </c>
      <c r="N21" s="119" t="str">
        <f t="shared" si="11"/>
        <v>#DIV/0!</v>
      </c>
      <c r="O21" s="176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  <c r="AA21" s="179"/>
      <c r="AB21" s="184">
        <v>1.0</v>
      </c>
      <c r="AC21" s="179"/>
      <c r="AD21" s="179"/>
      <c r="AE21" s="179"/>
      <c r="AF21" s="176"/>
      <c r="AG21" s="182">
        <v>1.0</v>
      </c>
      <c r="AH21" s="176"/>
      <c r="AI21" s="176"/>
      <c r="AJ21" s="168">
        <f t="shared" si="12"/>
        <v>2</v>
      </c>
      <c r="AK21" s="169">
        <f t="shared" si="13"/>
        <v>50</v>
      </c>
      <c r="AL21" s="183"/>
      <c r="AM21" s="179"/>
      <c r="AN21" s="179"/>
      <c r="AO21" s="179"/>
      <c r="AP21" s="179"/>
      <c r="AQ21" s="179"/>
      <c r="AR21" s="179"/>
      <c r="AS21" s="179"/>
      <c r="AT21" s="179"/>
      <c r="AU21" s="179"/>
      <c r="AV21" s="179"/>
      <c r="AW21" s="179"/>
      <c r="AX21" s="179"/>
      <c r="AY21" s="179"/>
      <c r="AZ21" s="179"/>
      <c r="BA21" s="179"/>
      <c r="BB21" s="179"/>
      <c r="BC21" s="204"/>
      <c r="BD21" s="179"/>
      <c r="BE21" s="179"/>
      <c r="BF21" s="179"/>
      <c r="BG21" s="118">
        <f t="shared" si="14"/>
        <v>0</v>
      </c>
      <c r="BH21" s="122">
        <f t="shared" si="15"/>
        <v>0</v>
      </c>
      <c r="BI21" s="176"/>
      <c r="BJ21" s="179"/>
      <c r="BK21" s="179"/>
      <c r="BL21" s="179"/>
      <c r="BM21" s="179"/>
      <c r="BN21" s="179"/>
      <c r="BO21" s="179"/>
      <c r="BP21" s="179"/>
      <c r="BQ21" s="179"/>
      <c r="BR21" s="179"/>
      <c r="BS21" s="179"/>
      <c r="BT21" s="179"/>
      <c r="BU21" s="179"/>
      <c r="BV21" s="179"/>
      <c r="BW21" s="186"/>
      <c r="BX21" s="186"/>
      <c r="BY21" s="138">
        <v>1.0</v>
      </c>
      <c r="BZ21" s="186"/>
      <c r="CA21" s="186"/>
      <c r="CB21" s="186"/>
      <c r="CC21" s="186"/>
      <c r="CD21" s="200">
        <v>1.0</v>
      </c>
      <c r="CE21" s="172">
        <f t="shared" si="16"/>
        <v>2</v>
      </c>
      <c r="CF21" s="173">
        <f t="shared" si="17"/>
        <v>50</v>
      </c>
      <c r="CG21" s="199"/>
      <c r="CH21" s="186"/>
      <c r="CI21" s="186"/>
      <c r="CJ21" s="186"/>
      <c r="CK21" s="186"/>
      <c r="CL21" s="186"/>
      <c r="CM21" s="186"/>
      <c r="CN21" s="186"/>
      <c r="CO21" s="186"/>
      <c r="CP21" s="186"/>
      <c r="CQ21" s="186"/>
      <c r="CR21" s="186"/>
      <c r="CS21" s="175">
        <f t="shared" si="18"/>
        <v>0</v>
      </c>
      <c r="CT21" s="158" t="str">
        <f t="shared" si="19"/>
        <v>#DIV/0!</v>
      </c>
    </row>
    <row r="22" ht="15.75" customHeight="1">
      <c r="A22" s="50">
        <v>13.0</v>
      </c>
      <c r="B22" s="111" t="s">
        <v>76</v>
      </c>
      <c r="C22" s="112" t="s">
        <v>77</v>
      </c>
      <c r="D22" s="91">
        <f t="shared" si="6"/>
        <v>5</v>
      </c>
      <c r="E22" s="113">
        <f t="shared" si="7"/>
        <v>41.66666667</v>
      </c>
      <c r="F22" s="114">
        <f t="shared" si="8"/>
        <v>41.66666667</v>
      </c>
      <c r="G22" s="164" t="str">
        <f t="shared" si="9"/>
        <v>  </v>
      </c>
      <c r="H22" s="192"/>
      <c r="I22" s="116"/>
      <c r="J22" s="116"/>
      <c r="K22" s="116"/>
      <c r="L22" s="116"/>
      <c r="M22" s="118">
        <f t="shared" si="10"/>
        <v>0</v>
      </c>
      <c r="N22" s="119" t="str">
        <f t="shared" si="11"/>
        <v>#DIV/0!</v>
      </c>
      <c r="O22" s="176"/>
      <c r="P22" s="179"/>
      <c r="Q22" s="179"/>
      <c r="R22" s="179"/>
      <c r="S22" s="179"/>
      <c r="T22" s="179"/>
      <c r="U22" s="179"/>
      <c r="V22" s="179"/>
      <c r="W22" s="179"/>
      <c r="X22" s="179"/>
      <c r="Y22" s="179"/>
      <c r="Z22" s="179"/>
      <c r="AA22" s="179"/>
      <c r="AB22" s="179"/>
      <c r="AC22" s="179"/>
      <c r="AD22" s="184">
        <v>1.0</v>
      </c>
      <c r="AE22" s="179"/>
      <c r="AF22" s="176"/>
      <c r="AG22" s="182">
        <v>1.0</v>
      </c>
      <c r="AH22" s="176"/>
      <c r="AI22" s="176"/>
      <c r="AJ22" s="168">
        <f t="shared" si="12"/>
        <v>2</v>
      </c>
      <c r="AK22" s="169">
        <f t="shared" si="13"/>
        <v>50</v>
      </c>
      <c r="AL22" s="183"/>
      <c r="AM22" s="179"/>
      <c r="AN22" s="179"/>
      <c r="AO22" s="179"/>
      <c r="AP22" s="179"/>
      <c r="AQ22" s="179"/>
      <c r="AR22" s="179"/>
      <c r="AS22" s="179"/>
      <c r="AT22" s="179"/>
      <c r="AU22" s="179"/>
      <c r="AV22" s="179"/>
      <c r="AW22" s="179"/>
      <c r="AX22" s="179"/>
      <c r="AY22" s="179"/>
      <c r="AZ22" s="179"/>
      <c r="BA22" s="179"/>
      <c r="BB22" s="179"/>
      <c r="BC22" s="204"/>
      <c r="BD22" s="179"/>
      <c r="BE22" s="179"/>
      <c r="BF22" s="179"/>
      <c r="BG22" s="118">
        <f t="shared" si="14"/>
        <v>0</v>
      </c>
      <c r="BH22" s="122">
        <f t="shared" si="15"/>
        <v>0</v>
      </c>
      <c r="BI22" s="176"/>
      <c r="BJ22" s="179"/>
      <c r="BK22" s="179"/>
      <c r="BL22" s="179"/>
      <c r="BM22" s="179"/>
      <c r="BN22" s="179"/>
      <c r="BO22" s="179"/>
      <c r="BP22" s="179"/>
      <c r="BQ22" s="179"/>
      <c r="BR22" s="179"/>
      <c r="BS22" s="179"/>
      <c r="BT22" s="184">
        <v>1.0</v>
      </c>
      <c r="BU22" s="179"/>
      <c r="BV22" s="179"/>
      <c r="BW22" s="186"/>
      <c r="BX22" s="186"/>
      <c r="BY22" s="138">
        <v>1.0</v>
      </c>
      <c r="BZ22" s="186"/>
      <c r="CA22" s="186"/>
      <c r="CB22" s="186"/>
      <c r="CC22" s="186"/>
      <c r="CD22" s="200">
        <v>1.0</v>
      </c>
      <c r="CE22" s="172">
        <f t="shared" si="16"/>
        <v>3</v>
      </c>
      <c r="CF22" s="173">
        <f t="shared" si="17"/>
        <v>75</v>
      </c>
      <c r="CG22" s="199"/>
      <c r="CH22" s="186"/>
      <c r="CI22" s="186"/>
      <c r="CJ22" s="186"/>
      <c r="CK22" s="186"/>
      <c r="CL22" s="186"/>
      <c r="CM22" s="186"/>
      <c r="CN22" s="186"/>
      <c r="CO22" s="186"/>
      <c r="CP22" s="186"/>
      <c r="CQ22" s="186"/>
      <c r="CR22" s="186"/>
      <c r="CS22" s="175">
        <f t="shared" si="18"/>
        <v>0</v>
      </c>
      <c r="CT22" s="158" t="str">
        <f t="shared" si="19"/>
        <v>#DIV/0!</v>
      </c>
    </row>
    <row r="23" ht="15.75" customHeight="1">
      <c r="A23" s="131">
        <v>14.0</v>
      </c>
      <c r="B23" s="111" t="s">
        <v>78</v>
      </c>
      <c r="C23" s="112" t="s">
        <v>79</v>
      </c>
      <c r="D23" s="91">
        <f t="shared" si="6"/>
        <v>6</v>
      </c>
      <c r="E23" s="113">
        <f t="shared" si="7"/>
        <v>50</v>
      </c>
      <c r="F23" s="114" t="str">
        <f t="shared" si="8"/>
        <v>  </v>
      </c>
      <c r="G23" s="202" t="str">
        <f t="shared" si="9"/>
        <v>  </v>
      </c>
      <c r="H23" s="165"/>
      <c r="I23" s="150"/>
      <c r="J23" s="116"/>
      <c r="K23" s="116"/>
      <c r="L23" s="116"/>
      <c r="M23" s="118">
        <f t="shared" si="10"/>
        <v>0</v>
      </c>
      <c r="N23" s="119" t="str">
        <f t="shared" si="11"/>
        <v>#DIV/0!</v>
      </c>
      <c r="O23" s="176"/>
      <c r="P23" s="179"/>
      <c r="Q23" s="179"/>
      <c r="R23" s="179"/>
      <c r="S23" s="179"/>
      <c r="T23" s="179"/>
      <c r="U23" s="179"/>
      <c r="V23" s="179"/>
      <c r="W23" s="179"/>
      <c r="X23" s="179"/>
      <c r="Y23" s="179"/>
      <c r="Z23" s="179"/>
      <c r="AA23" s="179"/>
      <c r="AB23" s="184">
        <v>1.0</v>
      </c>
      <c r="AC23" s="179"/>
      <c r="AD23" s="184">
        <v>1.0</v>
      </c>
      <c r="AE23" s="179"/>
      <c r="AF23" s="176"/>
      <c r="AG23" s="182">
        <v>1.0</v>
      </c>
      <c r="AH23" s="176"/>
      <c r="AI23" s="176"/>
      <c r="AJ23" s="168">
        <f t="shared" si="12"/>
        <v>3</v>
      </c>
      <c r="AK23" s="169">
        <f t="shared" si="13"/>
        <v>75</v>
      </c>
      <c r="AL23" s="183"/>
      <c r="AM23" s="179"/>
      <c r="AN23" s="179"/>
      <c r="AO23" s="179"/>
      <c r="AP23" s="179"/>
      <c r="AQ23" s="179"/>
      <c r="AR23" s="179"/>
      <c r="AS23" s="179"/>
      <c r="AT23" s="179"/>
      <c r="AU23" s="179"/>
      <c r="AV23" s="179"/>
      <c r="AW23" s="179"/>
      <c r="AX23" s="179"/>
      <c r="AY23" s="179"/>
      <c r="AZ23" s="179"/>
      <c r="BA23" s="179"/>
      <c r="BB23" s="179"/>
      <c r="BC23" s="241">
        <v>1.0</v>
      </c>
      <c r="BD23" s="179"/>
      <c r="BE23" s="179"/>
      <c r="BF23" s="179"/>
      <c r="BG23" s="118">
        <f t="shared" si="14"/>
        <v>1</v>
      </c>
      <c r="BH23" s="122">
        <f t="shared" si="15"/>
        <v>25</v>
      </c>
      <c r="BI23" s="176"/>
      <c r="BJ23" s="179"/>
      <c r="BK23" s="179"/>
      <c r="BL23" s="179"/>
      <c r="BM23" s="179"/>
      <c r="BN23" s="179"/>
      <c r="BO23" s="179"/>
      <c r="BP23" s="179"/>
      <c r="BQ23" s="179"/>
      <c r="BR23" s="179"/>
      <c r="BS23" s="179"/>
      <c r="BT23" s="179"/>
      <c r="BU23" s="179"/>
      <c r="BV23" s="179"/>
      <c r="BW23" s="186"/>
      <c r="BX23" s="186"/>
      <c r="BY23" s="138">
        <v>1.0</v>
      </c>
      <c r="BZ23" s="186"/>
      <c r="CA23" s="186"/>
      <c r="CB23" s="186"/>
      <c r="CC23" s="186"/>
      <c r="CD23" s="200">
        <v>1.0</v>
      </c>
      <c r="CE23" s="172">
        <f t="shared" si="16"/>
        <v>2</v>
      </c>
      <c r="CF23" s="173">
        <f t="shared" si="17"/>
        <v>50</v>
      </c>
      <c r="CG23" s="199"/>
      <c r="CH23" s="186"/>
      <c r="CI23" s="186"/>
      <c r="CJ23" s="186"/>
      <c r="CK23" s="186"/>
      <c r="CL23" s="186"/>
      <c r="CM23" s="186"/>
      <c r="CN23" s="186"/>
      <c r="CO23" s="186"/>
      <c r="CP23" s="186"/>
      <c r="CQ23" s="186"/>
      <c r="CR23" s="186"/>
      <c r="CS23" s="175">
        <f t="shared" si="18"/>
        <v>0</v>
      </c>
      <c r="CT23" s="158" t="str">
        <f t="shared" si="19"/>
        <v>#DIV/0!</v>
      </c>
    </row>
    <row r="24" ht="15.75" customHeight="1">
      <c r="A24" s="146">
        <v>15.0</v>
      </c>
      <c r="B24" s="111" t="s">
        <v>80</v>
      </c>
      <c r="C24" s="112" t="s">
        <v>81</v>
      </c>
      <c r="D24" s="91">
        <f t="shared" si="6"/>
        <v>3</v>
      </c>
      <c r="E24" s="113">
        <f t="shared" si="7"/>
        <v>25</v>
      </c>
      <c r="F24" s="114">
        <f t="shared" si="8"/>
        <v>25</v>
      </c>
      <c r="G24" s="202">
        <f t="shared" si="9"/>
        <v>25</v>
      </c>
      <c r="H24" s="165"/>
      <c r="I24" s="116"/>
      <c r="J24" s="116"/>
      <c r="K24" s="150"/>
      <c r="L24" s="150"/>
      <c r="M24" s="118">
        <f t="shared" si="10"/>
        <v>0</v>
      </c>
      <c r="N24" s="119" t="str">
        <f t="shared" si="11"/>
        <v>#DIV/0!</v>
      </c>
      <c r="O24" s="176"/>
      <c r="P24" s="179"/>
      <c r="Q24" s="179"/>
      <c r="R24" s="179"/>
      <c r="S24" s="179"/>
      <c r="T24" s="179"/>
      <c r="U24" s="179"/>
      <c r="V24" s="179"/>
      <c r="W24" s="179"/>
      <c r="X24" s="179"/>
      <c r="Y24" s="179"/>
      <c r="Z24" s="179"/>
      <c r="AA24" s="179"/>
      <c r="AB24" s="184">
        <v>1.0</v>
      </c>
      <c r="AC24" s="179"/>
      <c r="AD24" s="179"/>
      <c r="AE24" s="179"/>
      <c r="AF24" s="176"/>
      <c r="AG24" s="176"/>
      <c r="AH24" s="176"/>
      <c r="AI24" s="176"/>
      <c r="AJ24" s="168">
        <f t="shared" si="12"/>
        <v>1</v>
      </c>
      <c r="AK24" s="169">
        <f t="shared" si="13"/>
        <v>25</v>
      </c>
      <c r="AL24" s="183"/>
      <c r="AM24" s="179"/>
      <c r="AN24" s="179"/>
      <c r="AO24" s="179"/>
      <c r="AP24" s="179"/>
      <c r="AQ24" s="179"/>
      <c r="AR24" s="179"/>
      <c r="AS24" s="179"/>
      <c r="AT24" s="179"/>
      <c r="AU24" s="179"/>
      <c r="AV24" s="179"/>
      <c r="AW24" s="179"/>
      <c r="AX24" s="179"/>
      <c r="AY24" s="179"/>
      <c r="AZ24" s="179"/>
      <c r="BA24" s="179"/>
      <c r="BB24" s="179"/>
      <c r="BC24" s="204"/>
      <c r="BD24" s="179"/>
      <c r="BE24" s="179"/>
      <c r="BF24" s="179"/>
      <c r="BG24" s="118">
        <f t="shared" si="14"/>
        <v>0</v>
      </c>
      <c r="BH24" s="122">
        <f t="shared" si="15"/>
        <v>0</v>
      </c>
      <c r="BI24" s="176"/>
      <c r="BJ24" s="179"/>
      <c r="BK24" s="179"/>
      <c r="BL24" s="179"/>
      <c r="BM24" s="179"/>
      <c r="BN24" s="179"/>
      <c r="BO24" s="179"/>
      <c r="BP24" s="179"/>
      <c r="BQ24" s="179"/>
      <c r="BR24" s="179"/>
      <c r="BS24" s="179"/>
      <c r="BT24" s="179"/>
      <c r="BU24" s="179"/>
      <c r="BV24" s="179"/>
      <c r="BW24" s="186"/>
      <c r="BX24" s="186"/>
      <c r="BY24" s="138">
        <v>1.0</v>
      </c>
      <c r="BZ24" s="186"/>
      <c r="CA24" s="186"/>
      <c r="CB24" s="186"/>
      <c r="CC24" s="186"/>
      <c r="CD24" s="200">
        <v>1.0</v>
      </c>
      <c r="CE24" s="172">
        <f t="shared" si="16"/>
        <v>2</v>
      </c>
      <c r="CF24" s="173">
        <f t="shared" si="17"/>
        <v>50</v>
      </c>
      <c r="CG24" s="199"/>
      <c r="CH24" s="186"/>
      <c r="CI24" s="186"/>
      <c r="CJ24" s="186"/>
      <c r="CK24" s="186"/>
      <c r="CL24" s="186"/>
      <c r="CM24" s="186"/>
      <c r="CN24" s="186"/>
      <c r="CO24" s="186"/>
      <c r="CP24" s="186"/>
      <c r="CQ24" s="186"/>
      <c r="CR24" s="186"/>
      <c r="CS24" s="175">
        <f t="shared" si="18"/>
        <v>0</v>
      </c>
      <c r="CT24" s="158" t="str">
        <f t="shared" si="19"/>
        <v>#DIV/0!</v>
      </c>
    </row>
    <row r="25" ht="15.75" customHeight="1">
      <c r="A25" s="50">
        <v>16.0</v>
      </c>
      <c r="B25" s="111" t="s">
        <v>82</v>
      </c>
      <c r="C25" s="112" t="s">
        <v>83</v>
      </c>
      <c r="D25" s="91">
        <f t="shared" si="6"/>
        <v>4</v>
      </c>
      <c r="E25" s="113">
        <f t="shared" si="7"/>
        <v>33.33333333</v>
      </c>
      <c r="F25" s="114">
        <f t="shared" si="8"/>
        <v>33.33333333</v>
      </c>
      <c r="G25" s="164" t="str">
        <f t="shared" si="9"/>
        <v>  </v>
      </c>
      <c r="H25" s="165"/>
      <c r="I25" s="150"/>
      <c r="J25" s="150"/>
      <c r="K25" s="116"/>
      <c r="L25" s="116"/>
      <c r="M25" s="118">
        <f t="shared" si="10"/>
        <v>0</v>
      </c>
      <c r="N25" s="119" t="str">
        <f t="shared" si="11"/>
        <v>#DIV/0!</v>
      </c>
      <c r="O25" s="176"/>
      <c r="P25" s="179"/>
      <c r="Q25" s="179"/>
      <c r="R25" s="179"/>
      <c r="S25" s="179"/>
      <c r="T25" s="179"/>
      <c r="U25" s="179"/>
      <c r="V25" s="179"/>
      <c r="W25" s="179"/>
      <c r="X25" s="179"/>
      <c r="Y25" s="179"/>
      <c r="Z25" s="179"/>
      <c r="AA25" s="179"/>
      <c r="AB25" s="179"/>
      <c r="AC25" s="179"/>
      <c r="AD25" s="184">
        <v>1.0</v>
      </c>
      <c r="AE25" s="179"/>
      <c r="AF25" s="176"/>
      <c r="AG25" s="182">
        <v>1.0</v>
      </c>
      <c r="AH25" s="176"/>
      <c r="AI25" s="176"/>
      <c r="AJ25" s="168">
        <f t="shared" si="12"/>
        <v>2</v>
      </c>
      <c r="AK25" s="169">
        <f t="shared" si="13"/>
        <v>50</v>
      </c>
      <c r="AL25" s="183"/>
      <c r="AM25" s="179"/>
      <c r="AN25" s="179"/>
      <c r="AO25" s="179"/>
      <c r="AP25" s="179"/>
      <c r="AQ25" s="179"/>
      <c r="AR25" s="179"/>
      <c r="AS25" s="179"/>
      <c r="AT25" s="179"/>
      <c r="AU25" s="179"/>
      <c r="AV25" s="179"/>
      <c r="AW25" s="179"/>
      <c r="AX25" s="179"/>
      <c r="AY25" s="179"/>
      <c r="AZ25" s="179"/>
      <c r="BA25" s="179"/>
      <c r="BB25" s="179"/>
      <c r="BC25" s="116"/>
      <c r="BD25" s="179"/>
      <c r="BE25" s="179"/>
      <c r="BF25" s="179"/>
      <c r="BG25" s="118">
        <f t="shared" si="14"/>
        <v>0</v>
      </c>
      <c r="BH25" s="122">
        <f t="shared" si="15"/>
        <v>0</v>
      </c>
      <c r="BI25" s="176"/>
      <c r="BJ25" s="179"/>
      <c r="BK25" s="179"/>
      <c r="BL25" s="179"/>
      <c r="BM25" s="179"/>
      <c r="BN25" s="179"/>
      <c r="BO25" s="179"/>
      <c r="BP25" s="179"/>
      <c r="BQ25" s="179"/>
      <c r="BR25" s="179"/>
      <c r="BS25" s="179"/>
      <c r="BT25" s="179"/>
      <c r="BU25" s="179"/>
      <c r="BV25" s="179"/>
      <c r="BW25" s="186"/>
      <c r="BX25" s="186"/>
      <c r="BY25" s="138">
        <v>1.0</v>
      </c>
      <c r="BZ25" s="186"/>
      <c r="CA25" s="186"/>
      <c r="CB25" s="186"/>
      <c r="CC25" s="186"/>
      <c r="CD25" s="200">
        <v>1.0</v>
      </c>
      <c r="CE25" s="172">
        <f t="shared" si="16"/>
        <v>2</v>
      </c>
      <c r="CF25" s="173">
        <f t="shared" si="17"/>
        <v>50</v>
      </c>
      <c r="CG25" s="199"/>
      <c r="CH25" s="186"/>
      <c r="CI25" s="186"/>
      <c r="CJ25" s="186"/>
      <c r="CK25" s="186"/>
      <c r="CL25" s="186"/>
      <c r="CM25" s="186"/>
      <c r="CN25" s="186"/>
      <c r="CO25" s="186"/>
      <c r="CP25" s="186"/>
      <c r="CQ25" s="186"/>
      <c r="CR25" s="186"/>
      <c r="CS25" s="175">
        <f t="shared" si="18"/>
        <v>0</v>
      </c>
      <c r="CT25" s="158" t="str">
        <f t="shared" si="19"/>
        <v>#DIV/0!</v>
      </c>
    </row>
    <row r="26" ht="15.75" customHeight="1">
      <c r="A26" s="131">
        <v>17.0</v>
      </c>
      <c r="B26" s="111" t="s">
        <v>84</v>
      </c>
      <c r="C26" s="112" t="s">
        <v>85</v>
      </c>
      <c r="D26" s="91">
        <f t="shared" si="6"/>
        <v>10</v>
      </c>
      <c r="E26" s="113">
        <f t="shared" si="7"/>
        <v>83.33333333</v>
      </c>
      <c r="F26" s="92" t="str">
        <f t="shared" si="8"/>
        <v>  </v>
      </c>
      <c r="G26" s="164" t="str">
        <f t="shared" si="9"/>
        <v>  </v>
      </c>
      <c r="H26" s="165"/>
      <c r="I26" s="150"/>
      <c r="J26" s="116"/>
      <c r="K26" s="116"/>
      <c r="L26" s="116"/>
      <c r="M26" s="118">
        <f t="shared" si="10"/>
        <v>0</v>
      </c>
      <c r="N26" s="119" t="str">
        <f t="shared" si="11"/>
        <v>#DIV/0!</v>
      </c>
      <c r="O26" s="227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  <c r="AB26" s="233">
        <v>1.0</v>
      </c>
      <c r="AC26" s="228"/>
      <c r="AD26" s="233">
        <v>1.0</v>
      </c>
      <c r="AE26" s="228"/>
      <c r="AF26" s="227"/>
      <c r="AG26" s="229">
        <v>1.0</v>
      </c>
      <c r="AH26" s="229">
        <v>1.0</v>
      </c>
      <c r="AI26" s="227"/>
      <c r="AJ26" s="168">
        <f t="shared" si="12"/>
        <v>4</v>
      </c>
      <c r="AK26" s="169">
        <f t="shared" si="13"/>
        <v>100</v>
      </c>
      <c r="AL26" s="232"/>
      <c r="AM26" s="228"/>
      <c r="AN26" s="228"/>
      <c r="AO26" s="228"/>
      <c r="AP26" s="228"/>
      <c r="AQ26" s="228"/>
      <c r="AR26" s="228"/>
      <c r="AS26" s="233">
        <v>1.0</v>
      </c>
      <c r="AT26" s="228"/>
      <c r="AU26" s="228"/>
      <c r="AV26" s="228"/>
      <c r="AW26" s="228"/>
      <c r="AX26" s="228"/>
      <c r="AY26" s="228"/>
      <c r="AZ26" s="228"/>
      <c r="BA26" s="228"/>
      <c r="BB26" s="228"/>
      <c r="BC26" s="218">
        <v>1.0</v>
      </c>
      <c r="BD26" s="228"/>
      <c r="BE26" s="228"/>
      <c r="BF26" s="228"/>
      <c r="BG26" s="118">
        <f t="shared" si="14"/>
        <v>2</v>
      </c>
      <c r="BH26" s="122">
        <f t="shared" si="15"/>
        <v>50</v>
      </c>
      <c r="BI26" s="227"/>
      <c r="BJ26" s="228"/>
      <c r="BK26" s="228"/>
      <c r="BL26" s="228"/>
      <c r="BM26" s="228"/>
      <c r="BN26" s="228"/>
      <c r="BO26" s="228"/>
      <c r="BP26" s="228"/>
      <c r="BQ26" s="228"/>
      <c r="BR26" s="228"/>
      <c r="BS26" s="228"/>
      <c r="BT26" s="233">
        <v>1.0</v>
      </c>
      <c r="BU26" s="228"/>
      <c r="BV26" s="228"/>
      <c r="BW26" s="186"/>
      <c r="BX26" s="186"/>
      <c r="BY26" s="138">
        <v>1.0</v>
      </c>
      <c r="BZ26" s="186"/>
      <c r="CA26" s="186"/>
      <c r="CB26" s="200">
        <v>1.0</v>
      </c>
      <c r="CC26" s="186"/>
      <c r="CD26" s="200">
        <v>1.0</v>
      </c>
      <c r="CE26" s="172">
        <f t="shared" si="16"/>
        <v>4</v>
      </c>
      <c r="CF26" s="173">
        <f t="shared" si="17"/>
        <v>100</v>
      </c>
      <c r="CG26" s="199"/>
      <c r="CH26" s="186"/>
      <c r="CI26" s="186"/>
      <c r="CJ26" s="186"/>
      <c r="CK26" s="186"/>
      <c r="CL26" s="186"/>
      <c r="CM26" s="186"/>
      <c r="CN26" s="186"/>
      <c r="CO26" s="186"/>
      <c r="CP26" s="186"/>
      <c r="CQ26" s="186"/>
      <c r="CR26" s="186"/>
      <c r="CS26" s="175">
        <f t="shared" si="18"/>
        <v>0</v>
      </c>
      <c r="CT26" s="158" t="str">
        <f t="shared" si="19"/>
        <v>#DIV/0!</v>
      </c>
    </row>
    <row r="27" ht="15.75" customHeight="1">
      <c r="A27" s="146">
        <v>18.0</v>
      </c>
      <c r="B27" s="111" t="s">
        <v>86</v>
      </c>
      <c r="C27" s="112" t="s">
        <v>87</v>
      </c>
      <c r="D27" s="91">
        <f t="shared" si="6"/>
        <v>3</v>
      </c>
      <c r="E27" s="113">
        <f t="shared" si="7"/>
        <v>25</v>
      </c>
      <c r="F27" s="114">
        <f t="shared" si="8"/>
        <v>25</v>
      </c>
      <c r="G27" s="202">
        <f t="shared" si="9"/>
        <v>25</v>
      </c>
      <c r="H27" s="165"/>
      <c r="I27" s="116"/>
      <c r="J27" s="150"/>
      <c r="K27" s="116"/>
      <c r="L27" s="116"/>
      <c r="M27" s="118">
        <f t="shared" si="10"/>
        <v>0</v>
      </c>
      <c r="N27" s="119" t="str">
        <f t="shared" si="11"/>
        <v>#DIV/0!</v>
      </c>
      <c r="O27" s="176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84">
        <v>1.0</v>
      </c>
      <c r="AC27" s="179"/>
      <c r="AD27" s="179"/>
      <c r="AE27" s="179"/>
      <c r="AF27" s="176"/>
      <c r="AG27" s="176"/>
      <c r="AH27" s="176"/>
      <c r="AI27" s="176"/>
      <c r="AJ27" s="168">
        <f t="shared" si="12"/>
        <v>1</v>
      </c>
      <c r="AK27" s="169">
        <f t="shared" si="13"/>
        <v>25</v>
      </c>
      <c r="AL27" s="183"/>
      <c r="AM27" s="179"/>
      <c r="AN27" s="179"/>
      <c r="AO27" s="179"/>
      <c r="AP27" s="179"/>
      <c r="AQ27" s="179"/>
      <c r="AR27" s="179"/>
      <c r="AS27" s="179"/>
      <c r="AT27" s="179"/>
      <c r="AU27" s="179"/>
      <c r="AV27" s="179"/>
      <c r="AW27" s="179"/>
      <c r="AX27" s="179"/>
      <c r="AY27" s="179"/>
      <c r="AZ27" s="179"/>
      <c r="BA27" s="179"/>
      <c r="BB27" s="179"/>
      <c r="BC27" s="204"/>
      <c r="BD27" s="179"/>
      <c r="BE27" s="179"/>
      <c r="BF27" s="184">
        <v>1.0</v>
      </c>
      <c r="BG27" s="118">
        <f t="shared" si="14"/>
        <v>1</v>
      </c>
      <c r="BH27" s="122">
        <f t="shared" si="15"/>
        <v>25</v>
      </c>
      <c r="BI27" s="176"/>
      <c r="BJ27" s="179"/>
      <c r="BK27" s="179"/>
      <c r="BL27" s="179"/>
      <c r="BM27" s="179"/>
      <c r="BN27" s="179"/>
      <c r="BO27" s="179"/>
      <c r="BP27" s="179"/>
      <c r="BQ27" s="179"/>
      <c r="BR27" s="179"/>
      <c r="BS27" s="179"/>
      <c r="BT27" s="179"/>
      <c r="BU27" s="179"/>
      <c r="BV27" s="179"/>
      <c r="BW27" s="186"/>
      <c r="BX27" s="186"/>
      <c r="BY27" s="116"/>
      <c r="BZ27" s="186"/>
      <c r="CA27" s="186"/>
      <c r="CB27" s="186"/>
      <c r="CC27" s="186"/>
      <c r="CD27" s="200">
        <v>1.0</v>
      </c>
      <c r="CE27" s="172">
        <f t="shared" si="16"/>
        <v>1</v>
      </c>
      <c r="CF27" s="173">
        <f t="shared" si="17"/>
        <v>25</v>
      </c>
      <c r="CG27" s="199"/>
      <c r="CH27" s="186"/>
      <c r="CI27" s="186"/>
      <c r="CJ27" s="186"/>
      <c r="CK27" s="186"/>
      <c r="CL27" s="186"/>
      <c r="CM27" s="186"/>
      <c r="CN27" s="186"/>
      <c r="CO27" s="186"/>
      <c r="CP27" s="186"/>
      <c r="CQ27" s="186"/>
      <c r="CR27" s="186"/>
      <c r="CS27" s="175">
        <f t="shared" si="18"/>
        <v>0</v>
      </c>
      <c r="CT27" s="158" t="str">
        <f t="shared" si="19"/>
        <v>#DIV/0!</v>
      </c>
    </row>
    <row r="28" ht="15.75" customHeight="1">
      <c r="A28" s="50">
        <v>19.0</v>
      </c>
      <c r="B28" s="111" t="s">
        <v>88</v>
      </c>
      <c r="C28" s="112" t="s">
        <v>89</v>
      </c>
      <c r="D28" s="91">
        <f t="shared" si="6"/>
        <v>9</v>
      </c>
      <c r="E28" s="113">
        <f t="shared" si="7"/>
        <v>75</v>
      </c>
      <c r="F28" s="114" t="str">
        <f t="shared" si="8"/>
        <v>  </v>
      </c>
      <c r="G28" s="202" t="str">
        <f t="shared" si="9"/>
        <v>  </v>
      </c>
      <c r="H28" s="165"/>
      <c r="I28" s="116"/>
      <c r="J28" s="116"/>
      <c r="K28" s="116"/>
      <c r="L28" s="116"/>
      <c r="M28" s="118">
        <f t="shared" si="10"/>
        <v>0</v>
      </c>
      <c r="N28" s="119" t="str">
        <f t="shared" si="11"/>
        <v>#DIV/0!</v>
      </c>
      <c r="O28" s="176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  <c r="AA28" s="179"/>
      <c r="AB28" s="184">
        <v>1.0</v>
      </c>
      <c r="AC28" s="179"/>
      <c r="AD28" s="184">
        <v>1.0</v>
      </c>
      <c r="AE28" s="179"/>
      <c r="AF28" s="176"/>
      <c r="AG28" s="182">
        <v>1.0</v>
      </c>
      <c r="AH28" s="176"/>
      <c r="AI28" s="176"/>
      <c r="AJ28" s="168">
        <f t="shared" si="12"/>
        <v>3</v>
      </c>
      <c r="AK28" s="169">
        <f t="shared" si="13"/>
        <v>75</v>
      </c>
      <c r="AL28" s="183"/>
      <c r="AM28" s="179"/>
      <c r="AN28" s="184">
        <v>2.0</v>
      </c>
      <c r="AO28" s="179"/>
      <c r="AP28" s="179"/>
      <c r="AQ28" s="179"/>
      <c r="AR28" s="179"/>
      <c r="AS28" s="179"/>
      <c r="AT28" s="179"/>
      <c r="AU28" s="179"/>
      <c r="AV28" s="179"/>
      <c r="AW28" s="179"/>
      <c r="AX28" s="179"/>
      <c r="AY28" s="179"/>
      <c r="AZ28" s="179"/>
      <c r="BA28" s="179"/>
      <c r="BB28" s="179"/>
      <c r="BC28" s="218">
        <v>1.0</v>
      </c>
      <c r="BD28" s="179"/>
      <c r="BE28" s="179"/>
      <c r="BF28" s="179"/>
      <c r="BG28" s="118">
        <f t="shared" si="14"/>
        <v>3</v>
      </c>
      <c r="BH28" s="122">
        <f t="shared" si="15"/>
        <v>75</v>
      </c>
      <c r="BI28" s="176"/>
      <c r="BJ28" s="179"/>
      <c r="BK28" s="179"/>
      <c r="BL28" s="179"/>
      <c r="BM28" s="179"/>
      <c r="BN28" s="179"/>
      <c r="BO28" s="179"/>
      <c r="BP28" s="179"/>
      <c r="BQ28" s="179"/>
      <c r="BR28" s="179"/>
      <c r="BS28" s="179"/>
      <c r="BT28" s="184">
        <v>1.0</v>
      </c>
      <c r="BU28" s="179"/>
      <c r="BV28" s="179"/>
      <c r="BW28" s="186"/>
      <c r="BX28" s="186"/>
      <c r="BY28" s="138">
        <v>1.0</v>
      </c>
      <c r="BZ28" s="186"/>
      <c r="CA28" s="186"/>
      <c r="CB28" s="186"/>
      <c r="CC28" s="186"/>
      <c r="CD28" s="200">
        <v>1.0</v>
      </c>
      <c r="CE28" s="172">
        <f t="shared" si="16"/>
        <v>3</v>
      </c>
      <c r="CF28" s="173">
        <f t="shared" si="17"/>
        <v>75</v>
      </c>
      <c r="CG28" s="199"/>
      <c r="CH28" s="186"/>
      <c r="CI28" s="186"/>
      <c r="CJ28" s="186"/>
      <c r="CK28" s="186"/>
      <c r="CL28" s="186"/>
      <c r="CM28" s="186"/>
      <c r="CN28" s="186"/>
      <c r="CO28" s="186"/>
      <c r="CP28" s="186"/>
      <c r="CQ28" s="186"/>
      <c r="CR28" s="186"/>
      <c r="CS28" s="175">
        <f t="shared" si="18"/>
        <v>0</v>
      </c>
      <c r="CT28" s="158" t="str">
        <f t="shared" si="19"/>
        <v>#DIV/0!</v>
      </c>
    </row>
    <row r="29" ht="15.75" customHeight="1">
      <c r="A29" s="131">
        <v>20.0</v>
      </c>
      <c r="B29" s="111" t="s">
        <v>90</v>
      </c>
      <c r="C29" s="112" t="s">
        <v>91</v>
      </c>
      <c r="D29" s="91">
        <f t="shared" si="6"/>
        <v>7</v>
      </c>
      <c r="E29" s="113">
        <f t="shared" si="7"/>
        <v>58.33333333</v>
      </c>
      <c r="F29" s="114" t="str">
        <f t="shared" si="8"/>
        <v>  </v>
      </c>
      <c r="G29" s="164" t="str">
        <f t="shared" si="9"/>
        <v>  </v>
      </c>
      <c r="H29" s="165"/>
      <c r="I29" s="116"/>
      <c r="J29" s="116"/>
      <c r="K29" s="116"/>
      <c r="L29" s="116"/>
      <c r="M29" s="118">
        <f t="shared" si="10"/>
        <v>0</v>
      </c>
      <c r="N29" s="119" t="str">
        <f t="shared" si="11"/>
        <v>#DIV/0!</v>
      </c>
      <c r="O29" s="176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  <c r="AA29" s="179"/>
      <c r="AB29" s="179"/>
      <c r="AC29" s="179"/>
      <c r="AD29" s="184">
        <v>1.0</v>
      </c>
      <c r="AE29" s="179"/>
      <c r="AF29" s="176"/>
      <c r="AG29" s="182">
        <v>1.0</v>
      </c>
      <c r="AH29" s="176"/>
      <c r="AI29" s="176"/>
      <c r="AJ29" s="168">
        <f t="shared" si="12"/>
        <v>2</v>
      </c>
      <c r="AK29" s="169">
        <f t="shared" si="13"/>
        <v>50</v>
      </c>
      <c r="AL29" s="183"/>
      <c r="AM29" s="179"/>
      <c r="AN29" s="179"/>
      <c r="AO29" s="179"/>
      <c r="AP29" s="179"/>
      <c r="AQ29" s="179"/>
      <c r="AR29" s="179"/>
      <c r="AS29" s="184">
        <v>1.0</v>
      </c>
      <c r="AT29" s="179"/>
      <c r="AU29" s="179"/>
      <c r="AV29" s="179"/>
      <c r="AW29" s="179"/>
      <c r="AX29" s="179"/>
      <c r="AY29" s="179"/>
      <c r="AZ29" s="179"/>
      <c r="BA29" s="179"/>
      <c r="BB29" s="179"/>
      <c r="BC29" s="218">
        <v>1.0</v>
      </c>
      <c r="BD29" s="179"/>
      <c r="BE29" s="179"/>
      <c r="BF29" s="179"/>
      <c r="BG29" s="118">
        <f t="shared" si="14"/>
        <v>2</v>
      </c>
      <c r="BH29" s="122">
        <f t="shared" si="15"/>
        <v>50</v>
      </c>
      <c r="BI29" s="176"/>
      <c r="BJ29" s="179"/>
      <c r="BK29" s="179"/>
      <c r="BL29" s="179"/>
      <c r="BM29" s="179"/>
      <c r="BN29" s="179"/>
      <c r="BO29" s="179"/>
      <c r="BP29" s="179"/>
      <c r="BQ29" s="179"/>
      <c r="BR29" s="179"/>
      <c r="BS29" s="179"/>
      <c r="BT29" s="184">
        <v>1.0</v>
      </c>
      <c r="BU29" s="179"/>
      <c r="BV29" s="179"/>
      <c r="BW29" s="186"/>
      <c r="BX29" s="186"/>
      <c r="BY29" s="138">
        <v>1.0</v>
      </c>
      <c r="BZ29" s="186"/>
      <c r="CA29" s="186"/>
      <c r="CB29" s="186"/>
      <c r="CC29" s="186"/>
      <c r="CD29" s="200">
        <v>1.0</v>
      </c>
      <c r="CE29" s="172">
        <f t="shared" si="16"/>
        <v>3</v>
      </c>
      <c r="CF29" s="173">
        <f t="shared" si="17"/>
        <v>75</v>
      </c>
      <c r="CG29" s="199"/>
      <c r="CH29" s="186"/>
      <c r="CI29" s="186"/>
      <c r="CJ29" s="186"/>
      <c r="CK29" s="186"/>
      <c r="CL29" s="186"/>
      <c r="CM29" s="186"/>
      <c r="CN29" s="186"/>
      <c r="CO29" s="186"/>
      <c r="CP29" s="186"/>
      <c r="CQ29" s="186"/>
      <c r="CR29" s="186"/>
      <c r="CS29" s="175">
        <f t="shared" si="18"/>
        <v>0</v>
      </c>
      <c r="CT29" s="158" t="str">
        <f t="shared" si="19"/>
        <v>#DIV/0!</v>
      </c>
    </row>
    <row r="30" ht="15.75" customHeight="1">
      <c r="A30" s="146">
        <v>21.0</v>
      </c>
      <c r="B30" s="111" t="s">
        <v>92</v>
      </c>
      <c r="C30" s="112" t="s">
        <v>93</v>
      </c>
      <c r="D30" s="91">
        <f t="shared" si="6"/>
        <v>0</v>
      </c>
      <c r="E30" s="113">
        <f t="shared" si="7"/>
        <v>0</v>
      </c>
      <c r="F30" s="114">
        <f t="shared" si="8"/>
        <v>0</v>
      </c>
      <c r="G30" s="202">
        <f t="shared" si="9"/>
        <v>0</v>
      </c>
      <c r="H30" s="165"/>
      <c r="I30" s="116"/>
      <c r="J30" s="116"/>
      <c r="K30" s="116"/>
      <c r="L30" s="116"/>
      <c r="M30" s="118">
        <f t="shared" si="10"/>
        <v>0</v>
      </c>
      <c r="N30" s="119" t="str">
        <f t="shared" si="11"/>
        <v>#DIV/0!</v>
      </c>
      <c r="O30" s="176"/>
      <c r="P30" s="179"/>
      <c r="Q30" s="179"/>
      <c r="R30" s="179"/>
      <c r="S30" s="179"/>
      <c r="T30" s="179"/>
      <c r="U30" s="179"/>
      <c r="V30" s="179"/>
      <c r="W30" s="179"/>
      <c r="X30" s="179"/>
      <c r="Y30" s="179"/>
      <c r="Z30" s="179"/>
      <c r="AA30" s="179"/>
      <c r="AB30" s="179"/>
      <c r="AC30" s="179"/>
      <c r="AD30" s="179"/>
      <c r="AE30" s="179"/>
      <c r="AF30" s="176"/>
      <c r="AG30" s="176"/>
      <c r="AH30" s="176"/>
      <c r="AI30" s="176"/>
      <c r="AJ30" s="168">
        <f t="shared" si="12"/>
        <v>0</v>
      </c>
      <c r="AK30" s="169">
        <f t="shared" si="13"/>
        <v>0</v>
      </c>
      <c r="AL30" s="183"/>
      <c r="AM30" s="179"/>
      <c r="AN30" s="179"/>
      <c r="AO30" s="179"/>
      <c r="AP30" s="179"/>
      <c r="AQ30" s="179"/>
      <c r="AR30" s="179"/>
      <c r="AS30" s="179"/>
      <c r="AT30" s="179"/>
      <c r="AU30" s="179"/>
      <c r="AV30" s="179"/>
      <c r="AW30" s="179"/>
      <c r="AX30" s="179"/>
      <c r="AY30" s="179"/>
      <c r="AZ30" s="179"/>
      <c r="BA30" s="179"/>
      <c r="BB30" s="179"/>
      <c r="BC30" s="204"/>
      <c r="BD30" s="179"/>
      <c r="BE30" s="179"/>
      <c r="BF30" s="179"/>
      <c r="BG30" s="118">
        <f t="shared" si="14"/>
        <v>0</v>
      </c>
      <c r="BH30" s="122">
        <f t="shared" si="15"/>
        <v>0</v>
      </c>
      <c r="BI30" s="176"/>
      <c r="BJ30" s="179"/>
      <c r="BK30" s="179"/>
      <c r="BL30" s="179"/>
      <c r="BM30" s="179"/>
      <c r="BN30" s="179"/>
      <c r="BO30" s="179"/>
      <c r="BP30" s="179"/>
      <c r="BQ30" s="179"/>
      <c r="BR30" s="179"/>
      <c r="BS30" s="179"/>
      <c r="BT30" s="179"/>
      <c r="BU30" s="179"/>
      <c r="BV30" s="179"/>
      <c r="BW30" s="186"/>
      <c r="BX30" s="186"/>
      <c r="BY30" s="116"/>
      <c r="BZ30" s="186"/>
      <c r="CA30" s="186"/>
      <c r="CB30" s="186"/>
      <c r="CC30" s="186"/>
      <c r="CD30" s="186"/>
      <c r="CE30" s="172">
        <f t="shared" si="16"/>
        <v>0</v>
      </c>
      <c r="CF30" s="173">
        <f t="shared" si="17"/>
        <v>0</v>
      </c>
      <c r="CG30" s="199"/>
      <c r="CH30" s="186"/>
      <c r="CI30" s="186"/>
      <c r="CJ30" s="186"/>
      <c r="CK30" s="186"/>
      <c r="CL30" s="186"/>
      <c r="CM30" s="186"/>
      <c r="CN30" s="186"/>
      <c r="CO30" s="186"/>
      <c r="CP30" s="186"/>
      <c r="CQ30" s="186"/>
      <c r="CR30" s="186"/>
      <c r="CS30" s="175">
        <f t="shared" si="18"/>
        <v>0</v>
      </c>
      <c r="CT30" s="158" t="str">
        <f t="shared" si="19"/>
        <v>#DIV/0!</v>
      </c>
    </row>
    <row r="31" ht="15.75" customHeight="1">
      <c r="A31" s="50">
        <v>22.0</v>
      </c>
      <c r="B31" s="111" t="s">
        <v>94</v>
      </c>
      <c r="C31" s="112" t="s">
        <v>95</v>
      </c>
      <c r="D31" s="91">
        <f t="shared" si="6"/>
        <v>6</v>
      </c>
      <c r="E31" s="113">
        <f t="shared" si="7"/>
        <v>50</v>
      </c>
      <c r="F31" s="114" t="str">
        <f t="shared" si="8"/>
        <v>  </v>
      </c>
      <c r="G31" s="202" t="str">
        <f t="shared" si="9"/>
        <v>  </v>
      </c>
      <c r="H31" s="165"/>
      <c r="I31" s="150"/>
      <c r="J31" s="150"/>
      <c r="K31" s="116"/>
      <c r="L31" s="116"/>
      <c r="M31" s="118">
        <f t="shared" si="10"/>
        <v>0</v>
      </c>
      <c r="N31" s="119" t="str">
        <f t="shared" si="11"/>
        <v>#DIV/0!</v>
      </c>
      <c r="O31" s="176"/>
      <c r="P31" s="179"/>
      <c r="Q31" s="179"/>
      <c r="R31" s="179"/>
      <c r="S31" s="179"/>
      <c r="T31" s="179"/>
      <c r="U31" s="179"/>
      <c r="V31" s="179"/>
      <c r="W31" s="179"/>
      <c r="X31" s="179"/>
      <c r="Y31" s="179"/>
      <c r="Z31" s="179"/>
      <c r="AA31" s="179"/>
      <c r="AB31" s="179"/>
      <c r="AC31" s="179"/>
      <c r="AD31" s="179"/>
      <c r="AE31" s="179"/>
      <c r="AF31" s="176"/>
      <c r="AG31" s="176"/>
      <c r="AH31" s="176"/>
      <c r="AI31" s="176"/>
      <c r="AJ31" s="168">
        <f t="shared" si="12"/>
        <v>0</v>
      </c>
      <c r="AK31" s="169">
        <f t="shared" si="13"/>
        <v>0</v>
      </c>
      <c r="AL31" s="183"/>
      <c r="AM31" s="179"/>
      <c r="AN31" s="184">
        <v>2.0</v>
      </c>
      <c r="AO31" s="179"/>
      <c r="AP31" s="179"/>
      <c r="AQ31" s="179"/>
      <c r="AR31" s="179"/>
      <c r="AS31" s="184">
        <v>1.0</v>
      </c>
      <c r="AT31" s="179"/>
      <c r="AU31" s="179"/>
      <c r="AV31" s="179"/>
      <c r="AW31" s="179"/>
      <c r="AX31" s="179"/>
      <c r="AY31" s="179"/>
      <c r="AZ31" s="179"/>
      <c r="BA31" s="179"/>
      <c r="BB31" s="179"/>
      <c r="BC31" s="116"/>
      <c r="BD31" s="179"/>
      <c r="BE31" s="179"/>
      <c r="BF31" s="184">
        <v>1.0</v>
      </c>
      <c r="BG31" s="118">
        <f t="shared" si="14"/>
        <v>4</v>
      </c>
      <c r="BH31" s="122">
        <f t="shared" si="15"/>
        <v>100</v>
      </c>
      <c r="BI31" s="176"/>
      <c r="BJ31" s="179"/>
      <c r="BK31" s="179"/>
      <c r="BL31" s="179"/>
      <c r="BM31" s="179"/>
      <c r="BN31" s="179"/>
      <c r="BO31" s="179"/>
      <c r="BP31" s="179"/>
      <c r="BQ31" s="179"/>
      <c r="BR31" s="179"/>
      <c r="BS31" s="179"/>
      <c r="BT31" s="184">
        <v>1.0</v>
      </c>
      <c r="BU31" s="179"/>
      <c r="BV31" s="179"/>
      <c r="BW31" s="186"/>
      <c r="BX31" s="186"/>
      <c r="BY31" s="116"/>
      <c r="BZ31" s="186"/>
      <c r="CA31" s="186"/>
      <c r="CB31" s="186"/>
      <c r="CC31" s="186"/>
      <c r="CD31" s="200">
        <v>1.0</v>
      </c>
      <c r="CE31" s="172">
        <f t="shared" si="16"/>
        <v>2</v>
      </c>
      <c r="CF31" s="173">
        <f t="shared" si="17"/>
        <v>50</v>
      </c>
      <c r="CG31" s="199"/>
      <c r="CH31" s="186"/>
      <c r="CI31" s="186"/>
      <c r="CJ31" s="186"/>
      <c r="CK31" s="186"/>
      <c r="CL31" s="186"/>
      <c r="CM31" s="186"/>
      <c r="CN31" s="186"/>
      <c r="CO31" s="186"/>
      <c r="CP31" s="186"/>
      <c r="CQ31" s="186"/>
      <c r="CR31" s="186"/>
      <c r="CS31" s="175">
        <f t="shared" si="18"/>
        <v>0</v>
      </c>
      <c r="CT31" s="158" t="str">
        <f t="shared" si="19"/>
        <v>#DIV/0!</v>
      </c>
    </row>
    <row r="32" ht="15.75" customHeight="1">
      <c r="A32" s="131">
        <v>23.0</v>
      </c>
      <c r="B32" s="111" t="s">
        <v>96</v>
      </c>
      <c r="C32" s="112" t="s">
        <v>97</v>
      </c>
      <c r="D32" s="91">
        <f t="shared" si="6"/>
        <v>4</v>
      </c>
      <c r="E32" s="113">
        <f t="shared" si="7"/>
        <v>33.33333333</v>
      </c>
      <c r="F32" s="114">
        <f t="shared" si="8"/>
        <v>33.33333333</v>
      </c>
      <c r="G32" s="164" t="str">
        <f t="shared" si="9"/>
        <v>  </v>
      </c>
      <c r="H32" s="165"/>
      <c r="I32" s="150"/>
      <c r="J32" s="116"/>
      <c r="K32" s="116"/>
      <c r="L32" s="116"/>
      <c r="M32" s="118">
        <f t="shared" si="10"/>
        <v>0</v>
      </c>
      <c r="N32" s="119" t="str">
        <f t="shared" si="11"/>
        <v>#DIV/0!</v>
      </c>
      <c r="O32" s="176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  <c r="AA32" s="179"/>
      <c r="AB32" s="184">
        <v>1.0</v>
      </c>
      <c r="AC32" s="179"/>
      <c r="AD32" s="179"/>
      <c r="AE32" s="179"/>
      <c r="AF32" s="176"/>
      <c r="AG32" s="182">
        <v>1.0</v>
      </c>
      <c r="AH32" s="182">
        <v>1.0</v>
      </c>
      <c r="AI32" s="176"/>
      <c r="AJ32" s="168">
        <f t="shared" si="12"/>
        <v>3</v>
      </c>
      <c r="AK32" s="169">
        <f t="shared" si="13"/>
        <v>75</v>
      </c>
      <c r="AL32" s="183"/>
      <c r="AM32" s="179"/>
      <c r="AN32" s="179"/>
      <c r="AO32" s="179"/>
      <c r="AP32" s="179"/>
      <c r="AQ32" s="179"/>
      <c r="AR32" s="179"/>
      <c r="AS32" s="179"/>
      <c r="AT32" s="179"/>
      <c r="AU32" s="179"/>
      <c r="AV32" s="179"/>
      <c r="AW32" s="179"/>
      <c r="AX32" s="179"/>
      <c r="AY32" s="179"/>
      <c r="AZ32" s="179"/>
      <c r="BA32" s="179"/>
      <c r="BB32" s="179"/>
      <c r="BC32" s="116"/>
      <c r="BD32" s="179"/>
      <c r="BE32" s="179"/>
      <c r="BF32" s="179"/>
      <c r="BG32" s="118">
        <f t="shared" si="14"/>
        <v>0</v>
      </c>
      <c r="BH32" s="122">
        <f t="shared" si="15"/>
        <v>0</v>
      </c>
      <c r="BI32" s="176"/>
      <c r="BJ32" s="179"/>
      <c r="BK32" s="179"/>
      <c r="BL32" s="179"/>
      <c r="BM32" s="179"/>
      <c r="BN32" s="179"/>
      <c r="BO32" s="179"/>
      <c r="BP32" s="179"/>
      <c r="BQ32" s="179"/>
      <c r="BR32" s="179"/>
      <c r="BS32" s="179"/>
      <c r="BT32" s="179"/>
      <c r="BU32" s="179"/>
      <c r="BV32" s="179"/>
      <c r="BW32" s="186"/>
      <c r="BX32" s="186"/>
      <c r="BY32" s="116"/>
      <c r="BZ32" s="186"/>
      <c r="CA32" s="186"/>
      <c r="CB32" s="186"/>
      <c r="CC32" s="186"/>
      <c r="CD32" s="200">
        <v>1.0</v>
      </c>
      <c r="CE32" s="172">
        <f t="shared" si="16"/>
        <v>1</v>
      </c>
      <c r="CF32" s="173">
        <f t="shared" si="17"/>
        <v>25</v>
      </c>
      <c r="CG32" s="199"/>
      <c r="CH32" s="186"/>
      <c r="CI32" s="186"/>
      <c r="CJ32" s="186"/>
      <c r="CK32" s="186"/>
      <c r="CL32" s="186"/>
      <c r="CM32" s="186"/>
      <c r="CN32" s="186"/>
      <c r="CO32" s="186"/>
      <c r="CP32" s="186"/>
      <c r="CQ32" s="186"/>
      <c r="CR32" s="186"/>
      <c r="CS32" s="175">
        <f t="shared" si="18"/>
        <v>0</v>
      </c>
      <c r="CT32" s="158" t="str">
        <f t="shared" si="19"/>
        <v>#DIV/0!</v>
      </c>
    </row>
    <row r="33" ht="15.75" customHeight="1">
      <c r="A33" s="146">
        <v>24.0</v>
      </c>
      <c r="B33" s="111" t="s">
        <v>98</v>
      </c>
      <c r="C33" s="112" t="s">
        <v>99</v>
      </c>
      <c r="D33" s="91">
        <f t="shared" si="6"/>
        <v>8</v>
      </c>
      <c r="E33" s="113">
        <f t="shared" si="7"/>
        <v>66.66666667</v>
      </c>
      <c r="F33" s="114" t="str">
        <f t="shared" si="8"/>
        <v>  </v>
      </c>
      <c r="G33" s="164" t="str">
        <f t="shared" si="9"/>
        <v>  </v>
      </c>
      <c r="H33" s="165"/>
      <c r="I33" s="150"/>
      <c r="J33" s="116"/>
      <c r="K33" s="116"/>
      <c r="L33" s="116"/>
      <c r="M33" s="118">
        <f t="shared" si="10"/>
        <v>0</v>
      </c>
      <c r="N33" s="119" t="str">
        <f t="shared" si="11"/>
        <v>#DIV/0!</v>
      </c>
      <c r="O33" s="206"/>
      <c r="P33" s="207"/>
      <c r="Q33" s="207"/>
      <c r="R33" s="207"/>
      <c r="S33" s="207"/>
      <c r="T33" s="207"/>
      <c r="U33" s="207"/>
      <c r="V33" s="207"/>
      <c r="W33" s="207"/>
      <c r="X33" s="207"/>
      <c r="Y33" s="207"/>
      <c r="Z33" s="207"/>
      <c r="AA33" s="207"/>
      <c r="AB33" s="234">
        <v>1.0</v>
      </c>
      <c r="AC33" s="207"/>
      <c r="AD33" s="207"/>
      <c r="AE33" s="207"/>
      <c r="AF33" s="206"/>
      <c r="AG33" s="209">
        <v>1.0</v>
      </c>
      <c r="AH33" s="206"/>
      <c r="AI33" s="206"/>
      <c r="AJ33" s="168">
        <f t="shared" si="12"/>
        <v>2</v>
      </c>
      <c r="AK33" s="169">
        <f t="shared" si="13"/>
        <v>50</v>
      </c>
      <c r="AL33" s="212"/>
      <c r="AM33" s="207"/>
      <c r="AN33" s="234">
        <v>2.0</v>
      </c>
      <c r="AO33" s="207"/>
      <c r="AP33" s="207"/>
      <c r="AQ33" s="207"/>
      <c r="AR33" s="207"/>
      <c r="AS33" s="234">
        <v>1.0</v>
      </c>
      <c r="AT33" s="207"/>
      <c r="AU33" s="207"/>
      <c r="AV33" s="207"/>
      <c r="AW33" s="207"/>
      <c r="AX33" s="207"/>
      <c r="AY33" s="207"/>
      <c r="AZ33" s="207"/>
      <c r="BA33" s="207"/>
      <c r="BB33" s="207"/>
      <c r="BC33" s="204"/>
      <c r="BD33" s="207"/>
      <c r="BE33" s="207"/>
      <c r="BF33" s="207"/>
      <c r="BG33" s="118">
        <f t="shared" si="14"/>
        <v>3</v>
      </c>
      <c r="BH33" s="122">
        <f t="shared" si="15"/>
        <v>75</v>
      </c>
      <c r="BI33" s="206"/>
      <c r="BJ33" s="207"/>
      <c r="BK33" s="207"/>
      <c r="BL33" s="207"/>
      <c r="BM33" s="207"/>
      <c r="BN33" s="207"/>
      <c r="BO33" s="207"/>
      <c r="BP33" s="207"/>
      <c r="BQ33" s="207"/>
      <c r="BR33" s="207"/>
      <c r="BS33" s="207"/>
      <c r="BT33" s="234">
        <v>1.0</v>
      </c>
      <c r="BU33" s="207"/>
      <c r="BV33" s="207"/>
      <c r="BW33" s="186"/>
      <c r="BX33" s="186"/>
      <c r="BY33" s="138">
        <v>1.0</v>
      </c>
      <c r="BZ33" s="186"/>
      <c r="CA33" s="186"/>
      <c r="CB33" s="186"/>
      <c r="CC33" s="186"/>
      <c r="CD33" s="200">
        <v>1.0</v>
      </c>
      <c r="CE33" s="172">
        <f t="shared" si="16"/>
        <v>3</v>
      </c>
      <c r="CF33" s="173">
        <f t="shared" si="17"/>
        <v>75</v>
      </c>
      <c r="CG33" s="199"/>
      <c r="CH33" s="186"/>
      <c r="CI33" s="186"/>
      <c r="CJ33" s="186"/>
      <c r="CK33" s="186"/>
      <c r="CL33" s="186"/>
      <c r="CM33" s="186"/>
      <c r="CN33" s="186"/>
      <c r="CO33" s="186"/>
      <c r="CP33" s="186"/>
      <c r="CQ33" s="186"/>
      <c r="CR33" s="186"/>
      <c r="CS33" s="175">
        <f t="shared" si="18"/>
        <v>0</v>
      </c>
      <c r="CT33" s="158" t="str">
        <f t="shared" si="19"/>
        <v>#DIV/0!</v>
      </c>
    </row>
    <row r="34" ht="15.75" customHeight="1">
      <c r="A34" s="50">
        <v>25.0</v>
      </c>
      <c r="B34" s="111" t="s">
        <v>100</v>
      </c>
      <c r="C34" s="112" t="s">
        <v>101</v>
      </c>
      <c r="D34" s="91">
        <f t="shared" si="6"/>
        <v>10</v>
      </c>
      <c r="E34" s="113">
        <f t="shared" si="7"/>
        <v>83.33333333</v>
      </c>
      <c r="F34" s="92" t="str">
        <f t="shared" si="8"/>
        <v>  </v>
      </c>
      <c r="G34" s="164" t="str">
        <f t="shared" si="9"/>
        <v>  </v>
      </c>
      <c r="H34" s="165"/>
      <c r="I34" s="43"/>
      <c r="J34" s="43"/>
      <c r="K34" s="116"/>
      <c r="L34" s="116"/>
      <c r="M34" s="118">
        <f t="shared" si="10"/>
        <v>0</v>
      </c>
      <c r="N34" s="119" t="str">
        <f t="shared" si="11"/>
        <v>#DIV/0!</v>
      </c>
      <c r="O34" s="206"/>
      <c r="P34" s="207"/>
      <c r="Q34" s="207"/>
      <c r="R34" s="207"/>
      <c r="S34" s="207"/>
      <c r="T34" s="207"/>
      <c r="U34" s="207"/>
      <c r="V34" s="207"/>
      <c r="W34" s="207"/>
      <c r="X34" s="207"/>
      <c r="Y34" s="207"/>
      <c r="Z34" s="207"/>
      <c r="AA34" s="207"/>
      <c r="AB34" s="234">
        <v>1.0</v>
      </c>
      <c r="AC34" s="207"/>
      <c r="AD34" s="234">
        <v>1.0</v>
      </c>
      <c r="AE34" s="207"/>
      <c r="AF34" s="206"/>
      <c r="AG34" s="209">
        <v>1.0</v>
      </c>
      <c r="AH34" s="206"/>
      <c r="AI34" s="206"/>
      <c r="AJ34" s="168">
        <f t="shared" si="12"/>
        <v>3</v>
      </c>
      <c r="AK34" s="169">
        <f t="shared" si="13"/>
        <v>75</v>
      </c>
      <c r="AL34" s="212"/>
      <c r="AM34" s="207"/>
      <c r="AN34" s="234">
        <v>2.0</v>
      </c>
      <c r="AO34" s="207"/>
      <c r="AP34" s="207"/>
      <c r="AQ34" s="207"/>
      <c r="AR34" s="207"/>
      <c r="AS34" s="207"/>
      <c r="AT34" s="207"/>
      <c r="AU34" s="207"/>
      <c r="AV34" s="207"/>
      <c r="AW34" s="207"/>
      <c r="AX34" s="207"/>
      <c r="AY34" s="207"/>
      <c r="AZ34" s="207"/>
      <c r="BA34" s="207"/>
      <c r="BB34" s="207"/>
      <c r="BC34" s="138">
        <v>1.0</v>
      </c>
      <c r="BD34" s="207"/>
      <c r="BE34" s="207"/>
      <c r="BF34" s="234">
        <v>1.0</v>
      </c>
      <c r="BG34" s="118">
        <f t="shared" si="14"/>
        <v>4</v>
      </c>
      <c r="BH34" s="122">
        <f t="shared" si="15"/>
        <v>100</v>
      </c>
      <c r="BI34" s="206"/>
      <c r="BJ34" s="207"/>
      <c r="BK34" s="207"/>
      <c r="BL34" s="207"/>
      <c r="BM34" s="207"/>
      <c r="BN34" s="207"/>
      <c r="BO34" s="207"/>
      <c r="BP34" s="207"/>
      <c r="BQ34" s="207"/>
      <c r="BR34" s="207"/>
      <c r="BS34" s="207"/>
      <c r="BT34" s="234">
        <v>1.0</v>
      </c>
      <c r="BU34" s="207"/>
      <c r="BV34" s="207"/>
      <c r="BW34" s="186"/>
      <c r="BX34" s="186"/>
      <c r="BY34" s="138">
        <v>1.0</v>
      </c>
      <c r="BZ34" s="186"/>
      <c r="CA34" s="186"/>
      <c r="CB34" s="186"/>
      <c r="CC34" s="186"/>
      <c r="CD34" s="200">
        <v>1.0</v>
      </c>
      <c r="CE34" s="172">
        <f t="shared" si="16"/>
        <v>3</v>
      </c>
      <c r="CF34" s="173">
        <f t="shared" si="17"/>
        <v>75</v>
      </c>
      <c r="CG34" s="199"/>
      <c r="CH34" s="186"/>
      <c r="CI34" s="186"/>
      <c r="CJ34" s="186"/>
      <c r="CK34" s="186"/>
      <c r="CL34" s="186"/>
      <c r="CM34" s="186"/>
      <c r="CN34" s="186"/>
      <c r="CO34" s="186"/>
      <c r="CP34" s="186"/>
      <c r="CQ34" s="186"/>
      <c r="CR34" s="186"/>
      <c r="CS34" s="175">
        <f t="shared" si="18"/>
        <v>0</v>
      </c>
      <c r="CT34" s="158" t="str">
        <f t="shared" si="19"/>
        <v>#DIV/0!</v>
      </c>
    </row>
    <row r="35" ht="15.75" customHeight="1">
      <c r="A35" s="131">
        <v>26.0</v>
      </c>
      <c r="B35" s="111" t="s">
        <v>102</v>
      </c>
      <c r="C35" s="112" t="s">
        <v>103</v>
      </c>
      <c r="D35" s="91">
        <f t="shared" si="6"/>
        <v>3</v>
      </c>
      <c r="E35" s="113">
        <f t="shared" si="7"/>
        <v>25</v>
      </c>
      <c r="F35" s="114">
        <f t="shared" si="8"/>
        <v>25</v>
      </c>
      <c r="G35" s="202">
        <f t="shared" si="9"/>
        <v>25</v>
      </c>
      <c r="H35" s="192"/>
      <c r="I35" s="116"/>
      <c r="J35" s="116"/>
      <c r="K35" s="116"/>
      <c r="L35" s="116"/>
      <c r="M35" s="118">
        <f t="shared" si="10"/>
        <v>0</v>
      </c>
      <c r="N35" s="119" t="str">
        <f t="shared" si="11"/>
        <v>#DIV/0!</v>
      </c>
      <c r="O35" s="176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Z35" s="179"/>
      <c r="AA35" s="179"/>
      <c r="AB35" s="184">
        <v>1.0</v>
      </c>
      <c r="AC35" s="179"/>
      <c r="AD35" s="179"/>
      <c r="AE35" s="179"/>
      <c r="AF35" s="176"/>
      <c r="AG35" s="176"/>
      <c r="AH35" s="182">
        <v>1.0</v>
      </c>
      <c r="AI35" s="176"/>
      <c r="AJ35" s="168">
        <f t="shared" si="12"/>
        <v>2</v>
      </c>
      <c r="AK35" s="169">
        <f t="shared" si="13"/>
        <v>50</v>
      </c>
      <c r="AL35" s="183"/>
      <c r="AM35" s="179"/>
      <c r="AN35" s="179"/>
      <c r="AO35" s="179"/>
      <c r="AP35" s="179"/>
      <c r="AQ35" s="179"/>
      <c r="AR35" s="179"/>
      <c r="AS35" s="179"/>
      <c r="AT35" s="179"/>
      <c r="AU35" s="179"/>
      <c r="AV35" s="179"/>
      <c r="AW35" s="179"/>
      <c r="AX35" s="179"/>
      <c r="AY35" s="179"/>
      <c r="AZ35" s="179"/>
      <c r="BA35" s="179"/>
      <c r="BB35" s="179"/>
      <c r="BC35" s="116"/>
      <c r="BD35" s="179"/>
      <c r="BE35" s="179"/>
      <c r="BF35" s="179"/>
      <c r="BG35" s="118">
        <f t="shared" si="14"/>
        <v>0</v>
      </c>
      <c r="BH35" s="122">
        <f t="shared" si="15"/>
        <v>0</v>
      </c>
      <c r="BI35" s="176"/>
      <c r="BJ35" s="179"/>
      <c r="BK35" s="179"/>
      <c r="BL35" s="179"/>
      <c r="BM35" s="179"/>
      <c r="BN35" s="179"/>
      <c r="BO35" s="179"/>
      <c r="BP35" s="179"/>
      <c r="BQ35" s="179"/>
      <c r="BR35" s="179"/>
      <c r="BS35" s="179"/>
      <c r="BT35" s="179"/>
      <c r="BU35" s="179"/>
      <c r="BV35" s="179"/>
      <c r="BW35" s="186"/>
      <c r="BX35" s="186"/>
      <c r="BY35" s="116"/>
      <c r="BZ35" s="186"/>
      <c r="CA35" s="186"/>
      <c r="CB35" s="186"/>
      <c r="CC35" s="186"/>
      <c r="CD35" s="200">
        <v>1.0</v>
      </c>
      <c r="CE35" s="172">
        <f t="shared" si="16"/>
        <v>1</v>
      </c>
      <c r="CF35" s="173">
        <f t="shared" si="17"/>
        <v>25</v>
      </c>
      <c r="CG35" s="199"/>
      <c r="CH35" s="186"/>
      <c r="CI35" s="186"/>
      <c r="CJ35" s="186"/>
      <c r="CK35" s="186"/>
      <c r="CL35" s="186"/>
      <c r="CM35" s="186"/>
      <c r="CN35" s="186"/>
      <c r="CO35" s="186"/>
      <c r="CP35" s="186"/>
      <c r="CQ35" s="186"/>
      <c r="CR35" s="186"/>
      <c r="CS35" s="175">
        <f t="shared" si="18"/>
        <v>0</v>
      </c>
      <c r="CT35" s="158" t="str">
        <f t="shared" si="19"/>
        <v>#DIV/0!</v>
      </c>
    </row>
    <row r="36" ht="15.75" customHeight="1">
      <c r="A36" s="146">
        <v>27.0</v>
      </c>
      <c r="B36" s="111" t="s">
        <v>104</v>
      </c>
      <c r="C36" s="112" t="s">
        <v>105</v>
      </c>
      <c r="D36" s="91">
        <f t="shared" si="6"/>
        <v>11</v>
      </c>
      <c r="E36" s="113">
        <f t="shared" si="7"/>
        <v>91.66666667</v>
      </c>
      <c r="F36" s="114" t="str">
        <f t="shared" si="8"/>
        <v>  </v>
      </c>
      <c r="G36" s="164" t="str">
        <f t="shared" si="9"/>
        <v>  </v>
      </c>
      <c r="H36" s="165"/>
      <c r="I36" s="116"/>
      <c r="J36" s="116"/>
      <c r="K36" s="116"/>
      <c r="L36" s="116"/>
      <c r="M36" s="118">
        <f t="shared" si="10"/>
        <v>0</v>
      </c>
      <c r="N36" s="119" t="str">
        <f t="shared" si="11"/>
        <v>#DIV/0!</v>
      </c>
      <c r="O36" s="176"/>
      <c r="P36" s="179"/>
      <c r="Q36" s="179"/>
      <c r="R36" s="179"/>
      <c r="S36" s="179"/>
      <c r="T36" s="179"/>
      <c r="U36" s="179"/>
      <c r="V36" s="179"/>
      <c r="W36" s="179"/>
      <c r="X36" s="179"/>
      <c r="Y36" s="179"/>
      <c r="Z36" s="179"/>
      <c r="AA36" s="179"/>
      <c r="AB36" s="184">
        <v>1.0</v>
      </c>
      <c r="AC36" s="179"/>
      <c r="AD36" s="184">
        <v>1.0</v>
      </c>
      <c r="AE36" s="179"/>
      <c r="AF36" s="176"/>
      <c r="AG36" s="182">
        <v>1.0</v>
      </c>
      <c r="AH36" s="182">
        <v>1.0</v>
      </c>
      <c r="AI36" s="176"/>
      <c r="AJ36" s="168">
        <f t="shared" si="12"/>
        <v>4</v>
      </c>
      <c r="AK36" s="169">
        <f t="shared" si="13"/>
        <v>100</v>
      </c>
      <c r="AL36" s="183"/>
      <c r="AM36" s="179"/>
      <c r="AN36" s="184">
        <v>2.0</v>
      </c>
      <c r="AO36" s="179"/>
      <c r="AP36" s="179"/>
      <c r="AQ36" s="179"/>
      <c r="AR36" s="179"/>
      <c r="AS36" s="184">
        <v>1.0</v>
      </c>
      <c r="AT36" s="179"/>
      <c r="AU36" s="179"/>
      <c r="AV36" s="179"/>
      <c r="AW36" s="179"/>
      <c r="AX36" s="179"/>
      <c r="AY36" s="179"/>
      <c r="AZ36" s="179"/>
      <c r="BA36" s="179"/>
      <c r="BB36" s="179"/>
      <c r="BC36" s="138">
        <v>1.0</v>
      </c>
      <c r="BD36" s="179"/>
      <c r="BE36" s="179"/>
      <c r="BF36" s="179"/>
      <c r="BG36" s="118">
        <f t="shared" si="14"/>
        <v>4</v>
      </c>
      <c r="BH36" s="122">
        <f t="shared" si="15"/>
        <v>100</v>
      </c>
      <c r="BI36" s="176"/>
      <c r="BJ36" s="179"/>
      <c r="BK36" s="179"/>
      <c r="BL36" s="179"/>
      <c r="BM36" s="179"/>
      <c r="BN36" s="179"/>
      <c r="BO36" s="179"/>
      <c r="BP36" s="179"/>
      <c r="BQ36" s="179"/>
      <c r="BR36" s="179"/>
      <c r="BS36" s="179"/>
      <c r="BT36" s="184">
        <v>1.0</v>
      </c>
      <c r="BU36" s="179"/>
      <c r="BV36" s="179"/>
      <c r="BW36" s="186"/>
      <c r="BX36" s="186"/>
      <c r="BY36" s="138">
        <v>1.0</v>
      </c>
      <c r="BZ36" s="186"/>
      <c r="CA36" s="186"/>
      <c r="CB36" s="186"/>
      <c r="CC36" s="186"/>
      <c r="CD36" s="200">
        <v>1.0</v>
      </c>
      <c r="CE36" s="172">
        <f t="shared" si="16"/>
        <v>3</v>
      </c>
      <c r="CF36" s="173">
        <f t="shared" si="17"/>
        <v>75</v>
      </c>
      <c r="CG36" s="199"/>
      <c r="CH36" s="186"/>
      <c r="CI36" s="186"/>
      <c r="CJ36" s="186"/>
      <c r="CK36" s="186"/>
      <c r="CL36" s="186"/>
      <c r="CM36" s="186"/>
      <c r="CN36" s="186"/>
      <c r="CO36" s="186"/>
      <c r="CP36" s="186"/>
      <c r="CQ36" s="186"/>
      <c r="CR36" s="186"/>
      <c r="CS36" s="175">
        <f t="shared" si="18"/>
        <v>0</v>
      </c>
      <c r="CT36" s="158" t="str">
        <f t="shared" si="19"/>
        <v>#DIV/0!</v>
      </c>
    </row>
    <row r="37" ht="15.75" customHeight="1">
      <c r="A37" s="50">
        <v>28.0</v>
      </c>
      <c r="B37" s="111" t="s">
        <v>106</v>
      </c>
      <c r="C37" s="112" t="s">
        <v>107</v>
      </c>
      <c r="D37" s="91">
        <f t="shared" si="6"/>
        <v>5</v>
      </c>
      <c r="E37" s="113">
        <f t="shared" si="7"/>
        <v>41.66666667</v>
      </c>
      <c r="F37" s="114">
        <f t="shared" si="8"/>
        <v>41.66666667</v>
      </c>
      <c r="G37" s="202" t="str">
        <f t="shared" si="9"/>
        <v>  </v>
      </c>
      <c r="H37" s="165"/>
      <c r="I37" s="150"/>
      <c r="J37" s="150"/>
      <c r="K37" s="150"/>
      <c r="L37" s="150"/>
      <c r="M37" s="118">
        <f t="shared" si="10"/>
        <v>0</v>
      </c>
      <c r="N37" s="119" t="str">
        <f t="shared" si="11"/>
        <v>#DIV/0!</v>
      </c>
      <c r="O37" s="176"/>
      <c r="P37" s="179"/>
      <c r="Q37" s="179"/>
      <c r="R37" s="179"/>
      <c r="S37" s="179"/>
      <c r="T37" s="179"/>
      <c r="U37" s="179"/>
      <c r="V37" s="179"/>
      <c r="W37" s="179"/>
      <c r="X37" s="179"/>
      <c r="Y37" s="179"/>
      <c r="Z37" s="179"/>
      <c r="AA37" s="179"/>
      <c r="AB37" s="179"/>
      <c r="AC37" s="179"/>
      <c r="AD37" s="179"/>
      <c r="AE37" s="179"/>
      <c r="AF37" s="176"/>
      <c r="AG37" s="176"/>
      <c r="AH37" s="176"/>
      <c r="AI37" s="176"/>
      <c r="AJ37" s="168">
        <f t="shared" si="12"/>
        <v>0</v>
      </c>
      <c r="AK37" s="169">
        <f t="shared" si="13"/>
        <v>0</v>
      </c>
      <c r="AL37" s="183"/>
      <c r="AM37" s="179"/>
      <c r="AN37" s="184">
        <v>2.0</v>
      </c>
      <c r="AO37" s="179"/>
      <c r="AP37" s="179"/>
      <c r="AQ37" s="179"/>
      <c r="AR37" s="179"/>
      <c r="AS37" s="179"/>
      <c r="AT37" s="179"/>
      <c r="AU37" s="179"/>
      <c r="AV37" s="179"/>
      <c r="AW37" s="179"/>
      <c r="AX37" s="179"/>
      <c r="AY37" s="179"/>
      <c r="AZ37" s="179"/>
      <c r="BA37" s="179"/>
      <c r="BB37" s="179"/>
      <c r="BC37" s="138">
        <v>1.0</v>
      </c>
      <c r="BD37" s="179"/>
      <c r="BE37" s="179"/>
      <c r="BF37" s="179"/>
      <c r="BG37" s="118">
        <f t="shared" si="14"/>
        <v>3</v>
      </c>
      <c r="BH37" s="122">
        <f t="shared" si="15"/>
        <v>75</v>
      </c>
      <c r="BI37" s="176"/>
      <c r="BJ37" s="179"/>
      <c r="BK37" s="179"/>
      <c r="BL37" s="179"/>
      <c r="BM37" s="179"/>
      <c r="BN37" s="179"/>
      <c r="BO37" s="179"/>
      <c r="BP37" s="179"/>
      <c r="BQ37" s="179"/>
      <c r="BR37" s="179"/>
      <c r="BS37" s="179"/>
      <c r="BT37" s="184">
        <v>1.0</v>
      </c>
      <c r="BU37" s="179"/>
      <c r="BV37" s="179"/>
      <c r="BW37" s="186"/>
      <c r="BX37" s="186"/>
      <c r="BY37" s="116"/>
      <c r="BZ37" s="186"/>
      <c r="CA37" s="186"/>
      <c r="CB37" s="186"/>
      <c r="CC37" s="186"/>
      <c r="CD37" s="200">
        <v>1.0</v>
      </c>
      <c r="CE37" s="172">
        <f t="shared" si="16"/>
        <v>2</v>
      </c>
      <c r="CF37" s="173">
        <f t="shared" si="17"/>
        <v>50</v>
      </c>
      <c r="CG37" s="199"/>
      <c r="CH37" s="186"/>
      <c r="CI37" s="186"/>
      <c r="CJ37" s="186"/>
      <c r="CK37" s="186"/>
      <c r="CL37" s="186"/>
      <c r="CM37" s="186"/>
      <c r="CN37" s="186"/>
      <c r="CO37" s="186"/>
      <c r="CP37" s="186"/>
      <c r="CQ37" s="186"/>
      <c r="CR37" s="186"/>
      <c r="CS37" s="175">
        <f t="shared" si="18"/>
        <v>0</v>
      </c>
      <c r="CT37" s="158" t="str">
        <f t="shared" si="19"/>
        <v>#DIV/0!</v>
      </c>
    </row>
    <row r="38" ht="15.75" customHeight="1">
      <c r="A38" s="131">
        <v>29.0</v>
      </c>
      <c r="B38" s="111" t="s">
        <v>108</v>
      </c>
      <c r="C38" s="112" t="s">
        <v>109</v>
      </c>
      <c r="D38" s="91">
        <f t="shared" si="6"/>
        <v>8</v>
      </c>
      <c r="E38" s="113">
        <f t="shared" si="7"/>
        <v>66.66666667</v>
      </c>
      <c r="F38" s="114" t="str">
        <f t="shared" si="8"/>
        <v>  </v>
      </c>
      <c r="G38" s="164" t="str">
        <f t="shared" si="9"/>
        <v>  </v>
      </c>
      <c r="H38" s="165"/>
      <c r="I38" s="150"/>
      <c r="J38" s="150"/>
      <c r="K38" s="150"/>
      <c r="L38" s="150"/>
      <c r="M38" s="118">
        <f t="shared" si="10"/>
        <v>0</v>
      </c>
      <c r="N38" s="119" t="str">
        <f t="shared" si="11"/>
        <v>#DIV/0!</v>
      </c>
      <c r="O38" s="176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84">
        <v>1.0</v>
      </c>
      <c r="AC38" s="179"/>
      <c r="AD38" s="184">
        <v>1.0</v>
      </c>
      <c r="AE38" s="179"/>
      <c r="AF38" s="176"/>
      <c r="AG38" s="182">
        <v>1.0</v>
      </c>
      <c r="AH38" s="176"/>
      <c r="AI38" s="176"/>
      <c r="AJ38" s="168">
        <f t="shared" si="12"/>
        <v>3</v>
      </c>
      <c r="AK38" s="169">
        <f t="shared" si="13"/>
        <v>75</v>
      </c>
      <c r="AL38" s="183"/>
      <c r="AM38" s="179"/>
      <c r="AN38" s="184">
        <v>2.0</v>
      </c>
      <c r="AO38" s="179"/>
      <c r="AP38" s="179"/>
      <c r="AQ38" s="179"/>
      <c r="AR38" s="179"/>
      <c r="AS38" s="179"/>
      <c r="AT38" s="179"/>
      <c r="AU38" s="179"/>
      <c r="AV38" s="179"/>
      <c r="AW38" s="179"/>
      <c r="AX38" s="179"/>
      <c r="AY38" s="179"/>
      <c r="AZ38" s="179"/>
      <c r="BA38" s="179"/>
      <c r="BB38" s="179"/>
      <c r="BC38" s="204"/>
      <c r="BD38" s="179"/>
      <c r="BE38" s="179"/>
      <c r="BF38" s="179"/>
      <c r="BG38" s="118">
        <f t="shared" si="14"/>
        <v>2</v>
      </c>
      <c r="BH38" s="122">
        <f t="shared" si="15"/>
        <v>50</v>
      </c>
      <c r="BI38" s="176"/>
      <c r="BJ38" s="179"/>
      <c r="BK38" s="179"/>
      <c r="BL38" s="179"/>
      <c r="BM38" s="179"/>
      <c r="BN38" s="179"/>
      <c r="BO38" s="179"/>
      <c r="BP38" s="179"/>
      <c r="BQ38" s="179"/>
      <c r="BR38" s="179"/>
      <c r="BS38" s="179"/>
      <c r="BT38" s="184">
        <v>1.0</v>
      </c>
      <c r="BU38" s="179"/>
      <c r="BV38" s="179"/>
      <c r="BW38" s="186"/>
      <c r="BX38" s="186"/>
      <c r="BY38" s="138">
        <v>1.0</v>
      </c>
      <c r="BZ38" s="186"/>
      <c r="CA38" s="186"/>
      <c r="CB38" s="186"/>
      <c r="CC38" s="186"/>
      <c r="CD38" s="200">
        <v>1.0</v>
      </c>
      <c r="CE38" s="172">
        <f t="shared" si="16"/>
        <v>3</v>
      </c>
      <c r="CF38" s="173">
        <f t="shared" si="17"/>
        <v>75</v>
      </c>
      <c r="CG38" s="199"/>
      <c r="CH38" s="186"/>
      <c r="CI38" s="186"/>
      <c r="CJ38" s="186"/>
      <c r="CK38" s="186"/>
      <c r="CL38" s="186"/>
      <c r="CM38" s="186"/>
      <c r="CN38" s="186"/>
      <c r="CO38" s="186"/>
      <c r="CP38" s="186"/>
      <c r="CQ38" s="186"/>
      <c r="CR38" s="186"/>
      <c r="CS38" s="175">
        <f t="shared" si="18"/>
        <v>0</v>
      </c>
      <c r="CT38" s="158" t="str">
        <f t="shared" si="19"/>
        <v>#DIV/0!</v>
      </c>
    </row>
    <row r="39" ht="15.75" customHeight="1">
      <c r="A39" s="146">
        <v>30.0</v>
      </c>
      <c r="B39" s="111" t="s">
        <v>110</v>
      </c>
      <c r="C39" s="112" t="s">
        <v>111</v>
      </c>
      <c r="D39" s="91">
        <f t="shared" si="6"/>
        <v>8</v>
      </c>
      <c r="E39" s="113">
        <f t="shared" si="7"/>
        <v>66.66666667</v>
      </c>
      <c r="F39" s="114" t="str">
        <f t="shared" si="8"/>
        <v>  </v>
      </c>
      <c r="G39" s="164" t="str">
        <f t="shared" si="9"/>
        <v>  </v>
      </c>
      <c r="H39" s="165"/>
      <c r="I39" s="150"/>
      <c r="J39" s="150"/>
      <c r="K39" s="150"/>
      <c r="L39" s="150"/>
      <c r="M39" s="118">
        <f t="shared" si="10"/>
        <v>0</v>
      </c>
      <c r="N39" s="119" t="str">
        <f t="shared" si="11"/>
        <v>#DIV/0!</v>
      </c>
      <c r="O39" s="176"/>
      <c r="P39" s="179"/>
      <c r="Q39" s="179"/>
      <c r="R39" s="179"/>
      <c r="S39" s="179"/>
      <c r="T39" s="179"/>
      <c r="U39" s="179"/>
      <c r="V39" s="179"/>
      <c r="W39" s="179"/>
      <c r="X39" s="179"/>
      <c r="Y39" s="179"/>
      <c r="Z39" s="179"/>
      <c r="AA39" s="179"/>
      <c r="AB39" s="179"/>
      <c r="AC39" s="179"/>
      <c r="AD39" s="179"/>
      <c r="AE39" s="179"/>
      <c r="AF39" s="176"/>
      <c r="AG39" s="182">
        <v>1.0</v>
      </c>
      <c r="AH39" s="176"/>
      <c r="AI39" s="176"/>
      <c r="AJ39" s="168">
        <f t="shared" si="12"/>
        <v>1</v>
      </c>
      <c r="AK39" s="169">
        <f t="shared" si="13"/>
        <v>25</v>
      </c>
      <c r="AL39" s="183"/>
      <c r="AM39" s="179"/>
      <c r="AN39" s="184">
        <v>2.0</v>
      </c>
      <c r="AO39" s="179"/>
      <c r="AP39" s="179"/>
      <c r="AQ39" s="179"/>
      <c r="AR39" s="179"/>
      <c r="AS39" s="184">
        <v>1.0</v>
      </c>
      <c r="AT39" s="179"/>
      <c r="AU39" s="179"/>
      <c r="AV39" s="179"/>
      <c r="AW39" s="179"/>
      <c r="AX39" s="179"/>
      <c r="AY39" s="179"/>
      <c r="AZ39" s="179"/>
      <c r="BA39" s="179"/>
      <c r="BB39" s="179"/>
      <c r="BC39" s="116"/>
      <c r="BD39" s="179"/>
      <c r="BE39" s="179"/>
      <c r="BF39" s="179"/>
      <c r="BG39" s="118">
        <f t="shared" si="14"/>
        <v>3</v>
      </c>
      <c r="BH39" s="122">
        <f t="shared" si="15"/>
        <v>75</v>
      </c>
      <c r="BI39" s="176"/>
      <c r="BJ39" s="179"/>
      <c r="BK39" s="179"/>
      <c r="BL39" s="179"/>
      <c r="BM39" s="179"/>
      <c r="BN39" s="179"/>
      <c r="BO39" s="179"/>
      <c r="BP39" s="179"/>
      <c r="BQ39" s="179"/>
      <c r="BR39" s="179"/>
      <c r="BS39" s="179"/>
      <c r="BT39" s="184">
        <v>1.0</v>
      </c>
      <c r="BU39" s="179"/>
      <c r="BV39" s="179"/>
      <c r="BW39" s="186"/>
      <c r="BX39" s="186"/>
      <c r="BY39" s="138">
        <v>1.0</v>
      </c>
      <c r="BZ39" s="186"/>
      <c r="CA39" s="186"/>
      <c r="CB39" s="200">
        <v>1.0</v>
      </c>
      <c r="CC39" s="186"/>
      <c r="CD39" s="200">
        <v>1.0</v>
      </c>
      <c r="CE39" s="172">
        <f t="shared" si="16"/>
        <v>4</v>
      </c>
      <c r="CF39" s="173">
        <f t="shared" si="17"/>
        <v>100</v>
      </c>
      <c r="CG39" s="199"/>
      <c r="CH39" s="186"/>
      <c r="CI39" s="186"/>
      <c r="CJ39" s="186"/>
      <c r="CK39" s="186"/>
      <c r="CL39" s="186"/>
      <c r="CM39" s="186"/>
      <c r="CN39" s="186"/>
      <c r="CO39" s="186"/>
      <c r="CP39" s="186"/>
      <c r="CQ39" s="186"/>
      <c r="CR39" s="186"/>
      <c r="CS39" s="175">
        <f t="shared" si="18"/>
        <v>0</v>
      </c>
      <c r="CT39" s="158" t="str">
        <f t="shared" si="19"/>
        <v>#DIV/0!</v>
      </c>
    </row>
    <row r="40" ht="15.75" customHeight="1">
      <c r="A40" s="50">
        <v>31.0</v>
      </c>
      <c r="B40" s="111" t="s">
        <v>112</v>
      </c>
      <c r="C40" s="112" t="s">
        <v>113</v>
      </c>
      <c r="D40" s="91">
        <f t="shared" si="6"/>
        <v>9</v>
      </c>
      <c r="E40" s="113">
        <f t="shared" si="7"/>
        <v>75</v>
      </c>
      <c r="F40" s="114" t="str">
        <f t="shared" si="8"/>
        <v>  </v>
      </c>
      <c r="G40" s="164" t="str">
        <f t="shared" si="9"/>
        <v>  </v>
      </c>
      <c r="H40" s="165"/>
      <c r="I40" s="116"/>
      <c r="J40" s="116"/>
      <c r="K40" s="116"/>
      <c r="L40" s="116"/>
      <c r="M40" s="118">
        <f t="shared" si="10"/>
        <v>0</v>
      </c>
      <c r="N40" s="119" t="str">
        <f t="shared" si="11"/>
        <v>#DIV/0!</v>
      </c>
      <c r="O40" s="206"/>
      <c r="P40" s="207"/>
      <c r="Q40" s="207"/>
      <c r="R40" s="207"/>
      <c r="S40" s="207"/>
      <c r="T40" s="207"/>
      <c r="U40" s="207"/>
      <c r="V40" s="207"/>
      <c r="W40" s="207"/>
      <c r="X40" s="207"/>
      <c r="Y40" s="207"/>
      <c r="Z40" s="207"/>
      <c r="AA40" s="207"/>
      <c r="AB40" s="234">
        <v>1.0</v>
      </c>
      <c r="AC40" s="207"/>
      <c r="AD40" s="207"/>
      <c r="AE40" s="207"/>
      <c r="AF40" s="206"/>
      <c r="AG40" s="209">
        <v>1.0</v>
      </c>
      <c r="AH40" s="209">
        <v>1.0</v>
      </c>
      <c r="AI40" s="206"/>
      <c r="AJ40" s="168">
        <f t="shared" si="12"/>
        <v>3</v>
      </c>
      <c r="AK40" s="169">
        <f t="shared" si="13"/>
        <v>75</v>
      </c>
      <c r="AL40" s="212"/>
      <c r="AM40" s="207"/>
      <c r="AN40" s="207"/>
      <c r="AO40" s="207"/>
      <c r="AP40" s="207"/>
      <c r="AQ40" s="207"/>
      <c r="AR40" s="207"/>
      <c r="AS40" s="234">
        <v>1.0</v>
      </c>
      <c r="AT40" s="207"/>
      <c r="AU40" s="207"/>
      <c r="AV40" s="207"/>
      <c r="AW40" s="207"/>
      <c r="AX40" s="207"/>
      <c r="AY40" s="207"/>
      <c r="AZ40" s="207"/>
      <c r="BA40" s="207"/>
      <c r="BB40" s="207"/>
      <c r="BC40" s="116"/>
      <c r="BD40" s="207"/>
      <c r="BE40" s="207"/>
      <c r="BF40" s="234">
        <v>1.0</v>
      </c>
      <c r="BG40" s="118">
        <f t="shared" si="14"/>
        <v>2</v>
      </c>
      <c r="BH40" s="122">
        <f t="shared" si="15"/>
        <v>50</v>
      </c>
      <c r="BI40" s="206"/>
      <c r="BJ40" s="207"/>
      <c r="BK40" s="207"/>
      <c r="BL40" s="207"/>
      <c r="BM40" s="207"/>
      <c r="BN40" s="207"/>
      <c r="BO40" s="207"/>
      <c r="BP40" s="207"/>
      <c r="BQ40" s="207"/>
      <c r="BR40" s="207"/>
      <c r="BS40" s="207"/>
      <c r="BT40" s="234">
        <v>1.0</v>
      </c>
      <c r="BU40" s="207"/>
      <c r="BV40" s="207"/>
      <c r="BW40" s="186"/>
      <c r="BX40" s="186"/>
      <c r="BY40" s="138">
        <v>1.0</v>
      </c>
      <c r="BZ40" s="186"/>
      <c r="CA40" s="186"/>
      <c r="CB40" s="200">
        <v>1.0</v>
      </c>
      <c r="CC40" s="186"/>
      <c r="CD40" s="200">
        <v>1.0</v>
      </c>
      <c r="CE40" s="172">
        <f t="shared" si="16"/>
        <v>4</v>
      </c>
      <c r="CF40" s="173">
        <f t="shared" si="17"/>
        <v>100</v>
      </c>
      <c r="CG40" s="199"/>
      <c r="CH40" s="186"/>
      <c r="CI40" s="186"/>
      <c r="CJ40" s="186"/>
      <c r="CK40" s="186"/>
      <c r="CL40" s="186"/>
      <c r="CM40" s="186"/>
      <c r="CN40" s="186"/>
      <c r="CO40" s="186"/>
      <c r="CP40" s="186"/>
      <c r="CQ40" s="186"/>
      <c r="CR40" s="186"/>
      <c r="CS40" s="175">
        <f t="shared" si="18"/>
        <v>0</v>
      </c>
      <c r="CT40" s="158" t="str">
        <f t="shared" si="19"/>
        <v>#DIV/0!</v>
      </c>
    </row>
    <row r="41" ht="15.75" customHeight="1">
      <c r="A41" s="131">
        <v>32.0</v>
      </c>
      <c r="B41" s="111" t="s">
        <v>114</v>
      </c>
      <c r="C41" s="112" t="s">
        <v>115</v>
      </c>
      <c r="D41" s="91">
        <f t="shared" si="6"/>
        <v>9</v>
      </c>
      <c r="E41" s="113">
        <f t="shared" si="7"/>
        <v>75</v>
      </c>
      <c r="F41" s="114" t="str">
        <f t="shared" si="8"/>
        <v>  </v>
      </c>
      <c r="G41" s="164" t="str">
        <f t="shared" si="9"/>
        <v>  </v>
      </c>
      <c r="H41" s="165"/>
      <c r="I41" s="116"/>
      <c r="J41" s="116"/>
      <c r="K41" s="116"/>
      <c r="L41" s="116"/>
      <c r="M41" s="118">
        <f t="shared" si="10"/>
        <v>0</v>
      </c>
      <c r="N41" s="119" t="str">
        <f t="shared" si="11"/>
        <v>#DIV/0!</v>
      </c>
      <c r="O41" s="176"/>
      <c r="P41" s="179"/>
      <c r="Q41" s="179"/>
      <c r="R41" s="179"/>
      <c r="S41" s="179"/>
      <c r="T41" s="179"/>
      <c r="U41" s="179"/>
      <c r="V41" s="179"/>
      <c r="W41" s="179"/>
      <c r="X41" s="179"/>
      <c r="Y41" s="179"/>
      <c r="Z41" s="179"/>
      <c r="AA41" s="179"/>
      <c r="AB41" s="184">
        <v>1.0</v>
      </c>
      <c r="AC41" s="179"/>
      <c r="AD41" s="179"/>
      <c r="AE41" s="179"/>
      <c r="AF41" s="176"/>
      <c r="AG41" s="182">
        <v>1.0</v>
      </c>
      <c r="AH41" s="176"/>
      <c r="AI41" s="176"/>
      <c r="AJ41" s="168">
        <f t="shared" si="12"/>
        <v>2</v>
      </c>
      <c r="AK41" s="169">
        <f t="shared" si="13"/>
        <v>50</v>
      </c>
      <c r="AL41" s="183"/>
      <c r="AM41" s="179"/>
      <c r="AN41" s="184">
        <v>2.0</v>
      </c>
      <c r="AO41" s="179"/>
      <c r="AP41" s="179"/>
      <c r="AQ41" s="179"/>
      <c r="AR41" s="179"/>
      <c r="AS41" s="179"/>
      <c r="AT41" s="179"/>
      <c r="AU41" s="179"/>
      <c r="AV41" s="179"/>
      <c r="AW41" s="179"/>
      <c r="AX41" s="179"/>
      <c r="AY41" s="179"/>
      <c r="AZ41" s="179"/>
      <c r="BA41" s="179"/>
      <c r="BB41" s="179"/>
      <c r="BC41" s="138">
        <v>1.0</v>
      </c>
      <c r="BD41" s="179"/>
      <c r="BE41" s="179"/>
      <c r="BF41" s="184">
        <v>1.0</v>
      </c>
      <c r="BG41" s="118">
        <f t="shared" si="14"/>
        <v>4</v>
      </c>
      <c r="BH41" s="122">
        <f t="shared" si="15"/>
        <v>100</v>
      </c>
      <c r="BI41" s="176"/>
      <c r="BJ41" s="179"/>
      <c r="BK41" s="179"/>
      <c r="BL41" s="179"/>
      <c r="BM41" s="179"/>
      <c r="BN41" s="179"/>
      <c r="BO41" s="179"/>
      <c r="BP41" s="179"/>
      <c r="BQ41" s="179"/>
      <c r="BR41" s="179"/>
      <c r="BS41" s="179"/>
      <c r="BT41" s="184">
        <v>1.0</v>
      </c>
      <c r="BU41" s="179"/>
      <c r="BV41" s="179"/>
      <c r="BW41" s="186"/>
      <c r="BX41" s="186"/>
      <c r="BY41" s="138">
        <v>1.0</v>
      </c>
      <c r="BZ41" s="186"/>
      <c r="CA41" s="186"/>
      <c r="CB41" s="186"/>
      <c r="CC41" s="186"/>
      <c r="CD41" s="200">
        <v>1.0</v>
      </c>
      <c r="CE41" s="172">
        <f t="shared" si="16"/>
        <v>3</v>
      </c>
      <c r="CF41" s="173">
        <f t="shared" si="17"/>
        <v>75</v>
      </c>
      <c r="CG41" s="199"/>
      <c r="CH41" s="186"/>
      <c r="CI41" s="186"/>
      <c r="CJ41" s="186"/>
      <c r="CK41" s="186"/>
      <c r="CL41" s="186"/>
      <c r="CM41" s="186"/>
      <c r="CN41" s="186"/>
      <c r="CO41" s="186"/>
      <c r="CP41" s="186"/>
      <c r="CQ41" s="186"/>
      <c r="CR41" s="186"/>
      <c r="CS41" s="175">
        <f t="shared" si="18"/>
        <v>0</v>
      </c>
      <c r="CT41" s="158" t="str">
        <f t="shared" si="19"/>
        <v>#DIV/0!</v>
      </c>
    </row>
    <row r="42" ht="15.75" customHeight="1">
      <c r="A42" s="146">
        <v>33.0</v>
      </c>
      <c r="B42" s="111" t="s">
        <v>116</v>
      </c>
      <c r="C42" s="112" t="s">
        <v>117</v>
      </c>
      <c r="D42" s="91">
        <f t="shared" si="6"/>
        <v>8</v>
      </c>
      <c r="E42" s="113">
        <f t="shared" si="7"/>
        <v>66.66666667</v>
      </c>
      <c r="F42" s="114" t="str">
        <f t="shared" si="8"/>
        <v>  </v>
      </c>
      <c r="G42" s="202" t="str">
        <f t="shared" si="9"/>
        <v>  </v>
      </c>
      <c r="H42" s="192"/>
      <c r="I42" s="150"/>
      <c r="J42" s="150"/>
      <c r="K42" s="116"/>
      <c r="L42" s="116"/>
      <c r="M42" s="118">
        <f t="shared" si="10"/>
        <v>0</v>
      </c>
      <c r="N42" s="119" t="str">
        <f t="shared" si="11"/>
        <v>#DIV/0!</v>
      </c>
      <c r="O42" s="176"/>
      <c r="P42" s="179"/>
      <c r="Q42" s="179"/>
      <c r="R42" s="179"/>
      <c r="S42" s="179"/>
      <c r="T42" s="179"/>
      <c r="U42" s="179"/>
      <c r="V42" s="179"/>
      <c r="W42" s="179"/>
      <c r="X42" s="179"/>
      <c r="Y42" s="179"/>
      <c r="Z42" s="179"/>
      <c r="AA42" s="179"/>
      <c r="AB42" s="184">
        <v>1.0</v>
      </c>
      <c r="AC42" s="179"/>
      <c r="AD42" s="184">
        <v>1.0</v>
      </c>
      <c r="AE42" s="179"/>
      <c r="AF42" s="176"/>
      <c r="AG42" s="176"/>
      <c r="AH42" s="176"/>
      <c r="AI42" s="176"/>
      <c r="AJ42" s="168">
        <f t="shared" si="12"/>
        <v>2</v>
      </c>
      <c r="AK42" s="169">
        <f t="shared" si="13"/>
        <v>50</v>
      </c>
      <c r="AL42" s="183"/>
      <c r="AM42" s="179"/>
      <c r="AN42" s="184">
        <v>2.0</v>
      </c>
      <c r="AO42" s="179"/>
      <c r="AP42" s="179"/>
      <c r="AQ42" s="179"/>
      <c r="AR42" s="179"/>
      <c r="AS42" s="184">
        <v>1.0</v>
      </c>
      <c r="AT42" s="179"/>
      <c r="AU42" s="179"/>
      <c r="AV42" s="179"/>
      <c r="AW42" s="179"/>
      <c r="AX42" s="179"/>
      <c r="AY42" s="179"/>
      <c r="AZ42" s="179"/>
      <c r="BA42" s="179"/>
      <c r="BB42" s="179"/>
      <c r="BC42" s="204"/>
      <c r="BD42" s="179"/>
      <c r="BE42" s="179"/>
      <c r="BF42" s="179"/>
      <c r="BG42" s="118">
        <f t="shared" si="14"/>
        <v>3</v>
      </c>
      <c r="BH42" s="122">
        <f t="shared" si="15"/>
        <v>75</v>
      </c>
      <c r="BI42" s="176"/>
      <c r="BJ42" s="179"/>
      <c r="BK42" s="179"/>
      <c r="BL42" s="179"/>
      <c r="BM42" s="179"/>
      <c r="BN42" s="179"/>
      <c r="BO42" s="179"/>
      <c r="BP42" s="179"/>
      <c r="BQ42" s="179"/>
      <c r="BR42" s="179"/>
      <c r="BS42" s="179"/>
      <c r="BT42" s="184">
        <v>1.0</v>
      </c>
      <c r="BU42" s="179"/>
      <c r="BV42" s="179"/>
      <c r="BW42" s="186"/>
      <c r="BX42" s="186"/>
      <c r="BY42" s="138">
        <v>1.0</v>
      </c>
      <c r="BZ42" s="186"/>
      <c r="CA42" s="186"/>
      <c r="CB42" s="186"/>
      <c r="CC42" s="186"/>
      <c r="CD42" s="200">
        <v>1.0</v>
      </c>
      <c r="CE42" s="172">
        <f t="shared" si="16"/>
        <v>3</v>
      </c>
      <c r="CF42" s="173">
        <f t="shared" si="17"/>
        <v>75</v>
      </c>
      <c r="CG42" s="199"/>
      <c r="CH42" s="186"/>
      <c r="CI42" s="186"/>
      <c r="CJ42" s="186"/>
      <c r="CK42" s="186"/>
      <c r="CL42" s="186"/>
      <c r="CM42" s="186"/>
      <c r="CN42" s="186"/>
      <c r="CO42" s="186"/>
      <c r="CP42" s="186"/>
      <c r="CQ42" s="186"/>
      <c r="CR42" s="186"/>
      <c r="CS42" s="175">
        <f t="shared" si="18"/>
        <v>0</v>
      </c>
      <c r="CT42" s="158" t="str">
        <f t="shared" si="19"/>
        <v>#DIV/0!</v>
      </c>
    </row>
    <row r="43" ht="15.75" customHeight="1">
      <c r="A43" s="50">
        <v>34.0</v>
      </c>
      <c r="B43" s="111" t="s">
        <v>118</v>
      </c>
      <c r="C43" s="112" t="s">
        <v>119</v>
      </c>
      <c r="D43" s="91">
        <f t="shared" si="6"/>
        <v>0</v>
      </c>
      <c r="E43" s="113">
        <f t="shared" si="7"/>
        <v>0</v>
      </c>
      <c r="F43" s="114">
        <f t="shared" si="8"/>
        <v>0</v>
      </c>
      <c r="G43" s="202">
        <f t="shared" si="9"/>
        <v>0</v>
      </c>
      <c r="H43" s="165"/>
      <c r="I43" s="116"/>
      <c r="J43" s="116"/>
      <c r="K43" s="150"/>
      <c r="L43" s="150"/>
      <c r="M43" s="118">
        <f t="shared" si="10"/>
        <v>0</v>
      </c>
      <c r="N43" s="119" t="str">
        <f t="shared" si="11"/>
        <v>#DIV/0!</v>
      </c>
      <c r="O43" s="176"/>
      <c r="P43" s="179"/>
      <c r="Q43" s="179"/>
      <c r="R43" s="179"/>
      <c r="S43" s="179"/>
      <c r="T43" s="179"/>
      <c r="U43" s="179"/>
      <c r="V43" s="179"/>
      <c r="W43" s="179"/>
      <c r="X43" s="179"/>
      <c r="Y43" s="179"/>
      <c r="Z43" s="179"/>
      <c r="AA43" s="179"/>
      <c r="AB43" s="179"/>
      <c r="AC43" s="179"/>
      <c r="AD43" s="179"/>
      <c r="AE43" s="179"/>
      <c r="AF43" s="176"/>
      <c r="AG43" s="176"/>
      <c r="AH43" s="176"/>
      <c r="AI43" s="176"/>
      <c r="AJ43" s="168">
        <f t="shared" si="12"/>
        <v>0</v>
      </c>
      <c r="AK43" s="169">
        <f t="shared" si="13"/>
        <v>0</v>
      </c>
      <c r="AL43" s="183"/>
      <c r="AM43" s="179"/>
      <c r="AN43" s="179"/>
      <c r="AO43" s="179"/>
      <c r="AP43" s="179"/>
      <c r="AQ43" s="179"/>
      <c r="AR43" s="179"/>
      <c r="AS43" s="179"/>
      <c r="AT43" s="179"/>
      <c r="AU43" s="179"/>
      <c r="AV43" s="179"/>
      <c r="AW43" s="179"/>
      <c r="AX43" s="179"/>
      <c r="AY43" s="179"/>
      <c r="AZ43" s="179"/>
      <c r="BA43" s="179"/>
      <c r="BB43" s="179"/>
      <c r="BC43" s="204"/>
      <c r="BD43" s="179"/>
      <c r="BE43" s="179"/>
      <c r="BF43" s="179"/>
      <c r="BG43" s="118">
        <f t="shared" si="14"/>
        <v>0</v>
      </c>
      <c r="BH43" s="122">
        <f t="shared" si="15"/>
        <v>0</v>
      </c>
      <c r="BI43" s="176"/>
      <c r="BJ43" s="179"/>
      <c r="BK43" s="179"/>
      <c r="BL43" s="179"/>
      <c r="BM43" s="179"/>
      <c r="BN43" s="179"/>
      <c r="BO43" s="179"/>
      <c r="BP43" s="179"/>
      <c r="BQ43" s="179"/>
      <c r="BR43" s="179"/>
      <c r="BS43" s="179"/>
      <c r="BT43" s="179"/>
      <c r="BU43" s="179"/>
      <c r="BV43" s="179"/>
      <c r="BW43" s="186"/>
      <c r="BX43" s="186"/>
      <c r="BY43" s="116"/>
      <c r="BZ43" s="186"/>
      <c r="CA43" s="186"/>
      <c r="CB43" s="186"/>
      <c r="CC43" s="186"/>
      <c r="CD43" s="186"/>
      <c r="CE43" s="172">
        <f t="shared" si="16"/>
        <v>0</v>
      </c>
      <c r="CF43" s="173">
        <f t="shared" si="17"/>
        <v>0</v>
      </c>
      <c r="CG43" s="199"/>
      <c r="CH43" s="186"/>
      <c r="CI43" s="186"/>
      <c r="CJ43" s="186"/>
      <c r="CK43" s="186"/>
      <c r="CL43" s="186"/>
      <c r="CM43" s="186"/>
      <c r="CN43" s="186"/>
      <c r="CO43" s="186"/>
      <c r="CP43" s="186"/>
      <c r="CQ43" s="186"/>
      <c r="CR43" s="186"/>
      <c r="CS43" s="175">
        <f t="shared" si="18"/>
        <v>0</v>
      </c>
      <c r="CT43" s="158" t="str">
        <f t="shared" si="19"/>
        <v>#DIV/0!</v>
      </c>
    </row>
    <row r="44" ht="15.75" customHeight="1">
      <c r="A44" s="131">
        <v>35.0</v>
      </c>
      <c r="B44" s="111" t="s">
        <v>120</v>
      </c>
      <c r="C44" s="112" t="s">
        <v>121</v>
      </c>
      <c r="D44" s="91">
        <f t="shared" si="6"/>
        <v>6</v>
      </c>
      <c r="E44" s="113">
        <f t="shared" si="7"/>
        <v>50</v>
      </c>
      <c r="F44" s="114" t="str">
        <f t="shared" si="8"/>
        <v>  </v>
      </c>
      <c r="G44" s="164" t="str">
        <f t="shared" si="9"/>
        <v>  </v>
      </c>
      <c r="H44" s="165"/>
      <c r="I44" s="116"/>
      <c r="J44" s="43"/>
      <c r="K44" s="116"/>
      <c r="L44" s="116"/>
      <c r="M44" s="118">
        <f t="shared" si="10"/>
        <v>0</v>
      </c>
      <c r="N44" s="119" t="str">
        <f t="shared" si="11"/>
        <v>#DIV/0!</v>
      </c>
      <c r="O44" s="195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  <c r="AA44" s="186"/>
      <c r="AB44" s="200">
        <v>1.0</v>
      </c>
      <c r="AC44" s="186"/>
      <c r="AD44" s="186"/>
      <c r="AE44" s="186"/>
      <c r="AF44" s="195"/>
      <c r="AG44" s="197">
        <v>1.0</v>
      </c>
      <c r="AH44" s="197">
        <v>1.0</v>
      </c>
      <c r="AI44" s="195"/>
      <c r="AJ44" s="168">
        <f t="shared" si="12"/>
        <v>3</v>
      </c>
      <c r="AK44" s="169">
        <f t="shared" si="13"/>
        <v>75</v>
      </c>
      <c r="AL44" s="199"/>
      <c r="AM44" s="186"/>
      <c r="AN44" s="186"/>
      <c r="AO44" s="186"/>
      <c r="AP44" s="186"/>
      <c r="AQ44" s="186"/>
      <c r="AR44" s="186"/>
      <c r="AS44" s="200">
        <v>1.0</v>
      </c>
      <c r="AT44" s="186"/>
      <c r="AU44" s="186"/>
      <c r="AV44" s="186"/>
      <c r="AW44" s="186"/>
      <c r="AX44" s="186"/>
      <c r="AY44" s="186"/>
      <c r="AZ44" s="186"/>
      <c r="BA44" s="186"/>
      <c r="BB44" s="186"/>
      <c r="BC44" s="218">
        <v>1.0</v>
      </c>
      <c r="BD44" s="186"/>
      <c r="BE44" s="186"/>
      <c r="BF44" s="186"/>
      <c r="BG44" s="118">
        <f t="shared" si="14"/>
        <v>2</v>
      </c>
      <c r="BH44" s="122">
        <f t="shared" si="15"/>
        <v>50</v>
      </c>
      <c r="BI44" s="195"/>
      <c r="BJ44" s="186"/>
      <c r="BK44" s="186"/>
      <c r="BL44" s="186"/>
      <c r="BM44" s="186"/>
      <c r="BN44" s="186"/>
      <c r="BO44" s="186"/>
      <c r="BP44" s="186"/>
      <c r="BQ44" s="186"/>
      <c r="BR44" s="186"/>
      <c r="BS44" s="186"/>
      <c r="BT44" s="200">
        <v>1.0</v>
      </c>
      <c r="BU44" s="186"/>
      <c r="BV44" s="186"/>
      <c r="BW44" s="186"/>
      <c r="BX44" s="186"/>
      <c r="BY44" s="116"/>
      <c r="BZ44" s="186"/>
      <c r="CA44" s="186"/>
      <c r="CB44" s="186"/>
      <c r="CC44" s="186"/>
      <c r="CD44" s="186"/>
      <c r="CE44" s="172">
        <f t="shared" si="16"/>
        <v>1</v>
      </c>
      <c r="CF44" s="173">
        <f t="shared" si="17"/>
        <v>25</v>
      </c>
      <c r="CG44" s="199"/>
      <c r="CH44" s="186"/>
      <c r="CI44" s="186"/>
      <c r="CJ44" s="186"/>
      <c r="CK44" s="186"/>
      <c r="CL44" s="186"/>
      <c r="CM44" s="186"/>
      <c r="CN44" s="186"/>
      <c r="CO44" s="186"/>
      <c r="CP44" s="186"/>
      <c r="CQ44" s="186"/>
      <c r="CR44" s="186"/>
      <c r="CS44" s="175">
        <f t="shared" si="18"/>
        <v>0</v>
      </c>
      <c r="CT44" s="158" t="str">
        <f t="shared" si="19"/>
        <v>#DIV/0!</v>
      </c>
    </row>
    <row r="45" ht="15.75" customHeight="1">
      <c r="A45" s="146">
        <v>36.0</v>
      </c>
      <c r="B45" s="111" t="s">
        <v>122</v>
      </c>
      <c r="C45" s="112" t="s">
        <v>123</v>
      </c>
      <c r="D45" s="91">
        <f t="shared" si="6"/>
        <v>7</v>
      </c>
      <c r="E45" s="113">
        <f t="shared" si="7"/>
        <v>58.33333333</v>
      </c>
      <c r="F45" s="114" t="str">
        <f t="shared" si="8"/>
        <v>  </v>
      </c>
      <c r="G45" s="164" t="str">
        <f t="shared" si="9"/>
        <v>  </v>
      </c>
      <c r="H45" s="165"/>
      <c r="I45" s="116"/>
      <c r="J45" s="116"/>
      <c r="K45" s="116"/>
      <c r="L45" s="116"/>
      <c r="M45" s="118">
        <f t="shared" si="10"/>
        <v>0</v>
      </c>
      <c r="N45" s="119" t="str">
        <f t="shared" si="11"/>
        <v>#DIV/0!</v>
      </c>
      <c r="O45" s="195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  <c r="AA45" s="186"/>
      <c r="AB45" s="200">
        <v>1.0</v>
      </c>
      <c r="AC45" s="186"/>
      <c r="AD45" s="186"/>
      <c r="AE45" s="186"/>
      <c r="AF45" s="195"/>
      <c r="AG45" s="197">
        <v>1.0</v>
      </c>
      <c r="AH45" s="195"/>
      <c r="AI45" s="195"/>
      <c r="AJ45" s="168">
        <f t="shared" si="12"/>
        <v>2</v>
      </c>
      <c r="AK45" s="169">
        <f t="shared" si="13"/>
        <v>50</v>
      </c>
      <c r="AL45" s="199"/>
      <c r="AM45" s="186"/>
      <c r="AN45" s="186"/>
      <c r="AO45" s="186"/>
      <c r="AP45" s="186"/>
      <c r="AQ45" s="186"/>
      <c r="AR45" s="186"/>
      <c r="AS45" s="186"/>
      <c r="AT45" s="186"/>
      <c r="AU45" s="186"/>
      <c r="AV45" s="186"/>
      <c r="AW45" s="186"/>
      <c r="AX45" s="186"/>
      <c r="AY45" s="186"/>
      <c r="AZ45" s="186"/>
      <c r="BA45" s="186"/>
      <c r="BB45" s="186"/>
      <c r="BC45" s="138">
        <v>1.0</v>
      </c>
      <c r="BD45" s="186"/>
      <c r="BE45" s="186"/>
      <c r="BF45" s="200">
        <v>1.0</v>
      </c>
      <c r="BG45" s="118">
        <f t="shared" si="14"/>
        <v>2</v>
      </c>
      <c r="BH45" s="122">
        <f t="shared" si="15"/>
        <v>50</v>
      </c>
      <c r="BI45" s="195"/>
      <c r="BJ45" s="186"/>
      <c r="BK45" s="186"/>
      <c r="BL45" s="186"/>
      <c r="BM45" s="186"/>
      <c r="BN45" s="186"/>
      <c r="BO45" s="186"/>
      <c r="BP45" s="186"/>
      <c r="BQ45" s="186"/>
      <c r="BR45" s="186"/>
      <c r="BS45" s="186"/>
      <c r="BT45" s="200">
        <v>1.0</v>
      </c>
      <c r="BU45" s="186"/>
      <c r="BV45" s="186"/>
      <c r="BW45" s="186"/>
      <c r="BX45" s="186"/>
      <c r="BY45" s="138">
        <v>1.0</v>
      </c>
      <c r="BZ45" s="186"/>
      <c r="CA45" s="186"/>
      <c r="CB45" s="186"/>
      <c r="CC45" s="186"/>
      <c r="CD45" s="200">
        <v>1.0</v>
      </c>
      <c r="CE45" s="172">
        <f t="shared" si="16"/>
        <v>3</v>
      </c>
      <c r="CF45" s="173">
        <f t="shared" si="17"/>
        <v>75</v>
      </c>
      <c r="CG45" s="199"/>
      <c r="CH45" s="186"/>
      <c r="CI45" s="186"/>
      <c r="CJ45" s="186"/>
      <c r="CK45" s="186"/>
      <c r="CL45" s="186"/>
      <c r="CM45" s="186"/>
      <c r="CN45" s="186"/>
      <c r="CO45" s="186"/>
      <c r="CP45" s="186"/>
      <c r="CQ45" s="186"/>
      <c r="CR45" s="186"/>
      <c r="CS45" s="175">
        <f t="shared" si="18"/>
        <v>0</v>
      </c>
      <c r="CT45" s="158" t="str">
        <f t="shared" si="19"/>
        <v>#DIV/0!</v>
      </c>
    </row>
    <row r="46" ht="15.75" customHeight="1">
      <c r="A46" s="50">
        <v>37.0</v>
      </c>
      <c r="B46" s="111" t="s">
        <v>124</v>
      </c>
      <c r="C46" s="112" t="s">
        <v>125</v>
      </c>
      <c r="D46" s="91">
        <f t="shared" si="6"/>
        <v>8</v>
      </c>
      <c r="E46" s="113">
        <f t="shared" si="7"/>
        <v>66.66666667</v>
      </c>
      <c r="F46" s="114" t="str">
        <f t="shared" si="8"/>
        <v>  </v>
      </c>
      <c r="G46" s="202" t="str">
        <f t="shared" si="9"/>
        <v>  </v>
      </c>
      <c r="H46" s="165"/>
      <c r="I46" s="116"/>
      <c r="J46" s="43"/>
      <c r="K46" s="116"/>
      <c r="L46" s="116"/>
      <c r="M46" s="118">
        <f t="shared" si="10"/>
        <v>0</v>
      </c>
      <c r="N46" s="119" t="str">
        <f t="shared" si="11"/>
        <v>#DIV/0!</v>
      </c>
      <c r="O46" s="176"/>
      <c r="P46" s="179"/>
      <c r="Q46" s="179"/>
      <c r="R46" s="179"/>
      <c r="S46" s="179"/>
      <c r="T46" s="179"/>
      <c r="U46" s="179"/>
      <c r="V46" s="179"/>
      <c r="W46" s="179"/>
      <c r="X46" s="179"/>
      <c r="Y46" s="179"/>
      <c r="Z46" s="179"/>
      <c r="AA46" s="179"/>
      <c r="AB46" s="184">
        <v>1.0</v>
      </c>
      <c r="AC46" s="179"/>
      <c r="AD46" s="179"/>
      <c r="AE46" s="179"/>
      <c r="AF46" s="176"/>
      <c r="AG46" s="182">
        <v>1.0</v>
      </c>
      <c r="AH46" s="176"/>
      <c r="AI46" s="176"/>
      <c r="AJ46" s="168">
        <f t="shared" si="12"/>
        <v>2</v>
      </c>
      <c r="AK46" s="169">
        <f t="shared" si="13"/>
        <v>50</v>
      </c>
      <c r="AL46" s="183"/>
      <c r="AM46" s="179"/>
      <c r="AN46" s="184">
        <v>2.0</v>
      </c>
      <c r="AO46" s="179"/>
      <c r="AP46" s="179"/>
      <c r="AQ46" s="179"/>
      <c r="AR46" s="179"/>
      <c r="AS46" s="184">
        <v>1.0</v>
      </c>
      <c r="AT46" s="179"/>
      <c r="AU46" s="179"/>
      <c r="AV46" s="179"/>
      <c r="AW46" s="179"/>
      <c r="AX46" s="179"/>
      <c r="AY46" s="179"/>
      <c r="AZ46" s="179"/>
      <c r="BA46" s="179"/>
      <c r="BB46" s="179"/>
      <c r="BC46" s="116"/>
      <c r="BD46" s="179"/>
      <c r="BE46" s="179"/>
      <c r="BF46" s="184">
        <v>1.0</v>
      </c>
      <c r="BG46" s="118">
        <f t="shared" si="14"/>
        <v>4</v>
      </c>
      <c r="BH46" s="122">
        <f t="shared" si="15"/>
        <v>100</v>
      </c>
      <c r="BI46" s="176"/>
      <c r="BJ46" s="179"/>
      <c r="BK46" s="179"/>
      <c r="BL46" s="179"/>
      <c r="BM46" s="179"/>
      <c r="BN46" s="179"/>
      <c r="BO46" s="179"/>
      <c r="BP46" s="179"/>
      <c r="BQ46" s="179"/>
      <c r="BR46" s="179"/>
      <c r="BS46" s="179"/>
      <c r="BT46" s="184">
        <v>1.0</v>
      </c>
      <c r="BU46" s="179"/>
      <c r="BV46" s="179"/>
      <c r="BW46" s="186"/>
      <c r="BX46" s="186"/>
      <c r="BY46" s="116"/>
      <c r="BZ46" s="186"/>
      <c r="CA46" s="186"/>
      <c r="CB46" s="186"/>
      <c r="CC46" s="186"/>
      <c r="CD46" s="200">
        <v>1.0</v>
      </c>
      <c r="CE46" s="172">
        <f t="shared" si="16"/>
        <v>2</v>
      </c>
      <c r="CF46" s="173">
        <f t="shared" si="17"/>
        <v>50</v>
      </c>
      <c r="CG46" s="199"/>
      <c r="CH46" s="186"/>
      <c r="CI46" s="186"/>
      <c r="CJ46" s="186"/>
      <c r="CK46" s="186"/>
      <c r="CL46" s="186"/>
      <c r="CM46" s="186"/>
      <c r="CN46" s="186"/>
      <c r="CO46" s="186"/>
      <c r="CP46" s="186"/>
      <c r="CQ46" s="186"/>
      <c r="CR46" s="186"/>
      <c r="CS46" s="175">
        <f t="shared" si="18"/>
        <v>0</v>
      </c>
      <c r="CT46" s="158" t="str">
        <f t="shared" si="19"/>
        <v>#DIV/0!</v>
      </c>
    </row>
    <row r="47" ht="15.75" customHeight="1">
      <c r="A47" s="131">
        <v>38.0</v>
      </c>
      <c r="B47" s="111" t="s">
        <v>126</v>
      </c>
      <c r="C47" s="112" t="s">
        <v>127</v>
      </c>
      <c r="D47" s="91">
        <f t="shared" si="6"/>
        <v>3</v>
      </c>
      <c r="E47" s="113">
        <f t="shared" si="7"/>
        <v>25</v>
      </c>
      <c r="F47" s="114">
        <f t="shared" si="8"/>
        <v>25</v>
      </c>
      <c r="G47" s="202">
        <f t="shared" si="9"/>
        <v>25</v>
      </c>
      <c r="H47" s="165"/>
      <c r="I47" s="116"/>
      <c r="J47" s="43"/>
      <c r="K47" s="116"/>
      <c r="L47" s="116"/>
      <c r="M47" s="118">
        <f t="shared" si="10"/>
        <v>0</v>
      </c>
      <c r="N47" s="119" t="str">
        <f t="shared" si="11"/>
        <v>#DIV/0!</v>
      </c>
      <c r="O47" s="176"/>
      <c r="P47" s="179"/>
      <c r="Q47" s="179"/>
      <c r="R47" s="179"/>
      <c r="S47" s="179"/>
      <c r="T47" s="179"/>
      <c r="U47" s="179"/>
      <c r="V47" s="179"/>
      <c r="W47" s="179"/>
      <c r="X47" s="179"/>
      <c r="Y47" s="179"/>
      <c r="Z47" s="179"/>
      <c r="AA47" s="179"/>
      <c r="AB47" s="184">
        <v>1.0</v>
      </c>
      <c r="AC47" s="179"/>
      <c r="AD47" s="179"/>
      <c r="AE47" s="179"/>
      <c r="AF47" s="176"/>
      <c r="AG47" s="176"/>
      <c r="AH47" s="176"/>
      <c r="AI47" s="176"/>
      <c r="AJ47" s="168">
        <f t="shared" si="12"/>
        <v>1</v>
      </c>
      <c r="AK47" s="169">
        <f t="shared" si="13"/>
        <v>25</v>
      </c>
      <c r="AL47" s="183"/>
      <c r="AM47" s="179"/>
      <c r="AN47" s="179"/>
      <c r="AO47" s="179"/>
      <c r="AP47" s="179"/>
      <c r="AQ47" s="179"/>
      <c r="AR47" s="179"/>
      <c r="AS47" s="179"/>
      <c r="AT47" s="179"/>
      <c r="AU47" s="179"/>
      <c r="AV47" s="179"/>
      <c r="AW47" s="179"/>
      <c r="AX47" s="179"/>
      <c r="AY47" s="179"/>
      <c r="AZ47" s="179"/>
      <c r="BA47" s="179"/>
      <c r="BB47" s="179"/>
      <c r="BC47" s="204"/>
      <c r="BD47" s="179"/>
      <c r="BE47" s="179"/>
      <c r="BF47" s="179"/>
      <c r="BG47" s="118">
        <f t="shared" si="14"/>
        <v>0</v>
      </c>
      <c r="BH47" s="122">
        <f t="shared" si="15"/>
        <v>0</v>
      </c>
      <c r="BI47" s="176"/>
      <c r="BJ47" s="179"/>
      <c r="BK47" s="179"/>
      <c r="BL47" s="179"/>
      <c r="BM47" s="179"/>
      <c r="BN47" s="179"/>
      <c r="BO47" s="179"/>
      <c r="BP47" s="179"/>
      <c r="BQ47" s="179"/>
      <c r="BR47" s="179"/>
      <c r="BS47" s="179"/>
      <c r="BT47" s="179"/>
      <c r="BU47" s="179"/>
      <c r="BV47" s="179"/>
      <c r="BW47" s="186"/>
      <c r="BX47" s="186"/>
      <c r="BY47" s="138">
        <v>1.0</v>
      </c>
      <c r="BZ47" s="186"/>
      <c r="CA47" s="186"/>
      <c r="CB47" s="186"/>
      <c r="CC47" s="186"/>
      <c r="CD47" s="200">
        <v>1.0</v>
      </c>
      <c r="CE47" s="172">
        <f t="shared" si="16"/>
        <v>2</v>
      </c>
      <c r="CF47" s="173">
        <f t="shared" si="17"/>
        <v>50</v>
      </c>
      <c r="CG47" s="199"/>
      <c r="CH47" s="186"/>
      <c r="CI47" s="186"/>
      <c r="CJ47" s="186"/>
      <c r="CK47" s="186"/>
      <c r="CL47" s="186"/>
      <c r="CM47" s="186"/>
      <c r="CN47" s="186"/>
      <c r="CO47" s="186"/>
      <c r="CP47" s="186"/>
      <c r="CQ47" s="186"/>
      <c r="CR47" s="186"/>
      <c r="CS47" s="175">
        <f t="shared" si="18"/>
        <v>0</v>
      </c>
      <c r="CT47" s="158" t="str">
        <f t="shared" si="19"/>
        <v>#DIV/0!</v>
      </c>
    </row>
    <row r="48" ht="15.75" customHeight="1">
      <c r="A48" s="146">
        <v>39.0</v>
      </c>
      <c r="B48" s="111" t="s">
        <v>128</v>
      </c>
      <c r="C48" s="112" t="s">
        <v>129</v>
      </c>
      <c r="D48" s="91">
        <f t="shared" si="6"/>
        <v>11</v>
      </c>
      <c r="E48" s="113">
        <f t="shared" si="7"/>
        <v>91.66666667</v>
      </c>
      <c r="F48" s="114" t="str">
        <f t="shared" si="8"/>
        <v>  </v>
      </c>
      <c r="G48" s="164" t="str">
        <f t="shared" si="9"/>
        <v>  </v>
      </c>
      <c r="H48" s="165"/>
      <c r="I48" s="116"/>
      <c r="J48" s="43"/>
      <c r="K48" s="116"/>
      <c r="L48" s="116"/>
      <c r="M48" s="118">
        <f t="shared" si="10"/>
        <v>0</v>
      </c>
      <c r="N48" s="119" t="str">
        <f t="shared" si="11"/>
        <v>#DIV/0!</v>
      </c>
      <c r="O48" s="176"/>
      <c r="P48" s="179"/>
      <c r="Q48" s="179"/>
      <c r="R48" s="179"/>
      <c r="S48" s="179"/>
      <c r="T48" s="179"/>
      <c r="U48" s="179"/>
      <c r="V48" s="179"/>
      <c r="W48" s="179"/>
      <c r="X48" s="179"/>
      <c r="Y48" s="179"/>
      <c r="Z48" s="179"/>
      <c r="AA48" s="179"/>
      <c r="AB48" s="179"/>
      <c r="AC48" s="179"/>
      <c r="AD48" s="184">
        <v>1.0</v>
      </c>
      <c r="AE48" s="179"/>
      <c r="AF48" s="176"/>
      <c r="AG48" s="182">
        <v>1.0</v>
      </c>
      <c r="AH48" s="176"/>
      <c r="AI48" s="176"/>
      <c r="AJ48" s="168">
        <f t="shared" si="12"/>
        <v>2</v>
      </c>
      <c r="AK48" s="169">
        <f t="shared" si="13"/>
        <v>50</v>
      </c>
      <c r="AL48" s="183"/>
      <c r="AM48" s="179"/>
      <c r="AN48" s="184">
        <v>2.0</v>
      </c>
      <c r="AO48" s="179"/>
      <c r="AP48" s="179"/>
      <c r="AQ48" s="179"/>
      <c r="AR48" s="179"/>
      <c r="AS48" s="184">
        <v>1.0</v>
      </c>
      <c r="AT48" s="179"/>
      <c r="AU48" s="179"/>
      <c r="AV48" s="179"/>
      <c r="AW48" s="179"/>
      <c r="AX48" s="179"/>
      <c r="AY48" s="179"/>
      <c r="AZ48" s="179"/>
      <c r="BA48" s="179"/>
      <c r="BB48" s="179"/>
      <c r="BC48" s="138">
        <v>1.0</v>
      </c>
      <c r="BD48" s="179"/>
      <c r="BE48" s="179"/>
      <c r="BF48" s="184">
        <v>1.0</v>
      </c>
      <c r="BG48" s="118">
        <f t="shared" si="14"/>
        <v>5</v>
      </c>
      <c r="BH48" s="122">
        <f t="shared" si="15"/>
        <v>125</v>
      </c>
      <c r="BI48" s="176"/>
      <c r="BJ48" s="179"/>
      <c r="BK48" s="179"/>
      <c r="BL48" s="179"/>
      <c r="BM48" s="179"/>
      <c r="BN48" s="179"/>
      <c r="BO48" s="179"/>
      <c r="BP48" s="179"/>
      <c r="BQ48" s="179"/>
      <c r="BR48" s="179"/>
      <c r="BS48" s="179"/>
      <c r="BT48" s="184">
        <v>1.0</v>
      </c>
      <c r="BU48" s="179"/>
      <c r="BV48" s="179"/>
      <c r="BW48" s="186"/>
      <c r="BX48" s="186"/>
      <c r="BY48" s="138">
        <v>1.0</v>
      </c>
      <c r="BZ48" s="186"/>
      <c r="CA48" s="186"/>
      <c r="CB48" s="200">
        <v>1.0</v>
      </c>
      <c r="CC48" s="186"/>
      <c r="CD48" s="200">
        <v>1.0</v>
      </c>
      <c r="CE48" s="172">
        <f t="shared" si="16"/>
        <v>4</v>
      </c>
      <c r="CF48" s="173">
        <f t="shared" si="17"/>
        <v>100</v>
      </c>
      <c r="CG48" s="199"/>
      <c r="CH48" s="186"/>
      <c r="CI48" s="186"/>
      <c r="CJ48" s="186"/>
      <c r="CK48" s="186"/>
      <c r="CL48" s="186"/>
      <c r="CM48" s="186"/>
      <c r="CN48" s="186"/>
      <c r="CO48" s="186"/>
      <c r="CP48" s="186"/>
      <c r="CQ48" s="186"/>
      <c r="CR48" s="186"/>
      <c r="CS48" s="175"/>
      <c r="CT48" s="158"/>
    </row>
    <row r="49" ht="15.75" customHeight="1">
      <c r="A49" s="50">
        <v>40.0</v>
      </c>
      <c r="B49" s="111" t="s">
        <v>130</v>
      </c>
      <c r="C49" s="112" t="s">
        <v>131</v>
      </c>
      <c r="D49" s="91">
        <f t="shared" si="6"/>
        <v>0</v>
      </c>
      <c r="E49" s="113">
        <f t="shared" si="7"/>
        <v>0</v>
      </c>
      <c r="F49" s="114">
        <f t="shared" si="8"/>
        <v>0</v>
      </c>
      <c r="G49" s="202">
        <f t="shared" si="9"/>
        <v>0</v>
      </c>
      <c r="H49" s="165"/>
      <c r="I49" s="116"/>
      <c r="J49" s="43"/>
      <c r="K49" s="116"/>
      <c r="L49" s="116"/>
      <c r="M49" s="118">
        <f t="shared" si="10"/>
        <v>0</v>
      </c>
      <c r="N49" s="119" t="str">
        <f t="shared" si="11"/>
        <v>#DIV/0!</v>
      </c>
      <c r="O49" s="176"/>
      <c r="P49" s="179"/>
      <c r="Q49" s="179"/>
      <c r="R49" s="179"/>
      <c r="S49" s="179"/>
      <c r="T49" s="179"/>
      <c r="U49" s="179"/>
      <c r="V49" s="179"/>
      <c r="W49" s="179"/>
      <c r="X49" s="179"/>
      <c r="Y49" s="179"/>
      <c r="Z49" s="179"/>
      <c r="AA49" s="179"/>
      <c r="AB49" s="179"/>
      <c r="AC49" s="179"/>
      <c r="AD49" s="179"/>
      <c r="AE49" s="179"/>
      <c r="AF49" s="176"/>
      <c r="AG49" s="176"/>
      <c r="AH49" s="176"/>
      <c r="AI49" s="176"/>
      <c r="AJ49" s="168">
        <f t="shared" si="12"/>
        <v>0</v>
      </c>
      <c r="AK49" s="169">
        <f t="shared" si="13"/>
        <v>0</v>
      </c>
      <c r="AL49" s="183"/>
      <c r="AM49" s="179"/>
      <c r="AN49" s="179"/>
      <c r="AO49" s="179"/>
      <c r="AP49" s="179"/>
      <c r="AQ49" s="179"/>
      <c r="AR49" s="179"/>
      <c r="AS49" s="179"/>
      <c r="AT49" s="179"/>
      <c r="AU49" s="179"/>
      <c r="AV49" s="179"/>
      <c r="AW49" s="179"/>
      <c r="AX49" s="179"/>
      <c r="AY49" s="179"/>
      <c r="AZ49" s="179"/>
      <c r="BA49" s="179"/>
      <c r="BB49" s="179"/>
      <c r="BC49" s="204"/>
      <c r="BD49" s="179"/>
      <c r="BE49" s="179"/>
      <c r="BF49" s="179"/>
      <c r="BG49" s="118">
        <f t="shared" si="14"/>
        <v>0</v>
      </c>
      <c r="BH49" s="122">
        <f t="shared" si="15"/>
        <v>0</v>
      </c>
      <c r="BI49" s="176"/>
      <c r="BJ49" s="179"/>
      <c r="BK49" s="179"/>
      <c r="BL49" s="179"/>
      <c r="BM49" s="179"/>
      <c r="BN49" s="179"/>
      <c r="BO49" s="179"/>
      <c r="BP49" s="179"/>
      <c r="BQ49" s="179"/>
      <c r="BR49" s="179"/>
      <c r="BS49" s="179"/>
      <c r="BT49" s="179"/>
      <c r="BU49" s="179"/>
      <c r="BV49" s="179"/>
      <c r="BW49" s="186"/>
      <c r="BX49" s="186"/>
      <c r="BY49" s="116"/>
      <c r="BZ49" s="186"/>
      <c r="CA49" s="186"/>
      <c r="CB49" s="186"/>
      <c r="CC49" s="186"/>
      <c r="CD49" s="186"/>
      <c r="CE49" s="172">
        <f t="shared" si="16"/>
        <v>0</v>
      </c>
      <c r="CF49" s="173">
        <f t="shared" si="17"/>
        <v>0</v>
      </c>
      <c r="CG49" s="199"/>
      <c r="CH49" s="186"/>
      <c r="CI49" s="186"/>
      <c r="CJ49" s="186"/>
      <c r="CK49" s="186"/>
      <c r="CL49" s="186"/>
      <c r="CM49" s="186"/>
      <c r="CN49" s="186"/>
      <c r="CO49" s="186"/>
      <c r="CP49" s="186"/>
      <c r="CQ49" s="186"/>
      <c r="CR49" s="186"/>
      <c r="CS49" s="175"/>
      <c r="CT49" s="158"/>
    </row>
    <row r="50" ht="15.75" customHeight="1">
      <c r="A50" s="131">
        <v>41.0</v>
      </c>
      <c r="B50" s="111" t="s">
        <v>132</v>
      </c>
      <c r="C50" s="112" t="s">
        <v>133</v>
      </c>
      <c r="D50" s="91">
        <f t="shared" si="6"/>
        <v>9</v>
      </c>
      <c r="E50" s="113">
        <f t="shared" si="7"/>
        <v>75</v>
      </c>
      <c r="F50" s="114" t="str">
        <f t="shared" si="8"/>
        <v>  </v>
      </c>
      <c r="G50" s="164" t="str">
        <f t="shared" si="9"/>
        <v>  </v>
      </c>
      <c r="H50" s="165"/>
      <c r="I50" s="116"/>
      <c r="J50" s="43"/>
      <c r="K50" s="116"/>
      <c r="L50" s="116"/>
      <c r="M50" s="118">
        <f t="shared" si="10"/>
        <v>0</v>
      </c>
      <c r="N50" s="119" t="str">
        <f t="shared" si="11"/>
        <v>#DIV/0!</v>
      </c>
      <c r="O50" s="176"/>
      <c r="P50" s="179"/>
      <c r="Q50" s="179"/>
      <c r="R50" s="179"/>
      <c r="S50" s="179"/>
      <c r="T50" s="179"/>
      <c r="U50" s="179"/>
      <c r="V50" s="179"/>
      <c r="W50" s="179"/>
      <c r="X50" s="179"/>
      <c r="Y50" s="179"/>
      <c r="Z50" s="179"/>
      <c r="AA50" s="179"/>
      <c r="AB50" s="184">
        <v>1.0</v>
      </c>
      <c r="AC50" s="179"/>
      <c r="AD50" s="179"/>
      <c r="AE50" s="179"/>
      <c r="AF50" s="176"/>
      <c r="AG50" s="182">
        <v>1.0</v>
      </c>
      <c r="AH50" s="176"/>
      <c r="AI50" s="176"/>
      <c r="AJ50" s="168">
        <f t="shared" si="12"/>
        <v>2</v>
      </c>
      <c r="AK50" s="169">
        <f t="shared" si="13"/>
        <v>50</v>
      </c>
      <c r="AL50" s="183"/>
      <c r="AM50" s="179"/>
      <c r="AN50" s="184">
        <v>2.0</v>
      </c>
      <c r="AO50" s="179"/>
      <c r="AP50" s="179"/>
      <c r="AQ50" s="179"/>
      <c r="AR50" s="179"/>
      <c r="AS50" s="179"/>
      <c r="AT50" s="179"/>
      <c r="AU50" s="179"/>
      <c r="AV50" s="179"/>
      <c r="AW50" s="179"/>
      <c r="AX50" s="179"/>
      <c r="AY50" s="179"/>
      <c r="AZ50" s="179"/>
      <c r="BA50" s="179"/>
      <c r="BB50" s="179"/>
      <c r="BC50" s="138">
        <v>1.0</v>
      </c>
      <c r="BD50" s="179"/>
      <c r="BE50" s="179"/>
      <c r="BF50" s="184">
        <v>1.0</v>
      </c>
      <c r="BG50" s="118">
        <f t="shared" si="14"/>
        <v>4</v>
      </c>
      <c r="BH50" s="122">
        <f t="shared" si="15"/>
        <v>100</v>
      </c>
      <c r="BI50" s="176"/>
      <c r="BJ50" s="179"/>
      <c r="BK50" s="179"/>
      <c r="BL50" s="179"/>
      <c r="BM50" s="179"/>
      <c r="BN50" s="179"/>
      <c r="BO50" s="179"/>
      <c r="BP50" s="179"/>
      <c r="BQ50" s="179"/>
      <c r="BR50" s="179"/>
      <c r="BS50" s="179"/>
      <c r="BT50" s="184">
        <v>1.0</v>
      </c>
      <c r="BU50" s="179"/>
      <c r="BV50" s="179"/>
      <c r="BW50" s="186"/>
      <c r="BX50" s="186"/>
      <c r="BY50" s="138">
        <v>1.0</v>
      </c>
      <c r="BZ50" s="186"/>
      <c r="CA50" s="186"/>
      <c r="CB50" s="186"/>
      <c r="CC50" s="186"/>
      <c r="CD50" s="200">
        <v>1.0</v>
      </c>
      <c r="CE50" s="172">
        <f t="shared" si="16"/>
        <v>3</v>
      </c>
      <c r="CF50" s="173">
        <f t="shared" si="17"/>
        <v>75</v>
      </c>
      <c r="CG50" s="199"/>
      <c r="CH50" s="186"/>
      <c r="CI50" s="186"/>
      <c r="CJ50" s="186"/>
      <c r="CK50" s="186"/>
      <c r="CL50" s="186"/>
      <c r="CM50" s="186"/>
      <c r="CN50" s="186"/>
      <c r="CO50" s="186"/>
      <c r="CP50" s="186"/>
      <c r="CQ50" s="186"/>
      <c r="CR50" s="186"/>
      <c r="CS50" s="175">
        <f t="shared" ref="CS50:CS51" si="20">SUM(CG50:CR50)</f>
        <v>0</v>
      </c>
      <c r="CT50" s="158" t="str">
        <f t="shared" ref="CT50:CT51" si="21">CS50/CS$9*100</f>
        <v>#DIV/0!</v>
      </c>
    </row>
    <row r="51" ht="15.75" customHeight="1">
      <c r="A51" s="146">
        <v>42.0</v>
      </c>
      <c r="B51" s="111" t="s">
        <v>134</v>
      </c>
      <c r="C51" s="112" t="s">
        <v>135</v>
      </c>
      <c r="D51" s="91">
        <f t="shared" si="6"/>
        <v>8</v>
      </c>
      <c r="E51" s="113">
        <f t="shared" si="7"/>
        <v>66.66666667</v>
      </c>
      <c r="F51" s="114" t="str">
        <f t="shared" si="8"/>
        <v>  </v>
      </c>
      <c r="G51" s="202" t="str">
        <f t="shared" si="9"/>
        <v>  </v>
      </c>
      <c r="H51" s="165"/>
      <c r="I51" s="116"/>
      <c r="J51" s="116"/>
      <c r="K51" s="116"/>
      <c r="L51" s="116"/>
      <c r="M51" s="118">
        <f t="shared" si="10"/>
        <v>0</v>
      </c>
      <c r="N51" s="119" t="str">
        <f>M51/M$51*100</f>
        <v>#DIV/0!</v>
      </c>
      <c r="O51" s="176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Z51" s="179"/>
      <c r="AA51" s="179"/>
      <c r="AB51" s="184">
        <v>1.0</v>
      </c>
      <c r="AC51" s="179"/>
      <c r="AD51" s="179"/>
      <c r="AE51" s="179"/>
      <c r="AF51" s="176"/>
      <c r="AG51" s="176"/>
      <c r="AH51" s="176"/>
      <c r="AI51" s="176"/>
      <c r="AJ51" s="168">
        <f t="shared" si="12"/>
        <v>1</v>
      </c>
      <c r="AK51" s="169">
        <f t="shared" si="13"/>
        <v>25</v>
      </c>
      <c r="AL51" s="183"/>
      <c r="AM51" s="179"/>
      <c r="AN51" s="184">
        <v>2.0</v>
      </c>
      <c r="AO51" s="179"/>
      <c r="AP51" s="179"/>
      <c r="AQ51" s="179"/>
      <c r="AR51" s="179"/>
      <c r="AS51" s="184">
        <v>1.0</v>
      </c>
      <c r="AT51" s="179"/>
      <c r="AU51" s="179"/>
      <c r="AV51" s="179"/>
      <c r="AW51" s="179"/>
      <c r="AX51" s="179"/>
      <c r="AY51" s="179"/>
      <c r="AZ51" s="179"/>
      <c r="BA51" s="179"/>
      <c r="BB51" s="179"/>
      <c r="BC51" s="138">
        <v>1.0</v>
      </c>
      <c r="BD51" s="179"/>
      <c r="BE51" s="179"/>
      <c r="BF51" s="179"/>
      <c r="BG51" s="118">
        <f t="shared" si="14"/>
        <v>4</v>
      </c>
      <c r="BH51" s="122">
        <f t="shared" si="15"/>
        <v>100</v>
      </c>
      <c r="BI51" s="176"/>
      <c r="BJ51" s="179"/>
      <c r="BK51" s="179"/>
      <c r="BL51" s="179"/>
      <c r="BM51" s="179"/>
      <c r="BN51" s="179"/>
      <c r="BO51" s="179"/>
      <c r="BP51" s="179"/>
      <c r="BQ51" s="179"/>
      <c r="BR51" s="179"/>
      <c r="BS51" s="179"/>
      <c r="BT51" s="184">
        <v>1.0</v>
      </c>
      <c r="BU51" s="179"/>
      <c r="BV51" s="179"/>
      <c r="BW51" s="186"/>
      <c r="BX51" s="186"/>
      <c r="BY51" s="116"/>
      <c r="BZ51" s="186"/>
      <c r="CA51" s="186"/>
      <c r="CB51" s="200">
        <v>1.0</v>
      </c>
      <c r="CC51" s="186"/>
      <c r="CD51" s="200">
        <v>1.0</v>
      </c>
      <c r="CE51" s="172">
        <f t="shared" si="16"/>
        <v>3</v>
      </c>
      <c r="CF51" s="173">
        <f t="shared" si="17"/>
        <v>75</v>
      </c>
      <c r="CG51" s="199"/>
      <c r="CH51" s="186"/>
      <c r="CI51" s="186"/>
      <c r="CJ51" s="186"/>
      <c r="CK51" s="186"/>
      <c r="CL51" s="186"/>
      <c r="CM51" s="186"/>
      <c r="CN51" s="186"/>
      <c r="CO51" s="186"/>
      <c r="CP51" s="186"/>
      <c r="CQ51" s="186"/>
      <c r="CR51" s="186"/>
      <c r="CS51" s="175">
        <f t="shared" si="20"/>
        <v>0</v>
      </c>
      <c r="CT51" s="158" t="str">
        <f t="shared" si="21"/>
        <v>#DIV/0!</v>
      </c>
    </row>
    <row r="52" ht="15.75" customHeight="1">
      <c r="A52" s="242" t="s">
        <v>136</v>
      </c>
      <c r="B52" s="243"/>
      <c r="C52" s="244"/>
      <c r="D52" s="245">
        <f t="shared" si="6"/>
        <v>9</v>
      </c>
      <c r="E52" s="246"/>
      <c r="F52" s="44"/>
      <c r="G52" s="156"/>
      <c r="H52" s="93">
        <f t="shared" ref="H52:L52" si="22">SUM(H53:H93)</f>
        <v>0</v>
      </c>
      <c r="I52" s="93">
        <f t="shared" si="22"/>
        <v>0</v>
      </c>
      <c r="J52" s="93">
        <f t="shared" si="22"/>
        <v>0</v>
      </c>
      <c r="K52" s="93">
        <f t="shared" si="22"/>
        <v>0</v>
      </c>
      <c r="L52" s="93">
        <f t="shared" si="22"/>
        <v>0</v>
      </c>
      <c r="M52" s="94">
        <f>COUNTIF(H52:L52,"&gt;0")</f>
        <v>0</v>
      </c>
      <c r="N52" s="96">
        <f>COUNTIF(H52:L52,"&gt;0")</f>
        <v>0</v>
      </c>
      <c r="O52" s="93">
        <f t="shared" ref="O52:AF52" si="23">SUM(O53:O93)</f>
        <v>0</v>
      </c>
      <c r="P52" s="93">
        <f t="shared" si="23"/>
        <v>0</v>
      </c>
      <c r="Q52" s="93">
        <f t="shared" si="23"/>
        <v>0</v>
      </c>
      <c r="R52" s="93">
        <f t="shared" si="23"/>
        <v>0</v>
      </c>
      <c r="S52" s="93">
        <f t="shared" si="23"/>
        <v>0</v>
      </c>
      <c r="T52" s="93">
        <f t="shared" si="23"/>
        <v>0</v>
      </c>
      <c r="U52" s="93">
        <f t="shared" si="23"/>
        <v>0</v>
      </c>
      <c r="V52" s="93">
        <f t="shared" si="23"/>
        <v>0</v>
      </c>
      <c r="W52" s="93">
        <f t="shared" si="23"/>
        <v>0</v>
      </c>
      <c r="X52" s="93">
        <f t="shared" si="23"/>
        <v>0</v>
      </c>
      <c r="Y52" s="93">
        <f t="shared" si="23"/>
        <v>0</v>
      </c>
      <c r="Z52" s="93">
        <f t="shared" si="23"/>
        <v>0</v>
      </c>
      <c r="AA52" s="93">
        <f t="shared" si="23"/>
        <v>0</v>
      </c>
      <c r="AB52" s="93">
        <f t="shared" si="23"/>
        <v>0</v>
      </c>
      <c r="AC52" s="93">
        <f t="shared" si="23"/>
        <v>0</v>
      </c>
      <c r="AD52" s="93">
        <f t="shared" si="23"/>
        <v>18</v>
      </c>
      <c r="AE52" s="93">
        <f t="shared" si="23"/>
        <v>0</v>
      </c>
      <c r="AF52" s="93">
        <f t="shared" si="23"/>
        <v>0</v>
      </c>
      <c r="AG52" s="286">
        <v>1.0</v>
      </c>
      <c r="AH52" s="93">
        <f t="shared" ref="AH52:AI52" si="24">SUM(AH53:AH93)</f>
        <v>22</v>
      </c>
      <c r="AI52" s="93">
        <f t="shared" si="24"/>
        <v>0</v>
      </c>
      <c r="AJ52" s="247">
        <f>COUNTIF(O52:AI52,"&gt;0")</f>
        <v>3</v>
      </c>
      <c r="AK52" s="248">
        <f>SUM(M52+AJ52)</f>
        <v>3</v>
      </c>
      <c r="AL52" s="117">
        <f t="shared" ref="AL52:BB52" si="25">SUM(AL53:AL93)</f>
        <v>0</v>
      </c>
      <c r="AM52" s="117">
        <f t="shared" si="25"/>
        <v>0</v>
      </c>
      <c r="AN52" s="117">
        <f t="shared" si="25"/>
        <v>0</v>
      </c>
      <c r="AO52" s="117">
        <f t="shared" si="25"/>
        <v>0</v>
      </c>
      <c r="AP52" s="117">
        <f t="shared" si="25"/>
        <v>0</v>
      </c>
      <c r="AQ52" s="117">
        <f t="shared" si="25"/>
        <v>0</v>
      </c>
      <c r="AR52" s="117">
        <f t="shared" si="25"/>
        <v>0</v>
      </c>
      <c r="AS52" s="117">
        <f t="shared" si="25"/>
        <v>23</v>
      </c>
      <c r="AT52" s="117">
        <f t="shared" si="25"/>
        <v>0</v>
      </c>
      <c r="AU52" s="117">
        <f t="shared" si="25"/>
        <v>23</v>
      </c>
      <c r="AV52" s="117">
        <f t="shared" si="25"/>
        <v>0</v>
      </c>
      <c r="AW52" s="117">
        <f t="shared" si="25"/>
        <v>0</v>
      </c>
      <c r="AX52" s="117">
        <f t="shared" si="25"/>
        <v>0</v>
      </c>
      <c r="AY52" s="117">
        <f t="shared" si="25"/>
        <v>0</v>
      </c>
      <c r="AZ52" s="117">
        <f t="shared" si="25"/>
        <v>0</v>
      </c>
      <c r="BA52" s="117">
        <f t="shared" si="25"/>
        <v>0</v>
      </c>
      <c r="BB52" s="117">
        <f t="shared" si="25"/>
        <v>0</v>
      </c>
      <c r="BC52" s="116"/>
      <c r="BD52" s="117">
        <f t="shared" ref="BD52:BF52" si="26">SUM(BD53:BD93)</f>
        <v>0</v>
      </c>
      <c r="BE52" s="117">
        <f t="shared" si="26"/>
        <v>0</v>
      </c>
      <c r="BF52" s="117">
        <f t="shared" si="26"/>
        <v>13</v>
      </c>
      <c r="BG52" s="44">
        <f>COUNTIF(AL52:BF52,"&gt;0")</f>
        <v>3</v>
      </c>
      <c r="BH52" s="249">
        <f>SUM(AK52+BG52)</f>
        <v>6</v>
      </c>
      <c r="BI52" s="117">
        <f t="shared" ref="BI52:BS52" si="27">SUM(BI53:BI93)</f>
        <v>0</v>
      </c>
      <c r="BJ52" s="117">
        <f t="shared" si="27"/>
        <v>0</v>
      </c>
      <c r="BK52" s="117">
        <f t="shared" si="27"/>
        <v>0</v>
      </c>
      <c r="BL52" s="117">
        <f t="shared" si="27"/>
        <v>23</v>
      </c>
      <c r="BM52" s="117">
        <f t="shared" si="27"/>
        <v>0</v>
      </c>
      <c r="BN52" s="117">
        <f t="shared" si="27"/>
        <v>0</v>
      </c>
      <c r="BO52" s="117">
        <f t="shared" si="27"/>
        <v>0</v>
      </c>
      <c r="BP52" s="117">
        <f t="shared" si="27"/>
        <v>0</v>
      </c>
      <c r="BQ52" s="117">
        <f t="shared" si="27"/>
        <v>0</v>
      </c>
      <c r="BR52" s="117">
        <f t="shared" si="27"/>
        <v>0</v>
      </c>
      <c r="BS52" s="117">
        <f t="shared" si="27"/>
        <v>0</v>
      </c>
      <c r="BT52" s="287"/>
      <c r="BU52" s="117">
        <f t="shared" ref="BU52:BX52" si="28">SUM(BU53:BU93)</f>
        <v>0</v>
      </c>
      <c r="BV52" s="117">
        <f t="shared" si="28"/>
        <v>0</v>
      </c>
      <c r="BW52" s="117">
        <f t="shared" si="28"/>
        <v>0</v>
      </c>
      <c r="BX52" s="117">
        <f t="shared" si="28"/>
        <v>0</v>
      </c>
      <c r="BZ52" s="117">
        <f t="shared" ref="BZ52:CC52" si="29">SUM(BZ53:BZ93)</f>
        <v>0</v>
      </c>
      <c r="CA52" s="117">
        <f t="shared" si="29"/>
        <v>21</v>
      </c>
      <c r="CB52" s="117">
        <f t="shared" si="29"/>
        <v>17</v>
      </c>
      <c r="CC52" s="117">
        <f t="shared" si="29"/>
        <v>0</v>
      </c>
      <c r="CD52" s="287"/>
      <c r="CE52" s="47">
        <f>COUNTIF(BI52:CD52,"&gt;0")</f>
        <v>3</v>
      </c>
      <c r="CF52" s="52">
        <f>SUM(BH52+CE52)</f>
        <v>9</v>
      </c>
      <c r="CG52" s="117">
        <f t="shared" ref="CG52:CR52" si="30">SUM(CG53:CG91)</f>
        <v>0</v>
      </c>
      <c r="CH52" s="117">
        <f t="shared" si="30"/>
        <v>0</v>
      </c>
      <c r="CI52" s="117">
        <f t="shared" si="30"/>
        <v>0</v>
      </c>
      <c r="CJ52" s="117">
        <f t="shared" si="30"/>
        <v>0</v>
      </c>
      <c r="CK52" s="117">
        <f t="shared" si="30"/>
        <v>0</v>
      </c>
      <c r="CL52" s="117">
        <f t="shared" si="30"/>
        <v>0</v>
      </c>
      <c r="CM52" s="117">
        <f t="shared" si="30"/>
        <v>0</v>
      </c>
      <c r="CN52" s="117">
        <f t="shared" si="30"/>
        <v>0</v>
      </c>
      <c r="CO52" s="117">
        <f t="shared" si="30"/>
        <v>0</v>
      </c>
      <c r="CP52" s="117">
        <f t="shared" si="30"/>
        <v>0</v>
      </c>
      <c r="CQ52" s="117">
        <f t="shared" si="30"/>
        <v>0</v>
      </c>
      <c r="CR52" s="117">
        <f t="shared" si="30"/>
        <v>0</v>
      </c>
      <c r="CS52" s="109">
        <f>COUNTIF(CG52:CR52,"&gt;0")</f>
        <v>0</v>
      </c>
      <c r="CT52" s="110">
        <f>SUM(CF52+CS52)</f>
        <v>9</v>
      </c>
    </row>
    <row r="53" ht="15.75" customHeight="1">
      <c r="A53" s="146">
        <v>43.0</v>
      </c>
      <c r="B53" s="111" t="s">
        <v>137</v>
      </c>
      <c r="C53" s="112" t="s">
        <v>138</v>
      </c>
      <c r="D53" s="250">
        <f t="shared" si="6"/>
        <v>8</v>
      </c>
      <c r="E53" s="113">
        <f t="shared" ref="E53:E93" si="31">(D53)/D$52*100</f>
        <v>88.88888889</v>
      </c>
      <c r="F53" s="114" t="str">
        <f t="shared" ref="F53:F93" si="32">IF(E53&lt;50,E53, "  ")</f>
        <v>  </v>
      </c>
      <c r="G53" s="202" t="str">
        <f t="shared" ref="G53:G93" si="33">IF(E53&lt;30,E53, "  ")</f>
        <v>  </v>
      </c>
      <c r="H53" s="288"/>
      <c r="I53" s="43"/>
      <c r="J53" s="43"/>
      <c r="K53" s="116"/>
      <c r="L53" s="116"/>
      <c r="M53" s="118">
        <f t="shared" ref="M53:M93" si="34">SUM(H53:L53)</f>
        <v>0</v>
      </c>
      <c r="N53" s="119" t="str">
        <f t="shared" ref="N53:N93" si="35">M53/M$52*100</f>
        <v>#DIV/0!</v>
      </c>
      <c r="O53" s="176"/>
      <c r="P53" s="179"/>
      <c r="Q53" s="179"/>
      <c r="R53" s="179"/>
      <c r="S53" s="179"/>
      <c r="T53" s="179"/>
      <c r="U53" s="179"/>
      <c r="V53" s="179"/>
      <c r="W53" s="179"/>
      <c r="X53" s="179"/>
      <c r="Y53" s="179"/>
      <c r="Z53" s="179"/>
      <c r="AA53" s="179"/>
      <c r="AB53" s="179"/>
      <c r="AC53" s="179"/>
      <c r="AD53" s="179"/>
      <c r="AE53" s="179"/>
      <c r="AF53" s="176"/>
      <c r="AG53" s="182">
        <v>1.0</v>
      </c>
      <c r="AH53" s="182">
        <v>1.0</v>
      </c>
      <c r="AI53" s="176"/>
      <c r="AJ53" s="251">
        <f t="shared" ref="AJ53:AJ93" si="36">SUM(O53:AI53)</f>
        <v>2</v>
      </c>
      <c r="AK53" s="169">
        <f t="shared" ref="AK53:AK93" si="37">AJ53/AJ$52*100</f>
        <v>66.66666667</v>
      </c>
      <c r="AL53" s="183"/>
      <c r="AM53" s="179"/>
      <c r="AN53" s="179"/>
      <c r="AO53" s="179"/>
      <c r="AP53" s="179"/>
      <c r="AQ53" s="179"/>
      <c r="AR53" s="179"/>
      <c r="AS53" s="179"/>
      <c r="AT53" s="179"/>
      <c r="AU53" s="289">
        <v>1.0</v>
      </c>
      <c r="AV53" s="179"/>
      <c r="AW53" s="179"/>
      <c r="AX53" s="179"/>
      <c r="AY53" s="179"/>
      <c r="AZ53" s="179"/>
      <c r="BA53" s="179"/>
      <c r="BB53" s="179"/>
      <c r="BC53" s="138">
        <v>1.0</v>
      </c>
      <c r="BD53" s="179"/>
      <c r="BE53" s="179"/>
      <c r="BF53" s="179"/>
      <c r="BG53" s="118">
        <f t="shared" ref="BG53:BG93" si="38">SUM(AL53:BF53)</f>
        <v>2</v>
      </c>
      <c r="BH53" s="122">
        <f t="shared" ref="BH53:BH93" si="39">BG53/BG$52*100</f>
        <v>66.66666667</v>
      </c>
      <c r="BI53" s="176"/>
      <c r="BJ53" s="179"/>
      <c r="BK53" s="179"/>
      <c r="BL53" s="184">
        <v>1.0</v>
      </c>
      <c r="BM53" s="179"/>
      <c r="BN53" s="179"/>
      <c r="BO53" s="179"/>
      <c r="BP53" s="179"/>
      <c r="BQ53" s="179"/>
      <c r="BR53" s="179"/>
      <c r="BS53" s="179"/>
      <c r="BT53" s="184">
        <v>1.0</v>
      </c>
      <c r="BU53" s="185"/>
      <c r="BV53" s="179"/>
      <c r="BW53" s="186"/>
      <c r="BX53" s="186"/>
      <c r="BY53" s="138">
        <v>1.0</v>
      </c>
      <c r="BZ53" s="186"/>
      <c r="CA53" s="186"/>
      <c r="CB53" s="186"/>
      <c r="CC53" s="186"/>
      <c r="CD53" s="200">
        <v>1.0</v>
      </c>
      <c r="CE53" s="172">
        <f t="shared" ref="CE53:CE93" si="40">SUM(BI53:CD53)</f>
        <v>4</v>
      </c>
      <c r="CF53" s="173">
        <f t="shared" ref="CF53:CF93" si="41">CE53/CE$9*100</f>
        <v>100</v>
      </c>
      <c r="CG53" s="199"/>
      <c r="CH53" s="186"/>
      <c r="CI53" s="186"/>
      <c r="CJ53" s="186"/>
      <c r="CK53" s="186"/>
      <c r="CL53" s="186"/>
      <c r="CM53" s="186"/>
      <c r="CN53" s="186"/>
      <c r="CO53" s="186"/>
      <c r="CP53" s="186"/>
      <c r="CQ53" s="186"/>
      <c r="CR53" s="186"/>
      <c r="CS53" s="175">
        <f t="shared" ref="CS53:CS93" si="42">SUM(CG53:CR53)</f>
        <v>0</v>
      </c>
      <c r="CT53" s="158" t="str">
        <f t="shared" ref="CT53:CT93" si="43">CS53/CS$9*100</f>
        <v>#DIV/0!</v>
      </c>
    </row>
    <row r="54" ht="15.75" customHeight="1">
      <c r="A54" s="131">
        <v>44.0</v>
      </c>
      <c r="B54" s="111" t="s">
        <v>139</v>
      </c>
      <c r="C54" s="112" t="s">
        <v>140</v>
      </c>
      <c r="D54" s="250">
        <f t="shared" si="6"/>
        <v>9</v>
      </c>
      <c r="E54" s="113">
        <f t="shared" si="31"/>
        <v>100</v>
      </c>
      <c r="F54" s="114" t="str">
        <f t="shared" si="32"/>
        <v>  </v>
      </c>
      <c r="G54" s="164" t="str">
        <f t="shared" si="33"/>
        <v>  </v>
      </c>
      <c r="H54" s="279"/>
      <c r="I54" s="228"/>
      <c r="J54" s="207"/>
      <c r="K54" s="179"/>
      <c r="L54" s="179"/>
      <c r="M54" s="118">
        <f t="shared" si="34"/>
        <v>0</v>
      </c>
      <c r="N54" s="119" t="str">
        <f t="shared" si="35"/>
        <v>#DIV/0!</v>
      </c>
      <c r="O54" s="176"/>
      <c r="P54" s="179"/>
      <c r="Q54" s="179"/>
      <c r="R54" s="179"/>
      <c r="S54" s="179"/>
      <c r="T54" s="179"/>
      <c r="U54" s="179"/>
      <c r="V54" s="179"/>
      <c r="W54" s="179"/>
      <c r="X54" s="179"/>
      <c r="Y54" s="179"/>
      <c r="Z54" s="179"/>
      <c r="AA54" s="179"/>
      <c r="AB54" s="179"/>
      <c r="AC54" s="179"/>
      <c r="AD54" s="179"/>
      <c r="AE54" s="179"/>
      <c r="AF54" s="176"/>
      <c r="AG54" s="182">
        <v>1.0</v>
      </c>
      <c r="AH54" s="182">
        <v>1.0</v>
      </c>
      <c r="AI54" s="176"/>
      <c r="AJ54" s="251">
        <f t="shared" si="36"/>
        <v>2</v>
      </c>
      <c r="AK54" s="169">
        <f t="shared" si="37"/>
        <v>66.66666667</v>
      </c>
      <c r="AL54" s="183"/>
      <c r="AM54" s="179"/>
      <c r="AN54" s="179"/>
      <c r="AO54" s="179"/>
      <c r="AP54" s="179"/>
      <c r="AQ54" s="179"/>
      <c r="AR54" s="179"/>
      <c r="AS54" s="184">
        <v>1.0</v>
      </c>
      <c r="AT54" s="179"/>
      <c r="AU54" s="290">
        <v>1.0</v>
      </c>
      <c r="AV54" s="179"/>
      <c r="AW54" s="179"/>
      <c r="AX54" s="179"/>
      <c r="AY54" s="179"/>
      <c r="AZ54" s="179"/>
      <c r="BA54" s="179"/>
      <c r="BB54" s="179"/>
      <c r="BC54" s="116"/>
      <c r="BD54" s="179"/>
      <c r="BE54" s="179"/>
      <c r="BF54" s="179"/>
      <c r="BG54" s="118">
        <f t="shared" si="38"/>
        <v>2</v>
      </c>
      <c r="BH54" s="122">
        <f t="shared" si="39"/>
        <v>66.66666667</v>
      </c>
      <c r="BI54" s="176"/>
      <c r="BJ54" s="179"/>
      <c r="BK54" s="179"/>
      <c r="BL54" s="184">
        <v>1.0</v>
      </c>
      <c r="BM54" s="179"/>
      <c r="BN54" s="179"/>
      <c r="BO54" s="179"/>
      <c r="BP54" s="179"/>
      <c r="BQ54" s="179"/>
      <c r="BR54" s="179"/>
      <c r="BS54" s="179"/>
      <c r="BT54" s="184">
        <v>1.0</v>
      </c>
      <c r="BU54" s="198"/>
      <c r="BV54" s="179"/>
      <c r="BW54" s="186"/>
      <c r="BX54" s="186"/>
      <c r="BY54" s="138">
        <v>1.0</v>
      </c>
      <c r="BZ54" s="186"/>
      <c r="CA54" s="200">
        <v>1.0</v>
      </c>
      <c r="CB54" s="186"/>
      <c r="CC54" s="186"/>
      <c r="CD54" s="200">
        <v>1.0</v>
      </c>
      <c r="CE54" s="172">
        <f t="shared" si="40"/>
        <v>5</v>
      </c>
      <c r="CF54" s="173">
        <f t="shared" si="41"/>
        <v>125</v>
      </c>
      <c r="CG54" s="199"/>
      <c r="CH54" s="186"/>
      <c r="CI54" s="186"/>
      <c r="CJ54" s="186"/>
      <c r="CK54" s="186"/>
      <c r="CL54" s="186"/>
      <c r="CM54" s="186"/>
      <c r="CN54" s="186"/>
      <c r="CO54" s="186"/>
      <c r="CP54" s="186"/>
      <c r="CQ54" s="186"/>
      <c r="CR54" s="186"/>
      <c r="CS54" s="175">
        <f t="shared" si="42"/>
        <v>0</v>
      </c>
      <c r="CT54" s="158" t="str">
        <f t="shared" si="43"/>
        <v>#DIV/0!</v>
      </c>
    </row>
    <row r="55" ht="15.75" customHeight="1">
      <c r="A55" s="146">
        <v>45.0</v>
      </c>
      <c r="B55" s="111" t="s">
        <v>141</v>
      </c>
      <c r="C55" s="112" t="s">
        <v>142</v>
      </c>
      <c r="D55" s="250">
        <f t="shared" si="6"/>
        <v>9</v>
      </c>
      <c r="E55" s="113">
        <f t="shared" si="31"/>
        <v>100</v>
      </c>
      <c r="F55" s="114" t="str">
        <f t="shared" si="32"/>
        <v>  </v>
      </c>
      <c r="G55" s="164" t="str">
        <f t="shared" si="33"/>
        <v>  </v>
      </c>
      <c r="H55" s="279"/>
      <c r="I55" s="186"/>
      <c r="J55" s="179"/>
      <c r="K55" s="179"/>
      <c r="L55" s="179"/>
      <c r="M55" s="118">
        <f t="shared" si="34"/>
        <v>0</v>
      </c>
      <c r="N55" s="119" t="str">
        <f t="shared" si="35"/>
        <v>#DIV/0!</v>
      </c>
      <c r="O55" s="195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  <c r="AA55" s="186"/>
      <c r="AB55" s="186"/>
      <c r="AC55" s="186"/>
      <c r="AD55" s="186"/>
      <c r="AE55" s="186"/>
      <c r="AF55" s="195"/>
      <c r="AG55" s="197">
        <v>1.0</v>
      </c>
      <c r="AH55" s="197">
        <v>1.0</v>
      </c>
      <c r="AI55" s="195"/>
      <c r="AJ55" s="251">
        <f t="shared" si="36"/>
        <v>2</v>
      </c>
      <c r="AK55" s="169">
        <f t="shared" si="37"/>
        <v>66.66666667</v>
      </c>
      <c r="AL55" s="199"/>
      <c r="AM55" s="186"/>
      <c r="AN55" s="186"/>
      <c r="AO55" s="186"/>
      <c r="AP55" s="186"/>
      <c r="AQ55" s="186"/>
      <c r="AR55" s="186"/>
      <c r="AS55" s="200">
        <v>1.0</v>
      </c>
      <c r="AT55" s="186"/>
      <c r="AU55" s="290">
        <v>1.0</v>
      </c>
      <c r="AV55" s="186"/>
      <c r="AW55" s="186"/>
      <c r="AX55" s="186"/>
      <c r="AY55" s="186"/>
      <c r="AZ55" s="186"/>
      <c r="BA55" s="186"/>
      <c r="BB55" s="186"/>
      <c r="BC55" s="138">
        <v>1.0</v>
      </c>
      <c r="BD55" s="186"/>
      <c r="BE55" s="186"/>
      <c r="BF55" s="200">
        <v>1.0</v>
      </c>
      <c r="BG55" s="118">
        <f t="shared" si="38"/>
        <v>4</v>
      </c>
      <c r="BH55" s="122">
        <f t="shared" si="39"/>
        <v>133.3333333</v>
      </c>
      <c r="BI55" s="195"/>
      <c r="BJ55" s="186"/>
      <c r="BK55" s="186"/>
      <c r="BL55" s="186"/>
      <c r="BM55" s="186"/>
      <c r="BN55" s="186"/>
      <c r="BO55" s="186"/>
      <c r="BP55" s="186"/>
      <c r="BQ55" s="186"/>
      <c r="BR55" s="186"/>
      <c r="BS55" s="186"/>
      <c r="BT55" s="200">
        <v>1.0</v>
      </c>
      <c r="BU55" s="252"/>
      <c r="BV55" s="186"/>
      <c r="BW55" s="186"/>
      <c r="BX55" s="186"/>
      <c r="BY55" s="116"/>
      <c r="BZ55" s="186"/>
      <c r="CA55" s="186"/>
      <c r="CB55" s="200">
        <v>1.0</v>
      </c>
      <c r="CC55" s="186"/>
      <c r="CD55" s="200">
        <v>1.0</v>
      </c>
      <c r="CE55" s="172">
        <f t="shared" si="40"/>
        <v>3</v>
      </c>
      <c r="CF55" s="173">
        <f t="shared" si="41"/>
        <v>75</v>
      </c>
      <c r="CG55" s="199"/>
      <c r="CH55" s="186"/>
      <c r="CI55" s="186"/>
      <c r="CJ55" s="186"/>
      <c r="CK55" s="186"/>
      <c r="CL55" s="186"/>
      <c r="CM55" s="186"/>
      <c r="CN55" s="186"/>
      <c r="CO55" s="186"/>
      <c r="CP55" s="186"/>
      <c r="CQ55" s="186"/>
      <c r="CR55" s="186"/>
      <c r="CS55" s="175">
        <f t="shared" si="42"/>
        <v>0</v>
      </c>
      <c r="CT55" s="158" t="str">
        <f t="shared" si="43"/>
        <v>#DIV/0!</v>
      </c>
    </row>
    <row r="56" ht="15.75" customHeight="1">
      <c r="A56" s="146">
        <v>46.0</v>
      </c>
      <c r="B56" s="111" t="s">
        <v>143</v>
      </c>
      <c r="C56" s="112" t="s">
        <v>144</v>
      </c>
      <c r="D56" s="250">
        <f t="shared" si="6"/>
        <v>7</v>
      </c>
      <c r="E56" s="113">
        <f t="shared" si="31"/>
        <v>77.77777778</v>
      </c>
      <c r="F56" s="114" t="str">
        <f t="shared" si="32"/>
        <v>  </v>
      </c>
      <c r="G56" s="164" t="str">
        <f t="shared" si="33"/>
        <v>  </v>
      </c>
      <c r="H56" s="183"/>
      <c r="I56" s="179"/>
      <c r="J56" s="179"/>
      <c r="K56" s="207"/>
      <c r="L56" s="207"/>
      <c r="M56" s="118">
        <f t="shared" si="34"/>
        <v>0</v>
      </c>
      <c r="N56" s="119" t="str">
        <f t="shared" si="35"/>
        <v>#DIV/0!</v>
      </c>
      <c r="O56" s="206"/>
      <c r="P56" s="207"/>
      <c r="Q56" s="207"/>
      <c r="R56" s="207"/>
      <c r="S56" s="207"/>
      <c r="T56" s="207"/>
      <c r="U56" s="207"/>
      <c r="V56" s="207"/>
      <c r="W56" s="207"/>
      <c r="X56" s="207"/>
      <c r="Y56" s="207"/>
      <c r="Z56" s="207"/>
      <c r="AA56" s="207"/>
      <c r="AB56" s="207"/>
      <c r="AC56" s="207"/>
      <c r="AD56" s="234">
        <v>1.0</v>
      </c>
      <c r="AE56" s="207"/>
      <c r="AF56" s="206"/>
      <c r="AG56" s="209">
        <v>1.0</v>
      </c>
      <c r="AH56" s="209">
        <v>1.0</v>
      </c>
      <c r="AI56" s="206"/>
      <c r="AJ56" s="251">
        <f t="shared" si="36"/>
        <v>3</v>
      </c>
      <c r="AK56" s="169">
        <f t="shared" si="37"/>
        <v>100</v>
      </c>
      <c r="AL56" s="212"/>
      <c r="AM56" s="207"/>
      <c r="AN56" s="207"/>
      <c r="AO56" s="207"/>
      <c r="AP56" s="207"/>
      <c r="AQ56" s="207"/>
      <c r="AR56" s="207"/>
      <c r="AS56" s="207"/>
      <c r="AT56" s="207"/>
      <c r="AU56" s="291"/>
      <c r="AV56" s="207"/>
      <c r="AW56" s="207"/>
      <c r="AX56" s="207"/>
      <c r="AY56" s="207"/>
      <c r="AZ56" s="207"/>
      <c r="BA56" s="207"/>
      <c r="BB56" s="207"/>
      <c r="BC56" s="116"/>
      <c r="BD56" s="207"/>
      <c r="BE56" s="207"/>
      <c r="BF56" s="207"/>
      <c r="BG56" s="118">
        <f t="shared" si="38"/>
        <v>0</v>
      </c>
      <c r="BH56" s="122">
        <f t="shared" si="39"/>
        <v>0</v>
      </c>
      <c r="BI56" s="206"/>
      <c r="BJ56" s="207"/>
      <c r="BK56" s="207"/>
      <c r="BL56" s="234">
        <v>1.0</v>
      </c>
      <c r="BM56" s="207"/>
      <c r="BN56" s="207"/>
      <c r="BO56" s="207"/>
      <c r="BP56" s="207"/>
      <c r="BQ56" s="207"/>
      <c r="BR56" s="207"/>
      <c r="BS56" s="207"/>
      <c r="BT56" s="234">
        <v>1.0</v>
      </c>
      <c r="BU56" s="253"/>
      <c r="BV56" s="207"/>
      <c r="BW56" s="186"/>
      <c r="BX56" s="186"/>
      <c r="BY56" s="138">
        <v>1.0</v>
      </c>
      <c r="BZ56" s="186"/>
      <c r="CA56" s="186"/>
      <c r="CB56" s="186"/>
      <c r="CC56" s="186"/>
      <c r="CD56" s="200">
        <v>1.0</v>
      </c>
      <c r="CE56" s="172">
        <f t="shared" si="40"/>
        <v>4</v>
      </c>
      <c r="CF56" s="173">
        <f t="shared" si="41"/>
        <v>100</v>
      </c>
      <c r="CG56" s="199"/>
      <c r="CH56" s="186"/>
      <c r="CI56" s="186"/>
      <c r="CJ56" s="186"/>
      <c r="CK56" s="186"/>
      <c r="CL56" s="186"/>
      <c r="CM56" s="186"/>
      <c r="CN56" s="186"/>
      <c r="CO56" s="186"/>
      <c r="CP56" s="186"/>
      <c r="CQ56" s="186"/>
      <c r="CR56" s="186"/>
      <c r="CS56" s="175">
        <f t="shared" si="42"/>
        <v>0</v>
      </c>
      <c r="CT56" s="158" t="str">
        <f t="shared" si="43"/>
        <v>#DIV/0!</v>
      </c>
    </row>
    <row r="57" ht="15.75" customHeight="1">
      <c r="A57" s="131">
        <v>47.0</v>
      </c>
      <c r="B57" s="111" t="s">
        <v>145</v>
      </c>
      <c r="C57" s="112" t="s">
        <v>146</v>
      </c>
      <c r="D57" s="250">
        <f t="shared" si="6"/>
        <v>10</v>
      </c>
      <c r="E57" s="113">
        <f t="shared" si="31"/>
        <v>111.1111111</v>
      </c>
      <c r="F57" s="114" t="str">
        <f t="shared" si="32"/>
        <v>  </v>
      </c>
      <c r="G57" s="164" t="str">
        <f t="shared" si="33"/>
        <v>  </v>
      </c>
      <c r="H57" s="279"/>
      <c r="I57" s="207"/>
      <c r="J57" s="179"/>
      <c r="K57" s="179"/>
      <c r="L57" s="179"/>
      <c r="M57" s="118">
        <f t="shared" si="34"/>
        <v>0</v>
      </c>
      <c r="N57" s="119" t="str">
        <f t="shared" si="35"/>
        <v>#DIV/0!</v>
      </c>
      <c r="O57" s="227"/>
      <c r="P57" s="228"/>
      <c r="Q57" s="228"/>
      <c r="R57" s="228"/>
      <c r="S57" s="228"/>
      <c r="T57" s="228"/>
      <c r="U57" s="228"/>
      <c r="V57" s="228"/>
      <c r="W57" s="228"/>
      <c r="X57" s="228"/>
      <c r="Y57" s="228"/>
      <c r="Z57" s="228"/>
      <c r="AA57" s="228"/>
      <c r="AB57" s="228"/>
      <c r="AC57" s="228"/>
      <c r="AD57" s="233">
        <v>1.0</v>
      </c>
      <c r="AE57" s="228"/>
      <c r="AF57" s="227"/>
      <c r="AG57" s="229">
        <v>1.0</v>
      </c>
      <c r="AH57" s="229">
        <v>1.0</v>
      </c>
      <c r="AI57" s="227"/>
      <c r="AJ57" s="251">
        <f t="shared" si="36"/>
        <v>3</v>
      </c>
      <c r="AK57" s="169">
        <f t="shared" si="37"/>
        <v>100</v>
      </c>
      <c r="AL57" s="232"/>
      <c r="AM57" s="228"/>
      <c r="AN57" s="228"/>
      <c r="AO57" s="228"/>
      <c r="AP57" s="228"/>
      <c r="AQ57" s="228"/>
      <c r="AR57" s="228"/>
      <c r="AS57" s="233">
        <v>1.0</v>
      </c>
      <c r="AT57" s="228"/>
      <c r="AU57" s="290">
        <v>1.0</v>
      </c>
      <c r="AV57" s="228"/>
      <c r="AW57" s="228"/>
      <c r="AX57" s="228"/>
      <c r="AY57" s="228"/>
      <c r="AZ57" s="228"/>
      <c r="BA57" s="228"/>
      <c r="BB57" s="228"/>
      <c r="BC57" s="138">
        <v>1.0</v>
      </c>
      <c r="BD57" s="228"/>
      <c r="BE57" s="228"/>
      <c r="BF57" s="233">
        <v>1.0</v>
      </c>
      <c r="BG57" s="118">
        <f t="shared" si="38"/>
        <v>4</v>
      </c>
      <c r="BH57" s="122">
        <f t="shared" si="39"/>
        <v>133.3333333</v>
      </c>
      <c r="BI57" s="227"/>
      <c r="BJ57" s="228"/>
      <c r="BK57" s="228"/>
      <c r="BL57" s="233">
        <v>1.0</v>
      </c>
      <c r="BM57" s="228"/>
      <c r="BN57" s="228"/>
      <c r="BO57" s="228"/>
      <c r="BP57" s="228"/>
      <c r="BQ57" s="228"/>
      <c r="BR57" s="228"/>
      <c r="BS57" s="228"/>
      <c r="BT57" s="228"/>
      <c r="BU57" s="185"/>
      <c r="BV57" s="228"/>
      <c r="BW57" s="186"/>
      <c r="BX57" s="186"/>
      <c r="BY57" s="138">
        <v>1.0</v>
      </c>
      <c r="BZ57" s="186"/>
      <c r="CA57" s="186"/>
      <c r="CB57" s="186"/>
      <c r="CC57" s="186"/>
      <c r="CD57" s="200">
        <v>1.0</v>
      </c>
      <c r="CE57" s="172">
        <f t="shared" si="40"/>
        <v>3</v>
      </c>
      <c r="CF57" s="173">
        <f t="shared" si="41"/>
        <v>75</v>
      </c>
      <c r="CG57" s="199"/>
      <c r="CH57" s="186"/>
      <c r="CI57" s="186"/>
      <c r="CJ57" s="186"/>
      <c r="CK57" s="186"/>
      <c r="CL57" s="186"/>
      <c r="CM57" s="186"/>
      <c r="CN57" s="186"/>
      <c r="CO57" s="186"/>
      <c r="CP57" s="186"/>
      <c r="CQ57" s="186"/>
      <c r="CR57" s="186"/>
      <c r="CS57" s="175">
        <f t="shared" si="42"/>
        <v>0</v>
      </c>
      <c r="CT57" s="158" t="str">
        <f t="shared" si="43"/>
        <v>#DIV/0!</v>
      </c>
    </row>
    <row r="58" ht="15.75" customHeight="1">
      <c r="A58" s="146">
        <v>48.0</v>
      </c>
      <c r="B58" s="111" t="s">
        <v>147</v>
      </c>
      <c r="C58" s="112" t="s">
        <v>148</v>
      </c>
      <c r="D58" s="250">
        <f t="shared" si="6"/>
        <v>10</v>
      </c>
      <c r="E58" s="113">
        <f t="shared" si="31"/>
        <v>111.1111111</v>
      </c>
      <c r="F58" s="114" t="str">
        <f t="shared" si="32"/>
        <v>  </v>
      </c>
      <c r="G58" s="202" t="str">
        <f t="shared" si="33"/>
        <v>  </v>
      </c>
      <c r="H58" s="279"/>
      <c r="I58" s="179"/>
      <c r="J58" s="179"/>
      <c r="K58" s="179"/>
      <c r="L58" s="179"/>
      <c r="M58" s="118">
        <f t="shared" si="34"/>
        <v>0</v>
      </c>
      <c r="N58" s="119" t="str">
        <f t="shared" si="35"/>
        <v>#DIV/0!</v>
      </c>
      <c r="O58" s="176"/>
      <c r="P58" s="179"/>
      <c r="Q58" s="179"/>
      <c r="R58" s="179"/>
      <c r="S58" s="179"/>
      <c r="T58" s="179"/>
      <c r="U58" s="179"/>
      <c r="V58" s="179"/>
      <c r="W58" s="179"/>
      <c r="X58" s="179"/>
      <c r="Y58" s="179"/>
      <c r="Z58" s="179"/>
      <c r="AA58" s="179"/>
      <c r="AB58" s="179"/>
      <c r="AC58" s="179"/>
      <c r="AD58" s="184">
        <v>1.0</v>
      </c>
      <c r="AE58" s="179"/>
      <c r="AF58" s="176"/>
      <c r="AG58" s="182">
        <v>1.0</v>
      </c>
      <c r="AH58" s="182">
        <v>1.0</v>
      </c>
      <c r="AI58" s="176"/>
      <c r="AJ58" s="251">
        <f t="shared" si="36"/>
        <v>3</v>
      </c>
      <c r="AK58" s="169">
        <f t="shared" si="37"/>
        <v>100</v>
      </c>
      <c r="AL58" s="183"/>
      <c r="AM58" s="179"/>
      <c r="AN58" s="179"/>
      <c r="AO58" s="179"/>
      <c r="AP58" s="179"/>
      <c r="AQ58" s="179"/>
      <c r="AR58" s="179"/>
      <c r="AS58" s="179"/>
      <c r="AT58" s="179"/>
      <c r="AU58" s="290">
        <v>1.0</v>
      </c>
      <c r="AV58" s="179"/>
      <c r="AW58" s="179"/>
      <c r="AX58" s="179"/>
      <c r="AY58" s="179"/>
      <c r="AZ58" s="179"/>
      <c r="BA58" s="179"/>
      <c r="BB58" s="179"/>
      <c r="BC58" s="138">
        <v>1.0</v>
      </c>
      <c r="BD58" s="179"/>
      <c r="BE58" s="179"/>
      <c r="BF58" s="179"/>
      <c r="BG58" s="118">
        <f t="shared" si="38"/>
        <v>2</v>
      </c>
      <c r="BH58" s="122">
        <f t="shared" si="39"/>
        <v>66.66666667</v>
      </c>
      <c r="BI58" s="176"/>
      <c r="BJ58" s="179"/>
      <c r="BK58" s="179"/>
      <c r="BL58" s="184">
        <v>1.0</v>
      </c>
      <c r="BM58" s="179"/>
      <c r="BN58" s="179"/>
      <c r="BO58" s="179"/>
      <c r="BP58" s="179"/>
      <c r="BQ58" s="179"/>
      <c r="BR58" s="179"/>
      <c r="BS58" s="179"/>
      <c r="BT58" s="184">
        <v>1.0</v>
      </c>
      <c r="BU58" s="185"/>
      <c r="BV58" s="179"/>
      <c r="BW58" s="186"/>
      <c r="BX58" s="186"/>
      <c r="BY58" s="138">
        <v>1.0</v>
      </c>
      <c r="BZ58" s="186"/>
      <c r="CA58" s="200">
        <v>1.0</v>
      </c>
      <c r="CB58" s="186"/>
      <c r="CC58" s="186"/>
      <c r="CD58" s="200">
        <v>1.0</v>
      </c>
      <c r="CE58" s="172">
        <f t="shared" si="40"/>
        <v>5</v>
      </c>
      <c r="CF58" s="173">
        <f t="shared" si="41"/>
        <v>125</v>
      </c>
      <c r="CG58" s="199"/>
      <c r="CH58" s="186"/>
      <c r="CI58" s="186"/>
      <c r="CJ58" s="186"/>
      <c r="CK58" s="186"/>
      <c r="CL58" s="186"/>
      <c r="CM58" s="186"/>
      <c r="CN58" s="186"/>
      <c r="CO58" s="186"/>
      <c r="CP58" s="186"/>
      <c r="CQ58" s="186"/>
      <c r="CR58" s="186"/>
      <c r="CS58" s="175">
        <f t="shared" si="42"/>
        <v>0</v>
      </c>
      <c r="CT58" s="158" t="str">
        <f t="shared" si="43"/>
        <v>#DIV/0!</v>
      </c>
    </row>
    <row r="59" ht="15.75" customHeight="1">
      <c r="A59" s="146">
        <v>49.0</v>
      </c>
      <c r="B59" s="111" t="s">
        <v>149</v>
      </c>
      <c r="C59" s="112" t="s">
        <v>150</v>
      </c>
      <c r="D59" s="250">
        <f t="shared" si="6"/>
        <v>11</v>
      </c>
      <c r="E59" s="113">
        <f t="shared" si="31"/>
        <v>122.2222222</v>
      </c>
      <c r="F59" s="114" t="str">
        <f t="shared" si="32"/>
        <v>  </v>
      </c>
      <c r="G59" s="164" t="str">
        <f t="shared" si="33"/>
        <v>  </v>
      </c>
      <c r="H59" s="279"/>
      <c r="I59" s="179"/>
      <c r="J59" s="179"/>
      <c r="K59" s="179"/>
      <c r="L59" s="179"/>
      <c r="M59" s="118">
        <f t="shared" si="34"/>
        <v>0</v>
      </c>
      <c r="N59" s="119" t="str">
        <f t="shared" si="35"/>
        <v>#DIV/0!</v>
      </c>
      <c r="O59" s="176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Z59" s="179"/>
      <c r="AA59" s="179"/>
      <c r="AB59" s="179"/>
      <c r="AC59" s="179"/>
      <c r="AD59" s="184">
        <v>1.0</v>
      </c>
      <c r="AE59" s="179"/>
      <c r="AF59" s="176"/>
      <c r="AG59" s="182">
        <v>1.0</v>
      </c>
      <c r="AH59" s="182">
        <v>1.0</v>
      </c>
      <c r="AI59" s="176"/>
      <c r="AJ59" s="251">
        <f t="shared" si="36"/>
        <v>3</v>
      </c>
      <c r="AK59" s="169">
        <f t="shared" si="37"/>
        <v>100</v>
      </c>
      <c r="AL59" s="183"/>
      <c r="AM59" s="179"/>
      <c r="AN59" s="179"/>
      <c r="AO59" s="179"/>
      <c r="AP59" s="179"/>
      <c r="AQ59" s="179"/>
      <c r="AR59" s="179"/>
      <c r="AS59" s="184">
        <v>1.0</v>
      </c>
      <c r="AT59" s="179"/>
      <c r="AU59" s="290">
        <v>1.0</v>
      </c>
      <c r="AV59" s="179"/>
      <c r="AW59" s="179"/>
      <c r="AX59" s="179"/>
      <c r="AY59" s="179"/>
      <c r="AZ59" s="179"/>
      <c r="BA59" s="179"/>
      <c r="BB59" s="179"/>
      <c r="BC59" s="138">
        <v>1.0</v>
      </c>
      <c r="BD59" s="179"/>
      <c r="BE59" s="179"/>
      <c r="BF59" s="184">
        <v>1.0</v>
      </c>
      <c r="BG59" s="118">
        <f t="shared" si="38"/>
        <v>4</v>
      </c>
      <c r="BH59" s="122">
        <f t="shared" si="39"/>
        <v>133.3333333</v>
      </c>
      <c r="BI59" s="176"/>
      <c r="BJ59" s="179"/>
      <c r="BK59" s="179"/>
      <c r="BL59" s="184">
        <v>1.0</v>
      </c>
      <c r="BM59" s="179"/>
      <c r="BN59" s="179"/>
      <c r="BO59" s="179"/>
      <c r="BP59" s="179"/>
      <c r="BQ59" s="179"/>
      <c r="BR59" s="179"/>
      <c r="BS59" s="179"/>
      <c r="BT59" s="184">
        <v>1.0</v>
      </c>
      <c r="BU59" s="185"/>
      <c r="BV59" s="179"/>
      <c r="BW59" s="186"/>
      <c r="BX59" s="186"/>
      <c r="BY59" s="116"/>
      <c r="BZ59" s="186"/>
      <c r="CA59" s="200">
        <v>1.0</v>
      </c>
      <c r="CB59" s="186"/>
      <c r="CC59" s="186"/>
      <c r="CD59" s="200">
        <v>1.0</v>
      </c>
      <c r="CE59" s="172">
        <f t="shared" si="40"/>
        <v>4</v>
      </c>
      <c r="CF59" s="173">
        <f t="shared" si="41"/>
        <v>100</v>
      </c>
      <c r="CG59" s="199"/>
      <c r="CH59" s="186"/>
      <c r="CI59" s="186"/>
      <c r="CJ59" s="186"/>
      <c r="CK59" s="186"/>
      <c r="CL59" s="186"/>
      <c r="CM59" s="186"/>
      <c r="CN59" s="186"/>
      <c r="CO59" s="186"/>
      <c r="CP59" s="186"/>
      <c r="CQ59" s="186"/>
      <c r="CR59" s="186"/>
      <c r="CS59" s="175">
        <f t="shared" si="42"/>
        <v>0</v>
      </c>
      <c r="CT59" s="158" t="str">
        <f t="shared" si="43"/>
        <v>#DIV/0!</v>
      </c>
    </row>
    <row r="60" ht="15.75" customHeight="1">
      <c r="A60" s="131">
        <v>50.0</v>
      </c>
      <c r="B60" s="111" t="s">
        <v>151</v>
      </c>
      <c r="C60" s="112" t="s">
        <v>152</v>
      </c>
      <c r="D60" s="250">
        <f t="shared" si="6"/>
        <v>10</v>
      </c>
      <c r="E60" s="113">
        <f t="shared" si="31"/>
        <v>111.1111111</v>
      </c>
      <c r="F60" s="114" t="str">
        <f t="shared" si="32"/>
        <v>  </v>
      </c>
      <c r="G60" s="164" t="str">
        <f t="shared" si="33"/>
        <v>  </v>
      </c>
      <c r="H60" s="280"/>
      <c r="I60" s="179"/>
      <c r="J60" s="207"/>
      <c r="K60" s="179"/>
      <c r="L60" s="179"/>
      <c r="M60" s="118">
        <f t="shared" si="34"/>
        <v>0</v>
      </c>
      <c r="N60" s="119" t="str">
        <f t="shared" si="35"/>
        <v>#DIV/0!</v>
      </c>
      <c r="O60" s="176"/>
      <c r="P60" s="179"/>
      <c r="Q60" s="179"/>
      <c r="R60" s="179"/>
      <c r="S60" s="179"/>
      <c r="T60" s="179"/>
      <c r="U60" s="179"/>
      <c r="V60" s="179"/>
      <c r="W60" s="179"/>
      <c r="X60" s="179"/>
      <c r="Y60" s="179"/>
      <c r="Z60" s="179"/>
      <c r="AA60" s="179"/>
      <c r="AB60" s="179"/>
      <c r="AC60" s="179"/>
      <c r="AD60" s="184">
        <v>1.0</v>
      </c>
      <c r="AE60" s="179"/>
      <c r="AF60" s="176"/>
      <c r="AG60" s="182">
        <v>1.0</v>
      </c>
      <c r="AH60" s="182">
        <v>1.0</v>
      </c>
      <c r="AI60" s="176"/>
      <c r="AJ60" s="251">
        <f t="shared" si="36"/>
        <v>3</v>
      </c>
      <c r="AK60" s="169">
        <f t="shared" si="37"/>
        <v>100</v>
      </c>
      <c r="AL60" s="183"/>
      <c r="AM60" s="179"/>
      <c r="AN60" s="179"/>
      <c r="AO60" s="179"/>
      <c r="AP60" s="179"/>
      <c r="AQ60" s="179"/>
      <c r="AR60" s="179"/>
      <c r="AS60" s="184">
        <v>1.0</v>
      </c>
      <c r="AT60" s="179"/>
      <c r="AU60" s="292">
        <v>1.0</v>
      </c>
      <c r="AV60" s="179"/>
      <c r="AW60" s="179"/>
      <c r="AX60" s="179"/>
      <c r="AY60" s="179"/>
      <c r="AZ60" s="179"/>
      <c r="BA60" s="179"/>
      <c r="BB60" s="179"/>
      <c r="BC60" s="204"/>
      <c r="BD60" s="179"/>
      <c r="BE60" s="179"/>
      <c r="BF60" s="179"/>
      <c r="BG60" s="118">
        <f t="shared" si="38"/>
        <v>2</v>
      </c>
      <c r="BH60" s="122">
        <f t="shared" si="39"/>
        <v>66.66666667</v>
      </c>
      <c r="BI60" s="176"/>
      <c r="BJ60" s="179"/>
      <c r="BK60" s="179"/>
      <c r="BL60" s="184">
        <v>1.0</v>
      </c>
      <c r="BM60" s="179"/>
      <c r="BN60" s="179"/>
      <c r="BO60" s="179"/>
      <c r="BP60" s="179"/>
      <c r="BQ60" s="179"/>
      <c r="BR60" s="179"/>
      <c r="BS60" s="179"/>
      <c r="BT60" s="184">
        <v>1.0</v>
      </c>
      <c r="BU60" s="185"/>
      <c r="BV60" s="179"/>
      <c r="BW60" s="186"/>
      <c r="BX60" s="186"/>
      <c r="BY60" s="138">
        <v>1.0</v>
      </c>
      <c r="BZ60" s="186"/>
      <c r="CA60" s="200">
        <v>1.0</v>
      </c>
      <c r="CB60" s="186"/>
      <c r="CC60" s="186"/>
      <c r="CD60" s="200">
        <v>1.0</v>
      </c>
      <c r="CE60" s="172">
        <f t="shared" si="40"/>
        <v>5</v>
      </c>
      <c r="CF60" s="173">
        <f t="shared" si="41"/>
        <v>125</v>
      </c>
      <c r="CG60" s="199"/>
      <c r="CH60" s="186"/>
      <c r="CI60" s="186"/>
      <c r="CJ60" s="186"/>
      <c r="CK60" s="186"/>
      <c r="CL60" s="186"/>
      <c r="CM60" s="186"/>
      <c r="CN60" s="186"/>
      <c r="CO60" s="186"/>
      <c r="CP60" s="186"/>
      <c r="CQ60" s="186"/>
      <c r="CR60" s="186"/>
      <c r="CS60" s="175">
        <f t="shared" si="42"/>
        <v>0</v>
      </c>
      <c r="CT60" s="158" t="str">
        <f t="shared" si="43"/>
        <v>#DIV/0!</v>
      </c>
    </row>
    <row r="61" ht="15.75" customHeight="1">
      <c r="A61" s="146">
        <v>51.0</v>
      </c>
      <c r="B61" s="111" t="s">
        <v>153</v>
      </c>
      <c r="C61" s="112" t="s">
        <v>154</v>
      </c>
      <c r="D61" s="250">
        <f t="shared" si="6"/>
        <v>5</v>
      </c>
      <c r="E61" s="113">
        <f t="shared" si="31"/>
        <v>55.55555556</v>
      </c>
      <c r="F61" s="114" t="str">
        <f t="shared" si="32"/>
        <v>  </v>
      </c>
      <c r="G61" s="202" t="str">
        <f t="shared" si="33"/>
        <v>  </v>
      </c>
      <c r="H61" s="183"/>
      <c r="I61" s="228"/>
      <c r="J61" s="179"/>
      <c r="K61" s="179"/>
      <c r="L61" s="179"/>
      <c r="M61" s="118">
        <f t="shared" si="34"/>
        <v>0</v>
      </c>
      <c r="N61" s="119" t="str">
        <f t="shared" si="35"/>
        <v>#DIV/0!</v>
      </c>
      <c r="O61" s="176"/>
      <c r="P61" s="179"/>
      <c r="Q61" s="179"/>
      <c r="R61" s="179"/>
      <c r="S61" s="179"/>
      <c r="T61" s="179"/>
      <c r="U61" s="179"/>
      <c r="V61" s="179"/>
      <c r="W61" s="179"/>
      <c r="X61" s="179"/>
      <c r="Y61" s="179"/>
      <c r="Z61" s="179"/>
      <c r="AA61" s="179"/>
      <c r="AB61" s="179"/>
      <c r="AC61" s="179"/>
      <c r="AD61" s="179"/>
      <c r="AE61" s="179"/>
      <c r="AF61" s="176"/>
      <c r="AG61" s="182">
        <v>1.0</v>
      </c>
      <c r="AH61" s="182">
        <v>1.0</v>
      </c>
      <c r="AI61" s="176"/>
      <c r="AJ61" s="251">
        <f t="shared" si="36"/>
        <v>2</v>
      </c>
      <c r="AK61" s="169">
        <f t="shared" si="37"/>
        <v>66.66666667</v>
      </c>
      <c r="AL61" s="183"/>
      <c r="AM61" s="179"/>
      <c r="AN61" s="179"/>
      <c r="AO61" s="179"/>
      <c r="AP61" s="179"/>
      <c r="AQ61" s="179"/>
      <c r="AR61" s="179"/>
      <c r="AS61" s="184">
        <v>1.0</v>
      </c>
      <c r="AT61" s="179"/>
      <c r="AU61" s="291"/>
      <c r="AV61" s="179"/>
      <c r="AW61" s="179"/>
      <c r="AX61" s="179"/>
      <c r="AY61" s="179"/>
      <c r="AZ61" s="179"/>
      <c r="BA61" s="179"/>
      <c r="BB61" s="179"/>
      <c r="BC61" s="116"/>
      <c r="BD61" s="179"/>
      <c r="BE61" s="179"/>
      <c r="BF61" s="179"/>
      <c r="BG61" s="118">
        <f t="shared" si="38"/>
        <v>1</v>
      </c>
      <c r="BH61" s="122">
        <f t="shared" si="39"/>
        <v>33.33333333</v>
      </c>
      <c r="BI61" s="176"/>
      <c r="BJ61" s="179"/>
      <c r="BK61" s="179"/>
      <c r="BL61" s="184">
        <v>1.0</v>
      </c>
      <c r="BM61" s="179"/>
      <c r="BN61" s="179"/>
      <c r="BO61" s="179"/>
      <c r="BP61" s="179"/>
      <c r="BQ61" s="179"/>
      <c r="BR61" s="179"/>
      <c r="BS61" s="179"/>
      <c r="BT61" s="179"/>
      <c r="BU61" s="185"/>
      <c r="BV61" s="179"/>
      <c r="BW61" s="186"/>
      <c r="BX61" s="186"/>
      <c r="BY61" s="116"/>
      <c r="BZ61" s="186"/>
      <c r="CA61" s="186"/>
      <c r="CB61" s="186"/>
      <c r="CC61" s="186"/>
      <c r="CD61" s="200">
        <v>1.0</v>
      </c>
      <c r="CE61" s="172">
        <f t="shared" si="40"/>
        <v>2</v>
      </c>
      <c r="CF61" s="173">
        <f t="shared" si="41"/>
        <v>50</v>
      </c>
      <c r="CG61" s="199"/>
      <c r="CH61" s="186"/>
      <c r="CI61" s="186"/>
      <c r="CJ61" s="186"/>
      <c r="CK61" s="186"/>
      <c r="CL61" s="186"/>
      <c r="CM61" s="186"/>
      <c r="CN61" s="186"/>
      <c r="CO61" s="186"/>
      <c r="CP61" s="186"/>
      <c r="CQ61" s="186"/>
      <c r="CR61" s="186"/>
      <c r="CS61" s="175">
        <f t="shared" si="42"/>
        <v>0</v>
      </c>
      <c r="CT61" s="158" t="str">
        <f t="shared" si="43"/>
        <v>#DIV/0!</v>
      </c>
    </row>
    <row r="62" ht="15.75" customHeight="1">
      <c r="A62" s="146">
        <v>52.0</v>
      </c>
      <c r="B62" s="111" t="s">
        <v>155</v>
      </c>
      <c r="C62" s="112" t="s">
        <v>156</v>
      </c>
      <c r="D62" s="250">
        <f t="shared" si="6"/>
        <v>8</v>
      </c>
      <c r="E62" s="113">
        <f t="shared" si="31"/>
        <v>88.88888889</v>
      </c>
      <c r="F62" s="114" t="str">
        <f t="shared" si="32"/>
        <v>  </v>
      </c>
      <c r="G62" s="202" t="str">
        <f t="shared" si="33"/>
        <v>  </v>
      </c>
      <c r="H62" s="183"/>
      <c r="I62" s="207"/>
      <c r="J62" s="207"/>
      <c r="K62" s="179"/>
      <c r="L62" s="179"/>
      <c r="M62" s="118">
        <f t="shared" si="34"/>
        <v>0</v>
      </c>
      <c r="N62" s="119" t="str">
        <f t="shared" si="35"/>
        <v>#DIV/0!</v>
      </c>
      <c r="O62" s="176"/>
      <c r="P62" s="179"/>
      <c r="Q62" s="179"/>
      <c r="R62" s="179"/>
      <c r="S62" s="179"/>
      <c r="T62" s="179"/>
      <c r="U62" s="179"/>
      <c r="V62" s="179"/>
      <c r="W62" s="179"/>
      <c r="X62" s="179"/>
      <c r="Y62" s="179"/>
      <c r="Z62" s="179"/>
      <c r="AA62" s="179"/>
      <c r="AB62" s="179"/>
      <c r="AC62" s="179"/>
      <c r="AD62" s="184">
        <v>1.0</v>
      </c>
      <c r="AE62" s="179"/>
      <c r="AF62" s="176"/>
      <c r="AG62" s="176"/>
      <c r="AH62" s="182">
        <v>1.0</v>
      </c>
      <c r="AI62" s="176"/>
      <c r="AJ62" s="251">
        <f t="shared" si="36"/>
        <v>2</v>
      </c>
      <c r="AK62" s="169">
        <f t="shared" si="37"/>
        <v>66.66666667</v>
      </c>
      <c r="AL62" s="183"/>
      <c r="AM62" s="179"/>
      <c r="AN62" s="179"/>
      <c r="AO62" s="179"/>
      <c r="AP62" s="179"/>
      <c r="AQ62" s="179"/>
      <c r="AR62" s="179"/>
      <c r="AS62" s="179"/>
      <c r="AT62" s="179"/>
      <c r="AU62" s="291"/>
      <c r="AV62" s="179"/>
      <c r="AW62" s="179"/>
      <c r="AX62" s="179"/>
      <c r="AY62" s="179"/>
      <c r="AZ62" s="179"/>
      <c r="BA62" s="179"/>
      <c r="BB62" s="179"/>
      <c r="BC62" s="138">
        <v>1.0</v>
      </c>
      <c r="BD62" s="179"/>
      <c r="BE62" s="179"/>
      <c r="BF62" s="184">
        <v>1.0</v>
      </c>
      <c r="BG62" s="118">
        <f t="shared" si="38"/>
        <v>2</v>
      </c>
      <c r="BH62" s="122">
        <f t="shared" si="39"/>
        <v>66.66666667</v>
      </c>
      <c r="BI62" s="176"/>
      <c r="BJ62" s="179"/>
      <c r="BK62" s="179"/>
      <c r="BL62" s="179"/>
      <c r="BM62" s="179"/>
      <c r="BN62" s="179"/>
      <c r="BO62" s="179"/>
      <c r="BP62" s="179"/>
      <c r="BQ62" s="179"/>
      <c r="BR62" s="179"/>
      <c r="BS62" s="179"/>
      <c r="BT62" s="184">
        <v>1.0</v>
      </c>
      <c r="BU62" s="185"/>
      <c r="BV62" s="179"/>
      <c r="BW62" s="186"/>
      <c r="BX62" s="186"/>
      <c r="BY62" s="116"/>
      <c r="BZ62" s="186"/>
      <c r="CA62" s="200">
        <v>1.0</v>
      </c>
      <c r="CB62" s="200">
        <v>1.0</v>
      </c>
      <c r="CC62" s="186"/>
      <c r="CD62" s="200">
        <v>1.0</v>
      </c>
      <c r="CE62" s="172">
        <f t="shared" si="40"/>
        <v>4</v>
      </c>
      <c r="CF62" s="173">
        <f t="shared" si="41"/>
        <v>100</v>
      </c>
      <c r="CG62" s="199"/>
      <c r="CH62" s="186"/>
      <c r="CI62" s="186"/>
      <c r="CJ62" s="186"/>
      <c r="CK62" s="186"/>
      <c r="CL62" s="186"/>
      <c r="CM62" s="186"/>
      <c r="CN62" s="186"/>
      <c r="CO62" s="186"/>
      <c r="CP62" s="186"/>
      <c r="CQ62" s="186"/>
      <c r="CR62" s="186"/>
      <c r="CS62" s="175">
        <f t="shared" si="42"/>
        <v>0</v>
      </c>
      <c r="CT62" s="158" t="str">
        <f t="shared" si="43"/>
        <v>#DIV/0!</v>
      </c>
    </row>
    <row r="63" ht="15.75" customHeight="1">
      <c r="A63" s="131">
        <v>53.0</v>
      </c>
      <c r="B63" s="111" t="s">
        <v>157</v>
      </c>
      <c r="C63" s="112" t="s">
        <v>158</v>
      </c>
      <c r="D63" s="250">
        <f t="shared" si="6"/>
        <v>9</v>
      </c>
      <c r="E63" s="113">
        <f t="shared" si="31"/>
        <v>100</v>
      </c>
      <c r="F63" s="114" t="str">
        <f t="shared" si="32"/>
        <v>  </v>
      </c>
      <c r="G63" s="202" t="str">
        <f t="shared" si="33"/>
        <v>  </v>
      </c>
      <c r="H63" s="279"/>
      <c r="I63" s="179"/>
      <c r="J63" s="179"/>
      <c r="K63" s="179"/>
      <c r="L63" s="179"/>
      <c r="M63" s="118">
        <f t="shared" si="34"/>
        <v>0</v>
      </c>
      <c r="N63" s="119" t="str">
        <f t="shared" si="35"/>
        <v>#DIV/0!</v>
      </c>
      <c r="O63" s="176"/>
      <c r="P63" s="179"/>
      <c r="Q63" s="179"/>
      <c r="R63" s="179"/>
      <c r="S63" s="179"/>
      <c r="T63" s="179"/>
      <c r="U63" s="179"/>
      <c r="V63" s="179"/>
      <c r="W63" s="179"/>
      <c r="X63" s="179"/>
      <c r="Y63" s="179"/>
      <c r="Z63" s="179"/>
      <c r="AA63" s="179"/>
      <c r="AB63" s="179"/>
      <c r="AC63" s="179"/>
      <c r="AD63" s="179"/>
      <c r="AE63" s="179"/>
      <c r="AF63" s="176"/>
      <c r="AG63" s="176"/>
      <c r="AH63" s="176"/>
      <c r="AI63" s="176"/>
      <c r="AJ63" s="251">
        <f t="shared" si="36"/>
        <v>0</v>
      </c>
      <c r="AK63" s="169">
        <f t="shared" si="37"/>
        <v>0</v>
      </c>
      <c r="AL63" s="183"/>
      <c r="AM63" s="179"/>
      <c r="AN63" s="179"/>
      <c r="AO63" s="179"/>
      <c r="AP63" s="179"/>
      <c r="AQ63" s="179"/>
      <c r="AR63" s="179"/>
      <c r="AS63" s="184">
        <v>1.0</v>
      </c>
      <c r="AT63" s="179"/>
      <c r="AU63" s="290">
        <v>1.0</v>
      </c>
      <c r="AV63" s="179"/>
      <c r="AW63" s="179"/>
      <c r="AX63" s="179"/>
      <c r="AY63" s="179"/>
      <c r="AZ63" s="179"/>
      <c r="BA63" s="179"/>
      <c r="BB63" s="179"/>
      <c r="BC63" s="138">
        <v>1.0</v>
      </c>
      <c r="BD63" s="179"/>
      <c r="BE63" s="179"/>
      <c r="BF63" s="184">
        <v>1.0</v>
      </c>
      <c r="BG63" s="118">
        <f t="shared" si="38"/>
        <v>4</v>
      </c>
      <c r="BH63" s="122">
        <f t="shared" si="39"/>
        <v>133.3333333</v>
      </c>
      <c r="BI63" s="176"/>
      <c r="BJ63" s="179"/>
      <c r="BK63" s="179"/>
      <c r="BL63" s="184">
        <v>1.0</v>
      </c>
      <c r="BM63" s="179"/>
      <c r="BN63" s="179"/>
      <c r="BO63" s="179"/>
      <c r="BP63" s="179"/>
      <c r="BQ63" s="179"/>
      <c r="BR63" s="179"/>
      <c r="BS63" s="179"/>
      <c r="BT63" s="184">
        <v>1.0</v>
      </c>
      <c r="BU63" s="198"/>
      <c r="BV63" s="179"/>
      <c r="BW63" s="186"/>
      <c r="BX63" s="186"/>
      <c r="BY63" s="138">
        <v>1.0</v>
      </c>
      <c r="BZ63" s="186"/>
      <c r="CA63" s="200">
        <v>1.0</v>
      </c>
      <c r="CB63" s="186"/>
      <c r="CC63" s="186"/>
      <c r="CD63" s="200">
        <v>1.0</v>
      </c>
      <c r="CE63" s="172">
        <f t="shared" si="40"/>
        <v>5</v>
      </c>
      <c r="CF63" s="173">
        <f t="shared" si="41"/>
        <v>125</v>
      </c>
      <c r="CG63" s="199"/>
      <c r="CH63" s="186"/>
      <c r="CI63" s="186"/>
      <c r="CJ63" s="186"/>
      <c r="CK63" s="186"/>
      <c r="CL63" s="186"/>
      <c r="CM63" s="186"/>
      <c r="CN63" s="186"/>
      <c r="CO63" s="186"/>
      <c r="CP63" s="186"/>
      <c r="CQ63" s="186"/>
      <c r="CR63" s="186"/>
      <c r="CS63" s="175">
        <f t="shared" si="42"/>
        <v>0</v>
      </c>
      <c r="CT63" s="158" t="str">
        <f t="shared" si="43"/>
        <v>#DIV/0!</v>
      </c>
    </row>
    <row r="64" ht="15.75" customHeight="1">
      <c r="A64" s="146">
        <v>54.0</v>
      </c>
      <c r="B64" s="111" t="s">
        <v>159</v>
      </c>
      <c r="C64" s="112" t="s">
        <v>160</v>
      </c>
      <c r="D64" s="250">
        <f t="shared" si="6"/>
        <v>10</v>
      </c>
      <c r="E64" s="113">
        <f t="shared" si="31"/>
        <v>111.1111111</v>
      </c>
      <c r="F64" s="114" t="str">
        <f t="shared" si="32"/>
        <v>  </v>
      </c>
      <c r="G64" s="164" t="str">
        <f t="shared" si="33"/>
        <v>  </v>
      </c>
      <c r="H64" s="279"/>
      <c r="I64" s="186"/>
      <c r="J64" s="207"/>
      <c r="K64" s="179"/>
      <c r="L64" s="179"/>
      <c r="M64" s="118">
        <f t="shared" si="34"/>
        <v>0</v>
      </c>
      <c r="N64" s="119" t="str">
        <f t="shared" si="35"/>
        <v>#DIV/0!</v>
      </c>
      <c r="O64" s="195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  <c r="AA64" s="186"/>
      <c r="AB64" s="186"/>
      <c r="AC64" s="186"/>
      <c r="AD64" s="200">
        <v>1.0</v>
      </c>
      <c r="AE64" s="186"/>
      <c r="AF64" s="195"/>
      <c r="AG64" s="195"/>
      <c r="AH64" s="197">
        <v>1.0</v>
      </c>
      <c r="AI64" s="195"/>
      <c r="AJ64" s="251">
        <f t="shared" si="36"/>
        <v>2</v>
      </c>
      <c r="AK64" s="169">
        <f t="shared" si="37"/>
        <v>66.66666667</v>
      </c>
      <c r="AL64" s="199"/>
      <c r="AM64" s="186"/>
      <c r="AN64" s="186"/>
      <c r="AO64" s="186"/>
      <c r="AP64" s="186"/>
      <c r="AQ64" s="186"/>
      <c r="AR64" s="186"/>
      <c r="AS64" s="200">
        <v>1.0</v>
      </c>
      <c r="AT64" s="186"/>
      <c r="AU64" s="290">
        <v>1.0</v>
      </c>
      <c r="AV64" s="186"/>
      <c r="AW64" s="186"/>
      <c r="AX64" s="186"/>
      <c r="AY64" s="186"/>
      <c r="AZ64" s="186"/>
      <c r="BA64" s="186"/>
      <c r="BB64" s="186"/>
      <c r="BC64" s="138">
        <v>1.0</v>
      </c>
      <c r="BD64" s="186"/>
      <c r="BE64" s="186"/>
      <c r="BF64" s="186"/>
      <c r="BG64" s="118">
        <f t="shared" si="38"/>
        <v>3</v>
      </c>
      <c r="BH64" s="122">
        <f t="shared" si="39"/>
        <v>100</v>
      </c>
      <c r="BI64" s="195"/>
      <c r="BJ64" s="186"/>
      <c r="BK64" s="186"/>
      <c r="BL64" s="200">
        <v>1.0</v>
      </c>
      <c r="BM64" s="186"/>
      <c r="BN64" s="186"/>
      <c r="BO64" s="186"/>
      <c r="BP64" s="186"/>
      <c r="BQ64" s="186"/>
      <c r="BR64" s="186"/>
      <c r="BS64" s="186"/>
      <c r="BT64" s="200">
        <v>1.0</v>
      </c>
      <c r="BU64" s="198"/>
      <c r="BV64" s="186"/>
      <c r="BW64" s="186"/>
      <c r="BX64" s="186"/>
      <c r="BY64" s="138">
        <v>1.0</v>
      </c>
      <c r="BZ64" s="186"/>
      <c r="CA64" s="200">
        <v>1.0</v>
      </c>
      <c r="CB64" s="186"/>
      <c r="CC64" s="186"/>
      <c r="CD64" s="200">
        <v>1.0</v>
      </c>
      <c r="CE64" s="172">
        <f t="shared" si="40"/>
        <v>5</v>
      </c>
      <c r="CF64" s="173">
        <f t="shared" si="41"/>
        <v>125</v>
      </c>
      <c r="CG64" s="199"/>
      <c r="CH64" s="186"/>
      <c r="CI64" s="186"/>
      <c r="CJ64" s="186"/>
      <c r="CK64" s="186"/>
      <c r="CL64" s="186"/>
      <c r="CM64" s="186"/>
      <c r="CN64" s="186"/>
      <c r="CO64" s="186"/>
      <c r="CP64" s="186"/>
      <c r="CQ64" s="186"/>
      <c r="CR64" s="186"/>
      <c r="CS64" s="175">
        <f t="shared" si="42"/>
        <v>0</v>
      </c>
      <c r="CT64" s="158" t="str">
        <f t="shared" si="43"/>
        <v>#DIV/0!</v>
      </c>
    </row>
    <row r="65" ht="15.75" customHeight="1">
      <c r="A65" s="146">
        <v>55.0</v>
      </c>
      <c r="B65" s="111" t="s">
        <v>161</v>
      </c>
      <c r="C65" s="112" t="s">
        <v>162</v>
      </c>
      <c r="D65" s="250">
        <f t="shared" si="6"/>
        <v>8</v>
      </c>
      <c r="E65" s="113">
        <f t="shared" si="31"/>
        <v>88.88888889</v>
      </c>
      <c r="F65" s="114" t="str">
        <f t="shared" si="32"/>
        <v>  </v>
      </c>
      <c r="G65" s="202" t="str">
        <f t="shared" si="33"/>
        <v>  </v>
      </c>
      <c r="H65" s="279"/>
      <c r="I65" s="186"/>
      <c r="J65" s="186"/>
      <c r="K65" s="179"/>
      <c r="L65" s="179"/>
      <c r="M65" s="118">
        <f t="shared" si="34"/>
        <v>0</v>
      </c>
      <c r="N65" s="119" t="str">
        <f t="shared" si="35"/>
        <v>#DIV/0!</v>
      </c>
      <c r="O65" s="195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  <c r="AA65" s="186"/>
      <c r="AB65" s="186"/>
      <c r="AC65" s="186"/>
      <c r="AD65" s="200">
        <v>1.0</v>
      </c>
      <c r="AE65" s="186"/>
      <c r="AF65" s="195"/>
      <c r="AG65" s="197">
        <v>1.0</v>
      </c>
      <c r="AH65" s="195"/>
      <c r="AI65" s="195"/>
      <c r="AJ65" s="251">
        <f t="shared" si="36"/>
        <v>2</v>
      </c>
      <c r="AK65" s="169">
        <f t="shared" si="37"/>
        <v>66.66666667</v>
      </c>
      <c r="AL65" s="199"/>
      <c r="AM65" s="186"/>
      <c r="AN65" s="186"/>
      <c r="AO65" s="186"/>
      <c r="AP65" s="186"/>
      <c r="AQ65" s="186"/>
      <c r="AR65" s="186"/>
      <c r="AS65" s="186"/>
      <c r="AT65" s="186"/>
      <c r="AU65" s="290">
        <v>1.0</v>
      </c>
      <c r="AV65" s="186"/>
      <c r="AW65" s="186"/>
      <c r="AX65" s="186"/>
      <c r="AY65" s="186"/>
      <c r="AZ65" s="186"/>
      <c r="BA65" s="186"/>
      <c r="BB65" s="186"/>
      <c r="BC65" s="204"/>
      <c r="BD65" s="186"/>
      <c r="BE65" s="186"/>
      <c r="BF65" s="200">
        <v>1.0</v>
      </c>
      <c r="BG65" s="118">
        <f t="shared" si="38"/>
        <v>2</v>
      </c>
      <c r="BH65" s="122">
        <f t="shared" si="39"/>
        <v>66.66666667</v>
      </c>
      <c r="BI65" s="195"/>
      <c r="BJ65" s="186"/>
      <c r="BK65" s="186"/>
      <c r="BL65" s="200">
        <v>1.0</v>
      </c>
      <c r="BM65" s="186"/>
      <c r="BN65" s="186"/>
      <c r="BO65" s="186"/>
      <c r="BP65" s="186"/>
      <c r="BQ65" s="186"/>
      <c r="BR65" s="186"/>
      <c r="BS65" s="186"/>
      <c r="BT65" s="200">
        <v>1.0</v>
      </c>
      <c r="BU65" s="185"/>
      <c r="BV65" s="186"/>
      <c r="BW65" s="186"/>
      <c r="BX65" s="186"/>
      <c r="BY65" s="116"/>
      <c r="BZ65" s="186"/>
      <c r="CA65" s="186"/>
      <c r="CB65" s="200">
        <v>1.0</v>
      </c>
      <c r="CC65" s="186"/>
      <c r="CD65" s="200">
        <v>1.0</v>
      </c>
      <c r="CE65" s="172">
        <f t="shared" si="40"/>
        <v>4</v>
      </c>
      <c r="CF65" s="173">
        <f t="shared" si="41"/>
        <v>100</v>
      </c>
      <c r="CG65" s="199"/>
      <c r="CH65" s="186"/>
      <c r="CI65" s="186"/>
      <c r="CJ65" s="186"/>
      <c r="CK65" s="186"/>
      <c r="CL65" s="186"/>
      <c r="CM65" s="186"/>
      <c r="CN65" s="186"/>
      <c r="CO65" s="186"/>
      <c r="CP65" s="186"/>
      <c r="CQ65" s="186"/>
      <c r="CR65" s="186"/>
      <c r="CS65" s="175">
        <f t="shared" si="42"/>
        <v>0</v>
      </c>
      <c r="CT65" s="158" t="str">
        <f t="shared" si="43"/>
        <v>#DIV/0!</v>
      </c>
    </row>
    <row r="66" ht="15.75" customHeight="1">
      <c r="A66" s="131">
        <v>56.0</v>
      </c>
      <c r="B66" s="111" t="s">
        <v>163</v>
      </c>
      <c r="C66" s="112" t="s">
        <v>164</v>
      </c>
      <c r="D66" s="250">
        <f t="shared" si="6"/>
        <v>11</v>
      </c>
      <c r="E66" s="113">
        <f t="shared" si="31"/>
        <v>122.2222222</v>
      </c>
      <c r="F66" s="114" t="str">
        <f t="shared" si="32"/>
        <v>  </v>
      </c>
      <c r="G66" s="164" t="str">
        <f t="shared" si="33"/>
        <v>  </v>
      </c>
      <c r="H66" s="279"/>
      <c r="I66" s="207"/>
      <c r="J66" s="207"/>
      <c r="K66" s="179"/>
      <c r="L66" s="179"/>
      <c r="M66" s="118">
        <f t="shared" si="34"/>
        <v>0</v>
      </c>
      <c r="N66" s="119" t="str">
        <f t="shared" si="35"/>
        <v>#DIV/0!</v>
      </c>
      <c r="O66" s="176"/>
      <c r="P66" s="179"/>
      <c r="Q66" s="179"/>
      <c r="R66" s="179"/>
      <c r="S66" s="179"/>
      <c r="T66" s="179"/>
      <c r="U66" s="179"/>
      <c r="V66" s="179"/>
      <c r="W66" s="179"/>
      <c r="X66" s="179"/>
      <c r="Y66" s="179"/>
      <c r="Z66" s="179"/>
      <c r="AA66" s="179"/>
      <c r="AB66" s="179"/>
      <c r="AC66" s="179"/>
      <c r="AD66" s="184">
        <v>1.0</v>
      </c>
      <c r="AE66" s="179"/>
      <c r="AF66" s="176"/>
      <c r="AG66" s="182">
        <v>1.0</v>
      </c>
      <c r="AH66" s="182">
        <v>1.0</v>
      </c>
      <c r="AI66" s="176"/>
      <c r="AJ66" s="251">
        <f t="shared" si="36"/>
        <v>3</v>
      </c>
      <c r="AK66" s="169">
        <f t="shared" si="37"/>
        <v>100</v>
      </c>
      <c r="AL66" s="183"/>
      <c r="AM66" s="179"/>
      <c r="AN66" s="179"/>
      <c r="AO66" s="179"/>
      <c r="AP66" s="179"/>
      <c r="AQ66" s="179"/>
      <c r="AR66" s="179"/>
      <c r="AS66" s="184">
        <v>1.0</v>
      </c>
      <c r="AT66" s="179"/>
      <c r="AU66" s="290">
        <v>1.0</v>
      </c>
      <c r="AV66" s="179"/>
      <c r="AW66" s="179"/>
      <c r="AX66" s="179"/>
      <c r="AY66" s="179"/>
      <c r="AZ66" s="179"/>
      <c r="BA66" s="179"/>
      <c r="BB66" s="179"/>
      <c r="BC66" s="138">
        <v>1.0</v>
      </c>
      <c r="BD66" s="179"/>
      <c r="BE66" s="179"/>
      <c r="BF66" s="179"/>
      <c r="BG66" s="118">
        <f t="shared" si="38"/>
        <v>3</v>
      </c>
      <c r="BH66" s="122">
        <f t="shared" si="39"/>
        <v>100</v>
      </c>
      <c r="BI66" s="176"/>
      <c r="BJ66" s="179"/>
      <c r="BK66" s="179"/>
      <c r="BL66" s="179"/>
      <c r="BM66" s="179"/>
      <c r="BN66" s="179"/>
      <c r="BO66" s="179"/>
      <c r="BP66" s="179"/>
      <c r="BQ66" s="179"/>
      <c r="BR66" s="179"/>
      <c r="BS66" s="179"/>
      <c r="BT66" s="184">
        <v>1.0</v>
      </c>
      <c r="BU66" s="252"/>
      <c r="BV66" s="179"/>
      <c r="BW66" s="186"/>
      <c r="BX66" s="186"/>
      <c r="BY66" s="138">
        <v>1.0</v>
      </c>
      <c r="BZ66" s="186"/>
      <c r="CA66" s="200">
        <v>1.0</v>
      </c>
      <c r="CB66" s="200">
        <v>1.0</v>
      </c>
      <c r="CC66" s="186"/>
      <c r="CD66" s="200">
        <v>1.0</v>
      </c>
      <c r="CE66" s="172">
        <f t="shared" si="40"/>
        <v>5</v>
      </c>
      <c r="CF66" s="173">
        <f t="shared" si="41"/>
        <v>125</v>
      </c>
      <c r="CG66" s="199"/>
      <c r="CH66" s="186"/>
      <c r="CI66" s="186"/>
      <c r="CJ66" s="186"/>
      <c r="CK66" s="186"/>
      <c r="CL66" s="186"/>
      <c r="CM66" s="186"/>
      <c r="CN66" s="186"/>
      <c r="CO66" s="186"/>
      <c r="CP66" s="186"/>
      <c r="CQ66" s="186"/>
      <c r="CR66" s="186"/>
      <c r="CS66" s="175">
        <f t="shared" si="42"/>
        <v>0</v>
      </c>
      <c r="CT66" s="158" t="str">
        <f t="shared" si="43"/>
        <v>#DIV/0!</v>
      </c>
    </row>
    <row r="67" ht="15.75" customHeight="1">
      <c r="A67" s="146">
        <v>57.0</v>
      </c>
      <c r="B67" s="111" t="s">
        <v>165</v>
      </c>
      <c r="C67" s="112" t="s">
        <v>166</v>
      </c>
      <c r="D67" s="250">
        <f t="shared" si="6"/>
        <v>10</v>
      </c>
      <c r="E67" s="113">
        <f t="shared" si="31"/>
        <v>111.1111111</v>
      </c>
      <c r="F67" s="114" t="str">
        <f t="shared" si="32"/>
        <v>  </v>
      </c>
      <c r="G67" s="202" t="str">
        <f t="shared" si="33"/>
        <v>  </v>
      </c>
      <c r="H67" s="280"/>
      <c r="I67" s="179"/>
      <c r="J67" s="179"/>
      <c r="K67" s="179"/>
      <c r="L67" s="179"/>
      <c r="M67" s="118">
        <f t="shared" si="34"/>
        <v>0</v>
      </c>
      <c r="N67" s="119" t="str">
        <f t="shared" si="35"/>
        <v>#DIV/0!</v>
      </c>
      <c r="O67" s="176"/>
      <c r="P67" s="179"/>
      <c r="Q67" s="179"/>
      <c r="R67" s="179"/>
      <c r="S67" s="179"/>
      <c r="T67" s="179"/>
      <c r="U67" s="179"/>
      <c r="V67" s="179"/>
      <c r="W67" s="179"/>
      <c r="X67" s="179"/>
      <c r="Y67" s="179"/>
      <c r="Z67" s="179"/>
      <c r="AA67" s="179"/>
      <c r="AB67" s="179"/>
      <c r="AC67" s="179"/>
      <c r="AD67" s="184">
        <v>1.0</v>
      </c>
      <c r="AE67" s="179"/>
      <c r="AF67" s="176"/>
      <c r="AG67" s="182">
        <v>1.0</v>
      </c>
      <c r="AH67" s="182">
        <v>1.0</v>
      </c>
      <c r="AI67" s="176"/>
      <c r="AJ67" s="251">
        <f t="shared" si="36"/>
        <v>3</v>
      </c>
      <c r="AK67" s="169">
        <f t="shared" si="37"/>
        <v>100</v>
      </c>
      <c r="AL67" s="183"/>
      <c r="AM67" s="179"/>
      <c r="AN67" s="179"/>
      <c r="AO67" s="179"/>
      <c r="AP67" s="179"/>
      <c r="AQ67" s="179"/>
      <c r="AR67" s="179"/>
      <c r="AS67" s="184">
        <v>1.0</v>
      </c>
      <c r="AT67" s="179"/>
      <c r="AU67" s="292">
        <v>1.0</v>
      </c>
      <c r="AV67" s="179"/>
      <c r="AW67" s="179"/>
      <c r="AX67" s="179"/>
      <c r="AY67" s="179"/>
      <c r="AZ67" s="179"/>
      <c r="BA67" s="179"/>
      <c r="BB67" s="179"/>
      <c r="BC67" s="116"/>
      <c r="BD67" s="179"/>
      <c r="BE67" s="179"/>
      <c r="BF67" s="179"/>
      <c r="BG67" s="118">
        <f t="shared" si="38"/>
        <v>2</v>
      </c>
      <c r="BH67" s="122">
        <f t="shared" si="39"/>
        <v>66.66666667</v>
      </c>
      <c r="BI67" s="176"/>
      <c r="BJ67" s="179"/>
      <c r="BK67" s="179"/>
      <c r="BL67" s="184">
        <v>1.0</v>
      </c>
      <c r="BM67" s="179"/>
      <c r="BN67" s="179"/>
      <c r="BO67" s="179"/>
      <c r="BP67" s="179"/>
      <c r="BQ67" s="179"/>
      <c r="BR67" s="179"/>
      <c r="BS67" s="179"/>
      <c r="BT67" s="184">
        <v>1.0</v>
      </c>
      <c r="BU67" s="185"/>
      <c r="BV67" s="179"/>
      <c r="BW67" s="186"/>
      <c r="BX67" s="186"/>
      <c r="BY67" s="138">
        <v>1.0</v>
      </c>
      <c r="BZ67" s="186"/>
      <c r="CA67" s="200">
        <v>1.0</v>
      </c>
      <c r="CB67" s="186"/>
      <c r="CC67" s="186"/>
      <c r="CD67" s="200">
        <v>1.0</v>
      </c>
      <c r="CE67" s="172">
        <f t="shared" si="40"/>
        <v>5</v>
      </c>
      <c r="CF67" s="173">
        <f t="shared" si="41"/>
        <v>125</v>
      </c>
      <c r="CG67" s="199"/>
      <c r="CH67" s="186"/>
      <c r="CI67" s="186"/>
      <c r="CJ67" s="186"/>
      <c r="CK67" s="186"/>
      <c r="CL67" s="186"/>
      <c r="CM67" s="186"/>
      <c r="CN67" s="186"/>
      <c r="CO67" s="186"/>
      <c r="CP67" s="186"/>
      <c r="CQ67" s="186"/>
      <c r="CR67" s="186"/>
      <c r="CS67" s="175">
        <f t="shared" si="42"/>
        <v>0</v>
      </c>
      <c r="CT67" s="158" t="str">
        <f t="shared" si="43"/>
        <v>#DIV/0!</v>
      </c>
    </row>
    <row r="68" ht="15.75" customHeight="1">
      <c r="A68" s="146">
        <v>58.0</v>
      </c>
      <c r="B68" s="111" t="s">
        <v>167</v>
      </c>
      <c r="C68" s="112" t="s">
        <v>168</v>
      </c>
      <c r="D68" s="250">
        <f t="shared" si="6"/>
        <v>12</v>
      </c>
      <c r="E68" s="113">
        <f t="shared" si="31"/>
        <v>133.3333333</v>
      </c>
      <c r="F68" s="114" t="str">
        <f t="shared" si="32"/>
        <v>  </v>
      </c>
      <c r="G68" s="202" t="str">
        <f t="shared" si="33"/>
        <v>  </v>
      </c>
      <c r="H68" s="279"/>
      <c r="I68" s="179"/>
      <c r="J68" s="179"/>
      <c r="K68" s="179"/>
      <c r="L68" s="179"/>
      <c r="M68" s="118">
        <f t="shared" si="34"/>
        <v>0</v>
      </c>
      <c r="N68" s="119" t="str">
        <f t="shared" si="35"/>
        <v>#DIV/0!</v>
      </c>
      <c r="O68" s="206"/>
      <c r="P68" s="207"/>
      <c r="Q68" s="207"/>
      <c r="R68" s="207"/>
      <c r="S68" s="207"/>
      <c r="T68" s="207"/>
      <c r="U68" s="207"/>
      <c r="V68" s="207"/>
      <c r="W68" s="207"/>
      <c r="X68" s="207"/>
      <c r="Y68" s="207"/>
      <c r="Z68" s="207"/>
      <c r="AA68" s="207"/>
      <c r="AB68" s="207"/>
      <c r="AC68" s="207"/>
      <c r="AD68" s="234">
        <v>1.0</v>
      </c>
      <c r="AE68" s="207"/>
      <c r="AF68" s="206"/>
      <c r="AG68" s="209">
        <v>1.0</v>
      </c>
      <c r="AH68" s="209">
        <v>1.0</v>
      </c>
      <c r="AI68" s="206"/>
      <c r="AJ68" s="251">
        <f t="shared" si="36"/>
        <v>3</v>
      </c>
      <c r="AK68" s="169">
        <f t="shared" si="37"/>
        <v>100</v>
      </c>
      <c r="AL68" s="212"/>
      <c r="AM68" s="207"/>
      <c r="AN68" s="207"/>
      <c r="AO68" s="207"/>
      <c r="AP68" s="207"/>
      <c r="AQ68" s="207"/>
      <c r="AR68" s="207"/>
      <c r="AS68" s="234">
        <v>1.0</v>
      </c>
      <c r="AT68" s="207"/>
      <c r="AU68" s="290">
        <v>1.0</v>
      </c>
      <c r="AV68" s="207"/>
      <c r="AW68" s="207"/>
      <c r="AX68" s="207"/>
      <c r="AY68" s="207"/>
      <c r="AZ68" s="207"/>
      <c r="BA68" s="207"/>
      <c r="BB68" s="207"/>
      <c r="BC68" s="138">
        <v>1.0</v>
      </c>
      <c r="BD68" s="207"/>
      <c r="BE68" s="207"/>
      <c r="BF68" s="207"/>
      <c r="BG68" s="118">
        <f t="shared" si="38"/>
        <v>3</v>
      </c>
      <c r="BH68" s="122">
        <f t="shared" si="39"/>
        <v>100</v>
      </c>
      <c r="BI68" s="206"/>
      <c r="BJ68" s="207"/>
      <c r="BK68" s="207"/>
      <c r="BL68" s="234">
        <v>1.0</v>
      </c>
      <c r="BM68" s="207"/>
      <c r="BN68" s="207"/>
      <c r="BO68" s="207"/>
      <c r="BP68" s="207"/>
      <c r="BQ68" s="207"/>
      <c r="BR68" s="207"/>
      <c r="BS68" s="207"/>
      <c r="BT68" s="234">
        <v>1.0</v>
      </c>
      <c r="BU68" s="185"/>
      <c r="BV68" s="207"/>
      <c r="BW68" s="186"/>
      <c r="BX68" s="186"/>
      <c r="BY68" s="138">
        <v>1.0</v>
      </c>
      <c r="BZ68" s="186"/>
      <c r="CA68" s="200">
        <v>1.0</v>
      </c>
      <c r="CB68" s="200">
        <v>1.0</v>
      </c>
      <c r="CC68" s="186"/>
      <c r="CD68" s="200">
        <v>1.0</v>
      </c>
      <c r="CE68" s="172">
        <f t="shared" si="40"/>
        <v>6</v>
      </c>
      <c r="CF68" s="173">
        <f t="shared" si="41"/>
        <v>150</v>
      </c>
      <c r="CG68" s="199"/>
      <c r="CH68" s="186"/>
      <c r="CI68" s="186"/>
      <c r="CJ68" s="186"/>
      <c r="CK68" s="186"/>
      <c r="CL68" s="186"/>
      <c r="CM68" s="43"/>
      <c r="CN68" s="186"/>
      <c r="CO68" s="186"/>
      <c r="CP68" s="186"/>
      <c r="CQ68" s="186"/>
      <c r="CR68" s="186"/>
      <c r="CS68" s="175">
        <f t="shared" si="42"/>
        <v>0</v>
      </c>
      <c r="CT68" s="158" t="str">
        <f t="shared" si="43"/>
        <v>#DIV/0!</v>
      </c>
    </row>
    <row r="69" ht="15.75" customHeight="1">
      <c r="A69" s="131">
        <v>59.0</v>
      </c>
      <c r="B69" s="111" t="s">
        <v>169</v>
      </c>
      <c r="C69" s="112" t="s">
        <v>170</v>
      </c>
      <c r="D69" s="250">
        <f t="shared" si="6"/>
        <v>9</v>
      </c>
      <c r="E69" s="113">
        <f t="shared" si="31"/>
        <v>100</v>
      </c>
      <c r="F69" s="114" t="str">
        <f t="shared" si="32"/>
        <v>  </v>
      </c>
      <c r="G69" s="202" t="str">
        <f t="shared" si="33"/>
        <v>  </v>
      </c>
      <c r="H69" s="279"/>
      <c r="I69" s="179"/>
      <c r="J69" s="179"/>
      <c r="K69" s="179"/>
      <c r="L69" s="179"/>
      <c r="M69" s="118">
        <f t="shared" si="34"/>
        <v>0</v>
      </c>
      <c r="N69" s="119" t="str">
        <f t="shared" si="35"/>
        <v>#DIV/0!</v>
      </c>
      <c r="O69" s="176"/>
      <c r="P69" s="179"/>
      <c r="Q69" s="179"/>
      <c r="R69" s="179"/>
      <c r="S69" s="179"/>
      <c r="T69" s="179"/>
      <c r="U69" s="179"/>
      <c r="V69" s="179"/>
      <c r="W69" s="179"/>
      <c r="X69" s="179"/>
      <c r="Y69" s="179"/>
      <c r="Z69" s="179"/>
      <c r="AA69" s="179"/>
      <c r="AB69" s="179"/>
      <c r="AC69" s="179"/>
      <c r="AD69" s="179"/>
      <c r="AE69" s="179"/>
      <c r="AF69" s="176"/>
      <c r="AG69" s="182">
        <v>1.0</v>
      </c>
      <c r="AH69" s="182">
        <v>1.0</v>
      </c>
      <c r="AI69" s="176"/>
      <c r="AJ69" s="251">
        <f t="shared" si="36"/>
        <v>2</v>
      </c>
      <c r="AK69" s="169">
        <f t="shared" si="37"/>
        <v>66.66666667</v>
      </c>
      <c r="AL69" s="183"/>
      <c r="AM69" s="179"/>
      <c r="AN69" s="179"/>
      <c r="AO69" s="179"/>
      <c r="AP69" s="179"/>
      <c r="AQ69" s="179"/>
      <c r="AR69" s="179"/>
      <c r="AS69" s="184">
        <v>1.0</v>
      </c>
      <c r="AT69" s="179"/>
      <c r="AU69" s="290">
        <v>1.0</v>
      </c>
      <c r="AV69" s="179"/>
      <c r="AW69" s="179"/>
      <c r="AX69" s="179"/>
      <c r="AY69" s="179"/>
      <c r="AZ69" s="179"/>
      <c r="BA69" s="179"/>
      <c r="BB69" s="179"/>
      <c r="BC69" s="204"/>
      <c r="BD69" s="179"/>
      <c r="BE69" s="179"/>
      <c r="BF69" s="184">
        <v>1.0</v>
      </c>
      <c r="BG69" s="118">
        <f t="shared" si="38"/>
        <v>3</v>
      </c>
      <c r="BH69" s="122">
        <f t="shared" si="39"/>
        <v>100</v>
      </c>
      <c r="BI69" s="176"/>
      <c r="BJ69" s="179"/>
      <c r="BK69" s="179"/>
      <c r="BL69" s="179"/>
      <c r="BM69" s="179"/>
      <c r="BN69" s="179"/>
      <c r="BO69" s="179"/>
      <c r="BP69" s="179"/>
      <c r="BQ69" s="179"/>
      <c r="BR69" s="179"/>
      <c r="BS69" s="179"/>
      <c r="BT69" s="179"/>
      <c r="BU69" s="185"/>
      <c r="BV69" s="179"/>
      <c r="BW69" s="186"/>
      <c r="BX69" s="186"/>
      <c r="BY69" s="138">
        <v>1.0</v>
      </c>
      <c r="BZ69" s="186"/>
      <c r="CA69" s="200">
        <v>1.0</v>
      </c>
      <c r="CB69" s="200">
        <v>1.0</v>
      </c>
      <c r="CC69" s="186"/>
      <c r="CD69" s="200">
        <v>1.0</v>
      </c>
      <c r="CE69" s="172">
        <f t="shared" si="40"/>
        <v>4</v>
      </c>
      <c r="CF69" s="173">
        <f t="shared" si="41"/>
        <v>100</v>
      </c>
      <c r="CG69" s="199"/>
      <c r="CH69" s="186"/>
      <c r="CI69" s="186"/>
      <c r="CJ69" s="186"/>
      <c r="CK69" s="186"/>
      <c r="CL69" s="186"/>
      <c r="CM69" s="186"/>
      <c r="CN69" s="186"/>
      <c r="CO69" s="186"/>
      <c r="CP69" s="186"/>
      <c r="CQ69" s="186"/>
      <c r="CR69" s="186"/>
      <c r="CS69" s="175">
        <f t="shared" si="42"/>
        <v>0</v>
      </c>
      <c r="CT69" s="158" t="str">
        <f t="shared" si="43"/>
        <v>#DIV/0!</v>
      </c>
    </row>
    <row r="70" ht="15.75" customHeight="1">
      <c r="A70" s="146">
        <v>60.0</v>
      </c>
      <c r="B70" s="111" t="s">
        <v>171</v>
      </c>
      <c r="C70" s="112" t="s">
        <v>172</v>
      </c>
      <c r="D70" s="250">
        <f t="shared" si="6"/>
        <v>7</v>
      </c>
      <c r="E70" s="113">
        <f t="shared" si="31"/>
        <v>77.77777778</v>
      </c>
      <c r="F70" s="114" t="str">
        <f t="shared" si="32"/>
        <v>  </v>
      </c>
      <c r="G70" s="202" t="str">
        <f t="shared" si="33"/>
        <v>  </v>
      </c>
      <c r="H70" s="183"/>
      <c r="I70" s="179"/>
      <c r="J70" s="186"/>
      <c r="K70" s="179"/>
      <c r="L70" s="179"/>
      <c r="M70" s="118">
        <f t="shared" si="34"/>
        <v>0</v>
      </c>
      <c r="N70" s="119" t="str">
        <f t="shared" si="35"/>
        <v>#DIV/0!</v>
      </c>
      <c r="O70" s="176"/>
      <c r="P70" s="179"/>
      <c r="Q70" s="179"/>
      <c r="R70" s="179"/>
      <c r="S70" s="179"/>
      <c r="T70" s="179"/>
      <c r="U70" s="179"/>
      <c r="V70" s="179"/>
      <c r="W70" s="179"/>
      <c r="X70" s="179"/>
      <c r="Y70" s="179"/>
      <c r="Z70" s="179"/>
      <c r="AA70" s="179"/>
      <c r="AB70" s="179"/>
      <c r="AC70" s="179"/>
      <c r="AD70" s="179"/>
      <c r="AE70" s="179"/>
      <c r="AF70" s="176"/>
      <c r="AG70" s="182">
        <v>1.0</v>
      </c>
      <c r="AH70" s="176"/>
      <c r="AI70" s="176"/>
      <c r="AJ70" s="251">
        <f t="shared" si="36"/>
        <v>1</v>
      </c>
      <c r="AK70" s="169">
        <f t="shared" si="37"/>
        <v>33.33333333</v>
      </c>
      <c r="AL70" s="183"/>
      <c r="AM70" s="179"/>
      <c r="AN70" s="179"/>
      <c r="AO70" s="179"/>
      <c r="AP70" s="179"/>
      <c r="AQ70" s="179"/>
      <c r="AR70" s="179"/>
      <c r="AS70" s="179"/>
      <c r="AT70" s="179"/>
      <c r="AU70" s="291"/>
      <c r="AV70" s="179"/>
      <c r="AW70" s="179"/>
      <c r="AX70" s="179"/>
      <c r="AY70" s="179"/>
      <c r="AZ70" s="179"/>
      <c r="BA70" s="179"/>
      <c r="BB70" s="179"/>
      <c r="BC70" s="218">
        <v>1.0</v>
      </c>
      <c r="BD70" s="179"/>
      <c r="BE70" s="179"/>
      <c r="BF70" s="179"/>
      <c r="BG70" s="118">
        <f t="shared" si="38"/>
        <v>1</v>
      </c>
      <c r="BH70" s="122">
        <f t="shared" si="39"/>
        <v>33.33333333</v>
      </c>
      <c r="BI70" s="176"/>
      <c r="BJ70" s="179"/>
      <c r="BK70" s="179"/>
      <c r="BL70" s="179"/>
      <c r="BM70" s="179"/>
      <c r="BN70" s="179"/>
      <c r="BO70" s="179"/>
      <c r="BP70" s="179"/>
      <c r="BQ70" s="179"/>
      <c r="BR70" s="179"/>
      <c r="BS70" s="179"/>
      <c r="BT70" s="184">
        <v>1.0</v>
      </c>
      <c r="BU70" s="185"/>
      <c r="BV70" s="179"/>
      <c r="BW70" s="186"/>
      <c r="BX70" s="186"/>
      <c r="BY70" s="138">
        <v>1.0</v>
      </c>
      <c r="BZ70" s="186"/>
      <c r="CA70" s="200">
        <v>1.0</v>
      </c>
      <c r="CB70" s="200">
        <v>1.0</v>
      </c>
      <c r="CC70" s="186"/>
      <c r="CD70" s="200">
        <v>1.0</v>
      </c>
      <c r="CE70" s="172">
        <f t="shared" si="40"/>
        <v>5</v>
      </c>
      <c r="CF70" s="173">
        <f t="shared" si="41"/>
        <v>125</v>
      </c>
      <c r="CG70" s="199"/>
      <c r="CH70" s="186"/>
      <c r="CI70" s="186"/>
      <c r="CJ70" s="186"/>
      <c r="CK70" s="186"/>
      <c r="CL70" s="186"/>
      <c r="CM70" s="186"/>
      <c r="CN70" s="186"/>
      <c r="CO70" s="186"/>
      <c r="CP70" s="186"/>
      <c r="CQ70" s="186"/>
      <c r="CR70" s="186"/>
      <c r="CS70" s="175">
        <f t="shared" si="42"/>
        <v>0</v>
      </c>
      <c r="CT70" s="158" t="str">
        <f t="shared" si="43"/>
        <v>#DIV/0!</v>
      </c>
    </row>
    <row r="71" ht="15.75" customHeight="1">
      <c r="A71" s="146">
        <v>61.0</v>
      </c>
      <c r="B71" s="111" t="s">
        <v>173</v>
      </c>
      <c r="C71" s="112" t="s">
        <v>174</v>
      </c>
      <c r="D71" s="250">
        <f t="shared" si="6"/>
        <v>6</v>
      </c>
      <c r="E71" s="113">
        <f t="shared" si="31"/>
        <v>66.66666667</v>
      </c>
      <c r="F71" s="114" t="str">
        <f t="shared" si="32"/>
        <v>  </v>
      </c>
      <c r="G71" s="164" t="str">
        <f t="shared" si="33"/>
        <v>  </v>
      </c>
      <c r="H71" s="183"/>
      <c r="I71" s="179"/>
      <c r="J71" s="179"/>
      <c r="K71" s="179"/>
      <c r="L71" s="179"/>
      <c r="M71" s="118">
        <f t="shared" si="34"/>
        <v>0</v>
      </c>
      <c r="N71" s="119" t="str">
        <f t="shared" si="35"/>
        <v>#DIV/0!</v>
      </c>
      <c r="O71" s="176"/>
      <c r="P71" s="179"/>
      <c r="Q71" s="179"/>
      <c r="R71" s="179"/>
      <c r="S71" s="179"/>
      <c r="T71" s="179"/>
      <c r="U71" s="179"/>
      <c r="V71" s="179"/>
      <c r="W71" s="179"/>
      <c r="X71" s="179"/>
      <c r="Y71" s="179"/>
      <c r="Z71" s="179"/>
      <c r="AA71" s="179"/>
      <c r="AB71" s="179"/>
      <c r="AC71" s="179"/>
      <c r="AD71" s="179"/>
      <c r="AE71" s="179"/>
      <c r="AF71" s="176"/>
      <c r="AG71" s="182">
        <v>1.0</v>
      </c>
      <c r="AH71" s="176"/>
      <c r="AI71" s="176"/>
      <c r="AJ71" s="251">
        <f t="shared" si="36"/>
        <v>1</v>
      </c>
      <c r="AK71" s="169">
        <f t="shared" si="37"/>
        <v>33.33333333</v>
      </c>
      <c r="AL71" s="183"/>
      <c r="AM71" s="179"/>
      <c r="AN71" s="179"/>
      <c r="AO71" s="179"/>
      <c r="AP71" s="179"/>
      <c r="AQ71" s="179"/>
      <c r="AR71" s="179"/>
      <c r="AS71" s="184">
        <v>1.0</v>
      </c>
      <c r="AT71" s="179"/>
      <c r="AU71" s="291"/>
      <c r="AV71" s="179"/>
      <c r="AW71" s="179"/>
      <c r="AX71" s="179"/>
      <c r="AY71" s="179"/>
      <c r="AZ71" s="179"/>
      <c r="BA71" s="179"/>
      <c r="BB71" s="179"/>
      <c r="BC71" s="204"/>
      <c r="BD71" s="179"/>
      <c r="BE71" s="179"/>
      <c r="BF71" s="179"/>
      <c r="BG71" s="118">
        <f t="shared" si="38"/>
        <v>1</v>
      </c>
      <c r="BH71" s="122">
        <f t="shared" si="39"/>
        <v>33.33333333</v>
      </c>
      <c r="BI71" s="176"/>
      <c r="BJ71" s="179"/>
      <c r="BK71" s="179"/>
      <c r="BL71" s="184">
        <v>1.0</v>
      </c>
      <c r="BM71" s="179"/>
      <c r="BN71" s="179"/>
      <c r="BO71" s="179"/>
      <c r="BP71" s="179"/>
      <c r="BQ71" s="179"/>
      <c r="BR71" s="179"/>
      <c r="BS71" s="179"/>
      <c r="BT71" s="184">
        <v>1.0</v>
      </c>
      <c r="BU71" s="252"/>
      <c r="BV71" s="179"/>
      <c r="BW71" s="186"/>
      <c r="BX71" s="186"/>
      <c r="BY71" s="116"/>
      <c r="BZ71" s="186"/>
      <c r="CA71" s="200">
        <v>1.0</v>
      </c>
      <c r="CB71" s="186"/>
      <c r="CC71" s="186"/>
      <c r="CD71" s="200">
        <v>1.0</v>
      </c>
      <c r="CE71" s="172">
        <f t="shared" si="40"/>
        <v>4</v>
      </c>
      <c r="CF71" s="173">
        <f t="shared" si="41"/>
        <v>100</v>
      </c>
      <c r="CG71" s="199"/>
      <c r="CH71" s="186"/>
      <c r="CI71" s="186"/>
      <c r="CJ71" s="186"/>
      <c r="CK71" s="186"/>
      <c r="CL71" s="186"/>
      <c r="CM71" s="186"/>
      <c r="CN71" s="186"/>
      <c r="CO71" s="186"/>
      <c r="CP71" s="186"/>
      <c r="CQ71" s="186"/>
      <c r="CR71" s="186"/>
      <c r="CS71" s="175">
        <f t="shared" si="42"/>
        <v>0</v>
      </c>
      <c r="CT71" s="158" t="str">
        <f t="shared" si="43"/>
        <v>#DIV/0!</v>
      </c>
    </row>
    <row r="72" ht="15.75" customHeight="1">
      <c r="A72" s="131">
        <v>62.0</v>
      </c>
      <c r="B72" s="111" t="s">
        <v>175</v>
      </c>
      <c r="C72" s="112" t="s">
        <v>176</v>
      </c>
      <c r="D72" s="250">
        <f t="shared" si="6"/>
        <v>1</v>
      </c>
      <c r="E72" s="113">
        <f t="shared" si="31"/>
        <v>11.11111111</v>
      </c>
      <c r="F72" s="114">
        <f t="shared" si="32"/>
        <v>11.11111111</v>
      </c>
      <c r="G72" s="202">
        <f t="shared" si="33"/>
        <v>11.11111111</v>
      </c>
      <c r="H72" s="183"/>
      <c r="I72" s="179"/>
      <c r="J72" s="179"/>
      <c r="K72" s="179"/>
      <c r="L72" s="179"/>
      <c r="M72" s="118">
        <f t="shared" si="34"/>
        <v>0</v>
      </c>
      <c r="N72" s="119" t="str">
        <f t="shared" si="35"/>
        <v>#DIV/0!</v>
      </c>
      <c r="O72" s="176"/>
      <c r="P72" s="179"/>
      <c r="Q72" s="179"/>
      <c r="R72" s="179"/>
      <c r="S72" s="179"/>
      <c r="T72" s="179"/>
      <c r="U72" s="179"/>
      <c r="V72" s="179"/>
      <c r="W72" s="179"/>
      <c r="X72" s="179"/>
      <c r="Y72" s="179"/>
      <c r="Z72" s="179"/>
      <c r="AA72" s="179"/>
      <c r="AB72" s="179"/>
      <c r="AC72" s="179"/>
      <c r="AD72" s="179"/>
      <c r="AE72" s="179"/>
      <c r="AF72" s="176"/>
      <c r="AG72" s="176"/>
      <c r="AH72" s="176"/>
      <c r="AI72" s="176"/>
      <c r="AJ72" s="251">
        <f t="shared" si="36"/>
        <v>0</v>
      </c>
      <c r="AK72" s="169">
        <f t="shared" si="37"/>
        <v>0</v>
      </c>
      <c r="AL72" s="183"/>
      <c r="AM72" s="179"/>
      <c r="AN72" s="179"/>
      <c r="AO72" s="179"/>
      <c r="AP72" s="179"/>
      <c r="AQ72" s="179"/>
      <c r="AR72" s="179"/>
      <c r="AS72" s="179"/>
      <c r="AT72" s="179"/>
      <c r="AU72" s="291"/>
      <c r="AV72" s="179"/>
      <c r="AW72" s="179"/>
      <c r="AX72" s="179"/>
      <c r="AY72" s="179"/>
      <c r="AZ72" s="179"/>
      <c r="BA72" s="179"/>
      <c r="BB72" s="179"/>
      <c r="BC72" s="138">
        <v>1.0</v>
      </c>
      <c r="BD72" s="179"/>
      <c r="BE72" s="179"/>
      <c r="BF72" s="179"/>
      <c r="BG72" s="118">
        <f t="shared" si="38"/>
        <v>1</v>
      </c>
      <c r="BH72" s="122">
        <f t="shared" si="39"/>
        <v>33.33333333</v>
      </c>
      <c r="BI72" s="176"/>
      <c r="BJ72" s="179"/>
      <c r="BK72" s="179"/>
      <c r="BL72" s="179"/>
      <c r="BM72" s="179"/>
      <c r="BN72" s="179"/>
      <c r="BO72" s="179"/>
      <c r="BP72" s="179"/>
      <c r="BQ72" s="179"/>
      <c r="BR72" s="179"/>
      <c r="BS72" s="179"/>
      <c r="BT72" s="179"/>
      <c r="BU72" s="185"/>
      <c r="BV72" s="179"/>
      <c r="BW72" s="186"/>
      <c r="BX72" s="186"/>
      <c r="BY72" s="116"/>
      <c r="BZ72" s="186"/>
      <c r="CA72" s="186"/>
      <c r="CB72" s="186"/>
      <c r="CC72" s="186"/>
      <c r="CD72" s="186"/>
      <c r="CE72" s="172">
        <f t="shared" si="40"/>
        <v>0</v>
      </c>
      <c r="CF72" s="173">
        <f t="shared" si="41"/>
        <v>0</v>
      </c>
      <c r="CG72" s="199"/>
      <c r="CH72" s="186"/>
      <c r="CI72" s="186"/>
      <c r="CJ72" s="186"/>
      <c r="CK72" s="186"/>
      <c r="CL72" s="186"/>
      <c r="CM72" s="186"/>
      <c r="CN72" s="186"/>
      <c r="CO72" s="186"/>
      <c r="CP72" s="186"/>
      <c r="CQ72" s="186"/>
      <c r="CR72" s="186"/>
      <c r="CS72" s="175">
        <f t="shared" si="42"/>
        <v>0</v>
      </c>
      <c r="CT72" s="158" t="str">
        <f t="shared" si="43"/>
        <v>#DIV/0!</v>
      </c>
    </row>
    <row r="73" ht="15.75" customHeight="1">
      <c r="A73" s="146">
        <v>63.0</v>
      </c>
      <c r="B73" s="111" t="s">
        <v>177</v>
      </c>
      <c r="C73" s="112" t="s">
        <v>178</v>
      </c>
      <c r="D73" s="250">
        <f t="shared" si="6"/>
        <v>7</v>
      </c>
      <c r="E73" s="113">
        <f t="shared" si="31"/>
        <v>77.77777778</v>
      </c>
      <c r="F73" s="114" t="str">
        <f t="shared" si="32"/>
        <v>  </v>
      </c>
      <c r="G73" s="202" t="str">
        <f t="shared" si="33"/>
        <v>  </v>
      </c>
      <c r="H73" s="280"/>
      <c r="I73" s="207"/>
      <c r="J73" s="207"/>
      <c r="K73" s="207"/>
      <c r="L73" s="207"/>
      <c r="M73" s="118">
        <f t="shared" si="34"/>
        <v>0</v>
      </c>
      <c r="N73" s="119" t="str">
        <f t="shared" si="35"/>
        <v>#DIV/0!</v>
      </c>
      <c r="O73" s="206"/>
      <c r="P73" s="207"/>
      <c r="Q73" s="207"/>
      <c r="R73" s="207"/>
      <c r="S73" s="207"/>
      <c r="T73" s="207"/>
      <c r="U73" s="207"/>
      <c r="V73" s="207"/>
      <c r="W73" s="207"/>
      <c r="X73" s="207"/>
      <c r="Y73" s="207"/>
      <c r="Z73" s="207"/>
      <c r="AA73" s="207"/>
      <c r="AB73" s="207"/>
      <c r="AC73" s="207"/>
      <c r="AD73" s="207"/>
      <c r="AE73" s="207"/>
      <c r="AF73" s="206"/>
      <c r="AG73" s="206"/>
      <c r="AH73" s="206"/>
      <c r="AI73" s="206"/>
      <c r="AJ73" s="251">
        <f t="shared" si="36"/>
        <v>0</v>
      </c>
      <c r="AK73" s="169">
        <f t="shared" si="37"/>
        <v>0</v>
      </c>
      <c r="AL73" s="212"/>
      <c r="AM73" s="207"/>
      <c r="AN73" s="207"/>
      <c r="AO73" s="207"/>
      <c r="AP73" s="207"/>
      <c r="AQ73" s="207"/>
      <c r="AR73" s="207"/>
      <c r="AS73" s="234">
        <v>1.0</v>
      </c>
      <c r="AT73" s="207"/>
      <c r="AU73" s="292">
        <v>1.0</v>
      </c>
      <c r="AV73" s="207"/>
      <c r="AW73" s="207"/>
      <c r="AX73" s="207"/>
      <c r="AY73" s="207"/>
      <c r="AZ73" s="207"/>
      <c r="BA73" s="207"/>
      <c r="BB73" s="207"/>
      <c r="BC73" s="138">
        <v>1.0</v>
      </c>
      <c r="BD73" s="207"/>
      <c r="BE73" s="207"/>
      <c r="BF73" s="207"/>
      <c r="BG73" s="118">
        <f t="shared" si="38"/>
        <v>3</v>
      </c>
      <c r="BH73" s="122">
        <f t="shared" si="39"/>
        <v>100</v>
      </c>
      <c r="BI73" s="206"/>
      <c r="BJ73" s="207"/>
      <c r="BK73" s="207"/>
      <c r="BL73" s="234">
        <v>1.0</v>
      </c>
      <c r="BM73" s="207"/>
      <c r="BN73" s="207"/>
      <c r="BO73" s="207"/>
      <c r="BP73" s="207"/>
      <c r="BQ73" s="207"/>
      <c r="BR73" s="207"/>
      <c r="BS73" s="207"/>
      <c r="BT73" s="234">
        <v>1.0</v>
      </c>
      <c r="BU73" s="185"/>
      <c r="BV73" s="207"/>
      <c r="BW73" s="186"/>
      <c r="BX73" s="186"/>
      <c r="BY73" s="116"/>
      <c r="BZ73" s="186"/>
      <c r="CA73" s="200">
        <v>1.0</v>
      </c>
      <c r="CB73" s="186"/>
      <c r="CC73" s="186"/>
      <c r="CD73" s="200">
        <v>1.0</v>
      </c>
      <c r="CE73" s="172">
        <f t="shared" si="40"/>
        <v>4</v>
      </c>
      <c r="CF73" s="173">
        <f t="shared" si="41"/>
        <v>100</v>
      </c>
      <c r="CG73" s="199"/>
      <c r="CH73" s="186"/>
      <c r="CI73" s="186"/>
      <c r="CJ73" s="186"/>
      <c r="CK73" s="186"/>
      <c r="CL73" s="186"/>
      <c r="CM73" s="186"/>
      <c r="CN73" s="186"/>
      <c r="CO73" s="186"/>
      <c r="CP73" s="186"/>
      <c r="CQ73" s="186"/>
      <c r="CR73" s="186"/>
      <c r="CS73" s="175">
        <f t="shared" si="42"/>
        <v>0</v>
      </c>
      <c r="CT73" s="158" t="str">
        <f t="shared" si="43"/>
        <v>#DIV/0!</v>
      </c>
    </row>
    <row r="74" ht="15.75" customHeight="1">
      <c r="A74" s="146">
        <v>64.0</v>
      </c>
      <c r="B74" s="111" t="s">
        <v>179</v>
      </c>
      <c r="C74" s="112" t="s">
        <v>180</v>
      </c>
      <c r="D74" s="250">
        <f t="shared" si="6"/>
        <v>9</v>
      </c>
      <c r="E74" s="113">
        <f t="shared" si="31"/>
        <v>100</v>
      </c>
      <c r="F74" s="114" t="str">
        <f t="shared" si="32"/>
        <v>  </v>
      </c>
      <c r="G74" s="202" t="str">
        <f t="shared" si="33"/>
        <v>  </v>
      </c>
      <c r="H74" s="183"/>
      <c r="I74" s="179"/>
      <c r="J74" s="179"/>
      <c r="K74" s="179"/>
      <c r="L74" s="179"/>
      <c r="M74" s="118">
        <f t="shared" si="34"/>
        <v>0</v>
      </c>
      <c r="N74" s="119" t="str">
        <f t="shared" si="35"/>
        <v>#DIV/0!</v>
      </c>
      <c r="O74" s="176"/>
      <c r="P74" s="179"/>
      <c r="Q74" s="179"/>
      <c r="R74" s="179"/>
      <c r="S74" s="179"/>
      <c r="T74" s="179"/>
      <c r="U74" s="179"/>
      <c r="V74" s="179"/>
      <c r="W74" s="179"/>
      <c r="X74" s="179"/>
      <c r="Y74" s="179"/>
      <c r="Z74" s="179"/>
      <c r="AA74" s="179"/>
      <c r="AB74" s="179"/>
      <c r="AC74" s="179"/>
      <c r="AD74" s="184">
        <v>1.0</v>
      </c>
      <c r="AE74" s="179"/>
      <c r="AF74" s="176"/>
      <c r="AG74" s="176"/>
      <c r="AH74" s="182">
        <v>1.0</v>
      </c>
      <c r="AI74" s="176"/>
      <c r="AJ74" s="251">
        <f t="shared" si="36"/>
        <v>2</v>
      </c>
      <c r="AK74" s="169">
        <f t="shared" si="37"/>
        <v>66.66666667</v>
      </c>
      <c r="AL74" s="183"/>
      <c r="AM74" s="179"/>
      <c r="AN74" s="179"/>
      <c r="AO74" s="179"/>
      <c r="AP74" s="179"/>
      <c r="AQ74" s="179"/>
      <c r="AR74" s="179"/>
      <c r="AS74" s="179"/>
      <c r="AT74" s="179"/>
      <c r="AU74" s="291"/>
      <c r="AV74" s="179"/>
      <c r="AW74" s="179"/>
      <c r="AX74" s="179"/>
      <c r="AY74" s="179"/>
      <c r="AZ74" s="179"/>
      <c r="BA74" s="179"/>
      <c r="BB74" s="179"/>
      <c r="BC74" s="138">
        <v>1.0</v>
      </c>
      <c r="BD74" s="179"/>
      <c r="BE74" s="179"/>
      <c r="BF74" s="184">
        <v>1.0</v>
      </c>
      <c r="BG74" s="118">
        <f t="shared" si="38"/>
        <v>2</v>
      </c>
      <c r="BH74" s="122">
        <f t="shared" si="39"/>
        <v>66.66666667</v>
      </c>
      <c r="BI74" s="176"/>
      <c r="BJ74" s="179"/>
      <c r="BK74" s="179"/>
      <c r="BL74" s="179"/>
      <c r="BM74" s="179"/>
      <c r="BN74" s="179"/>
      <c r="BO74" s="179"/>
      <c r="BP74" s="179"/>
      <c r="BQ74" s="179"/>
      <c r="BR74" s="179"/>
      <c r="BS74" s="179"/>
      <c r="BT74" s="184">
        <v>1.0</v>
      </c>
      <c r="BU74" s="185"/>
      <c r="BV74" s="179"/>
      <c r="BW74" s="186"/>
      <c r="BX74" s="186"/>
      <c r="BY74" s="138">
        <v>1.0</v>
      </c>
      <c r="BZ74" s="186"/>
      <c r="CA74" s="200">
        <v>1.0</v>
      </c>
      <c r="CB74" s="200">
        <v>1.0</v>
      </c>
      <c r="CC74" s="186"/>
      <c r="CD74" s="200">
        <v>1.0</v>
      </c>
      <c r="CE74" s="172">
        <f t="shared" si="40"/>
        <v>5</v>
      </c>
      <c r="CF74" s="173">
        <f t="shared" si="41"/>
        <v>125</v>
      </c>
      <c r="CG74" s="199"/>
      <c r="CH74" s="186"/>
      <c r="CI74" s="186"/>
      <c r="CJ74" s="186"/>
      <c r="CK74" s="186"/>
      <c r="CL74" s="186"/>
      <c r="CM74" s="186"/>
      <c r="CN74" s="186"/>
      <c r="CO74" s="186"/>
      <c r="CP74" s="186"/>
      <c r="CQ74" s="186"/>
      <c r="CR74" s="186"/>
      <c r="CS74" s="175">
        <f t="shared" si="42"/>
        <v>0</v>
      </c>
      <c r="CT74" s="158" t="str">
        <f t="shared" si="43"/>
        <v>#DIV/0!</v>
      </c>
    </row>
    <row r="75" ht="15.75" customHeight="1">
      <c r="A75" s="131">
        <v>65.0</v>
      </c>
      <c r="B75" s="111" t="s">
        <v>181</v>
      </c>
      <c r="C75" s="112" t="s">
        <v>182</v>
      </c>
      <c r="D75" s="250">
        <f t="shared" si="6"/>
        <v>8</v>
      </c>
      <c r="E75" s="113">
        <f t="shared" si="31"/>
        <v>88.88888889</v>
      </c>
      <c r="F75" s="114" t="str">
        <f t="shared" si="32"/>
        <v>  </v>
      </c>
      <c r="G75" s="164" t="str">
        <f t="shared" si="33"/>
        <v>  </v>
      </c>
      <c r="H75" s="279"/>
      <c r="I75" s="179"/>
      <c r="J75" s="179"/>
      <c r="K75" s="179"/>
      <c r="L75" s="179"/>
      <c r="M75" s="118">
        <f t="shared" si="34"/>
        <v>0</v>
      </c>
      <c r="N75" s="119" t="str">
        <f t="shared" si="35"/>
        <v>#DIV/0!</v>
      </c>
      <c r="O75" s="176"/>
      <c r="P75" s="179"/>
      <c r="Q75" s="179"/>
      <c r="R75" s="179"/>
      <c r="S75" s="179"/>
      <c r="T75" s="179"/>
      <c r="U75" s="179"/>
      <c r="V75" s="179"/>
      <c r="W75" s="179"/>
      <c r="X75" s="179"/>
      <c r="Y75" s="179"/>
      <c r="Z75" s="179"/>
      <c r="AA75" s="179"/>
      <c r="AB75" s="179"/>
      <c r="AC75" s="179"/>
      <c r="AD75" s="179"/>
      <c r="AE75" s="179"/>
      <c r="AF75" s="176"/>
      <c r="AG75" s="176"/>
      <c r="AH75" s="182">
        <v>1.0</v>
      </c>
      <c r="AI75" s="176"/>
      <c r="AJ75" s="251">
        <f t="shared" si="36"/>
        <v>1</v>
      </c>
      <c r="AK75" s="169">
        <f t="shared" si="37"/>
        <v>33.33333333</v>
      </c>
      <c r="AL75" s="183"/>
      <c r="AM75" s="179"/>
      <c r="AN75" s="179"/>
      <c r="AO75" s="179"/>
      <c r="AP75" s="179"/>
      <c r="AQ75" s="179"/>
      <c r="AR75" s="179"/>
      <c r="AS75" s="184">
        <v>1.0</v>
      </c>
      <c r="AT75" s="179"/>
      <c r="AU75" s="290">
        <v>1.0</v>
      </c>
      <c r="AV75" s="179"/>
      <c r="AW75" s="179"/>
      <c r="AX75" s="179"/>
      <c r="AY75" s="179"/>
      <c r="AZ75" s="179"/>
      <c r="BA75" s="179"/>
      <c r="BB75" s="179"/>
      <c r="BC75" s="204"/>
      <c r="BD75" s="179"/>
      <c r="BE75" s="179"/>
      <c r="BF75" s="179"/>
      <c r="BG75" s="118">
        <f t="shared" si="38"/>
        <v>2</v>
      </c>
      <c r="BH75" s="122">
        <f t="shared" si="39"/>
        <v>66.66666667</v>
      </c>
      <c r="BI75" s="176"/>
      <c r="BJ75" s="179"/>
      <c r="BK75" s="179"/>
      <c r="BL75" s="184">
        <v>1.0</v>
      </c>
      <c r="BM75" s="179"/>
      <c r="BN75" s="179"/>
      <c r="BO75" s="179"/>
      <c r="BP75" s="179"/>
      <c r="BQ75" s="179"/>
      <c r="BR75" s="179"/>
      <c r="BS75" s="179"/>
      <c r="BT75" s="184">
        <v>1.0</v>
      </c>
      <c r="BU75" s="185"/>
      <c r="BV75" s="179"/>
      <c r="BW75" s="186"/>
      <c r="BX75" s="186"/>
      <c r="BY75" s="116"/>
      <c r="BZ75" s="186"/>
      <c r="CA75" s="200">
        <v>1.0</v>
      </c>
      <c r="CB75" s="200">
        <v>1.0</v>
      </c>
      <c r="CC75" s="186"/>
      <c r="CD75" s="200">
        <v>1.0</v>
      </c>
      <c r="CE75" s="172">
        <f t="shared" si="40"/>
        <v>5</v>
      </c>
      <c r="CF75" s="173">
        <f t="shared" si="41"/>
        <v>125</v>
      </c>
      <c r="CG75" s="199"/>
      <c r="CH75" s="186"/>
      <c r="CI75" s="186"/>
      <c r="CJ75" s="186"/>
      <c r="CK75" s="186"/>
      <c r="CL75" s="186"/>
      <c r="CM75" s="186"/>
      <c r="CN75" s="186"/>
      <c r="CO75" s="186"/>
      <c r="CP75" s="186"/>
      <c r="CQ75" s="186"/>
      <c r="CR75" s="186"/>
      <c r="CS75" s="175">
        <f t="shared" si="42"/>
        <v>0</v>
      </c>
      <c r="CT75" s="158" t="str">
        <f t="shared" si="43"/>
        <v>#DIV/0!</v>
      </c>
    </row>
    <row r="76" ht="15.75" customHeight="1">
      <c r="A76" s="146">
        <v>66.0</v>
      </c>
      <c r="B76" s="111" t="s">
        <v>183</v>
      </c>
      <c r="C76" s="112" t="s">
        <v>184</v>
      </c>
      <c r="D76" s="250">
        <f t="shared" si="6"/>
        <v>1</v>
      </c>
      <c r="E76" s="113">
        <f t="shared" si="31"/>
        <v>11.11111111</v>
      </c>
      <c r="F76" s="114">
        <f t="shared" si="32"/>
        <v>11.11111111</v>
      </c>
      <c r="G76" s="202">
        <f t="shared" si="33"/>
        <v>11.11111111</v>
      </c>
      <c r="H76" s="183"/>
      <c r="I76" s="179"/>
      <c r="J76" s="179"/>
      <c r="K76" s="179"/>
      <c r="L76" s="179"/>
      <c r="M76" s="118">
        <f t="shared" si="34"/>
        <v>0</v>
      </c>
      <c r="N76" s="119" t="str">
        <f t="shared" si="35"/>
        <v>#DIV/0!</v>
      </c>
      <c r="O76" s="176"/>
      <c r="P76" s="179"/>
      <c r="Q76" s="179"/>
      <c r="R76" s="179"/>
      <c r="S76" s="179"/>
      <c r="T76" s="179"/>
      <c r="U76" s="179"/>
      <c r="V76" s="179"/>
      <c r="W76" s="179"/>
      <c r="X76" s="179"/>
      <c r="Y76" s="179"/>
      <c r="Z76" s="179"/>
      <c r="AA76" s="179"/>
      <c r="AB76" s="179"/>
      <c r="AC76" s="179"/>
      <c r="AD76" s="179"/>
      <c r="AE76" s="179"/>
      <c r="AF76" s="176"/>
      <c r="AG76" s="176"/>
      <c r="AH76" s="176"/>
      <c r="AI76" s="176"/>
      <c r="AJ76" s="251">
        <f t="shared" si="36"/>
        <v>0</v>
      </c>
      <c r="AK76" s="169">
        <f t="shared" si="37"/>
        <v>0</v>
      </c>
      <c r="AL76" s="183"/>
      <c r="AM76" s="179"/>
      <c r="AN76" s="179"/>
      <c r="AO76" s="179"/>
      <c r="AP76" s="179"/>
      <c r="AQ76" s="179"/>
      <c r="AR76" s="179"/>
      <c r="AS76" s="179"/>
      <c r="AT76" s="179"/>
      <c r="AU76" s="291"/>
      <c r="AV76" s="179"/>
      <c r="AW76" s="179"/>
      <c r="AX76" s="179"/>
      <c r="AY76" s="179"/>
      <c r="AZ76" s="179"/>
      <c r="BA76" s="179"/>
      <c r="BB76" s="179"/>
      <c r="BC76" s="138">
        <v>1.0</v>
      </c>
      <c r="BD76" s="179"/>
      <c r="BE76" s="179"/>
      <c r="BF76" s="179"/>
      <c r="BG76" s="118">
        <f t="shared" si="38"/>
        <v>1</v>
      </c>
      <c r="BH76" s="122">
        <f t="shared" si="39"/>
        <v>33.33333333</v>
      </c>
      <c r="BI76" s="176"/>
      <c r="BJ76" s="179"/>
      <c r="BK76" s="179"/>
      <c r="BL76" s="179"/>
      <c r="BM76" s="179"/>
      <c r="BN76" s="179"/>
      <c r="BO76" s="179"/>
      <c r="BP76" s="179"/>
      <c r="BQ76" s="179"/>
      <c r="BR76" s="179"/>
      <c r="BS76" s="179"/>
      <c r="BT76" s="179"/>
      <c r="BU76" s="185"/>
      <c r="BV76" s="179"/>
      <c r="BW76" s="186"/>
      <c r="BX76" s="186"/>
      <c r="BY76" s="116"/>
      <c r="BZ76" s="186"/>
      <c r="CA76" s="186"/>
      <c r="CB76" s="186"/>
      <c r="CC76" s="186"/>
      <c r="CD76" s="186"/>
      <c r="CE76" s="172">
        <f t="shared" si="40"/>
        <v>0</v>
      </c>
      <c r="CF76" s="173">
        <f t="shared" si="41"/>
        <v>0</v>
      </c>
      <c r="CG76" s="199"/>
      <c r="CH76" s="186"/>
      <c r="CI76" s="186"/>
      <c r="CJ76" s="186"/>
      <c r="CK76" s="186"/>
      <c r="CL76" s="186"/>
      <c r="CM76" s="186"/>
      <c r="CN76" s="186"/>
      <c r="CO76" s="186"/>
      <c r="CP76" s="186"/>
      <c r="CQ76" s="186"/>
      <c r="CR76" s="186"/>
      <c r="CS76" s="175">
        <f t="shared" si="42"/>
        <v>0</v>
      </c>
      <c r="CT76" s="158" t="str">
        <f t="shared" si="43"/>
        <v>#DIV/0!</v>
      </c>
    </row>
    <row r="77" ht="15.75" customHeight="1">
      <c r="A77" s="146">
        <v>67.0</v>
      </c>
      <c r="B77" s="111" t="s">
        <v>185</v>
      </c>
      <c r="C77" s="112" t="s">
        <v>186</v>
      </c>
      <c r="D77" s="250">
        <f t="shared" si="6"/>
        <v>8</v>
      </c>
      <c r="E77" s="113">
        <f t="shared" si="31"/>
        <v>88.88888889</v>
      </c>
      <c r="F77" s="114" t="str">
        <f t="shared" si="32"/>
        <v>  </v>
      </c>
      <c r="G77" s="202" t="str">
        <f t="shared" si="33"/>
        <v>  </v>
      </c>
      <c r="H77" s="279"/>
      <c r="I77" s="179"/>
      <c r="J77" s="179"/>
      <c r="K77" s="179"/>
      <c r="L77" s="179"/>
      <c r="M77" s="118">
        <f t="shared" si="34"/>
        <v>0</v>
      </c>
      <c r="N77" s="119" t="str">
        <f t="shared" si="35"/>
        <v>#DIV/0!</v>
      </c>
      <c r="O77" s="176"/>
      <c r="P77" s="179"/>
      <c r="Q77" s="179"/>
      <c r="R77" s="179"/>
      <c r="S77" s="179"/>
      <c r="T77" s="179"/>
      <c r="U77" s="179"/>
      <c r="V77" s="179"/>
      <c r="W77" s="179"/>
      <c r="X77" s="179"/>
      <c r="Y77" s="179"/>
      <c r="Z77" s="179"/>
      <c r="AA77" s="179"/>
      <c r="AB77" s="179"/>
      <c r="AC77" s="179"/>
      <c r="AD77" s="179"/>
      <c r="AE77" s="179"/>
      <c r="AF77" s="176"/>
      <c r="AG77" s="176"/>
      <c r="AH77" s="176"/>
      <c r="AI77" s="176"/>
      <c r="AJ77" s="251">
        <f t="shared" si="36"/>
        <v>0</v>
      </c>
      <c r="AK77" s="169">
        <f t="shared" si="37"/>
        <v>0</v>
      </c>
      <c r="AL77" s="183"/>
      <c r="AM77" s="179"/>
      <c r="AN77" s="179"/>
      <c r="AO77" s="179"/>
      <c r="AP77" s="179"/>
      <c r="AQ77" s="179"/>
      <c r="AR77" s="179"/>
      <c r="AS77" s="179"/>
      <c r="AT77" s="179"/>
      <c r="AU77" s="290">
        <v>1.0</v>
      </c>
      <c r="AV77" s="179"/>
      <c r="AW77" s="179"/>
      <c r="AX77" s="179"/>
      <c r="AY77" s="179"/>
      <c r="AZ77" s="179"/>
      <c r="BA77" s="179"/>
      <c r="BB77" s="179"/>
      <c r="BC77" s="204"/>
      <c r="BD77" s="179"/>
      <c r="BE77" s="179"/>
      <c r="BF77" s="184">
        <v>1.0</v>
      </c>
      <c r="BG77" s="118">
        <f t="shared" si="38"/>
        <v>2</v>
      </c>
      <c r="BH77" s="122">
        <f t="shared" si="39"/>
        <v>66.66666667</v>
      </c>
      <c r="BI77" s="176"/>
      <c r="BJ77" s="179"/>
      <c r="BK77" s="179"/>
      <c r="BL77" s="184">
        <v>1.0</v>
      </c>
      <c r="BM77" s="179"/>
      <c r="BN77" s="179"/>
      <c r="BO77" s="179"/>
      <c r="BP77" s="179"/>
      <c r="BQ77" s="179"/>
      <c r="BR77" s="179"/>
      <c r="BS77" s="179"/>
      <c r="BT77" s="184">
        <v>1.0</v>
      </c>
      <c r="BU77" s="185"/>
      <c r="BV77" s="179"/>
      <c r="BW77" s="186"/>
      <c r="BX77" s="186"/>
      <c r="BY77" s="138">
        <v>1.0</v>
      </c>
      <c r="BZ77" s="186"/>
      <c r="CA77" s="200">
        <v>1.0</v>
      </c>
      <c r="CB77" s="200">
        <v>1.0</v>
      </c>
      <c r="CC77" s="186"/>
      <c r="CD77" s="200">
        <v>1.0</v>
      </c>
      <c r="CE77" s="172">
        <f t="shared" si="40"/>
        <v>6</v>
      </c>
      <c r="CF77" s="173">
        <f t="shared" si="41"/>
        <v>150</v>
      </c>
      <c r="CG77" s="199"/>
      <c r="CH77" s="186"/>
      <c r="CI77" s="186"/>
      <c r="CJ77" s="186"/>
      <c r="CK77" s="186"/>
      <c r="CL77" s="186"/>
      <c r="CM77" s="186"/>
      <c r="CN77" s="186"/>
      <c r="CO77" s="186"/>
      <c r="CP77" s="186"/>
      <c r="CQ77" s="186"/>
      <c r="CR77" s="186"/>
      <c r="CS77" s="175">
        <f t="shared" si="42"/>
        <v>0</v>
      </c>
      <c r="CT77" s="158" t="str">
        <f t="shared" si="43"/>
        <v>#DIV/0!</v>
      </c>
    </row>
    <row r="78" ht="15.75" customHeight="1">
      <c r="A78" s="131">
        <v>68.0</v>
      </c>
      <c r="B78" s="161" t="s">
        <v>187</v>
      </c>
      <c r="C78" s="162" t="s">
        <v>188</v>
      </c>
      <c r="D78" s="250">
        <f t="shared" si="6"/>
        <v>7</v>
      </c>
      <c r="E78" s="113">
        <f t="shared" si="31"/>
        <v>77.77777778</v>
      </c>
      <c r="F78" s="114" t="str">
        <f t="shared" si="32"/>
        <v>  </v>
      </c>
      <c r="G78" s="202" t="str">
        <f t="shared" si="33"/>
        <v>  </v>
      </c>
      <c r="H78" s="183"/>
      <c r="I78" s="179"/>
      <c r="J78" s="179"/>
      <c r="K78" s="179"/>
      <c r="L78" s="179"/>
      <c r="M78" s="118">
        <f t="shared" si="34"/>
        <v>0</v>
      </c>
      <c r="N78" s="119" t="str">
        <f t="shared" si="35"/>
        <v>#DIV/0!</v>
      </c>
      <c r="O78" s="176"/>
      <c r="P78" s="179"/>
      <c r="Q78" s="179"/>
      <c r="R78" s="179"/>
      <c r="S78" s="179"/>
      <c r="T78" s="179"/>
      <c r="U78" s="179"/>
      <c r="V78" s="179"/>
      <c r="W78" s="179"/>
      <c r="X78" s="179"/>
      <c r="Y78" s="179"/>
      <c r="Z78" s="179"/>
      <c r="AA78" s="179"/>
      <c r="AB78" s="179"/>
      <c r="AC78" s="179"/>
      <c r="AD78" s="184">
        <v>1.0</v>
      </c>
      <c r="AE78" s="179"/>
      <c r="AF78" s="176"/>
      <c r="AG78" s="176"/>
      <c r="AH78" s="176"/>
      <c r="AI78" s="176"/>
      <c r="AJ78" s="251">
        <f t="shared" si="36"/>
        <v>1</v>
      </c>
      <c r="AK78" s="169">
        <f t="shared" si="37"/>
        <v>33.33333333</v>
      </c>
      <c r="AL78" s="183"/>
      <c r="AM78" s="179"/>
      <c r="AN78" s="179"/>
      <c r="AO78" s="179"/>
      <c r="AP78" s="179"/>
      <c r="AQ78" s="179"/>
      <c r="AR78" s="179"/>
      <c r="AS78" s="184">
        <v>1.0</v>
      </c>
      <c r="AT78" s="179"/>
      <c r="AU78" s="291"/>
      <c r="AV78" s="179"/>
      <c r="AW78" s="179"/>
      <c r="AX78" s="179"/>
      <c r="AY78" s="179"/>
      <c r="AZ78" s="179"/>
      <c r="BA78" s="179"/>
      <c r="BB78" s="179"/>
      <c r="BC78" s="138">
        <v>1.0</v>
      </c>
      <c r="BD78" s="179"/>
      <c r="BE78" s="179"/>
      <c r="BF78" s="179"/>
      <c r="BG78" s="118">
        <f t="shared" si="38"/>
        <v>2</v>
      </c>
      <c r="BH78" s="122">
        <f t="shared" si="39"/>
        <v>66.66666667</v>
      </c>
      <c r="BI78" s="176"/>
      <c r="BJ78" s="179"/>
      <c r="BK78" s="179"/>
      <c r="BL78" s="179"/>
      <c r="BM78" s="179"/>
      <c r="BN78" s="179"/>
      <c r="BO78" s="179"/>
      <c r="BP78" s="179"/>
      <c r="BQ78" s="179"/>
      <c r="BR78" s="179"/>
      <c r="BS78" s="179"/>
      <c r="BT78" s="179"/>
      <c r="BU78" s="185"/>
      <c r="BV78" s="179"/>
      <c r="BW78" s="186"/>
      <c r="BX78" s="186"/>
      <c r="BY78" s="138">
        <v>1.0</v>
      </c>
      <c r="BZ78" s="186"/>
      <c r="CA78" s="200">
        <v>1.0</v>
      </c>
      <c r="CB78" s="200">
        <v>1.0</v>
      </c>
      <c r="CC78" s="186"/>
      <c r="CD78" s="200">
        <v>1.0</v>
      </c>
      <c r="CE78" s="172">
        <f t="shared" si="40"/>
        <v>4</v>
      </c>
      <c r="CF78" s="173">
        <f t="shared" si="41"/>
        <v>100</v>
      </c>
      <c r="CG78" s="199"/>
      <c r="CH78" s="186"/>
      <c r="CI78" s="186"/>
      <c r="CJ78" s="186"/>
      <c r="CK78" s="186"/>
      <c r="CL78" s="186"/>
      <c r="CM78" s="186"/>
      <c r="CN78" s="186"/>
      <c r="CO78" s="186"/>
      <c r="CP78" s="186"/>
      <c r="CQ78" s="186"/>
      <c r="CR78" s="186"/>
      <c r="CS78" s="175">
        <f t="shared" si="42"/>
        <v>0</v>
      </c>
      <c r="CT78" s="158" t="str">
        <f t="shared" si="43"/>
        <v>#DIV/0!</v>
      </c>
    </row>
    <row r="79" ht="15.75" customHeight="1">
      <c r="A79" s="146">
        <v>69.0</v>
      </c>
      <c r="B79" s="161" t="s">
        <v>189</v>
      </c>
      <c r="C79" s="162" t="s">
        <v>190</v>
      </c>
      <c r="D79" s="250">
        <f t="shared" si="6"/>
        <v>4</v>
      </c>
      <c r="E79" s="113">
        <f t="shared" si="31"/>
        <v>44.44444444</v>
      </c>
      <c r="F79" s="114">
        <f t="shared" si="32"/>
        <v>44.44444444</v>
      </c>
      <c r="G79" s="202" t="str">
        <f t="shared" si="33"/>
        <v>  </v>
      </c>
      <c r="H79" s="183"/>
      <c r="I79" s="179"/>
      <c r="J79" s="179"/>
      <c r="K79" s="179"/>
      <c r="L79" s="179"/>
      <c r="M79" s="118">
        <f t="shared" si="34"/>
        <v>0</v>
      </c>
      <c r="N79" s="119" t="str">
        <f t="shared" si="35"/>
        <v>#DIV/0!</v>
      </c>
      <c r="O79" s="176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  <c r="AA79" s="179"/>
      <c r="AB79" s="179"/>
      <c r="AC79" s="179"/>
      <c r="AD79" s="179"/>
      <c r="AE79" s="179"/>
      <c r="AF79" s="176"/>
      <c r="AG79" s="176"/>
      <c r="AH79" s="182">
        <v>1.0</v>
      </c>
      <c r="AI79" s="176"/>
      <c r="AJ79" s="251">
        <f t="shared" si="36"/>
        <v>1</v>
      </c>
      <c r="AK79" s="169">
        <f t="shared" si="37"/>
        <v>33.33333333</v>
      </c>
      <c r="AL79" s="183"/>
      <c r="AM79" s="179"/>
      <c r="AN79" s="179"/>
      <c r="AO79" s="179"/>
      <c r="AP79" s="179"/>
      <c r="AQ79" s="179"/>
      <c r="AR79" s="179"/>
      <c r="AS79" s="184">
        <v>1.0</v>
      </c>
      <c r="AT79" s="179"/>
      <c r="AU79" s="291"/>
      <c r="AV79" s="179"/>
      <c r="AW79" s="179"/>
      <c r="AX79" s="179"/>
      <c r="AY79" s="179"/>
      <c r="AZ79" s="179"/>
      <c r="BA79" s="179"/>
      <c r="BB79" s="179"/>
      <c r="BC79" s="204"/>
      <c r="BD79" s="179"/>
      <c r="BE79" s="179"/>
      <c r="BF79" s="179"/>
      <c r="BG79" s="118">
        <f t="shared" si="38"/>
        <v>1</v>
      </c>
      <c r="BH79" s="122">
        <f t="shared" si="39"/>
        <v>33.33333333</v>
      </c>
      <c r="BI79" s="176"/>
      <c r="BJ79" s="179"/>
      <c r="BK79" s="179"/>
      <c r="BL79" s="179"/>
      <c r="BM79" s="179"/>
      <c r="BN79" s="179"/>
      <c r="BO79" s="179"/>
      <c r="BP79" s="179"/>
      <c r="BQ79" s="179"/>
      <c r="BR79" s="179"/>
      <c r="BS79" s="179"/>
      <c r="BT79" s="179"/>
      <c r="BU79" s="185"/>
      <c r="BV79" s="179"/>
      <c r="BW79" s="186"/>
      <c r="BX79" s="186"/>
      <c r="BY79" s="116"/>
      <c r="BZ79" s="186"/>
      <c r="CA79" s="200">
        <v>1.0</v>
      </c>
      <c r="CB79" s="186"/>
      <c r="CC79" s="186"/>
      <c r="CD79" s="200">
        <v>1.0</v>
      </c>
      <c r="CE79" s="172">
        <f t="shared" si="40"/>
        <v>2</v>
      </c>
      <c r="CF79" s="173">
        <f t="shared" si="41"/>
        <v>50</v>
      </c>
      <c r="CG79" s="199"/>
      <c r="CH79" s="186"/>
      <c r="CI79" s="186"/>
      <c r="CJ79" s="186"/>
      <c r="CK79" s="186"/>
      <c r="CL79" s="186"/>
      <c r="CM79" s="186"/>
      <c r="CN79" s="186"/>
      <c r="CO79" s="186"/>
      <c r="CP79" s="186"/>
      <c r="CQ79" s="186"/>
      <c r="CR79" s="186"/>
      <c r="CS79" s="175">
        <f t="shared" si="42"/>
        <v>0</v>
      </c>
      <c r="CT79" s="158" t="str">
        <f t="shared" si="43"/>
        <v>#DIV/0!</v>
      </c>
    </row>
    <row r="80" ht="15.75" customHeight="1">
      <c r="A80" s="146">
        <v>70.0</v>
      </c>
      <c r="B80" s="111" t="s">
        <v>191</v>
      </c>
      <c r="C80" s="112" t="s">
        <v>192</v>
      </c>
      <c r="D80" s="250">
        <f t="shared" si="6"/>
        <v>7</v>
      </c>
      <c r="E80" s="113">
        <f t="shared" si="31"/>
        <v>77.77777778</v>
      </c>
      <c r="F80" s="114" t="str">
        <f t="shared" si="32"/>
        <v>  </v>
      </c>
      <c r="G80" s="202" t="str">
        <f t="shared" si="33"/>
        <v>  </v>
      </c>
      <c r="H80" s="183"/>
      <c r="I80" s="179"/>
      <c r="J80" s="179"/>
      <c r="K80" s="179"/>
      <c r="L80" s="179"/>
      <c r="M80" s="118">
        <f t="shared" si="34"/>
        <v>0</v>
      </c>
      <c r="N80" s="119" t="str">
        <f t="shared" si="35"/>
        <v>#DIV/0!</v>
      </c>
      <c r="O80" s="176"/>
      <c r="P80" s="179"/>
      <c r="Q80" s="179"/>
      <c r="R80" s="179"/>
      <c r="S80" s="179"/>
      <c r="T80" s="179"/>
      <c r="U80" s="179"/>
      <c r="V80" s="179"/>
      <c r="W80" s="179"/>
      <c r="X80" s="179"/>
      <c r="Y80" s="179"/>
      <c r="Z80" s="179"/>
      <c r="AA80" s="179"/>
      <c r="AB80" s="179"/>
      <c r="AC80" s="179"/>
      <c r="AD80" s="179"/>
      <c r="AE80" s="179"/>
      <c r="AF80" s="176"/>
      <c r="AG80" s="182">
        <v>1.0</v>
      </c>
      <c r="AH80" s="182">
        <v>1.0</v>
      </c>
      <c r="AI80" s="176"/>
      <c r="AJ80" s="251">
        <f t="shared" si="36"/>
        <v>2</v>
      </c>
      <c r="AK80" s="169">
        <f t="shared" si="37"/>
        <v>66.66666667</v>
      </c>
      <c r="AL80" s="183"/>
      <c r="AM80" s="179"/>
      <c r="AN80" s="179"/>
      <c r="AO80" s="179"/>
      <c r="AP80" s="179"/>
      <c r="AQ80" s="179"/>
      <c r="AR80" s="179"/>
      <c r="AS80" s="179"/>
      <c r="AT80" s="179"/>
      <c r="AU80" s="291"/>
      <c r="AV80" s="179"/>
      <c r="AW80" s="179"/>
      <c r="AX80" s="179"/>
      <c r="AY80" s="179"/>
      <c r="AZ80" s="179"/>
      <c r="BA80" s="179"/>
      <c r="BB80" s="179"/>
      <c r="BC80" s="218">
        <v>1.0</v>
      </c>
      <c r="BD80" s="179"/>
      <c r="BE80" s="179"/>
      <c r="BF80" s="179"/>
      <c r="BG80" s="118">
        <f t="shared" si="38"/>
        <v>1</v>
      </c>
      <c r="BH80" s="122">
        <f t="shared" si="39"/>
        <v>33.33333333</v>
      </c>
      <c r="BI80" s="176"/>
      <c r="BJ80" s="179"/>
      <c r="BK80" s="179"/>
      <c r="BL80" s="184">
        <v>1.0</v>
      </c>
      <c r="BM80" s="179"/>
      <c r="BN80" s="179"/>
      <c r="BO80" s="179"/>
      <c r="BP80" s="179"/>
      <c r="BQ80" s="179"/>
      <c r="BR80" s="179"/>
      <c r="BS80" s="179"/>
      <c r="BT80" s="184">
        <v>1.0</v>
      </c>
      <c r="BU80" s="185"/>
      <c r="BV80" s="179"/>
      <c r="BW80" s="186"/>
      <c r="BX80" s="186"/>
      <c r="BY80" s="138">
        <v>1.0</v>
      </c>
      <c r="BZ80" s="186"/>
      <c r="CA80" s="186"/>
      <c r="CB80" s="186"/>
      <c r="CC80" s="186"/>
      <c r="CD80" s="200">
        <v>1.0</v>
      </c>
      <c r="CE80" s="172">
        <f t="shared" si="40"/>
        <v>4</v>
      </c>
      <c r="CF80" s="173">
        <f t="shared" si="41"/>
        <v>100</v>
      </c>
      <c r="CG80" s="199"/>
      <c r="CH80" s="186"/>
      <c r="CI80" s="186"/>
      <c r="CJ80" s="186"/>
      <c r="CK80" s="186"/>
      <c r="CL80" s="186"/>
      <c r="CM80" s="186"/>
      <c r="CN80" s="186"/>
      <c r="CO80" s="186"/>
      <c r="CP80" s="186"/>
      <c r="CQ80" s="186"/>
      <c r="CR80" s="186"/>
      <c r="CS80" s="175">
        <f t="shared" si="42"/>
        <v>0</v>
      </c>
      <c r="CT80" s="158" t="str">
        <f t="shared" si="43"/>
        <v>#DIV/0!</v>
      </c>
    </row>
    <row r="81" ht="15.75" customHeight="1">
      <c r="A81" s="131">
        <v>71.0</v>
      </c>
      <c r="B81" s="111" t="s">
        <v>193</v>
      </c>
      <c r="C81" s="112" t="s">
        <v>194</v>
      </c>
      <c r="D81" s="250">
        <f t="shared" si="6"/>
        <v>9</v>
      </c>
      <c r="E81" s="113">
        <f t="shared" si="31"/>
        <v>100</v>
      </c>
      <c r="F81" s="114" t="str">
        <f t="shared" si="32"/>
        <v>  </v>
      </c>
      <c r="G81" s="202" t="str">
        <f t="shared" si="33"/>
        <v>  </v>
      </c>
      <c r="H81" s="279"/>
      <c r="I81" s="179"/>
      <c r="J81" s="179"/>
      <c r="K81" s="179"/>
      <c r="L81" s="179"/>
      <c r="M81" s="118">
        <f t="shared" si="34"/>
        <v>0</v>
      </c>
      <c r="N81" s="119" t="str">
        <f t="shared" si="35"/>
        <v>#DIV/0!</v>
      </c>
      <c r="O81" s="176"/>
      <c r="P81" s="179"/>
      <c r="Q81" s="179"/>
      <c r="R81" s="179"/>
      <c r="S81" s="179"/>
      <c r="T81" s="179"/>
      <c r="U81" s="179"/>
      <c r="V81" s="179"/>
      <c r="W81" s="179"/>
      <c r="X81" s="179"/>
      <c r="Y81" s="179"/>
      <c r="Z81" s="179"/>
      <c r="AA81" s="179"/>
      <c r="AB81" s="179"/>
      <c r="AC81" s="179"/>
      <c r="AD81" s="179"/>
      <c r="AE81" s="179"/>
      <c r="AF81" s="176"/>
      <c r="AG81" s="182">
        <v>1.0</v>
      </c>
      <c r="AH81" s="176"/>
      <c r="AI81" s="176"/>
      <c r="AJ81" s="251">
        <f t="shared" si="36"/>
        <v>1</v>
      </c>
      <c r="AK81" s="169">
        <f t="shared" si="37"/>
        <v>33.33333333</v>
      </c>
      <c r="AL81" s="183"/>
      <c r="AM81" s="179"/>
      <c r="AN81" s="179"/>
      <c r="AO81" s="179"/>
      <c r="AP81" s="179"/>
      <c r="AQ81" s="179"/>
      <c r="AR81" s="179"/>
      <c r="AS81" s="184">
        <v>1.0</v>
      </c>
      <c r="AT81" s="179"/>
      <c r="AU81" s="290">
        <v>1.0</v>
      </c>
      <c r="AV81" s="179"/>
      <c r="AW81" s="179"/>
      <c r="AX81" s="179"/>
      <c r="AY81" s="179"/>
      <c r="AZ81" s="179"/>
      <c r="BA81" s="179"/>
      <c r="BB81" s="179"/>
      <c r="BC81" s="116"/>
      <c r="BD81" s="179"/>
      <c r="BE81" s="179"/>
      <c r="BF81" s="184">
        <v>1.0</v>
      </c>
      <c r="BG81" s="118">
        <f t="shared" si="38"/>
        <v>3</v>
      </c>
      <c r="BH81" s="122">
        <f t="shared" si="39"/>
        <v>100</v>
      </c>
      <c r="BI81" s="176"/>
      <c r="BJ81" s="179"/>
      <c r="BK81" s="179"/>
      <c r="BL81" s="184">
        <v>1.0</v>
      </c>
      <c r="BM81" s="179"/>
      <c r="BN81" s="179"/>
      <c r="BO81" s="179"/>
      <c r="BP81" s="179"/>
      <c r="BQ81" s="179"/>
      <c r="BR81" s="179"/>
      <c r="BS81" s="179"/>
      <c r="BT81" s="184">
        <v>1.0</v>
      </c>
      <c r="BU81" s="185"/>
      <c r="BV81" s="179"/>
      <c r="BW81" s="186"/>
      <c r="BX81" s="186"/>
      <c r="BY81" s="138">
        <v>1.0</v>
      </c>
      <c r="BZ81" s="186"/>
      <c r="CA81" s="186"/>
      <c r="CB81" s="200">
        <v>1.0</v>
      </c>
      <c r="CC81" s="186"/>
      <c r="CD81" s="200">
        <v>1.0</v>
      </c>
      <c r="CE81" s="172">
        <f t="shared" si="40"/>
        <v>5</v>
      </c>
      <c r="CF81" s="173">
        <f t="shared" si="41"/>
        <v>125</v>
      </c>
      <c r="CG81" s="199"/>
      <c r="CH81" s="186"/>
      <c r="CI81" s="186"/>
      <c r="CJ81" s="186"/>
      <c r="CK81" s="186"/>
      <c r="CL81" s="186"/>
      <c r="CM81" s="186"/>
      <c r="CN81" s="186"/>
      <c r="CO81" s="186"/>
      <c r="CP81" s="186"/>
      <c r="CQ81" s="186"/>
      <c r="CR81" s="186"/>
      <c r="CS81" s="175">
        <f t="shared" si="42"/>
        <v>0</v>
      </c>
      <c r="CT81" s="158" t="str">
        <f t="shared" si="43"/>
        <v>#DIV/0!</v>
      </c>
    </row>
    <row r="82" ht="15.75" customHeight="1">
      <c r="A82" s="146">
        <v>72.0</v>
      </c>
      <c r="B82" s="111" t="s">
        <v>195</v>
      </c>
      <c r="C82" s="112" t="s">
        <v>196</v>
      </c>
      <c r="D82" s="250">
        <f t="shared" si="6"/>
        <v>2</v>
      </c>
      <c r="E82" s="113">
        <f t="shared" si="31"/>
        <v>22.22222222</v>
      </c>
      <c r="F82" s="114">
        <f t="shared" si="32"/>
        <v>22.22222222</v>
      </c>
      <c r="G82" s="202">
        <f t="shared" si="33"/>
        <v>22.22222222</v>
      </c>
      <c r="H82" s="183"/>
      <c r="I82" s="179"/>
      <c r="J82" s="179"/>
      <c r="K82" s="179"/>
      <c r="L82" s="179"/>
      <c r="M82" s="118">
        <f t="shared" si="34"/>
        <v>0</v>
      </c>
      <c r="N82" s="119" t="str">
        <f t="shared" si="35"/>
        <v>#DIV/0!</v>
      </c>
      <c r="O82" s="176"/>
      <c r="P82" s="179"/>
      <c r="Q82" s="179"/>
      <c r="R82" s="179"/>
      <c r="S82" s="179"/>
      <c r="T82" s="179"/>
      <c r="U82" s="179"/>
      <c r="V82" s="179"/>
      <c r="W82" s="179"/>
      <c r="X82" s="179"/>
      <c r="Y82" s="179"/>
      <c r="Z82" s="179"/>
      <c r="AA82" s="179"/>
      <c r="AB82" s="179"/>
      <c r="AC82" s="179"/>
      <c r="AD82" s="179"/>
      <c r="AE82" s="179"/>
      <c r="AF82" s="176"/>
      <c r="AG82" s="176"/>
      <c r="AH82" s="176"/>
      <c r="AI82" s="176"/>
      <c r="AJ82" s="251">
        <f t="shared" si="36"/>
        <v>0</v>
      </c>
      <c r="AK82" s="169">
        <f t="shared" si="37"/>
        <v>0</v>
      </c>
      <c r="AL82" s="183"/>
      <c r="AM82" s="179"/>
      <c r="AN82" s="179"/>
      <c r="AO82" s="179"/>
      <c r="AP82" s="179"/>
      <c r="AQ82" s="179"/>
      <c r="AR82" s="179"/>
      <c r="AS82" s="179"/>
      <c r="AT82" s="179"/>
      <c r="AU82" s="291"/>
      <c r="AV82" s="179"/>
      <c r="AW82" s="179"/>
      <c r="AX82" s="179"/>
      <c r="AY82" s="179"/>
      <c r="AZ82" s="179"/>
      <c r="BA82" s="179"/>
      <c r="BB82" s="179"/>
      <c r="BC82" s="204"/>
      <c r="BD82" s="179"/>
      <c r="BE82" s="179"/>
      <c r="BF82" s="179"/>
      <c r="BG82" s="118">
        <f t="shared" si="38"/>
        <v>0</v>
      </c>
      <c r="BH82" s="122">
        <f t="shared" si="39"/>
        <v>0</v>
      </c>
      <c r="BI82" s="176"/>
      <c r="BJ82" s="179"/>
      <c r="BK82" s="179"/>
      <c r="BL82" s="179"/>
      <c r="BM82" s="179"/>
      <c r="BN82" s="179"/>
      <c r="BO82" s="179"/>
      <c r="BP82" s="179"/>
      <c r="BQ82" s="179"/>
      <c r="BR82" s="179"/>
      <c r="BS82" s="179"/>
      <c r="BT82" s="184">
        <v>1.0</v>
      </c>
      <c r="BU82" s="185"/>
      <c r="BV82" s="179"/>
      <c r="BW82" s="186"/>
      <c r="BX82" s="186"/>
      <c r="BY82" s="116"/>
      <c r="BZ82" s="186"/>
      <c r="CA82" s="186"/>
      <c r="CB82" s="186"/>
      <c r="CC82" s="186"/>
      <c r="CD82" s="200">
        <v>1.0</v>
      </c>
      <c r="CE82" s="172">
        <f t="shared" si="40"/>
        <v>2</v>
      </c>
      <c r="CF82" s="173">
        <f t="shared" si="41"/>
        <v>50</v>
      </c>
      <c r="CG82" s="199"/>
      <c r="CH82" s="186"/>
      <c r="CI82" s="186"/>
      <c r="CJ82" s="186"/>
      <c r="CK82" s="186"/>
      <c r="CL82" s="186"/>
      <c r="CM82" s="186"/>
      <c r="CN82" s="186"/>
      <c r="CO82" s="186"/>
      <c r="CP82" s="186"/>
      <c r="CQ82" s="186"/>
      <c r="CR82" s="186"/>
      <c r="CS82" s="175">
        <f t="shared" si="42"/>
        <v>0</v>
      </c>
      <c r="CT82" s="158" t="str">
        <f t="shared" si="43"/>
        <v>#DIV/0!</v>
      </c>
    </row>
    <row r="83" ht="15.75" customHeight="1">
      <c r="A83" s="146">
        <v>73.0</v>
      </c>
      <c r="B83" s="111" t="s">
        <v>197</v>
      </c>
      <c r="C83" s="112" t="s">
        <v>198</v>
      </c>
      <c r="D83" s="250">
        <f t="shared" si="6"/>
        <v>4</v>
      </c>
      <c r="E83" s="113">
        <f t="shared" si="31"/>
        <v>44.44444444</v>
      </c>
      <c r="F83" s="114">
        <f t="shared" si="32"/>
        <v>44.44444444</v>
      </c>
      <c r="G83" s="164" t="str">
        <f t="shared" si="33"/>
        <v>  </v>
      </c>
      <c r="H83" s="279"/>
      <c r="I83" s="179"/>
      <c r="J83" s="179"/>
      <c r="K83" s="179"/>
      <c r="L83" s="179"/>
      <c r="M83" s="118">
        <f t="shared" si="34"/>
        <v>0</v>
      </c>
      <c r="N83" s="119" t="str">
        <f t="shared" si="35"/>
        <v>#DIV/0!</v>
      </c>
      <c r="O83" s="176"/>
      <c r="P83" s="179"/>
      <c r="Q83" s="179"/>
      <c r="R83" s="179"/>
      <c r="S83" s="179"/>
      <c r="T83" s="179"/>
      <c r="U83" s="179"/>
      <c r="V83" s="179"/>
      <c r="W83" s="179"/>
      <c r="X83" s="179"/>
      <c r="Y83" s="179"/>
      <c r="Z83" s="179"/>
      <c r="AA83" s="179"/>
      <c r="AB83" s="179"/>
      <c r="AC83" s="179"/>
      <c r="AD83" s="179"/>
      <c r="AE83" s="179"/>
      <c r="AF83" s="176"/>
      <c r="AG83" s="176"/>
      <c r="AH83" s="176"/>
      <c r="AI83" s="176"/>
      <c r="AJ83" s="251">
        <f t="shared" si="36"/>
        <v>0</v>
      </c>
      <c r="AK83" s="169">
        <f t="shared" si="37"/>
        <v>0</v>
      </c>
      <c r="AL83" s="183"/>
      <c r="AM83" s="179"/>
      <c r="AN83" s="179"/>
      <c r="AO83" s="179"/>
      <c r="AP83" s="179"/>
      <c r="AQ83" s="179"/>
      <c r="AR83" s="179"/>
      <c r="AS83" s="179"/>
      <c r="AT83" s="179"/>
      <c r="AU83" s="290">
        <v>1.0</v>
      </c>
      <c r="AV83" s="179"/>
      <c r="AW83" s="179"/>
      <c r="AX83" s="179"/>
      <c r="AY83" s="179"/>
      <c r="AZ83" s="179"/>
      <c r="BA83" s="179"/>
      <c r="BB83" s="179"/>
      <c r="BC83" s="204"/>
      <c r="BD83" s="179"/>
      <c r="BE83" s="179"/>
      <c r="BF83" s="179"/>
      <c r="BG83" s="118">
        <f t="shared" si="38"/>
        <v>1</v>
      </c>
      <c r="BH83" s="122">
        <f t="shared" si="39"/>
        <v>33.33333333</v>
      </c>
      <c r="BI83" s="176"/>
      <c r="BJ83" s="179"/>
      <c r="BK83" s="179"/>
      <c r="BL83" s="179"/>
      <c r="BM83" s="179"/>
      <c r="BN83" s="179"/>
      <c r="BO83" s="179"/>
      <c r="BP83" s="179"/>
      <c r="BQ83" s="179"/>
      <c r="BR83" s="179"/>
      <c r="BS83" s="179"/>
      <c r="BT83" s="179"/>
      <c r="BU83" s="185"/>
      <c r="BV83" s="179"/>
      <c r="BW83" s="186"/>
      <c r="BX83" s="186"/>
      <c r="BY83" s="138">
        <v>1.0</v>
      </c>
      <c r="BZ83" s="186"/>
      <c r="CA83" s="200">
        <v>1.0</v>
      </c>
      <c r="CB83" s="186"/>
      <c r="CC83" s="186"/>
      <c r="CD83" s="200">
        <v>1.0</v>
      </c>
      <c r="CE83" s="172">
        <f t="shared" si="40"/>
        <v>3</v>
      </c>
      <c r="CF83" s="173">
        <f t="shared" si="41"/>
        <v>75</v>
      </c>
      <c r="CG83" s="199"/>
      <c r="CH83" s="186"/>
      <c r="CI83" s="186"/>
      <c r="CJ83" s="186"/>
      <c r="CK83" s="186"/>
      <c r="CL83" s="186"/>
      <c r="CM83" s="186"/>
      <c r="CN83" s="186"/>
      <c r="CO83" s="186"/>
      <c r="CP83" s="186"/>
      <c r="CQ83" s="186"/>
      <c r="CR83" s="186"/>
      <c r="CS83" s="175">
        <f t="shared" si="42"/>
        <v>0</v>
      </c>
      <c r="CT83" s="158" t="str">
        <f t="shared" si="43"/>
        <v>#DIV/0!</v>
      </c>
    </row>
    <row r="84" ht="15.75" customHeight="1">
      <c r="A84" s="131">
        <v>74.0</v>
      </c>
      <c r="B84" s="111" t="s">
        <v>199</v>
      </c>
      <c r="C84" s="112" t="s">
        <v>200</v>
      </c>
      <c r="D84" s="250">
        <f t="shared" si="6"/>
        <v>4</v>
      </c>
      <c r="E84" s="113">
        <f t="shared" si="31"/>
        <v>44.44444444</v>
      </c>
      <c r="F84" s="114">
        <f t="shared" si="32"/>
        <v>44.44444444</v>
      </c>
      <c r="G84" s="202" t="str">
        <f t="shared" si="33"/>
        <v>  </v>
      </c>
      <c r="H84" s="183"/>
      <c r="I84" s="179"/>
      <c r="J84" s="179"/>
      <c r="K84" s="179"/>
      <c r="L84" s="179"/>
      <c r="M84" s="118">
        <f t="shared" si="34"/>
        <v>0</v>
      </c>
      <c r="N84" s="119" t="str">
        <f t="shared" si="35"/>
        <v>#DIV/0!</v>
      </c>
      <c r="O84" s="176"/>
      <c r="P84" s="179"/>
      <c r="Q84" s="179"/>
      <c r="R84" s="179"/>
      <c r="S84" s="179"/>
      <c r="T84" s="179"/>
      <c r="U84" s="179"/>
      <c r="V84" s="179"/>
      <c r="W84" s="179"/>
      <c r="X84" s="179"/>
      <c r="Y84" s="179"/>
      <c r="Z84" s="179"/>
      <c r="AA84" s="179"/>
      <c r="AB84" s="179"/>
      <c r="AC84" s="179"/>
      <c r="AD84" s="184">
        <v>1.0</v>
      </c>
      <c r="AE84" s="179"/>
      <c r="AF84" s="176"/>
      <c r="AG84" s="176"/>
      <c r="AH84" s="176"/>
      <c r="AI84" s="176"/>
      <c r="AJ84" s="251">
        <f t="shared" si="36"/>
        <v>1</v>
      </c>
      <c r="AK84" s="169">
        <f t="shared" si="37"/>
        <v>33.33333333</v>
      </c>
      <c r="AL84" s="183"/>
      <c r="AM84" s="179"/>
      <c r="AN84" s="179"/>
      <c r="AO84" s="179"/>
      <c r="AP84" s="179"/>
      <c r="AQ84" s="179"/>
      <c r="AR84" s="179"/>
      <c r="AS84" s="184">
        <v>1.0</v>
      </c>
      <c r="AT84" s="179"/>
      <c r="AU84" s="291"/>
      <c r="AV84" s="179"/>
      <c r="AW84" s="179"/>
      <c r="AX84" s="179"/>
      <c r="AY84" s="179"/>
      <c r="AZ84" s="179"/>
      <c r="BA84" s="179"/>
      <c r="BB84" s="179"/>
      <c r="BC84" s="116"/>
      <c r="BD84" s="179"/>
      <c r="BE84" s="179"/>
      <c r="BF84" s="179"/>
      <c r="BG84" s="118">
        <f t="shared" si="38"/>
        <v>1</v>
      </c>
      <c r="BH84" s="122">
        <f t="shared" si="39"/>
        <v>33.33333333</v>
      </c>
      <c r="BI84" s="176"/>
      <c r="BJ84" s="179"/>
      <c r="BK84" s="179"/>
      <c r="BL84" s="179"/>
      <c r="BM84" s="179"/>
      <c r="BN84" s="179"/>
      <c r="BO84" s="179"/>
      <c r="BP84" s="179"/>
      <c r="BQ84" s="179"/>
      <c r="BR84" s="179"/>
      <c r="BS84" s="179"/>
      <c r="BT84" s="179"/>
      <c r="BU84" s="185"/>
      <c r="BV84" s="179"/>
      <c r="BW84" s="186"/>
      <c r="BX84" s="186"/>
      <c r="BY84" s="138">
        <v>1.0</v>
      </c>
      <c r="BZ84" s="186"/>
      <c r="CA84" s="186"/>
      <c r="CB84" s="186"/>
      <c r="CC84" s="186"/>
      <c r="CD84" s="200">
        <v>1.0</v>
      </c>
      <c r="CE84" s="172">
        <f t="shared" si="40"/>
        <v>2</v>
      </c>
      <c r="CF84" s="173">
        <f t="shared" si="41"/>
        <v>50</v>
      </c>
      <c r="CG84" s="199"/>
      <c r="CH84" s="186"/>
      <c r="CI84" s="186"/>
      <c r="CJ84" s="186"/>
      <c r="CK84" s="186"/>
      <c r="CL84" s="186"/>
      <c r="CM84" s="186"/>
      <c r="CN84" s="186"/>
      <c r="CO84" s="186"/>
      <c r="CP84" s="186"/>
      <c r="CQ84" s="186"/>
      <c r="CR84" s="186"/>
      <c r="CS84" s="175">
        <f t="shared" si="42"/>
        <v>0</v>
      </c>
      <c r="CT84" s="158" t="str">
        <f t="shared" si="43"/>
        <v>#DIV/0!</v>
      </c>
    </row>
    <row r="85" ht="15.75" customHeight="1">
      <c r="A85" s="146">
        <v>75.0</v>
      </c>
      <c r="B85" s="111" t="s">
        <v>201</v>
      </c>
      <c r="C85" s="112" t="s">
        <v>202</v>
      </c>
      <c r="D85" s="250">
        <f t="shared" si="6"/>
        <v>4</v>
      </c>
      <c r="E85" s="113">
        <f t="shared" si="31"/>
        <v>44.44444444</v>
      </c>
      <c r="F85" s="114">
        <f t="shared" si="32"/>
        <v>44.44444444</v>
      </c>
      <c r="G85" s="202" t="str">
        <f t="shared" si="33"/>
        <v>  </v>
      </c>
      <c r="H85" s="279"/>
      <c r="I85" s="179"/>
      <c r="J85" s="179"/>
      <c r="K85" s="179"/>
      <c r="L85" s="179"/>
      <c r="M85" s="118">
        <f t="shared" si="34"/>
        <v>0</v>
      </c>
      <c r="N85" s="119" t="str">
        <f t="shared" si="35"/>
        <v>#DIV/0!</v>
      </c>
      <c r="O85" s="176"/>
      <c r="P85" s="179"/>
      <c r="Q85" s="179"/>
      <c r="R85" s="179"/>
      <c r="S85" s="179"/>
      <c r="T85" s="179"/>
      <c r="U85" s="179"/>
      <c r="V85" s="179"/>
      <c r="W85" s="179"/>
      <c r="X85" s="179"/>
      <c r="Y85" s="179"/>
      <c r="Z85" s="179"/>
      <c r="AA85" s="179"/>
      <c r="AB85" s="179"/>
      <c r="AC85" s="179"/>
      <c r="AD85" s="179"/>
      <c r="AE85" s="179"/>
      <c r="AF85" s="176"/>
      <c r="AG85" s="176"/>
      <c r="AH85" s="176"/>
      <c r="AI85" s="176"/>
      <c r="AJ85" s="251">
        <f t="shared" si="36"/>
        <v>0</v>
      </c>
      <c r="AK85" s="169">
        <f t="shared" si="37"/>
        <v>0</v>
      </c>
      <c r="AL85" s="183"/>
      <c r="AM85" s="179"/>
      <c r="AN85" s="179"/>
      <c r="AO85" s="179"/>
      <c r="AP85" s="179"/>
      <c r="AQ85" s="179"/>
      <c r="AR85" s="179"/>
      <c r="AS85" s="184">
        <v>1.0</v>
      </c>
      <c r="AT85" s="179"/>
      <c r="AU85" s="290">
        <v>1.0</v>
      </c>
      <c r="AV85" s="179"/>
      <c r="AW85" s="179"/>
      <c r="AX85" s="179"/>
      <c r="AY85" s="179"/>
      <c r="AZ85" s="179"/>
      <c r="BA85" s="179"/>
      <c r="BB85" s="179"/>
      <c r="BC85" s="116"/>
      <c r="BD85" s="179"/>
      <c r="BE85" s="179"/>
      <c r="BF85" s="179"/>
      <c r="BG85" s="118">
        <f t="shared" si="38"/>
        <v>2</v>
      </c>
      <c r="BH85" s="122">
        <f t="shared" si="39"/>
        <v>66.66666667</v>
      </c>
      <c r="BI85" s="176"/>
      <c r="BJ85" s="179"/>
      <c r="BK85" s="179"/>
      <c r="BL85" s="179"/>
      <c r="BM85" s="179"/>
      <c r="BN85" s="179"/>
      <c r="BO85" s="179"/>
      <c r="BP85" s="179"/>
      <c r="BQ85" s="179"/>
      <c r="BR85" s="179"/>
      <c r="BS85" s="179"/>
      <c r="BT85" s="179"/>
      <c r="BU85" s="185"/>
      <c r="BV85" s="179"/>
      <c r="BW85" s="186"/>
      <c r="BX85" s="186"/>
      <c r="BY85" s="138">
        <v>1.0</v>
      </c>
      <c r="BZ85" s="186"/>
      <c r="CA85" s="186"/>
      <c r="CB85" s="200">
        <v>1.0</v>
      </c>
      <c r="CC85" s="186"/>
      <c r="CD85" s="200"/>
      <c r="CE85" s="172">
        <f t="shared" si="40"/>
        <v>2</v>
      </c>
      <c r="CF85" s="173">
        <f t="shared" si="41"/>
        <v>50</v>
      </c>
      <c r="CG85" s="199"/>
      <c r="CH85" s="186"/>
      <c r="CI85" s="186"/>
      <c r="CJ85" s="186"/>
      <c r="CK85" s="186"/>
      <c r="CL85" s="186"/>
      <c r="CM85" s="186"/>
      <c r="CN85" s="186"/>
      <c r="CO85" s="186"/>
      <c r="CP85" s="186"/>
      <c r="CQ85" s="186"/>
      <c r="CR85" s="186"/>
      <c r="CS85" s="175">
        <f t="shared" si="42"/>
        <v>0</v>
      </c>
      <c r="CT85" s="158" t="str">
        <f t="shared" si="43"/>
        <v>#DIV/0!</v>
      </c>
    </row>
    <row r="86" ht="15.75" customHeight="1">
      <c r="A86" s="146">
        <v>76.0</v>
      </c>
      <c r="B86" s="111" t="s">
        <v>203</v>
      </c>
      <c r="C86" s="112" t="s">
        <v>204</v>
      </c>
      <c r="D86" s="250">
        <f t="shared" si="6"/>
        <v>6</v>
      </c>
      <c r="E86" s="113">
        <f t="shared" si="31"/>
        <v>66.66666667</v>
      </c>
      <c r="F86" s="114" t="str">
        <f t="shared" si="32"/>
        <v>  </v>
      </c>
      <c r="G86" s="164" t="str">
        <f t="shared" si="33"/>
        <v>  </v>
      </c>
      <c r="H86" s="183"/>
      <c r="I86" s="179"/>
      <c r="J86" s="179"/>
      <c r="K86" s="179"/>
      <c r="L86" s="179"/>
      <c r="M86" s="118">
        <f t="shared" si="34"/>
        <v>0</v>
      </c>
      <c r="N86" s="119" t="str">
        <f t="shared" si="35"/>
        <v>#DIV/0!</v>
      </c>
      <c r="O86" s="176"/>
      <c r="P86" s="179"/>
      <c r="Q86" s="179"/>
      <c r="R86" s="179"/>
      <c r="S86" s="179"/>
      <c r="T86" s="179"/>
      <c r="U86" s="179"/>
      <c r="V86" s="179"/>
      <c r="W86" s="179"/>
      <c r="X86" s="179"/>
      <c r="Y86" s="179"/>
      <c r="Z86" s="179"/>
      <c r="AA86" s="179"/>
      <c r="AB86" s="179"/>
      <c r="AC86" s="179"/>
      <c r="AD86" s="184">
        <v>1.0</v>
      </c>
      <c r="AE86" s="179"/>
      <c r="AF86" s="176"/>
      <c r="AG86" s="176"/>
      <c r="AH86" s="176"/>
      <c r="AI86" s="176"/>
      <c r="AJ86" s="251">
        <f t="shared" si="36"/>
        <v>1</v>
      </c>
      <c r="AK86" s="169">
        <f t="shared" si="37"/>
        <v>33.33333333</v>
      </c>
      <c r="AL86" s="183"/>
      <c r="AM86" s="179"/>
      <c r="AN86" s="179"/>
      <c r="AO86" s="179"/>
      <c r="AP86" s="179"/>
      <c r="AQ86" s="179"/>
      <c r="AR86" s="179"/>
      <c r="AS86" s="184">
        <v>1.0</v>
      </c>
      <c r="AT86" s="179"/>
      <c r="AU86" s="291"/>
      <c r="AV86" s="179"/>
      <c r="AW86" s="179"/>
      <c r="AX86" s="179"/>
      <c r="AY86" s="179"/>
      <c r="AZ86" s="179"/>
      <c r="BA86" s="179"/>
      <c r="BB86" s="179"/>
      <c r="BC86" s="116"/>
      <c r="BD86" s="179"/>
      <c r="BE86" s="179"/>
      <c r="BF86" s="179"/>
      <c r="BG86" s="118">
        <f t="shared" si="38"/>
        <v>1</v>
      </c>
      <c r="BH86" s="122">
        <f t="shared" si="39"/>
        <v>33.33333333</v>
      </c>
      <c r="BI86" s="176"/>
      <c r="BJ86" s="179"/>
      <c r="BK86" s="179"/>
      <c r="BL86" s="179"/>
      <c r="BM86" s="179"/>
      <c r="BN86" s="179"/>
      <c r="BO86" s="179"/>
      <c r="BP86" s="179"/>
      <c r="BQ86" s="179"/>
      <c r="BR86" s="179"/>
      <c r="BS86" s="179"/>
      <c r="BT86" s="179"/>
      <c r="BU86" s="185"/>
      <c r="BV86" s="179"/>
      <c r="BW86" s="186"/>
      <c r="BX86" s="186"/>
      <c r="BY86" s="138">
        <v>1.0</v>
      </c>
      <c r="BZ86" s="186"/>
      <c r="CA86" s="200">
        <v>1.0</v>
      </c>
      <c r="CB86" s="200">
        <v>1.0</v>
      </c>
      <c r="CC86" s="186"/>
      <c r="CD86" s="200">
        <v>1.0</v>
      </c>
      <c r="CE86" s="172">
        <f t="shared" si="40"/>
        <v>4</v>
      </c>
      <c r="CF86" s="173">
        <f t="shared" si="41"/>
        <v>100</v>
      </c>
      <c r="CG86" s="199"/>
      <c r="CH86" s="186"/>
      <c r="CI86" s="186"/>
      <c r="CJ86" s="186"/>
      <c r="CK86" s="186"/>
      <c r="CL86" s="186"/>
      <c r="CM86" s="186"/>
      <c r="CN86" s="186"/>
      <c r="CO86" s="186"/>
      <c r="CP86" s="186"/>
      <c r="CQ86" s="186"/>
      <c r="CR86" s="186"/>
      <c r="CS86" s="175">
        <f t="shared" si="42"/>
        <v>0</v>
      </c>
      <c r="CT86" s="158" t="str">
        <f t="shared" si="43"/>
        <v>#DIV/0!</v>
      </c>
    </row>
    <row r="87" ht="15.75" customHeight="1">
      <c r="A87" s="131">
        <v>77.0</v>
      </c>
      <c r="B87" s="126" t="s">
        <v>205</v>
      </c>
      <c r="C87" s="260" t="s">
        <v>206</v>
      </c>
      <c r="D87" s="250">
        <f t="shared" si="6"/>
        <v>3</v>
      </c>
      <c r="E87" s="113">
        <f t="shared" si="31"/>
        <v>33.33333333</v>
      </c>
      <c r="F87" s="114">
        <f t="shared" si="32"/>
        <v>33.33333333</v>
      </c>
      <c r="G87" s="202" t="str">
        <f t="shared" si="33"/>
        <v>  </v>
      </c>
      <c r="H87" s="183"/>
      <c r="I87" s="179"/>
      <c r="J87" s="179"/>
      <c r="K87" s="179"/>
      <c r="L87" s="179"/>
      <c r="M87" s="118">
        <f t="shared" si="34"/>
        <v>0</v>
      </c>
      <c r="N87" s="119" t="str">
        <f t="shared" si="35"/>
        <v>#DIV/0!</v>
      </c>
      <c r="O87" s="176"/>
      <c r="P87" s="179"/>
      <c r="Q87" s="179"/>
      <c r="R87" s="179"/>
      <c r="S87" s="179"/>
      <c r="T87" s="179"/>
      <c r="U87" s="179"/>
      <c r="V87" s="179"/>
      <c r="W87" s="179"/>
      <c r="X87" s="179"/>
      <c r="Y87" s="179"/>
      <c r="Z87" s="179"/>
      <c r="AA87" s="179"/>
      <c r="AB87" s="179"/>
      <c r="AC87" s="179"/>
      <c r="AD87" s="179"/>
      <c r="AE87" s="179"/>
      <c r="AF87" s="176"/>
      <c r="AG87" s="176"/>
      <c r="AH87" s="176"/>
      <c r="AI87" s="176"/>
      <c r="AJ87" s="251">
        <f t="shared" si="36"/>
        <v>0</v>
      </c>
      <c r="AK87" s="169">
        <f t="shared" si="37"/>
        <v>0</v>
      </c>
      <c r="AL87" s="183"/>
      <c r="AM87" s="179"/>
      <c r="AN87" s="179"/>
      <c r="AO87" s="179"/>
      <c r="AP87" s="179"/>
      <c r="AQ87" s="179"/>
      <c r="AR87" s="179"/>
      <c r="AS87" s="179"/>
      <c r="AT87" s="179"/>
      <c r="AU87" s="291"/>
      <c r="AV87" s="179"/>
      <c r="AW87" s="179"/>
      <c r="AX87" s="179"/>
      <c r="AY87" s="179"/>
      <c r="AZ87" s="179"/>
      <c r="BA87" s="179"/>
      <c r="BB87" s="179"/>
      <c r="BC87" s="215">
        <v>1.0</v>
      </c>
      <c r="BD87" s="179"/>
      <c r="BE87" s="179"/>
      <c r="BF87" s="179"/>
      <c r="BG87" s="118">
        <f t="shared" si="38"/>
        <v>1</v>
      </c>
      <c r="BH87" s="122">
        <f t="shared" si="39"/>
        <v>33.33333333</v>
      </c>
      <c r="BI87" s="176"/>
      <c r="BJ87" s="179"/>
      <c r="BK87" s="179"/>
      <c r="BL87" s="179"/>
      <c r="BM87" s="179"/>
      <c r="BN87" s="179"/>
      <c r="BO87" s="179"/>
      <c r="BP87" s="179"/>
      <c r="BQ87" s="179"/>
      <c r="BR87" s="179"/>
      <c r="BS87" s="179"/>
      <c r="BT87" s="184">
        <v>1.0</v>
      </c>
      <c r="BU87" s="171"/>
      <c r="BV87" s="179"/>
      <c r="BW87" s="186"/>
      <c r="BX87" s="186"/>
      <c r="BY87" s="116"/>
      <c r="BZ87" s="186"/>
      <c r="CA87" s="186"/>
      <c r="CB87" s="186"/>
      <c r="CC87" s="186"/>
      <c r="CD87" s="200">
        <v>1.0</v>
      </c>
      <c r="CE87" s="172">
        <f t="shared" si="40"/>
        <v>2</v>
      </c>
      <c r="CF87" s="173">
        <f t="shared" si="41"/>
        <v>50</v>
      </c>
      <c r="CG87" s="199"/>
      <c r="CH87" s="186"/>
      <c r="CI87" s="186"/>
      <c r="CJ87" s="186"/>
      <c r="CK87" s="186"/>
      <c r="CL87" s="186"/>
      <c r="CM87" s="186"/>
      <c r="CN87" s="186"/>
      <c r="CO87" s="186"/>
      <c r="CP87" s="186"/>
      <c r="CQ87" s="186"/>
      <c r="CR87" s="186"/>
      <c r="CS87" s="175">
        <f t="shared" si="42"/>
        <v>0</v>
      </c>
      <c r="CT87" s="158" t="str">
        <f t="shared" si="43"/>
        <v>#DIV/0!</v>
      </c>
    </row>
    <row r="88" ht="15.75" customHeight="1">
      <c r="A88" s="146">
        <v>78.0</v>
      </c>
      <c r="B88" s="111" t="s">
        <v>207</v>
      </c>
      <c r="C88" s="112" t="s">
        <v>208</v>
      </c>
      <c r="D88" s="250">
        <f t="shared" si="6"/>
        <v>8</v>
      </c>
      <c r="E88" s="113">
        <f t="shared" si="31"/>
        <v>88.88888889</v>
      </c>
      <c r="F88" s="114" t="str">
        <f t="shared" si="32"/>
        <v>  </v>
      </c>
      <c r="G88" s="164" t="str">
        <f t="shared" si="33"/>
        <v>  </v>
      </c>
      <c r="H88" s="183"/>
      <c r="I88" s="179"/>
      <c r="J88" s="179"/>
      <c r="K88" s="179"/>
      <c r="L88" s="179"/>
      <c r="M88" s="118">
        <f t="shared" si="34"/>
        <v>0</v>
      </c>
      <c r="N88" s="119" t="str">
        <f t="shared" si="35"/>
        <v>#DIV/0!</v>
      </c>
      <c r="O88" s="176"/>
      <c r="P88" s="179"/>
      <c r="Q88" s="179"/>
      <c r="R88" s="179"/>
      <c r="S88" s="179"/>
      <c r="T88" s="179"/>
      <c r="U88" s="179"/>
      <c r="V88" s="179"/>
      <c r="W88" s="179"/>
      <c r="X88" s="179"/>
      <c r="Y88" s="179"/>
      <c r="Z88" s="179"/>
      <c r="AA88" s="179"/>
      <c r="AB88" s="179"/>
      <c r="AC88" s="179"/>
      <c r="AD88" s="184">
        <v>1.0</v>
      </c>
      <c r="AE88" s="179"/>
      <c r="AF88" s="176"/>
      <c r="AG88" s="182">
        <v>1.0</v>
      </c>
      <c r="AH88" s="182">
        <v>1.0</v>
      </c>
      <c r="AI88" s="176"/>
      <c r="AJ88" s="251">
        <f t="shared" si="36"/>
        <v>3</v>
      </c>
      <c r="AK88" s="169">
        <f t="shared" si="37"/>
        <v>100</v>
      </c>
      <c r="AL88" s="183"/>
      <c r="AM88" s="179"/>
      <c r="AN88" s="179"/>
      <c r="AO88" s="179"/>
      <c r="AP88" s="179"/>
      <c r="AQ88" s="179"/>
      <c r="AR88" s="179"/>
      <c r="AS88" s="179"/>
      <c r="AT88" s="179"/>
      <c r="AU88" s="291"/>
      <c r="AV88" s="179"/>
      <c r="AW88" s="179"/>
      <c r="AX88" s="179"/>
      <c r="AY88" s="179"/>
      <c r="AZ88" s="179"/>
      <c r="BA88" s="179"/>
      <c r="BB88" s="179"/>
      <c r="BC88" s="138">
        <v>1.0</v>
      </c>
      <c r="BD88" s="179"/>
      <c r="BE88" s="179"/>
      <c r="BF88" s="184">
        <v>1.0</v>
      </c>
      <c r="BG88" s="118">
        <f t="shared" si="38"/>
        <v>2</v>
      </c>
      <c r="BH88" s="122">
        <f t="shared" si="39"/>
        <v>66.66666667</v>
      </c>
      <c r="BI88" s="176"/>
      <c r="BJ88" s="179"/>
      <c r="BK88" s="179"/>
      <c r="BL88" s="179"/>
      <c r="BM88" s="179"/>
      <c r="BN88" s="179"/>
      <c r="BO88" s="179"/>
      <c r="BP88" s="179"/>
      <c r="BQ88" s="179"/>
      <c r="BR88" s="179"/>
      <c r="BS88" s="179"/>
      <c r="BT88" s="184">
        <v>1.0</v>
      </c>
      <c r="BU88" s="171"/>
      <c r="BV88" s="179"/>
      <c r="BW88" s="186"/>
      <c r="BX88" s="186"/>
      <c r="BY88" s="116"/>
      <c r="BZ88" s="186"/>
      <c r="CA88" s="186"/>
      <c r="CB88" s="200">
        <v>1.0</v>
      </c>
      <c r="CC88" s="186"/>
      <c r="CD88" s="200">
        <v>1.0</v>
      </c>
      <c r="CE88" s="172">
        <f t="shared" si="40"/>
        <v>3</v>
      </c>
      <c r="CF88" s="173">
        <f t="shared" si="41"/>
        <v>75</v>
      </c>
      <c r="CG88" s="199"/>
      <c r="CH88" s="163"/>
      <c r="CI88" s="186"/>
      <c r="CJ88" s="186"/>
      <c r="CK88" s="186"/>
      <c r="CL88" s="186"/>
      <c r="CM88" s="163"/>
      <c r="CN88" s="186"/>
      <c r="CO88" s="186"/>
      <c r="CP88" s="186"/>
      <c r="CQ88" s="186"/>
      <c r="CR88" s="186"/>
      <c r="CS88" s="175">
        <f t="shared" si="42"/>
        <v>0</v>
      </c>
      <c r="CT88" s="158" t="str">
        <f t="shared" si="43"/>
        <v>#DIV/0!</v>
      </c>
    </row>
    <row r="89" ht="15.75" customHeight="1">
      <c r="A89" s="146">
        <v>79.0</v>
      </c>
      <c r="B89" s="111" t="s">
        <v>209</v>
      </c>
      <c r="C89" s="112" t="s">
        <v>210</v>
      </c>
      <c r="D89" s="250">
        <f t="shared" si="6"/>
        <v>8</v>
      </c>
      <c r="E89" s="113">
        <f t="shared" si="31"/>
        <v>88.88888889</v>
      </c>
      <c r="F89" s="114" t="str">
        <f t="shared" si="32"/>
        <v>  </v>
      </c>
      <c r="G89" s="164" t="str">
        <f t="shared" si="33"/>
        <v>  </v>
      </c>
      <c r="H89" s="279"/>
      <c r="I89" s="179"/>
      <c r="J89" s="179"/>
      <c r="K89" s="166"/>
      <c r="L89" s="166"/>
      <c r="M89" s="118">
        <f t="shared" si="34"/>
        <v>0</v>
      </c>
      <c r="N89" s="119" t="str">
        <f t="shared" si="35"/>
        <v>#DIV/0!</v>
      </c>
      <c r="O89" s="176"/>
      <c r="P89" s="179"/>
      <c r="Q89" s="179"/>
      <c r="R89" s="179"/>
      <c r="S89" s="179"/>
      <c r="T89" s="179"/>
      <c r="U89" s="179"/>
      <c r="V89" s="179"/>
      <c r="W89" s="179"/>
      <c r="X89" s="179"/>
      <c r="Y89" s="179"/>
      <c r="Z89" s="179"/>
      <c r="AA89" s="179"/>
      <c r="AB89" s="179"/>
      <c r="AC89" s="179"/>
      <c r="AD89" s="179"/>
      <c r="AE89" s="179"/>
      <c r="AF89" s="176"/>
      <c r="AG89" s="182">
        <v>1.0</v>
      </c>
      <c r="AH89" s="182">
        <v>1.0</v>
      </c>
      <c r="AI89" s="176"/>
      <c r="AJ89" s="251">
        <f t="shared" si="36"/>
        <v>2</v>
      </c>
      <c r="AK89" s="169">
        <f t="shared" si="37"/>
        <v>66.66666667</v>
      </c>
      <c r="AL89" s="183"/>
      <c r="AM89" s="179"/>
      <c r="AN89" s="179"/>
      <c r="AO89" s="179"/>
      <c r="AP89" s="179"/>
      <c r="AQ89" s="179"/>
      <c r="AR89" s="179"/>
      <c r="AS89" s="179"/>
      <c r="AT89" s="179"/>
      <c r="AU89" s="290">
        <v>1.0</v>
      </c>
      <c r="AV89" s="179"/>
      <c r="AW89" s="179"/>
      <c r="AX89" s="179"/>
      <c r="AY89" s="179"/>
      <c r="AZ89" s="179"/>
      <c r="BA89" s="179"/>
      <c r="BB89" s="179"/>
      <c r="BC89" s="180"/>
      <c r="BD89" s="179"/>
      <c r="BE89" s="179"/>
      <c r="BF89" s="184">
        <v>1.0</v>
      </c>
      <c r="BG89" s="118">
        <f t="shared" si="38"/>
        <v>2</v>
      </c>
      <c r="BH89" s="122">
        <f t="shared" si="39"/>
        <v>66.66666667</v>
      </c>
      <c r="BI89" s="176"/>
      <c r="BJ89" s="179"/>
      <c r="BK89" s="179"/>
      <c r="BL89" s="184">
        <v>1.0</v>
      </c>
      <c r="BM89" s="179"/>
      <c r="BN89" s="179"/>
      <c r="BO89" s="179"/>
      <c r="BP89" s="179"/>
      <c r="BQ89" s="179"/>
      <c r="BR89" s="179"/>
      <c r="BS89" s="179"/>
      <c r="BT89" s="184">
        <v>1.0</v>
      </c>
      <c r="BU89" s="171"/>
      <c r="BV89" s="179"/>
      <c r="BW89" s="186"/>
      <c r="BX89" s="186"/>
      <c r="BY89" s="116"/>
      <c r="BZ89" s="186"/>
      <c r="CA89" s="186"/>
      <c r="CB89" s="200">
        <v>1.0</v>
      </c>
      <c r="CC89" s="186"/>
      <c r="CD89" s="200">
        <v>1.0</v>
      </c>
      <c r="CE89" s="172">
        <f t="shared" si="40"/>
        <v>4</v>
      </c>
      <c r="CF89" s="173">
        <f t="shared" si="41"/>
        <v>100</v>
      </c>
      <c r="CG89" s="199"/>
      <c r="CH89" s="163"/>
      <c r="CI89" s="186"/>
      <c r="CJ89" s="186"/>
      <c r="CK89" s="186"/>
      <c r="CL89" s="186"/>
      <c r="CM89" s="163"/>
      <c r="CN89" s="186"/>
      <c r="CO89" s="186"/>
      <c r="CP89" s="186"/>
      <c r="CQ89" s="186"/>
      <c r="CR89" s="186"/>
      <c r="CS89" s="175">
        <f t="shared" si="42"/>
        <v>0</v>
      </c>
      <c r="CT89" s="158" t="str">
        <f t="shared" si="43"/>
        <v>#DIV/0!</v>
      </c>
    </row>
    <row r="90" ht="15.75" customHeight="1">
      <c r="A90" s="131">
        <v>80.0</v>
      </c>
      <c r="B90" s="111" t="s">
        <v>211</v>
      </c>
      <c r="C90" s="112" t="s">
        <v>212</v>
      </c>
      <c r="D90" s="250">
        <f t="shared" si="6"/>
        <v>4</v>
      </c>
      <c r="E90" s="113">
        <f t="shared" si="31"/>
        <v>44.44444444</v>
      </c>
      <c r="F90" s="114">
        <f t="shared" si="32"/>
        <v>44.44444444</v>
      </c>
      <c r="G90" s="164" t="str">
        <f t="shared" si="33"/>
        <v>  </v>
      </c>
      <c r="H90" s="183"/>
      <c r="I90" s="179"/>
      <c r="J90" s="179"/>
      <c r="K90" s="166"/>
      <c r="L90" s="166"/>
      <c r="M90" s="118">
        <f t="shared" si="34"/>
        <v>0</v>
      </c>
      <c r="N90" s="119" t="str">
        <f t="shared" si="35"/>
        <v>#DIV/0!</v>
      </c>
      <c r="O90" s="176"/>
      <c r="P90" s="179"/>
      <c r="Q90" s="179"/>
      <c r="R90" s="179"/>
      <c r="S90" s="179"/>
      <c r="T90" s="179"/>
      <c r="U90" s="179"/>
      <c r="V90" s="179"/>
      <c r="W90" s="179"/>
      <c r="X90" s="179"/>
      <c r="Y90" s="179"/>
      <c r="Z90" s="179"/>
      <c r="AA90" s="179"/>
      <c r="AB90" s="179"/>
      <c r="AC90" s="179"/>
      <c r="AD90" s="179"/>
      <c r="AE90" s="179"/>
      <c r="AF90" s="176"/>
      <c r="AG90" s="176"/>
      <c r="AH90" s="182">
        <v>1.0</v>
      </c>
      <c r="AI90" s="176"/>
      <c r="AJ90" s="251">
        <f t="shared" si="36"/>
        <v>1</v>
      </c>
      <c r="AK90" s="169">
        <f t="shared" si="37"/>
        <v>33.33333333</v>
      </c>
      <c r="AL90" s="183"/>
      <c r="AM90" s="179"/>
      <c r="AN90" s="179"/>
      <c r="AO90" s="179"/>
      <c r="AP90" s="179"/>
      <c r="AQ90" s="179"/>
      <c r="AR90" s="179"/>
      <c r="AS90" s="179"/>
      <c r="AT90" s="179"/>
      <c r="AU90" s="291"/>
      <c r="AV90" s="179"/>
      <c r="AW90" s="179"/>
      <c r="AX90" s="179"/>
      <c r="AY90" s="179"/>
      <c r="AZ90" s="179"/>
      <c r="BA90" s="179"/>
      <c r="BB90" s="179"/>
      <c r="BC90" s="215">
        <v>1.0</v>
      </c>
      <c r="BD90" s="179"/>
      <c r="BE90" s="179"/>
      <c r="BF90" s="179"/>
      <c r="BG90" s="118">
        <f t="shared" si="38"/>
        <v>1</v>
      </c>
      <c r="BH90" s="122">
        <f t="shared" si="39"/>
        <v>33.33333333</v>
      </c>
      <c r="BI90" s="176"/>
      <c r="BJ90" s="179"/>
      <c r="BK90" s="179"/>
      <c r="BL90" s="184">
        <v>1.0</v>
      </c>
      <c r="BM90" s="179"/>
      <c r="BN90" s="179"/>
      <c r="BO90" s="179"/>
      <c r="BP90" s="179"/>
      <c r="BQ90" s="179"/>
      <c r="BR90" s="179"/>
      <c r="BS90" s="179"/>
      <c r="BT90" s="184">
        <v>1.0</v>
      </c>
      <c r="BU90" s="171"/>
      <c r="BV90" s="179"/>
      <c r="BW90" s="186"/>
      <c r="BX90" s="186"/>
      <c r="BY90" s="116"/>
      <c r="BZ90" s="186"/>
      <c r="CA90" s="186"/>
      <c r="CB90" s="186"/>
      <c r="CC90" s="186"/>
      <c r="CD90" s="186"/>
      <c r="CE90" s="172">
        <f t="shared" si="40"/>
        <v>2</v>
      </c>
      <c r="CF90" s="173">
        <f t="shared" si="41"/>
        <v>50</v>
      </c>
      <c r="CG90" s="199"/>
      <c r="CH90" s="163"/>
      <c r="CI90" s="186"/>
      <c r="CJ90" s="186"/>
      <c r="CK90" s="186"/>
      <c r="CL90" s="186"/>
      <c r="CM90" s="163"/>
      <c r="CN90" s="186"/>
      <c r="CO90" s="186"/>
      <c r="CP90" s="186"/>
      <c r="CQ90" s="186"/>
      <c r="CR90" s="186"/>
      <c r="CS90" s="175">
        <f t="shared" si="42"/>
        <v>0</v>
      </c>
      <c r="CT90" s="158" t="str">
        <f t="shared" si="43"/>
        <v>#DIV/0!</v>
      </c>
    </row>
    <row r="91" ht="15.75" customHeight="1">
      <c r="A91" s="146">
        <v>81.0</v>
      </c>
      <c r="B91" s="111" t="s">
        <v>213</v>
      </c>
      <c r="C91" s="112" t="s">
        <v>214</v>
      </c>
      <c r="D91" s="250">
        <f t="shared" si="6"/>
        <v>10</v>
      </c>
      <c r="E91" s="113">
        <f t="shared" si="31"/>
        <v>111.1111111</v>
      </c>
      <c r="F91" s="114" t="str">
        <f t="shared" si="32"/>
        <v>  </v>
      </c>
      <c r="G91" s="164" t="str">
        <f t="shared" si="33"/>
        <v>  </v>
      </c>
      <c r="H91" s="279"/>
      <c r="I91" s="179"/>
      <c r="J91" s="179"/>
      <c r="K91" s="166"/>
      <c r="L91" s="166"/>
      <c r="M91" s="118">
        <f t="shared" si="34"/>
        <v>0</v>
      </c>
      <c r="N91" s="119" t="str">
        <f t="shared" si="35"/>
        <v>#DIV/0!</v>
      </c>
      <c r="O91" s="176"/>
      <c r="P91" s="179"/>
      <c r="Q91" s="179"/>
      <c r="R91" s="179"/>
      <c r="S91" s="179"/>
      <c r="T91" s="179"/>
      <c r="U91" s="179"/>
      <c r="V91" s="179"/>
      <c r="W91" s="179"/>
      <c r="X91" s="179"/>
      <c r="Y91" s="179"/>
      <c r="Z91" s="179"/>
      <c r="AA91" s="179"/>
      <c r="AB91" s="179"/>
      <c r="AC91" s="179"/>
      <c r="AD91" s="184">
        <v>1.0</v>
      </c>
      <c r="AE91" s="179"/>
      <c r="AF91" s="176"/>
      <c r="AG91" s="182">
        <v>1.0</v>
      </c>
      <c r="AH91" s="176"/>
      <c r="AI91" s="176"/>
      <c r="AJ91" s="251">
        <f t="shared" si="36"/>
        <v>2</v>
      </c>
      <c r="AK91" s="169">
        <f t="shared" si="37"/>
        <v>66.66666667</v>
      </c>
      <c r="AL91" s="183"/>
      <c r="AM91" s="179"/>
      <c r="AN91" s="179"/>
      <c r="AO91" s="179"/>
      <c r="AP91" s="179"/>
      <c r="AQ91" s="179"/>
      <c r="AR91" s="179"/>
      <c r="AS91" s="184">
        <v>1.0</v>
      </c>
      <c r="AT91" s="179"/>
      <c r="AU91" s="290">
        <v>1.0</v>
      </c>
      <c r="AV91" s="179"/>
      <c r="AW91" s="179"/>
      <c r="AX91" s="179"/>
      <c r="AY91" s="179"/>
      <c r="AZ91" s="179"/>
      <c r="BA91" s="179"/>
      <c r="BB91" s="179"/>
      <c r="BC91" s="138">
        <v>1.0</v>
      </c>
      <c r="BD91" s="179"/>
      <c r="BE91" s="179"/>
      <c r="BF91" s="184">
        <v>1.0</v>
      </c>
      <c r="BG91" s="118">
        <f t="shared" si="38"/>
        <v>4</v>
      </c>
      <c r="BH91" s="122">
        <f t="shared" si="39"/>
        <v>133.3333333</v>
      </c>
      <c r="BI91" s="176"/>
      <c r="BJ91" s="179"/>
      <c r="BK91" s="179"/>
      <c r="BL91" s="184">
        <v>1.0</v>
      </c>
      <c r="BM91" s="179"/>
      <c r="BN91" s="179"/>
      <c r="BO91" s="179"/>
      <c r="BP91" s="179"/>
      <c r="BQ91" s="179"/>
      <c r="BR91" s="179"/>
      <c r="BS91" s="179"/>
      <c r="BT91" s="184">
        <v>1.0</v>
      </c>
      <c r="BU91" s="171"/>
      <c r="BV91" s="179"/>
      <c r="BW91" s="186"/>
      <c r="BX91" s="186"/>
      <c r="BY91" s="138">
        <v>1.0</v>
      </c>
      <c r="BZ91" s="186"/>
      <c r="CA91" s="186"/>
      <c r="CB91" s="186"/>
      <c r="CC91" s="186"/>
      <c r="CD91" s="200">
        <v>1.0</v>
      </c>
      <c r="CE91" s="172">
        <f t="shared" si="40"/>
        <v>4</v>
      </c>
      <c r="CF91" s="173">
        <f t="shared" si="41"/>
        <v>100</v>
      </c>
      <c r="CG91" s="199"/>
      <c r="CH91" s="163"/>
      <c r="CI91" s="186"/>
      <c r="CJ91" s="186"/>
      <c r="CK91" s="186"/>
      <c r="CL91" s="186"/>
      <c r="CM91" s="163"/>
      <c r="CN91" s="186"/>
      <c r="CO91" s="186"/>
      <c r="CP91" s="186"/>
      <c r="CQ91" s="186"/>
      <c r="CR91" s="186"/>
      <c r="CS91" s="175">
        <f t="shared" si="42"/>
        <v>0</v>
      </c>
      <c r="CT91" s="158" t="str">
        <f t="shared" si="43"/>
        <v>#DIV/0!</v>
      </c>
    </row>
    <row r="92" ht="15.75" customHeight="1">
      <c r="A92" s="146">
        <v>82.0</v>
      </c>
      <c r="B92" s="111" t="s">
        <v>215</v>
      </c>
      <c r="C92" s="112" t="s">
        <v>216</v>
      </c>
      <c r="D92" s="250">
        <f t="shared" si="6"/>
        <v>8</v>
      </c>
      <c r="E92" s="113">
        <f t="shared" si="31"/>
        <v>88.88888889</v>
      </c>
      <c r="F92" s="114" t="str">
        <f t="shared" si="32"/>
        <v>  </v>
      </c>
      <c r="G92" s="164" t="str">
        <f t="shared" si="33"/>
        <v>  </v>
      </c>
      <c r="H92" s="262"/>
      <c r="I92" s="163"/>
      <c r="J92" s="163"/>
      <c r="K92" s="163"/>
      <c r="L92" s="163"/>
      <c r="M92" s="118">
        <f t="shared" si="34"/>
        <v>0</v>
      </c>
      <c r="N92" s="119" t="str">
        <f t="shared" si="35"/>
        <v>#DIV/0!</v>
      </c>
      <c r="O92" s="163"/>
      <c r="P92" s="163"/>
      <c r="Q92" s="163"/>
      <c r="R92" s="163"/>
      <c r="S92" s="163"/>
      <c r="T92" s="163"/>
      <c r="U92" s="163"/>
      <c r="V92" s="163"/>
      <c r="W92" s="163"/>
      <c r="X92" s="163"/>
      <c r="Y92" s="163"/>
      <c r="Z92" s="163"/>
      <c r="AA92" s="163"/>
      <c r="AB92" s="163"/>
      <c r="AC92" s="163"/>
      <c r="AD92" s="262">
        <v>1.0</v>
      </c>
      <c r="AE92" s="163"/>
      <c r="AF92" s="263"/>
      <c r="AG92" s="263"/>
      <c r="AH92" s="263"/>
      <c r="AI92" s="263"/>
      <c r="AJ92" s="251">
        <f t="shared" si="36"/>
        <v>1</v>
      </c>
      <c r="AK92" s="169">
        <f t="shared" si="37"/>
        <v>33.33333333</v>
      </c>
      <c r="AL92" s="163"/>
      <c r="AM92" s="163"/>
      <c r="AN92" s="163"/>
      <c r="AO92" s="163"/>
      <c r="AP92" s="163"/>
      <c r="AQ92" s="163"/>
      <c r="AR92" s="163"/>
      <c r="AS92" s="262">
        <v>1.0</v>
      </c>
      <c r="AT92" s="163"/>
      <c r="AU92" s="269">
        <v>1.0</v>
      </c>
      <c r="AV92" s="163"/>
      <c r="AW92" s="163"/>
      <c r="AX92" s="163"/>
      <c r="AY92" s="163"/>
      <c r="AZ92" s="163"/>
      <c r="BA92" s="163"/>
      <c r="BB92" s="163"/>
      <c r="BC92" s="180"/>
      <c r="BD92" s="163"/>
      <c r="BE92" s="163"/>
      <c r="BF92" s="163"/>
      <c r="BG92" s="118">
        <f t="shared" si="38"/>
        <v>2</v>
      </c>
      <c r="BH92" s="122">
        <f t="shared" si="39"/>
        <v>66.66666667</v>
      </c>
      <c r="BI92" s="163"/>
      <c r="BJ92" s="163"/>
      <c r="BK92" s="163"/>
      <c r="BL92" s="262">
        <v>1.0</v>
      </c>
      <c r="BM92" s="163"/>
      <c r="BN92" s="163"/>
      <c r="BO92" s="163"/>
      <c r="BP92" s="163"/>
      <c r="BQ92" s="163"/>
      <c r="BR92" s="163"/>
      <c r="BS92" s="163"/>
      <c r="BT92" s="262">
        <v>1.0</v>
      </c>
      <c r="BU92" s="171"/>
      <c r="BV92" s="163"/>
      <c r="BW92" s="163"/>
      <c r="BX92" s="163"/>
      <c r="BY92" s="138">
        <v>1.0</v>
      </c>
      <c r="BZ92" s="163"/>
      <c r="CA92" s="163"/>
      <c r="CB92" s="262">
        <v>1.0</v>
      </c>
      <c r="CC92" s="163"/>
      <c r="CD92" s="262">
        <v>1.0</v>
      </c>
      <c r="CE92" s="172">
        <f t="shared" si="40"/>
        <v>5</v>
      </c>
      <c r="CF92" s="173">
        <f t="shared" si="41"/>
        <v>125</v>
      </c>
      <c r="CG92" s="163"/>
      <c r="CH92" s="163"/>
      <c r="CI92" s="163"/>
      <c r="CJ92" s="163"/>
      <c r="CK92" s="163"/>
      <c r="CL92" s="163"/>
      <c r="CM92" s="163"/>
      <c r="CN92" s="163"/>
      <c r="CO92" s="163"/>
      <c r="CP92" s="163"/>
      <c r="CQ92" s="163"/>
      <c r="CR92" s="163"/>
      <c r="CS92" s="175">
        <f t="shared" si="42"/>
        <v>0</v>
      </c>
      <c r="CT92" s="158" t="str">
        <f t="shared" si="43"/>
        <v>#DIV/0!</v>
      </c>
    </row>
    <row r="93" ht="15.75" customHeight="1">
      <c r="A93" s="131">
        <v>83.0</v>
      </c>
      <c r="B93" s="111" t="s">
        <v>217</v>
      </c>
      <c r="C93" s="112" t="s">
        <v>218</v>
      </c>
      <c r="D93" s="250">
        <f t="shared" si="6"/>
        <v>0</v>
      </c>
      <c r="E93" s="113">
        <f t="shared" si="31"/>
        <v>0</v>
      </c>
      <c r="F93" s="114">
        <f t="shared" si="32"/>
        <v>0</v>
      </c>
      <c r="G93" s="202">
        <f t="shared" si="33"/>
        <v>0</v>
      </c>
      <c r="H93" s="163"/>
      <c r="I93" s="163"/>
      <c r="J93" s="163"/>
      <c r="K93" s="163"/>
      <c r="L93" s="163"/>
      <c r="M93" s="118">
        <f t="shared" si="34"/>
        <v>0</v>
      </c>
      <c r="N93" s="119" t="str">
        <f t="shared" si="35"/>
        <v>#DIV/0!</v>
      </c>
      <c r="O93" s="163"/>
      <c r="P93" s="163"/>
      <c r="Q93" s="163"/>
      <c r="R93" s="163"/>
      <c r="S93" s="163"/>
      <c r="T93" s="163"/>
      <c r="U93" s="163"/>
      <c r="V93" s="163"/>
      <c r="W93" s="163"/>
      <c r="X93" s="163"/>
      <c r="Y93" s="163"/>
      <c r="Z93" s="163"/>
      <c r="AA93" s="163"/>
      <c r="AB93" s="163"/>
      <c r="AC93" s="163"/>
      <c r="AD93" s="163"/>
      <c r="AE93" s="163"/>
      <c r="AF93" s="263"/>
      <c r="AG93" s="263"/>
      <c r="AH93" s="263"/>
      <c r="AI93" s="263"/>
      <c r="AJ93" s="251">
        <f t="shared" si="36"/>
        <v>0</v>
      </c>
      <c r="AK93" s="169">
        <f t="shared" si="37"/>
        <v>0</v>
      </c>
      <c r="AL93" s="163"/>
      <c r="AM93" s="163"/>
      <c r="AN93" s="163"/>
      <c r="AO93" s="163"/>
      <c r="AP93" s="163"/>
      <c r="AQ93" s="163"/>
      <c r="AR93" s="163"/>
      <c r="AS93" s="163"/>
      <c r="AT93" s="163"/>
      <c r="AU93" s="163"/>
      <c r="AV93" s="163"/>
      <c r="AW93" s="163"/>
      <c r="AX93" s="163"/>
      <c r="AY93" s="163"/>
      <c r="AZ93" s="163"/>
      <c r="BA93" s="163"/>
      <c r="BB93" s="163"/>
      <c r="BC93" s="163"/>
      <c r="BD93" s="163"/>
      <c r="BE93" s="163"/>
      <c r="BF93" s="163"/>
      <c r="BG93" s="118">
        <f t="shared" si="38"/>
        <v>0</v>
      </c>
      <c r="BH93" s="122">
        <f t="shared" si="39"/>
        <v>0</v>
      </c>
      <c r="BI93" s="163"/>
      <c r="BJ93" s="163"/>
      <c r="BK93" s="163"/>
      <c r="BL93" s="163"/>
      <c r="BM93" s="163"/>
      <c r="BN93" s="163"/>
      <c r="BO93" s="163"/>
      <c r="BP93" s="163"/>
      <c r="BQ93" s="163"/>
      <c r="BR93" s="163"/>
      <c r="BS93" s="163"/>
      <c r="BT93" s="163"/>
      <c r="BU93" s="171"/>
      <c r="BV93" s="163"/>
      <c r="BW93" s="163"/>
      <c r="BX93" s="163"/>
      <c r="BY93" s="116"/>
      <c r="BZ93" s="163"/>
      <c r="CA93" s="163"/>
      <c r="CB93" s="163"/>
      <c r="CC93" s="163"/>
      <c r="CD93" s="163"/>
      <c r="CE93" s="172">
        <f t="shared" si="40"/>
        <v>0</v>
      </c>
      <c r="CF93" s="173">
        <f t="shared" si="41"/>
        <v>0</v>
      </c>
      <c r="CG93" s="163"/>
      <c r="CH93" s="163"/>
      <c r="CI93" s="163"/>
      <c r="CJ93" s="163"/>
      <c r="CK93" s="163"/>
      <c r="CL93" s="163"/>
      <c r="CM93" s="163"/>
      <c r="CN93" s="163"/>
      <c r="CO93" s="163"/>
      <c r="CP93" s="163"/>
      <c r="CQ93" s="163"/>
      <c r="CR93" s="163"/>
      <c r="CS93" s="175">
        <f t="shared" si="42"/>
        <v>0</v>
      </c>
      <c r="CT93" s="158" t="str">
        <f t="shared" si="43"/>
        <v>#DIV/0!</v>
      </c>
    </row>
    <row r="94" ht="15.75" customHeight="1">
      <c r="A94" s="9"/>
      <c r="B94" s="11"/>
      <c r="C94" s="11"/>
      <c r="D94" s="9"/>
      <c r="E94" s="9"/>
      <c r="F94" s="9"/>
      <c r="G94" s="9"/>
      <c r="H94" s="11"/>
      <c r="I94" s="11"/>
      <c r="J94" s="11"/>
      <c r="K94" s="11"/>
      <c r="L94" s="11"/>
      <c r="M94" s="9"/>
      <c r="N94" s="9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9"/>
      <c r="AK94" s="13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9"/>
      <c r="BH94" s="15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63"/>
      <c r="BZ94" s="11"/>
      <c r="CA94" s="11"/>
      <c r="CB94" s="11"/>
      <c r="CC94" s="11"/>
      <c r="CD94" s="11"/>
      <c r="CE94" s="9"/>
      <c r="CF94" s="9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</row>
    <row r="95" ht="15.75" customHeight="1">
      <c r="A95" s="9"/>
      <c r="B95" s="11"/>
      <c r="C95" s="11"/>
      <c r="D95" s="9"/>
      <c r="E95" s="9"/>
      <c r="F95" s="9"/>
      <c r="G95" s="9"/>
      <c r="H95" s="11"/>
      <c r="I95" s="11"/>
      <c r="J95" s="11"/>
      <c r="K95" s="11"/>
      <c r="L95" s="11"/>
      <c r="M95" s="9"/>
      <c r="N95" s="9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9"/>
      <c r="AK95" s="13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9"/>
      <c r="BH95" s="15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9"/>
      <c r="CF95" s="9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</row>
    <row r="96" ht="15.75" customHeight="1">
      <c r="A96" s="9"/>
      <c r="B96" s="11"/>
      <c r="C96" s="11"/>
      <c r="D96" s="9"/>
      <c r="E96" s="9"/>
      <c r="F96" s="9"/>
      <c r="G96" s="9"/>
      <c r="H96" s="11"/>
      <c r="I96" s="11"/>
      <c r="J96" s="11"/>
      <c r="K96" s="11"/>
      <c r="L96" s="11"/>
      <c r="M96" s="9"/>
      <c r="N96" s="9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9"/>
      <c r="AK96" s="13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9"/>
      <c r="BH96" s="15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9"/>
      <c r="CF96" s="9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</row>
    <row r="97" ht="15.75" customHeight="1">
      <c r="A97" s="9"/>
      <c r="B97" s="11"/>
      <c r="C97" s="11"/>
      <c r="D97" s="9"/>
      <c r="E97" s="9"/>
      <c r="F97" s="9"/>
      <c r="G97" s="9"/>
      <c r="H97" s="11"/>
      <c r="I97" s="11"/>
      <c r="J97" s="11"/>
      <c r="K97" s="11"/>
      <c r="L97" s="11"/>
      <c r="M97" s="9"/>
      <c r="N97" s="9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9"/>
      <c r="AK97" s="13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9"/>
      <c r="BH97" s="15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9"/>
      <c r="CF97" s="9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</row>
    <row r="98" ht="15.75" customHeight="1">
      <c r="A98" s="9"/>
      <c r="B98" s="11"/>
      <c r="C98" s="11"/>
      <c r="D98" s="9"/>
      <c r="E98" s="9"/>
      <c r="F98" s="9"/>
      <c r="G98" s="9"/>
      <c r="H98" s="11"/>
      <c r="I98" s="11"/>
      <c r="J98" s="11"/>
      <c r="K98" s="11"/>
      <c r="L98" s="11"/>
      <c r="M98" s="9"/>
      <c r="N98" s="9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9"/>
      <c r="AK98" s="13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9"/>
      <c r="BH98" s="15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9"/>
      <c r="CF98" s="9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</row>
    <row r="99" ht="15.75" customHeight="1">
      <c r="A99" s="9"/>
      <c r="B99" s="11"/>
      <c r="C99" s="11"/>
      <c r="D99" s="9"/>
      <c r="E99" s="9"/>
      <c r="F99" s="9"/>
      <c r="G99" s="9"/>
      <c r="H99" s="11"/>
      <c r="I99" s="11"/>
      <c r="J99" s="11"/>
      <c r="K99" s="11"/>
      <c r="L99" s="11"/>
      <c r="M99" s="9"/>
      <c r="N99" s="9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9"/>
      <c r="AK99" s="13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9"/>
      <c r="BH99" s="15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9"/>
      <c r="CF99" s="9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</row>
    <row r="100" ht="15.75" customHeight="1">
      <c r="A100" s="9"/>
      <c r="B100" s="11"/>
      <c r="C100" s="11"/>
      <c r="D100" s="9"/>
      <c r="E100" s="9"/>
      <c r="F100" s="9"/>
      <c r="G100" s="9"/>
      <c r="H100" s="11"/>
      <c r="I100" s="11"/>
      <c r="J100" s="11"/>
      <c r="K100" s="11"/>
      <c r="L100" s="11"/>
      <c r="M100" s="9"/>
      <c r="N100" s="9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9"/>
      <c r="AK100" s="13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9"/>
      <c r="BH100" s="15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9"/>
      <c r="CF100" s="9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</row>
    <row r="101" ht="15.75" customHeight="1">
      <c r="A101" s="9"/>
      <c r="B101" s="11"/>
      <c r="C101" s="11"/>
      <c r="D101" s="9"/>
      <c r="E101" s="9"/>
      <c r="F101" s="9"/>
      <c r="G101" s="9"/>
      <c r="H101" s="11"/>
      <c r="I101" s="11"/>
      <c r="J101" s="11"/>
      <c r="K101" s="11"/>
      <c r="L101" s="11"/>
      <c r="M101" s="9"/>
      <c r="N101" s="9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9"/>
      <c r="AK101" s="13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9"/>
      <c r="BH101" s="15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9"/>
      <c r="CF101" s="9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</row>
    <row r="102" ht="15.75" customHeight="1">
      <c r="A102" s="9"/>
      <c r="B102" s="11"/>
      <c r="C102" s="11"/>
      <c r="D102" s="9"/>
      <c r="E102" s="9"/>
      <c r="F102" s="9"/>
      <c r="G102" s="9"/>
      <c r="H102" s="11"/>
      <c r="I102" s="11"/>
      <c r="J102" s="11"/>
      <c r="K102" s="11"/>
      <c r="L102" s="11"/>
      <c r="M102" s="9"/>
      <c r="N102" s="9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9"/>
      <c r="AK102" s="13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9"/>
      <c r="BH102" s="15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9"/>
      <c r="CF102" s="9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</row>
    <row r="103" ht="15.75" customHeight="1">
      <c r="A103" s="9"/>
      <c r="B103" s="11"/>
      <c r="C103" s="11"/>
      <c r="D103" s="9"/>
      <c r="E103" s="9"/>
      <c r="F103" s="9"/>
      <c r="G103" s="9"/>
      <c r="H103" s="11"/>
      <c r="I103" s="11"/>
      <c r="J103" s="11"/>
      <c r="K103" s="11"/>
      <c r="L103" s="11"/>
      <c r="M103" s="9"/>
      <c r="N103" s="9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9"/>
      <c r="AK103" s="13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9"/>
      <c r="BH103" s="15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9"/>
      <c r="CF103" s="9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</row>
    <row r="104" ht="15.75" customHeight="1">
      <c r="A104" s="9"/>
      <c r="B104" s="11"/>
      <c r="C104" s="11"/>
      <c r="D104" s="9"/>
      <c r="E104" s="9"/>
      <c r="F104" s="9"/>
      <c r="G104" s="9"/>
      <c r="H104" s="11"/>
      <c r="I104" s="11"/>
      <c r="J104" s="11"/>
      <c r="K104" s="11"/>
      <c r="L104" s="11"/>
      <c r="M104" s="9"/>
      <c r="N104" s="9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9"/>
      <c r="AK104" s="13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9"/>
      <c r="BH104" s="15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9"/>
      <c r="CF104" s="9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</row>
    <row r="105" ht="15.75" customHeight="1">
      <c r="A105" s="9"/>
      <c r="B105" s="11"/>
      <c r="C105" s="11"/>
      <c r="D105" s="9"/>
      <c r="E105" s="9"/>
      <c r="F105" s="9"/>
      <c r="G105" s="9"/>
      <c r="H105" s="11"/>
      <c r="I105" s="11"/>
      <c r="J105" s="11"/>
      <c r="K105" s="11"/>
      <c r="L105" s="11"/>
      <c r="M105" s="9"/>
      <c r="N105" s="9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9"/>
      <c r="AK105" s="13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9"/>
      <c r="BH105" s="15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9"/>
      <c r="CF105" s="9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</row>
    <row r="106" ht="15.75" customHeight="1">
      <c r="A106" s="9"/>
      <c r="B106" s="11"/>
      <c r="C106" s="11"/>
      <c r="D106" s="9"/>
      <c r="E106" s="9"/>
      <c r="F106" s="9"/>
      <c r="G106" s="9"/>
      <c r="H106" s="11"/>
      <c r="I106" s="11"/>
      <c r="J106" s="11"/>
      <c r="K106" s="11"/>
      <c r="L106" s="11"/>
      <c r="M106" s="9"/>
      <c r="N106" s="9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9"/>
      <c r="AK106" s="13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9"/>
      <c r="BH106" s="15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9"/>
      <c r="CF106" s="9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</row>
    <row r="107" ht="15.75" customHeight="1">
      <c r="A107" s="9"/>
      <c r="B107" s="11"/>
      <c r="C107" s="11"/>
      <c r="D107" s="9"/>
      <c r="E107" s="9"/>
      <c r="F107" s="9"/>
      <c r="G107" s="9"/>
      <c r="H107" s="11"/>
      <c r="I107" s="11"/>
      <c r="J107" s="11"/>
      <c r="K107" s="11"/>
      <c r="L107" s="11"/>
      <c r="M107" s="9"/>
      <c r="N107" s="9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9"/>
      <c r="AK107" s="13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9"/>
      <c r="BH107" s="15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9"/>
      <c r="CF107" s="9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</row>
    <row r="108" ht="15.75" customHeight="1">
      <c r="A108" s="9"/>
      <c r="B108" s="11"/>
      <c r="C108" s="11"/>
      <c r="D108" s="9"/>
      <c r="E108" s="9"/>
      <c r="F108" s="9"/>
      <c r="G108" s="9"/>
      <c r="H108" s="11"/>
      <c r="I108" s="11"/>
      <c r="J108" s="11"/>
      <c r="K108" s="11"/>
      <c r="L108" s="11"/>
      <c r="M108" s="9"/>
      <c r="N108" s="9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9"/>
      <c r="AK108" s="13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9"/>
      <c r="BH108" s="15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9"/>
      <c r="CF108" s="9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</row>
    <row r="109" ht="15.75" customHeight="1">
      <c r="A109" s="9"/>
      <c r="B109" s="11"/>
      <c r="C109" s="11"/>
      <c r="D109" s="9"/>
      <c r="E109" s="9"/>
      <c r="F109" s="9"/>
      <c r="G109" s="9"/>
      <c r="H109" s="11"/>
      <c r="I109" s="11"/>
      <c r="J109" s="11"/>
      <c r="K109" s="11"/>
      <c r="L109" s="11"/>
      <c r="M109" s="9"/>
      <c r="N109" s="9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9"/>
      <c r="AK109" s="13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9"/>
      <c r="BH109" s="15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9"/>
      <c r="CF109" s="9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</row>
    <row r="110" ht="15.75" customHeight="1">
      <c r="A110" s="9"/>
      <c r="B110" s="11"/>
      <c r="C110" s="11"/>
      <c r="D110" s="9"/>
      <c r="E110" s="9"/>
      <c r="F110" s="9"/>
      <c r="G110" s="9"/>
      <c r="H110" s="11"/>
      <c r="I110" s="11"/>
      <c r="J110" s="11"/>
      <c r="K110" s="11"/>
      <c r="L110" s="11"/>
      <c r="M110" s="9"/>
      <c r="N110" s="9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9"/>
      <c r="AK110" s="13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9"/>
      <c r="BH110" s="15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9"/>
      <c r="CF110" s="9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</row>
    <row r="111" ht="15.75" customHeight="1">
      <c r="A111" s="9"/>
      <c r="B111" s="11"/>
      <c r="C111" s="11"/>
      <c r="D111" s="9"/>
      <c r="E111" s="9"/>
      <c r="F111" s="9"/>
      <c r="G111" s="9"/>
      <c r="H111" s="11"/>
      <c r="I111" s="11"/>
      <c r="J111" s="11"/>
      <c r="K111" s="11"/>
      <c r="L111" s="11"/>
      <c r="M111" s="9"/>
      <c r="N111" s="9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9"/>
      <c r="AK111" s="13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9"/>
      <c r="BH111" s="15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9"/>
      <c r="CF111" s="9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</row>
    <row r="112" ht="15.75" customHeight="1">
      <c r="A112" s="9"/>
      <c r="B112" s="11"/>
      <c r="C112" s="11"/>
      <c r="D112" s="9"/>
      <c r="E112" s="9"/>
      <c r="F112" s="9"/>
      <c r="G112" s="9"/>
      <c r="H112" s="11"/>
      <c r="I112" s="11"/>
      <c r="J112" s="11"/>
      <c r="K112" s="11"/>
      <c r="L112" s="11"/>
      <c r="M112" s="9"/>
      <c r="N112" s="9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9"/>
      <c r="AK112" s="13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9"/>
      <c r="BH112" s="15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9"/>
      <c r="CF112" s="9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</row>
    <row r="113" ht="15.75" customHeight="1">
      <c r="A113" s="9"/>
      <c r="B113" s="11"/>
      <c r="C113" s="11"/>
      <c r="D113" s="9"/>
      <c r="E113" s="9"/>
      <c r="F113" s="9"/>
      <c r="G113" s="9"/>
      <c r="H113" s="11"/>
      <c r="I113" s="11"/>
      <c r="J113" s="11"/>
      <c r="K113" s="11"/>
      <c r="L113" s="11"/>
      <c r="M113" s="9"/>
      <c r="N113" s="9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9"/>
      <c r="AK113" s="13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9"/>
      <c r="BH113" s="15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9"/>
      <c r="CF113" s="9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</row>
    <row r="114" ht="15.75" customHeight="1">
      <c r="A114" s="9"/>
      <c r="B114" s="11"/>
      <c r="C114" s="11"/>
      <c r="D114" s="9"/>
      <c r="E114" s="9"/>
      <c r="F114" s="9"/>
      <c r="G114" s="9"/>
      <c r="H114" s="11"/>
      <c r="I114" s="11"/>
      <c r="J114" s="11"/>
      <c r="K114" s="11"/>
      <c r="L114" s="11"/>
      <c r="M114" s="9"/>
      <c r="N114" s="9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9"/>
      <c r="AK114" s="13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9"/>
      <c r="BH114" s="15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9"/>
      <c r="CF114" s="9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</row>
    <row r="115" ht="15.75" customHeight="1">
      <c r="A115" s="9"/>
      <c r="B115" s="11"/>
      <c r="C115" s="11"/>
      <c r="D115" s="9"/>
      <c r="E115" s="9"/>
      <c r="F115" s="9"/>
      <c r="G115" s="9"/>
      <c r="H115" s="11"/>
      <c r="I115" s="11"/>
      <c r="J115" s="11"/>
      <c r="K115" s="11"/>
      <c r="L115" s="11"/>
      <c r="M115" s="9"/>
      <c r="N115" s="9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9"/>
      <c r="AK115" s="13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9"/>
      <c r="BH115" s="15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9"/>
      <c r="CF115" s="9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</row>
    <row r="116" ht="15.75" customHeight="1">
      <c r="A116" s="9"/>
      <c r="B116" s="11"/>
      <c r="C116" s="11"/>
      <c r="D116" s="9"/>
      <c r="E116" s="9"/>
      <c r="F116" s="9"/>
      <c r="G116" s="9"/>
      <c r="H116" s="11"/>
      <c r="I116" s="11"/>
      <c r="J116" s="11"/>
      <c r="K116" s="11"/>
      <c r="L116" s="11"/>
      <c r="M116" s="9"/>
      <c r="N116" s="9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9"/>
      <c r="AK116" s="13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9"/>
      <c r="BH116" s="15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9"/>
      <c r="CF116" s="9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</row>
    <row r="117" ht="15.75" customHeight="1">
      <c r="A117" s="9"/>
      <c r="B117" s="11"/>
      <c r="C117" s="11"/>
      <c r="D117" s="9"/>
      <c r="E117" s="9"/>
      <c r="F117" s="9"/>
      <c r="G117" s="9"/>
      <c r="H117" s="11"/>
      <c r="I117" s="11"/>
      <c r="J117" s="11"/>
      <c r="K117" s="11"/>
      <c r="L117" s="11"/>
      <c r="M117" s="9"/>
      <c r="N117" s="9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9"/>
      <c r="AK117" s="13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9"/>
      <c r="BH117" s="15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9"/>
      <c r="CF117" s="9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</row>
    <row r="118" ht="15.75" customHeight="1">
      <c r="A118" s="9"/>
      <c r="B118" s="11"/>
      <c r="C118" s="11"/>
      <c r="D118" s="9"/>
      <c r="E118" s="9"/>
      <c r="F118" s="9"/>
      <c r="G118" s="9"/>
      <c r="H118" s="11"/>
      <c r="I118" s="11"/>
      <c r="J118" s="11"/>
      <c r="K118" s="11"/>
      <c r="L118" s="11"/>
      <c r="M118" s="9"/>
      <c r="N118" s="9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9"/>
      <c r="AK118" s="13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9"/>
      <c r="BH118" s="15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9"/>
      <c r="CF118" s="9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</row>
    <row r="119" ht="15.75" customHeight="1">
      <c r="A119" s="9"/>
      <c r="B119" s="11"/>
      <c r="C119" s="11"/>
      <c r="D119" s="9"/>
      <c r="E119" s="9"/>
      <c r="F119" s="9"/>
      <c r="G119" s="9"/>
      <c r="H119" s="11"/>
      <c r="I119" s="11"/>
      <c r="J119" s="11"/>
      <c r="K119" s="11"/>
      <c r="L119" s="11"/>
      <c r="M119" s="9"/>
      <c r="N119" s="9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9"/>
      <c r="AK119" s="13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9"/>
      <c r="BH119" s="15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9"/>
      <c r="CF119" s="9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</row>
    <row r="120" ht="15.75" customHeight="1">
      <c r="A120" s="9"/>
      <c r="B120" s="11"/>
      <c r="C120" s="11"/>
      <c r="D120" s="9"/>
      <c r="E120" s="9"/>
      <c r="F120" s="9"/>
      <c r="G120" s="9"/>
      <c r="H120" s="11"/>
      <c r="I120" s="11"/>
      <c r="J120" s="11"/>
      <c r="K120" s="11"/>
      <c r="L120" s="11"/>
      <c r="M120" s="9"/>
      <c r="N120" s="9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9"/>
      <c r="AK120" s="13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9"/>
      <c r="BH120" s="15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9"/>
      <c r="CF120" s="9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</row>
    <row r="121" ht="15.75" customHeight="1">
      <c r="A121" s="9"/>
      <c r="B121" s="11"/>
      <c r="C121" s="11"/>
      <c r="D121" s="9"/>
      <c r="E121" s="9"/>
      <c r="F121" s="9"/>
      <c r="G121" s="9"/>
      <c r="H121" s="11"/>
      <c r="I121" s="11"/>
      <c r="J121" s="11"/>
      <c r="K121" s="11"/>
      <c r="L121" s="11"/>
      <c r="M121" s="9"/>
      <c r="N121" s="9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9"/>
      <c r="AK121" s="13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9"/>
      <c r="BH121" s="15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9"/>
      <c r="CF121" s="9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</row>
    <row r="122" ht="15.75" customHeight="1">
      <c r="A122" s="9"/>
      <c r="B122" s="11"/>
      <c r="C122" s="11"/>
      <c r="D122" s="9"/>
      <c r="E122" s="9"/>
      <c r="F122" s="9"/>
      <c r="G122" s="9"/>
      <c r="H122" s="11"/>
      <c r="I122" s="11"/>
      <c r="J122" s="11"/>
      <c r="K122" s="11"/>
      <c r="L122" s="11"/>
      <c r="M122" s="9"/>
      <c r="N122" s="9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9"/>
      <c r="AK122" s="13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9"/>
      <c r="BH122" s="15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9"/>
      <c r="CF122" s="9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</row>
    <row r="123" ht="15.75" customHeight="1">
      <c r="A123" s="9"/>
      <c r="B123" s="11"/>
      <c r="C123" s="11"/>
      <c r="D123" s="9"/>
      <c r="E123" s="9"/>
      <c r="F123" s="9"/>
      <c r="G123" s="9"/>
      <c r="H123" s="11"/>
      <c r="I123" s="11"/>
      <c r="J123" s="11"/>
      <c r="K123" s="11"/>
      <c r="L123" s="11"/>
      <c r="M123" s="9"/>
      <c r="N123" s="9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9"/>
      <c r="AK123" s="13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9"/>
      <c r="BH123" s="15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9"/>
      <c r="CF123" s="9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</row>
    <row r="124" ht="15.75" customHeight="1">
      <c r="A124" s="9"/>
      <c r="B124" s="11"/>
      <c r="C124" s="11"/>
      <c r="D124" s="9"/>
      <c r="E124" s="9"/>
      <c r="F124" s="9"/>
      <c r="G124" s="9"/>
      <c r="H124" s="11"/>
      <c r="I124" s="11"/>
      <c r="J124" s="11"/>
      <c r="K124" s="11"/>
      <c r="L124" s="11"/>
      <c r="M124" s="9"/>
      <c r="N124" s="9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9"/>
      <c r="AK124" s="13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9"/>
      <c r="BH124" s="15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9"/>
      <c r="CF124" s="9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</row>
    <row r="125" ht="15.75" customHeight="1">
      <c r="A125" s="9"/>
      <c r="B125" s="11"/>
      <c r="C125" s="11"/>
      <c r="D125" s="9"/>
      <c r="E125" s="9"/>
      <c r="F125" s="9"/>
      <c r="G125" s="9"/>
      <c r="H125" s="11"/>
      <c r="I125" s="11"/>
      <c r="J125" s="11"/>
      <c r="K125" s="11"/>
      <c r="L125" s="11"/>
      <c r="M125" s="9"/>
      <c r="N125" s="9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9"/>
      <c r="AK125" s="13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9"/>
      <c r="BH125" s="15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9"/>
      <c r="CF125" s="9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</row>
    <row r="126" ht="15.75" customHeight="1">
      <c r="A126" s="9"/>
      <c r="B126" s="11"/>
      <c r="C126" s="11"/>
      <c r="D126" s="9"/>
      <c r="E126" s="9"/>
      <c r="F126" s="9"/>
      <c r="G126" s="9"/>
      <c r="H126" s="11"/>
      <c r="I126" s="11"/>
      <c r="J126" s="11"/>
      <c r="K126" s="11"/>
      <c r="L126" s="11"/>
      <c r="M126" s="9"/>
      <c r="N126" s="9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9"/>
      <c r="AK126" s="13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9"/>
      <c r="BH126" s="15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9"/>
      <c r="CF126" s="9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</row>
    <row r="127" ht="15.75" customHeight="1">
      <c r="A127" s="9"/>
      <c r="B127" s="11"/>
      <c r="C127" s="11"/>
      <c r="D127" s="9"/>
      <c r="E127" s="9"/>
      <c r="F127" s="9"/>
      <c r="G127" s="9"/>
      <c r="H127" s="11"/>
      <c r="I127" s="11"/>
      <c r="J127" s="11"/>
      <c r="K127" s="11"/>
      <c r="L127" s="11"/>
      <c r="M127" s="9"/>
      <c r="N127" s="9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9"/>
      <c r="AK127" s="13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9"/>
      <c r="BH127" s="15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9"/>
      <c r="CF127" s="9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</row>
    <row r="128" ht="15.75" customHeight="1">
      <c r="A128" s="9"/>
      <c r="B128" s="11"/>
      <c r="C128" s="11"/>
      <c r="D128" s="9"/>
      <c r="E128" s="9"/>
      <c r="F128" s="9"/>
      <c r="G128" s="9"/>
      <c r="H128" s="11"/>
      <c r="I128" s="11"/>
      <c r="J128" s="11"/>
      <c r="K128" s="11"/>
      <c r="L128" s="11"/>
      <c r="M128" s="9"/>
      <c r="N128" s="9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9"/>
      <c r="AK128" s="13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9"/>
      <c r="BH128" s="15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9"/>
      <c r="CF128" s="9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</row>
    <row r="129" ht="15.75" customHeight="1">
      <c r="A129" s="9"/>
      <c r="B129" s="11"/>
      <c r="C129" s="11"/>
      <c r="D129" s="9"/>
      <c r="E129" s="9"/>
      <c r="F129" s="9"/>
      <c r="G129" s="9"/>
      <c r="H129" s="11"/>
      <c r="I129" s="11"/>
      <c r="J129" s="11"/>
      <c r="K129" s="11"/>
      <c r="L129" s="11"/>
      <c r="M129" s="9"/>
      <c r="N129" s="9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9"/>
      <c r="AK129" s="13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9"/>
      <c r="BH129" s="15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9"/>
      <c r="CF129" s="9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</row>
    <row r="130" ht="15.75" customHeight="1">
      <c r="A130" s="9"/>
      <c r="B130" s="11"/>
      <c r="C130" s="11"/>
      <c r="D130" s="9"/>
      <c r="E130" s="9"/>
      <c r="F130" s="9"/>
      <c r="G130" s="9"/>
      <c r="H130" s="11"/>
      <c r="I130" s="11"/>
      <c r="J130" s="11"/>
      <c r="K130" s="11"/>
      <c r="L130" s="11"/>
      <c r="M130" s="9"/>
      <c r="N130" s="9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9"/>
      <c r="AK130" s="13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9"/>
      <c r="BH130" s="15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9"/>
      <c r="CF130" s="9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</row>
    <row r="131" ht="15.75" customHeight="1">
      <c r="A131" s="9"/>
      <c r="B131" s="11"/>
      <c r="C131" s="11"/>
      <c r="D131" s="9"/>
      <c r="E131" s="9"/>
      <c r="F131" s="9"/>
      <c r="G131" s="9"/>
      <c r="H131" s="11"/>
      <c r="I131" s="11"/>
      <c r="J131" s="11"/>
      <c r="K131" s="11"/>
      <c r="L131" s="11"/>
      <c r="M131" s="9"/>
      <c r="N131" s="9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9"/>
      <c r="AK131" s="13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9"/>
      <c r="BH131" s="15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9"/>
      <c r="CF131" s="9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</row>
    <row r="132" ht="15.75" customHeight="1">
      <c r="A132" s="9"/>
      <c r="B132" s="11"/>
      <c r="C132" s="11"/>
      <c r="D132" s="9"/>
      <c r="E132" s="9"/>
      <c r="F132" s="9"/>
      <c r="G132" s="9"/>
      <c r="H132" s="11"/>
      <c r="I132" s="11"/>
      <c r="J132" s="11"/>
      <c r="K132" s="11"/>
      <c r="L132" s="11"/>
      <c r="M132" s="9"/>
      <c r="N132" s="9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9"/>
      <c r="AK132" s="13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9"/>
      <c r="BH132" s="15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9"/>
      <c r="CF132" s="9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</row>
    <row r="133" ht="15.75" customHeight="1">
      <c r="A133" s="9"/>
      <c r="B133" s="11"/>
      <c r="C133" s="11"/>
      <c r="D133" s="9"/>
      <c r="E133" s="9"/>
      <c r="F133" s="9"/>
      <c r="G133" s="9"/>
      <c r="H133" s="11"/>
      <c r="I133" s="11"/>
      <c r="J133" s="11"/>
      <c r="K133" s="11"/>
      <c r="L133" s="11"/>
      <c r="M133" s="9"/>
      <c r="N133" s="9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9"/>
      <c r="AK133" s="13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9"/>
      <c r="BH133" s="15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9"/>
      <c r="CF133" s="9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</row>
    <row r="134" ht="15.75" customHeight="1">
      <c r="A134" s="9"/>
      <c r="B134" s="11"/>
      <c r="C134" s="11"/>
      <c r="D134" s="9"/>
      <c r="E134" s="9"/>
      <c r="F134" s="9"/>
      <c r="G134" s="9"/>
      <c r="H134" s="11"/>
      <c r="I134" s="11"/>
      <c r="J134" s="11"/>
      <c r="K134" s="11"/>
      <c r="L134" s="11"/>
      <c r="M134" s="9"/>
      <c r="N134" s="9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9"/>
      <c r="AK134" s="13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9"/>
      <c r="BH134" s="15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9"/>
      <c r="CF134" s="9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</row>
    <row r="135" ht="15.75" customHeight="1">
      <c r="A135" s="9"/>
      <c r="B135" s="11"/>
      <c r="C135" s="11"/>
      <c r="D135" s="9"/>
      <c r="E135" s="9"/>
      <c r="F135" s="9"/>
      <c r="G135" s="9"/>
      <c r="H135" s="11"/>
      <c r="I135" s="11"/>
      <c r="J135" s="11"/>
      <c r="K135" s="11"/>
      <c r="L135" s="11"/>
      <c r="M135" s="9"/>
      <c r="N135" s="9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9"/>
      <c r="AK135" s="13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9"/>
      <c r="BH135" s="15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9"/>
      <c r="CF135" s="9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</row>
    <row r="136" ht="15.75" customHeight="1">
      <c r="A136" s="9"/>
      <c r="B136" s="11"/>
      <c r="C136" s="11"/>
      <c r="D136" s="9"/>
      <c r="E136" s="9"/>
      <c r="F136" s="9"/>
      <c r="G136" s="9"/>
      <c r="H136" s="11"/>
      <c r="I136" s="11"/>
      <c r="J136" s="11"/>
      <c r="K136" s="11"/>
      <c r="L136" s="11"/>
      <c r="M136" s="9"/>
      <c r="N136" s="9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9"/>
      <c r="AK136" s="13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9"/>
      <c r="BH136" s="15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9"/>
      <c r="CF136" s="9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</row>
    <row r="137" ht="15.75" customHeight="1">
      <c r="A137" s="9"/>
      <c r="B137" s="11"/>
      <c r="C137" s="11"/>
      <c r="D137" s="9"/>
      <c r="E137" s="9"/>
      <c r="F137" s="9"/>
      <c r="G137" s="9"/>
      <c r="H137" s="11"/>
      <c r="I137" s="11"/>
      <c r="J137" s="11"/>
      <c r="K137" s="11"/>
      <c r="L137" s="11"/>
      <c r="M137" s="9"/>
      <c r="N137" s="9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9"/>
      <c r="AK137" s="13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9"/>
      <c r="BH137" s="15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9"/>
      <c r="CF137" s="9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</row>
    <row r="138" ht="15.75" customHeight="1">
      <c r="A138" s="9"/>
      <c r="B138" s="11"/>
      <c r="C138" s="11"/>
      <c r="D138" s="9"/>
      <c r="E138" s="9"/>
      <c r="F138" s="9"/>
      <c r="G138" s="9"/>
      <c r="H138" s="11"/>
      <c r="I138" s="11"/>
      <c r="J138" s="11"/>
      <c r="K138" s="11"/>
      <c r="L138" s="11"/>
      <c r="M138" s="9"/>
      <c r="N138" s="9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9"/>
      <c r="AK138" s="13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9"/>
      <c r="BH138" s="15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9"/>
      <c r="CF138" s="9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</row>
    <row r="139" ht="15.75" customHeight="1">
      <c r="A139" s="9"/>
      <c r="B139" s="11"/>
      <c r="C139" s="11"/>
      <c r="D139" s="9"/>
      <c r="E139" s="9"/>
      <c r="F139" s="9"/>
      <c r="G139" s="9"/>
      <c r="H139" s="11"/>
      <c r="I139" s="11"/>
      <c r="J139" s="11"/>
      <c r="K139" s="11"/>
      <c r="L139" s="11"/>
      <c r="M139" s="9"/>
      <c r="N139" s="9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9"/>
      <c r="AK139" s="13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9"/>
      <c r="BH139" s="15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9"/>
      <c r="CF139" s="9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</row>
    <row r="140" ht="15.75" customHeight="1">
      <c r="A140" s="9"/>
      <c r="B140" s="11"/>
      <c r="C140" s="11"/>
      <c r="D140" s="9"/>
      <c r="E140" s="9"/>
      <c r="F140" s="9"/>
      <c r="G140" s="9"/>
      <c r="H140" s="11"/>
      <c r="I140" s="11"/>
      <c r="J140" s="11"/>
      <c r="K140" s="11"/>
      <c r="L140" s="11"/>
      <c r="M140" s="9"/>
      <c r="N140" s="9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9"/>
      <c r="AK140" s="13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9"/>
      <c r="BH140" s="15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9"/>
      <c r="CF140" s="9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</row>
    <row r="141" ht="15.75" customHeight="1">
      <c r="A141" s="9"/>
      <c r="B141" s="11"/>
      <c r="C141" s="11"/>
      <c r="D141" s="9"/>
      <c r="E141" s="9"/>
      <c r="F141" s="9"/>
      <c r="G141" s="9"/>
      <c r="H141" s="11"/>
      <c r="I141" s="11"/>
      <c r="J141" s="11"/>
      <c r="K141" s="11"/>
      <c r="L141" s="11"/>
      <c r="M141" s="9"/>
      <c r="N141" s="9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9"/>
      <c r="AK141" s="13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9"/>
      <c r="BH141" s="15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9"/>
      <c r="CF141" s="9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</row>
    <row r="142" ht="15.75" customHeight="1">
      <c r="A142" s="9"/>
      <c r="B142" s="11"/>
      <c r="C142" s="11"/>
      <c r="D142" s="9"/>
      <c r="E142" s="9"/>
      <c r="F142" s="9"/>
      <c r="G142" s="9"/>
      <c r="H142" s="11"/>
      <c r="I142" s="11"/>
      <c r="J142" s="11"/>
      <c r="K142" s="11"/>
      <c r="L142" s="11"/>
      <c r="M142" s="9"/>
      <c r="N142" s="9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9"/>
      <c r="AK142" s="13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9"/>
      <c r="BH142" s="15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9"/>
      <c r="CF142" s="9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</row>
    <row r="143" ht="15.75" customHeight="1">
      <c r="A143" s="9"/>
      <c r="B143" s="11"/>
      <c r="C143" s="11"/>
      <c r="D143" s="9"/>
      <c r="E143" s="9"/>
      <c r="F143" s="9"/>
      <c r="G143" s="9"/>
      <c r="H143" s="11"/>
      <c r="I143" s="11"/>
      <c r="J143" s="11"/>
      <c r="K143" s="11"/>
      <c r="L143" s="11"/>
      <c r="M143" s="9"/>
      <c r="N143" s="9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9"/>
      <c r="AK143" s="13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9"/>
      <c r="BH143" s="15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9"/>
      <c r="CF143" s="9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</row>
    <row r="144" ht="15.75" customHeight="1">
      <c r="A144" s="9"/>
      <c r="B144" s="11"/>
      <c r="C144" s="11"/>
      <c r="D144" s="9"/>
      <c r="E144" s="9"/>
      <c r="F144" s="9"/>
      <c r="G144" s="9"/>
      <c r="H144" s="11"/>
      <c r="I144" s="11"/>
      <c r="J144" s="11"/>
      <c r="K144" s="11"/>
      <c r="L144" s="11"/>
      <c r="M144" s="9"/>
      <c r="N144" s="9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9"/>
      <c r="AK144" s="13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9"/>
      <c r="BH144" s="15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9"/>
      <c r="CF144" s="9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</row>
    <row r="145" ht="15.75" customHeight="1">
      <c r="A145" s="9"/>
      <c r="B145" s="11"/>
      <c r="C145" s="11"/>
      <c r="D145" s="9"/>
      <c r="E145" s="9"/>
      <c r="F145" s="9"/>
      <c r="G145" s="9"/>
      <c r="H145" s="11"/>
      <c r="I145" s="11"/>
      <c r="J145" s="11"/>
      <c r="K145" s="11"/>
      <c r="L145" s="11"/>
      <c r="M145" s="9"/>
      <c r="N145" s="9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9"/>
      <c r="AK145" s="13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9"/>
      <c r="BH145" s="15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9"/>
      <c r="CF145" s="9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</row>
    <row r="146" ht="15.75" customHeight="1">
      <c r="A146" s="9"/>
      <c r="B146" s="11"/>
      <c r="C146" s="11"/>
      <c r="D146" s="9"/>
      <c r="E146" s="9"/>
      <c r="F146" s="9"/>
      <c r="G146" s="9"/>
      <c r="H146" s="11"/>
      <c r="I146" s="11"/>
      <c r="J146" s="11"/>
      <c r="K146" s="11"/>
      <c r="L146" s="11"/>
      <c r="M146" s="9"/>
      <c r="N146" s="9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9"/>
      <c r="AK146" s="13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9"/>
      <c r="BH146" s="15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9"/>
      <c r="CF146" s="9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</row>
    <row r="147" ht="15.75" customHeight="1">
      <c r="A147" s="9"/>
      <c r="B147" s="11"/>
      <c r="C147" s="11"/>
      <c r="D147" s="9"/>
      <c r="E147" s="9"/>
      <c r="F147" s="9"/>
      <c r="G147" s="9"/>
      <c r="H147" s="11"/>
      <c r="I147" s="11"/>
      <c r="J147" s="11"/>
      <c r="K147" s="11"/>
      <c r="L147" s="11"/>
      <c r="M147" s="9"/>
      <c r="N147" s="9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9"/>
      <c r="AK147" s="13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9"/>
      <c r="BH147" s="15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9"/>
      <c r="CF147" s="9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</row>
    <row r="148" ht="15.75" customHeight="1">
      <c r="A148" s="9"/>
      <c r="B148" s="11"/>
      <c r="C148" s="11"/>
      <c r="D148" s="9"/>
      <c r="E148" s="9"/>
      <c r="F148" s="9"/>
      <c r="G148" s="9"/>
      <c r="H148" s="11"/>
      <c r="I148" s="11"/>
      <c r="J148" s="11"/>
      <c r="K148" s="11"/>
      <c r="L148" s="11"/>
      <c r="M148" s="9"/>
      <c r="N148" s="9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9"/>
      <c r="AK148" s="13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9"/>
      <c r="BH148" s="15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9"/>
      <c r="CF148" s="9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</row>
    <row r="149" ht="15.75" customHeight="1">
      <c r="A149" s="9"/>
      <c r="B149" s="11"/>
      <c r="C149" s="11"/>
      <c r="D149" s="9"/>
      <c r="E149" s="9"/>
      <c r="F149" s="9"/>
      <c r="G149" s="9"/>
      <c r="H149" s="11"/>
      <c r="I149" s="11"/>
      <c r="J149" s="11"/>
      <c r="K149" s="11"/>
      <c r="L149" s="11"/>
      <c r="M149" s="9"/>
      <c r="N149" s="9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9"/>
      <c r="AK149" s="13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9"/>
      <c r="BH149" s="15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9"/>
      <c r="CF149" s="9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</row>
    <row r="150" ht="15.75" customHeight="1">
      <c r="A150" s="9"/>
      <c r="B150" s="11"/>
      <c r="C150" s="11"/>
      <c r="D150" s="9"/>
      <c r="E150" s="9"/>
      <c r="F150" s="9"/>
      <c r="G150" s="9"/>
      <c r="H150" s="11"/>
      <c r="I150" s="11"/>
      <c r="J150" s="11"/>
      <c r="K150" s="11"/>
      <c r="L150" s="11"/>
      <c r="M150" s="9"/>
      <c r="N150" s="9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9"/>
      <c r="AK150" s="13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9"/>
      <c r="BH150" s="15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9"/>
      <c r="CF150" s="9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</row>
    <row r="151" ht="15.75" customHeight="1">
      <c r="A151" s="9"/>
      <c r="B151" s="11"/>
      <c r="C151" s="11"/>
      <c r="D151" s="9"/>
      <c r="E151" s="9"/>
      <c r="F151" s="9"/>
      <c r="G151" s="9"/>
      <c r="H151" s="11"/>
      <c r="I151" s="11"/>
      <c r="J151" s="11"/>
      <c r="K151" s="11"/>
      <c r="L151" s="11"/>
      <c r="M151" s="9"/>
      <c r="N151" s="9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9"/>
      <c r="AK151" s="13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9"/>
      <c r="BH151" s="15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9"/>
      <c r="CF151" s="9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</row>
    <row r="152" ht="15.75" customHeight="1">
      <c r="A152" s="9"/>
      <c r="B152" s="11"/>
      <c r="C152" s="11"/>
      <c r="D152" s="9"/>
      <c r="E152" s="9"/>
      <c r="F152" s="9"/>
      <c r="G152" s="9"/>
      <c r="H152" s="11"/>
      <c r="I152" s="11"/>
      <c r="J152" s="11"/>
      <c r="K152" s="11"/>
      <c r="L152" s="11"/>
      <c r="M152" s="9"/>
      <c r="N152" s="9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9"/>
      <c r="AK152" s="13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9"/>
      <c r="BH152" s="15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9"/>
      <c r="CF152" s="9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</row>
    <row r="153" ht="15.75" customHeight="1">
      <c r="A153" s="9"/>
      <c r="B153" s="11"/>
      <c r="C153" s="11"/>
      <c r="D153" s="9"/>
      <c r="E153" s="9"/>
      <c r="F153" s="9"/>
      <c r="G153" s="9"/>
      <c r="H153" s="11"/>
      <c r="I153" s="11"/>
      <c r="J153" s="11"/>
      <c r="K153" s="11"/>
      <c r="L153" s="11"/>
      <c r="M153" s="9"/>
      <c r="N153" s="9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9"/>
      <c r="AK153" s="13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9"/>
      <c r="BH153" s="15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9"/>
      <c r="CF153" s="9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</row>
    <row r="154" ht="15.75" customHeight="1">
      <c r="A154" s="9"/>
      <c r="B154" s="11"/>
      <c r="C154" s="11"/>
      <c r="D154" s="9"/>
      <c r="E154" s="9"/>
      <c r="F154" s="9"/>
      <c r="G154" s="9"/>
      <c r="H154" s="11"/>
      <c r="I154" s="11"/>
      <c r="J154" s="11"/>
      <c r="K154" s="11"/>
      <c r="L154" s="11"/>
      <c r="M154" s="9"/>
      <c r="N154" s="9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9"/>
      <c r="AK154" s="13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9"/>
      <c r="BH154" s="15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9"/>
      <c r="CF154" s="9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</row>
    <row r="155" ht="15.75" customHeight="1">
      <c r="A155" s="9"/>
      <c r="B155" s="11"/>
      <c r="C155" s="11"/>
      <c r="D155" s="9"/>
      <c r="E155" s="9"/>
      <c r="F155" s="9"/>
      <c r="G155" s="9"/>
      <c r="H155" s="11"/>
      <c r="I155" s="11"/>
      <c r="J155" s="11"/>
      <c r="K155" s="11"/>
      <c r="L155" s="11"/>
      <c r="M155" s="9"/>
      <c r="N155" s="9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9"/>
      <c r="AK155" s="13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9"/>
      <c r="BH155" s="15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9"/>
      <c r="CF155" s="9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</row>
    <row r="156" ht="15.75" customHeight="1">
      <c r="A156" s="9"/>
      <c r="B156" s="11"/>
      <c r="C156" s="11"/>
      <c r="D156" s="9"/>
      <c r="E156" s="9"/>
      <c r="F156" s="9"/>
      <c r="G156" s="9"/>
      <c r="H156" s="11"/>
      <c r="I156" s="11"/>
      <c r="J156" s="11"/>
      <c r="K156" s="11"/>
      <c r="L156" s="11"/>
      <c r="M156" s="9"/>
      <c r="N156" s="9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9"/>
      <c r="AK156" s="13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9"/>
      <c r="BH156" s="15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9"/>
      <c r="CF156" s="9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</row>
    <row r="157" ht="15.75" customHeight="1">
      <c r="A157" s="9"/>
      <c r="B157" s="11"/>
      <c r="C157" s="11"/>
      <c r="D157" s="9"/>
      <c r="E157" s="9"/>
      <c r="F157" s="9"/>
      <c r="G157" s="9"/>
      <c r="H157" s="11"/>
      <c r="I157" s="11"/>
      <c r="J157" s="11"/>
      <c r="K157" s="11"/>
      <c r="L157" s="11"/>
      <c r="M157" s="9"/>
      <c r="N157" s="9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9"/>
      <c r="AK157" s="13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9"/>
      <c r="BH157" s="15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9"/>
      <c r="CF157" s="9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</row>
    <row r="158" ht="15.75" customHeight="1">
      <c r="A158" s="9"/>
      <c r="B158" s="11"/>
      <c r="C158" s="11"/>
      <c r="D158" s="9"/>
      <c r="E158" s="9"/>
      <c r="F158" s="9"/>
      <c r="G158" s="9"/>
      <c r="H158" s="11"/>
      <c r="I158" s="11"/>
      <c r="J158" s="11"/>
      <c r="K158" s="11"/>
      <c r="L158" s="11"/>
      <c r="M158" s="9"/>
      <c r="N158" s="9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9"/>
      <c r="AK158" s="13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9"/>
      <c r="BH158" s="15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9"/>
      <c r="CF158" s="9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</row>
    <row r="159" ht="15.75" customHeight="1">
      <c r="A159" s="9"/>
      <c r="B159" s="11"/>
      <c r="C159" s="11"/>
      <c r="D159" s="9"/>
      <c r="E159" s="9"/>
      <c r="F159" s="9"/>
      <c r="G159" s="9"/>
      <c r="H159" s="11"/>
      <c r="I159" s="11"/>
      <c r="J159" s="11"/>
      <c r="K159" s="11"/>
      <c r="L159" s="11"/>
      <c r="M159" s="9"/>
      <c r="N159" s="9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9"/>
      <c r="AK159" s="13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9"/>
      <c r="BH159" s="15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9"/>
      <c r="CF159" s="9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</row>
    <row r="160" ht="15.75" customHeight="1">
      <c r="A160" s="9"/>
      <c r="B160" s="11"/>
      <c r="C160" s="11"/>
      <c r="D160" s="9"/>
      <c r="E160" s="9"/>
      <c r="F160" s="9"/>
      <c r="G160" s="9"/>
      <c r="H160" s="11"/>
      <c r="I160" s="11"/>
      <c r="J160" s="11"/>
      <c r="K160" s="11"/>
      <c r="L160" s="11"/>
      <c r="M160" s="9"/>
      <c r="N160" s="9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9"/>
      <c r="AK160" s="13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9"/>
      <c r="BH160" s="15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9"/>
      <c r="CF160" s="9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  <c r="CS160" s="11"/>
      <c r="CT160" s="11"/>
    </row>
    <row r="161" ht="15.75" customHeight="1">
      <c r="A161" s="9"/>
      <c r="B161" s="11"/>
      <c r="C161" s="11"/>
      <c r="D161" s="9"/>
      <c r="E161" s="9"/>
      <c r="F161" s="9"/>
      <c r="G161" s="9"/>
      <c r="H161" s="11"/>
      <c r="I161" s="11"/>
      <c r="J161" s="11"/>
      <c r="K161" s="11"/>
      <c r="L161" s="11"/>
      <c r="M161" s="9"/>
      <c r="N161" s="9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9"/>
      <c r="AK161" s="13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9"/>
      <c r="BH161" s="15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9"/>
      <c r="CF161" s="9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</row>
    <row r="162" ht="15.75" customHeight="1">
      <c r="A162" s="9"/>
      <c r="B162" s="11"/>
      <c r="C162" s="11"/>
      <c r="D162" s="9"/>
      <c r="E162" s="9"/>
      <c r="F162" s="9"/>
      <c r="G162" s="9"/>
      <c r="H162" s="11"/>
      <c r="I162" s="11"/>
      <c r="J162" s="11"/>
      <c r="K162" s="11"/>
      <c r="L162" s="11"/>
      <c r="M162" s="9"/>
      <c r="N162" s="9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9"/>
      <c r="AK162" s="13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9"/>
      <c r="BH162" s="15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9"/>
      <c r="CF162" s="9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</row>
    <row r="163" ht="15.75" customHeight="1">
      <c r="A163" s="9"/>
      <c r="B163" s="11"/>
      <c r="C163" s="11"/>
      <c r="D163" s="9"/>
      <c r="E163" s="9"/>
      <c r="F163" s="9"/>
      <c r="G163" s="9"/>
      <c r="H163" s="11"/>
      <c r="I163" s="11"/>
      <c r="J163" s="11"/>
      <c r="K163" s="11"/>
      <c r="L163" s="11"/>
      <c r="M163" s="9"/>
      <c r="N163" s="9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9"/>
      <c r="AK163" s="13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9"/>
      <c r="BH163" s="15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9"/>
      <c r="CF163" s="9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</row>
    <row r="164" ht="15.75" customHeight="1">
      <c r="A164" s="9"/>
      <c r="B164" s="11"/>
      <c r="C164" s="11"/>
      <c r="D164" s="9"/>
      <c r="E164" s="9"/>
      <c r="F164" s="9"/>
      <c r="G164" s="9"/>
      <c r="H164" s="11"/>
      <c r="I164" s="11"/>
      <c r="J164" s="11"/>
      <c r="K164" s="11"/>
      <c r="L164" s="11"/>
      <c r="M164" s="9"/>
      <c r="N164" s="9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9"/>
      <c r="AK164" s="13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9"/>
      <c r="BH164" s="15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9"/>
      <c r="CF164" s="9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</row>
    <row r="165" ht="15.75" customHeight="1">
      <c r="A165" s="9"/>
      <c r="B165" s="11"/>
      <c r="C165" s="11"/>
      <c r="D165" s="9"/>
      <c r="E165" s="9"/>
      <c r="F165" s="9"/>
      <c r="G165" s="9"/>
      <c r="H165" s="11"/>
      <c r="I165" s="11"/>
      <c r="J165" s="11"/>
      <c r="K165" s="11"/>
      <c r="L165" s="11"/>
      <c r="M165" s="9"/>
      <c r="N165" s="9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9"/>
      <c r="AK165" s="13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9"/>
      <c r="BH165" s="15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9"/>
      <c r="CF165" s="9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</row>
    <row r="166" ht="15.75" customHeight="1">
      <c r="A166" s="9"/>
      <c r="B166" s="11"/>
      <c r="C166" s="11"/>
      <c r="D166" s="9"/>
      <c r="E166" s="9"/>
      <c r="F166" s="9"/>
      <c r="G166" s="9"/>
      <c r="H166" s="11"/>
      <c r="I166" s="11"/>
      <c r="J166" s="11"/>
      <c r="K166" s="11"/>
      <c r="L166" s="11"/>
      <c r="M166" s="9"/>
      <c r="N166" s="9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9"/>
      <c r="AK166" s="13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9"/>
      <c r="BH166" s="15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9"/>
      <c r="CF166" s="9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</row>
    <row r="167" ht="15.75" customHeight="1">
      <c r="A167" s="9"/>
      <c r="B167" s="11"/>
      <c r="C167" s="11"/>
      <c r="D167" s="9"/>
      <c r="E167" s="9"/>
      <c r="F167" s="9"/>
      <c r="G167" s="9"/>
      <c r="H167" s="11"/>
      <c r="I167" s="11"/>
      <c r="J167" s="11"/>
      <c r="K167" s="11"/>
      <c r="L167" s="11"/>
      <c r="M167" s="9"/>
      <c r="N167" s="9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9"/>
      <c r="AK167" s="13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9"/>
      <c r="BH167" s="15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9"/>
      <c r="CF167" s="9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</row>
    <row r="168" ht="15.75" customHeight="1">
      <c r="A168" s="9"/>
      <c r="B168" s="11"/>
      <c r="C168" s="11"/>
      <c r="D168" s="9"/>
      <c r="E168" s="9"/>
      <c r="F168" s="9"/>
      <c r="G168" s="9"/>
      <c r="H168" s="11"/>
      <c r="I168" s="11"/>
      <c r="J168" s="11"/>
      <c r="K168" s="11"/>
      <c r="L168" s="11"/>
      <c r="M168" s="9"/>
      <c r="N168" s="9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9"/>
      <c r="AK168" s="13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9"/>
      <c r="BH168" s="15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9"/>
      <c r="CF168" s="9"/>
      <c r="CG168" s="11"/>
      <c r="CH168" s="11"/>
      <c r="CI168" s="11"/>
      <c r="CJ168" s="11"/>
      <c r="CK168" s="11"/>
      <c r="CL168" s="11"/>
      <c r="CM168" s="11"/>
      <c r="CN168" s="11"/>
      <c r="CO168" s="11"/>
      <c r="CP168" s="11"/>
      <c r="CQ168" s="11"/>
      <c r="CR168" s="11"/>
      <c r="CS168" s="11"/>
      <c r="CT168" s="11"/>
    </row>
    <row r="169" ht="15.75" customHeight="1">
      <c r="A169" s="9"/>
      <c r="B169" s="11"/>
      <c r="C169" s="11"/>
      <c r="D169" s="9"/>
      <c r="E169" s="9"/>
      <c r="F169" s="9"/>
      <c r="G169" s="9"/>
      <c r="H169" s="11"/>
      <c r="I169" s="11"/>
      <c r="J169" s="11"/>
      <c r="K169" s="11"/>
      <c r="L169" s="11"/>
      <c r="M169" s="9"/>
      <c r="N169" s="9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9"/>
      <c r="AK169" s="13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9"/>
      <c r="BH169" s="15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9"/>
      <c r="CF169" s="9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</row>
    <row r="170" ht="15.75" customHeight="1">
      <c r="A170" s="9"/>
      <c r="B170" s="11"/>
      <c r="C170" s="11"/>
      <c r="D170" s="9"/>
      <c r="E170" s="9"/>
      <c r="F170" s="9"/>
      <c r="G170" s="9"/>
      <c r="H170" s="11"/>
      <c r="I170" s="11"/>
      <c r="J170" s="11"/>
      <c r="K170" s="11"/>
      <c r="L170" s="11"/>
      <c r="M170" s="9"/>
      <c r="N170" s="9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9"/>
      <c r="AK170" s="13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9"/>
      <c r="BH170" s="15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9"/>
      <c r="CF170" s="9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</row>
    <row r="171" ht="15.75" customHeight="1">
      <c r="A171" s="9"/>
      <c r="B171" s="11"/>
      <c r="C171" s="11"/>
      <c r="D171" s="9"/>
      <c r="E171" s="9"/>
      <c r="F171" s="9"/>
      <c r="G171" s="9"/>
      <c r="H171" s="11"/>
      <c r="I171" s="11"/>
      <c r="J171" s="11"/>
      <c r="K171" s="11"/>
      <c r="L171" s="11"/>
      <c r="M171" s="9"/>
      <c r="N171" s="9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9"/>
      <c r="AK171" s="13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9"/>
      <c r="BH171" s="15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9"/>
      <c r="CF171" s="9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</row>
    <row r="172" ht="15.75" customHeight="1">
      <c r="A172" s="9"/>
      <c r="B172" s="11"/>
      <c r="C172" s="11"/>
      <c r="D172" s="9"/>
      <c r="E172" s="9"/>
      <c r="F172" s="9"/>
      <c r="G172" s="9"/>
      <c r="H172" s="11"/>
      <c r="I172" s="11"/>
      <c r="J172" s="11"/>
      <c r="K172" s="11"/>
      <c r="L172" s="11"/>
      <c r="M172" s="9"/>
      <c r="N172" s="9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9"/>
      <c r="AK172" s="13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9"/>
      <c r="BH172" s="15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9"/>
      <c r="CF172" s="9"/>
      <c r="CG172" s="11"/>
      <c r="CH172" s="11"/>
      <c r="CI172" s="11"/>
      <c r="CJ172" s="11"/>
      <c r="CK172" s="11"/>
      <c r="CL172" s="11"/>
      <c r="CM172" s="11"/>
      <c r="CN172" s="11"/>
      <c r="CO172" s="11"/>
      <c r="CP172" s="11"/>
      <c r="CQ172" s="11"/>
      <c r="CR172" s="11"/>
      <c r="CS172" s="11"/>
      <c r="CT172" s="11"/>
    </row>
    <row r="173" ht="15.75" customHeight="1">
      <c r="A173" s="9"/>
      <c r="B173" s="11"/>
      <c r="C173" s="11"/>
      <c r="D173" s="9"/>
      <c r="E173" s="9"/>
      <c r="F173" s="9"/>
      <c r="G173" s="9"/>
      <c r="H173" s="11"/>
      <c r="I173" s="11"/>
      <c r="J173" s="11"/>
      <c r="K173" s="11"/>
      <c r="L173" s="11"/>
      <c r="M173" s="9"/>
      <c r="N173" s="9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9"/>
      <c r="AK173" s="13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9"/>
      <c r="BH173" s="15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9"/>
      <c r="CF173" s="9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</row>
    <row r="174" ht="15.75" customHeight="1">
      <c r="A174" s="9"/>
      <c r="B174" s="11"/>
      <c r="C174" s="11"/>
      <c r="D174" s="9"/>
      <c r="E174" s="9"/>
      <c r="F174" s="9"/>
      <c r="G174" s="9"/>
      <c r="H174" s="11"/>
      <c r="I174" s="11"/>
      <c r="J174" s="11"/>
      <c r="K174" s="11"/>
      <c r="L174" s="11"/>
      <c r="M174" s="9"/>
      <c r="N174" s="9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9"/>
      <c r="AK174" s="13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9"/>
      <c r="BH174" s="15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9"/>
      <c r="CF174" s="9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/>
      <c r="CQ174" s="11"/>
      <c r="CR174" s="11"/>
      <c r="CS174" s="11"/>
      <c r="CT174" s="11"/>
    </row>
    <row r="175" ht="15.75" customHeight="1">
      <c r="A175" s="9"/>
      <c r="B175" s="11"/>
      <c r="C175" s="11"/>
      <c r="D175" s="9"/>
      <c r="E175" s="9"/>
      <c r="F175" s="9"/>
      <c r="G175" s="9"/>
      <c r="H175" s="11"/>
      <c r="I175" s="11"/>
      <c r="J175" s="11"/>
      <c r="K175" s="11"/>
      <c r="L175" s="11"/>
      <c r="M175" s="9"/>
      <c r="N175" s="9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9"/>
      <c r="AK175" s="13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9"/>
      <c r="BH175" s="15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9"/>
      <c r="CF175" s="9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</row>
    <row r="176" ht="15.75" customHeight="1">
      <c r="A176" s="9"/>
      <c r="B176" s="11"/>
      <c r="C176" s="11"/>
      <c r="D176" s="9"/>
      <c r="E176" s="9"/>
      <c r="F176" s="9"/>
      <c r="G176" s="9"/>
      <c r="H176" s="11"/>
      <c r="I176" s="11"/>
      <c r="J176" s="11"/>
      <c r="K176" s="11"/>
      <c r="L176" s="11"/>
      <c r="M176" s="9"/>
      <c r="N176" s="9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9"/>
      <c r="AK176" s="13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9"/>
      <c r="BH176" s="15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9"/>
      <c r="CF176" s="9"/>
      <c r="CG176" s="11"/>
      <c r="CH176" s="11"/>
      <c r="CI176" s="11"/>
      <c r="CJ176" s="11"/>
      <c r="CK176" s="11"/>
      <c r="CL176" s="11"/>
      <c r="CM176" s="11"/>
      <c r="CN176" s="11"/>
      <c r="CO176" s="11"/>
      <c r="CP176" s="11"/>
      <c r="CQ176" s="11"/>
      <c r="CR176" s="11"/>
      <c r="CS176" s="11"/>
      <c r="CT176" s="11"/>
    </row>
    <row r="177" ht="15.75" customHeight="1">
      <c r="A177" s="9"/>
      <c r="B177" s="11"/>
      <c r="C177" s="11"/>
      <c r="D177" s="9"/>
      <c r="E177" s="9"/>
      <c r="F177" s="9"/>
      <c r="G177" s="9"/>
      <c r="H177" s="11"/>
      <c r="I177" s="11"/>
      <c r="J177" s="11"/>
      <c r="K177" s="11"/>
      <c r="L177" s="11"/>
      <c r="M177" s="9"/>
      <c r="N177" s="9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9"/>
      <c r="AK177" s="13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9"/>
      <c r="BH177" s="15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9"/>
      <c r="CF177" s="9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</row>
    <row r="178" ht="15.75" customHeight="1">
      <c r="A178" s="9"/>
      <c r="B178" s="11"/>
      <c r="C178" s="11"/>
      <c r="D178" s="9"/>
      <c r="E178" s="9"/>
      <c r="F178" s="9"/>
      <c r="G178" s="9"/>
      <c r="H178" s="11"/>
      <c r="I178" s="11"/>
      <c r="J178" s="11"/>
      <c r="K178" s="11"/>
      <c r="L178" s="11"/>
      <c r="M178" s="9"/>
      <c r="N178" s="9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9"/>
      <c r="AK178" s="13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9"/>
      <c r="BH178" s="15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9"/>
      <c r="CF178" s="9"/>
      <c r="CG178" s="11"/>
      <c r="CH178" s="11"/>
      <c r="CI178" s="11"/>
      <c r="CJ178" s="11"/>
      <c r="CK178" s="11"/>
      <c r="CL178" s="11"/>
      <c r="CM178" s="11"/>
      <c r="CN178" s="11"/>
      <c r="CO178" s="11"/>
      <c r="CP178" s="11"/>
      <c r="CQ178" s="11"/>
      <c r="CR178" s="11"/>
      <c r="CS178" s="11"/>
      <c r="CT178" s="11"/>
    </row>
    <row r="179" ht="15.75" customHeight="1">
      <c r="A179" s="9"/>
      <c r="B179" s="11"/>
      <c r="C179" s="11"/>
      <c r="D179" s="9"/>
      <c r="E179" s="9"/>
      <c r="F179" s="9"/>
      <c r="G179" s="9"/>
      <c r="H179" s="11"/>
      <c r="I179" s="11"/>
      <c r="J179" s="11"/>
      <c r="K179" s="11"/>
      <c r="L179" s="11"/>
      <c r="M179" s="9"/>
      <c r="N179" s="9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9"/>
      <c r="AK179" s="13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9"/>
      <c r="BH179" s="15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9"/>
      <c r="CF179" s="9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</row>
    <row r="180" ht="15.75" customHeight="1">
      <c r="A180" s="9"/>
      <c r="B180" s="11"/>
      <c r="C180" s="11"/>
      <c r="D180" s="9"/>
      <c r="E180" s="9"/>
      <c r="F180" s="9"/>
      <c r="G180" s="9"/>
      <c r="H180" s="11"/>
      <c r="I180" s="11"/>
      <c r="J180" s="11"/>
      <c r="K180" s="11"/>
      <c r="L180" s="11"/>
      <c r="M180" s="9"/>
      <c r="N180" s="9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9"/>
      <c r="AK180" s="13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9"/>
      <c r="BH180" s="15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9"/>
      <c r="CF180" s="9"/>
      <c r="CG180" s="11"/>
      <c r="CH180" s="11"/>
      <c r="CI180" s="11"/>
      <c r="CJ180" s="11"/>
      <c r="CK180" s="11"/>
      <c r="CL180" s="11"/>
      <c r="CM180" s="11"/>
      <c r="CN180" s="11"/>
      <c r="CO180" s="11"/>
      <c r="CP180" s="11"/>
      <c r="CQ180" s="11"/>
      <c r="CR180" s="11"/>
      <c r="CS180" s="11"/>
      <c r="CT180" s="11"/>
    </row>
    <row r="181" ht="15.75" customHeight="1">
      <c r="A181" s="9"/>
      <c r="B181" s="11"/>
      <c r="C181" s="11"/>
      <c r="D181" s="9"/>
      <c r="E181" s="9"/>
      <c r="F181" s="9"/>
      <c r="G181" s="9"/>
      <c r="H181" s="11"/>
      <c r="I181" s="11"/>
      <c r="J181" s="11"/>
      <c r="K181" s="11"/>
      <c r="L181" s="11"/>
      <c r="M181" s="9"/>
      <c r="N181" s="9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9"/>
      <c r="AK181" s="13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9"/>
      <c r="BH181" s="15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9"/>
      <c r="CF181" s="9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</row>
    <row r="182" ht="15.75" customHeight="1">
      <c r="A182" s="9"/>
      <c r="B182" s="11"/>
      <c r="C182" s="11"/>
      <c r="D182" s="9"/>
      <c r="E182" s="9"/>
      <c r="F182" s="9"/>
      <c r="G182" s="9"/>
      <c r="H182" s="11"/>
      <c r="I182" s="11"/>
      <c r="J182" s="11"/>
      <c r="K182" s="11"/>
      <c r="L182" s="11"/>
      <c r="M182" s="9"/>
      <c r="N182" s="9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9"/>
      <c r="AK182" s="13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9"/>
      <c r="BH182" s="15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9"/>
      <c r="CF182" s="9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</row>
    <row r="183" ht="15.75" customHeight="1">
      <c r="A183" s="9"/>
      <c r="B183" s="11"/>
      <c r="C183" s="11"/>
      <c r="D183" s="9"/>
      <c r="E183" s="9"/>
      <c r="F183" s="9"/>
      <c r="G183" s="9"/>
      <c r="H183" s="11"/>
      <c r="I183" s="11"/>
      <c r="J183" s="11"/>
      <c r="K183" s="11"/>
      <c r="L183" s="11"/>
      <c r="M183" s="9"/>
      <c r="N183" s="9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9"/>
      <c r="AK183" s="13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9"/>
      <c r="BH183" s="15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9"/>
      <c r="CF183" s="9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</row>
    <row r="184" ht="15.75" customHeight="1">
      <c r="A184" s="9"/>
      <c r="B184" s="11"/>
      <c r="C184" s="11"/>
      <c r="D184" s="9"/>
      <c r="E184" s="9"/>
      <c r="F184" s="9"/>
      <c r="G184" s="9"/>
      <c r="H184" s="11"/>
      <c r="I184" s="11"/>
      <c r="J184" s="11"/>
      <c r="K184" s="11"/>
      <c r="L184" s="11"/>
      <c r="M184" s="9"/>
      <c r="N184" s="9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9"/>
      <c r="AK184" s="13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9"/>
      <c r="BH184" s="15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9"/>
      <c r="CF184" s="9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</row>
    <row r="185" ht="15.75" customHeight="1">
      <c r="A185" s="9"/>
      <c r="B185" s="11"/>
      <c r="C185" s="11"/>
      <c r="D185" s="9"/>
      <c r="E185" s="9"/>
      <c r="F185" s="9"/>
      <c r="G185" s="9"/>
      <c r="H185" s="11"/>
      <c r="I185" s="11"/>
      <c r="J185" s="11"/>
      <c r="K185" s="11"/>
      <c r="L185" s="11"/>
      <c r="M185" s="9"/>
      <c r="N185" s="9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9"/>
      <c r="AK185" s="13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9"/>
      <c r="BH185" s="15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9"/>
      <c r="CF185" s="9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</row>
    <row r="186" ht="15.75" customHeight="1">
      <c r="A186" s="9"/>
      <c r="B186" s="11"/>
      <c r="C186" s="11"/>
      <c r="D186" s="9"/>
      <c r="E186" s="9"/>
      <c r="F186" s="9"/>
      <c r="G186" s="9"/>
      <c r="H186" s="11"/>
      <c r="I186" s="11"/>
      <c r="J186" s="11"/>
      <c r="K186" s="11"/>
      <c r="L186" s="11"/>
      <c r="M186" s="9"/>
      <c r="N186" s="9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9"/>
      <c r="AK186" s="13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9"/>
      <c r="BH186" s="15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9"/>
      <c r="CF186" s="9"/>
      <c r="CG186" s="11"/>
      <c r="CH186" s="11"/>
      <c r="CI186" s="11"/>
      <c r="CJ186" s="11"/>
      <c r="CK186" s="11"/>
      <c r="CL186" s="11"/>
      <c r="CM186" s="11"/>
      <c r="CN186" s="11"/>
      <c r="CO186" s="11"/>
      <c r="CP186" s="11"/>
      <c r="CQ186" s="11"/>
      <c r="CR186" s="11"/>
      <c r="CS186" s="11"/>
      <c r="CT186" s="11"/>
    </row>
    <row r="187" ht="15.75" customHeight="1">
      <c r="A187" s="9"/>
      <c r="B187" s="11"/>
      <c r="C187" s="11"/>
      <c r="D187" s="9"/>
      <c r="E187" s="9"/>
      <c r="F187" s="9"/>
      <c r="G187" s="9"/>
      <c r="H187" s="11"/>
      <c r="I187" s="11"/>
      <c r="J187" s="11"/>
      <c r="K187" s="11"/>
      <c r="L187" s="11"/>
      <c r="M187" s="9"/>
      <c r="N187" s="9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9"/>
      <c r="AK187" s="13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9"/>
      <c r="BH187" s="15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9"/>
      <c r="CF187" s="9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</row>
    <row r="188" ht="15.75" customHeight="1">
      <c r="A188" s="9"/>
      <c r="B188" s="11"/>
      <c r="C188" s="11"/>
      <c r="D188" s="9"/>
      <c r="E188" s="9"/>
      <c r="F188" s="9"/>
      <c r="G188" s="9"/>
      <c r="H188" s="11"/>
      <c r="I188" s="11"/>
      <c r="J188" s="11"/>
      <c r="K188" s="11"/>
      <c r="L188" s="11"/>
      <c r="M188" s="9"/>
      <c r="N188" s="9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9"/>
      <c r="AK188" s="13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9"/>
      <c r="BH188" s="15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9"/>
      <c r="CF188" s="9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  <c r="CT188" s="11"/>
    </row>
    <row r="189" ht="15.75" customHeight="1">
      <c r="A189" s="9"/>
      <c r="B189" s="11"/>
      <c r="C189" s="11"/>
      <c r="D189" s="9"/>
      <c r="E189" s="9"/>
      <c r="F189" s="9"/>
      <c r="G189" s="9"/>
      <c r="H189" s="11"/>
      <c r="I189" s="11"/>
      <c r="J189" s="11"/>
      <c r="K189" s="11"/>
      <c r="L189" s="11"/>
      <c r="M189" s="9"/>
      <c r="N189" s="9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9"/>
      <c r="AK189" s="13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9"/>
      <c r="BH189" s="15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9"/>
      <c r="CF189" s="9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</row>
    <row r="190" ht="15.75" customHeight="1">
      <c r="A190" s="9"/>
      <c r="B190" s="11"/>
      <c r="C190" s="11"/>
      <c r="D190" s="9"/>
      <c r="E190" s="9"/>
      <c r="F190" s="9"/>
      <c r="G190" s="9"/>
      <c r="H190" s="11"/>
      <c r="I190" s="11"/>
      <c r="J190" s="11"/>
      <c r="K190" s="11"/>
      <c r="L190" s="11"/>
      <c r="M190" s="9"/>
      <c r="N190" s="9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9"/>
      <c r="AK190" s="13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9"/>
      <c r="BH190" s="15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9"/>
      <c r="CF190" s="9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</row>
    <row r="191" ht="15.75" customHeight="1">
      <c r="A191" s="9"/>
      <c r="B191" s="11"/>
      <c r="C191" s="11"/>
      <c r="D191" s="9"/>
      <c r="E191" s="9"/>
      <c r="F191" s="9"/>
      <c r="G191" s="9"/>
      <c r="H191" s="11"/>
      <c r="I191" s="11"/>
      <c r="J191" s="11"/>
      <c r="K191" s="11"/>
      <c r="L191" s="11"/>
      <c r="M191" s="9"/>
      <c r="N191" s="9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9"/>
      <c r="AK191" s="13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9"/>
      <c r="BH191" s="15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9"/>
      <c r="CF191" s="9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</row>
    <row r="192" ht="15.75" customHeight="1">
      <c r="A192" s="9"/>
      <c r="B192" s="11"/>
      <c r="C192" s="11"/>
      <c r="D192" s="9"/>
      <c r="E192" s="9"/>
      <c r="F192" s="9"/>
      <c r="G192" s="9"/>
      <c r="H192" s="11"/>
      <c r="I192" s="11"/>
      <c r="J192" s="11"/>
      <c r="K192" s="11"/>
      <c r="L192" s="11"/>
      <c r="M192" s="9"/>
      <c r="N192" s="9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9"/>
      <c r="AK192" s="13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9"/>
      <c r="BH192" s="15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9"/>
      <c r="CF192" s="9"/>
      <c r="CG192" s="11"/>
      <c r="CH192" s="11"/>
      <c r="CI192" s="11"/>
      <c r="CJ192" s="11"/>
      <c r="CK192" s="11"/>
      <c r="CL192" s="11"/>
      <c r="CM192" s="11"/>
      <c r="CN192" s="11"/>
      <c r="CO192" s="11"/>
      <c r="CP192" s="11"/>
      <c r="CQ192" s="11"/>
      <c r="CR192" s="11"/>
      <c r="CS192" s="11"/>
      <c r="CT192" s="11"/>
    </row>
    <row r="193" ht="15.75" customHeight="1">
      <c r="A193" s="9"/>
      <c r="B193" s="11"/>
      <c r="C193" s="11"/>
      <c r="D193" s="9"/>
      <c r="E193" s="9"/>
      <c r="F193" s="9"/>
      <c r="G193" s="9"/>
      <c r="H193" s="11"/>
      <c r="I193" s="11"/>
      <c r="J193" s="11"/>
      <c r="K193" s="11"/>
      <c r="L193" s="11"/>
      <c r="M193" s="9"/>
      <c r="N193" s="9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9"/>
      <c r="AK193" s="13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9"/>
      <c r="BH193" s="15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9"/>
      <c r="CF193" s="9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</row>
    <row r="194" ht="15.75" customHeight="1">
      <c r="A194" s="9"/>
      <c r="B194" s="11"/>
      <c r="C194" s="11"/>
      <c r="D194" s="9"/>
      <c r="E194" s="9"/>
      <c r="F194" s="9"/>
      <c r="G194" s="9"/>
      <c r="H194" s="11"/>
      <c r="I194" s="11"/>
      <c r="J194" s="11"/>
      <c r="K194" s="11"/>
      <c r="L194" s="11"/>
      <c r="M194" s="9"/>
      <c r="N194" s="9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9"/>
      <c r="AK194" s="13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9"/>
      <c r="BH194" s="15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9"/>
      <c r="CF194" s="9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</row>
    <row r="195" ht="15.75" customHeight="1">
      <c r="A195" s="9"/>
      <c r="B195" s="11"/>
      <c r="C195" s="11"/>
      <c r="D195" s="9"/>
      <c r="E195" s="9"/>
      <c r="F195" s="9"/>
      <c r="G195" s="9"/>
      <c r="H195" s="11"/>
      <c r="I195" s="11"/>
      <c r="J195" s="11"/>
      <c r="K195" s="11"/>
      <c r="L195" s="11"/>
      <c r="M195" s="9"/>
      <c r="N195" s="9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9"/>
      <c r="AK195" s="13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9"/>
      <c r="BH195" s="15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9"/>
      <c r="CF195" s="9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</row>
    <row r="196" ht="15.75" customHeight="1">
      <c r="A196" s="9"/>
      <c r="B196" s="11"/>
      <c r="C196" s="11"/>
      <c r="D196" s="9"/>
      <c r="E196" s="9"/>
      <c r="F196" s="9"/>
      <c r="G196" s="9"/>
      <c r="H196" s="11"/>
      <c r="I196" s="11"/>
      <c r="J196" s="11"/>
      <c r="K196" s="11"/>
      <c r="L196" s="11"/>
      <c r="M196" s="9"/>
      <c r="N196" s="9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9"/>
      <c r="AK196" s="13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9"/>
      <c r="BH196" s="15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9"/>
      <c r="CF196" s="9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</row>
    <row r="197" ht="15.75" customHeight="1">
      <c r="A197" s="9"/>
      <c r="B197" s="11"/>
      <c r="C197" s="11"/>
      <c r="D197" s="9"/>
      <c r="E197" s="9"/>
      <c r="F197" s="9"/>
      <c r="G197" s="9"/>
      <c r="H197" s="11"/>
      <c r="I197" s="11"/>
      <c r="J197" s="11"/>
      <c r="K197" s="11"/>
      <c r="L197" s="11"/>
      <c r="M197" s="9"/>
      <c r="N197" s="9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9"/>
      <c r="AK197" s="13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9"/>
      <c r="BH197" s="15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9"/>
      <c r="CF197" s="9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</row>
    <row r="198" ht="15.75" customHeight="1">
      <c r="A198" s="9"/>
      <c r="B198" s="11"/>
      <c r="C198" s="11"/>
      <c r="D198" s="9"/>
      <c r="E198" s="9"/>
      <c r="F198" s="9"/>
      <c r="G198" s="9"/>
      <c r="H198" s="11"/>
      <c r="I198" s="11"/>
      <c r="J198" s="11"/>
      <c r="K198" s="11"/>
      <c r="L198" s="11"/>
      <c r="M198" s="9"/>
      <c r="N198" s="9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9"/>
      <c r="AK198" s="13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9"/>
      <c r="BH198" s="15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9"/>
      <c r="CF198" s="9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</row>
    <row r="199" ht="15.75" customHeight="1">
      <c r="A199" s="9"/>
      <c r="B199" s="11"/>
      <c r="C199" s="11"/>
      <c r="D199" s="9"/>
      <c r="E199" s="9"/>
      <c r="F199" s="9"/>
      <c r="G199" s="9"/>
      <c r="H199" s="11"/>
      <c r="I199" s="11"/>
      <c r="J199" s="11"/>
      <c r="K199" s="11"/>
      <c r="L199" s="11"/>
      <c r="M199" s="9"/>
      <c r="N199" s="9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9"/>
      <c r="AK199" s="13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9"/>
      <c r="BH199" s="15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9"/>
      <c r="CF199" s="9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</row>
    <row r="200" ht="15.75" customHeight="1">
      <c r="A200" s="9"/>
      <c r="B200" s="11"/>
      <c r="C200" s="11"/>
      <c r="D200" s="9"/>
      <c r="E200" s="9"/>
      <c r="F200" s="9"/>
      <c r="G200" s="9"/>
      <c r="H200" s="11"/>
      <c r="I200" s="11"/>
      <c r="J200" s="11"/>
      <c r="K200" s="11"/>
      <c r="L200" s="11"/>
      <c r="M200" s="9"/>
      <c r="N200" s="9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9"/>
      <c r="AK200" s="13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9"/>
      <c r="BH200" s="15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9"/>
      <c r="CF200" s="9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</row>
    <row r="201" ht="15.75" customHeight="1">
      <c r="A201" s="9"/>
      <c r="B201" s="11"/>
      <c r="C201" s="11"/>
      <c r="D201" s="9"/>
      <c r="E201" s="9"/>
      <c r="F201" s="9"/>
      <c r="G201" s="9"/>
      <c r="H201" s="11"/>
      <c r="I201" s="11"/>
      <c r="J201" s="11"/>
      <c r="K201" s="11"/>
      <c r="L201" s="11"/>
      <c r="M201" s="9"/>
      <c r="N201" s="9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9"/>
      <c r="AK201" s="13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9"/>
      <c r="BH201" s="15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9"/>
      <c r="CF201" s="9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</row>
    <row r="202" ht="15.75" customHeight="1">
      <c r="A202" s="9"/>
      <c r="B202" s="11"/>
      <c r="C202" s="11"/>
      <c r="D202" s="9"/>
      <c r="E202" s="9"/>
      <c r="F202" s="9"/>
      <c r="G202" s="9"/>
      <c r="H202" s="11"/>
      <c r="I202" s="11"/>
      <c r="J202" s="11"/>
      <c r="K202" s="11"/>
      <c r="L202" s="11"/>
      <c r="M202" s="9"/>
      <c r="N202" s="9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9"/>
      <c r="AK202" s="13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9"/>
      <c r="BH202" s="15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9"/>
      <c r="CF202" s="9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</row>
    <row r="203" ht="15.75" customHeight="1">
      <c r="A203" s="9"/>
      <c r="B203" s="11"/>
      <c r="C203" s="11"/>
      <c r="D203" s="9"/>
      <c r="E203" s="9"/>
      <c r="F203" s="9"/>
      <c r="G203" s="9"/>
      <c r="H203" s="11"/>
      <c r="I203" s="11"/>
      <c r="J203" s="11"/>
      <c r="K203" s="11"/>
      <c r="L203" s="11"/>
      <c r="M203" s="9"/>
      <c r="N203" s="9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9"/>
      <c r="AK203" s="13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9"/>
      <c r="BH203" s="15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9"/>
      <c r="CF203" s="9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</row>
    <row r="204" ht="15.75" customHeight="1">
      <c r="A204" s="9"/>
      <c r="B204" s="11"/>
      <c r="C204" s="11"/>
      <c r="D204" s="9"/>
      <c r="E204" s="9"/>
      <c r="F204" s="9"/>
      <c r="G204" s="9"/>
      <c r="H204" s="11"/>
      <c r="I204" s="11"/>
      <c r="J204" s="11"/>
      <c r="K204" s="11"/>
      <c r="L204" s="11"/>
      <c r="M204" s="9"/>
      <c r="N204" s="9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9"/>
      <c r="AK204" s="13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9"/>
      <c r="BH204" s="15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9"/>
      <c r="CF204" s="9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</row>
    <row r="205" ht="15.75" customHeight="1">
      <c r="A205" s="9"/>
      <c r="B205" s="11"/>
      <c r="C205" s="11"/>
      <c r="D205" s="9"/>
      <c r="E205" s="9"/>
      <c r="F205" s="9"/>
      <c r="G205" s="9"/>
      <c r="H205" s="11"/>
      <c r="I205" s="11"/>
      <c r="J205" s="11"/>
      <c r="K205" s="11"/>
      <c r="L205" s="11"/>
      <c r="M205" s="9"/>
      <c r="N205" s="9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9"/>
      <c r="AK205" s="13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9"/>
      <c r="BH205" s="15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9"/>
      <c r="CF205" s="9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</row>
    <row r="206" ht="15.75" customHeight="1">
      <c r="A206" s="9"/>
      <c r="B206" s="11"/>
      <c r="C206" s="11"/>
      <c r="D206" s="9"/>
      <c r="E206" s="9"/>
      <c r="F206" s="9"/>
      <c r="G206" s="9"/>
      <c r="H206" s="11"/>
      <c r="I206" s="11"/>
      <c r="J206" s="11"/>
      <c r="K206" s="11"/>
      <c r="L206" s="11"/>
      <c r="M206" s="9"/>
      <c r="N206" s="9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9"/>
      <c r="AK206" s="13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9"/>
      <c r="BH206" s="15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9"/>
      <c r="CF206" s="9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</row>
    <row r="207" ht="15.75" customHeight="1">
      <c r="A207" s="9"/>
      <c r="B207" s="11"/>
      <c r="C207" s="11"/>
      <c r="D207" s="9"/>
      <c r="E207" s="9"/>
      <c r="F207" s="9"/>
      <c r="G207" s="9"/>
      <c r="H207" s="11"/>
      <c r="I207" s="11"/>
      <c r="J207" s="11"/>
      <c r="K207" s="11"/>
      <c r="L207" s="11"/>
      <c r="M207" s="9"/>
      <c r="N207" s="9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9"/>
      <c r="AK207" s="13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9"/>
      <c r="BH207" s="15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9"/>
      <c r="CF207" s="9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</row>
    <row r="208" ht="15.75" customHeight="1">
      <c r="A208" s="9"/>
      <c r="B208" s="11"/>
      <c r="C208" s="11"/>
      <c r="D208" s="9"/>
      <c r="E208" s="9"/>
      <c r="F208" s="9"/>
      <c r="G208" s="9"/>
      <c r="H208" s="11"/>
      <c r="I208" s="11"/>
      <c r="J208" s="11"/>
      <c r="K208" s="11"/>
      <c r="L208" s="11"/>
      <c r="M208" s="9"/>
      <c r="N208" s="9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9"/>
      <c r="AK208" s="13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9"/>
      <c r="BH208" s="15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9"/>
      <c r="CF208" s="9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</row>
    <row r="209" ht="15.75" customHeight="1">
      <c r="A209" s="9"/>
      <c r="B209" s="11"/>
      <c r="C209" s="11"/>
      <c r="D209" s="9"/>
      <c r="E209" s="9"/>
      <c r="F209" s="9"/>
      <c r="G209" s="9"/>
      <c r="H209" s="11"/>
      <c r="I209" s="11"/>
      <c r="J209" s="11"/>
      <c r="K209" s="11"/>
      <c r="L209" s="11"/>
      <c r="M209" s="9"/>
      <c r="N209" s="9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9"/>
      <c r="AK209" s="13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9"/>
      <c r="BH209" s="15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9"/>
      <c r="CF209" s="9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</row>
    <row r="210" ht="15.75" customHeight="1">
      <c r="A210" s="9"/>
      <c r="B210" s="11"/>
      <c r="C210" s="11"/>
      <c r="D210" s="9"/>
      <c r="E210" s="9"/>
      <c r="F210" s="9"/>
      <c r="G210" s="9"/>
      <c r="H210" s="11"/>
      <c r="I210" s="11"/>
      <c r="J210" s="11"/>
      <c r="K210" s="11"/>
      <c r="L210" s="11"/>
      <c r="M210" s="9"/>
      <c r="N210" s="9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9"/>
      <c r="AK210" s="13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9"/>
      <c r="BH210" s="15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9"/>
      <c r="CF210" s="9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</row>
    <row r="211" ht="15.75" customHeight="1">
      <c r="A211" s="9"/>
      <c r="B211" s="11"/>
      <c r="C211" s="11"/>
      <c r="D211" s="9"/>
      <c r="E211" s="9"/>
      <c r="F211" s="9"/>
      <c r="G211" s="9"/>
      <c r="H211" s="11"/>
      <c r="I211" s="11"/>
      <c r="J211" s="11"/>
      <c r="K211" s="11"/>
      <c r="L211" s="11"/>
      <c r="M211" s="9"/>
      <c r="N211" s="9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9"/>
      <c r="AK211" s="13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9"/>
      <c r="BH211" s="15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9"/>
      <c r="CF211" s="9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</row>
    <row r="212" ht="15.75" customHeight="1">
      <c r="A212" s="9"/>
      <c r="B212" s="11"/>
      <c r="C212" s="11"/>
      <c r="D212" s="9"/>
      <c r="E212" s="9"/>
      <c r="F212" s="9"/>
      <c r="G212" s="9"/>
      <c r="H212" s="11"/>
      <c r="I212" s="11"/>
      <c r="J212" s="11"/>
      <c r="K212" s="11"/>
      <c r="L212" s="11"/>
      <c r="M212" s="9"/>
      <c r="N212" s="9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9"/>
      <c r="AK212" s="13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9"/>
      <c r="BH212" s="15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9"/>
      <c r="CF212" s="9"/>
      <c r="CG212" s="11"/>
      <c r="CH212" s="11"/>
      <c r="CI212" s="11"/>
      <c r="CJ212" s="11"/>
      <c r="CK212" s="11"/>
      <c r="CL212" s="11"/>
      <c r="CM212" s="11"/>
      <c r="CN212" s="11"/>
      <c r="CO212" s="11"/>
      <c r="CP212" s="11"/>
      <c r="CQ212" s="11"/>
      <c r="CR212" s="11"/>
      <c r="CS212" s="11"/>
      <c r="CT212" s="11"/>
    </row>
    <row r="213" ht="15.75" customHeight="1">
      <c r="A213" s="9"/>
      <c r="B213" s="11"/>
      <c r="C213" s="11"/>
      <c r="D213" s="9"/>
      <c r="E213" s="9"/>
      <c r="F213" s="9"/>
      <c r="G213" s="9"/>
      <c r="H213" s="11"/>
      <c r="I213" s="11"/>
      <c r="J213" s="11"/>
      <c r="K213" s="11"/>
      <c r="L213" s="11"/>
      <c r="M213" s="9"/>
      <c r="N213" s="9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9"/>
      <c r="AK213" s="13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9"/>
      <c r="BH213" s="15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9"/>
      <c r="CF213" s="9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</row>
    <row r="214" ht="15.75" customHeight="1">
      <c r="A214" s="9"/>
      <c r="B214" s="11"/>
      <c r="C214" s="11"/>
      <c r="D214" s="9"/>
      <c r="E214" s="9"/>
      <c r="F214" s="9"/>
      <c r="G214" s="9"/>
      <c r="H214" s="11"/>
      <c r="I214" s="11"/>
      <c r="J214" s="11"/>
      <c r="K214" s="11"/>
      <c r="L214" s="11"/>
      <c r="M214" s="9"/>
      <c r="N214" s="9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9"/>
      <c r="AK214" s="13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9"/>
      <c r="BH214" s="15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9"/>
      <c r="CF214" s="9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  <c r="CT214" s="11"/>
    </row>
    <row r="215" ht="15.75" customHeight="1">
      <c r="A215" s="9"/>
      <c r="B215" s="11"/>
      <c r="C215" s="11"/>
      <c r="D215" s="9"/>
      <c r="E215" s="9"/>
      <c r="F215" s="9"/>
      <c r="G215" s="9"/>
      <c r="H215" s="11"/>
      <c r="I215" s="11"/>
      <c r="J215" s="11"/>
      <c r="K215" s="11"/>
      <c r="L215" s="11"/>
      <c r="M215" s="9"/>
      <c r="N215" s="9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9"/>
      <c r="AK215" s="13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9"/>
      <c r="BH215" s="15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9"/>
      <c r="CF215" s="9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</row>
    <row r="216" ht="15.75" customHeight="1">
      <c r="A216" s="9"/>
      <c r="B216" s="11"/>
      <c r="C216" s="11"/>
      <c r="D216" s="9"/>
      <c r="E216" s="9"/>
      <c r="F216" s="9"/>
      <c r="G216" s="9"/>
      <c r="H216" s="11"/>
      <c r="I216" s="11"/>
      <c r="J216" s="11"/>
      <c r="K216" s="11"/>
      <c r="L216" s="11"/>
      <c r="M216" s="9"/>
      <c r="N216" s="9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9"/>
      <c r="AK216" s="13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9"/>
      <c r="BH216" s="15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9"/>
      <c r="CF216" s="9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</row>
    <row r="217" ht="15.75" customHeight="1">
      <c r="A217" s="9"/>
      <c r="B217" s="11"/>
      <c r="C217" s="11"/>
      <c r="D217" s="9"/>
      <c r="E217" s="9"/>
      <c r="F217" s="9"/>
      <c r="G217" s="9"/>
      <c r="H217" s="11"/>
      <c r="I217" s="11"/>
      <c r="J217" s="11"/>
      <c r="K217" s="11"/>
      <c r="L217" s="11"/>
      <c r="M217" s="9"/>
      <c r="N217" s="9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9"/>
      <c r="AK217" s="13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9"/>
      <c r="BH217" s="15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9"/>
      <c r="CF217" s="9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</row>
    <row r="218" ht="15.75" customHeight="1">
      <c r="A218" s="9"/>
      <c r="B218" s="11"/>
      <c r="C218" s="11"/>
      <c r="D218" s="9"/>
      <c r="E218" s="9"/>
      <c r="F218" s="9"/>
      <c r="G218" s="9"/>
      <c r="H218" s="11"/>
      <c r="I218" s="11"/>
      <c r="J218" s="11"/>
      <c r="K218" s="11"/>
      <c r="L218" s="11"/>
      <c r="M218" s="9"/>
      <c r="N218" s="9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9"/>
      <c r="AK218" s="13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9"/>
      <c r="BH218" s="15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9"/>
      <c r="CF218" s="9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</row>
    <row r="219" ht="15.75" customHeight="1">
      <c r="A219" s="9"/>
      <c r="B219" s="11"/>
      <c r="C219" s="11"/>
      <c r="D219" s="9"/>
      <c r="E219" s="9"/>
      <c r="F219" s="9"/>
      <c r="G219" s="9"/>
      <c r="H219" s="11"/>
      <c r="I219" s="11"/>
      <c r="J219" s="11"/>
      <c r="K219" s="11"/>
      <c r="L219" s="11"/>
      <c r="M219" s="9"/>
      <c r="N219" s="9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9"/>
      <c r="AK219" s="13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9"/>
      <c r="BH219" s="15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9"/>
      <c r="CF219" s="9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</row>
    <row r="220" ht="15.75" customHeight="1">
      <c r="A220" s="9"/>
      <c r="B220" s="11"/>
      <c r="C220" s="11"/>
      <c r="D220" s="9"/>
      <c r="E220" s="9"/>
      <c r="F220" s="9"/>
      <c r="G220" s="9"/>
      <c r="H220" s="11"/>
      <c r="I220" s="11"/>
      <c r="J220" s="11"/>
      <c r="K220" s="11"/>
      <c r="L220" s="11"/>
      <c r="M220" s="9"/>
      <c r="N220" s="9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9"/>
      <c r="AK220" s="13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9"/>
      <c r="BH220" s="15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9"/>
      <c r="CF220" s="9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</row>
    <row r="221" ht="15.75" customHeight="1">
      <c r="A221" s="9"/>
      <c r="B221" s="11"/>
      <c r="C221" s="11"/>
      <c r="D221" s="9"/>
      <c r="E221" s="9"/>
      <c r="F221" s="9"/>
      <c r="G221" s="9"/>
      <c r="H221" s="11"/>
      <c r="I221" s="11"/>
      <c r="J221" s="11"/>
      <c r="K221" s="11"/>
      <c r="L221" s="11"/>
      <c r="M221" s="9"/>
      <c r="N221" s="9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9"/>
      <c r="AK221" s="13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9"/>
      <c r="BH221" s="15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9"/>
      <c r="CF221" s="9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</row>
    <row r="222" ht="15.75" customHeight="1">
      <c r="A222" s="9"/>
      <c r="B222" s="11"/>
      <c r="C222" s="11"/>
      <c r="D222" s="9"/>
      <c r="E222" s="9"/>
      <c r="F222" s="9"/>
      <c r="G222" s="9"/>
      <c r="H222" s="11"/>
      <c r="I222" s="11"/>
      <c r="J222" s="11"/>
      <c r="K222" s="11"/>
      <c r="L222" s="11"/>
      <c r="M222" s="9"/>
      <c r="N222" s="9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9"/>
      <c r="AK222" s="13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9"/>
      <c r="BH222" s="15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9"/>
      <c r="CF222" s="9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</row>
    <row r="223" ht="15.75" customHeight="1">
      <c r="A223" s="9"/>
      <c r="B223" s="11"/>
      <c r="C223" s="11"/>
      <c r="D223" s="9"/>
      <c r="E223" s="9"/>
      <c r="F223" s="9"/>
      <c r="G223" s="9"/>
      <c r="H223" s="11"/>
      <c r="I223" s="11"/>
      <c r="J223" s="11"/>
      <c r="K223" s="11"/>
      <c r="L223" s="11"/>
      <c r="M223" s="9"/>
      <c r="N223" s="9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9"/>
      <c r="AK223" s="13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9"/>
      <c r="BH223" s="15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9"/>
      <c r="CF223" s="9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</row>
    <row r="224" ht="15.75" customHeight="1">
      <c r="A224" s="9"/>
      <c r="B224" s="11"/>
      <c r="C224" s="11"/>
      <c r="D224" s="9"/>
      <c r="E224" s="9"/>
      <c r="F224" s="9"/>
      <c r="G224" s="9"/>
      <c r="H224" s="11"/>
      <c r="I224" s="11"/>
      <c r="J224" s="11"/>
      <c r="K224" s="11"/>
      <c r="L224" s="11"/>
      <c r="M224" s="9"/>
      <c r="N224" s="9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9"/>
      <c r="AK224" s="13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9"/>
      <c r="BH224" s="15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9"/>
      <c r="CF224" s="9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</row>
    <row r="225" ht="15.75" customHeight="1">
      <c r="A225" s="9"/>
      <c r="B225" s="11"/>
      <c r="C225" s="11"/>
      <c r="D225" s="9"/>
      <c r="E225" s="9"/>
      <c r="F225" s="9"/>
      <c r="G225" s="9"/>
      <c r="H225" s="11"/>
      <c r="I225" s="11"/>
      <c r="J225" s="11"/>
      <c r="K225" s="11"/>
      <c r="L225" s="11"/>
      <c r="M225" s="9"/>
      <c r="N225" s="9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9"/>
      <c r="AK225" s="13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9"/>
      <c r="BH225" s="15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9"/>
      <c r="CF225" s="9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</row>
    <row r="226" ht="15.75" customHeight="1">
      <c r="A226" s="9"/>
      <c r="B226" s="11"/>
      <c r="C226" s="11"/>
      <c r="D226" s="9"/>
      <c r="E226" s="9"/>
      <c r="F226" s="9"/>
      <c r="G226" s="9"/>
      <c r="H226" s="11"/>
      <c r="I226" s="11"/>
      <c r="J226" s="11"/>
      <c r="K226" s="11"/>
      <c r="L226" s="11"/>
      <c r="M226" s="9"/>
      <c r="N226" s="9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9"/>
      <c r="AK226" s="13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9"/>
      <c r="BH226" s="15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9"/>
      <c r="CF226" s="9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</row>
    <row r="227" ht="15.75" customHeight="1">
      <c r="A227" s="9"/>
      <c r="B227" s="11"/>
      <c r="C227" s="11"/>
      <c r="D227" s="9"/>
      <c r="E227" s="9"/>
      <c r="F227" s="9"/>
      <c r="G227" s="9"/>
      <c r="H227" s="11"/>
      <c r="I227" s="11"/>
      <c r="J227" s="11"/>
      <c r="K227" s="11"/>
      <c r="L227" s="11"/>
      <c r="M227" s="9"/>
      <c r="N227" s="9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9"/>
      <c r="AK227" s="13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9"/>
      <c r="BH227" s="15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9"/>
      <c r="CF227" s="9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</row>
    <row r="228" ht="15.75" customHeight="1">
      <c r="A228" s="9"/>
      <c r="B228" s="11"/>
      <c r="C228" s="11"/>
      <c r="D228" s="9"/>
      <c r="E228" s="9"/>
      <c r="F228" s="9"/>
      <c r="G228" s="9"/>
      <c r="H228" s="11"/>
      <c r="I228" s="11"/>
      <c r="J228" s="11"/>
      <c r="K228" s="11"/>
      <c r="L228" s="11"/>
      <c r="M228" s="9"/>
      <c r="N228" s="9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9"/>
      <c r="AK228" s="13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9"/>
      <c r="BH228" s="15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9"/>
      <c r="CF228" s="9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</row>
    <row r="229" ht="15.75" customHeight="1">
      <c r="A229" s="9"/>
      <c r="B229" s="11"/>
      <c r="C229" s="11"/>
      <c r="D229" s="9"/>
      <c r="E229" s="9"/>
      <c r="F229" s="9"/>
      <c r="G229" s="9"/>
      <c r="H229" s="11"/>
      <c r="I229" s="11"/>
      <c r="J229" s="11"/>
      <c r="K229" s="11"/>
      <c r="L229" s="11"/>
      <c r="M229" s="9"/>
      <c r="N229" s="9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9"/>
      <c r="AK229" s="13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9"/>
      <c r="BH229" s="15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9"/>
      <c r="CF229" s="9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</row>
    <row r="230" ht="15.75" customHeight="1">
      <c r="A230" s="9"/>
      <c r="B230" s="11"/>
      <c r="C230" s="11"/>
      <c r="D230" s="9"/>
      <c r="E230" s="9"/>
      <c r="F230" s="9"/>
      <c r="G230" s="9"/>
      <c r="H230" s="11"/>
      <c r="I230" s="11"/>
      <c r="J230" s="11"/>
      <c r="K230" s="11"/>
      <c r="L230" s="11"/>
      <c r="M230" s="9"/>
      <c r="N230" s="9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9"/>
      <c r="AK230" s="13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9"/>
      <c r="BH230" s="15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9"/>
      <c r="CF230" s="9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</row>
    <row r="231" ht="15.75" customHeight="1">
      <c r="A231" s="9"/>
      <c r="B231" s="11"/>
      <c r="C231" s="11"/>
      <c r="D231" s="9"/>
      <c r="E231" s="9"/>
      <c r="F231" s="9"/>
      <c r="G231" s="9"/>
      <c r="H231" s="11"/>
      <c r="I231" s="11"/>
      <c r="J231" s="11"/>
      <c r="K231" s="11"/>
      <c r="L231" s="11"/>
      <c r="M231" s="9"/>
      <c r="N231" s="9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9"/>
      <c r="AK231" s="13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9"/>
      <c r="BH231" s="15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9"/>
      <c r="CF231" s="9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</row>
    <row r="232" ht="15.75" customHeight="1">
      <c r="A232" s="9"/>
      <c r="B232" s="11"/>
      <c r="C232" s="11"/>
      <c r="D232" s="9"/>
      <c r="E232" s="9"/>
      <c r="F232" s="9"/>
      <c r="G232" s="9"/>
      <c r="H232" s="11"/>
      <c r="I232" s="11"/>
      <c r="J232" s="11"/>
      <c r="K232" s="11"/>
      <c r="L232" s="11"/>
      <c r="M232" s="9"/>
      <c r="N232" s="9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9"/>
      <c r="AK232" s="13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9"/>
      <c r="BH232" s="15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9"/>
      <c r="CF232" s="9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</row>
    <row r="233" ht="15.75" customHeight="1">
      <c r="A233" s="9"/>
      <c r="B233" s="11"/>
      <c r="C233" s="11"/>
      <c r="D233" s="9"/>
      <c r="E233" s="9"/>
      <c r="F233" s="9"/>
      <c r="G233" s="9"/>
      <c r="H233" s="11"/>
      <c r="I233" s="11"/>
      <c r="J233" s="11"/>
      <c r="K233" s="11"/>
      <c r="L233" s="11"/>
      <c r="M233" s="9"/>
      <c r="N233" s="9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9"/>
      <c r="AK233" s="13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9"/>
      <c r="BH233" s="15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9"/>
      <c r="CF233" s="9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</row>
    <row r="234" ht="15.75" customHeight="1">
      <c r="A234" s="9"/>
      <c r="B234" s="11"/>
      <c r="C234" s="11"/>
      <c r="D234" s="9"/>
      <c r="E234" s="9"/>
      <c r="F234" s="9"/>
      <c r="G234" s="9"/>
      <c r="H234" s="11"/>
      <c r="I234" s="11"/>
      <c r="J234" s="11"/>
      <c r="K234" s="11"/>
      <c r="L234" s="11"/>
      <c r="M234" s="9"/>
      <c r="N234" s="9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9"/>
      <c r="AK234" s="13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9"/>
      <c r="BH234" s="15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9"/>
      <c r="CF234" s="9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</row>
    <row r="235" ht="15.75" customHeight="1">
      <c r="A235" s="9"/>
      <c r="B235" s="11"/>
      <c r="C235" s="11"/>
      <c r="D235" s="9"/>
      <c r="E235" s="9"/>
      <c r="F235" s="9"/>
      <c r="G235" s="9"/>
      <c r="H235" s="11"/>
      <c r="I235" s="11"/>
      <c r="J235" s="11"/>
      <c r="K235" s="11"/>
      <c r="L235" s="11"/>
      <c r="M235" s="9"/>
      <c r="N235" s="9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9"/>
      <c r="AK235" s="13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9"/>
      <c r="BH235" s="15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9"/>
      <c r="CF235" s="9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</row>
    <row r="236" ht="15.75" customHeight="1">
      <c r="A236" s="9"/>
      <c r="B236" s="11"/>
      <c r="C236" s="11"/>
      <c r="D236" s="9"/>
      <c r="E236" s="9"/>
      <c r="F236" s="9"/>
      <c r="G236" s="9"/>
      <c r="H236" s="11"/>
      <c r="I236" s="11"/>
      <c r="J236" s="11"/>
      <c r="K236" s="11"/>
      <c r="L236" s="11"/>
      <c r="M236" s="9"/>
      <c r="N236" s="9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9"/>
      <c r="AK236" s="13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9"/>
      <c r="BH236" s="15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9"/>
      <c r="CF236" s="9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</row>
    <row r="237" ht="15.75" customHeight="1">
      <c r="A237" s="9"/>
      <c r="B237" s="11"/>
      <c r="C237" s="11"/>
      <c r="D237" s="9"/>
      <c r="E237" s="9"/>
      <c r="F237" s="9"/>
      <c r="G237" s="9"/>
      <c r="H237" s="11"/>
      <c r="I237" s="11"/>
      <c r="J237" s="11"/>
      <c r="K237" s="11"/>
      <c r="L237" s="11"/>
      <c r="M237" s="9"/>
      <c r="N237" s="9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9"/>
      <c r="AK237" s="13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9"/>
      <c r="BH237" s="15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9"/>
      <c r="CF237" s="9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</row>
    <row r="238" ht="15.75" customHeight="1">
      <c r="A238" s="9"/>
      <c r="B238" s="11"/>
      <c r="C238" s="11"/>
      <c r="D238" s="9"/>
      <c r="E238" s="9"/>
      <c r="F238" s="9"/>
      <c r="G238" s="9"/>
      <c r="H238" s="11"/>
      <c r="I238" s="11"/>
      <c r="J238" s="11"/>
      <c r="K238" s="11"/>
      <c r="L238" s="11"/>
      <c r="M238" s="9"/>
      <c r="N238" s="9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9"/>
      <c r="AK238" s="13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9"/>
      <c r="BH238" s="15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9"/>
      <c r="CF238" s="9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</row>
    <row r="239" ht="15.75" customHeight="1">
      <c r="A239" s="9"/>
      <c r="B239" s="11"/>
      <c r="C239" s="11"/>
      <c r="D239" s="9"/>
      <c r="E239" s="9"/>
      <c r="F239" s="9"/>
      <c r="G239" s="9"/>
      <c r="H239" s="11"/>
      <c r="I239" s="11"/>
      <c r="J239" s="11"/>
      <c r="K239" s="11"/>
      <c r="L239" s="11"/>
      <c r="M239" s="9"/>
      <c r="N239" s="9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9"/>
      <c r="AK239" s="13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9"/>
      <c r="BH239" s="15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9"/>
      <c r="CF239" s="9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</row>
    <row r="240" ht="15.75" customHeight="1">
      <c r="A240" s="9"/>
      <c r="B240" s="11"/>
      <c r="C240" s="11"/>
      <c r="D240" s="9"/>
      <c r="E240" s="9"/>
      <c r="F240" s="9"/>
      <c r="G240" s="9"/>
      <c r="H240" s="11"/>
      <c r="I240" s="11"/>
      <c r="J240" s="11"/>
      <c r="K240" s="11"/>
      <c r="L240" s="11"/>
      <c r="M240" s="9"/>
      <c r="N240" s="9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9"/>
      <c r="AK240" s="13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9"/>
      <c r="BH240" s="15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9"/>
      <c r="CF240" s="9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</row>
    <row r="241" ht="15.75" customHeight="1">
      <c r="A241" s="9"/>
      <c r="B241" s="11"/>
      <c r="C241" s="11"/>
      <c r="D241" s="9"/>
      <c r="E241" s="9"/>
      <c r="F241" s="9"/>
      <c r="G241" s="9"/>
      <c r="H241" s="11"/>
      <c r="I241" s="11"/>
      <c r="J241" s="11"/>
      <c r="K241" s="11"/>
      <c r="L241" s="11"/>
      <c r="M241" s="9"/>
      <c r="N241" s="9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9"/>
      <c r="AK241" s="13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9"/>
      <c r="BH241" s="15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9"/>
      <c r="CF241" s="9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</row>
    <row r="242" ht="15.75" customHeight="1">
      <c r="A242" s="9"/>
      <c r="B242" s="11"/>
      <c r="C242" s="11"/>
      <c r="D242" s="9"/>
      <c r="E242" s="9"/>
      <c r="F242" s="9"/>
      <c r="G242" s="9"/>
      <c r="H242" s="11"/>
      <c r="I242" s="11"/>
      <c r="J242" s="11"/>
      <c r="K242" s="11"/>
      <c r="L242" s="11"/>
      <c r="M242" s="9"/>
      <c r="N242" s="9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9"/>
      <c r="AK242" s="13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9"/>
      <c r="BH242" s="15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9"/>
      <c r="CF242" s="9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</row>
    <row r="243" ht="15.75" customHeight="1">
      <c r="A243" s="9"/>
      <c r="B243" s="11"/>
      <c r="C243" s="11"/>
      <c r="D243" s="9"/>
      <c r="E243" s="9"/>
      <c r="F243" s="9"/>
      <c r="G243" s="9"/>
      <c r="H243" s="11"/>
      <c r="I243" s="11"/>
      <c r="J243" s="11"/>
      <c r="K243" s="11"/>
      <c r="L243" s="11"/>
      <c r="M243" s="9"/>
      <c r="N243" s="9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9"/>
      <c r="AK243" s="13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9"/>
      <c r="BH243" s="15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9"/>
      <c r="CF243" s="9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</row>
    <row r="244" ht="15.75" customHeight="1">
      <c r="A244" s="9"/>
      <c r="B244" s="11"/>
      <c r="C244" s="11"/>
      <c r="D244" s="9"/>
      <c r="E244" s="9"/>
      <c r="F244" s="9"/>
      <c r="G244" s="9"/>
      <c r="H244" s="11"/>
      <c r="I244" s="11"/>
      <c r="J244" s="11"/>
      <c r="K244" s="11"/>
      <c r="L244" s="11"/>
      <c r="M244" s="9"/>
      <c r="N244" s="9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9"/>
      <c r="AK244" s="13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9"/>
      <c r="BH244" s="15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9"/>
      <c r="CF244" s="9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1"/>
    </row>
    <row r="245" ht="15.75" customHeight="1">
      <c r="A245" s="9"/>
      <c r="B245" s="11"/>
      <c r="C245" s="11"/>
      <c r="D245" s="9"/>
      <c r="E245" s="9"/>
      <c r="F245" s="9"/>
      <c r="G245" s="9"/>
      <c r="H245" s="11"/>
      <c r="I245" s="11"/>
      <c r="J245" s="11"/>
      <c r="K245" s="11"/>
      <c r="L245" s="11"/>
      <c r="M245" s="9"/>
      <c r="N245" s="9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9"/>
      <c r="AK245" s="13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9"/>
      <c r="BH245" s="15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9"/>
      <c r="CF245" s="9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</row>
    <row r="246" ht="15.75" customHeight="1">
      <c r="A246" s="9"/>
      <c r="B246" s="11"/>
      <c r="C246" s="11"/>
      <c r="D246" s="9"/>
      <c r="E246" s="9"/>
      <c r="F246" s="9"/>
      <c r="G246" s="9"/>
      <c r="H246" s="11"/>
      <c r="I246" s="11"/>
      <c r="J246" s="11"/>
      <c r="K246" s="11"/>
      <c r="L246" s="11"/>
      <c r="M246" s="9"/>
      <c r="N246" s="9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9"/>
      <c r="AK246" s="13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9"/>
      <c r="BH246" s="15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9"/>
      <c r="CF246" s="9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</row>
    <row r="247" ht="15.75" customHeight="1">
      <c r="A247" s="9"/>
      <c r="B247" s="11"/>
      <c r="C247" s="11"/>
      <c r="D247" s="9"/>
      <c r="E247" s="9"/>
      <c r="F247" s="9"/>
      <c r="G247" s="9"/>
      <c r="H247" s="11"/>
      <c r="I247" s="11"/>
      <c r="J247" s="11"/>
      <c r="K247" s="11"/>
      <c r="L247" s="11"/>
      <c r="M247" s="9"/>
      <c r="N247" s="9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9"/>
      <c r="AK247" s="13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9"/>
      <c r="BH247" s="15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9"/>
      <c r="CF247" s="9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</row>
    <row r="248" ht="15.75" customHeight="1">
      <c r="A248" s="9"/>
      <c r="B248" s="11"/>
      <c r="C248" s="11"/>
      <c r="D248" s="9"/>
      <c r="E248" s="9"/>
      <c r="F248" s="9"/>
      <c r="G248" s="9"/>
      <c r="H248" s="11"/>
      <c r="I248" s="11"/>
      <c r="J248" s="11"/>
      <c r="K248" s="11"/>
      <c r="L248" s="11"/>
      <c r="M248" s="9"/>
      <c r="N248" s="9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9"/>
      <c r="AK248" s="13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9"/>
      <c r="BH248" s="15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9"/>
      <c r="CF248" s="9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</row>
    <row r="249" ht="15.75" customHeight="1">
      <c r="A249" s="9"/>
      <c r="B249" s="11"/>
      <c r="C249" s="11"/>
      <c r="D249" s="9"/>
      <c r="E249" s="9"/>
      <c r="F249" s="9"/>
      <c r="G249" s="9"/>
      <c r="H249" s="11"/>
      <c r="I249" s="11"/>
      <c r="J249" s="11"/>
      <c r="K249" s="11"/>
      <c r="L249" s="11"/>
      <c r="M249" s="9"/>
      <c r="N249" s="9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9"/>
      <c r="AK249" s="13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9"/>
      <c r="BH249" s="15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9"/>
      <c r="CF249" s="9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</row>
    <row r="250" ht="15.75" customHeight="1">
      <c r="A250" s="9"/>
      <c r="B250" s="11"/>
      <c r="C250" s="11"/>
      <c r="D250" s="9"/>
      <c r="E250" s="9"/>
      <c r="F250" s="9"/>
      <c r="G250" s="9"/>
      <c r="H250" s="11"/>
      <c r="I250" s="11"/>
      <c r="J250" s="11"/>
      <c r="K250" s="11"/>
      <c r="L250" s="11"/>
      <c r="M250" s="9"/>
      <c r="N250" s="9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9"/>
      <c r="AK250" s="13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9"/>
      <c r="BH250" s="15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9"/>
      <c r="CF250" s="9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</row>
    <row r="251" ht="15.75" customHeight="1">
      <c r="A251" s="9"/>
      <c r="B251" s="11"/>
      <c r="C251" s="11"/>
      <c r="D251" s="9"/>
      <c r="E251" s="9"/>
      <c r="F251" s="9"/>
      <c r="G251" s="9"/>
      <c r="H251" s="11"/>
      <c r="I251" s="11"/>
      <c r="J251" s="11"/>
      <c r="K251" s="11"/>
      <c r="L251" s="11"/>
      <c r="M251" s="9"/>
      <c r="N251" s="9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9"/>
      <c r="AK251" s="13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9"/>
      <c r="BH251" s="15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9"/>
      <c r="CF251" s="9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</row>
    <row r="252" ht="15.75" customHeight="1">
      <c r="A252" s="9"/>
      <c r="B252" s="11"/>
      <c r="C252" s="11"/>
      <c r="D252" s="9"/>
      <c r="E252" s="9"/>
      <c r="F252" s="9"/>
      <c r="G252" s="9"/>
      <c r="H252" s="11"/>
      <c r="I252" s="11"/>
      <c r="J252" s="11"/>
      <c r="K252" s="11"/>
      <c r="L252" s="11"/>
      <c r="M252" s="9"/>
      <c r="N252" s="9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9"/>
      <c r="AK252" s="13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9"/>
      <c r="BH252" s="15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9"/>
      <c r="CF252" s="9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</row>
    <row r="253" ht="15.75" customHeight="1">
      <c r="A253" s="9"/>
      <c r="B253" s="11"/>
      <c r="C253" s="11"/>
      <c r="D253" s="9"/>
      <c r="E253" s="9"/>
      <c r="F253" s="9"/>
      <c r="G253" s="9"/>
      <c r="H253" s="11"/>
      <c r="I253" s="11"/>
      <c r="J253" s="11"/>
      <c r="K253" s="11"/>
      <c r="L253" s="11"/>
      <c r="M253" s="9"/>
      <c r="N253" s="9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9"/>
      <c r="AK253" s="13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9"/>
      <c r="BH253" s="15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9"/>
      <c r="CF253" s="9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</row>
    <row r="254" ht="15.75" customHeight="1">
      <c r="A254" s="9"/>
      <c r="B254" s="11"/>
      <c r="C254" s="11"/>
      <c r="D254" s="9"/>
      <c r="E254" s="9"/>
      <c r="F254" s="9"/>
      <c r="G254" s="9"/>
      <c r="H254" s="11"/>
      <c r="I254" s="11"/>
      <c r="J254" s="11"/>
      <c r="K254" s="11"/>
      <c r="L254" s="11"/>
      <c r="M254" s="9"/>
      <c r="N254" s="9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9"/>
      <c r="AK254" s="13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9"/>
      <c r="BH254" s="15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9"/>
      <c r="CF254" s="9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</row>
    <row r="255" ht="15.75" customHeight="1">
      <c r="A255" s="9"/>
      <c r="B255" s="11"/>
      <c r="C255" s="11"/>
      <c r="D255" s="9"/>
      <c r="E255" s="9"/>
      <c r="F255" s="9"/>
      <c r="G255" s="9"/>
      <c r="H255" s="11"/>
      <c r="I255" s="11"/>
      <c r="J255" s="11"/>
      <c r="K255" s="11"/>
      <c r="L255" s="11"/>
      <c r="M255" s="9"/>
      <c r="N255" s="9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9"/>
      <c r="AK255" s="13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9"/>
      <c r="BH255" s="15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9"/>
      <c r="CF255" s="9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</row>
    <row r="256" ht="15.75" customHeight="1">
      <c r="A256" s="9"/>
      <c r="B256" s="11"/>
      <c r="C256" s="11"/>
      <c r="D256" s="9"/>
      <c r="E256" s="9"/>
      <c r="F256" s="9"/>
      <c r="G256" s="9"/>
      <c r="H256" s="11"/>
      <c r="I256" s="11"/>
      <c r="J256" s="11"/>
      <c r="K256" s="11"/>
      <c r="L256" s="11"/>
      <c r="M256" s="9"/>
      <c r="N256" s="9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9"/>
      <c r="AK256" s="13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9"/>
      <c r="BH256" s="15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9"/>
      <c r="CF256" s="9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</row>
    <row r="257" ht="15.75" customHeight="1">
      <c r="A257" s="9"/>
      <c r="B257" s="11"/>
      <c r="C257" s="11"/>
      <c r="D257" s="9"/>
      <c r="E257" s="9"/>
      <c r="F257" s="9"/>
      <c r="G257" s="9"/>
      <c r="H257" s="11"/>
      <c r="I257" s="11"/>
      <c r="J257" s="11"/>
      <c r="K257" s="11"/>
      <c r="L257" s="11"/>
      <c r="M257" s="9"/>
      <c r="N257" s="9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9"/>
      <c r="AK257" s="13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9"/>
      <c r="BH257" s="15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9"/>
      <c r="CF257" s="9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</row>
    <row r="258" ht="15.75" customHeight="1">
      <c r="A258" s="9"/>
      <c r="B258" s="11"/>
      <c r="C258" s="11"/>
      <c r="D258" s="9"/>
      <c r="E258" s="9"/>
      <c r="F258" s="9"/>
      <c r="G258" s="9"/>
      <c r="H258" s="11"/>
      <c r="I258" s="11"/>
      <c r="J258" s="11"/>
      <c r="K258" s="11"/>
      <c r="L258" s="11"/>
      <c r="M258" s="9"/>
      <c r="N258" s="9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9"/>
      <c r="AK258" s="13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9"/>
      <c r="BH258" s="15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9"/>
      <c r="CF258" s="9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</row>
    <row r="259" ht="15.75" customHeight="1">
      <c r="A259" s="9"/>
      <c r="B259" s="11"/>
      <c r="C259" s="11"/>
      <c r="D259" s="9"/>
      <c r="E259" s="9"/>
      <c r="F259" s="9"/>
      <c r="G259" s="9"/>
      <c r="H259" s="11"/>
      <c r="I259" s="11"/>
      <c r="J259" s="11"/>
      <c r="K259" s="11"/>
      <c r="L259" s="11"/>
      <c r="M259" s="9"/>
      <c r="N259" s="9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9"/>
      <c r="AK259" s="13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9"/>
      <c r="BH259" s="15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9"/>
      <c r="CF259" s="9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</row>
    <row r="260" ht="15.75" customHeight="1">
      <c r="A260" s="9"/>
      <c r="B260" s="11"/>
      <c r="C260" s="11"/>
      <c r="D260" s="9"/>
      <c r="E260" s="9"/>
      <c r="F260" s="9"/>
      <c r="G260" s="9"/>
      <c r="H260" s="11"/>
      <c r="I260" s="11"/>
      <c r="J260" s="11"/>
      <c r="K260" s="11"/>
      <c r="L260" s="11"/>
      <c r="M260" s="9"/>
      <c r="N260" s="9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9"/>
      <c r="AK260" s="13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9"/>
      <c r="BH260" s="15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9"/>
      <c r="CF260" s="9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</row>
    <row r="261" ht="15.75" customHeight="1">
      <c r="A261" s="9"/>
      <c r="B261" s="11"/>
      <c r="C261" s="11"/>
      <c r="D261" s="9"/>
      <c r="E261" s="9"/>
      <c r="F261" s="9"/>
      <c r="G261" s="9"/>
      <c r="H261" s="11"/>
      <c r="I261" s="11"/>
      <c r="J261" s="11"/>
      <c r="K261" s="11"/>
      <c r="L261" s="11"/>
      <c r="M261" s="9"/>
      <c r="N261" s="9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9"/>
      <c r="AK261" s="13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9"/>
      <c r="BH261" s="15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9"/>
      <c r="CF261" s="9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</row>
    <row r="262" ht="15.75" customHeight="1">
      <c r="A262" s="9"/>
      <c r="B262" s="11"/>
      <c r="C262" s="11"/>
      <c r="D262" s="9"/>
      <c r="E262" s="9"/>
      <c r="F262" s="9"/>
      <c r="G262" s="9"/>
      <c r="H262" s="11"/>
      <c r="I262" s="11"/>
      <c r="J262" s="11"/>
      <c r="K262" s="11"/>
      <c r="L262" s="11"/>
      <c r="M262" s="9"/>
      <c r="N262" s="9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9"/>
      <c r="AK262" s="13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9"/>
      <c r="BH262" s="15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9"/>
      <c r="CF262" s="9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</row>
    <row r="263" ht="15.75" customHeight="1">
      <c r="A263" s="9"/>
      <c r="B263" s="11"/>
      <c r="C263" s="11"/>
      <c r="D263" s="9"/>
      <c r="E263" s="9"/>
      <c r="F263" s="9"/>
      <c r="G263" s="9"/>
      <c r="H263" s="11"/>
      <c r="I263" s="11"/>
      <c r="J263" s="11"/>
      <c r="K263" s="11"/>
      <c r="L263" s="11"/>
      <c r="M263" s="9"/>
      <c r="N263" s="9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9"/>
      <c r="AK263" s="13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9"/>
      <c r="BH263" s="15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9"/>
      <c r="CF263" s="9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</row>
    <row r="264" ht="15.75" customHeight="1">
      <c r="A264" s="9"/>
      <c r="B264" s="11"/>
      <c r="C264" s="11"/>
      <c r="D264" s="9"/>
      <c r="E264" s="9"/>
      <c r="F264" s="9"/>
      <c r="G264" s="9"/>
      <c r="H264" s="11"/>
      <c r="I264" s="11"/>
      <c r="J264" s="11"/>
      <c r="K264" s="11"/>
      <c r="L264" s="11"/>
      <c r="M264" s="9"/>
      <c r="N264" s="9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9"/>
      <c r="AK264" s="13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9"/>
      <c r="BH264" s="15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9"/>
      <c r="CF264" s="9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</row>
    <row r="265" ht="15.75" customHeight="1">
      <c r="A265" s="9"/>
      <c r="B265" s="11"/>
      <c r="C265" s="11"/>
      <c r="D265" s="9"/>
      <c r="E265" s="9"/>
      <c r="F265" s="9"/>
      <c r="G265" s="9"/>
      <c r="H265" s="11"/>
      <c r="I265" s="11"/>
      <c r="J265" s="11"/>
      <c r="K265" s="11"/>
      <c r="L265" s="11"/>
      <c r="M265" s="9"/>
      <c r="N265" s="9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9"/>
      <c r="AK265" s="13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9"/>
      <c r="BH265" s="15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9"/>
      <c r="CF265" s="9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</row>
    <row r="266" ht="15.75" customHeight="1">
      <c r="A266" s="9"/>
      <c r="B266" s="11"/>
      <c r="C266" s="11"/>
      <c r="D266" s="9"/>
      <c r="E266" s="9"/>
      <c r="F266" s="9"/>
      <c r="G266" s="9"/>
      <c r="H266" s="11"/>
      <c r="I266" s="11"/>
      <c r="J266" s="11"/>
      <c r="K266" s="11"/>
      <c r="L266" s="11"/>
      <c r="M266" s="9"/>
      <c r="N266" s="9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9"/>
      <c r="AK266" s="13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9"/>
      <c r="BH266" s="15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9"/>
      <c r="CF266" s="9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</row>
    <row r="267" ht="15.75" customHeight="1">
      <c r="A267" s="9"/>
      <c r="B267" s="11"/>
      <c r="C267" s="11"/>
      <c r="D267" s="9"/>
      <c r="E267" s="9"/>
      <c r="F267" s="9"/>
      <c r="G267" s="9"/>
      <c r="H267" s="11"/>
      <c r="I267" s="11"/>
      <c r="J267" s="11"/>
      <c r="K267" s="11"/>
      <c r="L267" s="11"/>
      <c r="M267" s="9"/>
      <c r="N267" s="9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9"/>
      <c r="AK267" s="13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9"/>
      <c r="BH267" s="15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9"/>
      <c r="CF267" s="9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</row>
    <row r="268" ht="15.75" customHeight="1">
      <c r="A268" s="9"/>
      <c r="B268" s="11"/>
      <c r="C268" s="11"/>
      <c r="D268" s="9"/>
      <c r="E268" s="9"/>
      <c r="F268" s="9"/>
      <c r="G268" s="9"/>
      <c r="H268" s="11"/>
      <c r="I268" s="11"/>
      <c r="J268" s="11"/>
      <c r="K268" s="11"/>
      <c r="L268" s="11"/>
      <c r="M268" s="9"/>
      <c r="N268" s="9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9"/>
      <c r="AK268" s="13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9"/>
      <c r="BH268" s="15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9"/>
      <c r="CF268" s="9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</row>
    <row r="269" ht="15.75" customHeight="1">
      <c r="A269" s="9"/>
      <c r="B269" s="11"/>
      <c r="C269" s="11"/>
      <c r="D269" s="9"/>
      <c r="E269" s="9"/>
      <c r="F269" s="9"/>
      <c r="G269" s="9"/>
      <c r="H269" s="11"/>
      <c r="I269" s="11"/>
      <c r="J269" s="11"/>
      <c r="K269" s="11"/>
      <c r="L269" s="11"/>
      <c r="M269" s="9"/>
      <c r="N269" s="9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9"/>
      <c r="AK269" s="13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9"/>
      <c r="BH269" s="15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9"/>
      <c r="CF269" s="9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</row>
    <row r="270" ht="15.75" customHeight="1">
      <c r="A270" s="9"/>
      <c r="B270" s="11"/>
      <c r="C270" s="11"/>
      <c r="D270" s="9"/>
      <c r="E270" s="9"/>
      <c r="F270" s="9"/>
      <c r="G270" s="9"/>
      <c r="H270" s="11"/>
      <c r="I270" s="11"/>
      <c r="J270" s="11"/>
      <c r="K270" s="11"/>
      <c r="L270" s="11"/>
      <c r="M270" s="9"/>
      <c r="N270" s="9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9"/>
      <c r="AK270" s="13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9"/>
      <c r="BH270" s="15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9"/>
      <c r="CF270" s="9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</row>
    <row r="271" ht="15.75" customHeight="1">
      <c r="A271" s="9"/>
      <c r="B271" s="11"/>
      <c r="C271" s="11"/>
      <c r="D271" s="9"/>
      <c r="E271" s="9"/>
      <c r="F271" s="9"/>
      <c r="G271" s="9"/>
      <c r="H271" s="11"/>
      <c r="I271" s="11"/>
      <c r="J271" s="11"/>
      <c r="K271" s="11"/>
      <c r="L271" s="11"/>
      <c r="M271" s="9"/>
      <c r="N271" s="9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9"/>
      <c r="AK271" s="13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9"/>
      <c r="BH271" s="15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9"/>
      <c r="CF271" s="9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</row>
    <row r="272" ht="15.75" customHeight="1">
      <c r="A272" s="9"/>
      <c r="B272" s="11"/>
      <c r="C272" s="11"/>
      <c r="D272" s="9"/>
      <c r="E272" s="9"/>
      <c r="F272" s="9"/>
      <c r="G272" s="9"/>
      <c r="H272" s="11"/>
      <c r="I272" s="11"/>
      <c r="J272" s="11"/>
      <c r="K272" s="11"/>
      <c r="L272" s="11"/>
      <c r="M272" s="9"/>
      <c r="N272" s="9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9"/>
      <c r="AK272" s="13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9"/>
      <c r="BH272" s="15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9"/>
      <c r="CF272" s="9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</row>
    <row r="273" ht="15.75" customHeight="1">
      <c r="A273" s="9"/>
      <c r="B273" s="11"/>
      <c r="C273" s="11"/>
      <c r="D273" s="9"/>
      <c r="E273" s="9"/>
      <c r="F273" s="9"/>
      <c r="G273" s="9"/>
      <c r="H273" s="11"/>
      <c r="I273" s="11"/>
      <c r="J273" s="11"/>
      <c r="K273" s="11"/>
      <c r="L273" s="11"/>
      <c r="M273" s="9"/>
      <c r="N273" s="9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9"/>
      <c r="AK273" s="13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9"/>
      <c r="BH273" s="15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9"/>
      <c r="CF273" s="9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</row>
    <row r="274" ht="15.75" customHeight="1">
      <c r="A274" s="9"/>
      <c r="B274" s="11"/>
      <c r="C274" s="11"/>
      <c r="D274" s="9"/>
      <c r="E274" s="9"/>
      <c r="F274" s="9"/>
      <c r="G274" s="9"/>
      <c r="H274" s="11"/>
      <c r="I274" s="11"/>
      <c r="J274" s="11"/>
      <c r="K274" s="11"/>
      <c r="L274" s="11"/>
      <c r="M274" s="9"/>
      <c r="N274" s="9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9"/>
      <c r="AK274" s="13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9"/>
      <c r="BH274" s="15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9"/>
      <c r="CF274" s="9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</row>
  </sheetData>
  <mergeCells count="13">
    <mergeCell ref="A4:B4"/>
    <mergeCell ref="A5:B5"/>
    <mergeCell ref="A6:B6"/>
    <mergeCell ref="A52:B52"/>
    <mergeCell ref="C5:F5"/>
    <mergeCell ref="C6:F6"/>
    <mergeCell ref="A1:B1"/>
    <mergeCell ref="C1:F1"/>
    <mergeCell ref="A2:B2"/>
    <mergeCell ref="C2:F2"/>
    <mergeCell ref="A3:B3"/>
    <mergeCell ref="C3:F3"/>
    <mergeCell ref="C4:F4"/>
  </mergeCells>
  <conditionalFormatting sqref="H9:CR9 H52:N52 AJ52:BB52 BD52:BX52 BZ52:CR52">
    <cfRule type="cellIs" dxfId="0" priority="1" operator="lessThan">
      <formula>1</formula>
    </cfRule>
  </conditionalFormatting>
  <conditionalFormatting sqref="H9:CR9 H52:N52 AJ52:BB52 BD52:BX52 BZ52:CR52">
    <cfRule type="cellIs" dxfId="0" priority="2" operator="lessThan">
      <formula>1</formula>
    </cfRule>
  </conditionalFormatting>
  <hyperlinks>
    <hyperlink r:id="rId1" ref="A9"/>
  </hyperlinks>
  <printOptions/>
  <pageMargins bottom="0.75" footer="0.0" header="0.0" left="0.7" right="0.7" top="0.75"/>
  <pageSetup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6.0"/>
    <col customWidth="1" min="3" max="3" width="21.71"/>
    <col customWidth="1" min="4" max="4" width="8.14"/>
    <col customWidth="1" min="5" max="5" width="8.0"/>
    <col customWidth="1" min="6" max="6" width="6.71"/>
    <col customWidth="1" min="7" max="7" width="6.57"/>
    <col customWidth="1" min="8" max="8" width="4.0"/>
    <col customWidth="1" min="9" max="12" width="3.71"/>
    <col customWidth="1" min="13" max="13" width="4.71"/>
    <col customWidth="1" min="14" max="14" width="6.57"/>
    <col customWidth="1" min="15" max="32" width="3.71"/>
    <col customWidth="1" min="33" max="33" width="5.29"/>
    <col customWidth="1" min="34" max="34" width="4.29"/>
    <col customWidth="1" min="35" max="35" width="0.43"/>
    <col customWidth="1" min="36" max="36" width="3.71"/>
    <col customWidth="1" min="37" max="37" width="5.86"/>
    <col customWidth="1" min="38" max="58" width="3.71"/>
    <col customWidth="1" min="59" max="59" width="4.0"/>
    <col customWidth="1" min="60" max="60" width="5.71"/>
    <col customWidth="1" min="61" max="69" width="3.71"/>
    <col customWidth="1" min="70" max="70" width="3.29"/>
    <col customWidth="1" min="71" max="82" width="3.71"/>
    <col customWidth="1" min="83" max="83" width="4.0"/>
    <col customWidth="1" min="84" max="84" width="5.57"/>
    <col customWidth="1" min="85" max="96" width="3.71"/>
    <col customWidth="1" min="97" max="97" width="5.29"/>
    <col customWidth="1" min="98" max="98" width="6.29"/>
  </cols>
  <sheetData>
    <row r="1">
      <c r="A1" s="3" t="s">
        <v>234</v>
      </c>
      <c r="B1" s="5"/>
      <c r="C1" s="4"/>
      <c r="D1" s="6"/>
      <c r="E1" s="6"/>
      <c r="F1" s="8"/>
      <c r="G1" s="9"/>
      <c r="H1" s="11"/>
      <c r="I1" s="11"/>
      <c r="J1" s="11"/>
      <c r="K1" s="11"/>
      <c r="L1" s="11"/>
      <c r="M1" s="9"/>
      <c r="N1" s="9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9"/>
      <c r="AK1" s="13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9"/>
      <c r="BH1" s="15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9"/>
      <c r="CF1" s="9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</row>
    <row r="2">
      <c r="A2" s="17" t="s">
        <v>5</v>
      </c>
      <c r="B2" s="18"/>
      <c r="C2" s="19" t="s">
        <v>235</v>
      </c>
      <c r="D2" s="22"/>
      <c r="E2" s="22"/>
      <c r="F2" s="5"/>
      <c r="G2" s="9"/>
      <c r="H2" s="11"/>
      <c r="I2" s="11"/>
      <c r="J2" s="11"/>
      <c r="K2" s="11"/>
      <c r="L2" s="11"/>
      <c r="M2" s="9"/>
      <c r="N2" s="9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9"/>
      <c r="AK2" s="13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9"/>
      <c r="BH2" s="15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9"/>
      <c r="CF2" s="9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</row>
    <row r="3">
      <c r="A3" s="17" t="s">
        <v>9</v>
      </c>
      <c r="B3" s="18"/>
      <c r="C3" s="19" t="s">
        <v>236</v>
      </c>
      <c r="D3" s="22"/>
      <c r="E3" s="22"/>
      <c r="F3" s="18"/>
      <c r="G3" s="9"/>
      <c r="H3" s="11"/>
      <c r="I3" s="11"/>
      <c r="J3" s="11"/>
      <c r="K3" s="11"/>
      <c r="L3" s="11"/>
      <c r="M3" s="9"/>
      <c r="N3" s="9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9"/>
      <c r="AK3" s="13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9"/>
      <c r="BH3" s="15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9"/>
      <c r="CF3" s="9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</row>
    <row r="4">
      <c r="A4" s="17" t="s">
        <v>12</v>
      </c>
      <c r="B4" s="18"/>
      <c r="C4" s="293" t="s">
        <v>234</v>
      </c>
      <c r="D4" s="22"/>
      <c r="E4" s="22"/>
      <c r="F4" s="18"/>
      <c r="G4" s="9"/>
      <c r="H4" s="11"/>
      <c r="I4" s="11"/>
      <c r="J4" s="11"/>
      <c r="K4" s="11"/>
      <c r="L4" s="11"/>
      <c r="M4" s="9"/>
      <c r="N4" s="9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9"/>
      <c r="AK4" s="13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9"/>
      <c r="BH4" s="15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9"/>
      <c r="CF4" s="9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</row>
    <row r="5">
      <c r="A5" s="17" t="s">
        <v>14</v>
      </c>
      <c r="B5" s="18"/>
      <c r="C5" s="28">
        <v>46104.0</v>
      </c>
      <c r="D5" s="22"/>
      <c r="E5" s="22"/>
      <c r="F5" s="18"/>
      <c r="G5" s="31"/>
      <c r="H5" s="11"/>
      <c r="I5" s="11"/>
      <c r="J5" s="11"/>
      <c r="K5" s="11"/>
      <c r="L5" s="11"/>
      <c r="M5" s="9"/>
      <c r="N5" s="9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9"/>
      <c r="AK5" s="13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9"/>
      <c r="BH5" s="15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9"/>
      <c r="CF5" s="9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</row>
    <row r="6">
      <c r="A6" s="32" t="s">
        <v>15</v>
      </c>
      <c r="B6" s="33"/>
      <c r="C6" s="34"/>
      <c r="D6" s="38"/>
      <c r="E6" s="38"/>
      <c r="F6" s="39"/>
      <c r="G6" s="37"/>
      <c r="H6" s="11"/>
      <c r="I6" s="11"/>
      <c r="J6" s="11"/>
      <c r="K6" s="11"/>
      <c r="L6" s="11"/>
      <c r="M6" s="9"/>
      <c r="N6" s="9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9"/>
      <c r="AK6" s="13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9"/>
      <c r="BH6" s="15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9"/>
      <c r="CF6" s="9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</row>
    <row r="7">
      <c r="A7" s="31"/>
      <c r="B7" s="40"/>
      <c r="C7" s="41"/>
      <c r="D7" s="31"/>
      <c r="E7" s="31"/>
      <c r="F7" s="42"/>
      <c r="G7" s="37"/>
      <c r="H7" s="43">
        <v>1.0</v>
      </c>
      <c r="I7" s="43">
        <v>2.0</v>
      </c>
      <c r="J7" s="43">
        <v>3.0</v>
      </c>
      <c r="K7" s="43">
        <v>4.0</v>
      </c>
      <c r="L7" s="43">
        <v>5.0</v>
      </c>
      <c r="M7" s="44"/>
      <c r="N7" s="44"/>
      <c r="O7" s="43">
        <v>1.0</v>
      </c>
      <c r="P7" s="45">
        <v>2.0</v>
      </c>
      <c r="Q7" s="45">
        <v>3.0</v>
      </c>
      <c r="R7" s="46">
        <v>4.0</v>
      </c>
      <c r="S7" s="45">
        <v>5.0</v>
      </c>
      <c r="T7" s="45">
        <v>6.0</v>
      </c>
      <c r="U7" s="46">
        <v>7.0</v>
      </c>
      <c r="V7" s="45">
        <v>8.0</v>
      </c>
      <c r="W7" s="45">
        <v>9.0</v>
      </c>
      <c r="X7" s="46">
        <v>10.0</v>
      </c>
      <c r="Y7" s="45">
        <v>11.0</v>
      </c>
      <c r="Z7" s="45">
        <v>12.0</v>
      </c>
      <c r="AA7" s="46">
        <v>13.0</v>
      </c>
      <c r="AB7" s="45">
        <v>14.0</v>
      </c>
      <c r="AC7" s="45">
        <v>15.0</v>
      </c>
      <c r="AD7" s="46">
        <v>16.0</v>
      </c>
      <c r="AE7" s="45">
        <v>17.0</v>
      </c>
      <c r="AF7" s="45">
        <v>18.0</v>
      </c>
      <c r="AG7" s="46">
        <v>19.0</v>
      </c>
      <c r="AH7" s="45">
        <v>20.0</v>
      </c>
      <c r="AI7" s="45">
        <v>21.0</v>
      </c>
      <c r="AJ7" s="47"/>
      <c r="AK7" s="48"/>
      <c r="AL7" s="49">
        <v>1.0</v>
      </c>
      <c r="AM7" s="49">
        <v>2.0</v>
      </c>
      <c r="AN7" s="49">
        <v>3.0</v>
      </c>
      <c r="AO7" s="49">
        <v>4.0</v>
      </c>
      <c r="AP7" s="49">
        <v>5.0</v>
      </c>
      <c r="AQ7" s="49">
        <v>6.0</v>
      </c>
      <c r="AR7" s="49">
        <v>7.0</v>
      </c>
      <c r="AS7" s="49">
        <v>8.0</v>
      </c>
      <c r="AT7" s="49">
        <v>9.0</v>
      </c>
      <c r="AU7" s="49">
        <v>10.0</v>
      </c>
      <c r="AV7" s="49">
        <v>11.0</v>
      </c>
      <c r="AW7" s="49">
        <v>12.0</v>
      </c>
      <c r="AX7" s="49">
        <v>13.0</v>
      </c>
      <c r="AY7" s="49">
        <v>14.0</v>
      </c>
      <c r="AZ7" s="49">
        <v>15.0</v>
      </c>
      <c r="BA7" s="49">
        <v>16.0</v>
      </c>
      <c r="BB7" s="49">
        <v>17.0</v>
      </c>
      <c r="BC7" s="49">
        <v>18.0</v>
      </c>
      <c r="BD7" s="49">
        <v>19.0</v>
      </c>
      <c r="BE7" s="49">
        <v>20.0</v>
      </c>
      <c r="BF7" s="49">
        <v>21.0</v>
      </c>
      <c r="BG7" s="47"/>
      <c r="BH7" s="52"/>
      <c r="BI7" s="49">
        <v>1.0</v>
      </c>
      <c r="BJ7" s="49">
        <v>2.0</v>
      </c>
      <c r="BK7" s="49">
        <v>3.0</v>
      </c>
      <c r="BL7" s="49">
        <v>4.0</v>
      </c>
      <c r="BM7" s="49">
        <v>5.0</v>
      </c>
      <c r="BN7" s="49">
        <v>6.0</v>
      </c>
      <c r="BO7" s="49">
        <v>7.0</v>
      </c>
      <c r="BP7" s="49">
        <v>8.0</v>
      </c>
      <c r="BQ7" s="49">
        <v>9.0</v>
      </c>
      <c r="BR7" s="49">
        <v>10.0</v>
      </c>
      <c r="BS7" s="49">
        <v>11.0</v>
      </c>
      <c r="BT7" s="49">
        <v>12.0</v>
      </c>
      <c r="BU7" s="49">
        <v>13.0</v>
      </c>
      <c r="BV7" s="49">
        <v>14.0</v>
      </c>
      <c r="BW7" s="49">
        <v>15.0</v>
      </c>
      <c r="BX7" s="49">
        <v>16.0</v>
      </c>
      <c r="BY7" s="49">
        <v>17.0</v>
      </c>
      <c r="BZ7" s="49">
        <v>18.0</v>
      </c>
      <c r="CA7" s="49">
        <v>19.0</v>
      </c>
      <c r="CB7" s="49">
        <v>20.0</v>
      </c>
      <c r="CC7" s="49"/>
      <c r="CD7" s="49">
        <v>21.0</v>
      </c>
      <c r="CE7" s="47"/>
      <c r="CF7" s="47"/>
      <c r="CG7" s="49">
        <v>1.0</v>
      </c>
      <c r="CH7" s="49">
        <v>2.0</v>
      </c>
      <c r="CI7" s="49">
        <v>3.0</v>
      </c>
      <c r="CJ7" s="49">
        <v>4.0</v>
      </c>
      <c r="CK7" s="49">
        <v>5.0</v>
      </c>
      <c r="CL7" s="49">
        <v>6.0</v>
      </c>
      <c r="CM7" s="49">
        <v>7.0</v>
      </c>
      <c r="CN7" s="49">
        <v>8.0</v>
      </c>
      <c r="CO7" s="49">
        <v>9.0</v>
      </c>
      <c r="CP7" s="49">
        <v>10.0</v>
      </c>
      <c r="CQ7" s="49">
        <v>11.0</v>
      </c>
      <c r="CR7" s="49">
        <v>12.0</v>
      </c>
      <c r="CS7" s="55"/>
      <c r="CT7" s="55"/>
    </row>
    <row r="8" ht="78.75" customHeight="1">
      <c r="A8" s="56"/>
      <c r="B8" s="45"/>
      <c r="C8" s="45"/>
      <c r="D8" s="58" t="s">
        <v>17</v>
      </c>
      <c r="E8" s="59" t="s">
        <v>18</v>
      </c>
      <c r="F8" s="60" t="s">
        <v>19</v>
      </c>
      <c r="G8" s="61" t="s">
        <v>20</v>
      </c>
      <c r="H8" s="62">
        <v>46104.0</v>
      </c>
      <c r="I8" s="62">
        <v>46105.0</v>
      </c>
      <c r="J8" s="62">
        <v>46106.0</v>
      </c>
      <c r="K8" s="62">
        <v>46107.0</v>
      </c>
      <c r="L8" s="64">
        <v>46111.0</v>
      </c>
      <c r="M8" s="65" t="s">
        <v>21</v>
      </c>
      <c r="N8" s="66" t="s">
        <v>22</v>
      </c>
      <c r="O8" s="62">
        <v>46113.0</v>
      </c>
      <c r="P8" s="62">
        <v>46114.0</v>
      </c>
      <c r="Q8" s="62">
        <v>46115.0</v>
      </c>
      <c r="R8" s="62">
        <v>46118.0</v>
      </c>
      <c r="S8" s="62">
        <v>46119.0</v>
      </c>
      <c r="T8" s="62">
        <v>46120.0</v>
      </c>
      <c r="U8" s="62">
        <v>46121.0</v>
      </c>
      <c r="V8" s="62">
        <v>46122.0</v>
      </c>
      <c r="W8" s="62">
        <v>46125.0</v>
      </c>
      <c r="X8" s="62">
        <v>46127.0</v>
      </c>
      <c r="Y8" s="62">
        <v>46128.0</v>
      </c>
      <c r="Z8" s="62">
        <v>46129.0</v>
      </c>
      <c r="AA8" s="62">
        <v>46132.0</v>
      </c>
      <c r="AB8" s="62">
        <v>46133.0</v>
      </c>
      <c r="AC8" s="62">
        <v>46134.0</v>
      </c>
      <c r="AD8" s="62">
        <v>46135.0</v>
      </c>
      <c r="AE8" s="62">
        <v>46136.0</v>
      </c>
      <c r="AF8" s="62">
        <v>46139.0</v>
      </c>
      <c r="AG8" s="62">
        <v>46140.0</v>
      </c>
      <c r="AH8" s="62">
        <v>46141.0</v>
      </c>
      <c r="AI8" s="62">
        <v>46142.0</v>
      </c>
      <c r="AJ8" s="67" t="s">
        <v>23</v>
      </c>
      <c r="AK8" s="68" t="s">
        <v>24</v>
      </c>
      <c r="AL8" s="62">
        <v>46143.0</v>
      </c>
      <c r="AM8" s="62">
        <v>46146.0</v>
      </c>
      <c r="AN8" s="62">
        <v>46147.0</v>
      </c>
      <c r="AO8" s="62">
        <v>46148.0</v>
      </c>
      <c r="AP8" s="62">
        <v>46149.0</v>
      </c>
      <c r="AQ8" s="62">
        <v>46150.0</v>
      </c>
      <c r="AR8" s="62">
        <v>46153.0</v>
      </c>
      <c r="AS8" s="62">
        <v>46154.0</v>
      </c>
      <c r="AT8" s="62">
        <v>46155.0</v>
      </c>
      <c r="AU8" s="62">
        <v>46156.0</v>
      </c>
      <c r="AV8" s="62">
        <v>46157.0</v>
      </c>
      <c r="AW8" s="62">
        <v>46160.0</v>
      </c>
      <c r="AX8" s="62">
        <v>46161.0</v>
      </c>
      <c r="AY8" s="62">
        <v>46162.0</v>
      </c>
      <c r="AZ8" s="62">
        <v>46163.0</v>
      </c>
      <c r="BA8" s="62">
        <v>46164.0</v>
      </c>
      <c r="BB8" s="62">
        <v>46167.0</v>
      </c>
      <c r="BC8" s="62">
        <v>46168.0</v>
      </c>
      <c r="BD8" s="62">
        <v>46169.0</v>
      </c>
      <c r="BE8" s="62">
        <v>46170.0</v>
      </c>
      <c r="BF8" s="62">
        <v>46171.0</v>
      </c>
      <c r="BG8" s="70" t="s">
        <v>25</v>
      </c>
      <c r="BH8" s="71" t="s">
        <v>26</v>
      </c>
      <c r="BI8" s="62">
        <v>46174.0</v>
      </c>
      <c r="BJ8" s="62">
        <v>46175.0</v>
      </c>
      <c r="BK8" s="62">
        <v>46176.0</v>
      </c>
      <c r="BL8" s="62">
        <v>46177.0</v>
      </c>
      <c r="BM8" s="62">
        <v>46178.0</v>
      </c>
      <c r="BN8" s="62">
        <v>46181.0</v>
      </c>
      <c r="BO8" s="62">
        <v>46182.0</v>
      </c>
      <c r="BP8" s="62">
        <v>46183.0</v>
      </c>
      <c r="BQ8" s="62">
        <v>46184.0</v>
      </c>
      <c r="BR8" s="62">
        <v>46185.0</v>
      </c>
      <c r="BS8" s="64">
        <v>46188.0</v>
      </c>
      <c r="BT8" s="64">
        <v>46189.0</v>
      </c>
      <c r="BU8" s="64">
        <v>46190.0</v>
      </c>
      <c r="BV8" s="64">
        <v>46191.0</v>
      </c>
      <c r="BW8" s="64">
        <v>46192.0</v>
      </c>
      <c r="BX8" s="64">
        <v>46195.0</v>
      </c>
      <c r="BY8" s="64">
        <v>46196.0</v>
      </c>
      <c r="BZ8" s="64">
        <v>46197.0</v>
      </c>
      <c r="CA8" s="64">
        <v>46198.0</v>
      </c>
      <c r="CB8" s="64">
        <v>46199.0</v>
      </c>
      <c r="CC8" s="64">
        <v>46202.0</v>
      </c>
      <c r="CD8" s="64">
        <v>46203.0</v>
      </c>
      <c r="CE8" s="74" t="s">
        <v>27</v>
      </c>
      <c r="CF8" s="75" t="s">
        <v>28</v>
      </c>
      <c r="CG8" s="77">
        <v>46205.0</v>
      </c>
      <c r="CH8" s="87">
        <v>46206.0</v>
      </c>
      <c r="CI8" s="87">
        <v>46209.0</v>
      </c>
      <c r="CJ8" s="87">
        <v>46210.0</v>
      </c>
      <c r="CK8" s="79"/>
      <c r="CL8" s="79"/>
      <c r="CM8" s="79"/>
      <c r="CN8" s="79"/>
      <c r="CO8" s="79"/>
      <c r="CP8" s="79"/>
      <c r="CQ8" s="79"/>
      <c r="CR8" s="79"/>
      <c r="CS8" s="80" t="s">
        <v>31</v>
      </c>
      <c r="CT8" s="81" t="s">
        <v>32</v>
      </c>
    </row>
    <row r="9">
      <c r="A9" s="84" t="s">
        <v>237</v>
      </c>
      <c r="B9" s="85" t="s">
        <v>40</v>
      </c>
      <c r="C9" s="85" t="s">
        <v>42</v>
      </c>
      <c r="D9" s="91">
        <f t="shared" ref="D9:D93" si="6">SUM(M9+AJ9+BG9+CE9+CS9)</f>
        <v>18</v>
      </c>
      <c r="E9" s="91"/>
      <c r="F9" s="92"/>
      <c r="G9" s="92"/>
      <c r="H9" s="93">
        <f t="shared" ref="H9:L9" si="1">SUM(H10:H51)</f>
        <v>0</v>
      </c>
      <c r="I9" s="93">
        <f t="shared" si="1"/>
        <v>0</v>
      </c>
      <c r="J9" s="93">
        <f t="shared" si="1"/>
        <v>0</v>
      </c>
      <c r="K9" s="93">
        <f t="shared" si="1"/>
        <v>0</v>
      </c>
      <c r="L9" s="93">
        <f t="shared" si="1"/>
        <v>0</v>
      </c>
      <c r="M9" s="94">
        <f>COUNTIF(H9:L9,"&gt;0")</f>
        <v>0</v>
      </c>
      <c r="N9" s="96">
        <f>COUNTIF(H9:L9,"&gt;0")</f>
        <v>0</v>
      </c>
      <c r="O9" s="93">
        <f t="shared" ref="O9:AI9" si="2">SUM(O10:O51)</f>
        <v>0</v>
      </c>
      <c r="P9" s="93">
        <f t="shared" si="2"/>
        <v>0</v>
      </c>
      <c r="Q9" s="93">
        <f t="shared" si="2"/>
        <v>0</v>
      </c>
      <c r="R9" s="93">
        <f t="shared" si="2"/>
        <v>0</v>
      </c>
      <c r="S9" s="93">
        <f t="shared" si="2"/>
        <v>0</v>
      </c>
      <c r="T9" s="93">
        <f t="shared" si="2"/>
        <v>0</v>
      </c>
      <c r="U9" s="93">
        <f t="shared" si="2"/>
        <v>0</v>
      </c>
      <c r="V9" s="93">
        <f t="shared" si="2"/>
        <v>0</v>
      </c>
      <c r="W9" s="93">
        <f t="shared" si="2"/>
        <v>17</v>
      </c>
      <c r="X9" s="93">
        <f t="shared" si="2"/>
        <v>0</v>
      </c>
      <c r="Y9" s="93">
        <f t="shared" si="2"/>
        <v>0</v>
      </c>
      <c r="Z9" s="93">
        <f t="shared" si="2"/>
        <v>0</v>
      </c>
      <c r="AA9" s="93">
        <f t="shared" si="2"/>
        <v>21</v>
      </c>
      <c r="AB9" s="93">
        <f t="shared" si="2"/>
        <v>0</v>
      </c>
      <c r="AC9" s="93">
        <f t="shared" si="2"/>
        <v>0</v>
      </c>
      <c r="AD9" s="93">
        <f t="shared" si="2"/>
        <v>0</v>
      </c>
      <c r="AE9" s="93">
        <f t="shared" si="2"/>
        <v>0</v>
      </c>
      <c r="AF9" s="93">
        <f t="shared" si="2"/>
        <v>25</v>
      </c>
      <c r="AG9" s="93">
        <f t="shared" si="2"/>
        <v>0</v>
      </c>
      <c r="AH9" s="93">
        <f t="shared" si="2"/>
        <v>0</v>
      </c>
      <c r="AI9" s="93">
        <f t="shared" si="2"/>
        <v>25</v>
      </c>
      <c r="AJ9" s="44">
        <f>COUNTIF(O9:AI9,"&gt;0")</f>
        <v>4</v>
      </c>
      <c r="AK9" s="102">
        <f>SUM(M9+AJ9)</f>
        <v>4</v>
      </c>
      <c r="AL9" s="103">
        <f t="shared" ref="AL9:BF9" si="3">SUM(AL10:AL51)</f>
        <v>0</v>
      </c>
      <c r="AM9" s="103">
        <f t="shared" si="3"/>
        <v>28</v>
      </c>
      <c r="AN9" s="103">
        <f t="shared" si="3"/>
        <v>0</v>
      </c>
      <c r="AO9" s="103">
        <f t="shared" si="3"/>
        <v>0</v>
      </c>
      <c r="AP9" s="103">
        <f t="shared" si="3"/>
        <v>0</v>
      </c>
      <c r="AQ9" s="103">
        <f t="shared" si="3"/>
        <v>0</v>
      </c>
      <c r="AR9" s="103">
        <f t="shared" si="3"/>
        <v>26</v>
      </c>
      <c r="AS9" s="103">
        <f t="shared" si="3"/>
        <v>0</v>
      </c>
      <c r="AT9" s="103">
        <f t="shared" si="3"/>
        <v>0</v>
      </c>
      <c r="AU9" s="103">
        <f t="shared" si="3"/>
        <v>26</v>
      </c>
      <c r="AV9" s="103">
        <f t="shared" si="3"/>
        <v>0</v>
      </c>
      <c r="AW9" s="103">
        <f t="shared" si="3"/>
        <v>0</v>
      </c>
      <c r="AX9" s="103">
        <f t="shared" si="3"/>
        <v>0</v>
      </c>
      <c r="AY9" s="103">
        <f t="shared" si="3"/>
        <v>0</v>
      </c>
      <c r="AZ9" s="103">
        <f t="shared" si="3"/>
        <v>0</v>
      </c>
      <c r="BA9" s="103">
        <f t="shared" si="3"/>
        <v>0</v>
      </c>
      <c r="BB9" s="103">
        <f t="shared" si="3"/>
        <v>0</v>
      </c>
      <c r="BC9" s="103">
        <f t="shared" si="3"/>
        <v>0</v>
      </c>
      <c r="BD9" s="103">
        <f t="shared" si="3"/>
        <v>0</v>
      </c>
      <c r="BE9" s="103">
        <f t="shared" si="3"/>
        <v>0</v>
      </c>
      <c r="BF9" s="103">
        <f t="shared" si="3"/>
        <v>0</v>
      </c>
      <c r="BG9" s="54">
        <f>COUNTIF(AL9:BF9,"&gt;0")</f>
        <v>3</v>
      </c>
      <c r="BH9" s="106">
        <f>SUM(AK9+BG9)</f>
        <v>7</v>
      </c>
      <c r="BI9" s="107">
        <f t="shared" ref="BI9:CD9" si="4">SUM(BI10:BI51)</f>
        <v>2</v>
      </c>
      <c r="BJ9" s="107">
        <f t="shared" si="4"/>
        <v>0</v>
      </c>
      <c r="BK9" s="107">
        <f t="shared" si="4"/>
        <v>0</v>
      </c>
      <c r="BL9" s="107">
        <f t="shared" si="4"/>
        <v>0</v>
      </c>
      <c r="BM9" s="107">
        <f t="shared" si="4"/>
        <v>0</v>
      </c>
      <c r="BN9" s="107">
        <f t="shared" si="4"/>
        <v>0</v>
      </c>
      <c r="BO9" s="107">
        <f t="shared" si="4"/>
        <v>26</v>
      </c>
      <c r="BP9" s="107">
        <f t="shared" si="4"/>
        <v>0</v>
      </c>
      <c r="BQ9" s="107">
        <f t="shared" si="4"/>
        <v>0</v>
      </c>
      <c r="BR9" s="107">
        <f t="shared" si="4"/>
        <v>10</v>
      </c>
      <c r="BS9" s="107">
        <f t="shared" si="4"/>
        <v>23</v>
      </c>
      <c r="BT9" s="107">
        <f t="shared" si="4"/>
        <v>0</v>
      </c>
      <c r="BU9" s="107">
        <f t="shared" si="4"/>
        <v>0</v>
      </c>
      <c r="BV9" s="107">
        <f t="shared" si="4"/>
        <v>17</v>
      </c>
      <c r="BW9" s="107">
        <f t="shared" si="4"/>
        <v>0</v>
      </c>
      <c r="BX9" s="107">
        <f t="shared" si="4"/>
        <v>21</v>
      </c>
      <c r="BY9" s="107">
        <f t="shared" si="4"/>
        <v>0</v>
      </c>
      <c r="BZ9" s="107">
        <f t="shared" si="4"/>
        <v>0</v>
      </c>
      <c r="CA9" s="107">
        <f t="shared" si="4"/>
        <v>14</v>
      </c>
      <c r="CB9" s="107">
        <f t="shared" si="4"/>
        <v>0</v>
      </c>
      <c r="CC9" s="107">
        <f t="shared" si="4"/>
        <v>16</v>
      </c>
      <c r="CD9" s="107">
        <f t="shared" si="4"/>
        <v>0</v>
      </c>
      <c r="CE9" s="47">
        <f>COUNTIF(BI9:CD9,"&gt;0")</f>
        <v>8</v>
      </c>
      <c r="CF9" s="52">
        <f>SUM(BH9+CE9)</f>
        <v>15</v>
      </c>
      <c r="CG9" s="107">
        <f t="shared" ref="CG9:CR9" si="5">SUM(CG11:CG51)</f>
        <v>27</v>
      </c>
      <c r="CH9" s="107">
        <f t="shared" si="5"/>
        <v>0</v>
      </c>
      <c r="CI9" s="107">
        <f t="shared" si="5"/>
        <v>5</v>
      </c>
      <c r="CJ9" s="107">
        <f t="shared" si="5"/>
        <v>14</v>
      </c>
      <c r="CK9" s="107">
        <f t="shared" si="5"/>
        <v>0</v>
      </c>
      <c r="CL9" s="107">
        <f t="shared" si="5"/>
        <v>0</v>
      </c>
      <c r="CM9" s="107">
        <f t="shared" si="5"/>
        <v>0</v>
      </c>
      <c r="CN9" s="107">
        <f t="shared" si="5"/>
        <v>0</v>
      </c>
      <c r="CO9" s="107">
        <f t="shared" si="5"/>
        <v>0</v>
      </c>
      <c r="CP9" s="107">
        <f t="shared" si="5"/>
        <v>0</v>
      </c>
      <c r="CQ9" s="107">
        <f t="shared" si="5"/>
        <v>0</v>
      </c>
      <c r="CR9" s="107">
        <f t="shared" si="5"/>
        <v>0</v>
      </c>
      <c r="CS9" s="109">
        <f>COUNTIF(CG9:CR9,"&gt;0")</f>
        <v>3</v>
      </c>
      <c r="CT9" s="110">
        <f>SUM(CF9+CS9)</f>
        <v>18</v>
      </c>
    </row>
    <row r="10">
      <c r="A10" s="50">
        <v>1.0</v>
      </c>
      <c r="B10" s="111" t="s">
        <v>51</v>
      </c>
      <c r="C10" s="112" t="s">
        <v>52</v>
      </c>
      <c r="D10" s="91">
        <f t="shared" si="6"/>
        <v>1</v>
      </c>
      <c r="E10" s="113">
        <f t="shared" ref="E10:E51" si="7">(D10)/D$9*100</f>
        <v>5.555555556</v>
      </c>
      <c r="F10" s="114">
        <f t="shared" ref="F10:F51" si="8">IF(E10&lt;50,E10, "  ")</f>
        <v>5.555555556</v>
      </c>
      <c r="G10" s="114">
        <f t="shared" ref="G10:G51" si="9">IF(E10&lt;30,E10, "  ")</f>
        <v>5.555555556</v>
      </c>
      <c r="H10" s="116"/>
      <c r="I10" s="116"/>
      <c r="J10" s="116"/>
      <c r="K10" s="116"/>
      <c r="L10" s="116"/>
      <c r="M10" s="118">
        <f t="shared" ref="M10:M51" si="10">SUM(H10:L10)</f>
        <v>0</v>
      </c>
      <c r="N10" s="119" t="str">
        <f t="shared" ref="N10:N50" si="11">M10/M$9*100</f>
        <v>#DIV/0!</v>
      </c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20">
        <f t="shared" ref="AJ10:AJ51" si="12">SUM(O10:AI10)</f>
        <v>0</v>
      </c>
      <c r="AK10" s="121">
        <f t="shared" ref="AK10:AK51" si="13">AJ10/AJ$9*100</f>
        <v>0</v>
      </c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6"/>
      <c r="BF10" s="116"/>
      <c r="BG10" s="118">
        <f t="shared" ref="BG10:BG51" si="14">SUM(AL10:BF10)</f>
        <v>0</v>
      </c>
      <c r="BH10" s="122">
        <f t="shared" ref="BH10:BH51" si="15">BG10/BG$9*100</f>
        <v>0</v>
      </c>
      <c r="BI10" s="138">
        <v>1.0</v>
      </c>
      <c r="BJ10" s="116"/>
      <c r="BK10" s="116"/>
      <c r="BL10" s="116"/>
      <c r="BM10" s="116"/>
      <c r="BN10" s="116"/>
      <c r="BO10" s="116"/>
      <c r="BP10" s="116"/>
      <c r="BQ10" s="116"/>
      <c r="BR10" s="116"/>
      <c r="BS10" s="116"/>
      <c r="BT10" s="116"/>
      <c r="BU10" s="116"/>
      <c r="BV10" s="116"/>
      <c r="BW10" s="43"/>
      <c r="BX10" s="43"/>
      <c r="BY10" s="43"/>
      <c r="BZ10" s="43"/>
      <c r="CA10" s="43"/>
      <c r="CB10" s="43"/>
      <c r="CC10" s="43"/>
      <c r="CD10" s="43"/>
      <c r="CE10" s="124">
        <f t="shared" ref="CE10:CE51" si="16">SUM(BI10:CD10)</f>
        <v>1</v>
      </c>
      <c r="CF10" s="125">
        <f t="shared" ref="CF10:CF51" si="17">CE10/CE$9*100</f>
        <v>12.5</v>
      </c>
      <c r="CG10" s="43"/>
      <c r="CH10" s="43"/>
      <c r="CI10" s="43"/>
      <c r="CJ10" s="43"/>
      <c r="CK10" s="43"/>
      <c r="CL10" s="43"/>
      <c r="CM10" s="43"/>
      <c r="CN10" s="43"/>
      <c r="CO10" s="43"/>
      <c r="CP10" s="43"/>
      <c r="CQ10" s="43"/>
      <c r="CR10" s="43"/>
      <c r="CS10" s="128">
        <f t="shared" ref="CS10:CS47" si="18">SUM(CG10:CR10)</f>
        <v>0</v>
      </c>
      <c r="CT10" s="129">
        <f t="shared" ref="CT10:CT47" si="19">CS10/CS$9*100</f>
        <v>0</v>
      </c>
    </row>
    <row r="11">
      <c r="A11" s="131">
        <v>2.0</v>
      </c>
      <c r="B11" s="111" t="s">
        <v>53</v>
      </c>
      <c r="C11" s="112" t="s">
        <v>54</v>
      </c>
      <c r="D11" s="91">
        <f t="shared" si="6"/>
        <v>15</v>
      </c>
      <c r="E11" s="113">
        <f t="shared" si="7"/>
        <v>83.33333333</v>
      </c>
      <c r="F11" s="133" t="str">
        <f t="shared" si="8"/>
        <v>  </v>
      </c>
      <c r="G11" s="135" t="str">
        <f t="shared" si="9"/>
        <v>  </v>
      </c>
      <c r="H11" s="116"/>
      <c r="I11" s="116"/>
      <c r="J11" s="116"/>
      <c r="K11" s="116"/>
      <c r="L11" s="116"/>
      <c r="M11" s="118">
        <f t="shared" si="10"/>
        <v>0</v>
      </c>
      <c r="N11" s="119" t="str">
        <f t="shared" si="11"/>
        <v>#DIV/0!</v>
      </c>
      <c r="O11" s="116"/>
      <c r="P11" s="116"/>
      <c r="Q11" s="116"/>
      <c r="R11" s="116"/>
      <c r="S11" s="116"/>
      <c r="T11" s="116"/>
      <c r="U11" s="116"/>
      <c r="V11" s="116"/>
      <c r="W11" s="138">
        <v>1.0</v>
      </c>
      <c r="X11" s="116"/>
      <c r="Y11" s="116"/>
      <c r="Z11" s="116"/>
      <c r="AA11" s="138">
        <v>1.0</v>
      </c>
      <c r="AB11" s="116"/>
      <c r="AC11" s="116"/>
      <c r="AD11" s="116"/>
      <c r="AE11" s="116"/>
      <c r="AF11" s="138">
        <v>1.0</v>
      </c>
      <c r="AG11" s="116"/>
      <c r="AH11" s="116"/>
      <c r="AI11" s="138">
        <v>1.0</v>
      </c>
      <c r="AJ11" s="120">
        <f t="shared" si="12"/>
        <v>4</v>
      </c>
      <c r="AK11" s="121">
        <f t="shared" si="13"/>
        <v>100</v>
      </c>
      <c r="AL11" s="116"/>
      <c r="AM11" s="138">
        <v>1.0</v>
      </c>
      <c r="AN11" s="116"/>
      <c r="AO11" s="116"/>
      <c r="AP11" s="116"/>
      <c r="AQ11" s="116"/>
      <c r="AR11" s="138">
        <v>1.0</v>
      </c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6"/>
      <c r="BF11" s="116"/>
      <c r="BG11" s="118">
        <f t="shared" si="14"/>
        <v>2</v>
      </c>
      <c r="BH11" s="122">
        <f t="shared" si="15"/>
        <v>66.66666667</v>
      </c>
      <c r="BI11" s="116"/>
      <c r="BJ11" s="116"/>
      <c r="BK11" s="116"/>
      <c r="BL11" s="116"/>
      <c r="BM11" s="116"/>
      <c r="BN11" s="116"/>
      <c r="BO11" s="138">
        <v>1.0</v>
      </c>
      <c r="BP11" s="116"/>
      <c r="BQ11" s="116"/>
      <c r="BR11" s="138">
        <v>1.0</v>
      </c>
      <c r="BS11" s="138">
        <v>1.0</v>
      </c>
      <c r="BT11" s="116"/>
      <c r="BU11" s="116"/>
      <c r="BV11" s="138">
        <v>1.0</v>
      </c>
      <c r="BW11" s="43"/>
      <c r="BX11" s="145">
        <v>1.0</v>
      </c>
      <c r="BY11" s="43"/>
      <c r="BZ11" s="43"/>
      <c r="CA11" s="145">
        <v>1.0</v>
      </c>
      <c r="CB11" s="43"/>
      <c r="CC11" s="145">
        <v>1.0</v>
      </c>
      <c r="CD11" s="43"/>
      <c r="CE11" s="124">
        <f t="shared" si="16"/>
        <v>7</v>
      </c>
      <c r="CF11" s="125">
        <f t="shared" si="17"/>
        <v>87.5</v>
      </c>
      <c r="CG11" s="145">
        <v>1.0</v>
      </c>
      <c r="CH11" s="43"/>
      <c r="CI11" s="43"/>
      <c r="CJ11" s="145">
        <v>1.0</v>
      </c>
      <c r="CK11" s="43"/>
      <c r="CL11" s="43"/>
      <c r="CM11" s="43"/>
      <c r="CN11" s="43"/>
      <c r="CO11" s="43"/>
      <c r="CP11" s="43"/>
      <c r="CQ11" s="43"/>
      <c r="CR11" s="43"/>
      <c r="CS11" s="128">
        <f t="shared" si="18"/>
        <v>2</v>
      </c>
      <c r="CT11" s="129">
        <f t="shared" si="19"/>
        <v>66.66666667</v>
      </c>
    </row>
    <row r="12" ht="18.0" customHeight="1">
      <c r="A12" s="146">
        <v>3.0</v>
      </c>
      <c r="B12" s="111" t="s">
        <v>55</v>
      </c>
      <c r="C12" s="112" t="s">
        <v>56</v>
      </c>
      <c r="D12" s="91">
        <f t="shared" si="6"/>
        <v>9</v>
      </c>
      <c r="E12" s="113">
        <f t="shared" si="7"/>
        <v>50</v>
      </c>
      <c r="F12" s="92" t="str">
        <f t="shared" si="8"/>
        <v>  </v>
      </c>
      <c r="G12" s="149" t="str">
        <f t="shared" si="9"/>
        <v>  </v>
      </c>
      <c r="H12" s="116"/>
      <c r="I12" s="150"/>
      <c r="J12" s="116"/>
      <c r="K12" s="116"/>
      <c r="L12" s="116"/>
      <c r="M12" s="118">
        <f t="shared" si="10"/>
        <v>0</v>
      </c>
      <c r="N12" s="119" t="str">
        <f t="shared" si="11"/>
        <v>#DIV/0!</v>
      </c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38">
        <v>1.0</v>
      </c>
      <c r="AB12" s="116"/>
      <c r="AC12" s="116"/>
      <c r="AD12" s="116"/>
      <c r="AE12" s="116"/>
      <c r="AF12" s="138">
        <v>1.0</v>
      </c>
      <c r="AG12" s="116"/>
      <c r="AH12" s="116"/>
      <c r="AI12" s="116"/>
      <c r="AJ12" s="120">
        <f t="shared" si="12"/>
        <v>2</v>
      </c>
      <c r="AK12" s="151">
        <f t="shared" si="13"/>
        <v>50</v>
      </c>
      <c r="AL12" s="116"/>
      <c r="AM12" s="138">
        <v>1.0</v>
      </c>
      <c r="AN12" s="116"/>
      <c r="AO12" s="116"/>
      <c r="AP12" s="116"/>
      <c r="AQ12" s="116"/>
      <c r="AR12" s="138">
        <v>1.0</v>
      </c>
      <c r="AS12" s="116"/>
      <c r="AT12" s="116"/>
      <c r="AU12" s="138">
        <v>1.0</v>
      </c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8">
        <f t="shared" si="14"/>
        <v>3</v>
      </c>
      <c r="BH12" s="122">
        <f t="shared" si="15"/>
        <v>100</v>
      </c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/>
      <c r="BT12" s="116"/>
      <c r="BU12" s="116"/>
      <c r="BV12" s="138">
        <v>1.0</v>
      </c>
      <c r="BW12" s="43"/>
      <c r="BX12" s="145">
        <v>1.0</v>
      </c>
      <c r="BY12" s="43"/>
      <c r="BZ12" s="43"/>
      <c r="CA12" s="145">
        <v>1.0</v>
      </c>
      <c r="CB12" s="43"/>
      <c r="CC12" s="43"/>
      <c r="CD12" s="43"/>
      <c r="CE12" s="155">
        <f t="shared" si="16"/>
        <v>3</v>
      </c>
      <c r="CF12" s="156">
        <f t="shared" si="17"/>
        <v>37.5</v>
      </c>
      <c r="CG12" s="145">
        <v>1.0</v>
      </c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157">
        <f t="shared" si="18"/>
        <v>1</v>
      </c>
      <c r="CT12" s="158">
        <f t="shared" si="19"/>
        <v>33.33333333</v>
      </c>
    </row>
    <row r="13">
      <c r="A13" s="50">
        <v>4.0</v>
      </c>
      <c r="B13" s="161" t="s">
        <v>57</v>
      </c>
      <c r="C13" s="162" t="s">
        <v>58</v>
      </c>
      <c r="D13" s="91">
        <f t="shared" si="6"/>
        <v>10</v>
      </c>
      <c r="E13" s="113">
        <f t="shared" si="7"/>
        <v>55.55555556</v>
      </c>
      <c r="F13" s="114" t="str">
        <f t="shared" si="8"/>
        <v>  </v>
      </c>
      <c r="G13" s="164" t="str">
        <f t="shared" si="9"/>
        <v>  </v>
      </c>
      <c r="H13" s="165"/>
      <c r="I13" s="116"/>
      <c r="J13" s="116"/>
      <c r="K13" s="116"/>
      <c r="L13" s="116"/>
      <c r="M13" s="118">
        <f t="shared" si="10"/>
        <v>0</v>
      </c>
      <c r="N13" s="119" t="str">
        <f t="shared" si="11"/>
        <v>#DIV/0!</v>
      </c>
      <c r="O13" s="165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38">
        <v>1.0</v>
      </c>
      <c r="AB13" s="116"/>
      <c r="AC13" s="116"/>
      <c r="AD13" s="116"/>
      <c r="AE13" s="116"/>
      <c r="AF13" s="196">
        <v>1.0</v>
      </c>
      <c r="AG13" s="165"/>
      <c r="AH13" s="165"/>
      <c r="AI13" s="165"/>
      <c r="AJ13" s="168">
        <f t="shared" si="12"/>
        <v>2</v>
      </c>
      <c r="AK13" s="169">
        <f t="shared" si="13"/>
        <v>50</v>
      </c>
      <c r="AL13" s="165"/>
      <c r="AM13" s="138">
        <v>1.0</v>
      </c>
      <c r="AN13" s="116"/>
      <c r="AO13" s="116"/>
      <c r="AP13" s="116"/>
      <c r="AQ13" s="116"/>
      <c r="AR13" s="138">
        <v>1.0</v>
      </c>
      <c r="AS13" s="116"/>
      <c r="AT13" s="116"/>
      <c r="AU13" s="138">
        <v>1.0</v>
      </c>
      <c r="AV13" s="116"/>
      <c r="AW13" s="116"/>
      <c r="AX13" s="116"/>
      <c r="AY13" s="116"/>
      <c r="AZ13" s="116"/>
      <c r="BA13" s="116"/>
      <c r="BB13" s="116"/>
      <c r="BC13" s="116"/>
      <c r="BD13" s="116"/>
      <c r="BE13" s="116"/>
      <c r="BF13" s="116"/>
      <c r="BG13" s="118">
        <f t="shared" si="14"/>
        <v>3</v>
      </c>
      <c r="BH13" s="122">
        <f t="shared" si="15"/>
        <v>100</v>
      </c>
      <c r="BI13" s="165"/>
      <c r="BJ13" s="116"/>
      <c r="BK13" s="116"/>
      <c r="BL13" s="116"/>
      <c r="BM13" s="116"/>
      <c r="BN13" s="116"/>
      <c r="BO13" s="138">
        <v>1.0</v>
      </c>
      <c r="BP13" s="116"/>
      <c r="BQ13" s="116"/>
      <c r="BR13" s="116"/>
      <c r="BS13" s="116"/>
      <c r="BT13" s="116"/>
      <c r="BU13" s="116"/>
      <c r="BV13" s="138">
        <v>1.0</v>
      </c>
      <c r="BW13" s="43"/>
      <c r="BX13" s="145">
        <v>1.0</v>
      </c>
      <c r="BY13" s="43"/>
      <c r="BZ13" s="43"/>
      <c r="CA13" s="145">
        <v>1.0</v>
      </c>
      <c r="CB13" s="43"/>
      <c r="CC13" s="43"/>
      <c r="CD13" s="43"/>
      <c r="CE13" s="172">
        <f t="shared" si="16"/>
        <v>4</v>
      </c>
      <c r="CF13" s="173">
        <f t="shared" si="17"/>
        <v>50</v>
      </c>
      <c r="CG13" s="174">
        <v>1.0</v>
      </c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175">
        <f t="shared" si="18"/>
        <v>1</v>
      </c>
      <c r="CT13" s="158">
        <f t="shared" si="19"/>
        <v>33.33333333</v>
      </c>
    </row>
    <row r="14">
      <c r="A14" s="131">
        <v>5.0</v>
      </c>
      <c r="B14" s="111" t="s">
        <v>59</v>
      </c>
      <c r="C14" s="112" t="s">
        <v>60</v>
      </c>
      <c r="D14" s="91">
        <f t="shared" si="6"/>
        <v>12</v>
      </c>
      <c r="E14" s="113">
        <f t="shared" si="7"/>
        <v>66.66666667</v>
      </c>
      <c r="F14" s="92" t="str">
        <f t="shared" si="8"/>
        <v>  </v>
      </c>
      <c r="G14" s="164" t="str">
        <f t="shared" si="9"/>
        <v>  </v>
      </c>
      <c r="H14" s="165"/>
      <c r="I14" s="116"/>
      <c r="J14" s="43"/>
      <c r="K14" s="116"/>
      <c r="L14" s="116"/>
      <c r="M14" s="118">
        <f t="shared" si="10"/>
        <v>0</v>
      </c>
      <c r="N14" s="119" t="str">
        <f t="shared" si="11"/>
        <v>#DIV/0!</v>
      </c>
      <c r="O14" s="176"/>
      <c r="P14" s="179"/>
      <c r="Q14" s="179"/>
      <c r="R14" s="179"/>
      <c r="S14" s="179"/>
      <c r="T14" s="179"/>
      <c r="U14" s="179"/>
      <c r="V14" s="179"/>
      <c r="W14" s="184">
        <v>1.0</v>
      </c>
      <c r="X14" s="179"/>
      <c r="Y14" s="179"/>
      <c r="Z14" s="179"/>
      <c r="AA14" s="184">
        <v>1.0</v>
      </c>
      <c r="AB14" s="179"/>
      <c r="AC14" s="179"/>
      <c r="AD14" s="179"/>
      <c r="AE14" s="179"/>
      <c r="AF14" s="182">
        <v>1.0</v>
      </c>
      <c r="AG14" s="176"/>
      <c r="AH14" s="176"/>
      <c r="AI14" s="182">
        <v>1.0</v>
      </c>
      <c r="AJ14" s="168">
        <f t="shared" si="12"/>
        <v>4</v>
      </c>
      <c r="AK14" s="169">
        <f t="shared" si="13"/>
        <v>100</v>
      </c>
      <c r="AL14" s="183"/>
      <c r="AM14" s="184">
        <v>1.0</v>
      </c>
      <c r="AN14" s="179"/>
      <c r="AO14" s="179"/>
      <c r="AP14" s="179"/>
      <c r="AQ14" s="179"/>
      <c r="AR14" s="179"/>
      <c r="AS14" s="179"/>
      <c r="AT14" s="179"/>
      <c r="AU14" s="184">
        <v>1.0</v>
      </c>
      <c r="AV14" s="179"/>
      <c r="AW14" s="179"/>
      <c r="AX14" s="179"/>
      <c r="AY14" s="179"/>
      <c r="AZ14" s="179"/>
      <c r="BA14" s="179"/>
      <c r="BB14" s="179"/>
      <c r="BC14" s="179"/>
      <c r="BD14" s="179"/>
      <c r="BE14" s="179"/>
      <c r="BF14" s="179"/>
      <c r="BG14" s="118">
        <f t="shared" si="14"/>
        <v>2</v>
      </c>
      <c r="BH14" s="122">
        <f t="shared" si="15"/>
        <v>66.66666667</v>
      </c>
      <c r="BI14" s="182">
        <v>1.0</v>
      </c>
      <c r="BJ14" s="179"/>
      <c r="BK14" s="179"/>
      <c r="BL14" s="179"/>
      <c r="BM14" s="179"/>
      <c r="BN14" s="179"/>
      <c r="BO14" s="184">
        <v>1.0</v>
      </c>
      <c r="BP14" s="179"/>
      <c r="BQ14" s="179"/>
      <c r="BR14" s="179"/>
      <c r="BS14" s="184">
        <v>1.0</v>
      </c>
      <c r="BT14" s="179"/>
      <c r="BU14" s="179"/>
      <c r="BV14" s="179"/>
      <c r="BW14" s="186"/>
      <c r="BX14" s="200">
        <v>1.0</v>
      </c>
      <c r="BY14" s="186"/>
      <c r="BZ14" s="186"/>
      <c r="CA14" s="186"/>
      <c r="CB14" s="186"/>
      <c r="CC14" s="186"/>
      <c r="CD14" s="186"/>
      <c r="CE14" s="172">
        <f t="shared" si="16"/>
        <v>4</v>
      </c>
      <c r="CF14" s="173">
        <f t="shared" si="17"/>
        <v>50</v>
      </c>
      <c r="CG14" s="189">
        <v>1.0</v>
      </c>
      <c r="CH14" s="186"/>
      <c r="CI14" s="200">
        <v>1.0</v>
      </c>
      <c r="CJ14" s="186"/>
      <c r="CK14" s="186"/>
      <c r="CL14" s="186"/>
      <c r="CM14" s="186"/>
      <c r="CN14" s="186"/>
      <c r="CO14" s="186"/>
      <c r="CP14" s="186"/>
      <c r="CQ14" s="186"/>
      <c r="CR14" s="186"/>
      <c r="CS14" s="175">
        <f t="shared" si="18"/>
        <v>2</v>
      </c>
      <c r="CT14" s="158">
        <f t="shared" si="19"/>
        <v>66.66666667</v>
      </c>
    </row>
    <row r="15">
      <c r="A15" s="146">
        <v>6.0</v>
      </c>
      <c r="B15" s="111" t="s">
        <v>62</v>
      </c>
      <c r="C15" s="112" t="s">
        <v>63</v>
      </c>
      <c r="D15" s="91">
        <f t="shared" si="6"/>
        <v>14</v>
      </c>
      <c r="E15" s="113">
        <f t="shared" si="7"/>
        <v>77.77777778</v>
      </c>
      <c r="F15" s="92" t="str">
        <f t="shared" si="8"/>
        <v>  </v>
      </c>
      <c r="G15" s="164" t="str">
        <f t="shared" si="9"/>
        <v>  </v>
      </c>
      <c r="H15" s="192"/>
      <c r="I15" s="193"/>
      <c r="J15" s="116"/>
      <c r="K15" s="116"/>
      <c r="L15" s="116"/>
      <c r="M15" s="118">
        <f t="shared" si="10"/>
        <v>0</v>
      </c>
      <c r="N15" s="119" t="str">
        <f t="shared" si="11"/>
        <v>#DIV/0!</v>
      </c>
      <c r="O15" s="195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200">
        <v>1.0</v>
      </c>
      <c r="AB15" s="186"/>
      <c r="AC15" s="186"/>
      <c r="AD15" s="186"/>
      <c r="AE15" s="186"/>
      <c r="AF15" s="197">
        <v>1.0</v>
      </c>
      <c r="AG15" s="195"/>
      <c r="AH15" s="195"/>
      <c r="AI15" s="197">
        <v>1.0</v>
      </c>
      <c r="AJ15" s="168">
        <f t="shared" si="12"/>
        <v>3</v>
      </c>
      <c r="AK15" s="169">
        <f t="shared" si="13"/>
        <v>75</v>
      </c>
      <c r="AL15" s="199"/>
      <c r="AM15" s="200">
        <v>1.0</v>
      </c>
      <c r="AN15" s="186"/>
      <c r="AO15" s="186"/>
      <c r="AP15" s="186"/>
      <c r="AQ15" s="186"/>
      <c r="AR15" s="186"/>
      <c r="AS15" s="186"/>
      <c r="AT15" s="186"/>
      <c r="AU15" s="200">
        <v>1.0</v>
      </c>
      <c r="AV15" s="186"/>
      <c r="AW15" s="186"/>
      <c r="AX15" s="186"/>
      <c r="AY15" s="186"/>
      <c r="AZ15" s="186"/>
      <c r="BA15" s="186"/>
      <c r="BB15" s="186"/>
      <c r="BC15" s="186"/>
      <c r="BD15" s="186"/>
      <c r="BE15" s="186"/>
      <c r="BF15" s="186"/>
      <c r="BG15" s="118">
        <f t="shared" si="14"/>
        <v>2</v>
      </c>
      <c r="BH15" s="122">
        <f t="shared" si="15"/>
        <v>66.66666667</v>
      </c>
      <c r="BI15" s="195"/>
      <c r="BJ15" s="186"/>
      <c r="BK15" s="186"/>
      <c r="BL15" s="186"/>
      <c r="BM15" s="186"/>
      <c r="BN15" s="186"/>
      <c r="BO15" s="200">
        <v>1.0</v>
      </c>
      <c r="BP15" s="186"/>
      <c r="BQ15" s="186"/>
      <c r="BR15" s="200">
        <v>1.0</v>
      </c>
      <c r="BS15" s="200">
        <v>1.0</v>
      </c>
      <c r="BT15" s="186"/>
      <c r="BU15" s="186"/>
      <c r="BV15" s="200">
        <v>1.0</v>
      </c>
      <c r="BW15" s="186"/>
      <c r="BX15" s="200">
        <v>1.0</v>
      </c>
      <c r="BY15" s="186"/>
      <c r="BZ15" s="186"/>
      <c r="CA15" s="200">
        <v>1.0</v>
      </c>
      <c r="CB15" s="186"/>
      <c r="CC15" s="186"/>
      <c r="CD15" s="186"/>
      <c r="CE15" s="172">
        <f t="shared" si="16"/>
        <v>6</v>
      </c>
      <c r="CF15" s="173">
        <f t="shared" si="17"/>
        <v>75</v>
      </c>
      <c r="CG15" s="189">
        <v>1.0</v>
      </c>
      <c r="CH15" s="186"/>
      <c r="CI15" s="200">
        <v>1.0</v>
      </c>
      <c r="CJ15" s="200">
        <v>1.0</v>
      </c>
      <c r="CK15" s="186"/>
      <c r="CL15" s="186"/>
      <c r="CM15" s="186"/>
      <c r="CN15" s="186"/>
      <c r="CO15" s="186"/>
      <c r="CP15" s="186"/>
      <c r="CQ15" s="186"/>
      <c r="CR15" s="186"/>
      <c r="CS15" s="175">
        <f t="shared" si="18"/>
        <v>3</v>
      </c>
      <c r="CT15" s="158">
        <f t="shared" si="19"/>
        <v>100</v>
      </c>
    </row>
    <row r="16">
      <c r="A16" s="50">
        <v>7.0</v>
      </c>
      <c r="B16" s="111" t="s">
        <v>64</v>
      </c>
      <c r="C16" s="112" t="s">
        <v>65</v>
      </c>
      <c r="D16" s="91">
        <f t="shared" si="6"/>
        <v>2</v>
      </c>
      <c r="E16" s="113">
        <f t="shared" si="7"/>
        <v>11.11111111</v>
      </c>
      <c r="F16" s="114">
        <f t="shared" si="8"/>
        <v>11.11111111</v>
      </c>
      <c r="G16" s="202">
        <f t="shared" si="9"/>
        <v>11.11111111</v>
      </c>
      <c r="H16" s="165"/>
      <c r="I16" s="43"/>
      <c r="J16" s="150"/>
      <c r="K16" s="116"/>
      <c r="L16" s="116"/>
      <c r="M16" s="118">
        <f t="shared" si="10"/>
        <v>0</v>
      </c>
      <c r="N16" s="119" t="str">
        <f t="shared" si="11"/>
        <v>#DIV/0!</v>
      </c>
      <c r="O16" s="176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  <c r="AA16" s="179"/>
      <c r="AB16" s="179"/>
      <c r="AC16" s="179"/>
      <c r="AD16" s="179"/>
      <c r="AE16" s="179"/>
      <c r="AF16" s="176"/>
      <c r="AG16" s="176"/>
      <c r="AH16" s="176"/>
      <c r="AI16" s="176"/>
      <c r="AJ16" s="168">
        <f t="shared" si="12"/>
        <v>0</v>
      </c>
      <c r="AK16" s="169">
        <f t="shared" si="13"/>
        <v>0</v>
      </c>
      <c r="AL16" s="183"/>
      <c r="AM16" s="184">
        <v>1.0</v>
      </c>
      <c r="AN16" s="179"/>
      <c r="AO16" s="179"/>
      <c r="AP16" s="179"/>
      <c r="AQ16" s="179"/>
      <c r="AR16" s="179"/>
      <c r="AS16" s="179"/>
      <c r="AT16" s="179"/>
      <c r="AU16" s="179"/>
      <c r="AV16" s="179"/>
      <c r="AW16" s="179"/>
      <c r="AX16" s="179"/>
      <c r="AY16" s="179"/>
      <c r="AZ16" s="179"/>
      <c r="BA16" s="179"/>
      <c r="BB16" s="179"/>
      <c r="BC16" s="179"/>
      <c r="BD16" s="179"/>
      <c r="BE16" s="179"/>
      <c r="BF16" s="179"/>
      <c r="BG16" s="118">
        <f t="shared" si="14"/>
        <v>1</v>
      </c>
      <c r="BH16" s="122">
        <f t="shared" si="15"/>
        <v>33.33333333</v>
      </c>
      <c r="BI16" s="176"/>
      <c r="BJ16" s="179"/>
      <c r="BK16" s="179"/>
      <c r="BL16" s="179"/>
      <c r="BM16" s="179"/>
      <c r="BN16" s="179"/>
      <c r="BO16" s="179"/>
      <c r="BP16" s="179"/>
      <c r="BQ16" s="179"/>
      <c r="BR16" s="179"/>
      <c r="BS16" s="179"/>
      <c r="BT16" s="179"/>
      <c r="BU16" s="179"/>
      <c r="BV16" s="184">
        <v>1.0</v>
      </c>
      <c r="BW16" s="186"/>
      <c r="BX16" s="186"/>
      <c r="BY16" s="186"/>
      <c r="BZ16" s="186"/>
      <c r="CA16" s="186"/>
      <c r="CB16" s="186"/>
      <c r="CC16" s="186"/>
      <c r="CD16" s="186"/>
      <c r="CE16" s="172">
        <f t="shared" si="16"/>
        <v>1</v>
      </c>
      <c r="CF16" s="173">
        <f t="shared" si="17"/>
        <v>12.5</v>
      </c>
      <c r="CG16" s="199"/>
      <c r="CH16" s="186"/>
      <c r="CI16" s="186"/>
      <c r="CJ16" s="186"/>
      <c r="CK16" s="186"/>
      <c r="CL16" s="186"/>
      <c r="CM16" s="186"/>
      <c r="CN16" s="186"/>
      <c r="CO16" s="186"/>
      <c r="CP16" s="186"/>
      <c r="CQ16" s="186"/>
      <c r="CR16" s="186"/>
      <c r="CS16" s="175">
        <f t="shared" si="18"/>
        <v>0</v>
      </c>
      <c r="CT16" s="158">
        <f t="shared" si="19"/>
        <v>0</v>
      </c>
    </row>
    <row r="17">
      <c r="A17" s="131">
        <v>8.0</v>
      </c>
      <c r="B17" s="111" t="s">
        <v>66</v>
      </c>
      <c r="C17" s="112" t="s">
        <v>67</v>
      </c>
      <c r="D17" s="91">
        <f t="shared" si="6"/>
        <v>9</v>
      </c>
      <c r="E17" s="113">
        <f t="shared" si="7"/>
        <v>50</v>
      </c>
      <c r="F17" s="114" t="str">
        <f t="shared" si="8"/>
        <v>  </v>
      </c>
      <c r="G17" s="164" t="str">
        <f t="shared" si="9"/>
        <v>  </v>
      </c>
      <c r="H17" s="165"/>
      <c r="I17" s="150"/>
      <c r="J17" s="150"/>
      <c r="K17" s="116"/>
      <c r="L17" s="116"/>
      <c r="M17" s="118">
        <f t="shared" si="10"/>
        <v>0</v>
      </c>
      <c r="N17" s="119" t="str">
        <f t="shared" si="11"/>
        <v>#DIV/0!</v>
      </c>
      <c r="O17" s="206"/>
      <c r="P17" s="207"/>
      <c r="Q17" s="207"/>
      <c r="R17" s="207"/>
      <c r="S17" s="207"/>
      <c r="T17" s="207"/>
      <c r="U17" s="207"/>
      <c r="V17" s="207"/>
      <c r="W17" s="234">
        <v>1.0</v>
      </c>
      <c r="X17" s="207"/>
      <c r="Y17" s="207"/>
      <c r="Z17" s="207"/>
      <c r="AA17" s="207"/>
      <c r="AB17" s="207"/>
      <c r="AC17" s="207"/>
      <c r="AD17" s="207"/>
      <c r="AE17" s="207"/>
      <c r="AF17" s="209">
        <v>1.0</v>
      </c>
      <c r="AG17" s="206"/>
      <c r="AH17" s="206"/>
      <c r="AI17" s="209">
        <v>1.0</v>
      </c>
      <c r="AJ17" s="168">
        <f t="shared" si="12"/>
        <v>3</v>
      </c>
      <c r="AK17" s="169">
        <f t="shared" si="13"/>
        <v>75</v>
      </c>
      <c r="AL17" s="212"/>
      <c r="AM17" s="207"/>
      <c r="AN17" s="207"/>
      <c r="AO17" s="207"/>
      <c r="AP17" s="207"/>
      <c r="AQ17" s="207"/>
      <c r="AR17" s="207"/>
      <c r="AS17" s="207"/>
      <c r="AT17" s="207"/>
      <c r="AU17" s="234">
        <v>1.0</v>
      </c>
      <c r="AV17" s="207"/>
      <c r="AW17" s="207"/>
      <c r="AX17" s="207"/>
      <c r="AY17" s="207"/>
      <c r="AZ17" s="207"/>
      <c r="BA17" s="207"/>
      <c r="BB17" s="207"/>
      <c r="BC17" s="207"/>
      <c r="BD17" s="207"/>
      <c r="BE17" s="207"/>
      <c r="BF17" s="207"/>
      <c r="BG17" s="118">
        <f t="shared" si="14"/>
        <v>1</v>
      </c>
      <c r="BH17" s="122">
        <f t="shared" si="15"/>
        <v>33.33333333</v>
      </c>
      <c r="BI17" s="206"/>
      <c r="BJ17" s="207"/>
      <c r="BK17" s="207"/>
      <c r="BL17" s="207"/>
      <c r="BM17" s="207"/>
      <c r="BN17" s="207"/>
      <c r="BO17" s="234">
        <v>1.0</v>
      </c>
      <c r="BP17" s="207"/>
      <c r="BQ17" s="207"/>
      <c r="BR17" s="234">
        <v>1.0</v>
      </c>
      <c r="BS17" s="207"/>
      <c r="BT17" s="207"/>
      <c r="BU17" s="207"/>
      <c r="BV17" s="207"/>
      <c r="BW17" s="186"/>
      <c r="BX17" s="186"/>
      <c r="BY17" s="186"/>
      <c r="BZ17" s="186"/>
      <c r="CA17" s="200">
        <v>1.0</v>
      </c>
      <c r="CB17" s="186"/>
      <c r="CC17" s="186"/>
      <c r="CD17" s="186"/>
      <c r="CE17" s="172">
        <f t="shared" si="16"/>
        <v>3</v>
      </c>
      <c r="CF17" s="173">
        <f t="shared" si="17"/>
        <v>37.5</v>
      </c>
      <c r="CG17" s="189">
        <v>1.0</v>
      </c>
      <c r="CH17" s="186"/>
      <c r="CI17" s="200">
        <v>1.0</v>
      </c>
      <c r="CJ17" s="186"/>
      <c r="CK17" s="186"/>
      <c r="CL17" s="186"/>
      <c r="CM17" s="186"/>
      <c r="CN17" s="186"/>
      <c r="CO17" s="186"/>
      <c r="CP17" s="186"/>
      <c r="CQ17" s="186"/>
      <c r="CR17" s="186"/>
      <c r="CS17" s="175">
        <f t="shared" si="18"/>
        <v>2</v>
      </c>
      <c r="CT17" s="158">
        <f t="shared" si="19"/>
        <v>66.66666667</v>
      </c>
    </row>
    <row r="18" ht="15.0" customHeight="1">
      <c r="A18" s="146">
        <v>9.0</v>
      </c>
      <c r="B18" s="111" t="s">
        <v>68</v>
      </c>
      <c r="C18" s="112" t="s">
        <v>69</v>
      </c>
      <c r="D18" s="91">
        <f t="shared" si="6"/>
        <v>10</v>
      </c>
      <c r="E18" s="113">
        <f t="shared" si="7"/>
        <v>55.55555556</v>
      </c>
      <c r="F18" s="114" t="str">
        <f t="shared" si="8"/>
        <v>  </v>
      </c>
      <c r="G18" s="164" t="str">
        <f t="shared" si="9"/>
        <v>  </v>
      </c>
      <c r="H18" s="165"/>
      <c r="I18" s="150"/>
      <c r="J18" s="116"/>
      <c r="K18" s="116"/>
      <c r="L18" s="116"/>
      <c r="M18" s="118">
        <f t="shared" si="10"/>
        <v>0</v>
      </c>
      <c r="N18" s="119" t="str">
        <f t="shared" si="11"/>
        <v>#DIV/0!</v>
      </c>
      <c r="O18" s="195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200">
        <v>1.0</v>
      </c>
      <c r="AB18" s="186"/>
      <c r="AC18" s="186"/>
      <c r="AD18" s="186"/>
      <c r="AE18" s="186"/>
      <c r="AF18" s="195"/>
      <c r="AG18" s="195"/>
      <c r="AH18" s="195"/>
      <c r="AI18" s="197">
        <v>1.0</v>
      </c>
      <c r="AJ18" s="168">
        <f t="shared" si="12"/>
        <v>2</v>
      </c>
      <c r="AK18" s="169">
        <f t="shared" si="13"/>
        <v>50</v>
      </c>
      <c r="AL18" s="199"/>
      <c r="AM18" s="200">
        <v>1.0</v>
      </c>
      <c r="AN18" s="186"/>
      <c r="AO18" s="186"/>
      <c r="AP18" s="186"/>
      <c r="AQ18" s="186"/>
      <c r="AR18" s="200">
        <v>1.0</v>
      </c>
      <c r="AS18" s="186"/>
      <c r="AT18" s="186"/>
      <c r="AU18" s="200">
        <v>1.0</v>
      </c>
      <c r="AV18" s="186"/>
      <c r="AW18" s="186"/>
      <c r="AX18" s="186"/>
      <c r="AY18" s="186"/>
      <c r="AZ18" s="186"/>
      <c r="BA18" s="186"/>
      <c r="BB18" s="186"/>
      <c r="BC18" s="186"/>
      <c r="BD18" s="186"/>
      <c r="BE18" s="186"/>
      <c r="BF18" s="186"/>
      <c r="BG18" s="118">
        <f t="shared" si="14"/>
        <v>3</v>
      </c>
      <c r="BH18" s="122">
        <f t="shared" si="15"/>
        <v>100</v>
      </c>
      <c r="BI18" s="195"/>
      <c r="BJ18" s="186"/>
      <c r="BK18" s="186"/>
      <c r="BL18" s="186"/>
      <c r="BM18" s="186"/>
      <c r="BN18" s="186"/>
      <c r="BO18" s="200">
        <v>1.0</v>
      </c>
      <c r="BP18" s="186"/>
      <c r="BQ18" s="186"/>
      <c r="BR18" s="186"/>
      <c r="BS18" s="200">
        <v>1.0</v>
      </c>
      <c r="BT18" s="186"/>
      <c r="BU18" s="186"/>
      <c r="BV18" s="200">
        <v>1.0</v>
      </c>
      <c r="BW18" s="186"/>
      <c r="BX18" s="186"/>
      <c r="BY18" s="186"/>
      <c r="BZ18" s="186"/>
      <c r="CA18" s="186"/>
      <c r="CB18" s="186"/>
      <c r="CC18" s="186"/>
      <c r="CD18" s="186"/>
      <c r="CE18" s="172">
        <f t="shared" si="16"/>
        <v>3</v>
      </c>
      <c r="CF18" s="173">
        <f t="shared" si="17"/>
        <v>37.5</v>
      </c>
      <c r="CG18" s="189">
        <v>1.0</v>
      </c>
      <c r="CH18" s="186"/>
      <c r="CI18" s="186"/>
      <c r="CJ18" s="200">
        <v>1.0</v>
      </c>
      <c r="CK18" s="186"/>
      <c r="CL18" s="186"/>
      <c r="CM18" s="186"/>
      <c r="CN18" s="186"/>
      <c r="CO18" s="186"/>
      <c r="CP18" s="186"/>
      <c r="CQ18" s="186"/>
      <c r="CR18" s="186"/>
      <c r="CS18" s="175">
        <f t="shared" si="18"/>
        <v>2</v>
      </c>
      <c r="CT18" s="158">
        <f t="shared" si="19"/>
        <v>66.66666667</v>
      </c>
    </row>
    <row r="19">
      <c r="A19" s="50">
        <v>10.0</v>
      </c>
      <c r="B19" s="111" t="s">
        <v>70</v>
      </c>
      <c r="C19" s="112" t="s">
        <v>71</v>
      </c>
      <c r="D19" s="91">
        <f t="shared" si="6"/>
        <v>8</v>
      </c>
      <c r="E19" s="113">
        <f t="shared" si="7"/>
        <v>44.44444444</v>
      </c>
      <c r="F19" s="114">
        <f t="shared" si="8"/>
        <v>44.44444444</v>
      </c>
      <c r="G19" s="164" t="str">
        <f t="shared" si="9"/>
        <v>  </v>
      </c>
      <c r="H19" s="165"/>
      <c r="I19" s="116"/>
      <c r="J19" s="116"/>
      <c r="K19" s="116"/>
      <c r="L19" s="116"/>
      <c r="M19" s="118">
        <f t="shared" si="10"/>
        <v>0</v>
      </c>
      <c r="N19" s="119" t="str">
        <f t="shared" si="11"/>
        <v>#DIV/0!</v>
      </c>
      <c r="O19" s="176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Z19" s="179"/>
      <c r="AA19" s="179"/>
      <c r="AB19" s="179"/>
      <c r="AC19" s="179"/>
      <c r="AD19" s="179"/>
      <c r="AE19" s="179"/>
      <c r="AF19" s="176"/>
      <c r="AG19" s="176"/>
      <c r="AH19" s="176"/>
      <c r="AI19" s="182">
        <v>1.0</v>
      </c>
      <c r="AJ19" s="168">
        <f t="shared" si="12"/>
        <v>1</v>
      </c>
      <c r="AK19" s="169">
        <f t="shared" si="13"/>
        <v>25</v>
      </c>
      <c r="AL19" s="183"/>
      <c r="AM19" s="184">
        <v>1.0</v>
      </c>
      <c r="AN19" s="179"/>
      <c r="AO19" s="179"/>
      <c r="AP19" s="179"/>
      <c r="AQ19" s="179"/>
      <c r="AR19" s="184">
        <v>1.0</v>
      </c>
      <c r="AS19" s="179"/>
      <c r="AT19" s="179"/>
      <c r="AU19" s="179"/>
      <c r="AV19" s="179"/>
      <c r="AW19" s="179"/>
      <c r="AX19" s="179"/>
      <c r="AY19" s="179"/>
      <c r="AZ19" s="179"/>
      <c r="BA19" s="179"/>
      <c r="BB19" s="179"/>
      <c r="BC19" s="179"/>
      <c r="BD19" s="179"/>
      <c r="BE19" s="179"/>
      <c r="BF19" s="179"/>
      <c r="BG19" s="118">
        <f t="shared" si="14"/>
        <v>2</v>
      </c>
      <c r="BH19" s="122">
        <f t="shared" si="15"/>
        <v>66.66666667</v>
      </c>
      <c r="BI19" s="176"/>
      <c r="BJ19" s="179"/>
      <c r="BK19" s="179"/>
      <c r="BL19" s="179"/>
      <c r="BM19" s="179"/>
      <c r="BN19" s="179"/>
      <c r="BO19" s="184">
        <v>1.0</v>
      </c>
      <c r="BP19" s="179"/>
      <c r="BQ19" s="179"/>
      <c r="BR19" s="179"/>
      <c r="BS19" s="184">
        <v>1.0</v>
      </c>
      <c r="BT19" s="179"/>
      <c r="BU19" s="179"/>
      <c r="BV19" s="179"/>
      <c r="BW19" s="186"/>
      <c r="BX19" s="200">
        <v>1.0</v>
      </c>
      <c r="BY19" s="186"/>
      <c r="BZ19" s="186"/>
      <c r="CA19" s="186"/>
      <c r="CB19" s="186"/>
      <c r="CC19" s="186"/>
      <c r="CD19" s="186"/>
      <c r="CE19" s="172">
        <f t="shared" si="16"/>
        <v>3</v>
      </c>
      <c r="CF19" s="173">
        <f t="shared" si="17"/>
        <v>37.5</v>
      </c>
      <c r="CG19" s="189">
        <v>1.0</v>
      </c>
      <c r="CH19" s="186"/>
      <c r="CI19" s="186"/>
      <c r="CJ19" s="200">
        <v>1.0</v>
      </c>
      <c r="CK19" s="186"/>
      <c r="CL19" s="186"/>
      <c r="CM19" s="186"/>
      <c r="CN19" s="186"/>
      <c r="CO19" s="186"/>
      <c r="CP19" s="186"/>
      <c r="CQ19" s="186"/>
      <c r="CR19" s="186"/>
      <c r="CS19" s="175">
        <f t="shared" si="18"/>
        <v>2</v>
      </c>
      <c r="CT19" s="158">
        <f t="shared" si="19"/>
        <v>66.66666667</v>
      </c>
    </row>
    <row r="20">
      <c r="A20" s="131">
        <v>11.0</v>
      </c>
      <c r="B20" s="111" t="s">
        <v>72</v>
      </c>
      <c r="C20" s="112" t="s">
        <v>73</v>
      </c>
      <c r="D20" s="91">
        <f t="shared" si="6"/>
        <v>15</v>
      </c>
      <c r="E20" s="113">
        <f t="shared" si="7"/>
        <v>83.33333333</v>
      </c>
      <c r="F20" s="92" t="str">
        <f t="shared" si="8"/>
        <v>  </v>
      </c>
      <c r="G20" s="164" t="str">
        <f t="shared" si="9"/>
        <v>  </v>
      </c>
      <c r="H20" s="165"/>
      <c r="I20" s="116"/>
      <c r="J20" s="43"/>
      <c r="K20" s="116"/>
      <c r="L20" s="116"/>
      <c r="M20" s="118">
        <f t="shared" si="10"/>
        <v>0</v>
      </c>
      <c r="N20" s="119" t="str">
        <f t="shared" si="11"/>
        <v>#DIV/0!</v>
      </c>
      <c r="O20" s="195"/>
      <c r="P20" s="186"/>
      <c r="Q20" s="186"/>
      <c r="R20" s="186"/>
      <c r="S20" s="186"/>
      <c r="T20" s="186"/>
      <c r="U20" s="186"/>
      <c r="V20" s="186"/>
      <c r="W20" s="200">
        <v>1.0</v>
      </c>
      <c r="X20" s="186"/>
      <c r="Y20" s="186"/>
      <c r="Z20" s="186"/>
      <c r="AA20" s="200">
        <v>1.0</v>
      </c>
      <c r="AB20" s="186"/>
      <c r="AC20" s="186"/>
      <c r="AD20" s="186"/>
      <c r="AE20" s="186"/>
      <c r="AF20" s="197">
        <v>1.0</v>
      </c>
      <c r="AG20" s="195"/>
      <c r="AH20" s="195"/>
      <c r="AI20" s="197">
        <v>1.0</v>
      </c>
      <c r="AJ20" s="168">
        <f t="shared" si="12"/>
        <v>4</v>
      </c>
      <c r="AK20" s="169">
        <f t="shared" si="13"/>
        <v>100</v>
      </c>
      <c r="AL20" s="199"/>
      <c r="AM20" s="200">
        <v>1.0</v>
      </c>
      <c r="AN20" s="186"/>
      <c r="AO20" s="186"/>
      <c r="AP20" s="186"/>
      <c r="AQ20" s="186"/>
      <c r="AR20" s="186"/>
      <c r="AS20" s="186"/>
      <c r="AT20" s="186"/>
      <c r="AU20" s="200">
        <v>1.0</v>
      </c>
      <c r="AV20" s="186"/>
      <c r="AW20" s="186"/>
      <c r="AX20" s="186"/>
      <c r="AY20" s="186"/>
      <c r="AZ20" s="186"/>
      <c r="BA20" s="186"/>
      <c r="BB20" s="186"/>
      <c r="BC20" s="186"/>
      <c r="BD20" s="186"/>
      <c r="BE20" s="186"/>
      <c r="BF20" s="186"/>
      <c r="BG20" s="118">
        <f t="shared" si="14"/>
        <v>2</v>
      </c>
      <c r="BH20" s="122">
        <f t="shared" si="15"/>
        <v>66.66666667</v>
      </c>
      <c r="BI20" s="195"/>
      <c r="BJ20" s="186"/>
      <c r="BK20" s="186"/>
      <c r="BL20" s="186"/>
      <c r="BM20" s="186"/>
      <c r="BN20" s="186"/>
      <c r="BO20" s="200">
        <v>1.0</v>
      </c>
      <c r="BP20" s="186"/>
      <c r="BQ20" s="186"/>
      <c r="BR20" s="200">
        <v>1.0</v>
      </c>
      <c r="BS20" s="200">
        <v>1.0</v>
      </c>
      <c r="BT20" s="186"/>
      <c r="BU20" s="186"/>
      <c r="BV20" s="200">
        <v>1.0</v>
      </c>
      <c r="BW20" s="186"/>
      <c r="BX20" s="200">
        <v>1.0</v>
      </c>
      <c r="BY20" s="186"/>
      <c r="BZ20" s="186"/>
      <c r="CA20" s="200">
        <v>1.0</v>
      </c>
      <c r="CB20" s="186"/>
      <c r="CC20" s="200">
        <v>1.0</v>
      </c>
      <c r="CD20" s="186"/>
      <c r="CE20" s="172">
        <f t="shared" si="16"/>
        <v>7</v>
      </c>
      <c r="CF20" s="173">
        <f t="shared" si="17"/>
        <v>87.5</v>
      </c>
      <c r="CG20" s="189">
        <v>1.0</v>
      </c>
      <c r="CH20" s="186"/>
      <c r="CI20" s="186"/>
      <c r="CJ20" s="200">
        <v>1.0</v>
      </c>
      <c r="CK20" s="186"/>
      <c r="CL20" s="186"/>
      <c r="CM20" s="186"/>
      <c r="CN20" s="186"/>
      <c r="CO20" s="186"/>
      <c r="CP20" s="186"/>
      <c r="CQ20" s="186"/>
      <c r="CR20" s="186"/>
      <c r="CS20" s="175">
        <f t="shared" si="18"/>
        <v>2</v>
      </c>
      <c r="CT20" s="158">
        <f t="shared" si="19"/>
        <v>66.66666667</v>
      </c>
    </row>
    <row r="21" ht="15.75" customHeight="1">
      <c r="A21" s="146">
        <v>12.0</v>
      </c>
      <c r="B21" s="111" t="s">
        <v>74</v>
      </c>
      <c r="C21" s="112" t="s">
        <v>75</v>
      </c>
      <c r="D21" s="91">
        <f t="shared" si="6"/>
        <v>8</v>
      </c>
      <c r="E21" s="113">
        <f t="shared" si="7"/>
        <v>44.44444444</v>
      </c>
      <c r="F21" s="114">
        <f t="shared" si="8"/>
        <v>44.44444444</v>
      </c>
      <c r="G21" s="164" t="str">
        <f t="shared" si="9"/>
        <v>  </v>
      </c>
      <c r="H21" s="165"/>
      <c r="I21" s="116"/>
      <c r="J21" s="116"/>
      <c r="K21" s="150"/>
      <c r="L21" s="150"/>
      <c r="M21" s="118">
        <f t="shared" si="10"/>
        <v>0</v>
      </c>
      <c r="N21" s="119" t="str">
        <f t="shared" si="11"/>
        <v>#DIV/0!</v>
      </c>
      <c r="O21" s="176"/>
      <c r="P21" s="179"/>
      <c r="Q21" s="179"/>
      <c r="R21" s="179"/>
      <c r="S21" s="179"/>
      <c r="T21" s="179"/>
      <c r="U21" s="179"/>
      <c r="V21" s="179"/>
      <c r="W21" s="184">
        <v>1.0</v>
      </c>
      <c r="X21" s="179"/>
      <c r="Y21" s="179"/>
      <c r="Z21" s="179"/>
      <c r="AA21" s="179"/>
      <c r="AB21" s="179"/>
      <c r="AC21" s="179"/>
      <c r="AD21" s="179"/>
      <c r="AE21" s="179"/>
      <c r="AF21" s="182">
        <v>1.0</v>
      </c>
      <c r="AG21" s="176"/>
      <c r="AH21" s="176"/>
      <c r="AI21" s="176"/>
      <c r="AJ21" s="168">
        <f t="shared" si="12"/>
        <v>2</v>
      </c>
      <c r="AK21" s="169">
        <f t="shared" si="13"/>
        <v>50</v>
      </c>
      <c r="AL21" s="183"/>
      <c r="AM21" s="184">
        <v>1.0</v>
      </c>
      <c r="AN21" s="179"/>
      <c r="AO21" s="179"/>
      <c r="AP21" s="179"/>
      <c r="AQ21" s="179"/>
      <c r="AR21" s="179"/>
      <c r="AS21" s="179"/>
      <c r="AT21" s="179"/>
      <c r="AU21" s="184">
        <v>1.0</v>
      </c>
      <c r="AV21" s="179"/>
      <c r="AW21" s="179"/>
      <c r="AX21" s="179"/>
      <c r="AY21" s="179"/>
      <c r="AZ21" s="179"/>
      <c r="BA21" s="179"/>
      <c r="BB21" s="179"/>
      <c r="BC21" s="179"/>
      <c r="BD21" s="179"/>
      <c r="BE21" s="179"/>
      <c r="BF21" s="179"/>
      <c r="BG21" s="118">
        <f t="shared" si="14"/>
        <v>2</v>
      </c>
      <c r="BH21" s="122">
        <f t="shared" si="15"/>
        <v>66.66666667</v>
      </c>
      <c r="BI21" s="176"/>
      <c r="BJ21" s="179"/>
      <c r="BK21" s="179"/>
      <c r="BL21" s="179"/>
      <c r="BM21" s="179"/>
      <c r="BN21" s="179"/>
      <c r="BO21" s="184">
        <v>1.0</v>
      </c>
      <c r="BP21" s="179"/>
      <c r="BQ21" s="179"/>
      <c r="BR21" s="179"/>
      <c r="BS21" s="184">
        <v>1.0</v>
      </c>
      <c r="BT21" s="179"/>
      <c r="BU21" s="179"/>
      <c r="BV21" s="179"/>
      <c r="BW21" s="186"/>
      <c r="BX21" s="200">
        <v>1.0</v>
      </c>
      <c r="BY21" s="186"/>
      <c r="BZ21" s="186"/>
      <c r="CA21" s="186"/>
      <c r="CB21" s="186"/>
      <c r="CC21" s="186"/>
      <c r="CD21" s="186"/>
      <c r="CE21" s="172">
        <f t="shared" si="16"/>
        <v>3</v>
      </c>
      <c r="CF21" s="173">
        <f t="shared" si="17"/>
        <v>37.5</v>
      </c>
      <c r="CG21" s="199"/>
      <c r="CH21" s="186"/>
      <c r="CI21" s="186"/>
      <c r="CJ21" s="200">
        <v>1.0</v>
      </c>
      <c r="CK21" s="186"/>
      <c r="CL21" s="186"/>
      <c r="CM21" s="186"/>
      <c r="CN21" s="186"/>
      <c r="CO21" s="186"/>
      <c r="CP21" s="186"/>
      <c r="CQ21" s="186"/>
      <c r="CR21" s="186"/>
      <c r="CS21" s="175">
        <f t="shared" si="18"/>
        <v>1</v>
      </c>
      <c r="CT21" s="158">
        <f t="shared" si="19"/>
        <v>33.33333333</v>
      </c>
    </row>
    <row r="22" ht="15.75" customHeight="1">
      <c r="A22" s="50">
        <v>13.0</v>
      </c>
      <c r="B22" s="111" t="s">
        <v>76</v>
      </c>
      <c r="C22" s="112" t="s">
        <v>77</v>
      </c>
      <c r="D22" s="91">
        <f t="shared" si="6"/>
        <v>11</v>
      </c>
      <c r="E22" s="113">
        <f t="shared" si="7"/>
        <v>61.11111111</v>
      </c>
      <c r="F22" s="114" t="str">
        <f t="shared" si="8"/>
        <v>  </v>
      </c>
      <c r="G22" s="164" t="str">
        <f t="shared" si="9"/>
        <v>  </v>
      </c>
      <c r="H22" s="192"/>
      <c r="I22" s="116"/>
      <c r="J22" s="116"/>
      <c r="K22" s="116"/>
      <c r="L22" s="116"/>
      <c r="M22" s="118">
        <f t="shared" si="10"/>
        <v>0</v>
      </c>
      <c r="N22" s="119" t="str">
        <f t="shared" si="11"/>
        <v>#DIV/0!</v>
      </c>
      <c r="O22" s="176"/>
      <c r="P22" s="179"/>
      <c r="Q22" s="179"/>
      <c r="R22" s="179"/>
      <c r="S22" s="179"/>
      <c r="T22" s="179"/>
      <c r="U22" s="179"/>
      <c r="V22" s="179"/>
      <c r="W22" s="179"/>
      <c r="X22" s="179"/>
      <c r="Y22" s="179"/>
      <c r="Z22" s="179"/>
      <c r="AA22" s="184">
        <v>1.0</v>
      </c>
      <c r="AB22" s="179"/>
      <c r="AC22" s="179"/>
      <c r="AD22" s="179"/>
      <c r="AE22" s="179"/>
      <c r="AF22" s="176"/>
      <c r="AG22" s="176"/>
      <c r="AH22" s="176"/>
      <c r="AI22" s="182">
        <v>1.0</v>
      </c>
      <c r="AJ22" s="168">
        <f t="shared" si="12"/>
        <v>2</v>
      </c>
      <c r="AK22" s="169">
        <f t="shared" si="13"/>
        <v>50</v>
      </c>
      <c r="AL22" s="183"/>
      <c r="AM22" s="184">
        <v>1.0</v>
      </c>
      <c r="AN22" s="179"/>
      <c r="AO22" s="179"/>
      <c r="AP22" s="179"/>
      <c r="AQ22" s="179"/>
      <c r="AR22" s="184">
        <v>1.0</v>
      </c>
      <c r="AS22" s="179"/>
      <c r="AT22" s="179"/>
      <c r="AU22" s="184">
        <v>1.0</v>
      </c>
      <c r="AV22" s="179"/>
      <c r="AW22" s="179"/>
      <c r="AX22" s="179"/>
      <c r="AY22" s="179"/>
      <c r="AZ22" s="179"/>
      <c r="BA22" s="179"/>
      <c r="BB22" s="179"/>
      <c r="BC22" s="179"/>
      <c r="BD22" s="179"/>
      <c r="BE22" s="179"/>
      <c r="BF22" s="179"/>
      <c r="BG22" s="118">
        <f t="shared" si="14"/>
        <v>3</v>
      </c>
      <c r="BH22" s="122">
        <f t="shared" si="15"/>
        <v>100</v>
      </c>
      <c r="BI22" s="176"/>
      <c r="BJ22" s="179"/>
      <c r="BK22" s="179"/>
      <c r="BL22" s="179"/>
      <c r="BM22" s="179"/>
      <c r="BN22" s="179"/>
      <c r="BO22" s="184">
        <v>1.0</v>
      </c>
      <c r="BP22" s="179"/>
      <c r="BQ22" s="179"/>
      <c r="BR22" s="184">
        <v>1.0</v>
      </c>
      <c r="BS22" s="184">
        <v>1.0</v>
      </c>
      <c r="BT22" s="179"/>
      <c r="BU22" s="179"/>
      <c r="BV22" s="179"/>
      <c r="BW22" s="186"/>
      <c r="BX22" s="186"/>
      <c r="BY22" s="186"/>
      <c r="BZ22" s="186"/>
      <c r="CA22" s="186"/>
      <c r="CB22" s="186"/>
      <c r="CC22" s="200">
        <v>1.0</v>
      </c>
      <c r="CD22" s="186"/>
      <c r="CE22" s="172">
        <f t="shared" si="16"/>
        <v>4</v>
      </c>
      <c r="CF22" s="173">
        <f t="shared" si="17"/>
        <v>50</v>
      </c>
      <c r="CG22" s="189">
        <v>1.0</v>
      </c>
      <c r="CH22" s="186"/>
      <c r="CI22" s="186"/>
      <c r="CJ22" s="200">
        <v>1.0</v>
      </c>
      <c r="CK22" s="186"/>
      <c r="CL22" s="186"/>
      <c r="CM22" s="186"/>
      <c r="CN22" s="186"/>
      <c r="CO22" s="186"/>
      <c r="CP22" s="186"/>
      <c r="CQ22" s="186"/>
      <c r="CR22" s="186"/>
      <c r="CS22" s="175">
        <f t="shared" si="18"/>
        <v>2</v>
      </c>
      <c r="CT22" s="158">
        <f t="shared" si="19"/>
        <v>66.66666667</v>
      </c>
    </row>
    <row r="23" ht="15.75" customHeight="1">
      <c r="A23" s="131">
        <v>14.0</v>
      </c>
      <c r="B23" s="111" t="s">
        <v>78</v>
      </c>
      <c r="C23" s="112" t="s">
        <v>79</v>
      </c>
      <c r="D23" s="91">
        <f t="shared" si="6"/>
        <v>4</v>
      </c>
      <c r="E23" s="113">
        <f t="shared" si="7"/>
        <v>22.22222222</v>
      </c>
      <c r="F23" s="114">
        <f t="shared" si="8"/>
        <v>22.22222222</v>
      </c>
      <c r="G23" s="202">
        <f t="shared" si="9"/>
        <v>22.22222222</v>
      </c>
      <c r="H23" s="165"/>
      <c r="I23" s="150"/>
      <c r="J23" s="116"/>
      <c r="K23" s="116"/>
      <c r="L23" s="116"/>
      <c r="M23" s="118">
        <f t="shared" si="10"/>
        <v>0</v>
      </c>
      <c r="N23" s="119" t="str">
        <f t="shared" si="11"/>
        <v>#DIV/0!</v>
      </c>
      <c r="O23" s="176"/>
      <c r="P23" s="179"/>
      <c r="Q23" s="179"/>
      <c r="R23" s="179"/>
      <c r="S23" s="179"/>
      <c r="T23" s="179"/>
      <c r="U23" s="179"/>
      <c r="V23" s="179"/>
      <c r="W23" s="179"/>
      <c r="X23" s="179"/>
      <c r="Y23" s="179"/>
      <c r="Z23" s="179"/>
      <c r="AA23" s="184">
        <v>1.0</v>
      </c>
      <c r="AB23" s="179"/>
      <c r="AC23" s="179"/>
      <c r="AD23" s="179"/>
      <c r="AE23" s="179"/>
      <c r="AF23" s="176"/>
      <c r="AG23" s="176"/>
      <c r="AH23" s="176"/>
      <c r="AI23" s="182">
        <v>1.0</v>
      </c>
      <c r="AJ23" s="168">
        <f t="shared" si="12"/>
        <v>2</v>
      </c>
      <c r="AK23" s="169">
        <f t="shared" si="13"/>
        <v>50</v>
      </c>
      <c r="AL23" s="183"/>
      <c r="AM23" s="184">
        <v>1.0</v>
      </c>
      <c r="AN23" s="179"/>
      <c r="AO23" s="179"/>
      <c r="AP23" s="179"/>
      <c r="AQ23" s="179"/>
      <c r="AR23" s="179"/>
      <c r="AS23" s="179"/>
      <c r="AT23" s="179"/>
      <c r="AU23" s="184">
        <v>1.0</v>
      </c>
      <c r="AV23" s="179"/>
      <c r="AW23" s="179"/>
      <c r="AX23" s="179"/>
      <c r="AY23" s="179"/>
      <c r="AZ23" s="179"/>
      <c r="BA23" s="179"/>
      <c r="BB23" s="179"/>
      <c r="BC23" s="179"/>
      <c r="BD23" s="179"/>
      <c r="BE23" s="179"/>
      <c r="BF23" s="179"/>
      <c r="BG23" s="118">
        <f t="shared" si="14"/>
        <v>2</v>
      </c>
      <c r="BH23" s="122">
        <f t="shared" si="15"/>
        <v>66.66666667</v>
      </c>
      <c r="BI23" s="176"/>
      <c r="BJ23" s="179"/>
      <c r="BK23" s="179"/>
      <c r="BL23" s="179"/>
      <c r="BM23" s="179"/>
      <c r="BN23" s="179"/>
      <c r="BO23" s="179"/>
      <c r="BP23" s="179"/>
      <c r="BQ23" s="179"/>
      <c r="BR23" s="179"/>
      <c r="BS23" s="179"/>
      <c r="BT23" s="179"/>
      <c r="BU23" s="179"/>
      <c r="BV23" s="179"/>
      <c r="BW23" s="186"/>
      <c r="BX23" s="186"/>
      <c r="BY23" s="186"/>
      <c r="BZ23" s="186"/>
      <c r="CA23" s="186"/>
      <c r="CB23" s="186"/>
      <c r="CC23" s="186"/>
      <c r="CD23" s="186"/>
      <c r="CE23" s="172">
        <f t="shared" si="16"/>
        <v>0</v>
      </c>
      <c r="CF23" s="173">
        <f t="shared" si="17"/>
        <v>0</v>
      </c>
      <c r="CG23" s="199"/>
      <c r="CH23" s="186"/>
      <c r="CI23" s="186"/>
      <c r="CJ23" s="186"/>
      <c r="CK23" s="186"/>
      <c r="CL23" s="186"/>
      <c r="CM23" s="186"/>
      <c r="CN23" s="186"/>
      <c r="CO23" s="186"/>
      <c r="CP23" s="186"/>
      <c r="CQ23" s="186"/>
      <c r="CR23" s="186"/>
      <c r="CS23" s="175">
        <f t="shared" si="18"/>
        <v>0</v>
      </c>
      <c r="CT23" s="158">
        <f t="shared" si="19"/>
        <v>0</v>
      </c>
    </row>
    <row r="24" ht="15.75" customHeight="1">
      <c r="A24" s="146">
        <v>15.0</v>
      </c>
      <c r="B24" s="111" t="s">
        <v>80</v>
      </c>
      <c r="C24" s="112" t="s">
        <v>81</v>
      </c>
      <c r="D24" s="91">
        <f t="shared" si="6"/>
        <v>8</v>
      </c>
      <c r="E24" s="113">
        <f t="shared" si="7"/>
        <v>44.44444444</v>
      </c>
      <c r="F24" s="114">
        <f t="shared" si="8"/>
        <v>44.44444444</v>
      </c>
      <c r="G24" s="202" t="str">
        <f t="shared" si="9"/>
        <v>  </v>
      </c>
      <c r="H24" s="165"/>
      <c r="I24" s="116"/>
      <c r="J24" s="116"/>
      <c r="K24" s="150"/>
      <c r="L24" s="150"/>
      <c r="M24" s="118">
        <f t="shared" si="10"/>
        <v>0</v>
      </c>
      <c r="N24" s="119" t="str">
        <f t="shared" si="11"/>
        <v>#DIV/0!</v>
      </c>
      <c r="O24" s="176"/>
      <c r="P24" s="179"/>
      <c r="Q24" s="179"/>
      <c r="R24" s="179"/>
      <c r="S24" s="179"/>
      <c r="T24" s="179"/>
      <c r="U24" s="179"/>
      <c r="V24" s="179"/>
      <c r="W24" s="179"/>
      <c r="X24" s="179"/>
      <c r="Y24" s="179"/>
      <c r="Z24" s="179"/>
      <c r="AA24" s="179"/>
      <c r="AB24" s="179"/>
      <c r="AC24" s="179"/>
      <c r="AD24" s="179"/>
      <c r="AE24" s="179"/>
      <c r="AF24" s="182">
        <v>1.0</v>
      </c>
      <c r="AG24" s="176"/>
      <c r="AH24" s="176"/>
      <c r="AI24" s="182">
        <v>1.0</v>
      </c>
      <c r="AJ24" s="168">
        <f t="shared" si="12"/>
        <v>2</v>
      </c>
      <c r="AK24" s="169">
        <f t="shared" si="13"/>
        <v>50</v>
      </c>
      <c r="AL24" s="183"/>
      <c r="AM24" s="184">
        <v>1.0</v>
      </c>
      <c r="AN24" s="179"/>
      <c r="AO24" s="179"/>
      <c r="AP24" s="179"/>
      <c r="AQ24" s="179"/>
      <c r="AR24" s="179"/>
      <c r="AS24" s="179"/>
      <c r="AT24" s="179"/>
      <c r="AU24" s="184">
        <v>1.0</v>
      </c>
      <c r="AV24" s="179"/>
      <c r="AW24" s="179"/>
      <c r="AX24" s="179"/>
      <c r="AY24" s="179"/>
      <c r="AZ24" s="179"/>
      <c r="BA24" s="179"/>
      <c r="BB24" s="179"/>
      <c r="BC24" s="179"/>
      <c r="BD24" s="179"/>
      <c r="BE24" s="179"/>
      <c r="BF24" s="179"/>
      <c r="BG24" s="118">
        <f t="shared" si="14"/>
        <v>2</v>
      </c>
      <c r="BH24" s="122">
        <f t="shared" si="15"/>
        <v>66.66666667</v>
      </c>
      <c r="BI24" s="176"/>
      <c r="BJ24" s="179"/>
      <c r="BK24" s="179"/>
      <c r="BL24" s="179"/>
      <c r="BM24" s="179"/>
      <c r="BN24" s="179"/>
      <c r="BO24" s="184">
        <v>1.0</v>
      </c>
      <c r="BP24" s="179"/>
      <c r="BQ24" s="179"/>
      <c r="BR24" s="179"/>
      <c r="BS24" s="184">
        <v>1.0</v>
      </c>
      <c r="BT24" s="179"/>
      <c r="BU24" s="179"/>
      <c r="BV24" s="179"/>
      <c r="BW24" s="186"/>
      <c r="BX24" s="200">
        <v>1.0</v>
      </c>
      <c r="BY24" s="186"/>
      <c r="BZ24" s="186"/>
      <c r="CA24" s="186"/>
      <c r="CB24" s="186"/>
      <c r="CC24" s="186"/>
      <c r="CD24" s="186"/>
      <c r="CE24" s="172">
        <f t="shared" si="16"/>
        <v>3</v>
      </c>
      <c r="CF24" s="173">
        <f t="shared" si="17"/>
        <v>37.5</v>
      </c>
      <c r="CG24" s="189">
        <v>1.0</v>
      </c>
      <c r="CH24" s="186"/>
      <c r="CI24" s="186"/>
      <c r="CJ24" s="186"/>
      <c r="CK24" s="186"/>
      <c r="CL24" s="186"/>
      <c r="CM24" s="186"/>
      <c r="CN24" s="186"/>
      <c r="CO24" s="186"/>
      <c r="CP24" s="186"/>
      <c r="CQ24" s="186"/>
      <c r="CR24" s="186"/>
      <c r="CS24" s="175">
        <f t="shared" si="18"/>
        <v>1</v>
      </c>
      <c r="CT24" s="158">
        <f t="shared" si="19"/>
        <v>33.33333333</v>
      </c>
    </row>
    <row r="25" ht="15.75" customHeight="1">
      <c r="A25" s="50">
        <v>16.0</v>
      </c>
      <c r="B25" s="111" t="s">
        <v>82</v>
      </c>
      <c r="C25" s="112" t="s">
        <v>83</v>
      </c>
      <c r="D25" s="91">
        <f t="shared" si="6"/>
        <v>9</v>
      </c>
      <c r="E25" s="113">
        <f t="shared" si="7"/>
        <v>50</v>
      </c>
      <c r="F25" s="114" t="str">
        <f t="shared" si="8"/>
        <v>  </v>
      </c>
      <c r="G25" s="164" t="str">
        <f t="shared" si="9"/>
        <v>  </v>
      </c>
      <c r="H25" s="165"/>
      <c r="I25" s="150"/>
      <c r="J25" s="150"/>
      <c r="K25" s="116"/>
      <c r="L25" s="116"/>
      <c r="M25" s="118">
        <f t="shared" si="10"/>
        <v>0</v>
      </c>
      <c r="N25" s="119" t="str">
        <f t="shared" si="11"/>
        <v>#DIV/0!</v>
      </c>
      <c r="O25" s="176"/>
      <c r="P25" s="179"/>
      <c r="Q25" s="179"/>
      <c r="R25" s="179"/>
      <c r="S25" s="179"/>
      <c r="T25" s="179"/>
      <c r="U25" s="179"/>
      <c r="V25" s="179"/>
      <c r="W25" s="179"/>
      <c r="X25" s="179"/>
      <c r="Y25" s="179"/>
      <c r="Z25" s="179"/>
      <c r="AA25" s="184">
        <v>1.0</v>
      </c>
      <c r="AB25" s="179"/>
      <c r="AC25" s="179"/>
      <c r="AD25" s="179"/>
      <c r="AE25" s="179"/>
      <c r="AF25" s="176"/>
      <c r="AG25" s="176"/>
      <c r="AH25" s="176"/>
      <c r="AI25" s="176"/>
      <c r="AJ25" s="168">
        <f t="shared" si="12"/>
        <v>1</v>
      </c>
      <c r="AK25" s="169">
        <f t="shared" si="13"/>
        <v>25</v>
      </c>
      <c r="AL25" s="183"/>
      <c r="AM25" s="184">
        <v>1.0</v>
      </c>
      <c r="AN25" s="179"/>
      <c r="AO25" s="179"/>
      <c r="AP25" s="179"/>
      <c r="AQ25" s="179"/>
      <c r="AR25" s="184">
        <v>1.0</v>
      </c>
      <c r="AS25" s="179"/>
      <c r="AT25" s="179"/>
      <c r="AU25" s="184">
        <v>1.0</v>
      </c>
      <c r="AV25" s="179"/>
      <c r="AW25" s="179"/>
      <c r="AX25" s="179"/>
      <c r="AY25" s="179"/>
      <c r="AZ25" s="179"/>
      <c r="BA25" s="179"/>
      <c r="BB25" s="179"/>
      <c r="BC25" s="179"/>
      <c r="BD25" s="179"/>
      <c r="BE25" s="179"/>
      <c r="BF25" s="179"/>
      <c r="BG25" s="118">
        <f t="shared" si="14"/>
        <v>3</v>
      </c>
      <c r="BH25" s="122">
        <f t="shared" si="15"/>
        <v>100</v>
      </c>
      <c r="BI25" s="176"/>
      <c r="BJ25" s="179"/>
      <c r="BK25" s="179"/>
      <c r="BL25" s="179"/>
      <c r="BM25" s="179"/>
      <c r="BN25" s="179"/>
      <c r="BO25" s="184">
        <v>1.0</v>
      </c>
      <c r="BP25" s="179"/>
      <c r="BQ25" s="179"/>
      <c r="BR25" s="184">
        <v>1.0</v>
      </c>
      <c r="BS25" s="179"/>
      <c r="BT25" s="179"/>
      <c r="BU25" s="179"/>
      <c r="BV25" s="179"/>
      <c r="BW25" s="186"/>
      <c r="BX25" s="200">
        <v>1.0</v>
      </c>
      <c r="BY25" s="186"/>
      <c r="BZ25" s="186"/>
      <c r="CA25" s="186"/>
      <c r="CB25" s="186"/>
      <c r="CC25" s="186"/>
      <c r="CD25" s="186"/>
      <c r="CE25" s="172">
        <f t="shared" si="16"/>
        <v>3</v>
      </c>
      <c r="CF25" s="173">
        <f t="shared" si="17"/>
        <v>37.5</v>
      </c>
      <c r="CG25" s="189">
        <v>1.0</v>
      </c>
      <c r="CH25" s="186"/>
      <c r="CI25" s="186"/>
      <c r="CJ25" s="200">
        <v>1.0</v>
      </c>
      <c r="CK25" s="186"/>
      <c r="CL25" s="186"/>
      <c r="CM25" s="186"/>
      <c r="CN25" s="186"/>
      <c r="CO25" s="186"/>
      <c r="CP25" s="186"/>
      <c r="CQ25" s="186"/>
      <c r="CR25" s="186"/>
      <c r="CS25" s="175">
        <f t="shared" si="18"/>
        <v>2</v>
      </c>
      <c r="CT25" s="158">
        <f t="shared" si="19"/>
        <v>66.66666667</v>
      </c>
    </row>
    <row r="26" ht="15.75" customHeight="1">
      <c r="A26" s="131">
        <v>17.0</v>
      </c>
      <c r="B26" s="111" t="s">
        <v>84</v>
      </c>
      <c r="C26" s="112" t="s">
        <v>85</v>
      </c>
      <c r="D26" s="91">
        <f t="shared" si="6"/>
        <v>10</v>
      </c>
      <c r="E26" s="113">
        <f t="shared" si="7"/>
        <v>55.55555556</v>
      </c>
      <c r="F26" s="92" t="str">
        <f t="shared" si="8"/>
        <v>  </v>
      </c>
      <c r="G26" s="164" t="str">
        <f t="shared" si="9"/>
        <v>  </v>
      </c>
      <c r="H26" s="165"/>
      <c r="I26" s="150"/>
      <c r="J26" s="116"/>
      <c r="K26" s="116"/>
      <c r="L26" s="116"/>
      <c r="M26" s="118">
        <f t="shared" si="10"/>
        <v>0</v>
      </c>
      <c r="N26" s="119" t="str">
        <f t="shared" si="11"/>
        <v>#DIV/0!</v>
      </c>
      <c r="O26" s="227"/>
      <c r="P26" s="228"/>
      <c r="Q26" s="228"/>
      <c r="R26" s="228"/>
      <c r="S26" s="228"/>
      <c r="T26" s="228"/>
      <c r="U26" s="228"/>
      <c r="V26" s="228"/>
      <c r="W26" s="233">
        <v>1.0</v>
      </c>
      <c r="X26" s="228"/>
      <c r="Y26" s="228"/>
      <c r="Z26" s="228"/>
      <c r="AA26" s="228"/>
      <c r="AB26" s="228"/>
      <c r="AC26" s="228"/>
      <c r="AD26" s="228"/>
      <c r="AE26" s="228"/>
      <c r="AF26" s="229">
        <v>1.0</v>
      </c>
      <c r="AG26" s="227"/>
      <c r="AH26" s="227"/>
      <c r="AI26" s="229">
        <v>1.0</v>
      </c>
      <c r="AJ26" s="168">
        <f t="shared" si="12"/>
        <v>3</v>
      </c>
      <c r="AK26" s="169">
        <f t="shared" si="13"/>
        <v>75</v>
      </c>
      <c r="AL26" s="232"/>
      <c r="AM26" s="228"/>
      <c r="AN26" s="228"/>
      <c r="AO26" s="228"/>
      <c r="AP26" s="228"/>
      <c r="AQ26" s="228"/>
      <c r="AR26" s="233">
        <v>1.0</v>
      </c>
      <c r="AS26" s="228"/>
      <c r="AT26" s="228"/>
      <c r="AU26" s="233">
        <v>1.0</v>
      </c>
      <c r="AV26" s="228"/>
      <c r="AW26" s="228"/>
      <c r="AX26" s="228"/>
      <c r="AY26" s="228"/>
      <c r="AZ26" s="228"/>
      <c r="BA26" s="228"/>
      <c r="BB26" s="228"/>
      <c r="BC26" s="228"/>
      <c r="BD26" s="228"/>
      <c r="BE26" s="228"/>
      <c r="BF26" s="228"/>
      <c r="BG26" s="118">
        <f t="shared" si="14"/>
        <v>2</v>
      </c>
      <c r="BH26" s="122">
        <f t="shared" si="15"/>
        <v>66.66666667</v>
      </c>
      <c r="BI26" s="227"/>
      <c r="BJ26" s="228"/>
      <c r="BK26" s="228"/>
      <c r="BL26" s="228"/>
      <c r="BM26" s="228"/>
      <c r="BN26" s="228"/>
      <c r="BO26" s="228"/>
      <c r="BP26" s="228"/>
      <c r="BQ26" s="228"/>
      <c r="BR26" s="228"/>
      <c r="BS26" s="233">
        <v>1.0</v>
      </c>
      <c r="BT26" s="228"/>
      <c r="BU26" s="228"/>
      <c r="BV26" s="228"/>
      <c r="BW26" s="186"/>
      <c r="BX26" s="186"/>
      <c r="BY26" s="186"/>
      <c r="BZ26" s="186"/>
      <c r="CA26" s="200">
        <v>1.0</v>
      </c>
      <c r="CB26" s="186"/>
      <c r="CC26" s="200">
        <v>1.0</v>
      </c>
      <c r="CD26" s="186"/>
      <c r="CE26" s="172">
        <f t="shared" si="16"/>
        <v>3</v>
      </c>
      <c r="CF26" s="173">
        <f t="shared" si="17"/>
        <v>37.5</v>
      </c>
      <c r="CG26" s="189">
        <v>1.0</v>
      </c>
      <c r="CH26" s="186"/>
      <c r="CI26" s="186"/>
      <c r="CJ26" s="200">
        <v>1.0</v>
      </c>
      <c r="CK26" s="186"/>
      <c r="CL26" s="186"/>
      <c r="CM26" s="186"/>
      <c r="CN26" s="186"/>
      <c r="CO26" s="186"/>
      <c r="CP26" s="186"/>
      <c r="CQ26" s="186"/>
      <c r="CR26" s="186"/>
      <c r="CS26" s="175">
        <f t="shared" si="18"/>
        <v>2</v>
      </c>
      <c r="CT26" s="158">
        <f t="shared" si="19"/>
        <v>66.66666667</v>
      </c>
    </row>
    <row r="27" ht="15.75" customHeight="1">
      <c r="A27" s="146">
        <v>18.0</v>
      </c>
      <c r="B27" s="111" t="s">
        <v>86</v>
      </c>
      <c r="C27" s="112" t="s">
        <v>87</v>
      </c>
      <c r="D27" s="91">
        <f t="shared" si="6"/>
        <v>8</v>
      </c>
      <c r="E27" s="113">
        <f t="shared" si="7"/>
        <v>44.44444444</v>
      </c>
      <c r="F27" s="114">
        <f t="shared" si="8"/>
        <v>44.44444444</v>
      </c>
      <c r="G27" s="164" t="str">
        <f t="shared" si="9"/>
        <v>  </v>
      </c>
      <c r="H27" s="165"/>
      <c r="I27" s="116"/>
      <c r="J27" s="150"/>
      <c r="K27" s="116"/>
      <c r="L27" s="116"/>
      <c r="M27" s="118">
        <f t="shared" si="10"/>
        <v>0</v>
      </c>
      <c r="N27" s="119" t="str">
        <f t="shared" si="11"/>
        <v>#DIV/0!</v>
      </c>
      <c r="O27" s="176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82">
        <v>1.0</v>
      </c>
      <c r="AG27" s="176"/>
      <c r="AH27" s="176"/>
      <c r="AI27" s="176"/>
      <c r="AJ27" s="168">
        <f t="shared" si="12"/>
        <v>1</v>
      </c>
      <c r="AK27" s="169">
        <f t="shared" si="13"/>
        <v>25</v>
      </c>
      <c r="AL27" s="183"/>
      <c r="AM27" s="184">
        <v>1.0</v>
      </c>
      <c r="AN27" s="179"/>
      <c r="AO27" s="179"/>
      <c r="AP27" s="179"/>
      <c r="AQ27" s="179"/>
      <c r="AR27" s="184">
        <v>1.0</v>
      </c>
      <c r="AS27" s="179"/>
      <c r="AT27" s="179"/>
      <c r="AU27" s="179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79"/>
      <c r="BG27" s="118">
        <f t="shared" si="14"/>
        <v>2</v>
      </c>
      <c r="BH27" s="122">
        <f t="shared" si="15"/>
        <v>66.66666667</v>
      </c>
      <c r="BI27" s="176"/>
      <c r="BJ27" s="179"/>
      <c r="BK27" s="179"/>
      <c r="BL27" s="179"/>
      <c r="BM27" s="179"/>
      <c r="BN27" s="179"/>
      <c r="BO27" s="184">
        <v>1.0</v>
      </c>
      <c r="BP27" s="179"/>
      <c r="BQ27" s="179"/>
      <c r="BR27" s="179"/>
      <c r="BS27" s="184">
        <v>1.0</v>
      </c>
      <c r="BT27" s="179"/>
      <c r="BU27" s="179"/>
      <c r="BV27" s="179"/>
      <c r="BW27" s="186"/>
      <c r="BX27" s="200">
        <v>1.0</v>
      </c>
      <c r="BY27" s="186"/>
      <c r="BZ27" s="186"/>
      <c r="CA27" s="200">
        <v>1.0</v>
      </c>
      <c r="CB27" s="186"/>
      <c r="CC27" s="200">
        <v>1.0</v>
      </c>
      <c r="CD27" s="186"/>
      <c r="CE27" s="172">
        <f t="shared" si="16"/>
        <v>5</v>
      </c>
      <c r="CF27" s="173">
        <f t="shared" si="17"/>
        <v>62.5</v>
      </c>
      <c r="CG27" s="199"/>
      <c r="CH27" s="186"/>
      <c r="CI27" s="186"/>
      <c r="CJ27" s="186"/>
      <c r="CK27" s="186"/>
      <c r="CL27" s="186"/>
      <c r="CM27" s="186"/>
      <c r="CN27" s="186"/>
      <c r="CO27" s="186"/>
      <c r="CP27" s="186"/>
      <c r="CQ27" s="186"/>
      <c r="CR27" s="186"/>
      <c r="CS27" s="175">
        <f t="shared" si="18"/>
        <v>0</v>
      </c>
      <c r="CT27" s="158">
        <f t="shared" si="19"/>
        <v>0</v>
      </c>
    </row>
    <row r="28" ht="15.75" customHeight="1">
      <c r="A28" s="50">
        <v>19.0</v>
      </c>
      <c r="B28" s="111" t="s">
        <v>88</v>
      </c>
      <c r="C28" s="112" t="s">
        <v>89</v>
      </c>
      <c r="D28" s="91">
        <f t="shared" si="6"/>
        <v>4</v>
      </c>
      <c r="E28" s="113">
        <f t="shared" si="7"/>
        <v>22.22222222</v>
      </c>
      <c r="F28" s="114">
        <f t="shared" si="8"/>
        <v>22.22222222</v>
      </c>
      <c r="G28" s="202">
        <f t="shared" si="9"/>
        <v>22.22222222</v>
      </c>
      <c r="H28" s="165"/>
      <c r="I28" s="116"/>
      <c r="J28" s="116"/>
      <c r="K28" s="116"/>
      <c r="L28" s="116"/>
      <c r="M28" s="118">
        <f t="shared" si="10"/>
        <v>0</v>
      </c>
      <c r="N28" s="119" t="str">
        <f t="shared" si="11"/>
        <v>#DIV/0!</v>
      </c>
      <c r="O28" s="176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  <c r="AA28" s="184">
        <v>1.0</v>
      </c>
      <c r="AB28" s="179"/>
      <c r="AC28" s="179"/>
      <c r="AD28" s="179"/>
      <c r="AE28" s="179"/>
      <c r="AF28" s="176"/>
      <c r="AG28" s="176"/>
      <c r="AH28" s="176"/>
      <c r="AI28" s="182">
        <v>1.0</v>
      </c>
      <c r="AJ28" s="168">
        <f t="shared" si="12"/>
        <v>2</v>
      </c>
      <c r="AK28" s="169">
        <f t="shared" si="13"/>
        <v>50</v>
      </c>
      <c r="AL28" s="183"/>
      <c r="AM28" s="179"/>
      <c r="AN28" s="179"/>
      <c r="AO28" s="179"/>
      <c r="AP28" s="179"/>
      <c r="AQ28" s="179"/>
      <c r="AR28" s="179"/>
      <c r="AS28" s="179"/>
      <c r="AT28" s="179"/>
      <c r="AU28" s="184">
        <v>1.0</v>
      </c>
      <c r="AV28" s="179"/>
      <c r="AW28" s="179"/>
      <c r="AX28" s="179"/>
      <c r="AY28" s="179"/>
      <c r="AZ28" s="179"/>
      <c r="BA28" s="179"/>
      <c r="BB28" s="179"/>
      <c r="BC28" s="179"/>
      <c r="BD28" s="179"/>
      <c r="BE28" s="179"/>
      <c r="BF28" s="179"/>
      <c r="BG28" s="118">
        <f t="shared" si="14"/>
        <v>1</v>
      </c>
      <c r="BH28" s="122">
        <f t="shared" si="15"/>
        <v>33.33333333</v>
      </c>
      <c r="BI28" s="176"/>
      <c r="BJ28" s="179"/>
      <c r="BK28" s="179"/>
      <c r="BL28" s="179"/>
      <c r="BM28" s="179"/>
      <c r="BN28" s="179"/>
      <c r="BO28" s="184">
        <v>1.0</v>
      </c>
      <c r="BP28" s="179"/>
      <c r="BQ28" s="179"/>
      <c r="BR28" s="179"/>
      <c r="BS28" s="179"/>
      <c r="BT28" s="179"/>
      <c r="BU28" s="179"/>
      <c r="BV28" s="179"/>
      <c r="BW28" s="186"/>
      <c r="BX28" s="186"/>
      <c r="BY28" s="186"/>
      <c r="BZ28" s="186"/>
      <c r="CA28" s="186"/>
      <c r="CB28" s="186"/>
      <c r="CC28" s="186"/>
      <c r="CD28" s="186"/>
      <c r="CE28" s="172">
        <f t="shared" si="16"/>
        <v>1</v>
      </c>
      <c r="CF28" s="173">
        <f t="shared" si="17"/>
        <v>12.5</v>
      </c>
      <c r="CG28" s="199"/>
      <c r="CH28" s="186"/>
      <c r="CI28" s="186"/>
      <c r="CJ28" s="186"/>
      <c r="CK28" s="186"/>
      <c r="CL28" s="186"/>
      <c r="CM28" s="186"/>
      <c r="CN28" s="186"/>
      <c r="CO28" s="186"/>
      <c r="CP28" s="186"/>
      <c r="CQ28" s="186"/>
      <c r="CR28" s="186"/>
      <c r="CS28" s="175">
        <f t="shared" si="18"/>
        <v>0</v>
      </c>
      <c r="CT28" s="158">
        <f t="shared" si="19"/>
        <v>0</v>
      </c>
    </row>
    <row r="29" ht="15.75" customHeight="1">
      <c r="A29" s="131">
        <v>20.0</v>
      </c>
      <c r="B29" s="111" t="s">
        <v>90</v>
      </c>
      <c r="C29" s="112" t="s">
        <v>91</v>
      </c>
      <c r="D29" s="91">
        <f t="shared" si="6"/>
        <v>10</v>
      </c>
      <c r="E29" s="113">
        <f t="shared" si="7"/>
        <v>55.55555556</v>
      </c>
      <c r="F29" s="114" t="str">
        <f t="shared" si="8"/>
        <v>  </v>
      </c>
      <c r="G29" s="164" t="str">
        <f t="shared" si="9"/>
        <v>  </v>
      </c>
      <c r="H29" s="165"/>
      <c r="I29" s="116"/>
      <c r="J29" s="116"/>
      <c r="K29" s="116"/>
      <c r="L29" s="116"/>
      <c r="M29" s="118">
        <f t="shared" si="10"/>
        <v>0</v>
      </c>
      <c r="N29" s="119" t="str">
        <f t="shared" si="11"/>
        <v>#DIV/0!</v>
      </c>
      <c r="O29" s="176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  <c r="AA29" s="184">
        <v>1.0</v>
      </c>
      <c r="AB29" s="179"/>
      <c r="AC29" s="179"/>
      <c r="AD29" s="179"/>
      <c r="AE29" s="179"/>
      <c r="AF29" s="176"/>
      <c r="AG29" s="176"/>
      <c r="AH29" s="176"/>
      <c r="AI29" s="182">
        <v>1.0</v>
      </c>
      <c r="AJ29" s="168">
        <f t="shared" si="12"/>
        <v>2</v>
      </c>
      <c r="AK29" s="169">
        <f t="shared" si="13"/>
        <v>50</v>
      </c>
      <c r="AL29" s="183"/>
      <c r="AM29" s="184">
        <v>1.0</v>
      </c>
      <c r="AN29" s="179"/>
      <c r="AO29" s="179"/>
      <c r="AP29" s="179"/>
      <c r="AQ29" s="179"/>
      <c r="AR29" s="179"/>
      <c r="AS29" s="179"/>
      <c r="AT29" s="179"/>
      <c r="AU29" s="184">
        <v>1.0</v>
      </c>
      <c r="AV29" s="179"/>
      <c r="AW29" s="179"/>
      <c r="AX29" s="179"/>
      <c r="AY29" s="179"/>
      <c r="AZ29" s="179"/>
      <c r="BA29" s="179"/>
      <c r="BB29" s="179"/>
      <c r="BC29" s="179"/>
      <c r="BD29" s="179"/>
      <c r="BE29" s="179"/>
      <c r="BF29" s="179"/>
      <c r="BG29" s="118">
        <f t="shared" si="14"/>
        <v>2</v>
      </c>
      <c r="BH29" s="122">
        <f t="shared" si="15"/>
        <v>66.66666667</v>
      </c>
      <c r="BI29" s="176"/>
      <c r="BJ29" s="179"/>
      <c r="BK29" s="179"/>
      <c r="BL29" s="179"/>
      <c r="BM29" s="179"/>
      <c r="BN29" s="179"/>
      <c r="BO29" s="184">
        <v>1.0</v>
      </c>
      <c r="BP29" s="179"/>
      <c r="BQ29" s="179"/>
      <c r="BR29" s="184">
        <v>1.0</v>
      </c>
      <c r="BS29" s="179"/>
      <c r="BT29" s="179"/>
      <c r="BU29" s="179"/>
      <c r="BV29" s="184">
        <v>1.0</v>
      </c>
      <c r="BW29" s="186"/>
      <c r="BX29" s="200">
        <v>1.0</v>
      </c>
      <c r="BY29" s="186"/>
      <c r="BZ29" s="186"/>
      <c r="CA29" s="186"/>
      <c r="CB29" s="186"/>
      <c r="CC29" s="186"/>
      <c r="CD29" s="186"/>
      <c r="CE29" s="172">
        <f t="shared" si="16"/>
        <v>4</v>
      </c>
      <c r="CF29" s="173">
        <f t="shared" si="17"/>
        <v>50</v>
      </c>
      <c r="CG29" s="189">
        <v>1.0</v>
      </c>
      <c r="CH29" s="186"/>
      <c r="CI29" s="186"/>
      <c r="CJ29" s="200">
        <v>1.0</v>
      </c>
      <c r="CK29" s="186"/>
      <c r="CL29" s="186"/>
      <c r="CM29" s="186"/>
      <c r="CN29" s="186"/>
      <c r="CO29" s="186"/>
      <c r="CP29" s="186"/>
      <c r="CQ29" s="186"/>
      <c r="CR29" s="186"/>
      <c r="CS29" s="175">
        <f t="shared" si="18"/>
        <v>2</v>
      </c>
      <c r="CT29" s="158">
        <f t="shared" si="19"/>
        <v>66.66666667</v>
      </c>
    </row>
    <row r="30" ht="15.75" customHeight="1">
      <c r="A30" s="146">
        <v>21.0</v>
      </c>
      <c r="B30" s="111" t="s">
        <v>92</v>
      </c>
      <c r="C30" s="112" t="s">
        <v>93</v>
      </c>
      <c r="D30" s="91">
        <f t="shared" si="6"/>
        <v>0</v>
      </c>
      <c r="E30" s="113">
        <f t="shared" si="7"/>
        <v>0</v>
      </c>
      <c r="F30" s="114">
        <f t="shared" si="8"/>
        <v>0</v>
      </c>
      <c r="G30" s="202">
        <f t="shared" si="9"/>
        <v>0</v>
      </c>
      <c r="H30" s="165"/>
      <c r="I30" s="116"/>
      <c r="J30" s="116"/>
      <c r="K30" s="116"/>
      <c r="L30" s="116"/>
      <c r="M30" s="118">
        <f t="shared" si="10"/>
        <v>0</v>
      </c>
      <c r="N30" s="119" t="str">
        <f t="shared" si="11"/>
        <v>#DIV/0!</v>
      </c>
      <c r="O30" s="176"/>
      <c r="P30" s="179"/>
      <c r="Q30" s="179"/>
      <c r="R30" s="179"/>
      <c r="S30" s="179"/>
      <c r="T30" s="179"/>
      <c r="U30" s="179"/>
      <c r="V30" s="179"/>
      <c r="W30" s="179"/>
      <c r="X30" s="179"/>
      <c r="Y30" s="179"/>
      <c r="Z30" s="179"/>
      <c r="AA30" s="179"/>
      <c r="AB30" s="179"/>
      <c r="AC30" s="179"/>
      <c r="AD30" s="179"/>
      <c r="AE30" s="179"/>
      <c r="AF30" s="176"/>
      <c r="AG30" s="176"/>
      <c r="AH30" s="176"/>
      <c r="AI30" s="176"/>
      <c r="AJ30" s="168">
        <f t="shared" si="12"/>
        <v>0</v>
      </c>
      <c r="AK30" s="169">
        <f t="shared" si="13"/>
        <v>0</v>
      </c>
      <c r="AL30" s="183"/>
      <c r="AM30" s="179"/>
      <c r="AN30" s="179"/>
      <c r="AO30" s="179"/>
      <c r="AP30" s="179"/>
      <c r="AQ30" s="179"/>
      <c r="AR30" s="179"/>
      <c r="AS30" s="179"/>
      <c r="AT30" s="179"/>
      <c r="AU30" s="179"/>
      <c r="AV30" s="179"/>
      <c r="AW30" s="179"/>
      <c r="AX30" s="179"/>
      <c r="AY30" s="179"/>
      <c r="AZ30" s="179"/>
      <c r="BA30" s="179"/>
      <c r="BB30" s="179"/>
      <c r="BC30" s="179"/>
      <c r="BD30" s="179"/>
      <c r="BE30" s="179"/>
      <c r="BF30" s="179"/>
      <c r="BG30" s="118">
        <f t="shared" si="14"/>
        <v>0</v>
      </c>
      <c r="BH30" s="122">
        <f t="shared" si="15"/>
        <v>0</v>
      </c>
      <c r="BI30" s="176"/>
      <c r="BJ30" s="179"/>
      <c r="BK30" s="179"/>
      <c r="BL30" s="179"/>
      <c r="BM30" s="179"/>
      <c r="BN30" s="179"/>
      <c r="BO30" s="179"/>
      <c r="BP30" s="179"/>
      <c r="BQ30" s="179"/>
      <c r="BR30" s="179"/>
      <c r="BS30" s="179"/>
      <c r="BT30" s="179"/>
      <c r="BU30" s="179"/>
      <c r="BV30" s="179"/>
      <c r="BW30" s="186"/>
      <c r="BX30" s="186"/>
      <c r="BY30" s="186"/>
      <c r="BZ30" s="186"/>
      <c r="CA30" s="186"/>
      <c r="CB30" s="186"/>
      <c r="CC30" s="186"/>
      <c r="CD30" s="186"/>
      <c r="CE30" s="172">
        <f t="shared" si="16"/>
        <v>0</v>
      </c>
      <c r="CF30" s="173">
        <f t="shared" si="17"/>
        <v>0</v>
      </c>
      <c r="CG30" s="199"/>
      <c r="CH30" s="186"/>
      <c r="CI30" s="186"/>
      <c r="CJ30" s="186"/>
      <c r="CK30" s="186"/>
      <c r="CL30" s="186"/>
      <c r="CM30" s="186"/>
      <c r="CN30" s="186"/>
      <c r="CO30" s="186"/>
      <c r="CP30" s="186"/>
      <c r="CQ30" s="186"/>
      <c r="CR30" s="186"/>
      <c r="CS30" s="175">
        <f t="shared" si="18"/>
        <v>0</v>
      </c>
      <c r="CT30" s="158">
        <f t="shared" si="19"/>
        <v>0</v>
      </c>
    </row>
    <row r="31" ht="15.75" customHeight="1">
      <c r="A31" s="50">
        <v>22.0</v>
      </c>
      <c r="B31" s="111" t="s">
        <v>94</v>
      </c>
      <c r="C31" s="112" t="s">
        <v>95</v>
      </c>
      <c r="D31" s="91">
        <f t="shared" si="6"/>
        <v>8</v>
      </c>
      <c r="E31" s="113">
        <f t="shared" si="7"/>
        <v>44.44444444</v>
      </c>
      <c r="F31" s="114">
        <f t="shared" si="8"/>
        <v>44.44444444</v>
      </c>
      <c r="G31" s="202" t="str">
        <f t="shared" si="9"/>
        <v>  </v>
      </c>
      <c r="H31" s="165"/>
      <c r="I31" s="150"/>
      <c r="J31" s="150"/>
      <c r="K31" s="116"/>
      <c r="L31" s="116"/>
      <c r="M31" s="118">
        <f t="shared" si="10"/>
        <v>0</v>
      </c>
      <c r="N31" s="119" t="str">
        <f t="shared" si="11"/>
        <v>#DIV/0!</v>
      </c>
      <c r="O31" s="176"/>
      <c r="P31" s="179"/>
      <c r="Q31" s="179"/>
      <c r="R31" s="179"/>
      <c r="S31" s="179"/>
      <c r="T31" s="179"/>
      <c r="U31" s="179"/>
      <c r="V31" s="179"/>
      <c r="W31" s="179"/>
      <c r="X31" s="179"/>
      <c r="Y31" s="179"/>
      <c r="Z31" s="179"/>
      <c r="AA31" s="179"/>
      <c r="AB31" s="179"/>
      <c r="AC31" s="179"/>
      <c r="AD31" s="179"/>
      <c r="AE31" s="179"/>
      <c r="AF31" s="176"/>
      <c r="AG31" s="176"/>
      <c r="AH31" s="176"/>
      <c r="AI31" s="182">
        <v>1.0</v>
      </c>
      <c r="AJ31" s="168">
        <f t="shared" si="12"/>
        <v>1</v>
      </c>
      <c r="AK31" s="169">
        <f t="shared" si="13"/>
        <v>25</v>
      </c>
      <c r="AL31" s="183"/>
      <c r="AM31" s="179"/>
      <c r="AN31" s="179"/>
      <c r="AO31" s="179"/>
      <c r="AP31" s="179"/>
      <c r="AQ31" s="179"/>
      <c r="AR31" s="184">
        <v>1.0</v>
      </c>
      <c r="AS31" s="179"/>
      <c r="AT31" s="179"/>
      <c r="AU31" s="184">
        <v>1.0</v>
      </c>
      <c r="AV31" s="179"/>
      <c r="AW31" s="179"/>
      <c r="AX31" s="179"/>
      <c r="AY31" s="179"/>
      <c r="AZ31" s="179"/>
      <c r="BA31" s="179"/>
      <c r="BB31" s="179"/>
      <c r="BC31" s="179"/>
      <c r="BD31" s="179"/>
      <c r="BE31" s="179"/>
      <c r="BF31" s="179"/>
      <c r="BG31" s="118">
        <f t="shared" si="14"/>
        <v>2</v>
      </c>
      <c r="BH31" s="122">
        <f t="shared" si="15"/>
        <v>66.66666667</v>
      </c>
      <c r="BI31" s="176"/>
      <c r="BJ31" s="179"/>
      <c r="BK31" s="179"/>
      <c r="BL31" s="179"/>
      <c r="BM31" s="179"/>
      <c r="BN31" s="179"/>
      <c r="BO31" s="184">
        <v>1.0</v>
      </c>
      <c r="BP31" s="179"/>
      <c r="BQ31" s="179"/>
      <c r="BR31" s="179"/>
      <c r="BS31" s="179"/>
      <c r="BT31" s="179"/>
      <c r="BU31" s="179"/>
      <c r="BV31" s="184">
        <v>1.0</v>
      </c>
      <c r="BW31" s="186"/>
      <c r="BX31" s="200">
        <v>1.0</v>
      </c>
      <c r="BY31" s="186"/>
      <c r="BZ31" s="186"/>
      <c r="CA31" s="186"/>
      <c r="CB31" s="186"/>
      <c r="CC31" s="186"/>
      <c r="CD31" s="186"/>
      <c r="CE31" s="172">
        <f t="shared" si="16"/>
        <v>3</v>
      </c>
      <c r="CF31" s="173">
        <f t="shared" si="17"/>
        <v>37.5</v>
      </c>
      <c r="CG31" s="189">
        <v>1.0</v>
      </c>
      <c r="CH31" s="186"/>
      <c r="CI31" s="186"/>
      <c r="CJ31" s="200">
        <v>1.0</v>
      </c>
      <c r="CK31" s="186"/>
      <c r="CL31" s="186"/>
      <c r="CM31" s="186"/>
      <c r="CN31" s="186"/>
      <c r="CO31" s="186"/>
      <c r="CP31" s="186"/>
      <c r="CQ31" s="186"/>
      <c r="CR31" s="186"/>
      <c r="CS31" s="175">
        <f t="shared" si="18"/>
        <v>2</v>
      </c>
      <c r="CT31" s="158">
        <f t="shared" si="19"/>
        <v>66.66666667</v>
      </c>
    </row>
    <row r="32" ht="15.75" customHeight="1">
      <c r="A32" s="131">
        <v>23.0</v>
      </c>
      <c r="B32" s="111" t="s">
        <v>96</v>
      </c>
      <c r="C32" s="112" t="s">
        <v>97</v>
      </c>
      <c r="D32" s="91">
        <f t="shared" si="6"/>
        <v>9</v>
      </c>
      <c r="E32" s="113">
        <f t="shared" si="7"/>
        <v>50</v>
      </c>
      <c r="F32" s="92" t="str">
        <f t="shared" si="8"/>
        <v>  </v>
      </c>
      <c r="G32" s="164" t="str">
        <f t="shared" si="9"/>
        <v>  </v>
      </c>
      <c r="H32" s="165"/>
      <c r="I32" s="150"/>
      <c r="J32" s="116"/>
      <c r="K32" s="116"/>
      <c r="L32" s="116"/>
      <c r="M32" s="118">
        <f t="shared" si="10"/>
        <v>0</v>
      </c>
      <c r="N32" s="119" t="str">
        <f t="shared" si="11"/>
        <v>#DIV/0!</v>
      </c>
      <c r="O32" s="176"/>
      <c r="P32" s="179"/>
      <c r="Q32" s="179"/>
      <c r="R32" s="179"/>
      <c r="S32" s="179"/>
      <c r="T32" s="179"/>
      <c r="U32" s="179"/>
      <c r="V32" s="179"/>
      <c r="W32" s="184">
        <v>1.0</v>
      </c>
      <c r="X32" s="179"/>
      <c r="Y32" s="179"/>
      <c r="Z32" s="179"/>
      <c r="AA32" s="179"/>
      <c r="AB32" s="179"/>
      <c r="AC32" s="179"/>
      <c r="AD32" s="179"/>
      <c r="AE32" s="179"/>
      <c r="AF32" s="182">
        <v>1.0</v>
      </c>
      <c r="AG32" s="176"/>
      <c r="AH32" s="176"/>
      <c r="AI32" s="176"/>
      <c r="AJ32" s="168">
        <f t="shared" si="12"/>
        <v>2</v>
      </c>
      <c r="AK32" s="169">
        <f t="shared" si="13"/>
        <v>50</v>
      </c>
      <c r="AL32" s="183"/>
      <c r="AM32" s="184">
        <v>1.0</v>
      </c>
      <c r="AN32" s="179"/>
      <c r="AO32" s="179"/>
      <c r="AP32" s="179"/>
      <c r="AQ32" s="179"/>
      <c r="AR32" s="184">
        <v>1.0</v>
      </c>
      <c r="AS32" s="179"/>
      <c r="AT32" s="179"/>
      <c r="AU32" s="179"/>
      <c r="AV32" s="179"/>
      <c r="AW32" s="179"/>
      <c r="AX32" s="179"/>
      <c r="AY32" s="179"/>
      <c r="AZ32" s="179"/>
      <c r="BA32" s="179"/>
      <c r="BB32" s="179"/>
      <c r="BC32" s="179"/>
      <c r="BD32" s="179"/>
      <c r="BE32" s="179"/>
      <c r="BF32" s="179"/>
      <c r="BG32" s="118">
        <f t="shared" si="14"/>
        <v>2</v>
      </c>
      <c r="BH32" s="122">
        <f t="shared" si="15"/>
        <v>66.66666667</v>
      </c>
      <c r="BI32" s="176"/>
      <c r="BJ32" s="179"/>
      <c r="BK32" s="179"/>
      <c r="BL32" s="179"/>
      <c r="BM32" s="179"/>
      <c r="BN32" s="179"/>
      <c r="BO32" s="179"/>
      <c r="BP32" s="179"/>
      <c r="BQ32" s="179"/>
      <c r="BR32" s="179"/>
      <c r="BS32" s="184">
        <v>1.0</v>
      </c>
      <c r="BT32" s="179"/>
      <c r="BU32" s="179"/>
      <c r="BV32" s="184">
        <v>1.0</v>
      </c>
      <c r="BW32" s="186"/>
      <c r="BX32" s="200">
        <v>1.0</v>
      </c>
      <c r="BY32" s="186"/>
      <c r="BZ32" s="186"/>
      <c r="CA32" s="200">
        <v>1.0</v>
      </c>
      <c r="CB32" s="186"/>
      <c r="CC32" s="200">
        <v>1.0</v>
      </c>
      <c r="CD32" s="186"/>
      <c r="CE32" s="172">
        <f t="shared" si="16"/>
        <v>5</v>
      </c>
      <c r="CF32" s="173">
        <f t="shared" si="17"/>
        <v>62.5</v>
      </c>
      <c r="CG32" s="199"/>
      <c r="CH32" s="186"/>
      <c r="CI32" s="186"/>
      <c r="CJ32" s="186"/>
      <c r="CK32" s="186"/>
      <c r="CL32" s="186"/>
      <c r="CM32" s="186"/>
      <c r="CN32" s="186"/>
      <c r="CO32" s="186"/>
      <c r="CP32" s="186"/>
      <c r="CQ32" s="186"/>
      <c r="CR32" s="186"/>
      <c r="CS32" s="175">
        <f t="shared" si="18"/>
        <v>0</v>
      </c>
      <c r="CT32" s="158">
        <f t="shared" si="19"/>
        <v>0</v>
      </c>
    </row>
    <row r="33" ht="15.75" customHeight="1">
      <c r="A33" s="146">
        <v>24.0</v>
      </c>
      <c r="B33" s="111" t="s">
        <v>98</v>
      </c>
      <c r="C33" s="112" t="s">
        <v>99</v>
      </c>
      <c r="D33" s="91">
        <f t="shared" si="6"/>
        <v>9</v>
      </c>
      <c r="E33" s="113">
        <f t="shared" si="7"/>
        <v>50</v>
      </c>
      <c r="F33" s="114" t="str">
        <f t="shared" si="8"/>
        <v>  </v>
      </c>
      <c r="G33" s="164" t="str">
        <f t="shared" si="9"/>
        <v>  </v>
      </c>
      <c r="H33" s="165"/>
      <c r="I33" s="150"/>
      <c r="J33" s="116"/>
      <c r="K33" s="116"/>
      <c r="L33" s="116"/>
      <c r="M33" s="118">
        <f t="shared" si="10"/>
        <v>0</v>
      </c>
      <c r="N33" s="119" t="str">
        <f t="shared" si="11"/>
        <v>#DIV/0!</v>
      </c>
      <c r="O33" s="206"/>
      <c r="P33" s="207"/>
      <c r="Q33" s="207"/>
      <c r="R33" s="207"/>
      <c r="S33" s="207"/>
      <c r="T33" s="207"/>
      <c r="U33" s="207"/>
      <c r="V33" s="207"/>
      <c r="W33" s="207"/>
      <c r="X33" s="207"/>
      <c r="Y33" s="207"/>
      <c r="Z33" s="207"/>
      <c r="AA33" s="234">
        <v>1.0</v>
      </c>
      <c r="AB33" s="207"/>
      <c r="AC33" s="207"/>
      <c r="AD33" s="207"/>
      <c r="AE33" s="207"/>
      <c r="AF33" s="209">
        <v>1.0</v>
      </c>
      <c r="AG33" s="206"/>
      <c r="AH33" s="206"/>
      <c r="AI33" s="206"/>
      <c r="AJ33" s="168">
        <f t="shared" si="12"/>
        <v>2</v>
      </c>
      <c r="AK33" s="169">
        <f t="shared" si="13"/>
        <v>50</v>
      </c>
      <c r="AL33" s="212"/>
      <c r="AM33" s="234">
        <v>1.0</v>
      </c>
      <c r="AN33" s="207"/>
      <c r="AO33" s="207"/>
      <c r="AP33" s="207"/>
      <c r="AQ33" s="207"/>
      <c r="AR33" s="234">
        <v>1.0</v>
      </c>
      <c r="AS33" s="207"/>
      <c r="AT33" s="207"/>
      <c r="AU33" s="234">
        <v>1.0</v>
      </c>
      <c r="AV33" s="207"/>
      <c r="AW33" s="207"/>
      <c r="AX33" s="207"/>
      <c r="AY33" s="207"/>
      <c r="AZ33" s="207"/>
      <c r="BA33" s="207"/>
      <c r="BB33" s="207"/>
      <c r="BC33" s="207"/>
      <c r="BD33" s="207"/>
      <c r="BE33" s="207"/>
      <c r="BF33" s="207"/>
      <c r="BG33" s="118">
        <f t="shared" si="14"/>
        <v>3</v>
      </c>
      <c r="BH33" s="122">
        <f t="shared" si="15"/>
        <v>100</v>
      </c>
      <c r="BI33" s="206"/>
      <c r="BJ33" s="207"/>
      <c r="BK33" s="207"/>
      <c r="BL33" s="207"/>
      <c r="BM33" s="207"/>
      <c r="BN33" s="207"/>
      <c r="BO33" s="234">
        <v>1.0</v>
      </c>
      <c r="BP33" s="207"/>
      <c r="BQ33" s="207"/>
      <c r="BR33" s="207"/>
      <c r="BS33" s="207"/>
      <c r="BT33" s="207"/>
      <c r="BU33" s="207"/>
      <c r="BV33" s="234">
        <v>1.0</v>
      </c>
      <c r="BW33" s="186"/>
      <c r="BX33" s="186"/>
      <c r="BY33" s="186"/>
      <c r="BZ33" s="186"/>
      <c r="CA33" s="200">
        <v>1.0</v>
      </c>
      <c r="CB33" s="186"/>
      <c r="CC33" s="186"/>
      <c r="CD33" s="186"/>
      <c r="CE33" s="172">
        <f t="shared" si="16"/>
        <v>3</v>
      </c>
      <c r="CF33" s="173">
        <f t="shared" si="17"/>
        <v>37.5</v>
      </c>
      <c r="CG33" s="189">
        <v>1.0</v>
      </c>
      <c r="CH33" s="186"/>
      <c r="CI33" s="186"/>
      <c r="CJ33" s="186"/>
      <c r="CK33" s="186"/>
      <c r="CL33" s="186"/>
      <c r="CM33" s="186"/>
      <c r="CN33" s="186"/>
      <c r="CO33" s="186"/>
      <c r="CP33" s="186"/>
      <c r="CQ33" s="186"/>
      <c r="CR33" s="186"/>
      <c r="CS33" s="175">
        <f t="shared" si="18"/>
        <v>1</v>
      </c>
      <c r="CT33" s="158">
        <f t="shared" si="19"/>
        <v>33.33333333</v>
      </c>
    </row>
    <row r="34" ht="15.75" customHeight="1">
      <c r="A34" s="50">
        <v>25.0</v>
      </c>
      <c r="B34" s="111" t="s">
        <v>100</v>
      </c>
      <c r="C34" s="112" t="s">
        <v>101</v>
      </c>
      <c r="D34" s="91">
        <f t="shared" si="6"/>
        <v>13</v>
      </c>
      <c r="E34" s="113">
        <f t="shared" si="7"/>
        <v>72.22222222</v>
      </c>
      <c r="F34" s="92" t="str">
        <f t="shared" si="8"/>
        <v>  </v>
      </c>
      <c r="G34" s="164" t="str">
        <f t="shared" si="9"/>
        <v>  </v>
      </c>
      <c r="H34" s="165"/>
      <c r="I34" s="43"/>
      <c r="J34" s="43"/>
      <c r="K34" s="116"/>
      <c r="L34" s="116"/>
      <c r="M34" s="118">
        <f t="shared" si="10"/>
        <v>0</v>
      </c>
      <c r="N34" s="119" t="str">
        <f t="shared" si="11"/>
        <v>#DIV/0!</v>
      </c>
      <c r="O34" s="206"/>
      <c r="P34" s="207"/>
      <c r="Q34" s="207"/>
      <c r="R34" s="207"/>
      <c r="S34" s="207"/>
      <c r="T34" s="207"/>
      <c r="U34" s="207"/>
      <c r="V34" s="207"/>
      <c r="W34" s="234">
        <v>1.0</v>
      </c>
      <c r="X34" s="207"/>
      <c r="Y34" s="207"/>
      <c r="Z34" s="207"/>
      <c r="AA34" s="234">
        <v>1.0</v>
      </c>
      <c r="AB34" s="207"/>
      <c r="AC34" s="207"/>
      <c r="AD34" s="207"/>
      <c r="AE34" s="207"/>
      <c r="AF34" s="209">
        <v>1.0</v>
      </c>
      <c r="AG34" s="206"/>
      <c r="AH34" s="206"/>
      <c r="AI34" s="209">
        <v>1.0</v>
      </c>
      <c r="AJ34" s="168">
        <f t="shared" si="12"/>
        <v>4</v>
      </c>
      <c r="AK34" s="169">
        <f t="shared" si="13"/>
        <v>100</v>
      </c>
      <c r="AL34" s="212"/>
      <c r="AM34" s="234">
        <v>1.0</v>
      </c>
      <c r="AN34" s="207"/>
      <c r="AO34" s="207"/>
      <c r="AP34" s="207"/>
      <c r="AQ34" s="207"/>
      <c r="AR34" s="234">
        <v>1.0</v>
      </c>
      <c r="AS34" s="207"/>
      <c r="AT34" s="207"/>
      <c r="AU34" s="234">
        <v>1.0</v>
      </c>
      <c r="AV34" s="207"/>
      <c r="AW34" s="207"/>
      <c r="AX34" s="207"/>
      <c r="AY34" s="207"/>
      <c r="AZ34" s="207"/>
      <c r="BA34" s="207"/>
      <c r="BB34" s="207"/>
      <c r="BC34" s="207"/>
      <c r="BD34" s="207"/>
      <c r="BE34" s="207"/>
      <c r="BF34" s="207"/>
      <c r="BG34" s="118">
        <f t="shared" si="14"/>
        <v>3</v>
      </c>
      <c r="BH34" s="122">
        <f t="shared" si="15"/>
        <v>100</v>
      </c>
      <c r="BI34" s="206"/>
      <c r="BJ34" s="207"/>
      <c r="BK34" s="207"/>
      <c r="BL34" s="207"/>
      <c r="BM34" s="207"/>
      <c r="BN34" s="207"/>
      <c r="BO34" s="234">
        <v>1.0</v>
      </c>
      <c r="BP34" s="207"/>
      <c r="BQ34" s="207"/>
      <c r="BR34" s="207"/>
      <c r="BS34" s="234">
        <v>1.0</v>
      </c>
      <c r="BT34" s="207"/>
      <c r="BU34" s="207"/>
      <c r="BV34" s="234">
        <v>1.0</v>
      </c>
      <c r="BW34" s="186"/>
      <c r="BX34" s="186"/>
      <c r="BY34" s="186"/>
      <c r="BZ34" s="186"/>
      <c r="CA34" s="186"/>
      <c r="CB34" s="186"/>
      <c r="CC34" s="200">
        <v>1.0</v>
      </c>
      <c r="CD34" s="186"/>
      <c r="CE34" s="172">
        <f t="shared" si="16"/>
        <v>4</v>
      </c>
      <c r="CF34" s="173">
        <f t="shared" si="17"/>
        <v>50</v>
      </c>
      <c r="CG34" s="189">
        <v>1.0</v>
      </c>
      <c r="CH34" s="186"/>
      <c r="CI34" s="186"/>
      <c r="CJ34" s="200">
        <v>1.0</v>
      </c>
      <c r="CK34" s="186"/>
      <c r="CL34" s="186"/>
      <c r="CM34" s="186"/>
      <c r="CN34" s="186"/>
      <c r="CO34" s="186"/>
      <c r="CP34" s="186"/>
      <c r="CQ34" s="186"/>
      <c r="CR34" s="186"/>
      <c r="CS34" s="175">
        <f t="shared" si="18"/>
        <v>2</v>
      </c>
      <c r="CT34" s="158">
        <f t="shared" si="19"/>
        <v>66.66666667</v>
      </c>
    </row>
    <row r="35" ht="15.75" customHeight="1">
      <c r="A35" s="131">
        <v>26.0</v>
      </c>
      <c r="B35" s="111" t="s">
        <v>102</v>
      </c>
      <c r="C35" s="112" t="s">
        <v>103</v>
      </c>
      <c r="D35" s="91">
        <f t="shared" si="6"/>
        <v>7</v>
      </c>
      <c r="E35" s="113">
        <f t="shared" si="7"/>
        <v>38.88888889</v>
      </c>
      <c r="F35" s="114">
        <f t="shared" si="8"/>
        <v>38.88888889</v>
      </c>
      <c r="G35" s="202" t="str">
        <f t="shared" si="9"/>
        <v>  </v>
      </c>
      <c r="H35" s="192"/>
      <c r="I35" s="116"/>
      <c r="J35" s="116"/>
      <c r="K35" s="116"/>
      <c r="L35" s="116"/>
      <c r="M35" s="118">
        <f t="shared" si="10"/>
        <v>0</v>
      </c>
      <c r="N35" s="119" t="str">
        <f t="shared" si="11"/>
        <v>#DIV/0!</v>
      </c>
      <c r="O35" s="176"/>
      <c r="P35" s="179"/>
      <c r="Q35" s="179"/>
      <c r="R35" s="179"/>
      <c r="S35" s="179"/>
      <c r="T35" s="179"/>
      <c r="U35" s="179"/>
      <c r="V35" s="179"/>
      <c r="W35" s="184">
        <v>1.0</v>
      </c>
      <c r="X35" s="179"/>
      <c r="Y35" s="179"/>
      <c r="Z35" s="179"/>
      <c r="AA35" s="179"/>
      <c r="AB35" s="179"/>
      <c r="AC35" s="179"/>
      <c r="AD35" s="179"/>
      <c r="AE35" s="179"/>
      <c r="AF35" s="182">
        <v>1.0</v>
      </c>
      <c r="AG35" s="176"/>
      <c r="AH35" s="176"/>
      <c r="AI35" s="176"/>
      <c r="AJ35" s="168">
        <f t="shared" si="12"/>
        <v>2</v>
      </c>
      <c r="AK35" s="169">
        <f t="shared" si="13"/>
        <v>50</v>
      </c>
      <c r="AL35" s="183"/>
      <c r="AM35" s="179"/>
      <c r="AN35" s="179"/>
      <c r="AO35" s="179"/>
      <c r="AP35" s="179"/>
      <c r="AQ35" s="179"/>
      <c r="AR35" s="184">
        <v>1.0</v>
      </c>
      <c r="AS35" s="179"/>
      <c r="AT35" s="179"/>
      <c r="AU35" s="179"/>
      <c r="AV35" s="179"/>
      <c r="AW35" s="179"/>
      <c r="AX35" s="179"/>
      <c r="AY35" s="179"/>
      <c r="AZ35" s="179"/>
      <c r="BA35" s="179"/>
      <c r="BB35" s="179"/>
      <c r="BC35" s="179"/>
      <c r="BD35" s="179"/>
      <c r="BE35" s="179"/>
      <c r="BF35" s="179"/>
      <c r="BG35" s="118">
        <f t="shared" si="14"/>
        <v>1</v>
      </c>
      <c r="BH35" s="122">
        <f t="shared" si="15"/>
        <v>33.33333333</v>
      </c>
      <c r="BI35" s="176"/>
      <c r="BJ35" s="179"/>
      <c r="BK35" s="179"/>
      <c r="BL35" s="179"/>
      <c r="BM35" s="179"/>
      <c r="BN35" s="179"/>
      <c r="BO35" s="179"/>
      <c r="BP35" s="179"/>
      <c r="BQ35" s="179"/>
      <c r="BR35" s="179"/>
      <c r="BS35" s="179"/>
      <c r="BT35" s="179"/>
      <c r="BU35" s="179"/>
      <c r="BV35" s="184">
        <v>1.0</v>
      </c>
      <c r="BW35" s="186"/>
      <c r="BX35" s="200">
        <v>1.0</v>
      </c>
      <c r="BY35" s="186"/>
      <c r="BZ35" s="186"/>
      <c r="CA35" s="200">
        <v>1.0</v>
      </c>
      <c r="CB35" s="186"/>
      <c r="CC35" s="200">
        <v>1.0</v>
      </c>
      <c r="CD35" s="186"/>
      <c r="CE35" s="172">
        <f t="shared" si="16"/>
        <v>4</v>
      </c>
      <c r="CF35" s="173">
        <f t="shared" si="17"/>
        <v>50</v>
      </c>
      <c r="CG35" s="199"/>
      <c r="CH35" s="186"/>
      <c r="CI35" s="186"/>
      <c r="CJ35" s="186"/>
      <c r="CK35" s="186"/>
      <c r="CL35" s="186"/>
      <c r="CM35" s="186"/>
      <c r="CN35" s="186"/>
      <c r="CO35" s="186"/>
      <c r="CP35" s="186"/>
      <c r="CQ35" s="186"/>
      <c r="CR35" s="186"/>
      <c r="CS35" s="175">
        <f t="shared" si="18"/>
        <v>0</v>
      </c>
      <c r="CT35" s="158">
        <f t="shared" si="19"/>
        <v>0</v>
      </c>
    </row>
    <row r="36" ht="15.75" customHeight="1">
      <c r="A36" s="146">
        <v>27.0</v>
      </c>
      <c r="B36" s="111" t="s">
        <v>104</v>
      </c>
      <c r="C36" s="112" t="s">
        <v>105</v>
      </c>
      <c r="D36" s="91">
        <f t="shared" si="6"/>
        <v>9</v>
      </c>
      <c r="E36" s="113">
        <f t="shared" si="7"/>
        <v>50</v>
      </c>
      <c r="F36" s="114" t="str">
        <f t="shared" si="8"/>
        <v>  </v>
      </c>
      <c r="G36" s="164" t="str">
        <f t="shared" si="9"/>
        <v>  </v>
      </c>
      <c r="H36" s="165"/>
      <c r="I36" s="116"/>
      <c r="J36" s="116"/>
      <c r="K36" s="116"/>
      <c r="L36" s="116"/>
      <c r="M36" s="118">
        <f t="shared" si="10"/>
        <v>0</v>
      </c>
      <c r="N36" s="119" t="str">
        <f t="shared" si="11"/>
        <v>#DIV/0!</v>
      </c>
      <c r="O36" s="176"/>
      <c r="P36" s="179"/>
      <c r="Q36" s="179"/>
      <c r="R36" s="179"/>
      <c r="S36" s="179"/>
      <c r="T36" s="179"/>
      <c r="U36" s="179"/>
      <c r="V36" s="179"/>
      <c r="W36" s="179"/>
      <c r="X36" s="179"/>
      <c r="Y36" s="179"/>
      <c r="Z36" s="179"/>
      <c r="AA36" s="184">
        <v>1.0</v>
      </c>
      <c r="AB36" s="179"/>
      <c r="AC36" s="179"/>
      <c r="AD36" s="179"/>
      <c r="AE36" s="179"/>
      <c r="AF36" s="176"/>
      <c r="AG36" s="176"/>
      <c r="AH36" s="176"/>
      <c r="AI36" s="182">
        <v>1.0</v>
      </c>
      <c r="AJ36" s="168">
        <f t="shared" si="12"/>
        <v>2</v>
      </c>
      <c r="AK36" s="169">
        <f t="shared" si="13"/>
        <v>50</v>
      </c>
      <c r="AL36" s="183"/>
      <c r="AM36" s="184">
        <v>1.0</v>
      </c>
      <c r="AN36" s="179"/>
      <c r="AO36" s="179"/>
      <c r="AP36" s="179"/>
      <c r="AQ36" s="179"/>
      <c r="AR36" s="184">
        <v>1.0</v>
      </c>
      <c r="AS36" s="179"/>
      <c r="AT36" s="179"/>
      <c r="AU36" s="179"/>
      <c r="AV36" s="179"/>
      <c r="AW36" s="179"/>
      <c r="AX36" s="179"/>
      <c r="AY36" s="179"/>
      <c r="AZ36" s="179"/>
      <c r="BA36" s="179"/>
      <c r="BB36" s="179"/>
      <c r="BC36" s="179"/>
      <c r="BD36" s="179"/>
      <c r="BE36" s="179"/>
      <c r="BF36" s="179"/>
      <c r="BG36" s="118">
        <f t="shared" si="14"/>
        <v>2</v>
      </c>
      <c r="BH36" s="122">
        <f t="shared" si="15"/>
        <v>66.66666667</v>
      </c>
      <c r="BI36" s="176"/>
      <c r="BJ36" s="179"/>
      <c r="BK36" s="179"/>
      <c r="BL36" s="179"/>
      <c r="BM36" s="179"/>
      <c r="BN36" s="179"/>
      <c r="BO36" s="184">
        <v>1.0</v>
      </c>
      <c r="BP36" s="179"/>
      <c r="BQ36" s="179"/>
      <c r="BR36" s="179"/>
      <c r="BS36" s="184">
        <v>1.0</v>
      </c>
      <c r="BT36" s="179"/>
      <c r="BU36" s="179"/>
      <c r="BV36" s="179"/>
      <c r="BW36" s="186"/>
      <c r="BX36" s="200">
        <v>1.0</v>
      </c>
      <c r="BY36" s="186"/>
      <c r="BZ36" s="186"/>
      <c r="CA36" s="186"/>
      <c r="CB36" s="186"/>
      <c r="CC36" s="186"/>
      <c r="CD36" s="186"/>
      <c r="CE36" s="172">
        <f t="shared" si="16"/>
        <v>3</v>
      </c>
      <c r="CF36" s="173">
        <f t="shared" si="17"/>
        <v>37.5</v>
      </c>
      <c r="CG36" s="189">
        <v>1.0</v>
      </c>
      <c r="CH36" s="186"/>
      <c r="CI36" s="186"/>
      <c r="CJ36" s="200">
        <v>1.0</v>
      </c>
      <c r="CK36" s="186"/>
      <c r="CL36" s="186"/>
      <c r="CM36" s="186"/>
      <c r="CN36" s="186"/>
      <c r="CO36" s="186"/>
      <c r="CP36" s="186"/>
      <c r="CQ36" s="186"/>
      <c r="CR36" s="186"/>
      <c r="CS36" s="175">
        <f t="shared" si="18"/>
        <v>2</v>
      </c>
      <c r="CT36" s="158">
        <f t="shared" si="19"/>
        <v>66.66666667</v>
      </c>
    </row>
    <row r="37" ht="15.75" customHeight="1">
      <c r="A37" s="50">
        <v>28.0</v>
      </c>
      <c r="B37" s="111" t="s">
        <v>106</v>
      </c>
      <c r="C37" s="112" t="s">
        <v>107</v>
      </c>
      <c r="D37" s="91">
        <f t="shared" si="6"/>
        <v>3</v>
      </c>
      <c r="E37" s="113">
        <f t="shared" si="7"/>
        <v>16.66666667</v>
      </c>
      <c r="F37" s="114">
        <f t="shared" si="8"/>
        <v>16.66666667</v>
      </c>
      <c r="G37" s="202">
        <f t="shared" si="9"/>
        <v>16.66666667</v>
      </c>
      <c r="H37" s="165"/>
      <c r="I37" s="150"/>
      <c r="J37" s="150"/>
      <c r="K37" s="150"/>
      <c r="L37" s="150"/>
      <c r="M37" s="118">
        <f t="shared" si="10"/>
        <v>0</v>
      </c>
      <c r="N37" s="119" t="str">
        <f t="shared" si="11"/>
        <v>#DIV/0!</v>
      </c>
      <c r="O37" s="176"/>
      <c r="P37" s="179"/>
      <c r="Q37" s="179"/>
      <c r="R37" s="179"/>
      <c r="S37" s="179"/>
      <c r="T37" s="179"/>
      <c r="U37" s="179"/>
      <c r="V37" s="179"/>
      <c r="W37" s="179"/>
      <c r="X37" s="179"/>
      <c r="Y37" s="179"/>
      <c r="Z37" s="179"/>
      <c r="AA37" s="179"/>
      <c r="AB37" s="179"/>
      <c r="AC37" s="179"/>
      <c r="AD37" s="179"/>
      <c r="AE37" s="179"/>
      <c r="AF37" s="176"/>
      <c r="AG37" s="176"/>
      <c r="AH37" s="176"/>
      <c r="AI37" s="182">
        <v>1.0</v>
      </c>
      <c r="AJ37" s="168">
        <f t="shared" si="12"/>
        <v>1</v>
      </c>
      <c r="AK37" s="169">
        <f t="shared" si="13"/>
        <v>25</v>
      </c>
      <c r="AL37" s="183"/>
      <c r="AM37" s="179"/>
      <c r="AN37" s="179"/>
      <c r="AO37" s="179"/>
      <c r="AP37" s="179"/>
      <c r="AQ37" s="179"/>
      <c r="AR37" s="179"/>
      <c r="AS37" s="179"/>
      <c r="AT37" s="179"/>
      <c r="AU37" s="184">
        <v>1.0</v>
      </c>
      <c r="AV37" s="179"/>
      <c r="AW37" s="179"/>
      <c r="AX37" s="179"/>
      <c r="AY37" s="179"/>
      <c r="AZ37" s="179"/>
      <c r="BA37" s="179"/>
      <c r="BB37" s="179"/>
      <c r="BC37" s="179"/>
      <c r="BD37" s="179"/>
      <c r="BE37" s="179"/>
      <c r="BF37" s="179"/>
      <c r="BG37" s="118">
        <f t="shared" si="14"/>
        <v>1</v>
      </c>
      <c r="BH37" s="122">
        <f t="shared" si="15"/>
        <v>33.33333333</v>
      </c>
      <c r="BI37" s="176"/>
      <c r="BJ37" s="179"/>
      <c r="BK37" s="179"/>
      <c r="BL37" s="179"/>
      <c r="BM37" s="179"/>
      <c r="BN37" s="179"/>
      <c r="BO37" s="184">
        <v>1.0</v>
      </c>
      <c r="BP37" s="179"/>
      <c r="BQ37" s="179"/>
      <c r="BR37" s="179"/>
      <c r="BS37" s="179"/>
      <c r="BT37" s="179"/>
      <c r="BU37" s="179"/>
      <c r="BV37" s="179"/>
      <c r="BW37" s="186"/>
      <c r="BX37" s="186"/>
      <c r="BY37" s="186"/>
      <c r="BZ37" s="186"/>
      <c r="CA37" s="186"/>
      <c r="CB37" s="186"/>
      <c r="CC37" s="186"/>
      <c r="CD37" s="186"/>
      <c r="CE37" s="172">
        <f t="shared" si="16"/>
        <v>1</v>
      </c>
      <c r="CF37" s="173">
        <f t="shared" si="17"/>
        <v>12.5</v>
      </c>
      <c r="CG37" s="199"/>
      <c r="CH37" s="186"/>
      <c r="CI37" s="186"/>
      <c r="CJ37" s="186"/>
      <c r="CK37" s="186"/>
      <c r="CL37" s="186"/>
      <c r="CM37" s="186"/>
      <c r="CN37" s="186"/>
      <c r="CO37" s="186"/>
      <c r="CP37" s="186"/>
      <c r="CQ37" s="186"/>
      <c r="CR37" s="186"/>
      <c r="CS37" s="175">
        <f t="shared" si="18"/>
        <v>0</v>
      </c>
      <c r="CT37" s="158">
        <f t="shared" si="19"/>
        <v>0</v>
      </c>
    </row>
    <row r="38" ht="15.75" customHeight="1">
      <c r="A38" s="131">
        <v>29.0</v>
      </c>
      <c r="B38" s="111" t="s">
        <v>108</v>
      </c>
      <c r="C38" s="112" t="s">
        <v>109</v>
      </c>
      <c r="D38" s="91">
        <f t="shared" si="6"/>
        <v>7</v>
      </c>
      <c r="E38" s="113">
        <f t="shared" si="7"/>
        <v>38.88888889</v>
      </c>
      <c r="F38" s="114">
        <f t="shared" si="8"/>
        <v>38.88888889</v>
      </c>
      <c r="G38" s="164" t="str">
        <f t="shared" si="9"/>
        <v>  </v>
      </c>
      <c r="H38" s="165"/>
      <c r="I38" s="150"/>
      <c r="J38" s="150"/>
      <c r="K38" s="150"/>
      <c r="L38" s="150"/>
      <c r="M38" s="118">
        <f t="shared" si="10"/>
        <v>0</v>
      </c>
      <c r="N38" s="119" t="str">
        <f t="shared" si="11"/>
        <v>#DIV/0!</v>
      </c>
      <c r="O38" s="176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  <c r="AC38" s="179"/>
      <c r="AD38" s="179"/>
      <c r="AE38" s="179"/>
      <c r="AF38" s="182">
        <v>1.0</v>
      </c>
      <c r="AG38" s="176"/>
      <c r="AH38" s="176"/>
      <c r="AI38" s="182">
        <v>1.0</v>
      </c>
      <c r="AJ38" s="168">
        <f t="shared" si="12"/>
        <v>2</v>
      </c>
      <c r="AK38" s="169">
        <f t="shared" si="13"/>
        <v>50</v>
      </c>
      <c r="AL38" s="183"/>
      <c r="AM38" s="184">
        <v>1.0</v>
      </c>
      <c r="AN38" s="179"/>
      <c r="AO38" s="179"/>
      <c r="AP38" s="179"/>
      <c r="AQ38" s="179"/>
      <c r="AR38" s="184">
        <v>1.0</v>
      </c>
      <c r="AS38" s="179"/>
      <c r="AT38" s="179"/>
      <c r="AU38" s="184">
        <v>1.0</v>
      </c>
      <c r="AV38" s="179"/>
      <c r="AW38" s="179"/>
      <c r="AX38" s="179"/>
      <c r="AY38" s="179"/>
      <c r="AZ38" s="179"/>
      <c r="BA38" s="179"/>
      <c r="BB38" s="179"/>
      <c r="BC38" s="179"/>
      <c r="BD38" s="179"/>
      <c r="BE38" s="179"/>
      <c r="BF38" s="179"/>
      <c r="BG38" s="118">
        <f t="shared" si="14"/>
        <v>3</v>
      </c>
      <c r="BH38" s="122">
        <f t="shared" si="15"/>
        <v>100</v>
      </c>
      <c r="BI38" s="176"/>
      <c r="BJ38" s="179"/>
      <c r="BK38" s="179"/>
      <c r="BL38" s="179"/>
      <c r="BM38" s="179"/>
      <c r="BN38" s="179"/>
      <c r="BO38" s="179"/>
      <c r="BP38" s="179"/>
      <c r="BQ38" s="179"/>
      <c r="BR38" s="179"/>
      <c r="BS38" s="184">
        <v>1.0</v>
      </c>
      <c r="BT38" s="179"/>
      <c r="BU38" s="179"/>
      <c r="BV38" s="179"/>
      <c r="BW38" s="186"/>
      <c r="BX38" s="186"/>
      <c r="BY38" s="186"/>
      <c r="BZ38" s="186"/>
      <c r="CA38" s="186"/>
      <c r="CB38" s="186"/>
      <c r="CC38" s="200">
        <v>1.0</v>
      </c>
      <c r="CD38" s="186"/>
      <c r="CE38" s="172">
        <f t="shared" si="16"/>
        <v>2</v>
      </c>
      <c r="CF38" s="173">
        <f t="shared" si="17"/>
        <v>25</v>
      </c>
      <c r="CG38" s="199"/>
      <c r="CH38" s="186"/>
      <c r="CI38" s="186"/>
      <c r="CJ38" s="186"/>
      <c r="CK38" s="186"/>
      <c r="CL38" s="186"/>
      <c r="CM38" s="186"/>
      <c r="CN38" s="186"/>
      <c r="CO38" s="186"/>
      <c r="CP38" s="186"/>
      <c r="CQ38" s="186"/>
      <c r="CR38" s="186"/>
      <c r="CS38" s="175">
        <f t="shared" si="18"/>
        <v>0</v>
      </c>
      <c r="CT38" s="158">
        <f t="shared" si="19"/>
        <v>0</v>
      </c>
    </row>
    <row r="39" ht="15.75" customHeight="1">
      <c r="A39" s="146">
        <v>30.0</v>
      </c>
      <c r="B39" s="111" t="s">
        <v>110</v>
      </c>
      <c r="C39" s="112" t="s">
        <v>111</v>
      </c>
      <c r="D39" s="91">
        <f t="shared" si="6"/>
        <v>11</v>
      </c>
      <c r="E39" s="113">
        <f t="shared" si="7"/>
        <v>61.11111111</v>
      </c>
      <c r="F39" s="114" t="str">
        <f t="shared" si="8"/>
        <v>  </v>
      </c>
      <c r="G39" s="164" t="str">
        <f t="shared" si="9"/>
        <v>  </v>
      </c>
      <c r="H39" s="165"/>
      <c r="I39" s="150"/>
      <c r="J39" s="150"/>
      <c r="K39" s="150"/>
      <c r="L39" s="150"/>
      <c r="M39" s="118">
        <f t="shared" si="10"/>
        <v>0</v>
      </c>
      <c r="N39" s="119" t="str">
        <f t="shared" si="11"/>
        <v>#DIV/0!</v>
      </c>
      <c r="O39" s="176"/>
      <c r="P39" s="179"/>
      <c r="Q39" s="179"/>
      <c r="R39" s="179"/>
      <c r="S39" s="179"/>
      <c r="T39" s="179"/>
      <c r="U39" s="179"/>
      <c r="V39" s="179"/>
      <c r="W39" s="179"/>
      <c r="X39" s="179"/>
      <c r="Y39" s="179"/>
      <c r="Z39" s="179"/>
      <c r="AA39" s="179"/>
      <c r="AB39" s="179"/>
      <c r="AC39" s="179"/>
      <c r="AD39" s="179"/>
      <c r="AE39" s="179"/>
      <c r="AF39" s="182">
        <v>1.0</v>
      </c>
      <c r="AG39" s="176"/>
      <c r="AH39" s="176"/>
      <c r="AI39" s="182">
        <v>1.0</v>
      </c>
      <c r="AJ39" s="168">
        <f t="shared" si="12"/>
        <v>2</v>
      </c>
      <c r="AK39" s="169">
        <f t="shared" si="13"/>
        <v>50</v>
      </c>
      <c r="AL39" s="183"/>
      <c r="AM39" s="184">
        <v>1.0</v>
      </c>
      <c r="AN39" s="179"/>
      <c r="AO39" s="179"/>
      <c r="AP39" s="179"/>
      <c r="AQ39" s="179"/>
      <c r="AR39" s="184">
        <v>1.0</v>
      </c>
      <c r="AS39" s="179"/>
      <c r="AT39" s="179"/>
      <c r="AU39" s="184">
        <v>1.0</v>
      </c>
      <c r="AV39" s="179"/>
      <c r="AW39" s="179"/>
      <c r="AX39" s="179"/>
      <c r="AY39" s="179"/>
      <c r="AZ39" s="179"/>
      <c r="BA39" s="179"/>
      <c r="BB39" s="179"/>
      <c r="BC39" s="179"/>
      <c r="BD39" s="179"/>
      <c r="BE39" s="179"/>
      <c r="BF39" s="179"/>
      <c r="BG39" s="118">
        <f t="shared" si="14"/>
        <v>3</v>
      </c>
      <c r="BH39" s="122">
        <f t="shared" si="15"/>
        <v>100</v>
      </c>
      <c r="BI39" s="176"/>
      <c r="BJ39" s="179"/>
      <c r="BK39" s="179"/>
      <c r="BL39" s="179"/>
      <c r="BM39" s="179"/>
      <c r="BN39" s="179"/>
      <c r="BO39" s="184">
        <v>1.0</v>
      </c>
      <c r="BP39" s="179"/>
      <c r="BQ39" s="179"/>
      <c r="BR39" s="179"/>
      <c r="BS39" s="184">
        <v>1.0</v>
      </c>
      <c r="BT39" s="179"/>
      <c r="BU39" s="179"/>
      <c r="BV39" s="184">
        <v>1.0</v>
      </c>
      <c r="BW39" s="186"/>
      <c r="BX39" s="186"/>
      <c r="BY39" s="186"/>
      <c r="BZ39" s="186"/>
      <c r="CA39" s="200">
        <v>1.0</v>
      </c>
      <c r="CB39" s="186"/>
      <c r="CC39" s="200">
        <v>1.0</v>
      </c>
      <c r="CD39" s="186"/>
      <c r="CE39" s="172">
        <f t="shared" si="16"/>
        <v>5</v>
      </c>
      <c r="CF39" s="173">
        <f t="shared" si="17"/>
        <v>62.5</v>
      </c>
      <c r="CG39" s="189">
        <v>1.0</v>
      </c>
      <c r="CH39" s="186"/>
      <c r="CI39" s="186"/>
      <c r="CJ39" s="186"/>
      <c r="CK39" s="186"/>
      <c r="CL39" s="186"/>
      <c r="CM39" s="186"/>
      <c r="CN39" s="186"/>
      <c r="CO39" s="186"/>
      <c r="CP39" s="186"/>
      <c r="CQ39" s="186"/>
      <c r="CR39" s="186"/>
      <c r="CS39" s="175">
        <f t="shared" si="18"/>
        <v>1</v>
      </c>
      <c r="CT39" s="158">
        <f t="shared" si="19"/>
        <v>33.33333333</v>
      </c>
    </row>
    <row r="40" ht="15.75" customHeight="1">
      <c r="A40" s="50">
        <v>31.0</v>
      </c>
      <c r="B40" s="111" t="s">
        <v>112</v>
      </c>
      <c r="C40" s="112" t="s">
        <v>113</v>
      </c>
      <c r="D40" s="91">
        <f t="shared" si="6"/>
        <v>15</v>
      </c>
      <c r="E40" s="113">
        <f t="shared" si="7"/>
        <v>83.33333333</v>
      </c>
      <c r="F40" s="114" t="str">
        <f t="shared" si="8"/>
        <v>  </v>
      </c>
      <c r="G40" s="164" t="str">
        <f t="shared" si="9"/>
        <v>  </v>
      </c>
      <c r="H40" s="165"/>
      <c r="I40" s="116"/>
      <c r="J40" s="116"/>
      <c r="K40" s="116"/>
      <c r="L40" s="116"/>
      <c r="M40" s="118">
        <f t="shared" si="10"/>
        <v>0</v>
      </c>
      <c r="N40" s="119" t="str">
        <f t="shared" si="11"/>
        <v>#DIV/0!</v>
      </c>
      <c r="O40" s="206"/>
      <c r="P40" s="207"/>
      <c r="Q40" s="207"/>
      <c r="R40" s="207"/>
      <c r="S40" s="207"/>
      <c r="T40" s="207"/>
      <c r="U40" s="207"/>
      <c r="V40" s="207"/>
      <c r="W40" s="234">
        <v>1.0</v>
      </c>
      <c r="X40" s="207"/>
      <c r="Y40" s="207"/>
      <c r="Z40" s="207"/>
      <c r="AA40" s="234">
        <v>1.0</v>
      </c>
      <c r="AB40" s="207"/>
      <c r="AC40" s="207"/>
      <c r="AD40" s="207"/>
      <c r="AE40" s="207"/>
      <c r="AF40" s="209">
        <v>1.0</v>
      </c>
      <c r="AG40" s="206"/>
      <c r="AH40" s="206"/>
      <c r="AI40" s="209">
        <v>1.0</v>
      </c>
      <c r="AJ40" s="168">
        <f t="shared" si="12"/>
        <v>4</v>
      </c>
      <c r="AK40" s="169">
        <f t="shared" si="13"/>
        <v>100</v>
      </c>
      <c r="AL40" s="212"/>
      <c r="AM40" s="234">
        <v>1.0</v>
      </c>
      <c r="AN40" s="207"/>
      <c r="AO40" s="207"/>
      <c r="AP40" s="207"/>
      <c r="AQ40" s="207"/>
      <c r="AR40" s="234">
        <v>1.0</v>
      </c>
      <c r="AS40" s="207"/>
      <c r="AT40" s="207"/>
      <c r="AU40" s="207"/>
      <c r="AV40" s="207"/>
      <c r="AW40" s="207"/>
      <c r="AX40" s="207"/>
      <c r="AY40" s="207"/>
      <c r="AZ40" s="207"/>
      <c r="BA40" s="207"/>
      <c r="BB40" s="207"/>
      <c r="BC40" s="207"/>
      <c r="BD40" s="207"/>
      <c r="BE40" s="207"/>
      <c r="BF40" s="207"/>
      <c r="BG40" s="118">
        <f t="shared" si="14"/>
        <v>2</v>
      </c>
      <c r="BH40" s="122">
        <f t="shared" si="15"/>
        <v>66.66666667</v>
      </c>
      <c r="BI40" s="206"/>
      <c r="BJ40" s="207"/>
      <c r="BK40" s="207"/>
      <c r="BL40" s="207"/>
      <c r="BM40" s="207"/>
      <c r="BN40" s="207"/>
      <c r="BO40" s="234">
        <v>1.0</v>
      </c>
      <c r="BP40" s="207"/>
      <c r="BQ40" s="207"/>
      <c r="BR40" s="234">
        <v>1.0</v>
      </c>
      <c r="BS40" s="234">
        <v>1.0</v>
      </c>
      <c r="BT40" s="207"/>
      <c r="BU40" s="207"/>
      <c r="BV40" s="207"/>
      <c r="BW40" s="186"/>
      <c r="BX40" s="200">
        <v>1.0</v>
      </c>
      <c r="BY40" s="186"/>
      <c r="BZ40" s="186"/>
      <c r="CA40" s="200">
        <v>1.0</v>
      </c>
      <c r="CB40" s="186"/>
      <c r="CC40" s="200">
        <v>1.0</v>
      </c>
      <c r="CD40" s="186"/>
      <c r="CE40" s="172">
        <f t="shared" si="16"/>
        <v>6</v>
      </c>
      <c r="CF40" s="173">
        <f t="shared" si="17"/>
        <v>75</v>
      </c>
      <c r="CG40" s="189">
        <v>1.0</v>
      </c>
      <c r="CH40" s="186"/>
      <c r="CI40" s="200">
        <v>1.0</v>
      </c>
      <c r="CJ40" s="200">
        <v>1.0</v>
      </c>
      <c r="CK40" s="186"/>
      <c r="CL40" s="186"/>
      <c r="CM40" s="186"/>
      <c r="CN40" s="186"/>
      <c r="CO40" s="186"/>
      <c r="CP40" s="186"/>
      <c r="CQ40" s="186"/>
      <c r="CR40" s="186"/>
      <c r="CS40" s="175">
        <f t="shared" si="18"/>
        <v>3</v>
      </c>
      <c r="CT40" s="158">
        <f t="shared" si="19"/>
        <v>100</v>
      </c>
    </row>
    <row r="41" ht="15.75" customHeight="1">
      <c r="A41" s="131">
        <v>32.0</v>
      </c>
      <c r="B41" s="111" t="s">
        <v>114</v>
      </c>
      <c r="C41" s="112" t="s">
        <v>115</v>
      </c>
      <c r="D41" s="91">
        <f t="shared" si="6"/>
        <v>11</v>
      </c>
      <c r="E41" s="113">
        <f t="shared" si="7"/>
        <v>61.11111111</v>
      </c>
      <c r="F41" s="114" t="str">
        <f t="shared" si="8"/>
        <v>  </v>
      </c>
      <c r="G41" s="164" t="str">
        <f t="shared" si="9"/>
        <v>  </v>
      </c>
      <c r="H41" s="165"/>
      <c r="I41" s="116"/>
      <c r="J41" s="116"/>
      <c r="K41" s="116"/>
      <c r="L41" s="116"/>
      <c r="M41" s="118">
        <f t="shared" si="10"/>
        <v>0</v>
      </c>
      <c r="N41" s="119" t="str">
        <f t="shared" si="11"/>
        <v>#DIV/0!</v>
      </c>
      <c r="O41" s="176"/>
      <c r="P41" s="179"/>
      <c r="Q41" s="179"/>
      <c r="R41" s="179"/>
      <c r="S41" s="179"/>
      <c r="T41" s="179"/>
      <c r="U41" s="179"/>
      <c r="V41" s="179"/>
      <c r="W41" s="184">
        <v>1.0</v>
      </c>
      <c r="X41" s="179"/>
      <c r="Y41" s="179"/>
      <c r="Z41" s="179"/>
      <c r="AA41" s="184">
        <v>1.0</v>
      </c>
      <c r="AB41" s="179"/>
      <c r="AC41" s="179"/>
      <c r="AD41" s="179"/>
      <c r="AE41" s="179"/>
      <c r="AF41" s="182">
        <v>1.0</v>
      </c>
      <c r="AG41" s="176"/>
      <c r="AH41" s="176"/>
      <c r="AI41" s="176"/>
      <c r="AJ41" s="168">
        <f t="shared" si="12"/>
        <v>3</v>
      </c>
      <c r="AK41" s="169">
        <f t="shared" si="13"/>
        <v>75</v>
      </c>
      <c r="AL41" s="183"/>
      <c r="AM41" s="184">
        <v>1.0</v>
      </c>
      <c r="AN41" s="179"/>
      <c r="AO41" s="179"/>
      <c r="AP41" s="179"/>
      <c r="AQ41" s="179"/>
      <c r="AR41" s="184">
        <v>1.0</v>
      </c>
      <c r="AS41" s="179"/>
      <c r="AT41" s="179"/>
      <c r="AU41" s="184">
        <v>1.0</v>
      </c>
      <c r="AV41" s="179"/>
      <c r="AW41" s="179"/>
      <c r="AX41" s="179"/>
      <c r="AY41" s="179"/>
      <c r="AZ41" s="179"/>
      <c r="BA41" s="179"/>
      <c r="BB41" s="179"/>
      <c r="BC41" s="179"/>
      <c r="BD41" s="179"/>
      <c r="BE41" s="179"/>
      <c r="BF41" s="179"/>
      <c r="BG41" s="118">
        <f t="shared" si="14"/>
        <v>3</v>
      </c>
      <c r="BH41" s="122">
        <f t="shared" si="15"/>
        <v>100</v>
      </c>
      <c r="BI41" s="176"/>
      <c r="BJ41" s="179"/>
      <c r="BK41" s="179"/>
      <c r="BL41" s="179"/>
      <c r="BM41" s="179"/>
      <c r="BN41" s="179"/>
      <c r="BO41" s="184">
        <v>1.0</v>
      </c>
      <c r="BP41" s="179"/>
      <c r="BQ41" s="179"/>
      <c r="BR41" s="179"/>
      <c r="BS41" s="184">
        <v>1.0</v>
      </c>
      <c r="BT41" s="179"/>
      <c r="BU41" s="179"/>
      <c r="BV41" s="179"/>
      <c r="BW41" s="186"/>
      <c r="BX41" s="200">
        <v>1.0</v>
      </c>
      <c r="BY41" s="186"/>
      <c r="BZ41" s="186"/>
      <c r="CA41" s="186"/>
      <c r="CB41" s="186"/>
      <c r="CC41" s="200">
        <v>1.0</v>
      </c>
      <c r="CD41" s="186"/>
      <c r="CE41" s="172">
        <f t="shared" si="16"/>
        <v>4</v>
      </c>
      <c r="CF41" s="173">
        <f t="shared" si="17"/>
        <v>50</v>
      </c>
      <c r="CG41" s="189">
        <v>1.0</v>
      </c>
      <c r="CH41" s="186"/>
      <c r="CI41" s="186"/>
      <c r="CJ41" s="186"/>
      <c r="CK41" s="186"/>
      <c r="CL41" s="186"/>
      <c r="CM41" s="186"/>
      <c r="CN41" s="186"/>
      <c r="CO41" s="186"/>
      <c r="CP41" s="186"/>
      <c r="CQ41" s="186"/>
      <c r="CR41" s="186"/>
      <c r="CS41" s="175">
        <f t="shared" si="18"/>
        <v>1</v>
      </c>
      <c r="CT41" s="158">
        <f t="shared" si="19"/>
        <v>33.33333333</v>
      </c>
    </row>
    <row r="42" ht="15.75" customHeight="1">
      <c r="A42" s="146">
        <v>33.0</v>
      </c>
      <c r="B42" s="111" t="s">
        <v>116</v>
      </c>
      <c r="C42" s="112" t="s">
        <v>117</v>
      </c>
      <c r="D42" s="91">
        <f t="shared" si="6"/>
        <v>4</v>
      </c>
      <c r="E42" s="113">
        <f t="shared" si="7"/>
        <v>22.22222222</v>
      </c>
      <c r="F42" s="114">
        <f t="shared" si="8"/>
        <v>22.22222222</v>
      </c>
      <c r="G42" s="202">
        <f t="shared" si="9"/>
        <v>22.22222222</v>
      </c>
      <c r="H42" s="192"/>
      <c r="I42" s="150"/>
      <c r="J42" s="150"/>
      <c r="K42" s="116"/>
      <c r="L42" s="116"/>
      <c r="M42" s="118">
        <f t="shared" si="10"/>
        <v>0</v>
      </c>
      <c r="N42" s="119" t="str">
        <f t="shared" si="11"/>
        <v>#DIV/0!</v>
      </c>
      <c r="O42" s="176"/>
      <c r="P42" s="179"/>
      <c r="Q42" s="179"/>
      <c r="R42" s="179"/>
      <c r="S42" s="179"/>
      <c r="T42" s="179"/>
      <c r="U42" s="179"/>
      <c r="V42" s="179"/>
      <c r="W42" s="179"/>
      <c r="X42" s="179"/>
      <c r="Y42" s="179"/>
      <c r="Z42" s="179"/>
      <c r="AA42" s="179"/>
      <c r="AB42" s="179"/>
      <c r="AC42" s="179"/>
      <c r="AD42" s="179"/>
      <c r="AE42" s="179"/>
      <c r="AF42" s="176"/>
      <c r="AG42" s="176"/>
      <c r="AH42" s="176"/>
      <c r="AI42" s="176"/>
      <c r="AJ42" s="168">
        <f t="shared" si="12"/>
        <v>0</v>
      </c>
      <c r="AK42" s="169">
        <f t="shared" si="13"/>
        <v>0</v>
      </c>
      <c r="AL42" s="183"/>
      <c r="AM42" s="179"/>
      <c r="AN42" s="179"/>
      <c r="AO42" s="179"/>
      <c r="AP42" s="179"/>
      <c r="AQ42" s="179"/>
      <c r="AR42" s="184">
        <v>1.0</v>
      </c>
      <c r="AS42" s="179"/>
      <c r="AT42" s="179"/>
      <c r="AU42" s="179"/>
      <c r="AV42" s="179"/>
      <c r="AW42" s="179"/>
      <c r="AX42" s="179"/>
      <c r="AY42" s="179"/>
      <c r="AZ42" s="179"/>
      <c r="BA42" s="179"/>
      <c r="BB42" s="179"/>
      <c r="BC42" s="179"/>
      <c r="BD42" s="179"/>
      <c r="BE42" s="179"/>
      <c r="BF42" s="179"/>
      <c r="BG42" s="118">
        <f t="shared" si="14"/>
        <v>1</v>
      </c>
      <c r="BH42" s="122">
        <f t="shared" si="15"/>
        <v>33.33333333</v>
      </c>
      <c r="BI42" s="176"/>
      <c r="BJ42" s="179"/>
      <c r="BK42" s="179"/>
      <c r="BL42" s="179"/>
      <c r="BM42" s="179"/>
      <c r="BN42" s="179"/>
      <c r="BO42" s="179"/>
      <c r="BP42" s="179"/>
      <c r="BQ42" s="179"/>
      <c r="BR42" s="179"/>
      <c r="BS42" s="184">
        <v>1.0</v>
      </c>
      <c r="BT42" s="179"/>
      <c r="BU42" s="179"/>
      <c r="BV42" s="184">
        <v>1.0</v>
      </c>
      <c r="BW42" s="186"/>
      <c r="BX42" s="186"/>
      <c r="BY42" s="186"/>
      <c r="BZ42" s="186"/>
      <c r="CA42" s="186"/>
      <c r="CB42" s="186"/>
      <c r="CC42" s="186"/>
      <c r="CD42" s="186"/>
      <c r="CE42" s="172">
        <f t="shared" si="16"/>
        <v>2</v>
      </c>
      <c r="CF42" s="173">
        <f t="shared" si="17"/>
        <v>25</v>
      </c>
      <c r="CG42" s="189">
        <v>1.0</v>
      </c>
      <c r="CH42" s="186"/>
      <c r="CI42" s="186"/>
      <c r="CJ42" s="186"/>
      <c r="CK42" s="186"/>
      <c r="CL42" s="186"/>
      <c r="CM42" s="186"/>
      <c r="CN42" s="186"/>
      <c r="CO42" s="186"/>
      <c r="CP42" s="186"/>
      <c r="CQ42" s="186"/>
      <c r="CR42" s="186"/>
      <c r="CS42" s="175">
        <f t="shared" si="18"/>
        <v>1</v>
      </c>
      <c r="CT42" s="158">
        <f t="shared" si="19"/>
        <v>33.33333333</v>
      </c>
    </row>
    <row r="43" ht="15.75" customHeight="1">
      <c r="A43" s="50">
        <v>34.0</v>
      </c>
      <c r="B43" s="111" t="s">
        <v>118</v>
      </c>
      <c r="C43" s="112" t="s">
        <v>119</v>
      </c>
      <c r="D43" s="91">
        <f t="shared" si="6"/>
        <v>0</v>
      </c>
      <c r="E43" s="113">
        <f t="shared" si="7"/>
        <v>0</v>
      </c>
      <c r="F43" s="114">
        <f t="shared" si="8"/>
        <v>0</v>
      </c>
      <c r="G43" s="202">
        <f t="shared" si="9"/>
        <v>0</v>
      </c>
      <c r="H43" s="165"/>
      <c r="I43" s="116"/>
      <c r="J43" s="116"/>
      <c r="K43" s="150"/>
      <c r="L43" s="150"/>
      <c r="M43" s="118">
        <f t="shared" si="10"/>
        <v>0</v>
      </c>
      <c r="N43" s="119" t="str">
        <f t="shared" si="11"/>
        <v>#DIV/0!</v>
      </c>
      <c r="O43" s="176"/>
      <c r="P43" s="179"/>
      <c r="Q43" s="179"/>
      <c r="R43" s="179"/>
      <c r="S43" s="179"/>
      <c r="T43" s="179"/>
      <c r="U43" s="179"/>
      <c r="V43" s="179"/>
      <c r="W43" s="179"/>
      <c r="X43" s="179"/>
      <c r="Y43" s="179"/>
      <c r="Z43" s="179"/>
      <c r="AA43" s="179"/>
      <c r="AB43" s="179"/>
      <c r="AC43" s="179"/>
      <c r="AD43" s="179"/>
      <c r="AE43" s="179"/>
      <c r="AF43" s="176"/>
      <c r="AG43" s="176"/>
      <c r="AH43" s="176"/>
      <c r="AI43" s="176"/>
      <c r="AJ43" s="168">
        <f t="shared" si="12"/>
        <v>0</v>
      </c>
      <c r="AK43" s="169">
        <f t="shared" si="13"/>
        <v>0</v>
      </c>
      <c r="AL43" s="183"/>
      <c r="AM43" s="179"/>
      <c r="AN43" s="179"/>
      <c r="AO43" s="179"/>
      <c r="AP43" s="179"/>
      <c r="AQ43" s="179"/>
      <c r="AR43" s="179"/>
      <c r="AS43" s="179"/>
      <c r="AT43" s="179"/>
      <c r="AU43" s="179"/>
      <c r="AV43" s="179"/>
      <c r="AW43" s="179"/>
      <c r="AX43" s="179"/>
      <c r="AY43" s="179"/>
      <c r="AZ43" s="179"/>
      <c r="BA43" s="179"/>
      <c r="BB43" s="179"/>
      <c r="BC43" s="179"/>
      <c r="BD43" s="179"/>
      <c r="BE43" s="179"/>
      <c r="BF43" s="179"/>
      <c r="BG43" s="118">
        <f t="shared" si="14"/>
        <v>0</v>
      </c>
      <c r="BH43" s="122">
        <f t="shared" si="15"/>
        <v>0</v>
      </c>
      <c r="BI43" s="176"/>
      <c r="BJ43" s="179"/>
      <c r="BK43" s="179"/>
      <c r="BL43" s="179"/>
      <c r="BM43" s="179"/>
      <c r="BN43" s="179"/>
      <c r="BO43" s="179"/>
      <c r="BP43" s="179"/>
      <c r="BQ43" s="179"/>
      <c r="BR43" s="179"/>
      <c r="BS43" s="179"/>
      <c r="BT43" s="179"/>
      <c r="BU43" s="179"/>
      <c r="BV43" s="179"/>
      <c r="BW43" s="186"/>
      <c r="BX43" s="186"/>
      <c r="BY43" s="186"/>
      <c r="BZ43" s="186"/>
      <c r="CA43" s="186"/>
      <c r="CB43" s="186"/>
      <c r="CC43" s="186"/>
      <c r="CD43" s="186"/>
      <c r="CE43" s="172">
        <f t="shared" si="16"/>
        <v>0</v>
      </c>
      <c r="CF43" s="173">
        <f t="shared" si="17"/>
        <v>0</v>
      </c>
      <c r="CG43" s="199"/>
      <c r="CH43" s="186"/>
      <c r="CI43" s="186"/>
      <c r="CJ43" s="186"/>
      <c r="CK43" s="186"/>
      <c r="CL43" s="186"/>
      <c r="CM43" s="186"/>
      <c r="CN43" s="186"/>
      <c r="CO43" s="186"/>
      <c r="CP43" s="186"/>
      <c r="CQ43" s="186"/>
      <c r="CR43" s="186"/>
      <c r="CS43" s="175">
        <f t="shared" si="18"/>
        <v>0</v>
      </c>
      <c r="CT43" s="158">
        <f t="shared" si="19"/>
        <v>0</v>
      </c>
    </row>
    <row r="44" ht="15.75" customHeight="1">
      <c r="A44" s="131">
        <v>35.0</v>
      </c>
      <c r="B44" s="111" t="s">
        <v>120</v>
      </c>
      <c r="C44" s="112" t="s">
        <v>121</v>
      </c>
      <c r="D44" s="91">
        <f t="shared" si="6"/>
        <v>4</v>
      </c>
      <c r="E44" s="113">
        <f t="shared" si="7"/>
        <v>22.22222222</v>
      </c>
      <c r="F44" s="114">
        <f t="shared" si="8"/>
        <v>22.22222222</v>
      </c>
      <c r="G44" s="202">
        <f t="shared" si="9"/>
        <v>22.22222222</v>
      </c>
      <c r="H44" s="165"/>
      <c r="I44" s="116"/>
      <c r="J44" s="43"/>
      <c r="K44" s="116"/>
      <c r="L44" s="116"/>
      <c r="M44" s="118">
        <f t="shared" si="10"/>
        <v>0</v>
      </c>
      <c r="N44" s="119" t="str">
        <f t="shared" si="11"/>
        <v>#DIV/0!</v>
      </c>
      <c r="O44" s="195"/>
      <c r="P44" s="186"/>
      <c r="Q44" s="186"/>
      <c r="R44" s="186"/>
      <c r="S44" s="186"/>
      <c r="T44" s="186"/>
      <c r="U44" s="186"/>
      <c r="V44" s="186"/>
      <c r="W44" s="200">
        <v>1.0</v>
      </c>
      <c r="X44" s="186"/>
      <c r="Y44" s="186"/>
      <c r="Z44" s="186"/>
      <c r="AA44" s="186"/>
      <c r="AB44" s="186"/>
      <c r="AC44" s="186"/>
      <c r="AD44" s="186"/>
      <c r="AE44" s="186"/>
      <c r="AF44" s="195"/>
      <c r="AG44" s="195"/>
      <c r="AH44" s="195"/>
      <c r="AI44" s="197">
        <v>1.0</v>
      </c>
      <c r="AJ44" s="168">
        <f t="shared" si="12"/>
        <v>2</v>
      </c>
      <c r="AK44" s="169">
        <f t="shared" si="13"/>
        <v>50</v>
      </c>
      <c r="AL44" s="199"/>
      <c r="AM44" s="186"/>
      <c r="AN44" s="186"/>
      <c r="AO44" s="186"/>
      <c r="AP44" s="186"/>
      <c r="AQ44" s="186"/>
      <c r="AR44" s="200">
        <v>1.0</v>
      </c>
      <c r="AS44" s="186"/>
      <c r="AT44" s="186"/>
      <c r="AU44" s="186"/>
      <c r="AV44" s="186"/>
      <c r="AW44" s="186"/>
      <c r="AX44" s="186"/>
      <c r="AY44" s="186"/>
      <c r="AZ44" s="186"/>
      <c r="BA44" s="186"/>
      <c r="BB44" s="186"/>
      <c r="BC44" s="186"/>
      <c r="BD44" s="186"/>
      <c r="BE44" s="186"/>
      <c r="BF44" s="186"/>
      <c r="BG44" s="118">
        <f t="shared" si="14"/>
        <v>1</v>
      </c>
      <c r="BH44" s="122">
        <f t="shared" si="15"/>
        <v>33.33333333</v>
      </c>
      <c r="BI44" s="195"/>
      <c r="BJ44" s="186"/>
      <c r="BK44" s="186"/>
      <c r="BL44" s="186"/>
      <c r="BM44" s="186"/>
      <c r="BN44" s="186"/>
      <c r="BO44" s="200">
        <v>1.0</v>
      </c>
      <c r="BP44" s="186"/>
      <c r="BQ44" s="186"/>
      <c r="BR44" s="186"/>
      <c r="BS44" s="186"/>
      <c r="BT44" s="186"/>
      <c r="BU44" s="186"/>
      <c r="BV44" s="186"/>
      <c r="BW44" s="186"/>
      <c r="BX44" s="186"/>
      <c r="BY44" s="186"/>
      <c r="BZ44" s="186"/>
      <c r="CA44" s="186"/>
      <c r="CB44" s="186"/>
      <c r="CC44" s="186"/>
      <c r="CD44" s="186"/>
      <c r="CE44" s="172">
        <f t="shared" si="16"/>
        <v>1</v>
      </c>
      <c r="CF44" s="173">
        <f t="shared" si="17"/>
        <v>12.5</v>
      </c>
      <c r="CG44" s="199"/>
      <c r="CH44" s="186"/>
      <c r="CI44" s="186"/>
      <c r="CJ44" s="186"/>
      <c r="CK44" s="186"/>
      <c r="CL44" s="186"/>
      <c r="CM44" s="186"/>
      <c r="CN44" s="186"/>
      <c r="CO44" s="186"/>
      <c r="CP44" s="186"/>
      <c r="CQ44" s="186"/>
      <c r="CR44" s="186"/>
      <c r="CS44" s="175">
        <f t="shared" si="18"/>
        <v>0</v>
      </c>
      <c r="CT44" s="158">
        <f t="shared" si="19"/>
        <v>0</v>
      </c>
    </row>
    <row r="45" ht="15.75" customHeight="1">
      <c r="A45" s="146">
        <v>36.0</v>
      </c>
      <c r="B45" s="111" t="s">
        <v>122</v>
      </c>
      <c r="C45" s="112" t="s">
        <v>123</v>
      </c>
      <c r="D45" s="91">
        <f t="shared" si="6"/>
        <v>10</v>
      </c>
      <c r="E45" s="113">
        <f t="shared" si="7"/>
        <v>55.55555556</v>
      </c>
      <c r="F45" s="114" t="str">
        <f t="shared" si="8"/>
        <v>  </v>
      </c>
      <c r="G45" s="164" t="str">
        <f t="shared" si="9"/>
        <v>  </v>
      </c>
      <c r="H45" s="165"/>
      <c r="I45" s="116"/>
      <c r="J45" s="116"/>
      <c r="K45" s="116"/>
      <c r="L45" s="116"/>
      <c r="M45" s="118">
        <f t="shared" si="10"/>
        <v>0</v>
      </c>
      <c r="N45" s="119" t="str">
        <f t="shared" si="11"/>
        <v>#DIV/0!</v>
      </c>
      <c r="O45" s="195"/>
      <c r="P45" s="186"/>
      <c r="Q45" s="186"/>
      <c r="R45" s="186"/>
      <c r="S45" s="186"/>
      <c r="T45" s="186"/>
      <c r="U45" s="186"/>
      <c r="V45" s="186"/>
      <c r="W45" s="200">
        <v>1.0</v>
      </c>
      <c r="X45" s="186"/>
      <c r="Y45" s="186"/>
      <c r="Z45" s="186"/>
      <c r="AA45" s="200">
        <v>1.0</v>
      </c>
      <c r="AB45" s="186"/>
      <c r="AC45" s="186"/>
      <c r="AD45" s="186"/>
      <c r="AE45" s="186"/>
      <c r="AF45" s="197">
        <v>1.0</v>
      </c>
      <c r="AG45" s="195"/>
      <c r="AH45" s="195"/>
      <c r="AI45" s="195"/>
      <c r="AJ45" s="168">
        <f t="shared" si="12"/>
        <v>3</v>
      </c>
      <c r="AK45" s="169">
        <f t="shared" si="13"/>
        <v>75</v>
      </c>
      <c r="AL45" s="199"/>
      <c r="AM45" s="186"/>
      <c r="AN45" s="186"/>
      <c r="AO45" s="186"/>
      <c r="AP45" s="186"/>
      <c r="AQ45" s="186"/>
      <c r="AR45" s="200">
        <v>1.0</v>
      </c>
      <c r="AS45" s="186"/>
      <c r="AT45" s="186"/>
      <c r="AU45" s="200">
        <v>1.0</v>
      </c>
      <c r="AV45" s="186"/>
      <c r="AW45" s="186"/>
      <c r="AX45" s="186"/>
      <c r="AY45" s="186"/>
      <c r="AZ45" s="186"/>
      <c r="BA45" s="186"/>
      <c r="BB45" s="186"/>
      <c r="BC45" s="186"/>
      <c r="BD45" s="186"/>
      <c r="BE45" s="186"/>
      <c r="BF45" s="186"/>
      <c r="BG45" s="118">
        <f t="shared" si="14"/>
        <v>2</v>
      </c>
      <c r="BH45" s="122">
        <f t="shared" si="15"/>
        <v>66.66666667</v>
      </c>
      <c r="BI45" s="195"/>
      <c r="BJ45" s="186"/>
      <c r="BK45" s="186"/>
      <c r="BL45" s="186"/>
      <c r="BM45" s="186"/>
      <c r="BN45" s="186"/>
      <c r="BO45" s="200">
        <v>1.0</v>
      </c>
      <c r="BP45" s="186"/>
      <c r="BQ45" s="186"/>
      <c r="BR45" s="186"/>
      <c r="BS45" s="200">
        <v>1.0</v>
      </c>
      <c r="BT45" s="186"/>
      <c r="BU45" s="186"/>
      <c r="BV45" s="200">
        <v>1.0</v>
      </c>
      <c r="BW45" s="186"/>
      <c r="BX45" s="186"/>
      <c r="BY45" s="186"/>
      <c r="BZ45" s="186"/>
      <c r="CA45" s="186"/>
      <c r="CB45" s="186"/>
      <c r="CC45" s="200">
        <v>1.0</v>
      </c>
      <c r="CD45" s="186"/>
      <c r="CE45" s="172">
        <f t="shared" si="16"/>
        <v>4</v>
      </c>
      <c r="CF45" s="173">
        <f t="shared" si="17"/>
        <v>50</v>
      </c>
      <c r="CG45" s="189">
        <v>1.0</v>
      </c>
      <c r="CH45" s="186"/>
      <c r="CI45" s="186"/>
      <c r="CJ45" s="186"/>
      <c r="CK45" s="186"/>
      <c r="CL45" s="186"/>
      <c r="CM45" s="186"/>
      <c r="CN45" s="186"/>
      <c r="CO45" s="186"/>
      <c r="CP45" s="186"/>
      <c r="CQ45" s="186"/>
      <c r="CR45" s="186"/>
      <c r="CS45" s="175">
        <f t="shared" si="18"/>
        <v>1</v>
      </c>
      <c r="CT45" s="158">
        <f t="shared" si="19"/>
        <v>33.33333333</v>
      </c>
    </row>
    <row r="46" ht="15.75" customHeight="1">
      <c r="A46" s="50">
        <v>37.0</v>
      </c>
      <c r="B46" s="111" t="s">
        <v>124</v>
      </c>
      <c r="C46" s="112" t="s">
        <v>125</v>
      </c>
      <c r="D46" s="91">
        <f t="shared" si="6"/>
        <v>11</v>
      </c>
      <c r="E46" s="113">
        <f t="shared" si="7"/>
        <v>61.11111111</v>
      </c>
      <c r="F46" s="114" t="str">
        <f t="shared" si="8"/>
        <v>  </v>
      </c>
      <c r="G46" s="202" t="str">
        <f t="shared" si="9"/>
        <v>  </v>
      </c>
      <c r="H46" s="165"/>
      <c r="I46" s="116"/>
      <c r="J46" s="43"/>
      <c r="K46" s="116"/>
      <c r="L46" s="116"/>
      <c r="M46" s="118">
        <f t="shared" si="10"/>
        <v>0</v>
      </c>
      <c r="N46" s="119" t="str">
        <f t="shared" si="11"/>
        <v>#DIV/0!</v>
      </c>
      <c r="O46" s="176"/>
      <c r="P46" s="179"/>
      <c r="Q46" s="179"/>
      <c r="R46" s="179"/>
      <c r="S46" s="179"/>
      <c r="T46" s="179"/>
      <c r="U46" s="179"/>
      <c r="V46" s="179"/>
      <c r="W46" s="179"/>
      <c r="X46" s="179"/>
      <c r="Y46" s="179"/>
      <c r="Z46" s="179"/>
      <c r="AA46" s="184">
        <v>1.0</v>
      </c>
      <c r="AB46" s="179"/>
      <c r="AC46" s="179"/>
      <c r="AD46" s="179"/>
      <c r="AE46" s="179"/>
      <c r="AF46" s="182">
        <v>1.0</v>
      </c>
      <c r="AG46" s="176"/>
      <c r="AH46" s="176"/>
      <c r="AI46" s="182">
        <v>1.0</v>
      </c>
      <c r="AJ46" s="168">
        <f t="shared" si="12"/>
        <v>3</v>
      </c>
      <c r="AK46" s="169">
        <f t="shared" si="13"/>
        <v>75</v>
      </c>
      <c r="AL46" s="183"/>
      <c r="AM46" s="184">
        <v>1.0</v>
      </c>
      <c r="AN46" s="179"/>
      <c r="AO46" s="179"/>
      <c r="AP46" s="179"/>
      <c r="AQ46" s="179"/>
      <c r="AR46" s="184">
        <v>1.0</v>
      </c>
      <c r="AS46" s="179"/>
      <c r="AT46" s="179"/>
      <c r="AU46" s="184">
        <v>1.0</v>
      </c>
      <c r="AV46" s="179"/>
      <c r="AW46" s="179"/>
      <c r="AX46" s="179"/>
      <c r="AY46" s="179"/>
      <c r="AZ46" s="179"/>
      <c r="BA46" s="179"/>
      <c r="BB46" s="179"/>
      <c r="BC46" s="179"/>
      <c r="BD46" s="179"/>
      <c r="BE46" s="179"/>
      <c r="BF46" s="179"/>
      <c r="BG46" s="118">
        <f t="shared" si="14"/>
        <v>3</v>
      </c>
      <c r="BH46" s="122">
        <f t="shared" si="15"/>
        <v>100</v>
      </c>
      <c r="BI46" s="176"/>
      <c r="BJ46" s="179"/>
      <c r="BK46" s="179"/>
      <c r="BL46" s="179"/>
      <c r="BM46" s="179"/>
      <c r="BN46" s="179"/>
      <c r="BO46" s="184">
        <v>1.0</v>
      </c>
      <c r="BP46" s="179"/>
      <c r="BQ46" s="179"/>
      <c r="BR46" s="179"/>
      <c r="BS46" s="184">
        <v>1.0</v>
      </c>
      <c r="BT46" s="179"/>
      <c r="BU46" s="179"/>
      <c r="BV46" s="184">
        <v>1.0</v>
      </c>
      <c r="BW46" s="186"/>
      <c r="BX46" s="200">
        <v>1.0</v>
      </c>
      <c r="BY46" s="186"/>
      <c r="BZ46" s="186"/>
      <c r="CA46" s="186"/>
      <c r="CB46" s="186"/>
      <c r="CC46" s="186"/>
      <c r="CD46" s="186"/>
      <c r="CE46" s="172">
        <f t="shared" si="16"/>
        <v>4</v>
      </c>
      <c r="CF46" s="173">
        <f t="shared" si="17"/>
        <v>50</v>
      </c>
      <c r="CG46" s="189">
        <v>1.0</v>
      </c>
      <c r="CH46" s="186"/>
      <c r="CI46" s="186"/>
      <c r="CJ46" s="186"/>
      <c r="CK46" s="186"/>
      <c r="CL46" s="186"/>
      <c r="CM46" s="186"/>
      <c r="CN46" s="186"/>
      <c r="CO46" s="186"/>
      <c r="CP46" s="186"/>
      <c r="CQ46" s="186"/>
      <c r="CR46" s="186"/>
      <c r="CS46" s="175">
        <f t="shared" si="18"/>
        <v>1</v>
      </c>
      <c r="CT46" s="158">
        <f t="shared" si="19"/>
        <v>33.33333333</v>
      </c>
    </row>
    <row r="47" ht="15.75" customHeight="1">
      <c r="A47" s="131">
        <v>38.0</v>
      </c>
      <c r="B47" s="111" t="s">
        <v>126</v>
      </c>
      <c r="C47" s="112" t="s">
        <v>127</v>
      </c>
      <c r="D47" s="91">
        <f t="shared" si="6"/>
        <v>5</v>
      </c>
      <c r="E47" s="113">
        <f t="shared" si="7"/>
        <v>27.77777778</v>
      </c>
      <c r="F47" s="114">
        <f t="shared" si="8"/>
        <v>27.77777778</v>
      </c>
      <c r="G47" s="202">
        <f t="shared" si="9"/>
        <v>27.77777778</v>
      </c>
      <c r="H47" s="165"/>
      <c r="I47" s="116"/>
      <c r="J47" s="43"/>
      <c r="K47" s="116"/>
      <c r="L47" s="116"/>
      <c r="M47" s="118">
        <f t="shared" si="10"/>
        <v>0</v>
      </c>
      <c r="N47" s="119" t="str">
        <f t="shared" si="11"/>
        <v>#DIV/0!</v>
      </c>
      <c r="O47" s="176"/>
      <c r="P47" s="179"/>
      <c r="Q47" s="179"/>
      <c r="R47" s="179"/>
      <c r="S47" s="179"/>
      <c r="T47" s="179"/>
      <c r="U47" s="179"/>
      <c r="V47" s="179"/>
      <c r="W47" s="184">
        <v>1.0</v>
      </c>
      <c r="X47" s="179"/>
      <c r="Y47" s="179"/>
      <c r="Z47" s="179"/>
      <c r="AA47" s="179"/>
      <c r="AB47" s="179"/>
      <c r="AC47" s="179"/>
      <c r="AD47" s="179"/>
      <c r="AE47" s="179"/>
      <c r="AF47" s="182">
        <v>1.0</v>
      </c>
      <c r="AG47" s="176"/>
      <c r="AH47" s="176"/>
      <c r="AI47" s="176"/>
      <c r="AJ47" s="168">
        <f t="shared" si="12"/>
        <v>2</v>
      </c>
      <c r="AK47" s="169">
        <f t="shared" si="13"/>
        <v>50</v>
      </c>
      <c r="AL47" s="183"/>
      <c r="AM47" s="184">
        <v>1.0</v>
      </c>
      <c r="AN47" s="179"/>
      <c r="AO47" s="179"/>
      <c r="AP47" s="179"/>
      <c r="AQ47" s="179"/>
      <c r="AR47" s="184">
        <v>1.0</v>
      </c>
      <c r="AS47" s="179"/>
      <c r="AT47" s="179"/>
      <c r="AU47" s="179"/>
      <c r="AV47" s="179"/>
      <c r="AW47" s="179"/>
      <c r="AX47" s="179"/>
      <c r="AY47" s="179"/>
      <c r="AZ47" s="179"/>
      <c r="BA47" s="179"/>
      <c r="BB47" s="179"/>
      <c r="BC47" s="179"/>
      <c r="BD47" s="179"/>
      <c r="BE47" s="179"/>
      <c r="BF47" s="179"/>
      <c r="BG47" s="118">
        <f t="shared" si="14"/>
        <v>2</v>
      </c>
      <c r="BH47" s="122">
        <f t="shared" si="15"/>
        <v>66.66666667</v>
      </c>
      <c r="BI47" s="176"/>
      <c r="BJ47" s="179"/>
      <c r="BK47" s="179"/>
      <c r="BL47" s="179"/>
      <c r="BM47" s="179"/>
      <c r="BN47" s="179"/>
      <c r="BO47" s="179"/>
      <c r="BP47" s="179"/>
      <c r="BQ47" s="179"/>
      <c r="BR47" s="179"/>
      <c r="BS47" s="179"/>
      <c r="BT47" s="179"/>
      <c r="BU47" s="179"/>
      <c r="BV47" s="179"/>
      <c r="BW47" s="186"/>
      <c r="BX47" s="186"/>
      <c r="BY47" s="186"/>
      <c r="BZ47" s="186"/>
      <c r="CA47" s="186"/>
      <c r="CB47" s="186"/>
      <c r="CC47" s="200">
        <v>1.0</v>
      </c>
      <c r="CD47" s="186"/>
      <c r="CE47" s="172">
        <f t="shared" si="16"/>
        <v>1</v>
      </c>
      <c r="CF47" s="173">
        <f t="shared" si="17"/>
        <v>12.5</v>
      </c>
      <c r="CG47" s="199"/>
      <c r="CH47" s="186"/>
      <c r="CI47" s="186"/>
      <c r="CJ47" s="186"/>
      <c r="CK47" s="186"/>
      <c r="CL47" s="186"/>
      <c r="CM47" s="186"/>
      <c r="CN47" s="186"/>
      <c r="CO47" s="186"/>
      <c r="CP47" s="186"/>
      <c r="CQ47" s="186"/>
      <c r="CR47" s="186"/>
      <c r="CS47" s="175">
        <f t="shared" si="18"/>
        <v>0</v>
      </c>
      <c r="CT47" s="158">
        <f t="shared" si="19"/>
        <v>0</v>
      </c>
    </row>
    <row r="48" ht="15.75" customHeight="1">
      <c r="A48" s="146">
        <v>39.0</v>
      </c>
      <c r="B48" s="111" t="s">
        <v>128</v>
      </c>
      <c r="C48" s="112" t="s">
        <v>129</v>
      </c>
      <c r="D48" s="91">
        <f t="shared" si="6"/>
        <v>9</v>
      </c>
      <c r="E48" s="113">
        <f t="shared" si="7"/>
        <v>50</v>
      </c>
      <c r="F48" s="114" t="str">
        <f t="shared" si="8"/>
        <v>  </v>
      </c>
      <c r="G48" s="164" t="str">
        <f t="shared" si="9"/>
        <v>  </v>
      </c>
      <c r="H48" s="165"/>
      <c r="I48" s="116"/>
      <c r="J48" s="43"/>
      <c r="K48" s="116"/>
      <c r="L48" s="116"/>
      <c r="M48" s="118">
        <f t="shared" si="10"/>
        <v>0</v>
      </c>
      <c r="N48" s="119" t="str">
        <f t="shared" si="11"/>
        <v>#DIV/0!</v>
      </c>
      <c r="O48" s="176"/>
      <c r="P48" s="179"/>
      <c r="Q48" s="179"/>
      <c r="R48" s="179"/>
      <c r="S48" s="179"/>
      <c r="T48" s="179"/>
      <c r="U48" s="179"/>
      <c r="V48" s="179"/>
      <c r="W48" s="184">
        <v>1.0</v>
      </c>
      <c r="X48" s="179"/>
      <c r="Y48" s="179"/>
      <c r="Z48" s="179"/>
      <c r="AA48" s="179"/>
      <c r="AB48" s="179"/>
      <c r="AC48" s="179"/>
      <c r="AD48" s="179"/>
      <c r="AE48" s="179"/>
      <c r="AF48" s="182">
        <v>1.0</v>
      </c>
      <c r="AG48" s="176"/>
      <c r="AH48" s="176"/>
      <c r="AI48" s="182">
        <v>1.0</v>
      </c>
      <c r="AJ48" s="168">
        <f t="shared" si="12"/>
        <v>3</v>
      </c>
      <c r="AK48" s="169">
        <f t="shared" si="13"/>
        <v>75</v>
      </c>
      <c r="AL48" s="183"/>
      <c r="AM48" s="184">
        <v>1.0</v>
      </c>
      <c r="AN48" s="179"/>
      <c r="AO48" s="179"/>
      <c r="AP48" s="179"/>
      <c r="AQ48" s="179"/>
      <c r="AR48" s="179"/>
      <c r="AS48" s="179"/>
      <c r="AT48" s="179"/>
      <c r="AU48" s="184">
        <v>1.0</v>
      </c>
      <c r="AV48" s="179"/>
      <c r="AW48" s="179"/>
      <c r="AX48" s="179"/>
      <c r="AY48" s="179"/>
      <c r="AZ48" s="179"/>
      <c r="BA48" s="179"/>
      <c r="BB48" s="179"/>
      <c r="BC48" s="179"/>
      <c r="BD48" s="179"/>
      <c r="BE48" s="179"/>
      <c r="BF48" s="179"/>
      <c r="BG48" s="118">
        <f t="shared" si="14"/>
        <v>2</v>
      </c>
      <c r="BH48" s="122">
        <f t="shared" si="15"/>
        <v>66.66666667</v>
      </c>
      <c r="BI48" s="176"/>
      <c r="BJ48" s="179"/>
      <c r="BK48" s="179"/>
      <c r="BL48" s="179"/>
      <c r="BM48" s="179"/>
      <c r="BN48" s="179"/>
      <c r="BO48" s="179"/>
      <c r="BP48" s="179"/>
      <c r="BQ48" s="179"/>
      <c r="BR48" s="184">
        <v>1.0</v>
      </c>
      <c r="BS48" s="179"/>
      <c r="BT48" s="179"/>
      <c r="BU48" s="179"/>
      <c r="BV48" s="179"/>
      <c r="BW48" s="186"/>
      <c r="BX48" s="200">
        <v>1.0</v>
      </c>
      <c r="BY48" s="186"/>
      <c r="BZ48" s="186"/>
      <c r="CA48" s="200">
        <v>1.0</v>
      </c>
      <c r="CB48" s="186"/>
      <c r="CC48" s="200">
        <v>1.0</v>
      </c>
      <c r="CD48" s="186"/>
      <c r="CE48" s="172">
        <f t="shared" si="16"/>
        <v>4</v>
      </c>
      <c r="CF48" s="173">
        <f t="shared" si="17"/>
        <v>50</v>
      </c>
      <c r="CG48" s="189">
        <v>1.0</v>
      </c>
      <c r="CH48" s="186"/>
      <c r="CI48" s="200">
        <v>1.0</v>
      </c>
      <c r="CJ48" s="186"/>
      <c r="CK48" s="186"/>
      <c r="CL48" s="186"/>
      <c r="CM48" s="186"/>
      <c r="CN48" s="186"/>
      <c r="CO48" s="186"/>
      <c r="CP48" s="186"/>
      <c r="CQ48" s="186"/>
      <c r="CR48" s="186"/>
      <c r="CS48" s="175"/>
      <c r="CT48" s="158"/>
    </row>
    <row r="49" ht="15.75" customHeight="1">
      <c r="A49" s="50">
        <v>40.0</v>
      </c>
      <c r="B49" s="111" t="s">
        <v>130</v>
      </c>
      <c r="C49" s="112" t="s">
        <v>131</v>
      </c>
      <c r="D49" s="91">
        <f t="shared" si="6"/>
        <v>0</v>
      </c>
      <c r="E49" s="113">
        <f t="shared" si="7"/>
        <v>0</v>
      </c>
      <c r="F49" s="114">
        <f t="shared" si="8"/>
        <v>0</v>
      </c>
      <c r="G49" s="202">
        <f t="shared" si="9"/>
        <v>0</v>
      </c>
      <c r="H49" s="165"/>
      <c r="I49" s="116"/>
      <c r="J49" s="43"/>
      <c r="K49" s="116"/>
      <c r="L49" s="116"/>
      <c r="M49" s="118">
        <f t="shared" si="10"/>
        <v>0</v>
      </c>
      <c r="N49" s="119" t="str">
        <f t="shared" si="11"/>
        <v>#DIV/0!</v>
      </c>
      <c r="O49" s="176"/>
      <c r="P49" s="179"/>
      <c r="Q49" s="179"/>
      <c r="R49" s="179"/>
      <c r="S49" s="179"/>
      <c r="T49" s="179"/>
      <c r="U49" s="179"/>
      <c r="V49" s="179"/>
      <c r="W49" s="179"/>
      <c r="X49" s="179"/>
      <c r="Y49" s="179"/>
      <c r="Z49" s="179"/>
      <c r="AA49" s="179"/>
      <c r="AB49" s="179"/>
      <c r="AC49" s="179"/>
      <c r="AD49" s="179"/>
      <c r="AE49" s="179"/>
      <c r="AF49" s="176"/>
      <c r="AG49" s="176"/>
      <c r="AH49" s="176"/>
      <c r="AI49" s="176"/>
      <c r="AJ49" s="168">
        <f t="shared" si="12"/>
        <v>0</v>
      </c>
      <c r="AK49" s="169">
        <f t="shared" si="13"/>
        <v>0</v>
      </c>
      <c r="AL49" s="183"/>
      <c r="AM49" s="179"/>
      <c r="AN49" s="179"/>
      <c r="AO49" s="179"/>
      <c r="AP49" s="179"/>
      <c r="AQ49" s="179"/>
      <c r="AR49" s="179"/>
      <c r="AS49" s="179"/>
      <c r="AT49" s="179"/>
      <c r="AU49" s="179"/>
      <c r="AV49" s="179"/>
      <c r="AW49" s="179"/>
      <c r="AX49" s="179"/>
      <c r="AY49" s="179"/>
      <c r="AZ49" s="179"/>
      <c r="BA49" s="179"/>
      <c r="BB49" s="179"/>
      <c r="BC49" s="179"/>
      <c r="BD49" s="179"/>
      <c r="BE49" s="179"/>
      <c r="BF49" s="179"/>
      <c r="BG49" s="118">
        <f t="shared" si="14"/>
        <v>0</v>
      </c>
      <c r="BH49" s="122">
        <f t="shared" si="15"/>
        <v>0</v>
      </c>
      <c r="BI49" s="176"/>
      <c r="BJ49" s="179"/>
      <c r="BK49" s="179"/>
      <c r="BL49" s="179"/>
      <c r="BM49" s="179"/>
      <c r="BN49" s="179"/>
      <c r="BO49" s="179"/>
      <c r="BP49" s="179"/>
      <c r="BQ49" s="179"/>
      <c r="BR49" s="179"/>
      <c r="BS49" s="179"/>
      <c r="BT49" s="179"/>
      <c r="BU49" s="179"/>
      <c r="BV49" s="179"/>
      <c r="BW49" s="186"/>
      <c r="BX49" s="186"/>
      <c r="BY49" s="186"/>
      <c r="BZ49" s="186"/>
      <c r="CA49" s="186"/>
      <c r="CB49" s="186"/>
      <c r="CC49" s="186"/>
      <c r="CD49" s="186"/>
      <c r="CE49" s="172">
        <f t="shared" si="16"/>
        <v>0</v>
      </c>
      <c r="CF49" s="173">
        <f t="shared" si="17"/>
        <v>0</v>
      </c>
      <c r="CG49" s="199"/>
      <c r="CH49" s="186"/>
      <c r="CI49" s="186"/>
      <c r="CJ49" s="186"/>
      <c r="CK49" s="186"/>
      <c r="CL49" s="186"/>
      <c r="CM49" s="186"/>
      <c r="CN49" s="186"/>
      <c r="CO49" s="186"/>
      <c r="CP49" s="186"/>
      <c r="CQ49" s="186"/>
      <c r="CR49" s="186"/>
      <c r="CS49" s="175"/>
      <c r="CT49" s="158"/>
    </row>
    <row r="50" ht="15.75" customHeight="1">
      <c r="A50" s="131">
        <v>41.0</v>
      </c>
      <c r="B50" s="111" t="s">
        <v>132</v>
      </c>
      <c r="C50" s="112" t="s">
        <v>133</v>
      </c>
      <c r="D50" s="91">
        <f t="shared" si="6"/>
        <v>11</v>
      </c>
      <c r="E50" s="113">
        <f t="shared" si="7"/>
        <v>61.11111111</v>
      </c>
      <c r="F50" s="114" t="str">
        <f t="shared" si="8"/>
        <v>  </v>
      </c>
      <c r="G50" s="164" t="str">
        <f t="shared" si="9"/>
        <v>  </v>
      </c>
      <c r="H50" s="165"/>
      <c r="I50" s="116"/>
      <c r="J50" s="43"/>
      <c r="K50" s="116"/>
      <c r="L50" s="116"/>
      <c r="M50" s="118">
        <f t="shared" si="10"/>
        <v>0</v>
      </c>
      <c r="N50" s="119" t="str">
        <f t="shared" si="11"/>
        <v>#DIV/0!</v>
      </c>
      <c r="O50" s="176"/>
      <c r="P50" s="179"/>
      <c r="Q50" s="179"/>
      <c r="R50" s="179"/>
      <c r="S50" s="179"/>
      <c r="T50" s="179"/>
      <c r="U50" s="179"/>
      <c r="V50" s="179"/>
      <c r="W50" s="184">
        <v>1.0</v>
      </c>
      <c r="X50" s="179"/>
      <c r="Y50" s="179"/>
      <c r="Z50" s="179"/>
      <c r="AA50" s="184">
        <v>1.0</v>
      </c>
      <c r="AB50" s="179"/>
      <c r="AC50" s="179"/>
      <c r="AD50" s="179"/>
      <c r="AE50" s="179"/>
      <c r="AF50" s="182">
        <v>1.0</v>
      </c>
      <c r="AG50" s="176"/>
      <c r="AH50" s="176"/>
      <c r="AI50" s="182">
        <v>1.0</v>
      </c>
      <c r="AJ50" s="168">
        <f t="shared" si="12"/>
        <v>4</v>
      </c>
      <c r="AK50" s="169">
        <f t="shared" si="13"/>
        <v>100</v>
      </c>
      <c r="AL50" s="183"/>
      <c r="AM50" s="184">
        <v>1.0</v>
      </c>
      <c r="AN50" s="179"/>
      <c r="AO50" s="179"/>
      <c r="AP50" s="179"/>
      <c r="AQ50" s="179"/>
      <c r="AR50" s="184">
        <v>1.0</v>
      </c>
      <c r="AS50" s="179"/>
      <c r="AT50" s="179"/>
      <c r="AU50" s="184">
        <v>1.0</v>
      </c>
      <c r="AV50" s="179"/>
      <c r="AW50" s="179"/>
      <c r="AX50" s="179"/>
      <c r="AY50" s="179"/>
      <c r="AZ50" s="179"/>
      <c r="BA50" s="179"/>
      <c r="BB50" s="179"/>
      <c r="BC50" s="179"/>
      <c r="BD50" s="179"/>
      <c r="BE50" s="179"/>
      <c r="BF50" s="179"/>
      <c r="BG50" s="118">
        <f t="shared" si="14"/>
        <v>3</v>
      </c>
      <c r="BH50" s="122">
        <f t="shared" si="15"/>
        <v>100</v>
      </c>
      <c r="BI50" s="176"/>
      <c r="BJ50" s="179"/>
      <c r="BK50" s="179"/>
      <c r="BL50" s="179"/>
      <c r="BM50" s="179"/>
      <c r="BN50" s="179"/>
      <c r="BO50" s="179"/>
      <c r="BP50" s="179"/>
      <c r="BQ50" s="179"/>
      <c r="BR50" s="179"/>
      <c r="BS50" s="184">
        <v>1.0</v>
      </c>
      <c r="BT50" s="179"/>
      <c r="BU50" s="179"/>
      <c r="BV50" s="179"/>
      <c r="BW50" s="186"/>
      <c r="BX50" s="200">
        <v>1.0</v>
      </c>
      <c r="BY50" s="186"/>
      <c r="BZ50" s="186"/>
      <c r="CA50" s="186"/>
      <c r="CB50" s="186"/>
      <c r="CC50" s="200">
        <v>1.0</v>
      </c>
      <c r="CD50" s="186"/>
      <c r="CE50" s="172">
        <f t="shared" si="16"/>
        <v>3</v>
      </c>
      <c r="CF50" s="173">
        <f t="shared" si="17"/>
        <v>37.5</v>
      </c>
      <c r="CG50" s="189">
        <v>1.0</v>
      </c>
      <c r="CH50" s="186"/>
      <c r="CI50" s="186"/>
      <c r="CJ50" s="186"/>
      <c r="CK50" s="186"/>
      <c r="CL50" s="186"/>
      <c r="CM50" s="186"/>
      <c r="CN50" s="186"/>
      <c r="CO50" s="186"/>
      <c r="CP50" s="186"/>
      <c r="CQ50" s="186"/>
      <c r="CR50" s="186"/>
      <c r="CS50" s="175">
        <f t="shared" ref="CS50:CS51" si="20">SUM(CG50:CR50)</f>
        <v>1</v>
      </c>
      <c r="CT50" s="158">
        <f t="shared" ref="CT50:CT51" si="21">CS50/CS$9*100</f>
        <v>33.33333333</v>
      </c>
    </row>
    <row r="51" ht="15.75" customHeight="1">
      <c r="A51" s="146">
        <v>42.0</v>
      </c>
      <c r="B51" s="111" t="s">
        <v>134</v>
      </c>
      <c r="C51" s="112" t="s">
        <v>135</v>
      </c>
      <c r="D51" s="91">
        <f t="shared" si="6"/>
        <v>8</v>
      </c>
      <c r="E51" s="113">
        <f t="shared" si="7"/>
        <v>44.44444444</v>
      </c>
      <c r="F51" s="114">
        <f t="shared" si="8"/>
        <v>44.44444444</v>
      </c>
      <c r="G51" s="202" t="str">
        <f t="shared" si="9"/>
        <v>  </v>
      </c>
      <c r="H51" s="165"/>
      <c r="I51" s="116"/>
      <c r="J51" s="116"/>
      <c r="K51" s="116"/>
      <c r="L51" s="116"/>
      <c r="M51" s="118">
        <f t="shared" si="10"/>
        <v>0</v>
      </c>
      <c r="N51" s="119" t="str">
        <f>M51/M$51*100</f>
        <v>#DIV/0!</v>
      </c>
      <c r="O51" s="176"/>
      <c r="P51" s="179"/>
      <c r="Q51" s="179"/>
      <c r="R51" s="179"/>
      <c r="S51" s="179"/>
      <c r="T51" s="179"/>
      <c r="U51" s="179"/>
      <c r="V51" s="179"/>
      <c r="W51" s="184">
        <v>1.0</v>
      </c>
      <c r="X51" s="179"/>
      <c r="Y51" s="179"/>
      <c r="Z51" s="179"/>
      <c r="AA51" s="184">
        <v>1.0</v>
      </c>
      <c r="AB51" s="179"/>
      <c r="AC51" s="179"/>
      <c r="AD51" s="179"/>
      <c r="AE51" s="179"/>
      <c r="AF51" s="182">
        <v>1.0</v>
      </c>
      <c r="AG51" s="176"/>
      <c r="AH51" s="176"/>
      <c r="AI51" s="182">
        <v>1.0</v>
      </c>
      <c r="AJ51" s="168">
        <f t="shared" si="12"/>
        <v>4</v>
      </c>
      <c r="AK51" s="169">
        <f t="shared" si="13"/>
        <v>100</v>
      </c>
      <c r="AL51" s="183"/>
      <c r="AM51" s="179"/>
      <c r="AN51" s="179"/>
      <c r="AO51" s="179"/>
      <c r="AP51" s="179"/>
      <c r="AQ51" s="179"/>
      <c r="AR51" s="184">
        <v>1.0</v>
      </c>
      <c r="AS51" s="179"/>
      <c r="AT51" s="179"/>
      <c r="AU51" s="179"/>
      <c r="AV51" s="179"/>
      <c r="AW51" s="179"/>
      <c r="AX51" s="179"/>
      <c r="AY51" s="179"/>
      <c r="AZ51" s="179"/>
      <c r="BA51" s="179"/>
      <c r="BB51" s="179"/>
      <c r="BC51" s="179"/>
      <c r="BD51" s="179"/>
      <c r="BE51" s="179"/>
      <c r="BF51" s="179"/>
      <c r="BG51" s="118">
        <f t="shared" si="14"/>
        <v>1</v>
      </c>
      <c r="BH51" s="122">
        <f t="shared" si="15"/>
        <v>33.33333333</v>
      </c>
      <c r="BI51" s="176"/>
      <c r="BJ51" s="179"/>
      <c r="BK51" s="179"/>
      <c r="BL51" s="179"/>
      <c r="BM51" s="179"/>
      <c r="BN51" s="179"/>
      <c r="BO51" s="179"/>
      <c r="BP51" s="179"/>
      <c r="BQ51" s="179"/>
      <c r="BR51" s="184">
        <v>1.0</v>
      </c>
      <c r="BS51" s="184">
        <v>1.0</v>
      </c>
      <c r="BT51" s="179"/>
      <c r="BU51" s="179"/>
      <c r="BV51" s="179"/>
      <c r="BW51" s="186"/>
      <c r="BX51" s="186"/>
      <c r="BY51" s="186"/>
      <c r="BZ51" s="186"/>
      <c r="CA51" s="186"/>
      <c r="CB51" s="186"/>
      <c r="CC51" s="186"/>
      <c r="CD51" s="186"/>
      <c r="CE51" s="172">
        <f t="shared" si="16"/>
        <v>2</v>
      </c>
      <c r="CF51" s="173">
        <f t="shared" si="17"/>
        <v>25</v>
      </c>
      <c r="CG51" s="189">
        <v>1.0</v>
      </c>
      <c r="CH51" s="186"/>
      <c r="CI51" s="186"/>
      <c r="CJ51" s="186"/>
      <c r="CK51" s="186"/>
      <c r="CL51" s="186"/>
      <c r="CM51" s="186"/>
      <c r="CN51" s="186"/>
      <c r="CO51" s="186"/>
      <c r="CP51" s="186"/>
      <c r="CQ51" s="186"/>
      <c r="CR51" s="186"/>
      <c r="CS51" s="175">
        <f t="shared" si="20"/>
        <v>1</v>
      </c>
      <c r="CT51" s="158">
        <f t="shared" si="21"/>
        <v>33.33333333</v>
      </c>
    </row>
    <row r="52" ht="15.75" customHeight="1">
      <c r="A52" s="242" t="s">
        <v>136</v>
      </c>
      <c r="B52" s="243"/>
      <c r="C52" s="244"/>
      <c r="D52" s="245">
        <f t="shared" si="6"/>
        <v>19</v>
      </c>
      <c r="E52" s="246"/>
      <c r="F52" s="44"/>
      <c r="G52" s="156"/>
      <c r="H52" s="93">
        <f t="shared" ref="H52:L52" si="22">SUM(H53:H93)</f>
        <v>0</v>
      </c>
      <c r="I52" s="93">
        <f t="shared" si="22"/>
        <v>0</v>
      </c>
      <c r="J52" s="93">
        <f t="shared" si="22"/>
        <v>0</v>
      </c>
      <c r="K52" s="93">
        <f t="shared" si="22"/>
        <v>3</v>
      </c>
      <c r="L52" s="93">
        <f t="shared" si="22"/>
        <v>0</v>
      </c>
      <c r="M52" s="94">
        <f>COUNTIF(H52:L52,"&gt;0")</f>
        <v>1</v>
      </c>
      <c r="N52" s="96">
        <f>COUNTIF(H52:L52,"&gt;0")</f>
        <v>1</v>
      </c>
      <c r="O52" s="93">
        <f t="shared" ref="O52:AI52" si="23">SUM(O53:O93)</f>
        <v>0</v>
      </c>
      <c r="P52" s="93">
        <f t="shared" si="23"/>
        <v>0</v>
      </c>
      <c r="Q52" s="93">
        <f t="shared" si="23"/>
        <v>0</v>
      </c>
      <c r="R52" s="93">
        <f t="shared" si="23"/>
        <v>0</v>
      </c>
      <c r="S52" s="93">
        <f t="shared" si="23"/>
        <v>0</v>
      </c>
      <c r="T52" s="93">
        <f t="shared" si="23"/>
        <v>0</v>
      </c>
      <c r="U52" s="93">
        <f t="shared" si="23"/>
        <v>0</v>
      </c>
      <c r="V52" s="93">
        <f t="shared" si="23"/>
        <v>0</v>
      </c>
      <c r="W52" s="93">
        <f t="shared" si="23"/>
        <v>0</v>
      </c>
      <c r="X52" s="93">
        <f t="shared" si="23"/>
        <v>0</v>
      </c>
      <c r="Y52" s="93">
        <f t="shared" si="23"/>
        <v>23</v>
      </c>
      <c r="Z52" s="93">
        <f t="shared" si="23"/>
        <v>14</v>
      </c>
      <c r="AA52" s="93">
        <f t="shared" si="23"/>
        <v>0</v>
      </c>
      <c r="AB52" s="93">
        <f t="shared" si="23"/>
        <v>17</v>
      </c>
      <c r="AC52" s="93">
        <f t="shared" si="23"/>
        <v>0</v>
      </c>
      <c r="AD52" s="93">
        <f t="shared" si="23"/>
        <v>0</v>
      </c>
      <c r="AE52" s="93">
        <f t="shared" si="23"/>
        <v>7</v>
      </c>
      <c r="AF52" s="93">
        <f t="shared" si="23"/>
        <v>0</v>
      </c>
      <c r="AG52" s="93">
        <f t="shared" si="23"/>
        <v>0</v>
      </c>
      <c r="AH52" s="93">
        <f t="shared" si="23"/>
        <v>0</v>
      </c>
      <c r="AI52" s="93">
        <f t="shared" si="23"/>
        <v>0</v>
      </c>
      <c r="AJ52" s="247">
        <f>COUNTIF(O52:AI52,"&gt;0")</f>
        <v>4</v>
      </c>
      <c r="AK52" s="248">
        <f>SUM(M52+AJ52)</f>
        <v>5</v>
      </c>
      <c r="AL52" s="117">
        <f t="shared" ref="AL52:BF52" si="24">SUM(AL53:AL93)</f>
        <v>9</v>
      </c>
      <c r="AM52" s="117">
        <f t="shared" si="24"/>
        <v>0</v>
      </c>
      <c r="AN52" s="117">
        <f t="shared" si="24"/>
        <v>16</v>
      </c>
      <c r="AO52" s="117">
        <f t="shared" si="24"/>
        <v>0</v>
      </c>
      <c r="AP52" s="117">
        <f t="shared" si="24"/>
        <v>0</v>
      </c>
      <c r="AQ52" s="117">
        <f t="shared" si="24"/>
        <v>11</v>
      </c>
      <c r="AR52" s="117">
        <f t="shared" si="24"/>
        <v>0</v>
      </c>
      <c r="AS52" s="117">
        <f t="shared" si="24"/>
        <v>23</v>
      </c>
      <c r="AT52" s="117">
        <f t="shared" si="24"/>
        <v>0</v>
      </c>
      <c r="AU52" s="117">
        <f t="shared" si="24"/>
        <v>0</v>
      </c>
      <c r="AV52" s="117">
        <f t="shared" si="24"/>
        <v>11</v>
      </c>
      <c r="AW52" s="117">
        <f t="shared" si="24"/>
        <v>0</v>
      </c>
      <c r="AX52" s="117">
        <f t="shared" si="24"/>
        <v>0</v>
      </c>
      <c r="AY52" s="117">
        <f t="shared" si="24"/>
        <v>0</v>
      </c>
      <c r="AZ52" s="117">
        <f t="shared" si="24"/>
        <v>0</v>
      </c>
      <c r="BA52" s="117">
        <f t="shared" si="24"/>
        <v>0</v>
      </c>
      <c r="BB52" s="117">
        <f t="shared" si="24"/>
        <v>0</v>
      </c>
      <c r="BC52" s="117">
        <f t="shared" si="24"/>
        <v>0</v>
      </c>
      <c r="BD52" s="117">
        <f t="shared" si="24"/>
        <v>0</v>
      </c>
      <c r="BE52" s="117">
        <f t="shared" si="24"/>
        <v>0</v>
      </c>
      <c r="BF52" s="117">
        <f t="shared" si="24"/>
        <v>0</v>
      </c>
      <c r="BG52" s="44">
        <f>COUNTIF(AL52:BF52,"&gt;0")</f>
        <v>5</v>
      </c>
      <c r="BH52" s="249">
        <f>SUM(AK52+BG52)</f>
        <v>10</v>
      </c>
      <c r="BI52" s="117">
        <f t="shared" ref="BI52:CD52" si="25">SUM(BI53:BI93)</f>
        <v>0</v>
      </c>
      <c r="BJ52" s="117">
        <f t="shared" si="25"/>
        <v>0</v>
      </c>
      <c r="BK52" s="117">
        <f t="shared" si="25"/>
        <v>0</v>
      </c>
      <c r="BL52" s="117">
        <f t="shared" si="25"/>
        <v>0</v>
      </c>
      <c r="BM52" s="117">
        <f t="shared" si="25"/>
        <v>0</v>
      </c>
      <c r="BN52" s="117">
        <f t="shared" si="25"/>
        <v>0</v>
      </c>
      <c r="BO52" s="117">
        <f t="shared" si="25"/>
        <v>18</v>
      </c>
      <c r="BP52" s="117">
        <f t="shared" si="25"/>
        <v>0</v>
      </c>
      <c r="BQ52" s="117">
        <f t="shared" si="25"/>
        <v>0</v>
      </c>
      <c r="BR52" s="117">
        <f t="shared" si="25"/>
        <v>11</v>
      </c>
      <c r="BS52" s="117">
        <f t="shared" si="25"/>
        <v>0</v>
      </c>
      <c r="BT52" s="117">
        <f t="shared" si="25"/>
        <v>0</v>
      </c>
      <c r="BU52" s="117">
        <f t="shared" si="25"/>
        <v>0</v>
      </c>
      <c r="BV52" s="117">
        <f t="shared" si="25"/>
        <v>24</v>
      </c>
      <c r="BW52" s="117">
        <f t="shared" si="25"/>
        <v>12</v>
      </c>
      <c r="BX52" s="117">
        <f t="shared" si="25"/>
        <v>0</v>
      </c>
      <c r="BY52" s="117">
        <f t="shared" si="25"/>
        <v>0</v>
      </c>
      <c r="BZ52" s="117">
        <f t="shared" si="25"/>
        <v>0</v>
      </c>
      <c r="CA52" s="117">
        <f t="shared" si="25"/>
        <v>0</v>
      </c>
      <c r="CB52" s="117">
        <f t="shared" si="25"/>
        <v>13</v>
      </c>
      <c r="CC52" s="117">
        <f t="shared" si="25"/>
        <v>0</v>
      </c>
      <c r="CD52" s="117">
        <f t="shared" si="25"/>
        <v>0</v>
      </c>
      <c r="CE52" s="47">
        <f>COUNTIF(BI52:CD52,"&gt;0")</f>
        <v>5</v>
      </c>
      <c r="CF52" s="52">
        <f>SUM(BH52+CE52)</f>
        <v>15</v>
      </c>
      <c r="CG52" s="117">
        <f t="shared" ref="CG52:CR52" si="26">SUM(CG53:CG91)</f>
        <v>20</v>
      </c>
      <c r="CH52" s="117">
        <f t="shared" si="26"/>
        <v>8</v>
      </c>
      <c r="CI52" s="117">
        <f t="shared" si="26"/>
        <v>11</v>
      </c>
      <c r="CJ52" s="117">
        <f t="shared" si="26"/>
        <v>3</v>
      </c>
      <c r="CK52" s="117">
        <f t="shared" si="26"/>
        <v>0</v>
      </c>
      <c r="CL52" s="117">
        <f t="shared" si="26"/>
        <v>0</v>
      </c>
      <c r="CM52" s="117">
        <f t="shared" si="26"/>
        <v>0</v>
      </c>
      <c r="CN52" s="117">
        <f t="shared" si="26"/>
        <v>0</v>
      </c>
      <c r="CO52" s="117">
        <f t="shared" si="26"/>
        <v>0</v>
      </c>
      <c r="CP52" s="117">
        <f t="shared" si="26"/>
        <v>0</v>
      </c>
      <c r="CQ52" s="117">
        <f t="shared" si="26"/>
        <v>0</v>
      </c>
      <c r="CR52" s="117">
        <f t="shared" si="26"/>
        <v>0</v>
      </c>
      <c r="CS52" s="109">
        <f>COUNTIF(CG52:CR52,"&gt;0")</f>
        <v>4</v>
      </c>
      <c r="CT52" s="110">
        <f>SUM(CF52+CS52)</f>
        <v>19</v>
      </c>
    </row>
    <row r="53" ht="15.75" customHeight="1">
      <c r="A53" s="146">
        <v>43.0</v>
      </c>
      <c r="B53" s="111" t="s">
        <v>137</v>
      </c>
      <c r="C53" s="112" t="s">
        <v>138</v>
      </c>
      <c r="D53" s="250">
        <f t="shared" si="6"/>
        <v>2</v>
      </c>
      <c r="E53" s="113">
        <f t="shared" ref="E53:E93" si="27">(D53)/D$52*100</f>
        <v>10.52631579</v>
      </c>
      <c r="F53" s="114">
        <f t="shared" ref="F53:F93" si="28">IF(E53&lt;50,E53, "  ")</f>
        <v>10.52631579</v>
      </c>
      <c r="G53" s="202">
        <f t="shared" ref="G53:G93" si="29">IF(E53&lt;30,E53, "  ")</f>
        <v>10.52631579</v>
      </c>
      <c r="H53" s="192"/>
      <c r="I53" s="43"/>
      <c r="J53" s="43"/>
      <c r="K53" s="116"/>
      <c r="L53" s="116"/>
      <c r="M53" s="118">
        <f t="shared" ref="M53:M93" si="30">SUM(H53:L53)</f>
        <v>0</v>
      </c>
      <c r="N53" s="119">
        <f t="shared" ref="N53:N93" si="31">M53/M$52*100</f>
        <v>0</v>
      </c>
      <c r="O53" s="176"/>
      <c r="P53" s="179"/>
      <c r="Q53" s="179"/>
      <c r="R53" s="179"/>
      <c r="S53" s="179"/>
      <c r="T53" s="179"/>
      <c r="U53" s="179"/>
      <c r="V53" s="179"/>
      <c r="W53" s="179"/>
      <c r="X53" s="179"/>
      <c r="Y53" s="184">
        <v>1.0</v>
      </c>
      <c r="Z53" s="179"/>
      <c r="AA53" s="179"/>
      <c r="AB53" s="179"/>
      <c r="AC53" s="179"/>
      <c r="AD53" s="179"/>
      <c r="AE53" s="179"/>
      <c r="AF53" s="176"/>
      <c r="AG53" s="176"/>
      <c r="AH53" s="176"/>
      <c r="AI53" s="176"/>
      <c r="AJ53" s="251">
        <f t="shared" ref="AJ53:AJ93" si="32">SUM(O53:AI53)</f>
        <v>1</v>
      </c>
      <c r="AK53" s="169">
        <f t="shared" ref="AK53:AK93" si="33">AJ53/AJ$52*100</f>
        <v>25</v>
      </c>
      <c r="AL53" s="183"/>
      <c r="AM53" s="179"/>
      <c r="AN53" s="179"/>
      <c r="AO53" s="179"/>
      <c r="AP53" s="179"/>
      <c r="AQ53" s="179"/>
      <c r="AR53" s="179"/>
      <c r="AS53" s="179"/>
      <c r="AT53" s="179"/>
      <c r="AU53" s="179"/>
      <c r="AV53" s="179"/>
      <c r="AW53" s="179"/>
      <c r="AX53" s="179"/>
      <c r="AY53" s="179"/>
      <c r="AZ53" s="179"/>
      <c r="BA53" s="179"/>
      <c r="BB53" s="179"/>
      <c r="BC53" s="179"/>
      <c r="BD53" s="179"/>
      <c r="BE53" s="179"/>
      <c r="BF53" s="179"/>
      <c r="BG53" s="118">
        <f t="shared" ref="BG53:BG93" si="34">SUM(AL53:BF53)</f>
        <v>0</v>
      </c>
      <c r="BH53" s="122">
        <f t="shared" ref="BH53:BH93" si="35">BG53/BG$52*100</f>
        <v>0</v>
      </c>
      <c r="BI53" s="176"/>
      <c r="BJ53" s="179"/>
      <c r="BK53" s="179"/>
      <c r="BL53" s="179"/>
      <c r="BM53" s="179"/>
      <c r="BN53" s="179"/>
      <c r="BO53" s="179"/>
      <c r="BP53" s="179"/>
      <c r="BQ53" s="179"/>
      <c r="BR53" s="179"/>
      <c r="BS53" s="179"/>
      <c r="BT53" s="179"/>
      <c r="BU53" s="185"/>
      <c r="BV53" s="184">
        <v>1.0</v>
      </c>
      <c r="BW53" s="186"/>
      <c r="BX53" s="186"/>
      <c r="BY53" s="186"/>
      <c r="BZ53" s="186"/>
      <c r="CA53" s="186"/>
      <c r="CB53" s="186"/>
      <c r="CC53" s="186"/>
      <c r="CD53" s="186"/>
      <c r="CE53" s="172">
        <f t="shared" ref="CE53:CE93" si="36">SUM(BI53:CD53)</f>
        <v>1</v>
      </c>
      <c r="CF53" s="173">
        <f t="shared" ref="CF53:CF93" si="37">CE53/CE$9*100</f>
        <v>12.5</v>
      </c>
      <c r="CG53" s="199"/>
      <c r="CH53" s="186"/>
      <c r="CI53" s="186"/>
      <c r="CJ53" s="186"/>
      <c r="CK53" s="186"/>
      <c r="CL53" s="186"/>
      <c r="CM53" s="186"/>
      <c r="CN53" s="186"/>
      <c r="CO53" s="186"/>
      <c r="CP53" s="186"/>
      <c r="CQ53" s="186"/>
      <c r="CR53" s="186"/>
      <c r="CS53" s="175">
        <f t="shared" ref="CS53:CS93" si="38">SUM(CG53:CR53)</f>
        <v>0</v>
      </c>
      <c r="CT53" s="158">
        <f t="shared" ref="CT53:CT93" si="39">CS53/CS$9*100</f>
        <v>0</v>
      </c>
    </row>
    <row r="54" ht="15.75" customHeight="1">
      <c r="A54" s="131">
        <v>44.0</v>
      </c>
      <c r="B54" s="111" t="s">
        <v>139</v>
      </c>
      <c r="C54" s="112" t="s">
        <v>140</v>
      </c>
      <c r="D54" s="250">
        <f t="shared" si="6"/>
        <v>9</v>
      </c>
      <c r="E54" s="113">
        <f t="shared" si="27"/>
        <v>47.36842105</v>
      </c>
      <c r="F54" s="114">
        <f t="shared" si="28"/>
        <v>47.36842105</v>
      </c>
      <c r="G54" s="164" t="str">
        <f t="shared" si="29"/>
        <v>  </v>
      </c>
      <c r="H54" s="183"/>
      <c r="I54" s="228"/>
      <c r="J54" s="207"/>
      <c r="K54" s="179"/>
      <c r="L54" s="179"/>
      <c r="M54" s="118">
        <f t="shared" si="30"/>
        <v>0</v>
      </c>
      <c r="N54" s="119">
        <f t="shared" si="31"/>
        <v>0</v>
      </c>
      <c r="O54" s="176"/>
      <c r="P54" s="179"/>
      <c r="Q54" s="179"/>
      <c r="R54" s="179"/>
      <c r="S54" s="179"/>
      <c r="T54" s="179"/>
      <c r="U54" s="179"/>
      <c r="V54" s="179"/>
      <c r="W54" s="179"/>
      <c r="X54" s="179"/>
      <c r="Y54" s="184">
        <v>1.0</v>
      </c>
      <c r="Z54" s="184">
        <v>1.0</v>
      </c>
      <c r="AA54" s="179"/>
      <c r="AB54" s="179"/>
      <c r="AC54" s="179"/>
      <c r="AD54" s="179"/>
      <c r="AE54" s="179"/>
      <c r="AF54" s="176"/>
      <c r="AG54" s="176"/>
      <c r="AH54" s="176"/>
      <c r="AI54" s="176"/>
      <c r="AJ54" s="251">
        <f t="shared" si="32"/>
        <v>2</v>
      </c>
      <c r="AK54" s="169">
        <f t="shared" si="33"/>
        <v>50</v>
      </c>
      <c r="AL54" s="279">
        <v>1.0</v>
      </c>
      <c r="AM54" s="179"/>
      <c r="AN54" s="184">
        <v>1.0</v>
      </c>
      <c r="AO54" s="179"/>
      <c r="AP54" s="179"/>
      <c r="AQ54" s="184">
        <v>1.0</v>
      </c>
      <c r="AR54" s="179"/>
      <c r="AS54" s="184">
        <v>1.0</v>
      </c>
      <c r="AT54" s="179"/>
      <c r="AU54" s="179"/>
      <c r="AV54" s="179"/>
      <c r="AW54" s="179"/>
      <c r="AX54" s="179"/>
      <c r="AY54" s="179"/>
      <c r="AZ54" s="179"/>
      <c r="BA54" s="179"/>
      <c r="BB54" s="179"/>
      <c r="BC54" s="179"/>
      <c r="BD54" s="179"/>
      <c r="BE54" s="179"/>
      <c r="BF54" s="179"/>
      <c r="BG54" s="118">
        <f t="shared" si="34"/>
        <v>4</v>
      </c>
      <c r="BH54" s="122">
        <f t="shared" si="35"/>
        <v>80</v>
      </c>
      <c r="BI54" s="176"/>
      <c r="BJ54" s="179"/>
      <c r="BK54" s="179"/>
      <c r="BL54" s="179"/>
      <c r="BM54" s="179"/>
      <c r="BN54" s="179"/>
      <c r="BO54" s="184">
        <v>1.0</v>
      </c>
      <c r="BP54" s="179"/>
      <c r="BQ54" s="179"/>
      <c r="BR54" s="179"/>
      <c r="BS54" s="179"/>
      <c r="BT54" s="179"/>
      <c r="BU54" s="198"/>
      <c r="BV54" s="184">
        <v>1.0</v>
      </c>
      <c r="BW54" s="186"/>
      <c r="BX54" s="186"/>
      <c r="BY54" s="186"/>
      <c r="BZ54" s="186"/>
      <c r="CA54" s="186"/>
      <c r="CB54" s="186"/>
      <c r="CC54" s="186"/>
      <c r="CD54" s="186"/>
      <c r="CE54" s="172">
        <f t="shared" si="36"/>
        <v>2</v>
      </c>
      <c r="CF54" s="173">
        <f t="shared" si="37"/>
        <v>25</v>
      </c>
      <c r="CG54" s="189">
        <v>1.0</v>
      </c>
      <c r="CH54" s="186"/>
      <c r="CI54" s="186"/>
      <c r="CJ54" s="186"/>
      <c r="CK54" s="186"/>
      <c r="CL54" s="186"/>
      <c r="CM54" s="186"/>
      <c r="CN54" s="186"/>
      <c r="CO54" s="186"/>
      <c r="CP54" s="186"/>
      <c r="CQ54" s="186"/>
      <c r="CR54" s="186"/>
      <c r="CS54" s="175">
        <f t="shared" si="38"/>
        <v>1</v>
      </c>
      <c r="CT54" s="158">
        <f t="shared" si="39"/>
        <v>33.33333333</v>
      </c>
    </row>
    <row r="55" ht="15.75" customHeight="1">
      <c r="A55" s="146">
        <v>45.0</v>
      </c>
      <c r="B55" s="111" t="s">
        <v>141</v>
      </c>
      <c r="C55" s="112" t="s">
        <v>142</v>
      </c>
      <c r="D55" s="250">
        <f t="shared" si="6"/>
        <v>6</v>
      </c>
      <c r="E55" s="113">
        <f t="shared" si="27"/>
        <v>31.57894737</v>
      </c>
      <c r="F55" s="114">
        <f t="shared" si="28"/>
        <v>31.57894737</v>
      </c>
      <c r="G55" s="164" t="str">
        <f t="shared" si="29"/>
        <v>  </v>
      </c>
      <c r="H55" s="183"/>
      <c r="I55" s="186"/>
      <c r="J55" s="179"/>
      <c r="K55" s="179"/>
      <c r="L55" s="179"/>
      <c r="M55" s="118">
        <f t="shared" si="30"/>
        <v>0</v>
      </c>
      <c r="N55" s="119">
        <f t="shared" si="31"/>
        <v>0</v>
      </c>
      <c r="O55" s="195"/>
      <c r="P55" s="186"/>
      <c r="Q55" s="186"/>
      <c r="R55" s="186"/>
      <c r="S55" s="186"/>
      <c r="T55" s="186"/>
      <c r="U55" s="186"/>
      <c r="V55" s="186"/>
      <c r="W55" s="186"/>
      <c r="X55" s="186"/>
      <c r="Y55" s="200">
        <v>1.0</v>
      </c>
      <c r="Z55" s="200">
        <v>1.0</v>
      </c>
      <c r="AA55" s="186"/>
      <c r="AB55" s="186"/>
      <c r="AC55" s="186"/>
      <c r="AD55" s="186"/>
      <c r="AE55" s="186"/>
      <c r="AF55" s="195"/>
      <c r="AG55" s="195"/>
      <c r="AH55" s="195"/>
      <c r="AI55" s="195"/>
      <c r="AJ55" s="251">
        <f t="shared" si="32"/>
        <v>2</v>
      </c>
      <c r="AK55" s="169">
        <f t="shared" si="33"/>
        <v>50</v>
      </c>
      <c r="AL55" s="199"/>
      <c r="AM55" s="186"/>
      <c r="AN55" s="186"/>
      <c r="AO55" s="186"/>
      <c r="AP55" s="186"/>
      <c r="AQ55" s="186"/>
      <c r="AR55" s="186"/>
      <c r="AS55" s="200">
        <v>1.0</v>
      </c>
      <c r="AT55" s="186"/>
      <c r="AU55" s="186"/>
      <c r="AV55" s="200">
        <v>1.0</v>
      </c>
      <c r="AW55" s="186"/>
      <c r="AX55" s="186"/>
      <c r="AY55" s="186"/>
      <c r="AZ55" s="186"/>
      <c r="BA55" s="186"/>
      <c r="BB55" s="186"/>
      <c r="BC55" s="186"/>
      <c r="BD55" s="186"/>
      <c r="BE55" s="186"/>
      <c r="BF55" s="186"/>
      <c r="BG55" s="118">
        <f t="shared" si="34"/>
        <v>2</v>
      </c>
      <c r="BH55" s="122">
        <f t="shared" si="35"/>
        <v>40</v>
      </c>
      <c r="BI55" s="195"/>
      <c r="BJ55" s="186"/>
      <c r="BK55" s="186"/>
      <c r="BL55" s="186"/>
      <c r="BM55" s="186"/>
      <c r="BN55" s="186"/>
      <c r="BO55" s="200">
        <v>1.0</v>
      </c>
      <c r="BP55" s="186"/>
      <c r="BQ55" s="186"/>
      <c r="BR55" s="186"/>
      <c r="BS55" s="186"/>
      <c r="BT55" s="186"/>
      <c r="BU55" s="252"/>
      <c r="BV55" s="186"/>
      <c r="BW55" s="186"/>
      <c r="BX55" s="186"/>
      <c r="BY55" s="186"/>
      <c r="BZ55" s="186"/>
      <c r="CA55" s="186"/>
      <c r="CB55" s="200">
        <v>1.0</v>
      </c>
      <c r="CC55" s="186"/>
      <c r="CD55" s="186"/>
      <c r="CE55" s="172">
        <f t="shared" si="36"/>
        <v>2</v>
      </c>
      <c r="CF55" s="173">
        <f t="shared" si="37"/>
        <v>25</v>
      </c>
      <c r="CG55" s="199"/>
      <c r="CH55" s="186"/>
      <c r="CI55" s="186"/>
      <c r="CJ55" s="186"/>
      <c r="CK55" s="186"/>
      <c r="CL55" s="186"/>
      <c r="CM55" s="186"/>
      <c r="CN55" s="186"/>
      <c r="CO55" s="186"/>
      <c r="CP55" s="186"/>
      <c r="CQ55" s="186"/>
      <c r="CR55" s="186"/>
      <c r="CS55" s="175">
        <f t="shared" si="38"/>
        <v>0</v>
      </c>
      <c r="CT55" s="158">
        <f t="shared" si="39"/>
        <v>0</v>
      </c>
    </row>
    <row r="56" ht="15.75" customHeight="1">
      <c r="A56" s="146">
        <v>46.0</v>
      </c>
      <c r="B56" s="111" t="s">
        <v>143</v>
      </c>
      <c r="C56" s="112" t="s">
        <v>144</v>
      </c>
      <c r="D56" s="250">
        <f t="shared" si="6"/>
        <v>6</v>
      </c>
      <c r="E56" s="113">
        <f t="shared" si="27"/>
        <v>31.57894737</v>
      </c>
      <c r="F56" s="114">
        <f t="shared" si="28"/>
        <v>31.57894737</v>
      </c>
      <c r="G56" s="164" t="str">
        <f t="shared" si="29"/>
        <v>  </v>
      </c>
      <c r="H56" s="183"/>
      <c r="I56" s="179"/>
      <c r="J56" s="179"/>
      <c r="K56" s="207"/>
      <c r="L56" s="207"/>
      <c r="M56" s="118">
        <f t="shared" si="30"/>
        <v>0</v>
      </c>
      <c r="N56" s="119">
        <f t="shared" si="31"/>
        <v>0</v>
      </c>
      <c r="O56" s="206"/>
      <c r="P56" s="207"/>
      <c r="Q56" s="207"/>
      <c r="R56" s="207"/>
      <c r="S56" s="207"/>
      <c r="T56" s="207"/>
      <c r="U56" s="207"/>
      <c r="V56" s="207"/>
      <c r="W56" s="207"/>
      <c r="X56" s="207"/>
      <c r="Y56" s="234">
        <v>1.0</v>
      </c>
      <c r="Z56" s="207"/>
      <c r="AA56" s="207"/>
      <c r="AB56" s="234">
        <v>1.0</v>
      </c>
      <c r="AC56" s="207"/>
      <c r="AD56" s="207"/>
      <c r="AE56" s="207"/>
      <c r="AF56" s="206"/>
      <c r="AG56" s="206"/>
      <c r="AH56" s="206"/>
      <c r="AI56" s="206"/>
      <c r="AJ56" s="251">
        <f t="shared" si="32"/>
        <v>2</v>
      </c>
      <c r="AK56" s="169">
        <f t="shared" si="33"/>
        <v>50</v>
      </c>
      <c r="AL56" s="212"/>
      <c r="AM56" s="207"/>
      <c r="AN56" s="234">
        <v>1.0</v>
      </c>
      <c r="AO56" s="207"/>
      <c r="AP56" s="207"/>
      <c r="AQ56" s="207"/>
      <c r="AR56" s="207"/>
      <c r="AS56" s="207"/>
      <c r="AT56" s="207"/>
      <c r="AU56" s="207"/>
      <c r="AV56" s="207"/>
      <c r="AW56" s="207"/>
      <c r="AX56" s="207"/>
      <c r="AY56" s="207"/>
      <c r="AZ56" s="207"/>
      <c r="BA56" s="207"/>
      <c r="BB56" s="207"/>
      <c r="BC56" s="207"/>
      <c r="BD56" s="207"/>
      <c r="BE56" s="207"/>
      <c r="BF56" s="207"/>
      <c r="BG56" s="118">
        <f t="shared" si="34"/>
        <v>1</v>
      </c>
      <c r="BH56" s="122">
        <f t="shared" si="35"/>
        <v>20</v>
      </c>
      <c r="BI56" s="206"/>
      <c r="BJ56" s="207"/>
      <c r="BK56" s="207"/>
      <c r="BL56" s="207"/>
      <c r="BM56" s="207"/>
      <c r="BN56" s="207"/>
      <c r="BO56" s="234">
        <v>1.0</v>
      </c>
      <c r="BP56" s="207"/>
      <c r="BQ56" s="207"/>
      <c r="BR56" s="207"/>
      <c r="BS56" s="207"/>
      <c r="BT56" s="207"/>
      <c r="BU56" s="253"/>
      <c r="BV56" s="234">
        <v>1.0</v>
      </c>
      <c r="BW56" s="186"/>
      <c r="BX56" s="186"/>
      <c r="BY56" s="186"/>
      <c r="BZ56" s="186"/>
      <c r="CA56" s="186"/>
      <c r="CB56" s="200">
        <v>1.0</v>
      </c>
      <c r="CC56" s="186"/>
      <c r="CD56" s="186"/>
      <c r="CE56" s="172">
        <f t="shared" si="36"/>
        <v>3</v>
      </c>
      <c r="CF56" s="173">
        <f t="shared" si="37"/>
        <v>37.5</v>
      </c>
      <c r="CG56" s="199"/>
      <c r="CH56" s="186"/>
      <c r="CI56" s="186"/>
      <c r="CJ56" s="186"/>
      <c r="CK56" s="186"/>
      <c r="CL56" s="186"/>
      <c r="CM56" s="186"/>
      <c r="CN56" s="186"/>
      <c r="CO56" s="186"/>
      <c r="CP56" s="186"/>
      <c r="CQ56" s="186"/>
      <c r="CR56" s="186"/>
      <c r="CS56" s="175">
        <f t="shared" si="38"/>
        <v>0</v>
      </c>
      <c r="CT56" s="158">
        <f t="shared" si="39"/>
        <v>0</v>
      </c>
    </row>
    <row r="57" ht="15.75" customHeight="1">
      <c r="A57" s="131">
        <v>47.0</v>
      </c>
      <c r="B57" s="111" t="s">
        <v>145</v>
      </c>
      <c r="C57" s="112" t="s">
        <v>146</v>
      </c>
      <c r="D57" s="250">
        <f t="shared" si="6"/>
        <v>12</v>
      </c>
      <c r="E57" s="113">
        <f t="shared" si="27"/>
        <v>63.15789474</v>
      </c>
      <c r="F57" s="114" t="str">
        <f t="shared" si="28"/>
        <v>  </v>
      </c>
      <c r="G57" s="164" t="str">
        <f t="shared" si="29"/>
        <v>  </v>
      </c>
      <c r="H57" s="183"/>
      <c r="I57" s="207"/>
      <c r="J57" s="179"/>
      <c r="K57" s="179"/>
      <c r="L57" s="179"/>
      <c r="M57" s="118">
        <f t="shared" si="30"/>
        <v>0</v>
      </c>
      <c r="N57" s="119">
        <f t="shared" si="31"/>
        <v>0</v>
      </c>
      <c r="O57" s="227"/>
      <c r="P57" s="228"/>
      <c r="Q57" s="228"/>
      <c r="R57" s="228"/>
      <c r="S57" s="228"/>
      <c r="T57" s="228"/>
      <c r="U57" s="228"/>
      <c r="V57" s="228"/>
      <c r="W57" s="228"/>
      <c r="X57" s="228"/>
      <c r="Y57" s="233">
        <v>1.0</v>
      </c>
      <c r="Z57" s="233">
        <v>1.0</v>
      </c>
      <c r="AA57" s="228"/>
      <c r="AB57" s="233">
        <v>1.0</v>
      </c>
      <c r="AC57" s="228"/>
      <c r="AD57" s="228"/>
      <c r="AE57" s="228"/>
      <c r="AF57" s="227"/>
      <c r="AG57" s="227"/>
      <c r="AH57" s="227"/>
      <c r="AI57" s="227"/>
      <c r="AJ57" s="251">
        <f t="shared" si="32"/>
        <v>3</v>
      </c>
      <c r="AK57" s="169">
        <f t="shared" si="33"/>
        <v>75</v>
      </c>
      <c r="AL57" s="284">
        <v>1.0</v>
      </c>
      <c r="AM57" s="228"/>
      <c r="AN57" s="228"/>
      <c r="AO57" s="228"/>
      <c r="AP57" s="228"/>
      <c r="AQ57" s="228"/>
      <c r="AR57" s="228"/>
      <c r="AS57" s="233">
        <v>1.0</v>
      </c>
      <c r="AT57" s="228"/>
      <c r="AU57" s="228"/>
      <c r="AV57" s="228"/>
      <c r="AW57" s="228"/>
      <c r="AX57" s="228"/>
      <c r="AY57" s="228"/>
      <c r="AZ57" s="228"/>
      <c r="BA57" s="228"/>
      <c r="BB57" s="228"/>
      <c r="BC57" s="228"/>
      <c r="BD57" s="228"/>
      <c r="BE57" s="228"/>
      <c r="BF57" s="228"/>
      <c r="BG57" s="118">
        <f t="shared" si="34"/>
        <v>2</v>
      </c>
      <c r="BH57" s="122">
        <f t="shared" si="35"/>
        <v>40</v>
      </c>
      <c r="BI57" s="227"/>
      <c r="BJ57" s="228"/>
      <c r="BK57" s="228"/>
      <c r="BL57" s="228"/>
      <c r="BM57" s="228"/>
      <c r="BN57" s="228"/>
      <c r="BO57" s="233">
        <v>1.0</v>
      </c>
      <c r="BP57" s="228"/>
      <c r="BQ57" s="228"/>
      <c r="BR57" s="228"/>
      <c r="BS57" s="228"/>
      <c r="BT57" s="228"/>
      <c r="BU57" s="185"/>
      <c r="BV57" s="233">
        <v>1.0</v>
      </c>
      <c r="BW57" s="200">
        <v>1.0</v>
      </c>
      <c r="BX57" s="186"/>
      <c r="BY57" s="186"/>
      <c r="BZ57" s="186"/>
      <c r="CA57" s="186"/>
      <c r="CB57" s="200">
        <v>1.0</v>
      </c>
      <c r="CC57" s="186"/>
      <c r="CD57" s="186"/>
      <c r="CE57" s="172">
        <f t="shared" si="36"/>
        <v>4</v>
      </c>
      <c r="CF57" s="173">
        <f t="shared" si="37"/>
        <v>50</v>
      </c>
      <c r="CG57" s="199"/>
      <c r="CH57" s="200">
        <v>1.0</v>
      </c>
      <c r="CI57" s="200">
        <v>1.0</v>
      </c>
      <c r="CJ57" s="200">
        <v>1.0</v>
      </c>
      <c r="CK57" s="186"/>
      <c r="CL57" s="186"/>
      <c r="CM57" s="186"/>
      <c r="CN57" s="186"/>
      <c r="CO57" s="186"/>
      <c r="CP57" s="186"/>
      <c r="CQ57" s="186"/>
      <c r="CR57" s="186"/>
      <c r="CS57" s="175">
        <f t="shared" si="38"/>
        <v>3</v>
      </c>
      <c r="CT57" s="158">
        <f t="shared" si="39"/>
        <v>100</v>
      </c>
    </row>
    <row r="58" ht="15.75" customHeight="1">
      <c r="A58" s="146">
        <v>48.0</v>
      </c>
      <c r="B58" s="111" t="s">
        <v>147</v>
      </c>
      <c r="C58" s="112" t="s">
        <v>148</v>
      </c>
      <c r="D58" s="250">
        <f t="shared" si="6"/>
        <v>6</v>
      </c>
      <c r="E58" s="113">
        <f t="shared" si="27"/>
        <v>31.57894737</v>
      </c>
      <c r="F58" s="114">
        <f t="shared" si="28"/>
        <v>31.57894737</v>
      </c>
      <c r="G58" s="202" t="str">
        <f t="shared" si="29"/>
        <v>  </v>
      </c>
      <c r="H58" s="183"/>
      <c r="I58" s="179"/>
      <c r="J58" s="179"/>
      <c r="K58" s="179"/>
      <c r="L58" s="179"/>
      <c r="M58" s="118">
        <f t="shared" si="30"/>
        <v>0</v>
      </c>
      <c r="N58" s="119">
        <f t="shared" si="31"/>
        <v>0</v>
      </c>
      <c r="O58" s="176"/>
      <c r="P58" s="179"/>
      <c r="Q58" s="179"/>
      <c r="R58" s="179"/>
      <c r="S58" s="179"/>
      <c r="T58" s="179"/>
      <c r="U58" s="179"/>
      <c r="V58" s="179"/>
      <c r="W58" s="179"/>
      <c r="X58" s="179"/>
      <c r="Y58" s="184">
        <v>1.0</v>
      </c>
      <c r="Z58" s="184">
        <v>1.0</v>
      </c>
      <c r="AA58" s="179"/>
      <c r="AB58" s="184">
        <v>1.0</v>
      </c>
      <c r="AC58" s="179"/>
      <c r="AD58" s="179"/>
      <c r="AE58" s="179"/>
      <c r="AF58" s="176"/>
      <c r="AG58" s="176"/>
      <c r="AH58" s="176"/>
      <c r="AI58" s="176"/>
      <c r="AJ58" s="251">
        <f t="shared" si="32"/>
        <v>3</v>
      </c>
      <c r="AK58" s="169">
        <f t="shared" si="33"/>
        <v>75</v>
      </c>
      <c r="AL58" s="183"/>
      <c r="AM58" s="179"/>
      <c r="AN58" s="179"/>
      <c r="AO58" s="179"/>
      <c r="AP58" s="179"/>
      <c r="AQ58" s="179"/>
      <c r="AR58" s="179"/>
      <c r="AS58" s="179"/>
      <c r="AT58" s="179"/>
      <c r="AU58" s="179"/>
      <c r="AV58" s="179"/>
      <c r="AW58" s="179"/>
      <c r="AX58" s="179"/>
      <c r="AY58" s="179"/>
      <c r="AZ58" s="179"/>
      <c r="BA58" s="179"/>
      <c r="BB58" s="179"/>
      <c r="BC58" s="179"/>
      <c r="BD58" s="179"/>
      <c r="BE58" s="179"/>
      <c r="BF58" s="179"/>
      <c r="BG58" s="118">
        <f t="shared" si="34"/>
        <v>0</v>
      </c>
      <c r="BH58" s="122">
        <f t="shared" si="35"/>
        <v>0</v>
      </c>
      <c r="BI58" s="176"/>
      <c r="BJ58" s="179"/>
      <c r="BK58" s="179"/>
      <c r="BL58" s="179"/>
      <c r="BM58" s="179"/>
      <c r="BN58" s="179"/>
      <c r="BO58" s="184">
        <v>1.0</v>
      </c>
      <c r="BP58" s="179"/>
      <c r="BQ58" s="179"/>
      <c r="BR58" s="179"/>
      <c r="BS58" s="179"/>
      <c r="BT58" s="179"/>
      <c r="BU58" s="185"/>
      <c r="BV58" s="184">
        <v>1.0</v>
      </c>
      <c r="BW58" s="186"/>
      <c r="BX58" s="186"/>
      <c r="BY58" s="186"/>
      <c r="BZ58" s="186"/>
      <c r="CA58" s="186"/>
      <c r="CB58" s="186"/>
      <c r="CC58" s="186"/>
      <c r="CD58" s="186"/>
      <c r="CE58" s="172">
        <f t="shared" si="36"/>
        <v>2</v>
      </c>
      <c r="CF58" s="173">
        <f t="shared" si="37"/>
        <v>25</v>
      </c>
      <c r="CG58" s="189">
        <v>1.0</v>
      </c>
      <c r="CH58" s="186"/>
      <c r="CI58" s="186"/>
      <c r="CJ58" s="186"/>
      <c r="CK58" s="186"/>
      <c r="CL58" s="186"/>
      <c r="CM58" s="186"/>
      <c r="CN58" s="186"/>
      <c r="CO58" s="186"/>
      <c r="CP58" s="186"/>
      <c r="CQ58" s="186"/>
      <c r="CR58" s="186"/>
      <c r="CS58" s="175">
        <f t="shared" si="38"/>
        <v>1</v>
      </c>
      <c r="CT58" s="158">
        <f t="shared" si="39"/>
        <v>33.33333333</v>
      </c>
    </row>
    <row r="59" ht="15.75" customHeight="1">
      <c r="A59" s="146">
        <v>49.0</v>
      </c>
      <c r="B59" s="111" t="s">
        <v>149</v>
      </c>
      <c r="C59" s="112" t="s">
        <v>150</v>
      </c>
      <c r="D59" s="250">
        <f t="shared" si="6"/>
        <v>7</v>
      </c>
      <c r="E59" s="113">
        <f t="shared" si="27"/>
        <v>36.84210526</v>
      </c>
      <c r="F59" s="114">
        <f t="shared" si="28"/>
        <v>36.84210526</v>
      </c>
      <c r="G59" s="164" t="str">
        <f t="shared" si="29"/>
        <v>  </v>
      </c>
      <c r="H59" s="183"/>
      <c r="I59" s="179"/>
      <c r="J59" s="179"/>
      <c r="K59" s="179"/>
      <c r="L59" s="179"/>
      <c r="M59" s="118">
        <f t="shared" si="30"/>
        <v>0</v>
      </c>
      <c r="N59" s="119">
        <f t="shared" si="31"/>
        <v>0</v>
      </c>
      <c r="O59" s="176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Z59" s="179"/>
      <c r="AA59" s="179"/>
      <c r="AB59" s="179"/>
      <c r="AC59" s="179"/>
      <c r="AD59" s="179"/>
      <c r="AE59" s="179"/>
      <c r="AF59" s="176"/>
      <c r="AG59" s="176"/>
      <c r="AH59" s="176"/>
      <c r="AI59" s="176"/>
      <c r="AJ59" s="251">
        <f t="shared" si="32"/>
        <v>0</v>
      </c>
      <c r="AK59" s="169">
        <f t="shared" si="33"/>
        <v>0</v>
      </c>
      <c r="AL59" s="183"/>
      <c r="AM59" s="179"/>
      <c r="AN59" s="184">
        <v>1.0</v>
      </c>
      <c r="AO59" s="179"/>
      <c r="AP59" s="179"/>
      <c r="AQ59" s="179"/>
      <c r="AR59" s="179"/>
      <c r="AS59" s="184">
        <v>1.0</v>
      </c>
      <c r="AT59" s="179"/>
      <c r="AU59" s="179"/>
      <c r="AV59" s="179"/>
      <c r="AW59" s="179"/>
      <c r="AX59" s="179"/>
      <c r="AY59" s="179"/>
      <c r="AZ59" s="179"/>
      <c r="BA59" s="179"/>
      <c r="BB59" s="179"/>
      <c r="BC59" s="179"/>
      <c r="BD59" s="179"/>
      <c r="BE59" s="179"/>
      <c r="BF59" s="179"/>
      <c r="BG59" s="118">
        <f t="shared" si="34"/>
        <v>2</v>
      </c>
      <c r="BH59" s="122">
        <f t="shared" si="35"/>
        <v>40</v>
      </c>
      <c r="BI59" s="176"/>
      <c r="BJ59" s="179"/>
      <c r="BK59" s="179"/>
      <c r="BL59" s="179"/>
      <c r="BM59" s="179"/>
      <c r="BN59" s="179"/>
      <c r="BO59" s="184">
        <v>1.0</v>
      </c>
      <c r="BP59" s="179"/>
      <c r="BQ59" s="179"/>
      <c r="BR59" s="179"/>
      <c r="BS59" s="179"/>
      <c r="BT59" s="179"/>
      <c r="BU59" s="185"/>
      <c r="BV59" s="184">
        <v>1.0</v>
      </c>
      <c r="BW59" s="200">
        <v>1.0</v>
      </c>
      <c r="BX59" s="186"/>
      <c r="BY59" s="186"/>
      <c r="BZ59" s="186"/>
      <c r="CA59" s="186"/>
      <c r="CB59" s="200">
        <v>1.0</v>
      </c>
      <c r="CC59" s="186"/>
      <c r="CD59" s="186"/>
      <c r="CE59" s="172">
        <f t="shared" si="36"/>
        <v>4</v>
      </c>
      <c r="CF59" s="173">
        <f t="shared" si="37"/>
        <v>50</v>
      </c>
      <c r="CG59" s="189">
        <v>1.0</v>
      </c>
      <c r="CH59" s="186"/>
      <c r="CI59" s="186"/>
      <c r="CJ59" s="186"/>
      <c r="CK59" s="186"/>
      <c r="CL59" s="186"/>
      <c r="CM59" s="186"/>
      <c r="CN59" s="186"/>
      <c r="CO59" s="186"/>
      <c r="CP59" s="186"/>
      <c r="CQ59" s="186"/>
      <c r="CR59" s="186"/>
      <c r="CS59" s="175">
        <f t="shared" si="38"/>
        <v>1</v>
      </c>
      <c r="CT59" s="158">
        <f t="shared" si="39"/>
        <v>33.33333333</v>
      </c>
    </row>
    <row r="60" ht="15.75" customHeight="1">
      <c r="A60" s="131">
        <v>50.0</v>
      </c>
      <c r="B60" s="111" t="s">
        <v>151</v>
      </c>
      <c r="C60" s="112" t="s">
        <v>152</v>
      </c>
      <c r="D60" s="250">
        <f t="shared" si="6"/>
        <v>14</v>
      </c>
      <c r="E60" s="113">
        <f t="shared" si="27"/>
        <v>73.68421053</v>
      </c>
      <c r="F60" s="114" t="str">
        <f t="shared" si="28"/>
        <v>  </v>
      </c>
      <c r="G60" s="164" t="str">
        <f t="shared" si="29"/>
        <v>  </v>
      </c>
      <c r="H60" s="212"/>
      <c r="I60" s="179"/>
      <c r="J60" s="207"/>
      <c r="K60" s="179"/>
      <c r="L60" s="179"/>
      <c r="M60" s="118">
        <f t="shared" si="30"/>
        <v>0</v>
      </c>
      <c r="N60" s="119">
        <f t="shared" si="31"/>
        <v>0</v>
      </c>
      <c r="O60" s="176"/>
      <c r="P60" s="179"/>
      <c r="Q60" s="179"/>
      <c r="R60" s="179"/>
      <c r="S60" s="179"/>
      <c r="T60" s="179"/>
      <c r="U60" s="179"/>
      <c r="V60" s="179"/>
      <c r="W60" s="179"/>
      <c r="X60" s="179"/>
      <c r="Y60" s="184">
        <v>1.0</v>
      </c>
      <c r="Z60" s="184">
        <v>1.0</v>
      </c>
      <c r="AA60" s="179"/>
      <c r="AB60" s="184">
        <v>1.0</v>
      </c>
      <c r="AC60" s="179"/>
      <c r="AD60" s="179"/>
      <c r="AE60" s="184">
        <v>1.0</v>
      </c>
      <c r="AF60" s="176"/>
      <c r="AG60" s="176"/>
      <c r="AH60" s="176"/>
      <c r="AI60" s="176"/>
      <c r="AJ60" s="251">
        <f t="shared" si="32"/>
        <v>4</v>
      </c>
      <c r="AK60" s="169">
        <f t="shared" si="33"/>
        <v>100</v>
      </c>
      <c r="AL60" s="183"/>
      <c r="AM60" s="179"/>
      <c r="AN60" s="179"/>
      <c r="AO60" s="179"/>
      <c r="AP60" s="179"/>
      <c r="AQ60" s="184">
        <v>1.0</v>
      </c>
      <c r="AR60" s="179"/>
      <c r="AS60" s="184">
        <v>1.0</v>
      </c>
      <c r="AT60" s="179"/>
      <c r="AU60" s="179"/>
      <c r="AV60" s="184">
        <v>1.0</v>
      </c>
      <c r="AW60" s="179"/>
      <c r="AX60" s="179"/>
      <c r="AY60" s="179"/>
      <c r="AZ60" s="179"/>
      <c r="BA60" s="179"/>
      <c r="BB60" s="179"/>
      <c r="BC60" s="179"/>
      <c r="BD60" s="179"/>
      <c r="BE60" s="179"/>
      <c r="BF60" s="179"/>
      <c r="BG60" s="118">
        <f t="shared" si="34"/>
        <v>3</v>
      </c>
      <c r="BH60" s="122">
        <f t="shared" si="35"/>
        <v>60</v>
      </c>
      <c r="BI60" s="176"/>
      <c r="BJ60" s="179"/>
      <c r="BK60" s="179"/>
      <c r="BL60" s="179"/>
      <c r="BM60" s="179"/>
      <c r="BN60" s="179"/>
      <c r="BO60" s="184">
        <v>1.0</v>
      </c>
      <c r="BP60" s="179"/>
      <c r="BQ60" s="179"/>
      <c r="BR60" s="184">
        <v>1.0</v>
      </c>
      <c r="BS60" s="179"/>
      <c r="BT60" s="179"/>
      <c r="BU60" s="185"/>
      <c r="BV60" s="184">
        <v>1.0</v>
      </c>
      <c r="BW60" s="200">
        <v>1.0</v>
      </c>
      <c r="BX60" s="186"/>
      <c r="BY60" s="186"/>
      <c r="BZ60" s="186"/>
      <c r="CA60" s="186"/>
      <c r="CB60" s="200">
        <v>1.0</v>
      </c>
      <c r="CC60" s="186"/>
      <c r="CD60" s="186"/>
      <c r="CE60" s="172">
        <f t="shared" si="36"/>
        <v>5</v>
      </c>
      <c r="CF60" s="173">
        <f t="shared" si="37"/>
        <v>62.5</v>
      </c>
      <c r="CG60" s="189">
        <v>1.0</v>
      </c>
      <c r="CH60" s="186"/>
      <c r="CI60" s="200">
        <v>1.0</v>
      </c>
      <c r="CJ60" s="186"/>
      <c r="CK60" s="186"/>
      <c r="CL60" s="186"/>
      <c r="CM60" s="186"/>
      <c r="CN60" s="186"/>
      <c r="CO60" s="186"/>
      <c r="CP60" s="186"/>
      <c r="CQ60" s="186"/>
      <c r="CR60" s="186"/>
      <c r="CS60" s="175">
        <f t="shared" si="38"/>
        <v>2</v>
      </c>
      <c r="CT60" s="158">
        <f t="shared" si="39"/>
        <v>66.66666667</v>
      </c>
    </row>
    <row r="61" ht="15.75" customHeight="1">
      <c r="A61" s="146">
        <v>51.0</v>
      </c>
      <c r="B61" s="111" t="s">
        <v>153</v>
      </c>
      <c r="C61" s="112" t="s">
        <v>154</v>
      </c>
      <c r="D61" s="250">
        <f t="shared" si="6"/>
        <v>5</v>
      </c>
      <c r="E61" s="113">
        <f t="shared" si="27"/>
        <v>26.31578947</v>
      </c>
      <c r="F61" s="114">
        <f t="shared" si="28"/>
        <v>26.31578947</v>
      </c>
      <c r="G61" s="202">
        <f t="shared" si="29"/>
        <v>26.31578947</v>
      </c>
      <c r="H61" s="183"/>
      <c r="I61" s="228"/>
      <c r="J61" s="179"/>
      <c r="K61" s="179"/>
      <c r="L61" s="179"/>
      <c r="M61" s="118">
        <f t="shared" si="30"/>
        <v>0</v>
      </c>
      <c r="N61" s="119">
        <f t="shared" si="31"/>
        <v>0</v>
      </c>
      <c r="O61" s="176"/>
      <c r="P61" s="179"/>
      <c r="Q61" s="179"/>
      <c r="R61" s="179"/>
      <c r="S61" s="179"/>
      <c r="T61" s="179"/>
      <c r="U61" s="179"/>
      <c r="V61" s="179"/>
      <c r="W61" s="179"/>
      <c r="X61" s="179"/>
      <c r="Y61" s="184">
        <v>1.0</v>
      </c>
      <c r="Z61" s="179"/>
      <c r="AA61" s="179"/>
      <c r="AB61" s="179"/>
      <c r="AC61" s="179"/>
      <c r="AD61" s="179"/>
      <c r="AE61" s="179"/>
      <c r="AF61" s="176"/>
      <c r="AG61" s="176"/>
      <c r="AH61" s="176"/>
      <c r="AI61" s="176"/>
      <c r="AJ61" s="251">
        <f t="shared" si="32"/>
        <v>1</v>
      </c>
      <c r="AK61" s="169">
        <f t="shared" si="33"/>
        <v>25</v>
      </c>
      <c r="AL61" s="183"/>
      <c r="AM61" s="179"/>
      <c r="AN61" s="179"/>
      <c r="AO61" s="179"/>
      <c r="AP61" s="179"/>
      <c r="AQ61" s="179"/>
      <c r="AR61" s="179"/>
      <c r="AS61" s="184">
        <v>1.0</v>
      </c>
      <c r="AT61" s="179"/>
      <c r="AU61" s="179"/>
      <c r="AV61" s="184">
        <v>1.0</v>
      </c>
      <c r="AW61" s="179"/>
      <c r="AX61" s="179"/>
      <c r="AY61" s="179"/>
      <c r="AZ61" s="179"/>
      <c r="BA61" s="179"/>
      <c r="BB61" s="179"/>
      <c r="BC61" s="179"/>
      <c r="BD61" s="179"/>
      <c r="BE61" s="179"/>
      <c r="BF61" s="179"/>
      <c r="BG61" s="118">
        <f t="shared" si="34"/>
        <v>2</v>
      </c>
      <c r="BH61" s="122">
        <f t="shared" si="35"/>
        <v>40</v>
      </c>
      <c r="BI61" s="176"/>
      <c r="BJ61" s="179"/>
      <c r="BK61" s="179"/>
      <c r="BL61" s="179"/>
      <c r="BM61" s="179"/>
      <c r="BN61" s="179"/>
      <c r="BO61" s="179"/>
      <c r="BP61" s="179"/>
      <c r="BQ61" s="179"/>
      <c r="BR61" s="179"/>
      <c r="BS61" s="179"/>
      <c r="BT61" s="179"/>
      <c r="BU61" s="185"/>
      <c r="BV61" s="179"/>
      <c r="BW61" s="200">
        <v>1.0</v>
      </c>
      <c r="BX61" s="186"/>
      <c r="BY61" s="186"/>
      <c r="BZ61" s="200"/>
      <c r="CA61" s="186"/>
      <c r="CB61" s="186"/>
      <c r="CC61" s="186"/>
      <c r="CD61" s="186"/>
      <c r="CE61" s="172">
        <f t="shared" si="36"/>
        <v>1</v>
      </c>
      <c r="CF61" s="173">
        <f t="shared" si="37"/>
        <v>12.5</v>
      </c>
      <c r="CG61" s="199"/>
      <c r="CH61" s="186"/>
      <c r="CI61" s="200">
        <v>1.0</v>
      </c>
      <c r="CJ61" s="186"/>
      <c r="CK61" s="186"/>
      <c r="CL61" s="186"/>
      <c r="CM61" s="186"/>
      <c r="CN61" s="186"/>
      <c r="CO61" s="186"/>
      <c r="CP61" s="186"/>
      <c r="CQ61" s="186"/>
      <c r="CR61" s="186"/>
      <c r="CS61" s="175">
        <f t="shared" si="38"/>
        <v>1</v>
      </c>
      <c r="CT61" s="158">
        <f t="shared" si="39"/>
        <v>33.33333333</v>
      </c>
    </row>
    <row r="62" ht="15.75" customHeight="1">
      <c r="A62" s="146">
        <v>52.0</v>
      </c>
      <c r="B62" s="111" t="s">
        <v>155</v>
      </c>
      <c r="C62" s="112" t="s">
        <v>156</v>
      </c>
      <c r="D62" s="250">
        <f t="shared" si="6"/>
        <v>2</v>
      </c>
      <c r="E62" s="113">
        <f t="shared" si="27"/>
        <v>10.52631579</v>
      </c>
      <c r="F62" s="114">
        <f t="shared" si="28"/>
        <v>10.52631579</v>
      </c>
      <c r="G62" s="202">
        <f t="shared" si="29"/>
        <v>10.52631579</v>
      </c>
      <c r="H62" s="183"/>
      <c r="I62" s="207"/>
      <c r="J62" s="207"/>
      <c r="K62" s="179"/>
      <c r="L62" s="179"/>
      <c r="M62" s="118">
        <f t="shared" si="30"/>
        <v>0</v>
      </c>
      <c r="N62" s="119">
        <f t="shared" si="31"/>
        <v>0</v>
      </c>
      <c r="O62" s="176"/>
      <c r="P62" s="179"/>
      <c r="Q62" s="179"/>
      <c r="R62" s="179"/>
      <c r="S62" s="179"/>
      <c r="T62" s="179"/>
      <c r="U62" s="179"/>
      <c r="V62" s="179"/>
      <c r="W62" s="179"/>
      <c r="X62" s="179"/>
      <c r="Y62" s="179"/>
      <c r="Z62" s="179"/>
      <c r="AA62" s="179"/>
      <c r="AB62" s="179"/>
      <c r="AC62" s="179"/>
      <c r="AD62" s="179"/>
      <c r="AE62" s="179"/>
      <c r="AF62" s="176"/>
      <c r="AG62" s="176"/>
      <c r="AH62" s="176"/>
      <c r="AI62" s="176"/>
      <c r="AJ62" s="251">
        <f t="shared" si="32"/>
        <v>0</v>
      </c>
      <c r="AK62" s="169">
        <f t="shared" si="33"/>
        <v>0</v>
      </c>
      <c r="AL62" s="183"/>
      <c r="AM62" s="179"/>
      <c r="AN62" s="179"/>
      <c r="AO62" s="179"/>
      <c r="AP62" s="179"/>
      <c r="AQ62" s="179"/>
      <c r="AR62" s="179"/>
      <c r="AS62" s="179"/>
      <c r="AT62" s="179"/>
      <c r="AU62" s="179"/>
      <c r="AV62" s="179"/>
      <c r="AW62" s="179"/>
      <c r="AX62" s="179"/>
      <c r="AY62" s="179"/>
      <c r="AZ62" s="179"/>
      <c r="BA62" s="179"/>
      <c r="BB62" s="179"/>
      <c r="BC62" s="179"/>
      <c r="BD62" s="179"/>
      <c r="BE62" s="179"/>
      <c r="BF62" s="179"/>
      <c r="BG62" s="118">
        <f t="shared" si="34"/>
        <v>0</v>
      </c>
      <c r="BH62" s="122">
        <f t="shared" si="35"/>
        <v>0</v>
      </c>
      <c r="BI62" s="176"/>
      <c r="BJ62" s="179"/>
      <c r="BK62" s="179"/>
      <c r="BL62" s="179"/>
      <c r="BM62" s="179"/>
      <c r="BN62" s="179"/>
      <c r="BO62" s="179"/>
      <c r="BP62" s="179"/>
      <c r="BQ62" s="179"/>
      <c r="BR62" s="179"/>
      <c r="BS62" s="179"/>
      <c r="BT62" s="179"/>
      <c r="BU62" s="185"/>
      <c r="BV62" s="184">
        <v>1.0</v>
      </c>
      <c r="BW62" s="186"/>
      <c r="BX62" s="186"/>
      <c r="BY62" s="186"/>
      <c r="BZ62" s="186"/>
      <c r="CA62" s="186"/>
      <c r="CB62" s="186"/>
      <c r="CC62" s="186"/>
      <c r="CD62" s="186"/>
      <c r="CE62" s="172">
        <f t="shared" si="36"/>
        <v>1</v>
      </c>
      <c r="CF62" s="173">
        <f t="shared" si="37"/>
        <v>12.5</v>
      </c>
      <c r="CG62" s="189">
        <v>1.0</v>
      </c>
      <c r="CH62" s="186"/>
      <c r="CI62" s="186"/>
      <c r="CJ62" s="186"/>
      <c r="CK62" s="186"/>
      <c r="CL62" s="186"/>
      <c r="CM62" s="186"/>
      <c r="CN62" s="186"/>
      <c r="CO62" s="186"/>
      <c r="CP62" s="186"/>
      <c r="CQ62" s="186"/>
      <c r="CR62" s="186"/>
      <c r="CS62" s="175">
        <f t="shared" si="38"/>
        <v>1</v>
      </c>
      <c r="CT62" s="158">
        <f t="shared" si="39"/>
        <v>33.33333333</v>
      </c>
    </row>
    <row r="63" ht="15.75" customHeight="1">
      <c r="A63" s="131">
        <v>53.0</v>
      </c>
      <c r="B63" s="111" t="s">
        <v>157</v>
      </c>
      <c r="C63" s="112" t="s">
        <v>158</v>
      </c>
      <c r="D63" s="250">
        <f t="shared" si="6"/>
        <v>5</v>
      </c>
      <c r="E63" s="113">
        <f t="shared" si="27"/>
        <v>26.31578947</v>
      </c>
      <c r="F63" s="114">
        <f t="shared" si="28"/>
        <v>26.31578947</v>
      </c>
      <c r="G63" s="202">
        <f t="shared" si="29"/>
        <v>26.31578947</v>
      </c>
      <c r="H63" s="183"/>
      <c r="I63" s="179"/>
      <c r="J63" s="179"/>
      <c r="K63" s="179"/>
      <c r="L63" s="179"/>
      <c r="M63" s="118">
        <f t="shared" si="30"/>
        <v>0</v>
      </c>
      <c r="N63" s="119">
        <f t="shared" si="31"/>
        <v>0</v>
      </c>
      <c r="O63" s="176"/>
      <c r="P63" s="179"/>
      <c r="Q63" s="179"/>
      <c r="R63" s="179"/>
      <c r="S63" s="179"/>
      <c r="T63" s="179"/>
      <c r="U63" s="179"/>
      <c r="V63" s="179"/>
      <c r="W63" s="179"/>
      <c r="X63" s="179"/>
      <c r="Y63" s="179"/>
      <c r="Z63" s="179"/>
      <c r="AA63" s="179"/>
      <c r="AB63" s="179"/>
      <c r="AC63" s="179"/>
      <c r="AD63" s="179"/>
      <c r="AE63" s="179"/>
      <c r="AF63" s="176"/>
      <c r="AG63" s="176"/>
      <c r="AH63" s="176"/>
      <c r="AI63" s="176"/>
      <c r="AJ63" s="251">
        <f t="shared" si="32"/>
        <v>0</v>
      </c>
      <c r="AK63" s="169">
        <f t="shared" si="33"/>
        <v>0</v>
      </c>
      <c r="AL63" s="183"/>
      <c r="AM63" s="179"/>
      <c r="AN63" s="184">
        <v>1.0</v>
      </c>
      <c r="AO63" s="179"/>
      <c r="AP63" s="179"/>
      <c r="AQ63" s="179"/>
      <c r="AR63" s="179"/>
      <c r="AS63" s="184">
        <v>1.0</v>
      </c>
      <c r="AT63" s="179"/>
      <c r="AU63" s="179"/>
      <c r="AV63" s="179"/>
      <c r="AW63" s="179"/>
      <c r="AX63" s="179"/>
      <c r="AY63" s="179"/>
      <c r="AZ63" s="179"/>
      <c r="BA63" s="179"/>
      <c r="BB63" s="179"/>
      <c r="BC63" s="179"/>
      <c r="BD63" s="179"/>
      <c r="BE63" s="179"/>
      <c r="BF63" s="179"/>
      <c r="BG63" s="118">
        <f t="shared" si="34"/>
        <v>2</v>
      </c>
      <c r="BH63" s="122">
        <f t="shared" si="35"/>
        <v>40</v>
      </c>
      <c r="BI63" s="176"/>
      <c r="BJ63" s="179"/>
      <c r="BK63" s="179"/>
      <c r="BL63" s="179"/>
      <c r="BM63" s="179"/>
      <c r="BN63" s="179"/>
      <c r="BO63" s="184">
        <v>1.0</v>
      </c>
      <c r="BP63" s="179"/>
      <c r="BQ63" s="179"/>
      <c r="BR63" s="179"/>
      <c r="BS63" s="179"/>
      <c r="BT63" s="179"/>
      <c r="BU63" s="198"/>
      <c r="BV63" s="179"/>
      <c r="BW63" s="186"/>
      <c r="BX63" s="186"/>
      <c r="BY63" s="186"/>
      <c r="BZ63" s="186"/>
      <c r="CA63" s="186"/>
      <c r="CB63" s="186"/>
      <c r="CC63" s="186"/>
      <c r="CD63" s="186"/>
      <c r="CE63" s="172">
        <f t="shared" si="36"/>
        <v>1</v>
      </c>
      <c r="CF63" s="173">
        <f t="shared" si="37"/>
        <v>12.5</v>
      </c>
      <c r="CG63" s="189">
        <v>1.0</v>
      </c>
      <c r="CH63" s="186"/>
      <c r="CI63" s="200">
        <v>1.0</v>
      </c>
      <c r="CJ63" s="186"/>
      <c r="CK63" s="186"/>
      <c r="CL63" s="186"/>
      <c r="CM63" s="186"/>
      <c r="CN63" s="186"/>
      <c r="CO63" s="186"/>
      <c r="CP63" s="186"/>
      <c r="CQ63" s="186"/>
      <c r="CR63" s="186"/>
      <c r="CS63" s="175">
        <f t="shared" si="38"/>
        <v>2</v>
      </c>
      <c r="CT63" s="158">
        <f t="shared" si="39"/>
        <v>66.66666667</v>
      </c>
    </row>
    <row r="64" ht="15.75" customHeight="1">
      <c r="A64" s="146">
        <v>54.0</v>
      </c>
      <c r="B64" s="111" t="s">
        <v>159</v>
      </c>
      <c r="C64" s="112" t="s">
        <v>160</v>
      </c>
      <c r="D64" s="250">
        <f t="shared" si="6"/>
        <v>5</v>
      </c>
      <c r="E64" s="113">
        <f t="shared" si="27"/>
        <v>26.31578947</v>
      </c>
      <c r="F64" s="114">
        <f t="shared" si="28"/>
        <v>26.31578947</v>
      </c>
      <c r="G64" s="202">
        <f t="shared" si="29"/>
        <v>26.31578947</v>
      </c>
      <c r="H64" s="183"/>
      <c r="I64" s="186"/>
      <c r="J64" s="207"/>
      <c r="K64" s="179"/>
      <c r="L64" s="179"/>
      <c r="M64" s="118">
        <f t="shared" si="30"/>
        <v>0</v>
      </c>
      <c r="N64" s="119">
        <f t="shared" si="31"/>
        <v>0</v>
      </c>
      <c r="O64" s="195"/>
      <c r="P64" s="186"/>
      <c r="Q64" s="186"/>
      <c r="R64" s="186"/>
      <c r="S64" s="186"/>
      <c r="T64" s="186"/>
      <c r="U64" s="186"/>
      <c r="V64" s="186"/>
      <c r="W64" s="186"/>
      <c r="X64" s="186"/>
      <c r="Y64" s="200">
        <v>1.0</v>
      </c>
      <c r="Z64" s="186"/>
      <c r="AA64" s="186"/>
      <c r="AB64" s="186"/>
      <c r="AC64" s="186"/>
      <c r="AD64" s="186"/>
      <c r="AE64" s="186"/>
      <c r="AF64" s="195"/>
      <c r="AG64" s="195"/>
      <c r="AH64" s="195"/>
      <c r="AI64" s="195"/>
      <c r="AJ64" s="251">
        <f t="shared" si="32"/>
        <v>1</v>
      </c>
      <c r="AK64" s="169">
        <f t="shared" si="33"/>
        <v>25</v>
      </c>
      <c r="AL64" s="199"/>
      <c r="AM64" s="186"/>
      <c r="AN64" s="200">
        <v>1.0</v>
      </c>
      <c r="AO64" s="186"/>
      <c r="AP64" s="186"/>
      <c r="AQ64" s="186"/>
      <c r="AR64" s="186"/>
      <c r="AS64" s="200">
        <v>1.0</v>
      </c>
      <c r="AT64" s="186"/>
      <c r="AU64" s="186"/>
      <c r="AV64" s="186"/>
      <c r="AW64" s="186"/>
      <c r="AX64" s="186"/>
      <c r="AY64" s="186"/>
      <c r="AZ64" s="186"/>
      <c r="BA64" s="186"/>
      <c r="BB64" s="186"/>
      <c r="BC64" s="186"/>
      <c r="BD64" s="186"/>
      <c r="BE64" s="186"/>
      <c r="BF64" s="186"/>
      <c r="BG64" s="118">
        <f t="shared" si="34"/>
        <v>2</v>
      </c>
      <c r="BH64" s="122">
        <f t="shared" si="35"/>
        <v>40</v>
      </c>
      <c r="BI64" s="195"/>
      <c r="BJ64" s="186"/>
      <c r="BK64" s="186"/>
      <c r="BL64" s="186"/>
      <c r="BM64" s="186"/>
      <c r="BN64" s="186"/>
      <c r="BO64" s="186"/>
      <c r="BP64" s="186"/>
      <c r="BQ64" s="186"/>
      <c r="BR64" s="186"/>
      <c r="BS64" s="186"/>
      <c r="BT64" s="186"/>
      <c r="BU64" s="198"/>
      <c r="BV64" s="200">
        <v>1.0</v>
      </c>
      <c r="BW64" s="186"/>
      <c r="BX64" s="186"/>
      <c r="BY64" s="186"/>
      <c r="BZ64" s="186"/>
      <c r="CA64" s="186"/>
      <c r="CB64" s="186"/>
      <c r="CC64" s="186"/>
      <c r="CD64" s="186"/>
      <c r="CE64" s="172">
        <f t="shared" si="36"/>
        <v>1</v>
      </c>
      <c r="CF64" s="173">
        <f t="shared" si="37"/>
        <v>12.5</v>
      </c>
      <c r="CG64" s="199"/>
      <c r="CH64" s="200">
        <v>1.0</v>
      </c>
      <c r="CI64" s="186"/>
      <c r="CJ64" s="186"/>
      <c r="CK64" s="186"/>
      <c r="CL64" s="186"/>
      <c r="CM64" s="186"/>
      <c r="CN64" s="186"/>
      <c r="CO64" s="186"/>
      <c r="CP64" s="186"/>
      <c r="CQ64" s="186"/>
      <c r="CR64" s="186"/>
      <c r="CS64" s="175">
        <f t="shared" si="38"/>
        <v>1</v>
      </c>
      <c r="CT64" s="158">
        <f t="shared" si="39"/>
        <v>33.33333333</v>
      </c>
    </row>
    <row r="65" ht="15.75" customHeight="1">
      <c r="A65" s="146">
        <v>55.0</v>
      </c>
      <c r="B65" s="111" t="s">
        <v>161</v>
      </c>
      <c r="C65" s="112" t="s">
        <v>162</v>
      </c>
      <c r="D65" s="250">
        <f t="shared" si="6"/>
        <v>2</v>
      </c>
      <c r="E65" s="113">
        <f t="shared" si="27"/>
        <v>10.52631579</v>
      </c>
      <c r="F65" s="114">
        <f t="shared" si="28"/>
        <v>10.52631579</v>
      </c>
      <c r="G65" s="202">
        <f t="shared" si="29"/>
        <v>10.52631579</v>
      </c>
      <c r="H65" s="183"/>
      <c r="I65" s="186"/>
      <c r="J65" s="186"/>
      <c r="K65" s="179"/>
      <c r="L65" s="179"/>
      <c r="M65" s="118">
        <f t="shared" si="30"/>
        <v>0</v>
      </c>
      <c r="N65" s="119">
        <f t="shared" si="31"/>
        <v>0</v>
      </c>
      <c r="O65" s="195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  <c r="AA65" s="186"/>
      <c r="AB65" s="186"/>
      <c r="AC65" s="186"/>
      <c r="AD65" s="186"/>
      <c r="AE65" s="186"/>
      <c r="AF65" s="195"/>
      <c r="AG65" s="195"/>
      <c r="AH65" s="195"/>
      <c r="AI65" s="195"/>
      <c r="AJ65" s="251">
        <f t="shared" si="32"/>
        <v>0</v>
      </c>
      <c r="AK65" s="169">
        <f t="shared" si="33"/>
        <v>0</v>
      </c>
      <c r="AL65" s="199"/>
      <c r="AM65" s="186"/>
      <c r="AN65" s="186"/>
      <c r="AO65" s="186"/>
      <c r="AP65" s="186"/>
      <c r="AQ65" s="186"/>
      <c r="AR65" s="186"/>
      <c r="AS65" s="186"/>
      <c r="AT65" s="186"/>
      <c r="AU65" s="186"/>
      <c r="AV65" s="186"/>
      <c r="AW65" s="186"/>
      <c r="AX65" s="186"/>
      <c r="AY65" s="186"/>
      <c r="AZ65" s="186"/>
      <c r="BA65" s="186"/>
      <c r="BB65" s="186"/>
      <c r="BC65" s="186"/>
      <c r="BD65" s="186"/>
      <c r="BE65" s="186"/>
      <c r="BF65" s="186"/>
      <c r="BG65" s="118">
        <f t="shared" si="34"/>
        <v>0</v>
      </c>
      <c r="BH65" s="122">
        <f t="shared" si="35"/>
        <v>0</v>
      </c>
      <c r="BI65" s="195"/>
      <c r="BJ65" s="186"/>
      <c r="BK65" s="186"/>
      <c r="BL65" s="186"/>
      <c r="BM65" s="186"/>
      <c r="BN65" s="186"/>
      <c r="BO65" s="186"/>
      <c r="BP65" s="186"/>
      <c r="BQ65" s="186"/>
      <c r="BR65" s="186"/>
      <c r="BS65" s="186"/>
      <c r="BT65" s="186"/>
      <c r="BU65" s="185"/>
      <c r="BV65" s="200">
        <v>1.0</v>
      </c>
      <c r="BW65" s="200">
        <v>1.0</v>
      </c>
      <c r="BX65" s="186"/>
      <c r="BY65" s="186"/>
      <c r="BZ65" s="186"/>
      <c r="CA65" s="186"/>
      <c r="CB65" s="186"/>
      <c r="CC65" s="186"/>
      <c r="CD65" s="186"/>
      <c r="CE65" s="172">
        <f t="shared" si="36"/>
        <v>2</v>
      </c>
      <c r="CF65" s="173">
        <f t="shared" si="37"/>
        <v>25</v>
      </c>
      <c r="CG65" s="199"/>
      <c r="CH65" s="186"/>
      <c r="CI65" s="186"/>
      <c r="CJ65" s="186"/>
      <c r="CK65" s="186"/>
      <c r="CL65" s="186"/>
      <c r="CM65" s="186"/>
      <c r="CN65" s="186"/>
      <c r="CO65" s="186"/>
      <c r="CP65" s="186"/>
      <c r="CQ65" s="186"/>
      <c r="CR65" s="186"/>
      <c r="CS65" s="175">
        <f t="shared" si="38"/>
        <v>0</v>
      </c>
      <c r="CT65" s="158">
        <f t="shared" si="39"/>
        <v>0</v>
      </c>
    </row>
    <row r="66" ht="15.75" customHeight="1">
      <c r="A66" s="131">
        <v>56.0</v>
      </c>
      <c r="B66" s="111" t="s">
        <v>163</v>
      </c>
      <c r="C66" s="112" t="s">
        <v>164</v>
      </c>
      <c r="D66" s="250">
        <f t="shared" si="6"/>
        <v>11</v>
      </c>
      <c r="E66" s="113">
        <f t="shared" si="27"/>
        <v>57.89473684</v>
      </c>
      <c r="F66" s="114" t="str">
        <f t="shared" si="28"/>
        <v>  </v>
      </c>
      <c r="G66" s="164" t="str">
        <f t="shared" si="29"/>
        <v>  </v>
      </c>
      <c r="H66" s="183"/>
      <c r="I66" s="207"/>
      <c r="J66" s="207"/>
      <c r="K66" s="179"/>
      <c r="L66" s="179"/>
      <c r="M66" s="118">
        <f t="shared" si="30"/>
        <v>0</v>
      </c>
      <c r="N66" s="119">
        <f t="shared" si="31"/>
        <v>0</v>
      </c>
      <c r="O66" s="176"/>
      <c r="P66" s="179"/>
      <c r="Q66" s="179"/>
      <c r="R66" s="179"/>
      <c r="S66" s="179"/>
      <c r="T66" s="179"/>
      <c r="U66" s="179"/>
      <c r="V66" s="179"/>
      <c r="W66" s="179"/>
      <c r="X66" s="179"/>
      <c r="Y66" s="179"/>
      <c r="Z66" s="184">
        <v>1.0</v>
      </c>
      <c r="AA66" s="179"/>
      <c r="AB66" s="184">
        <v>1.0</v>
      </c>
      <c r="AC66" s="179"/>
      <c r="AD66" s="179"/>
      <c r="AE66" s="179"/>
      <c r="AF66" s="176"/>
      <c r="AG66" s="176"/>
      <c r="AH66" s="176"/>
      <c r="AI66" s="176"/>
      <c r="AJ66" s="251">
        <f t="shared" si="32"/>
        <v>2</v>
      </c>
      <c r="AK66" s="169">
        <f t="shared" si="33"/>
        <v>50</v>
      </c>
      <c r="AL66" s="279">
        <v>1.0</v>
      </c>
      <c r="AM66" s="179"/>
      <c r="AN66" s="179"/>
      <c r="AO66" s="179"/>
      <c r="AP66" s="179"/>
      <c r="AQ66" s="184">
        <v>1.0</v>
      </c>
      <c r="AR66" s="179"/>
      <c r="AS66" s="184">
        <v>1.0</v>
      </c>
      <c r="AT66" s="179"/>
      <c r="AU66" s="179"/>
      <c r="AV66" s="179"/>
      <c r="AW66" s="179"/>
      <c r="AX66" s="179"/>
      <c r="AY66" s="179"/>
      <c r="AZ66" s="179"/>
      <c r="BA66" s="179"/>
      <c r="BB66" s="179"/>
      <c r="BC66" s="179"/>
      <c r="BD66" s="179"/>
      <c r="BE66" s="179"/>
      <c r="BF66" s="179"/>
      <c r="BG66" s="118">
        <f t="shared" si="34"/>
        <v>3</v>
      </c>
      <c r="BH66" s="122">
        <f t="shared" si="35"/>
        <v>60</v>
      </c>
      <c r="BI66" s="176"/>
      <c r="BJ66" s="179"/>
      <c r="BK66" s="179"/>
      <c r="BL66" s="179"/>
      <c r="BM66" s="179"/>
      <c r="BN66" s="179"/>
      <c r="BO66" s="184">
        <v>1.0</v>
      </c>
      <c r="BP66" s="179"/>
      <c r="BQ66" s="179"/>
      <c r="BR66" s="184">
        <v>1.0</v>
      </c>
      <c r="BS66" s="179"/>
      <c r="BT66" s="179"/>
      <c r="BU66" s="252"/>
      <c r="BV66" s="179"/>
      <c r="BW66" s="200">
        <v>1.0</v>
      </c>
      <c r="BX66" s="186"/>
      <c r="BY66" s="186"/>
      <c r="BZ66" s="186"/>
      <c r="CA66" s="186"/>
      <c r="CB66" s="186"/>
      <c r="CC66" s="186"/>
      <c r="CD66" s="186"/>
      <c r="CE66" s="172">
        <f t="shared" si="36"/>
        <v>3</v>
      </c>
      <c r="CF66" s="173">
        <f t="shared" si="37"/>
        <v>37.5</v>
      </c>
      <c r="CG66" s="189">
        <v>1.0</v>
      </c>
      <c r="CH66" s="200">
        <v>1.0</v>
      </c>
      <c r="CI66" s="200">
        <v>1.0</v>
      </c>
      <c r="CJ66" s="186"/>
      <c r="CK66" s="186"/>
      <c r="CL66" s="186"/>
      <c r="CM66" s="186"/>
      <c r="CN66" s="186"/>
      <c r="CO66" s="186"/>
      <c r="CP66" s="186"/>
      <c r="CQ66" s="186"/>
      <c r="CR66" s="186"/>
      <c r="CS66" s="175">
        <f t="shared" si="38"/>
        <v>3</v>
      </c>
      <c r="CT66" s="158">
        <f t="shared" si="39"/>
        <v>100</v>
      </c>
    </row>
    <row r="67" ht="15.75" customHeight="1">
      <c r="A67" s="146">
        <v>57.0</v>
      </c>
      <c r="B67" s="111" t="s">
        <v>165</v>
      </c>
      <c r="C67" s="112" t="s">
        <v>166</v>
      </c>
      <c r="D67" s="250">
        <f t="shared" si="6"/>
        <v>13</v>
      </c>
      <c r="E67" s="113">
        <f t="shared" si="27"/>
        <v>68.42105263</v>
      </c>
      <c r="F67" s="114" t="str">
        <f t="shared" si="28"/>
        <v>  </v>
      </c>
      <c r="G67" s="202" t="str">
        <f t="shared" si="29"/>
        <v>  </v>
      </c>
      <c r="H67" s="212"/>
      <c r="I67" s="179"/>
      <c r="J67" s="179"/>
      <c r="K67" s="179"/>
      <c r="L67" s="179"/>
      <c r="M67" s="118">
        <f t="shared" si="30"/>
        <v>0</v>
      </c>
      <c r="N67" s="119">
        <f t="shared" si="31"/>
        <v>0</v>
      </c>
      <c r="O67" s="176"/>
      <c r="P67" s="179"/>
      <c r="Q67" s="179"/>
      <c r="R67" s="179"/>
      <c r="S67" s="179"/>
      <c r="T67" s="179"/>
      <c r="U67" s="179"/>
      <c r="V67" s="179"/>
      <c r="W67" s="179"/>
      <c r="X67" s="179"/>
      <c r="Y67" s="184">
        <v>1.0</v>
      </c>
      <c r="Z67" s="184">
        <v>1.0</v>
      </c>
      <c r="AA67" s="179"/>
      <c r="AB67" s="184">
        <v>1.0</v>
      </c>
      <c r="AC67" s="179"/>
      <c r="AD67" s="179"/>
      <c r="AE67" s="184">
        <v>1.0</v>
      </c>
      <c r="AF67" s="176"/>
      <c r="AG67" s="176"/>
      <c r="AH67" s="176"/>
      <c r="AI67" s="176"/>
      <c r="AJ67" s="251">
        <f t="shared" si="32"/>
        <v>4</v>
      </c>
      <c r="AK67" s="169">
        <f t="shared" si="33"/>
        <v>100</v>
      </c>
      <c r="AL67" s="183"/>
      <c r="AM67" s="179"/>
      <c r="AN67" s="179"/>
      <c r="AO67" s="179"/>
      <c r="AP67" s="179"/>
      <c r="AQ67" s="184">
        <v>1.0</v>
      </c>
      <c r="AR67" s="179"/>
      <c r="AS67" s="184">
        <v>1.0</v>
      </c>
      <c r="AT67" s="179"/>
      <c r="AU67" s="179"/>
      <c r="AV67" s="184">
        <v>1.0</v>
      </c>
      <c r="AW67" s="179"/>
      <c r="AX67" s="179"/>
      <c r="AY67" s="179"/>
      <c r="AZ67" s="179"/>
      <c r="BA67" s="179"/>
      <c r="BB67" s="179"/>
      <c r="BC67" s="179"/>
      <c r="BD67" s="179"/>
      <c r="BE67" s="179"/>
      <c r="BF67" s="179"/>
      <c r="BG67" s="118">
        <f t="shared" si="34"/>
        <v>3</v>
      </c>
      <c r="BH67" s="122">
        <f t="shared" si="35"/>
        <v>60</v>
      </c>
      <c r="BI67" s="176"/>
      <c r="BJ67" s="179"/>
      <c r="BK67" s="179"/>
      <c r="BL67" s="179"/>
      <c r="BM67" s="179"/>
      <c r="BN67" s="179"/>
      <c r="BO67" s="184">
        <v>1.0</v>
      </c>
      <c r="BP67" s="179"/>
      <c r="BQ67" s="179"/>
      <c r="BR67" s="184">
        <v>1.0</v>
      </c>
      <c r="BS67" s="179"/>
      <c r="BT67" s="179"/>
      <c r="BU67" s="185"/>
      <c r="BV67" s="184">
        <v>1.0</v>
      </c>
      <c r="BW67" s="186"/>
      <c r="BX67" s="186"/>
      <c r="BY67" s="186"/>
      <c r="BZ67" s="186"/>
      <c r="CA67" s="186"/>
      <c r="CB67" s="200">
        <v>1.0</v>
      </c>
      <c r="CC67" s="186"/>
      <c r="CD67" s="186"/>
      <c r="CE67" s="172">
        <f t="shared" si="36"/>
        <v>4</v>
      </c>
      <c r="CF67" s="173">
        <f t="shared" si="37"/>
        <v>50</v>
      </c>
      <c r="CG67" s="189">
        <v>1.0</v>
      </c>
      <c r="CH67" s="186"/>
      <c r="CI67" s="200">
        <v>1.0</v>
      </c>
      <c r="CJ67" s="186"/>
      <c r="CK67" s="186"/>
      <c r="CL67" s="186"/>
      <c r="CM67" s="186"/>
      <c r="CN67" s="186"/>
      <c r="CO67" s="186"/>
      <c r="CP67" s="186"/>
      <c r="CQ67" s="186"/>
      <c r="CR67" s="186"/>
      <c r="CS67" s="175">
        <f t="shared" si="38"/>
        <v>2</v>
      </c>
      <c r="CT67" s="158">
        <f t="shared" si="39"/>
        <v>66.66666667</v>
      </c>
    </row>
    <row r="68" ht="15.75" customHeight="1">
      <c r="A68" s="146">
        <v>58.0</v>
      </c>
      <c r="B68" s="111" t="s">
        <v>167</v>
      </c>
      <c r="C68" s="112" t="s">
        <v>168</v>
      </c>
      <c r="D68" s="250">
        <f t="shared" si="6"/>
        <v>9</v>
      </c>
      <c r="E68" s="113">
        <f t="shared" si="27"/>
        <v>47.36842105</v>
      </c>
      <c r="F68" s="114">
        <f t="shared" si="28"/>
        <v>47.36842105</v>
      </c>
      <c r="G68" s="202" t="str">
        <f t="shared" si="29"/>
        <v>  </v>
      </c>
      <c r="H68" s="183"/>
      <c r="I68" s="179"/>
      <c r="J68" s="179"/>
      <c r="K68" s="179"/>
      <c r="L68" s="179"/>
      <c r="M68" s="118">
        <f t="shared" si="30"/>
        <v>0</v>
      </c>
      <c r="N68" s="119">
        <f t="shared" si="31"/>
        <v>0</v>
      </c>
      <c r="O68" s="206"/>
      <c r="P68" s="207"/>
      <c r="Q68" s="207"/>
      <c r="R68" s="207"/>
      <c r="S68" s="207"/>
      <c r="T68" s="207"/>
      <c r="U68" s="207"/>
      <c r="V68" s="207"/>
      <c r="W68" s="207"/>
      <c r="X68" s="207"/>
      <c r="Y68" s="234">
        <v>1.0</v>
      </c>
      <c r="Z68" s="234">
        <v>1.0</v>
      </c>
      <c r="AA68" s="207"/>
      <c r="AB68" s="234">
        <v>1.0</v>
      </c>
      <c r="AC68" s="207"/>
      <c r="AD68" s="207"/>
      <c r="AE68" s="207"/>
      <c r="AF68" s="206"/>
      <c r="AG68" s="206"/>
      <c r="AH68" s="206"/>
      <c r="AI68" s="206"/>
      <c r="AJ68" s="251">
        <f t="shared" si="32"/>
        <v>3</v>
      </c>
      <c r="AK68" s="169">
        <f t="shared" si="33"/>
        <v>75</v>
      </c>
      <c r="AL68" s="212"/>
      <c r="AM68" s="207"/>
      <c r="AN68" s="234">
        <v>1.0</v>
      </c>
      <c r="AO68" s="207"/>
      <c r="AP68" s="207"/>
      <c r="AQ68" s="207"/>
      <c r="AR68" s="207"/>
      <c r="AS68" s="234">
        <v>1.0</v>
      </c>
      <c r="AT68" s="207"/>
      <c r="AU68" s="207"/>
      <c r="AV68" s="207"/>
      <c r="AW68" s="207"/>
      <c r="AX68" s="207"/>
      <c r="AY68" s="207"/>
      <c r="AZ68" s="207"/>
      <c r="BA68" s="207"/>
      <c r="BB68" s="207"/>
      <c r="BC68" s="207"/>
      <c r="BD68" s="207"/>
      <c r="BE68" s="207"/>
      <c r="BF68" s="207"/>
      <c r="BG68" s="118">
        <f t="shared" si="34"/>
        <v>2</v>
      </c>
      <c r="BH68" s="122">
        <f t="shared" si="35"/>
        <v>40</v>
      </c>
      <c r="BI68" s="206"/>
      <c r="BJ68" s="207"/>
      <c r="BK68" s="207"/>
      <c r="BL68" s="207"/>
      <c r="BM68" s="207"/>
      <c r="BN68" s="207"/>
      <c r="BO68" s="234">
        <v>1.0</v>
      </c>
      <c r="BP68" s="207"/>
      <c r="BQ68" s="207"/>
      <c r="BR68" s="207"/>
      <c r="BS68" s="207"/>
      <c r="BT68" s="207"/>
      <c r="BU68" s="185"/>
      <c r="BV68" s="234">
        <v>1.0</v>
      </c>
      <c r="BW68" s="186"/>
      <c r="BX68" s="186"/>
      <c r="BY68" s="186"/>
      <c r="BZ68" s="186"/>
      <c r="CA68" s="186"/>
      <c r="CB68" s="200">
        <v>1.0</v>
      </c>
      <c r="CC68" s="186"/>
      <c r="CD68" s="186"/>
      <c r="CE68" s="172">
        <f t="shared" si="36"/>
        <v>3</v>
      </c>
      <c r="CF68" s="173">
        <f t="shared" si="37"/>
        <v>37.5</v>
      </c>
      <c r="CG68" s="189">
        <v>1.0</v>
      </c>
      <c r="CH68" s="186"/>
      <c r="CI68" s="186"/>
      <c r="CJ68" s="186"/>
      <c r="CK68" s="186"/>
      <c r="CL68" s="186"/>
      <c r="CM68" s="43"/>
      <c r="CN68" s="186"/>
      <c r="CO68" s="186"/>
      <c r="CP68" s="186"/>
      <c r="CQ68" s="186"/>
      <c r="CR68" s="186"/>
      <c r="CS68" s="175">
        <f t="shared" si="38"/>
        <v>1</v>
      </c>
      <c r="CT68" s="158">
        <f t="shared" si="39"/>
        <v>33.33333333</v>
      </c>
    </row>
    <row r="69" ht="15.75" customHeight="1">
      <c r="A69" s="131">
        <v>59.0</v>
      </c>
      <c r="B69" s="111" t="s">
        <v>169</v>
      </c>
      <c r="C69" s="112" t="s">
        <v>170</v>
      </c>
      <c r="D69" s="250">
        <f t="shared" si="6"/>
        <v>9</v>
      </c>
      <c r="E69" s="113">
        <f t="shared" si="27"/>
        <v>47.36842105</v>
      </c>
      <c r="F69" s="114">
        <f t="shared" si="28"/>
        <v>47.36842105</v>
      </c>
      <c r="G69" s="202" t="str">
        <f t="shared" si="29"/>
        <v>  </v>
      </c>
      <c r="H69" s="183"/>
      <c r="I69" s="179"/>
      <c r="J69" s="179"/>
      <c r="K69" s="179"/>
      <c r="L69" s="179"/>
      <c r="M69" s="118">
        <f t="shared" si="30"/>
        <v>0</v>
      </c>
      <c r="N69" s="119">
        <f t="shared" si="31"/>
        <v>0</v>
      </c>
      <c r="O69" s="176"/>
      <c r="P69" s="179"/>
      <c r="Q69" s="179"/>
      <c r="R69" s="179"/>
      <c r="S69" s="179"/>
      <c r="T69" s="179"/>
      <c r="U69" s="179"/>
      <c r="V69" s="179"/>
      <c r="W69" s="179"/>
      <c r="X69" s="179"/>
      <c r="Y69" s="179"/>
      <c r="Z69" s="179"/>
      <c r="AA69" s="179"/>
      <c r="AB69" s="179"/>
      <c r="AC69" s="179"/>
      <c r="AD69" s="179"/>
      <c r="AE69" s="179"/>
      <c r="AF69" s="176"/>
      <c r="AG69" s="176"/>
      <c r="AH69" s="176"/>
      <c r="AI69" s="176"/>
      <c r="AJ69" s="251">
        <f t="shared" si="32"/>
        <v>0</v>
      </c>
      <c r="AK69" s="169">
        <f t="shared" si="33"/>
        <v>0</v>
      </c>
      <c r="AL69" s="279">
        <v>1.0</v>
      </c>
      <c r="AM69" s="179"/>
      <c r="AN69" s="179"/>
      <c r="AO69" s="179"/>
      <c r="AP69" s="179"/>
      <c r="AQ69" s="184">
        <v>1.0</v>
      </c>
      <c r="AR69" s="179"/>
      <c r="AS69" s="184">
        <v>1.0</v>
      </c>
      <c r="AT69" s="179"/>
      <c r="AU69" s="179"/>
      <c r="AV69" s="184">
        <v>1.0</v>
      </c>
      <c r="AW69" s="179"/>
      <c r="AX69" s="179"/>
      <c r="AY69" s="179"/>
      <c r="AZ69" s="179"/>
      <c r="BA69" s="179"/>
      <c r="BB69" s="179"/>
      <c r="BC69" s="179"/>
      <c r="BD69" s="179"/>
      <c r="BE69" s="179"/>
      <c r="BF69" s="179"/>
      <c r="BG69" s="118">
        <f t="shared" si="34"/>
        <v>4</v>
      </c>
      <c r="BH69" s="122">
        <f t="shared" si="35"/>
        <v>80</v>
      </c>
      <c r="BI69" s="176"/>
      <c r="BJ69" s="179"/>
      <c r="BK69" s="179"/>
      <c r="BL69" s="179"/>
      <c r="BM69" s="179"/>
      <c r="BN69" s="179"/>
      <c r="BO69" s="184">
        <v>1.0</v>
      </c>
      <c r="BP69" s="179"/>
      <c r="BQ69" s="179"/>
      <c r="BR69" s="184">
        <v>1.0</v>
      </c>
      <c r="BS69" s="179"/>
      <c r="BT69" s="179"/>
      <c r="BU69" s="185"/>
      <c r="BV69" s="179"/>
      <c r="BW69" s="186"/>
      <c r="BX69" s="186"/>
      <c r="BY69" s="186"/>
      <c r="BZ69" s="186"/>
      <c r="CA69" s="186"/>
      <c r="CB69" s="186"/>
      <c r="CC69" s="186"/>
      <c r="CD69" s="186"/>
      <c r="CE69" s="172">
        <f t="shared" si="36"/>
        <v>2</v>
      </c>
      <c r="CF69" s="173">
        <f t="shared" si="37"/>
        <v>25</v>
      </c>
      <c r="CG69" s="189">
        <v>1.0</v>
      </c>
      <c r="CH69" s="200">
        <v>1.0</v>
      </c>
      <c r="CI69" s="200">
        <v>1.0</v>
      </c>
      <c r="CJ69" s="186"/>
      <c r="CK69" s="186"/>
      <c r="CL69" s="186"/>
      <c r="CM69" s="186"/>
      <c r="CN69" s="186"/>
      <c r="CO69" s="186"/>
      <c r="CP69" s="186"/>
      <c r="CQ69" s="186"/>
      <c r="CR69" s="186"/>
      <c r="CS69" s="175">
        <f t="shared" si="38"/>
        <v>3</v>
      </c>
      <c r="CT69" s="158">
        <f t="shared" si="39"/>
        <v>100</v>
      </c>
    </row>
    <row r="70" ht="15.75" customHeight="1">
      <c r="A70" s="146">
        <v>60.0</v>
      </c>
      <c r="B70" s="111" t="s">
        <v>171</v>
      </c>
      <c r="C70" s="112" t="s">
        <v>172</v>
      </c>
      <c r="D70" s="250">
        <f t="shared" si="6"/>
        <v>7</v>
      </c>
      <c r="E70" s="113">
        <f t="shared" si="27"/>
        <v>36.84210526</v>
      </c>
      <c r="F70" s="114">
        <f t="shared" si="28"/>
        <v>36.84210526</v>
      </c>
      <c r="G70" s="202" t="str">
        <f t="shared" si="29"/>
        <v>  </v>
      </c>
      <c r="H70" s="183"/>
      <c r="I70" s="179"/>
      <c r="J70" s="186"/>
      <c r="K70" s="179"/>
      <c r="L70" s="179"/>
      <c r="M70" s="118">
        <f t="shared" si="30"/>
        <v>0</v>
      </c>
      <c r="N70" s="119">
        <f t="shared" si="31"/>
        <v>0</v>
      </c>
      <c r="O70" s="176"/>
      <c r="P70" s="179"/>
      <c r="Q70" s="179"/>
      <c r="R70" s="179"/>
      <c r="S70" s="179"/>
      <c r="T70" s="179"/>
      <c r="U70" s="179"/>
      <c r="V70" s="179"/>
      <c r="W70" s="179"/>
      <c r="X70" s="179"/>
      <c r="Y70" s="179"/>
      <c r="Z70" s="179"/>
      <c r="AA70" s="179"/>
      <c r="AB70" s="179"/>
      <c r="AC70" s="179"/>
      <c r="AD70" s="179"/>
      <c r="AE70" s="179"/>
      <c r="AF70" s="176"/>
      <c r="AG70" s="176"/>
      <c r="AH70" s="176"/>
      <c r="AI70" s="176"/>
      <c r="AJ70" s="251">
        <f t="shared" si="32"/>
        <v>0</v>
      </c>
      <c r="AK70" s="169">
        <f t="shared" si="33"/>
        <v>0</v>
      </c>
      <c r="AL70" s="183"/>
      <c r="AM70" s="179"/>
      <c r="AN70" s="179"/>
      <c r="AO70" s="179"/>
      <c r="AP70" s="179"/>
      <c r="AQ70" s="179"/>
      <c r="AR70" s="179"/>
      <c r="AS70" s="179"/>
      <c r="AT70" s="179"/>
      <c r="AU70" s="179"/>
      <c r="AV70" s="179"/>
      <c r="AW70" s="179"/>
      <c r="AX70" s="179"/>
      <c r="AY70" s="179"/>
      <c r="AZ70" s="179"/>
      <c r="BA70" s="179"/>
      <c r="BB70" s="179"/>
      <c r="BC70" s="179"/>
      <c r="BD70" s="179"/>
      <c r="BE70" s="179"/>
      <c r="BF70" s="179"/>
      <c r="BG70" s="118">
        <f t="shared" si="34"/>
        <v>0</v>
      </c>
      <c r="BH70" s="122">
        <f t="shared" si="35"/>
        <v>0</v>
      </c>
      <c r="BI70" s="176"/>
      <c r="BJ70" s="179"/>
      <c r="BK70" s="179"/>
      <c r="BL70" s="179"/>
      <c r="BM70" s="179"/>
      <c r="BN70" s="179"/>
      <c r="BO70" s="184">
        <v>1.0</v>
      </c>
      <c r="BP70" s="179"/>
      <c r="BQ70" s="179"/>
      <c r="BR70" s="184">
        <v>1.0</v>
      </c>
      <c r="BS70" s="179"/>
      <c r="BT70" s="179"/>
      <c r="BU70" s="185"/>
      <c r="BV70" s="184">
        <v>1.0</v>
      </c>
      <c r="BW70" s="200">
        <v>1.0</v>
      </c>
      <c r="BX70" s="186"/>
      <c r="BY70" s="186"/>
      <c r="BZ70" s="186"/>
      <c r="CA70" s="186"/>
      <c r="CB70" s="200">
        <v>1.0</v>
      </c>
      <c r="CC70" s="186"/>
      <c r="CD70" s="186"/>
      <c r="CE70" s="172">
        <f t="shared" si="36"/>
        <v>5</v>
      </c>
      <c r="CF70" s="173">
        <f t="shared" si="37"/>
        <v>62.5</v>
      </c>
      <c r="CG70" s="189">
        <v>1.0</v>
      </c>
      <c r="CH70" s="186"/>
      <c r="CI70" s="200">
        <v>1.0</v>
      </c>
      <c r="CJ70" s="186"/>
      <c r="CK70" s="186"/>
      <c r="CL70" s="186"/>
      <c r="CM70" s="186"/>
      <c r="CN70" s="186"/>
      <c r="CO70" s="186"/>
      <c r="CP70" s="186"/>
      <c r="CQ70" s="186"/>
      <c r="CR70" s="186"/>
      <c r="CS70" s="175">
        <f t="shared" si="38"/>
        <v>2</v>
      </c>
      <c r="CT70" s="158">
        <f t="shared" si="39"/>
        <v>66.66666667</v>
      </c>
    </row>
    <row r="71" ht="15.75" customHeight="1">
      <c r="A71" s="146">
        <v>61.0</v>
      </c>
      <c r="B71" s="111" t="s">
        <v>173</v>
      </c>
      <c r="C71" s="112" t="s">
        <v>174</v>
      </c>
      <c r="D71" s="250">
        <f t="shared" si="6"/>
        <v>4</v>
      </c>
      <c r="E71" s="113">
        <f t="shared" si="27"/>
        <v>21.05263158</v>
      </c>
      <c r="F71" s="114">
        <f t="shared" si="28"/>
        <v>21.05263158</v>
      </c>
      <c r="G71" s="202">
        <f t="shared" si="29"/>
        <v>21.05263158</v>
      </c>
      <c r="H71" s="183"/>
      <c r="I71" s="179"/>
      <c r="J71" s="179"/>
      <c r="K71" s="179"/>
      <c r="L71" s="179"/>
      <c r="M71" s="118">
        <f t="shared" si="30"/>
        <v>0</v>
      </c>
      <c r="N71" s="119">
        <f t="shared" si="31"/>
        <v>0</v>
      </c>
      <c r="O71" s="176"/>
      <c r="P71" s="179"/>
      <c r="Q71" s="179"/>
      <c r="R71" s="179"/>
      <c r="S71" s="179"/>
      <c r="T71" s="179"/>
      <c r="U71" s="179"/>
      <c r="V71" s="179"/>
      <c r="W71" s="179"/>
      <c r="X71" s="179"/>
      <c r="Y71" s="179"/>
      <c r="Z71" s="179"/>
      <c r="AA71" s="179"/>
      <c r="AB71" s="179"/>
      <c r="AC71" s="179"/>
      <c r="AD71" s="179"/>
      <c r="AE71" s="179"/>
      <c r="AF71" s="176"/>
      <c r="AG71" s="176"/>
      <c r="AH71" s="176"/>
      <c r="AI71" s="176"/>
      <c r="AJ71" s="251">
        <f t="shared" si="32"/>
        <v>0</v>
      </c>
      <c r="AK71" s="169">
        <f t="shared" si="33"/>
        <v>0</v>
      </c>
      <c r="AL71" s="183"/>
      <c r="AM71" s="179"/>
      <c r="AN71" s="179"/>
      <c r="AO71" s="179"/>
      <c r="AP71" s="179"/>
      <c r="AQ71" s="179"/>
      <c r="AR71" s="179"/>
      <c r="AS71" s="184">
        <v>1.0</v>
      </c>
      <c r="AT71" s="179"/>
      <c r="AU71" s="179"/>
      <c r="AV71" s="184">
        <v>1.0</v>
      </c>
      <c r="AW71" s="179"/>
      <c r="AX71" s="179"/>
      <c r="AY71" s="179"/>
      <c r="AZ71" s="179"/>
      <c r="BA71" s="179"/>
      <c r="BB71" s="179"/>
      <c r="BC71" s="179"/>
      <c r="BD71" s="179"/>
      <c r="BE71" s="179"/>
      <c r="BF71" s="179"/>
      <c r="BG71" s="118">
        <f t="shared" si="34"/>
        <v>2</v>
      </c>
      <c r="BH71" s="122">
        <f t="shared" si="35"/>
        <v>40</v>
      </c>
      <c r="BI71" s="176"/>
      <c r="BJ71" s="179"/>
      <c r="BK71" s="179"/>
      <c r="BL71" s="179"/>
      <c r="BM71" s="179"/>
      <c r="BN71" s="179"/>
      <c r="BO71" s="179"/>
      <c r="BP71" s="179"/>
      <c r="BQ71" s="179"/>
      <c r="BR71" s="179"/>
      <c r="BS71" s="179"/>
      <c r="BT71" s="179"/>
      <c r="BU71" s="252"/>
      <c r="BV71" s="184">
        <v>1.0</v>
      </c>
      <c r="BW71" s="186"/>
      <c r="BX71" s="186"/>
      <c r="BY71" s="186"/>
      <c r="BZ71" s="186"/>
      <c r="CA71" s="186"/>
      <c r="CB71" s="186"/>
      <c r="CC71" s="186"/>
      <c r="CD71" s="186"/>
      <c r="CE71" s="172">
        <f t="shared" si="36"/>
        <v>1</v>
      </c>
      <c r="CF71" s="173">
        <f t="shared" si="37"/>
        <v>12.5</v>
      </c>
      <c r="CG71" s="189">
        <v>1.0</v>
      </c>
      <c r="CH71" s="186"/>
      <c r="CI71" s="186"/>
      <c r="CJ71" s="186"/>
      <c r="CK71" s="186"/>
      <c r="CL71" s="186"/>
      <c r="CM71" s="186"/>
      <c r="CN71" s="186"/>
      <c r="CO71" s="186"/>
      <c r="CP71" s="186"/>
      <c r="CQ71" s="186"/>
      <c r="CR71" s="186"/>
      <c r="CS71" s="175">
        <f t="shared" si="38"/>
        <v>1</v>
      </c>
      <c r="CT71" s="158">
        <f t="shared" si="39"/>
        <v>33.33333333</v>
      </c>
    </row>
    <row r="72" ht="15.75" customHeight="1">
      <c r="A72" s="131">
        <v>62.0</v>
      </c>
      <c r="B72" s="111" t="s">
        <v>175</v>
      </c>
      <c r="C72" s="112" t="s">
        <v>176</v>
      </c>
      <c r="D72" s="250">
        <f t="shared" si="6"/>
        <v>1</v>
      </c>
      <c r="E72" s="113">
        <f t="shared" si="27"/>
        <v>5.263157895</v>
      </c>
      <c r="F72" s="114">
        <f t="shared" si="28"/>
        <v>5.263157895</v>
      </c>
      <c r="G72" s="202">
        <f t="shared" si="29"/>
        <v>5.263157895</v>
      </c>
      <c r="H72" s="183"/>
      <c r="I72" s="179"/>
      <c r="J72" s="179"/>
      <c r="K72" s="179"/>
      <c r="L72" s="179"/>
      <c r="M72" s="118">
        <f t="shared" si="30"/>
        <v>0</v>
      </c>
      <c r="N72" s="119">
        <f t="shared" si="31"/>
        <v>0</v>
      </c>
      <c r="O72" s="176"/>
      <c r="P72" s="179"/>
      <c r="Q72" s="179"/>
      <c r="R72" s="179"/>
      <c r="S72" s="179"/>
      <c r="T72" s="179"/>
      <c r="U72" s="179"/>
      <c r="V72" s="179"/>
      <c r="W72" s="179"/>
      <c r="X72" s="179"/>
      <c r="Y72" s="179"/>
      <c r="Z72" s="179"/>
      <c r="AA72" s="179"/>
      <c r="AB72" s="179"/>
      <c r="AC72" s="179"/>
      <c r="AD72" s="179"/>
      <c r="AE72" s="179"/>
      <c r="AF72" s="176"/>
      <c r="AG72" s="176"/>
      <c r="AH72" s="176"/>
      <c r="AI72" s="176"/>
      <c r="AJ72" s="251">
        <f t="shared" si="32"/>
        <v>0</v>
      </c>
      <c r="AK72" s="169">
        <f t="shared" si="33"/>
        <v>0</v>
      </c>
      <c r="AL72" s="183"/>
      <c r="AM72" s="179"/>
      <c r="AN72" s="179"/>
      <c r="AO72" s="179"/>
      <c r="AP72" s="179"/>
      <c r="AQ72" s="179"/>
      <c r="AR72" s="179"/>
      <c r="AS72" s="179"/>
      <c r="AT72" s="179"/>
      <c r="AU72" s="179"/>
      <c r="AV72" s="184">
        <v>1.0</v>
      </c>
      <c r="AW72" s="179"/>
      <c r="AX72" s="179"/>
      <c r="AY72" s="179"/>
      <c r="AZ72" s="179"/>
      <c r="BA72" s="179"/>
      <c r="BB72" s="179"/>
      <c r="BC72" s="179"/>
      <c r="BD72" s="179"/>
      <c r="BE72" s="179"/>
      <c r="BF72" s="179"/>
      <c r="BG72" s="118">
        <f t="shared" si="34"/>
        <v>1</v>
      </c>
      <c r="BH72" s="122">
        <f t="shared" si="35"/>
        <v>20</v>
      </c>
      <c r="BI72" s="176"/>
      <c r="BJ72" s="179"/>
      <c r="BK72" s="179"/>
      <c r="BL72" s="179"/>
      <c r="BM72" s="179"/>
      <c r="BN72" s="179"/>
      <c r="BO72" s="179"/>
      <c r="BP72" s="179"/>
      <c r="BQ72" s="179"/>
      <c r="BR72" s="179"/>
      <c r="BS72" s="179"/>
      <c r="BT72" s="179"/>
      <c r="BU72" s="185"/>
      <c r="BV72" s="179"/>
      <c r="BW72" s="186"/>
      <c r="BX72" s="186"/>
      <c r="BY72" s="186"/>
      <c r="BZ72" s="186"/>
      <c r="CA72" s="186"/>
      <c r="CB72" s="186"/>
      <c r="CC72" s="186"/>
      <c r="CD72" s="186"/>
      <c r="CE72" s="172">
        <f t="shared" si="36"/>
        <v>0</v>
      </c>
      <c r="CF72" s="173">
        <f t="shared" si="37"/>
        <v>0</v>
      </c>
      <c r="CG72" s="199"/>
      <c r="CH72" s="186"/>
      <c r="CI72" s="186"/>
      <c r="CJ72" s="186"/>
      <c r="CK72" s="186"/>
      <c r="CL72" s="186"/>
      <c r="CM72" s="186"/>
      <c r="CN72" s="186"/>
      <c r="CO72" s="186"/>
      <c r="CP72" s="186"/>
      <c r="CQ72" s="186"/>
      <c r="CR72" s="186"/>
      <c r="CS72" s="175">
        <f t="shared" si="38"/>
        <v>0</v>
      </c>
      <c r="CT72" s="158">
        <f t="shared" si="39"/>
        <v>0</v>
      </c>
    </row>
    <row r="73" ht="15.75" customHeight="1">
      <c r="A73" s="146">
        <v>63.0</v>
      </c>
      <c r="B73" s="111" t="s">
        <v>177</v>
      </c>
      <c r="C73" s="112" t="s">
        <v>178</v>
      </c>
      <c r="D73" s="250">
        <f t="shared" si="6"/>
        <v>5</v>
      </c>
      <c r="E73" s="113">
        <f t="shared" si="27"/>
        <v>26.31578947</v>
      </c>
      <c r="F73" s="114">
        <f t="shared" si="28"/>
        <v>26.31578947</v>
      </c>
      <c r="G73" s="202">
        <f t="shared" si="29"/>
        <v>26.31578947</v>
      </c>
      <c r="H73" s="212"/>
      <c r="I73" s="207"/>
      <c r="J73" s="207"/>
      <c r="K73" s="207"/>
      <c r="L73" s="207"/>
      <c r="M73" s="118">
        <f t="shared" si="30"/>
        <v>0</v>
      </c>
      <c r="N73" s="119">
        <f t="shared" si="31"/>
        <v>0</v>
      </c>
      <c r="O73" s="206"/>
      <c r="P73" s="207"/>
      <c r="Q73" s="207"/>
      <c r="R73" s="207"/>
      <c r="S73" s="207"/>
      <c r="T73" s="207"/>
      <c r="U73" s="207"/>
      <c r="V73" s="207"/>
      <c r="W73" s="207"/>
      <c r="X73" s="207"/>
      <c r="Y73" s="234">
        <v>1.0</v>
      </c>
      <c r="Z73" s="207"/>
      <c r="AA73" s="207"/>
      <c r="AB73" s="207"/>
      <c r="AC73" s="207"/>
      <c r="AD73" s="207"/>
      <c r="AE73" s="207"/>
      <c r="AF73" s="206"/>
      <c r="AG73" s="206"/>
      <c r="AH73" s="206"/>
      <c r="AI73" s="206"/>
      <c r="AJ73" s="251">
        <f t="shared" si="32"/>
        <v>1</v>
      </c>
      <c r="AK73" s="169">
        <f t="shared" si="33"/>
        <v>25</v>
      </c>
      <c r="AL73" s="212"/>
      <c r="AM73" s="207"/>
      <c r="AN73" s="234">
        <v>1.0</v>
      </c>
      <c r="AO73" s="207"/>
      <c r="AP73" s="207"/>
      <c r="AQ73" s="207"/>
      <c r="AR73" s="207"/>
      <c r="AS73" s="234">
        <v>1.0</v>
      </c>
      <c r="AT73" s="207"/>
      <c r="AU73" s="207"/>
      <c r="AV73" s="207"/>
      <c r="AW73" s="207"/>
      <c r="AX73" s="207"/>
      <c r="AY73" s="207"/>
      <c r="AZ73" s="207"/>
      <c r="BA73" s="207"/>
      <c r="BB73" s="207"/>
      <c r="BC73" s="207"/>
      <c r="BD73" s="207"/>
      <c r="BE73" s="207"/>
      <c r="BF73" s="207"/>
      <c r="BG73" s="118">
        <f t="shared" si="34"/>
        <v>2</v>
      </c>
      <c r="BH73" s="122">
        <f t="shared" si="35"/>
        <v>40</v>
      </c>
      <c r="BI73" s="206"/>
      <c r="BJ73" s="207"/>
      <c r="BK73" s="207"/>
      <c r="BL73" s="207"/>
      <c r="BM73" s="207"/>
      <c r="BN73" s="207"/>
      <c r="BO73" s="207"/>
      <c r="BP73" s="207"/>
      <c r="BQ73" s="207"/>
      <c r="BR73" s="207"/>
      <c r="BS73" s="207"/>
      <c r="BT73" s="207"/>
      <c r="BU73" s="185"/>
      <c r="BV73" s="234">
        <v>1.0</v>
      </c>
      <c r="BW73" s="186"/>
      <c r="BX73" s="186"/>
      <c r="BY73" s="186"/>
      <c r="BZ73" s="186"/>
      <c r="CA73" s="186"/>
      <c r="CB73" s="186"/>
      <c r="CC73" s="186"/>
      <c r="CD73" s="186"/>
      <c r="CE73" s="172">
        <f t="shared" si="36"/>
        <v>1</v>
      </c>
      <c r="CF73" s="173">
        <f t="shared" si="37"/>
        <v>12.5</v>
      </c>
      <c r="CG73" s="189">
        <v>1.0</v>
      </c>
      <c r="CH73" s="186"/>
      <c r="CI73" s="186"/>
      <c r="CJ73" s="186"/>
      <c r="CK73" s="186"/>
      <c r="CL73" s="186"/>
      <c r="CM73" s="186"/>
      <c r="CN73" s="186"/>
      <c r="CO73" s="186"/>
      <c r="CP73" s="186"/>
      <c r="CQ73" s="186"/>
      <c r="CR73" s="186"/>
      <c r="CS73" s="175">
        <f t="shared" si="38"/>
        <v>1</v>
      </c>
      <c r="CT73" s="158">
        <f t="shared" si="39"/>
        <v>33.33333333</v>
      </c>
    </row>
    <row r="74" ht="15.75" customHeight="1">
      <c r="A74" s="146">
        <v>64.0</v>
      </c>
      <c r="B74" s="111" t="s">
        <v>179</v>
      </c>
      <c r="C74" s="112" t="s">
        <v>180</v>
      </c>
      <c r="D74" s="250">
        <f t="shared" si="6"/>
        <v>11</v>
      </c>
      <c r="E74" s="113">
        <f t="shared" si="27"/>
        <v>57.89473684</v>
      </c>
      <c r="F74" s="114" t="str">
        <f t="shared" si="28"/>
        <v>  </v>
      </c>
      <c r="G74" s="202" t="str">
        <f t="shared" si="29"/>
        <v>  </v>
      </c>
      <c r="H74" s="183"/>
      <c r="I74" s="179"/>
      <c r="J74" s="179"/>
      <c r="K74" s="179"/>
      <c r="L74" s="179"/>
      <c r="M74" s="118">
        <f t="shared" si="30"/>
        <v>0</v>
      </c>
      <c r="N74" s="119">
        <f t="shared" si="31"/>
        <v>0</v>
      </c>
      <c r="O74" s="176"/>
      <c r="P74" s="179"/>
      <c r="Q74" s="179"/>
      <c r="R74" s="179"/>
      <c r="S74" s="179"/>
      <c r="T74" s="179"/>
      <c r="U74" s="179"/>
      <c r="V74" s="179"/>
      <c r="W74" s="179"/>
      <c r="X74" s="179"/>
      <c r="Y74" s="184">
        <v>1.0</v>
      </c>
      <c r="Z74" s="184">
        <v>1.0</v>
      </c>
      <c r="AA74" s="179"/>
      <c r="AB74" s="184">
        <v>1.0</v>
      </c>
      <c r="AC74" s="179"/>
      <c r="AD74" s="179"/>
      <c r="AE74" s="179"/>
      <c r="AF74" s="176"/>
      <c r="AG74" s="176"/>
      <c r="AH74" s="176"/>
      <c r="AI74" s="176"/>
      <c r="AJ74" s="251">
        <f t="shared" si="32"/>
        <v>3</v>
      </c>
      <c r="AK74" s="169">
        <f t="shared" si="33"/>
        <v>75</v>
      </c>
      <c r="AL74" s="279">
        <v>1.0</v>
      </c>
      <c r="AM74" s="179"/>
      <c r="AN74" s="179"/>
      <c r="AO74" s="179"/>
      <c r="AP74" s="179"/>
      <c r="AQ74" s="179"/>
      <c r="AR74" s="179"/>
      <c r="AS74" s="179"/>
      <c r="AT74" s="179"/>
      <c r="AU74" s="179"/>
      <c r="AV74" s="179"/>
      <c r="AW74" s="179"/>
      <c r="AX74" s="179"/>
      <c r="AY74" s="179"/>
      <c r="AZ74" s="179"/>
      <c r="BA74" s="179"/>
      <c r="BB74" s="179"/>
      <c r="BC74" s="179"/>
      <c r="BD74" s="179"/>
      <c r="BE74" s="179"/>
      <c r="BF74" s="179"/>
      <c r="BG74" s="118">
        <f t="shared" si="34"/>
        <v>1</v>
      </c>
      <c r="BH74" s="122">
        <f t="shared" si="35"/>
        <v>20</v>
      </c>
      <c r="BI74" s="176"/>
      <c r="BJ74" s="179"/>
      <c r="BK74" s="179"/>
      <c r="BL74" s="179"/>
      <c r="BM74" s="179"/>
      <c r="BN74" s="179"/>
      <c r="BO74" s="179"/>
      <c r="BP74" s="179"/>
      <c r="BQ74" s="179"/>
      <c r="BR74" s="184">
        <v>1.0</v>
      </c>
      <c r="BS74" s="179"/>
      <c r="BT74" s="179"/>
      <c r="BU74" s="185"/>
      <c r="BV74" s="184">
        <v>1.0</v>
      </c>
      <c r="BW74" s="200">
        <v>1.0</v>
      </c>
      <c r="BX74" s="186"/>
      <c r="BY74" s="186"/>
      <c r="BZ74" s="186"/>
      <c r="CA74" s="186"/>
      <c r="CB74" s="200">
        <v>1.0</v>
      </c>
      <c r="CC74" s="186"/>
      <c r="CD74" s="186"/>
      <c r="CE74" s="172">
        <f t="shared" si="36"/>
        <v>4</v>
      </c>
      <c r="CF74" s="173">
        <f t="shared" si="37"/>
        <v>50</v>
      </c>
      <c r="CG74" s="189">
        <v>1.0</v>
      </c>
      <c r="CH74" s="186"/>
      <c r="CI74" s="200">
        <v>1.0</v>
      </c>
      <c r="CJ74" s="200">
        <v>1.0</v>
      </c>
      <c r="CK74" s="186"/>
      <c r="CL74" s="186"/>
      <c r="CM74" s="186"/>
      <c r="CN74" s="186"/>
      <c r="CO74" s="186"/>
      <c r="CP74" s="186"/>
      <c r="CQ74" s="186"/>
      <c r="CR74" s="186"/>
      <c r="CS74" s="175">
        <f t="shared" si="38"/>
        <v>3</v>
      </c>
      <c r="CT74" s="158">
        <f t="shared" si="39"/>
        <v>100</v>
      </c>
    </row>
    <row r="75" ht="15.75" customHeight="1">
      <c r="A75" s="131">
        <v>65.0</v>
      </c>
      <c r="B75" s="111" t="s">
        <v>181</v>
      </c>
      <c r="C75" s="112" t="s">
        <v>182</v>
      </c>
      <c r="D75" s="250">
        <f t="shared" si="6"/>
        <v>8</v>
      </c>
      <c r="E75" s="113">
        <f t="shared" si="27"/>
        <v>42.10526316</v>
      </c>
      <c r="F75" s="114">
        <f t="shared" si="28"/>
        <v>42.10526316</v>
      </c>
      <c r="G75" s="164" t="str">
        <f t="shared" si="29"/>
        <v>  </v>
      </c>
      <c r="H75" s="183"/>
      <c r="I75" s="179"/>
      <c r="J75" s="179"/>
      <c r="K75" s="179"/>
      <c r="L75" s="179"/>
      <c r="M75" s="118">
        <f t="shared" si="30"/>
        <v>0</v>
      </c>
      <c r="N75" s="119">
        <f t="shared" si="31"/>
        <v>0</v>
      </c>
      <c r="O75" s="176"/>
      <c r="P75" s="179"/>
      <c r="Q75" s="179"/>
      <c r="R75" s="179"/>
      <c r="S75" s="179"/>
      <c r="T75" s="179"/>
      <c r="U75" s="179"/>
      <c r="V75" s="179"/>
      <c r="W75" s="179"/>
      <c r="X75" s="179"/>
      <c r="Y75" s="184">
        <v>1.0</v>
      </c>
      <c r="Z75" s="179"/>
      <c r="AA75" s="179"/>
      <c r="AB75" s="184">
        <v>1.0</v>
      </c>
      <c r="AC75" s="179"/>
      <c r="AD75" s="179"/>
      <c r="AE75" s="179"/>
      <c r="AF75" s="176"/>
      <c r="AG75" s="176"/>
      <c r="AH75" s="176"/>
      <c r="AI75" s="176"/>
      <c r="AJ75" s="251">
        <f t="shared" si="32"/>
        <v>2</v>
      </c>
      <c r="AK75" s="169">
        <f t="shared" si="33"/>
        <v>50</v>
      </c>
      <c r="AL75" s="183"/>
      <c r="AM75" s="179"/>
      <c r="AN75" s="179"/>
      <c r="AO75" s="179"/>
      <c r="AP75" s="179"/>
      <c r="AQ75" s="179"/>
      <c r="AR75" s="179"/>
      <c r="AS75" s="184">
        <v>1.0</v>
      </c>
      <c r="AT75" s="179"/>
      <c r="AU75" s="179"/>
      <c r="AV75" s="184">
        <v>1.0</v>
      </c>
      <c r="AW75" s="179"/>
      <c r="AX75" s="179"/>
      <c r="AY75" s="179"/>
      <c r="AZ75" s="179"/>
      <c r="BA75" s="179"/>
      <c r="BB75" s="179"/>
      <c r="BC75" s="179"/>
      <c r="BD75" s="179"/>
      <c r="BE75" s="179"/>
      <c r="BF75" s="179"/>
      <c r="BG75" s="118">
        <f t="shared" si="34"/>
        <v>2</v>
      </c>
      <c r="BH75" s="122">
        <f t="shared" si="35"/>
        <v>40</v>
      </c>
      <c r="BI75" s="176"/>
      <c r="BJ75" s="179"/>
      <c r="BK75" s="179"/>
      <c r="BL75" s="179"/>
      <c r="BM75" s="179"/>
      <c r="BN75" s="179"/>
      <c r="BO75" s="179"/>
      <c r="BP75" s="179"/>
      <c r="BQ75" s="179"/>
      <c r="BR75" s="184">
        <v>1.0</v>
      </c>
      <c r="BS75" s="179"/>
      <c r="BT75" s="179"/>
      <c r="BU75" s="185"/>
      <c r="BV75" s="184">
        <v>1.0</v>
      </c>
      <c r="BW75" s="186"/>
      <c r="BX75" s="186"/>
      <c r="BY75" s="186"/>
      <c r="BZ75" s="186"/>
      <c r="CA75" s="186"/>
      <c r="CB75" s="186"/>
      <c r="CC75" s="186"/>
      <c r="CD75" s="186"/>
      <c r="CE75" s="172">
        <f t="shared" si="36"/>
        <v>2</v>
      </c>
      <c r="CF75" s="173">
        <f t="shared" si="37"/>
        <v>25</v>
      </c>
      <c r="CG75" s="189">
        <v>1.0</v>
      </c>
      <c r="CH75" s="186"/>
      <c r="CI75" s="186"/>
      <c r="CJ75" s="200">
        <v>1.0</v>
      </c>
      <c r="CK75" s="186"/>
      <c r="CL75" s="186"/>
      <c r="CM75" s="186"/>
      <c r="CN75" s="186"/>
      <c r="CO75" s="186"/>
      <c r="CP75" s="186"/>
      <c r="CQ75" s="186"/>
      <c r="CR75" s="186"/>
      <c r="CS75" s="175">
        <f t="shared" si="38"/>
        <v>2</v>
      </c>
      <c r="CT75" s="158">
        <f t="shared" si="39"/>
        <v>66.66666667</v>
      </c>
    </row>
    <row r="76" ht="15.75" customHeight="1">
      <c r="A76" s="146">
        <v>66.0</v>
      </c>
      <c r="B76" s="111" t="s">
        <v>183</v>
      </c>
      <c r="C76" s="112" t="s">
        <v>184</v>
      </c>
      <c r="D76" s="250">
        <f t="shared" si="6"/>
        <v>0</v>
      </c>
      <c r="E76" s="113">
        <f t="shared" si="27"/>
        <v>0</v>
      </c>
      <c r="F76" s="114">
        <f t="shared" si="28"/>
        <v>0</v>
      </c>
      <c r="G76" s="202">
        <f t="shared" si="29"/>
        <v>0</v>
      </c>
      <c r="H76" s="183"/>
      <c r="I76" s="179"/>
      <c r="J76" s="179"/>
      <c r="K76" s="179"/>
      <c r="L76" s="179"/>
      <c r="M76" s="118">
        <f t="shared" si="30"/>
        <v>0</v>
      </c>
      <c r="N76" s="119">
        <f t="shared" si="31"/>
        <v>0</v>
      </c>
      <c r="O76" s="176"/>
      <c r="P76" s="179"/>
      <c r="Q76" s="179"/>
      <c r="R76" s="179"/>
      <c r="S76" s="179"/>
      <c r="T76" s="179"/>
      <c r="U76" s="179"/>
      <c r="V76" s="179"/>
      <c r="W76" s="179"/>
      <c r="X76" s="179"/>
      <c r="Y76" s="179"/>
      <c r="Z76" s="179"/>
      <c r="AA76" s="179"/>
      <c r="AB76" s="179"/>
      <c r="AC76" s="179"/>
      <c r="AD76" s="179"/>
      <c r="AE76" s="179"/>
      <c r="AF76" s="176"/>
      <c r="AG76" s="176"/>
      <c r="AH76" s="176"/>
      <c r="AI76" s="176"/>
      <c r="AJ76" s="251">
        <f t="shared" si="32"/>
        <v>0</v>
      </c>
      <c r="AK76" s="169">
        <f t="shared" si="33"/>
        <v>0</v>
      </c>
      <c r="AL76" s="183"/>
      <c r="AM76" s="179"/>
      <c r="AN76" s="179"/>
      <c r="AO76" s="179"/>
      <c r="AP76" s="179"/>
      <c r="AQ76" s="179"/>
      <c r="AR76" s="179"/>
      <c r="AS76" s="179"/>
      <c r="AT76" s="179"/>
      <c r="AU76" s="179"/>
      <c r="AV76" s="179"/>
      <c r="AW76" s="179"/>
      <c r="AX76" s="179"/>
      <c r="AY76" s="179"/>
      <c r="AZ76" s="179"/>
      <c r="BA76" s="179"/>
      <c r="BB76" s="179"/>
      <c r="BC76" s="179"/>
      <c r="BD76" s="179"/>
      <c r="BE76" s="179"/>
      <c r="BF76" s="179"/>
      <c r="BG76" s="118">
        <f t="shared" si="34"/>
        <v>0</v>
      </c>
      <c r="BH76" s="122">
        <f t="shared" si="35"/>
        <v>0</v>
      </c>
      <c r="BI76" s="176"/>
      <c r="BJ76" s="179"/>
      <c r="BK76" s="179"/>
      <c r="BL76" s="179"/>
      <c r="BM76" s="179"/>
      <c r="BN76" s="179"/>
      <c r="BO76" s="179"/>
      <c r="BP76" s="179"/>
      <c r="BQ76" s="179"/>
      <c r="BR76" s="179"/>
      <c r="BS76" s="179"/>
      <c r="BT76" s="179"/>
      <c r="BU76" s="185"/>
      <c r="BV76" s="179"/>
      <c r="BW76" s="186"/>
      <c r="BX76" s="186"/>
      <c r="BY76" s="186"/>
      <c r="BZ76" s="186"/>
      <c r="CA76" s="186"/>
      <c r="CB76" s="186"/>
      <c r="CC76" s="186"/>
      <c r="CD76" s="186"/>
      <c r="CE76" s="172">
        <f t="shared" si="36"/>
        <v>0</v>
      </c>
      <c r="CF76" s="173">
        <f t="shared" si="37"/>
        <v>0</v>
      </c>
      <c r="CG76" s="199"/>
      <c r="CH76" s="186"/>
      <c r="CI76" s="186"/>
      <c r="CJ76" s="186"/>
      <c r="CK76" s="186"/>
      <c r="CL76" s="186"/>
      <c r="CM76" s="186"/>
      <c r="CN76" s="186"/>
      <c r="CO76" s="186"/>
      <c r="CP76" s="186"/>
      <c r="CQ76" s="186"/>
      <c r="CR76" s="186"/>
      <c r="CS76" s="175">
        <f t="shared" si="38"/>
        <v>0</v>
      </c>
      <c r="CT76" s="158">
        <f t="shared" si="39"/>
        <v>0</v>
      </c>
    </row>
    <row r="77" ht="15.75" customHeight="1">
      <c r="A77" s="146">
        <v>67.0</v>
      </c>
      <c r="B77" s="111" t="s">
        <v>185</v>
      </c>
      <c r="C77" s="112" t="s">
        <v>186</v>
      </c>
      <c r="D77" s="250">
        <f t="shared" si="6"/>
        <v>7</v>
      </c>
      <c r="E77" s="113">
        <f t="shared" si="27"/>
        <v>36.84210526</v>
      </c>
      <c r="F77" s="114">
        <f t="shared" si="28"/>
        <v>36.84210526</v>
      </c>
      <c r="G77" s="202" t="str">
        <f t="shared" si="29"/>
        <v>  </v>
      </c>
      <c r="H77" s="183"/>
      <c r="I77" s="179"/>
      <c r="J77" s="179"/>
      <c r="K77" s="179"/>
      <c r="L77" s="179"/>
      <c r="M77" s="118">
        <f t="shared" si="30"/>
        <v>0</v>
      </c>
      <c r="N77" s="119">
        <f t="shared" si="31"/>
        <v>0</v>
      </c>
      <c r="O77" s="176"/>
      <c r="P77" s="179"/>
      <c r="Q77" s="179"/>
      <c r="R77" s="179"/>
      <c r="S77" s="179"/>
      <c r="T77" s="179"/>
      <c r="U77" s="179"/>
      <c r="V77" s="179"/>
      <c r="W77" s="179"/>
      <c r="X77" s="179"/>
      <c r="Y77" s="184">
        <v>1.0</v>
      </c>
      <c r="Z77" s="179"/>
      <c r="AA77" s="179"/>
      <c r="AB77" s="184">
        <v>1.0</v>
      </c>
      <c r="AC77" s="179"/>
      <c r="AD77" s="179"/>
      <c r="AE77" s="179"/>
      <c r="AF77" s="176"/>
      <c r="AG77" s="176"/>
      <c r="AH77" s="176"/>
      <c r="AI77" s="176"/>
      <c r="AJ77" s="251">
        <f t="shared" si="32"/>
        <v>2</v>
      </c>
      <c r="AK77" s="169">
        <f t="shared" si="33"/>
        <v>50</v>
      </c>
      <c r="AL77" s="279">
        <v>1.0</v>
      </c>
      <c r="AM77" s="179"/>
      <c r="AN77" s="184">
        <v>1.0</v>
      </c>
      <c r="AO77" s="179"/>
      <c r="AP77" s="179"/>
      <c r="AQ77" s="184">
        <v>1.0</v>
      </c>
      <c r="AR77" s="179"/>
      <c r="AS77" s="179"/>
      <c r="AT77" s="179"/>
      <c r="AU77" s="179"/>
      <c r="AV77" s="179"/>
      <c r="AW77" s="179"/>
      <c r="AX77" s="179"/>
      <c r="AY77" s="179"/>
      <c r="AZ77" s="179"/>
      <c r="BA77" s="179"/>
      <c r="BB77" s="179"/>
      <c r="BC77" s="179"/>
      <c r="BD77" s="179"/>
      <c r="BE77" s="179"/>
      <c r="BF77" s="179"/>
      <c r="BG77" s="118">
        <f t="shared" si="34"/>
        <v>3</v>
      </c>
      <c r="BH77" s="122">
        <f t="shared" si="35"/>
        <v>60</v>
      </c>
      <c r="BI77" s="176"/>
      <c r="BJ77" s="179"/>
      <c r="BK77" s="179"/>
      <c r="BL77" s="179"/>
      <c r="BM77" s="179"/>
      <c r="BN77" s="179"/>
      <c r="BO77" s="184">
        <v>1.0</v>
      </c>
      <c r="BP77" s="179"/>
      <c r="BQ77" s="179"/>
      <c r="BR77" s="179"/>
      <c r="BS77" s="179"/>
      <c r="BT77" s="179"/>
      <c r="BU77" s="185"/>
      <c r="BV77" s="179"/>
      <c r="BW77" s="186"/>
      <c r="BX77" s="186"/>
      <c r="BY77" s="186"/>
      <c r="BZ77" s="186"/>
      <c r="CA77" s="186"/>
      <c r="CB77" s="186"/>
      <c r="CC77" s="186"/>
      <c r="CD77" s="186"/>
      <c r="CE77" s="172">
        <f t="shared" si="36"/>
        <v>1</v>
      </c>
      <c r="CF77" s="173">
        <f t="shared" si="37"/>
        <v>12.5</v>
      </c>
      <c r="CG77" s="189">
        <v>1.0</v>
      </c>
      <c r="CH77" s="186"/>
      <c r="CI77" s="186"/>
      <c r="CJ77" s="186"/>
      <c r="CK77" s="186"/>
      <c r="CL77" s="186"/>
      <c r="CM77" s="186"/>
      <c r="CN77" s="186"/>
      <c r="CO77" s="186"/>
      <c r="CP77" s="186"/>
      <c r="CQ77" s="186"/>
      <c r="CR77" s="186"/>
      <c r="CS77" s="175">
        <f t="shared" si="38"/>
        <v>1</v>
      </c>
      <c r="CT77" s="158">
        <f t="shared" si="39"/>
        <v>33.33333333</v>
      </c>
    </row>
    <row r="78" ht="15.75" customHeight="1">
      <c r="A78" s="131">
        <v>68.0</v>
      </c>
      <c r="B78" s="161" t="s">
        <v>187</v>
      </c>
      <c r="C78" s="162" t="s">
        <v>188</v>
      </c>
      <c r="D78" s="250">
        <f t="shared" si="6"/>
        <v>9</v>
      </c>
      <c r="E78" s="113">
        <f t="shared" si="27"/>
        <v>47.36842105</v>
      </c>
      <c r="F78" s="114">
        <f t="shared" si="28"/>
        <v>47.36842105</v>
      </c>
      <c r="G78" s="202" t="str">
        <f t="shared" si="29"/>
        <v>  </v>
      </c>
      <c r="H78" s="183"/>
      <c r="I78" s="179"/>
      <c r="J78" s="179"/>
      <c r="K78" s="179"/>
      <c r="L78" s="179"/>
      <c r="M78" s="118">
        <f t="shared" si="30"/>
        <v>0</v>
      </c>
      <c r="N78" s="119">
        <f t="shared" si="31"/>
        <v>0</v>
      </c>
      <c r="O78" s="176"/>
      <c r="P78" s="179"/>
      <c r="Q78" s="179"/>
      <c r="R78" s="179"/>
      <c r="S78" s="179"/>
      <c r="T78" s="179"/>
      <c r="U78" s="179"/>
      <c r="V78" s="179"/>
      <c r="W78" s="179"/>
      <c r="X78" s="179"/>
      <c r="Y78" s="179"/>
      <c r="Z78" s="179"/>
      <c r="AA78" s="179"/>
      <c r="AB78" s="179"/>
      <c r="AC78" s="179"/>
      <c r="AD78" s="179"/>
      <c r="AE78" s="179"/>
      <c r="AF78" s="176"/>
      <c r="AG78" s="176"/>
      <c r="AH78" s="176"/>
      <c r="AI78" s="176"/>
      <c r="AJ78" s="251">
        <f t="shared" si="32"/>
        <v>0</v>
      </c>
      <c r="AK78" s="169">
        <f t="shared" si="33"/>
        <v>0</v>
      </c>
      <c r="AL78" s="183"/>
      <c r="AM78" s="179"/>
      <c r="AN78" s="179"/>
      <c r="AO78" s="179"/>
      <c r="AP78" s="179"/>
      <c r="AQ78" s="179"/>
      <c r="AR78" s="179"/>
      <c r="AS78" s="184">
        <v>1.0</v>
      </c>
      <c r="AT78" s="179"/>
      <c r="AU78" s="179"/>
      <c r="AV78" s="179"/>
      <c r="AW78" s="179"/>
      <c r="AX78" s="179"/>
      <c r="AY78" s="179"/>
      <c r="AZ78" s="179"/>
      <c r="BA78" s="179"/>
      <c r="BB78" s="179"/>
      <c r="BC78" s="179"/>
      <c r="BD78" s="179"/>
      <c r="BE78" s="179"/>
      <c r="BF78" s="179"/>
      <c r="BG78" s="118">
        <f t="shared" si="34"/>
        <v>1</v>
      </c>
      <c r="BH78" s="122">
        <f t="shared" si="35"/>
        <v>20</v>
      </c>
      <c r="BI78" s="176"/>
      <c r="BJ78" s="179"/>
      <c r="BK78" s="179"/>
      <c r="BL78" s="179"/>
      <c r="BM78" s="179"/>
      <c r="BN78" s="179"/>
      <c r="BO78" s="184">
        <v>1.0</v>
      </c>
      <c r="BP78" s="179"/>
      <c r="BQ78" s="179"/>
      <c r="BR78" s="184">
        <v>1.0</v>
      </c>
      <c r="BS78" s="179"/>
      <c r="BT78" s="179"/>
      <c r="BU78" s="185"/>
      <c r="BV78" s="184">
        <v>1.0</v>
      </c>
      <c r="BW78" s="200">
        <v>1.0</v>
      </c>
      <c r="BX78" s="186"/>
      <c r="BY78" s="186"/>
      <c r="BZ78" s="186"/>
      <c r="CA78" s="186"/>
      <c r="CB78" s="200">
        <v>1.0</v>
      </c>
      <c r="CC78" s="186"/>
      <c r="CD78" s="186"/>
      <c r="CE78" s="172">
        <f t="shared" si="36"/>
        <v>5</v>
      </c>
      <c r="CF78" s="173">
        <f t="shared" si="37"/>
        <v>62.5</v>
      </c>
      <c r="CG78" s="189">
        <v>1.0</v>
      </c>
      <c r="CH78" s="200">
        <v>1.0</v>
      </c>
      <c r="CI78" s="200">
        <v>1.0</v>
      </c>
      <c r="CJ78" s="186"/>
      <c r="CK78" s="186"/>
      <c r="CL78" s="186"/>
      <c r="CM78" s="186"/>
      <c r="CN78" s="186"/>
      <c r="CO78" s="186"/>
      <c r="CP78" s="186"/>
      <c r="CQ78" s="186"/>
      <c r="CR78" s="186"/>
      <c r="CS78" s="175">
        <f t="shared" si="38"/>
        <v>3</v>
      </c>
      <c r="CT78" s="158">
        <f t="shared" si="39"/>
        <v>100</v>
      </c>
    </row>
    <row r="79" ht="15.75" customHeight="1">
      <c r="A79" s="146">
        <v>69.0</v>
      </c>
      <c r="B79" s="161" t="s">
        <v>189</v>
      </c>
      <c r="C79" s="162" t="s">
        <v>190</v>
      </c>
      <c r="D79" s="250">
        <f t="shared" si="6"/>
        <v>2</v>
      </c>
      <c r="E79" s="113">
        <f t="shared" si="27"/>
        <v>10.52631579</v>
      </c>
      <c r="F79" s="114">
        <f t="shared" si="28"/>
        <v>10.52631579</v>
      </c>
      <c r="G79" s="202">
        <f t="shared" si="29"/>
        <v>10.52631579</v>
      </c>
      <c r="H79" s="183"/>
      <c r="I79" s="179"/>
      <c r="J79" s="179"/>
      <c r="K79" s="179"/>
      <c r="L79" s="179"/>
      <c r="M79" s="118">
        <f t="shared" si="30"/>
        <v>0</v>
      </c>
      <c r="N79" s="119">
        <f t="shared" si="31"/>
        <v>0</v>
      </c>
      <c r="O79" s="176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  <c r="AA79" s="179"/>
      <c r="AB79" s="179"/>
      <c r="AC79" s="179"/>
      <c r="AD79" s="179"/>
      <c r="AE79" s="179"/>
      <c r="AF79" s="176"/>
      <c r="AG79" s="176"/>
      <c r="AH79" s="176"/>
      <c r="AI79" s="176"/>
      <c r="AJ79" s="251">
        <f t="shared" si="32"/>
        <v>0</v>
      </c>
      <c r="AK79" s="169">
        <f t="shared" si="33"/>
        <v>0</v>
      </c>
      <c r="AL79" s="183"/>
      <c r="AM79" s="179"/>
      <c r="AN79" s="179"/>
      <c r="AO79" s="179"/>
      <c r="AP79" s="179"/>
      <c r="AQ79" s="179"/>
      <c r="AR79" s="179"/>
      <c r="AS79" s="184">
        <v>1.0</v>
      </c>
      <c r="AT79" s="179"/>
      <c r="AU79" s="179"/>
      <c r="AV79" s="179"/>
      <c r="AW79" s="179"/>
      <c r="AX79" s="179"/>
      <c r="AY79" s="179"/>
      <c r="AZ79" s="179"/>
      <c r="BA79" s="179"/>
      <c r="BB79" s="179"/>
      <c r="BC79" s="179"/>
      <c r="BD79" s="179"/>
      <c r="BE79" s="179"/>
      <c r="BF79" s="179"/>
      <c r="BG79" s="118">
        <f t="shared" si="34"/>
        <v>1</v>
      </c>
      <c r="BH79" s="122">
        <f t="shared" si="35"/>
        <v>20</v>
      </c>
      <c r="BI79" s="176"/>
      <c r="BJ79" s="179"/>
      <c r="BK79" s="179"/>
      <c r="BL79" s="179"/>
      <c r="BM79" s="179"/>
      <c r="BN79" s="179"/>
      <c r="BO79" s="179"/>
      <c r="BP79" s="179"/>
      <c r="BQ79" s="179"/>
      <c r="BR79" s="179"/>
      <c r="BS79" s="179"/>
      <c r="BT79" s="179"/>
      <c r="BU79" s="185"/>
      <c r="BV79" s="184">
        <v>1.0</v>
      </c>
      <c r="BW79" s="186"/>
      <c r="BX79" s="186"/>
      <c r="BY79" s="186"/>
      <c r="BZ79" s="186"/>
      <c r="CA79" s="186"/>
      <c r="CB79" s="186"/>
      <c r="CC79" s="186"/>
      <c r="CD79" s="186"/>
      <c r="CE79" s="172">
        <f t="shared" si="36"/>
        <v>1</v>
      </c>
      <c r="CF79" s="173">
        <f t="shared" si="37"/>
        <v>12.5</v>
      </c>
      <c r="CG79" s="199"/>
      <c r="CH79" s="186"/>
      <c r="CI79" s="186"/>
      <c r="CJ79" s="186"/>
      <c r="CK79" s="186"/>
      <c r="CL79" s="186"/>
      <c r="CM79" s="186"/>
      <c r="CN79" s="186"/>
      <c r="CO79" s="186"/>
      <c r="CP79" s="186"/>
      <c r="CQ79" s="186"/>
      <c r="CR79" s="186"/>
      <c r="CS79" s="175">
        <f t="shared" si="38"/>
        <v>0</v>
      </c>
      <c r="CT79" s="158">
        <f t="shared" si="39"/>
        <v>0</v>
      </c>
    </row>
    <row r="80" ht="15.75" customHeight="1">
      <c r="A80" s="146">
        <v>70.0</v>
      </c>
      <c r="B80" s="111" t="s">
        <v>191</v>
      </c>
      <c r="C80" s="112" t="s">
        <v>192</v>
      </c>
      <c r="D80" s="250">
        <f t="shared" si="6"/>
        <v>6</v>
      </c>
      <c r="E80" s="113">
        <f t="shared" si="27"/>
        <v>31.57894737</v>
      </c>
      <c r="F80" s="114">
        <f t="shared" si="28"/>
        <v>31.57894737</v>
      </c>
      <c r="G80" s="202" t="str">
        <f t="shared" si="29"/>
        <v>  </v>
      </c>
      <c r="H80" s="183"/>
      <c r="I80" s="179"/>
      <c r="J80" s="179"/>
      <c r="K80" s="179"/>
      <c r="L80" s="179"/>
      <c r="M80" s="118">
        <f t="shared" si="30"/>
        <v>0</v>
      </c>
      <c r="N80" s="119">
        <f t="shared" si="31"/>
        <v>0</v>
      </c>
      <c r="O80" s="176"/>
      <c r="P80" s="179"/>
      <c r="Q80" s="179"/>
      <c r="R80" s="179"/>
      <c r="S80" s="179"/>
      <c r="T80" s="179"/>
      <c r="U80" s="179"/>
      <c r="V80" s="179"/>
      <c r="W80" s="179"/>
      <c r="X80" s="179"/>
      <c r="Y80" s="184">
        <v>1.0</v>
      </c>
      <c r="Z80" s="179"/>
      <c r="AA80" s="179"/>
      <c r="AB80" s="184">
        <v>1.0</v>
      </c>
      <c r="AC80" s="179"/>
      <c r="AD80" s="179"/>
      <c r="AE80" s="179"/>
      <c r="AF80" s="176"/>
      <c r="AG80" s="176"/>
      <c r="AH80" s="176"/>
      <c r="AI80" s="176"/>
      <c r="AJ80" s="251">
        <f t="shared" si="32"/>
        <v>2</v>
      </c>
      <c r="AK80" s="169">
        <f t="shared" si="33"/>
        <v>50</v>
      </c>
      <c r="AL80" s="183"/>
      <c r="AM80" s="179"/>
      <c r="AN80" s="184">
        <v>1.0</v>
      </c>
      <c r="AO80" s="179"/>
      <c r="AP80" s="179"/>
      <c r="AQ80" s="184">
        <v>1.0</v>
      </c>
      <c r="AR80" s="179"/>
      <c r="AS80" s="179"/>
      <c r="AT80" s="179"/>
      <c r="AU80" s="179"/>
      <c r="AV80" s="179"/>
      <c r="AW80" s="179"/>
      <c r="AX80" s="179"/>
      <c r="AY80" s="179"/>
      <c r="AZ80" s="179"/>
      <c r="BA80" s="179"/>
      <c r="BB80" s="179"/>
      <c r="BC80" s="179"/>
      <c r="BD80" s="179"/>
      <c r="BE80" s="179"/>
      <c r="BF80" s="179"/>
      <c r="BG80" s="118">
        <f t="shared" si="34"/>
        <v>2</v>
      </c>
      <c r="BH80" s="122">
        <f t="shared" si="35"/>
        <v>40</v>
      </c>
      <c r="BI80" s="176"/>
      <c r="BJ80" s="179"/>
      <c r="BK80" s="179"/>
      <c r="BL80" s="179"/>
      <c r="BM80" s="179"/>
      <c r="BN80" s="179"/>
      <c r="BO80" s="184">
        <v>1.0</v>
      </c>
      <c r="BP80" s="179"/>
      <c r="BQ80" s="179"/>
      <c r="BR80" s="179"/>
      <c r="BS80" s="179"/>
      <c r="BT80" s="179"/>
      <c r="BU80" s="185"/>
      <c r="BV80" s="179"/>
      <c r="BW80" s="200">
        <v>1.0</v>
      </c>
      <c r="BX80" s="186"/>
      <c r="BY80" s="186"/>
      <c r="BZ80" s="186"/>
      <c r="CA80" s="186"/>
      <c r="CB80" s="186"/>
      <c r="CC80" s="186"/>
      <c r="CD80" s="186"/>
      <c r="CE80" s="172">
        <f t="shared" si="36"/>
        <v>2</v>
      </c>
      <c r="CF80" s="173">
        <f t="shared" si="37"/>
        <v>25</v>
      </c>
      <c r="CG80" s="199"/>
      <c r="CH80" s="186"/>
      <c r="CI80" s="186"/>
      <c r="CJ80" s="186"/>
      <c r="CK80" s="186"/>
      <c r="CL80" s="186"/>
      <c r="CM80" s="186"/>
      <c r="CN80" s="186"/>
      <c r="CO80" s="186"/>
      <c r="CP80" s="186"/>
      <c r="CQ80" s="186"/>
      <c r="CR80" s="186"/>
      <c r="CS80" s="175">
        <f t="shared" si="38"/>
        <v>0</v>
      </c>
      <c r="CT80" s="158">
        <f t="shared" si="39"/>
        <v>0</v>
      </c>
    </row>
    <row r="81" ht="15.75" customHeight="1">
      <c r="A81" s="131">
        <v>71.0</v>
      </c>
      <c r="B81" s="111" t="s">
        <v>193</v>
      </c>
      <c r="C81" s="112" t="s">
        <v>194</v>
      </c>
      <c r="D81" s="250">
        <f t="shared" si="6"/>
        <v>10</v>
      </c>
      <c r="E81" s="113">
        <f t="shared" si="27"/>
        <v>52.63157895</v>
      </c>
      <c r="F81" s="114" t="str">
        <f t="shared" si="28"/>
        <v>  </v>
      </c>
      <c r="G81" s="202" t="str">
        <f t="shared" si="29"/>
        <v>  </v>
      </c>
      <c r="H81" s="183"/>
      <c r="I81" s="179"/>
      <c r="J81" s="179"/>
      <c r="K81" s="184">
        <v>1.0</v>
      </c>
      <c r="L81" s="179"/>
      <c r="M81" s="118">
        <f t="shared" si="30"/>
        <v>1</v>
      </c>
      <c r="N81" s="119">
        <f t="shared" si="31"/>
        <v>100</v>
      </c>
      <c r="O81" s="176"/>
      <c r="P81" s="179"/>
      <c r="Q81" s="179"/>
      <c r="R81" s="179"/>
      <c r="S81" s="179"/>
      <c r="T81" s="179"/>
      <c r="U81" s="179"/>
      <c r="V81" s="179"/>
      <c r="W81" s="179"/>
      <c r="X81" s="179"/>
      <c r="Y81" s="179"/>
      <c r="Z81" s="179"/>
      <c r="AA81" s="179"/>
      <c r="AB81" s="179"/>
      <c r="AC81" s="179"/>
      <c r="AD81" s="179"/>
      <c r="AE81" s="179"/>
      <c r="AF81" s="176"/>
      <c r="AG81" s="176"/>
      <c r="AH81" s="176"/>
      <c r="AI81" s="176"/>
      <c r="AJ81" s="251">
        <f t="shared" si="32"/>
        <v>0</v>
      </c>
      <c r="AK81" s="169">
        <f t="shared" si="33"/>
        <v>0</v>
      </c>
      <c r="AL81" s="279">
        <v>1.0</v>
      </c>
      <c r="AM81" s="179"/>
      <c r="AN81" s="184">
        <v>1.0</v>
      </c>
      <c r="AO81" s="179"/>
      <c r="AP81" s="179"/>
      <c r="AQ81" s="184">
        <v>1.0</v>
      </c>
      <c r="AR81" s="179"/>
      <c r="AS81" s="184">
        <v>1.0</v>
      </c>
      <c r="AT81" s="179"/>
      <c r="AU81" s="179"/>
      <c r="AV81" s="184">
        <v>1.0</v>
      </c>
      <c r="AW81" s="179"/>
      <c r="AX81" s="179"/>
      <c r="AY81" s="179"/>
      <c r="AZ81" s="179"/>
      <c r="BA81" s="179"/>
      <c r="BB81" s="179"/>
      <c r="BC81" s="179"/>
      <c r="BD81" s="179"/>
      <c r="BE81" s="179"/>
      <c r="BF81" s="179"/>
      <c r="BG81" s="118">
        <f t="shared" si="34"/>
        <v>5</v>
      </c>
      <c r="BH81" s="122">
        <f t="shared" si="35"/>
        <v>100</v>
      </c>
      <c r="BI81" s="176"/>
      <c r="BJ81" s="179"/>
      <c r="BK81" s="179"/>
      <c r="BL81" s="179"/>
      <c r="BM81" s="179"/>
      <c r="BN81" s="179"/>
      <c r="BO81" s="179"/>
      <c r="BP81" s="179"/>
      <c r="BQ81" s="179"/>
      <c r="BR81" s="184">
        <v>1.0</v>
      </c>
      <c r="BS81" s="179"/>
      <c r="BT81" s="179"/>
      <c r="BU81" s="185"/>
      <c r="BV81" s="184">
        <v>1.0</v>
      </c>
      <c r="BW81" s="186"/>
      <c r="BX81" s="186"/>
      <c r="BY81" s="186"/>
      <c r="BZ81" s="186"/>
      <c r="CA81" s="186"/>
      <c r="CB81" s="200">
        <v>1.0</v>
      </c>
      <c r="CC81" s="186"/>
      <c r="CD81" s="186"/>
      <c r="CE81" s="172">
        <f t="shared" si="36"/>
        <v>3</v>
      </c>
      <c r="CF81" s="173">
        <f t="shared" si="37"/>
        <v>37.5</v>
      </c>
      <c r="CG81" s="199"/>
      <c r="CH81" s="200">
        <v>1.0</v>
      </c>
      <c r="CI81" s="186"/>
      <c r="CJ81" s="186"/>
      <c r="CK81" s="186"/>
      <c r="CL81" s="186"/>
      <c r="CM81" s="186"/>
      <c r="CN81" s="186"/>
      <c r="CO81" s="186"/>
      <c r="CP81" s="186"/>
      <c r="CQ81" s="186"/>
      <c r="CR81" s="186"/>
      <c r="CS81" s="175">
        <f t="shared" si="38"/>
        <v>1</v>
      </c>
      <c r="CT81" s="158">
        <f t="shared" si="39"/>
        <v>33.33333333</v>
      </c>
    </row>
    <row r="82" ht="15.75" customHeight="1">
      <c r="A82" s="146">
        <v>72.0</v>
      </c>
      <c r="B82" s="111" t="s">
        <v>195</v>
      </c>
      <c r="C82" s="112" t="s">
        <v>196</v>
      </c>
      <c r="D82" s="250">
        <f t="shared" si="6"/>
        <v>1</v>
      </c>
      <c r="E82" s="113">
        <f t="shared" si="27"/>
        <v>5.263157895</v>
      </c>
      <c r="F82" s="114">
        <f t="shared" si="28"/>
        <v>5.263157895</v>
      </c>
      <c r="G82" s="202">
        <f t="shared" si="29"/>
        <v>5.263157895</v>
      </c>
      <c r="H82" s="183"/>
      <c r="I82" s="179"/>
      <c r="J82" s="179"/>
      <c r="K82" s="179"/>
      <c r="L82" s="179"/>
      <c r="M82" s="118">
        <f t="shared" si="30"/>
        <v>0</v>
      </c>
      <c r="N82" s="119">
        <f t="shared" si="31"/>
        <v>0</v>
      </c>
      <c r="O82" s="176"/>
      <c r="P82" s="179"/>
      <c r="Q82" s="179"/>
      <c r="R82" s="179"/>
      <c r="S82" s="179"/>
      <c r="T82" s="179"/>
      <c r="U82" s="179"/>
      <c r="V82" s="179"/>
      <c r="W82" s="179"/>
      <c r="X82" s="179"/>
      <c r="Y82" s="179"/>
      <c r="Z82" s="179"/>
      <c r="AA82" s="179"/>
      <c r="AB82" s="179"/>
      <c r="AC82" s="179"/>
      <c r="AD82" s="179"/>
      <c r="AE82" s="179"/>
      <c r="AF82" s="176"/>
      <c r="AG82" s="176"/>
      <c r="AH82" s="176"/>
      <c r="AI82" s="176"/>
      <c r="AJ82" s="251">
        <f t="shared" si="32"/>
        <v>0</v>
      </c>
      <c r="AK82" s="169">
        <f t="shared" si="33"/>
        <v>0</v>
      </c>
      <c r="AL82" s="183"/>
      <c r="AM82" s="179"/>
      <c r="AN82" s="179"/>
      <c r="AO82" s="179"/>
      <c r="AP82" s="179"/>
      <c r="AQ82" s="179"/>
      <c r="AR82" s="179"/>
      <c r="AS82" s="179"/>
      <c r="AT82" s="179"/>
      <c r="AU82" s="179"/>
      <c r="AV82" s="179"/>
      <c r="AW82" s="179"/>
      <c r="AX82" s="179"/>
      <c r="AY82" s="179"/>
      <c r="AZ82" s="179"/>
      <c r="BA82" s="179"/>
      <c r="BB82" s="179"/>
      <c r="BC82" s="179"/>
      <c r="BD82" s="179"/>
      <c r="BE82" s="179"/>
      <c r="BF82" s="179"/>
      <c r="BG82" s="118">
        <f t="shared" si="34"/>
        <v>0</v>
      </c>
      <c r="BH82" s="122">
        <f t="shared" si="35"/>
        <v>0</v>
      </c>
      <c r="BI82" s="176"/>
      <c r="BJ82" s="179"/>
      <c r="BK82" s="179"/>
      <c r="BL82" s="179"/>
      <c r="BM82" s="179"/>
      <c r="BN82" s="179"/>
      <c r="BO82" s="179"/>
      <c r="BP82" s="179"/>
      <c r="BQ82" s="179"/>
      <c r="BR82" s="179"/>
      <c r="BS82" s="179"/>
      <c r="BT82" s="179"/>
      <c r="BU82" s="185"/>
      <c r="BV82" s="179"/>
      <c r="BW82" s="186"/>
      <c r="BX82" s="186"/>
      <c r="BY82" s="186"/>
      <c r="BZ82" s="186"/>
      <c r="CA82" s="186"/>
      <c r="CB82" s="186"/>
      <c r="CC82" s="186"/>
      <c r="CD82" s="186"/>
      <c r="CE82" s="172">
        <f t="shared" si="36"/>
        <v>0</v>
      </c>
      <c r="CF82" s="173">
        <f t="shared" si="37"/>
        <v>0</v>
      </c>
      <c r="CG82" s="189">
        <v>1.0</v>
      </c>
      <c r="CH82" s="186"/>
      <c r="CI82" s="186"/>
      <c r="CJ82" s="186"/>
      <c r="CK82" s="186"/>
      <c r="CL82" s="186"/>
      <c r="CM82" s="186"/>
      <c r="CN82" s="186"/>
      <c r="CO82" s="186"/>
      <c r="CP82" s="186"/>
      <c r="CQ82" s="186"/>
      <c r="CR82" s="186"/>
      <c r="CS82" s="175">
        <f t="shared" si="38"/>
        <v>1</v>
      </c>
      <c r="CT82" s="158">
        <f t="shared" si="39"/>
        <v>33.33333333</v>
      </c>
    </row>
    <row r="83" ht="15.75" customHeight="1">
      <c r="A83" s="146">
        <v>73.0</v>
      </c>
      <c r="B83" s="111" t="s">
        <v>197</v>
      </c>
      <c r="C83" s="112" t="s">
        <v>198</v>
      </c>
      <c r="D83" s="250">
        <f t="shared" si="6"/>
        <v>2</v>
      </c>
      <c r="E83" s="113">
        <f t="shared" si="27"/>
        <v>10.52631579</v>
      </c>
      <c r="F83" s="114">
        <f t="shared" si="28"/>
        <v>10.52631579</v>
      </c>
      <c r="G83" s="202">
        <f t="shared" si="29"/>
        <v>10.52631579</v>
      </c>
      <c r="H83" s="183"/>
      <c r="I83" s="179"/>
      <c r="J83" s="179"/>
      <c r="K83" s="179"/>
      <c r="L83" s="179"/>
      <c r="M83" s="118">
        <f t="shared" si="30"/>
        <v>0</v>
      </c>
      <c r="N83" s="119">
        <f t="shared" si="31"/>
        <v>0</v>
      </c>
      <c r="O83" s="176"/>
      <c r="P83" s="179"/>
      <c r="Q83" s="179"/>
      <c r="R83" s="179"/>
      <c r="S83" s="179"/>
      <c r="T83" s="179"/>
      <c r="U83" s="179"/>
      <c r="V83" s="179"/>
      <c r="W83" s="179"/>
      <c r="X83" s="179"/>
      <c r="Y83" s="184">
        <v>1.0</v>
      </c>
      <c r="Z83" s="179"/>
      <c r="AA83" s="179"/>
      <c r="AB83" s="184">
        <v>1.0</v>
      </c>
      <c r="AC83" s="179"/>
      <c r="AD83" s="179"/>
      <c r="AE83" s="179"/>
      <c r="AF83" s="176"/>
      <c r="AG83" s="176"/>
      <c r="AH83" s="176"/>
      <c r="AI83" s="176"/>
      <c r="AJ83" s="251">
        <f t="shared" si="32"/>
        <v>2</v>
      </c>
      <c r="AK83" s="169">
        <f t="shared" si="33"/>
        <v>50</v>
      </c>
      <c r="AL83" s="183"/>
      <c r="AM83" s="179"/>
      <c r="AN83" s="179"/>
      <c r="AO83" s="179"/>
      <c r="AP83" s="179"/>
      <c r="AQ83" s="179"/>
      <c r="AR83" s="179"/>
      <c r="AS83" s="179"/>
      <c r="AT83" s="179"/>
      <c r="AU83" s="179"/>
      <c r="AV83" s="179"/>
      <c r="AW83" s="179"/>
      <c r="AX83" s="179"/>
      <c r="AY83" s="179"/>
      <c r="AZ83" s="179"/>
      <c r="BA83" s="179"/>
      <c r="BB83" s="179"/>
      <c r="BC83" s="179"/>
      <c r="BD83" s="179"/>
      <c r="BE83" s="179"/>
      <c r="BF83" s="179"/>
      <c r="BG83" s="118">
        <f t="shared" si="34"/>
        <v>0</v>
      </c>
      <c r="BH83" s="122">
        <f t="shared" si="35"/>
        <v>0</v>
      </c>
      <c r="BI83" s="176"/>
      <c r="BJ83" s="179"/>
      <c r="BK83" s="179"/>
      <c r="BL83" s="179"/>
      <c r="BM83" s="179"/>
      <c r="BN83" s="179"/>
      <c r="BO83" s="179"/>
      <c r="BP83" s="179"/>
      <c r="BQ83" s="179"/>
      <c r="BR83" s="179"/>
      <c r="BS83" s="179"/>
      <c r="BT83" s="179"/>
      <c r="BU83" s="185"/>
      <c r="BV83" s="179"/>
      <c r="BW83" s="186"/>
      <c r="BX83" s="186"/>
      <c r="BY83" s="186"/>
      <c r="BZ83" s="186"/>
      <c r="CA83" s="186"/>
      <c r="CB83" s="186"/>
      <c r="CC83" s="186"/>
      <c r="CD83" s="186"/>
      <c r="CE83" s="172">
        <f t="shared" si="36"/>
        <v>0</v>
      </c>
      <c r="CF83" s="173">
        <f t="shared" si="37"/>
        <v>0</v>
      </c>
      <c r="CG83" s="199"/>
      <c r="CH83" s="186"/>
      <c r="CI83" s="186"/>
      <c r="CJ83" s="186"/>
      <c r="CK83" s="186"/>
      <c r="CL83" s="186"/>
      <c r="CM83" s="186"/>
      <c r="CN83" s="186"/>
      <c r="CO83" s="186"/>
      <c r="CP83" s="186"/>
      <c r="CQ83" s="186"/>
      <c r="CR83" s="186"/>
      <c r="CS83" s="175">
        <f t="shared" si="38"/>
        <v>0</v>
      </c>
      <c r="CT83" s="158">
        <f t="shared" si="39"/>
        <v>0</v>
      </c>
    </row>
    <row r="84" ht="15.75" customHeight="1">
      <c r="A84" s="131">
        <v>74.0</v>
      </c>
      <c r="B84" s="111" t="s">
        <v>199</v>
      </c>
      <c r="C84" s="112" t="s">
        <v>200</v>
      </c>
      <c r="D84" s="250">
        <f t="shared" si="6"/>
        <v>3</v>
      </c>
      <c r="E84" s="113">
        <f t="shared" si="27"/>
        <v>15.78947368</v>
      </c>
      <c r="F84" s="114">
        <f t="shared" si="28"/>
        <v>15.78947368</v>
      </c>
      <c r="G84" s="202">
        <f t="shared" si="29"/>
        <v>15.78947368</v>
      </c>
      <c r="H84" s="183"/>
      <c r="I84" s="179"/>
      <c r="J84" s="179"/>
      <c r="K84" s="179"/>
      <c r="L84" s="179"/>
      <c r="M84" s="118">
        <f t="shared" si="30"/>
        <v>0</v>
      </c>
      <c r="N84" s="119">
        <f t="shared" si="31"/>
        <v>0</v>
      </c>
      <c r="O84" s="176"/>
      <c r="P84" s="179"/>
      <c r="Q84" s="179"/>
      <c r="R84" s="179"/>
      <c r="S84" s="179"/>
      <c r="T84" s="179"/>
      <c r="U84" s="179"/>
      <c r="V84" s="179"/>
      <c r="W84" s="179"/>
      <c r="X84" s="179"/>
      <c r="Y84" s="179"/>
      <c r="Z84" s="179"/>
      <c r="AA84" s="179"/>
      <c r="AB84" s="184">
        <v>1.0</v>
      </c>
      <c r="AC84" s="179"/>
      <c r="AD84" s="179"/>
      <c r="AE84" s="184">
        <v>1.0</v>
      </c>
      <c r="AF84" s="176"/>
      <c r="AG84" s="176"/>
      <c r="AH84" s="176"/>
      <c r="AI84" s="176"/>
      <c r="AJ84" s="251">
        <f t="shared" si="32"/>
        <v>2</v>
      </c>
      <c r="AK84" s="169">
        <f t="shared" si="33"/>
        <v>50</v>
      </c>
      <c r="AL84" s="183"/>
      <c r="AM84" s="179"/>
      <c r="AN84" s="179"/>
      <c r="AO84" s="179"/>
      <c r="AP84" s="179"/>
      <c r="AQ84" s="179"/>
      <c r="AR84" s="179"/>
      <c r="AS84" s="184">
        <v>1.0</v>
      </c>
      <c r="AT84" s="179"/>
      <c r="AU84" s="179"/>
      <c r="AV84" s="179"/>
      <c r="AW84" s="179"/>
      <c r="AX84" s="179"/>
      <c r="AY84" s="179"/>
      <c r="AZ84" s="179"/>
      <c r="BA84" s="179"/>
      <c r="BB84" s="179"/>
      <c r="BC84" s="179"/>
      <c r="BD84" s="179"/>
      <c r="BE84" s="179"/>
      <c r="BF84" s="179"/>
      <c r="BG84" s="118">
        <f t="shared" si="34"/>
        <v>1</v>
      </c>
      <c r="BH84" s="122">
        <f t="shared" si="35"/>
        <v>20</v>
      </c>
      <c r="BI84" s="176"/>
      <c r="BJ84" s="179"/>
      <c r="BK84" s="179"/>
      <c r="BL84" s="179"/>
      <c r="BM84" s="179"/>
      <c r="BN84" s="179"/>
      <c r="BO84" s="179"/>
      <c r="BP84" s="179"/>
      <c r="BQ84" s="179"/>
      <c r="BR84" s="179"/>
      <c r="BS84" s="179"/>
      <c r="BT84" s="179"/>
      <c r="BU84" s="185"/>
      <c r="BV84" s="179"/>
      <c r="BW84" s="186"/>
      <c r="BX84" s="186"/>
      <c r="BY84" s="186"/>
      <c r="BZ84" s="186"/>
      <c r="CA84" s="186"/>
      <c r="CB84" s="186"/>
      <c r="CC84" s="186"/>
      <c r="CD84" s="186"/>
      <c r="CE84" s="172">
        <f t="shared" si="36"/>
        <v>0</v>
      </c>
      <c r="CF84" s="173">
        <f t="shared" si="37"/>
        <v>0</v>
      </c>
      <c r="CG84" s="199"/>
      <c r="CH84" s="186"/>
      <c r="CI84" s="186"/>
      <c r="CJ84" s="186"/>
      <c r="CK84" s="186"/>
      <c r="CL84" s="186"/>
      <c r="CM84" s="186"/>
      <c r="CN84" s="186"/>
      <c r="CO84" s="186"/>
      <c r="CP84" s="186"/>
      <c r="CQ84" s="186"/>
      <c r="CR84" s="186"/>
      <c r="CS84" s="175">
        <f t="shared" si="38"/>
        <v>0</v>
      </c>
      <c r="CT84" s="158">
        <f t="shared" si="39"/>
        <v>0</v>
      </c>
    </row>
    <row r="85" ht="15.75" customHeight="1">
      <c r="A85" s="146">
        <v>75.0</v>
      </c>
      <c r="B85" s="111" t="s">
        <v>201</v>
      </c>
      <c r="C85" s="112" t="s">
        <v>202</v>
      </c>
      <c r="D85" s="250">
        <f t="shared" si="6"/>
        <v>6</v>
      </c>
      <c r="E85" s="113">
        <f t="shared" si="27"/>
        <v>31.57894737</v>
      </c>
      <c r="F85" s="114">
        <f t="shared" si="28"/>
        <v>31.57894737</v>
      </c>
      <c r="G85" s="202" t="str">
        <f t="shared" si="29"/>
        <v>  </v>
      </c>
      <c r="H85" s="183"/>
      <c r="I85" s="179"/>
      <c r="J85" s="179"/>
      <c r="K85" s="179"/>
      <c r="L85" s="179"/>
      <c r="M85" s="118">
        <f t="shared" si="30"/>
        <v>0</v>
      </c>
      <c r="N85" s="119">
        <f t="shared" si="31"/>
        <v>0</v>
      </c>
      <c r="O85" s="176"/>
      <c r="P85" s="179"/>
      <c r="Q85" s="179"/>
      <c r="R85" s="179"/>
      <c r="S85" s="179"/>
      <c r="T85" s="179"/>
      <c r="U85" s="179"/>
      <c r="V85" s="179"/>
      <c r="W85" s="179"/>
      <c r="X85" s="179"/>
      <c r="Y85" s="184">
        <v>1.0</v>
      </c>
      <c r="Z85" s="184">
        <v>1.0</v>
      </c>
      <c r="AA85" s="179"/>
      <c r="AB85" s="184">
        <v>1.0</v>
      </c>
      <c r="AC85" s="179"/>
      <c r="AD85" s="179"/>
      <c r="AE85" s="179"/>
      <c r="AF85" s="176"/>
      <c r="AG85" s="176"/>
      <c r="AH85" s="176"/>
      <c r="AI85" s="176"/>
      <c r="AJ85" s="251">
        <f t="shared" si="32"/>
        <v>3</v>
      </c>
      <c r="AK85" s="169">
        <f t="shared" si="33"/>
        <v>75</v>
      </c>
      <c r="AL85" s="183"/>
      <c r="AM85" s="179"/>
      <c r="AN85" s="184">
        <v>1.0</v>
      </c>
      <c r="AO85" s="179"/>
      <c r="AP85" s="179"/>
      <c r="AQ85" s="179"/>
      <c r="AR85" s="179"/>
      <c r="AS85" s="184">
        <v>1.0</v>
      </c>
      <c r="AT85" s="179"/>
      <c r="AU85" s="179"/>
      <c r="AV85" s="184">
        <v>1.0</v>
      </c>
      <c r="AW85" s="179"/>
      <c r="AX85" s="179"/>
      <c r="AY85" s="179"/>
      <c r="AZ85" s="179"/>
      <c r="BA85" s="179"/>
      <c r="BB85" s="179"/>
      <c r="BC85" s="179"/>
      <c r="BD85" s="179"/>
      <c r="BE85" s="179"/>
      <c r="BF85" s="179"/>
      <c r="BG85" s="118">
        <f t="shared" si="34"/>
        <v>3</v>
      </c>
      <c r="BH85" s="122">
        <f t="shared" si="35"/>
        <v>60</v>
      </c>
      <c r="BI85" s="176"/>
      <c r="BJ85" s="179"/>
      <c r="BK85" s="179"/>
      <c r="BL85" s="179"/>
      <c r="BM85" s="179"/>
      <c r="BN85" s="179"/>
      <c r="BO85" s="179"/>
      <c r="BP85" s="179"/>
      <c r="BQ85" s="179"/>
      <c r="BR85" s="179"/>
      <c r="BS85" s="179"/>
      <c r="BT85" s="179"/>
      <c r="BU85" s="185"/>
      <c r="BV85" s="179"/>
      <c r="BW85" s="186"/>
      <c r="BX85" s="186"/>
      <c r="BY85" s="186"/>
      <c r="BZ85" s="186"/>
      <c r="CA85" s="186"/>
      <c r="CB85" s="186"/>
      <c r="CC85" s="186"/>
      <c r="CD85" s="186"/>
      <c r="CE85" s="172">
        <f t="shared" si="36"/>
        <v>0</v>
      </c>
      <c r="CF85" s="173">
        <f t="shared" si="37"/>
        <v>0</v>
      </c>
      <c r="CG85" s="199"/>
      <c r="CH85" s="186"/>
      <c r="CI85" s="186"/>
      <c r="CJ85" s="186"/>
      <c r="CK85" s="186"/>
      <c r="CL85" s="186"/>
      <c r="CM85" s="186"/>
      <c r="CN85" s="186"/>
      <c r="CO85" s="186"/>
      <c r="CP85" s="186"/>
      <c r="CQ85" s="186"/>
      <c r="CR85" s="186"/>
      <c r="CS85" s="175">
        <f t="shared" si="38"/>
        <v>0</v>
      </c>
      <c r="CT85" s="158">
        <f t="shared" si="39"/>
        <v>0</v>
      </c>
    </row>
    <row r="86" ht="15.75" customHeight="1">
      <c r="A86" s="146">
        <v>76.0</v>
      </c>
      <c r="B86" s="111" t="s">
        <v>203</v>
      </c>
      <c r="C86" s="112" t="s">
        <v>204</v>
      </c>
      <c r="D86" s="250">
        <f t="shared" si="6"/>
        <v>6</v>
      </c>
      <c r="E86" s="113">
        <f t="shared" si="27"/>
        <v>31.57894737</v>
      </c>
      <c r="F86" s="114">
        <f t="shared" si="28"/>
        <v>31.57894737</v>
      </c>
      <c r="G86" s="164" t="str">
        <f t="shared" si="29"/>
        <v>  </v>
      </c>
      <c r="H86" s="183"/>
      <c r="I86" s="179"/>
      <c r="J86" s="179"/>
      <c r="K86" s="179"/>
      <c r="L86" s="179"/>
      <c r="M86" s="118">
        <f t="shared" si="30"/>
        <v>0</v>
      </c>
      <c r="N86" s="119">
        <f t="shared" si="31"/>
        <v>0</v>
      </c>
      <c r="O86" s="176"/>
      <c r="P86" s="179"/>
      <c r="Q86" s="179"/>
      <c r="R86" s="179"/>
      <c r="S86" s="179"/>
      <c r="T86" s="179"/>
      <c r="U86" s="179"/>
      <c r="V86" s="179"/>
      <c r="W86" s="179"/>
      <c r="X86" s="179"/>
      <c r="Y86" s="184">
        <v>1.0</v>
      </c>
      <c r="Z86" s="184">
        <v>1.0</v>
      </c>
      <c r="AA86" s="179"/>
      <c r="AB86" s="184">
        <v>1.0</v>
      </c>
      <c r="AC86" s="179"/>
      <c r="AD86" s="179"/>
      <c r="AE86" s="184">
        <v>1.0</v>
      </c>
      <c r="AF86" s="176"/>
      <c r="AG86" s="176"/>
      <c r="AH86" s="176"/>
      <c r="AI86" s="176"/>
      <c r="AJ86" s="251">
        <f t="shared" si="32"/>
        <v>4</v>
      </c>
      <c r="AK86" s="169">
        <f t="shared" si="33"/>
        <v>100</v>
      </c>
      <c r="AL86" s="183"/>
      <c r="AM86" s="179"/>
      <c r="AN86" s="184">
        <v>1.0</v>
      </c>
      <c r="AO86" s="179"/>
      <c r="AP86" s="179"/>
      <c r="AQ86" s="179"/>
      <c r="AR86" s="179"/>
      <c r="AS86" s="184">
        <v>1.0</v>
      </c>
      <c r="AT86" s="179"/>
      <c r="AU86" s="179"/>
      <c r="AV86" s="179"/>
      <c r="AW86" s="179"/>
      <c r="AX86" s="179"/>
      <c r="AY86" s="179"/>
      <c r="AZ86" s="179"/>
      <c r="BA86" s="179"/>
      <c r="BB86" s="179"/>
      <c r="BC86" s="179"/>
      <c r="BD86" s="179"/>
      <c r="BE86" s="179"/>
      <c r="BF86" s="179"/>
      <c r="BG86" s="118">
        <f t="shared" si="34"/>
        <v>2</v>
      </c>
      <c r="BH86" s="122">
        <f t="shared" si="35"/>
        <v>40</v>
      </c>
      <c r="BI86" s="176"/>
      <c r="BJ86" s="179"/>
      <c r="BK86" s="179"/>
      <c r="BL86" s="179"/>
      <c r="BM86" s="179"/>
      <c r="BN86" s="179"/>
      <c r="BO86" s="179"/>
      <c r="BP86" s="179"/>
      <c r="BQ86" s="179"/>
      <c r="BR86" s="179"/>
      <c r="BS86" s="179"/>
      <c r="BT86" s="179"/>
      <c r="BU86" s="185"/>
      <c r="BV86" s="179"/>
      <c r="BW86" s="186"/>
      <c r="BX86" s="186"/>
      <c r="BY86" s="186"/>
      <c r="BZ86" s="186"/>
      <c r="CA86" s="186"/>
      <c r="CB86" s="186"/>
      <c r="CC86" s="186"/>
      <c r="CD86" s="186"/>
      <c r="CE86" s="172">
        <f t="shared" si="36"/>
        <v>0</v>
      </c>
      <c r="CF86" s="173">
        <f t="shared" si="37"/>
        <v>0</v>
      </c>
      <c r="CG86" s="199"/>
      <c r="CH86" s="186"/>
      <c r="CI86" s="186"/>
      <c r="CJ86" s="186"/>
      <c r="CK86" s="186"/>
      <c r="CL86" s="186"/>
      <c r="CM86" s="186"/>
      <c r="CN86" s="186"/>
      <c r="CO86" s="186"/>
      <c r="CP86" s="186"/>
      <c r="CQ86" s="186"/>
      <c r="CR86" s="186"/>
      <c r="CS86" s="175">
        <f t="shared" si="38"/>
        <v>0</v>
      </c>
      <c r="CT86" s="158">
        <f t="shared" si="39"/>
        <v>0</v>
      </c>
    </row>
    <row r="87" ht="15.75" customHeight="1">
      <c r="A87" s="131">
        <v>77.0</v>
      </c>
      <c r="B87" s="126" t="s">
        <v>205</v>
      </c>
      <c r="C87" s="260" t="s">
        <v>206</v>
      </c>
      <c r="D87" s="250">
        <f t="shared" si="6"/>
        <v>1</v>
      </c>
      <c r="E87" s="113">
        <f t="shared" si="27"/>
        <v>5.263157895</v>
      </c>
      <c r="F87" s="114">
        <f t="shared" si="28"/>
        <v>5.263157895</v>
      </c>
      <c r="G87" s="202">
        <f t="shared" si="29"/>
        <v>5.263157895</v>
      </c>
      <c r="H87" s="183"/>
      <c r="I87" s="179"/>
      <c r="J87" s="179"/>
      <c r="K87" s="179"/>
      <c r="L87" s="179"/>
      <c r="M87" s="118">
        <f t="shared" si="30"/>
        <v>0</v>
      </c>
      <c r="N87" s="119">
        <f t="shared" si="31"/>
        <v>0</v>
      </c>
      <c r="O87" s="176"/>
      <c r="P87" s="179"/>
      <c r="Q87" s="179"/>
      <c r="R87" s="179"/>
      <c r="S87" s="179"/>
      <c r="T87" s="179"/>
      <c r="U87" s="179"/>
      <c r="V87" s="179"/>
      <c r="W87" s="179"/>
      <c r="X87" s="179"/>
      <c r="Y87" s="179"/>
      <c r="Z87" s="179"/>
      <c r="AA87" s="179"/>
      <c r="AB87" s="179"/>
      <c r="AC87" s="179"/>
      <c r="AD87" s="179"/>
      <c r="AE87" s="179"/>
      <c r="AF87" s="176"/>
      <c r="AG87" s="176"/>
      <c r="AH87" s="176"/>
      <c r="AI87" s="176"/>
      <c r="AJ87" s="251">
        <f t="shared" si="32"/>
        <v>0</v>
      </c>
      <c r="AK87" s="169">
        <f t="shared" si="33"/>
        <v>0</v>
      </c>
      <c r="AL87" s="183"/>
      <c r="AM87" s="179"/>
      <c r="AN87" s="179"/>
      <c r="AO87" s="179"/>
      <c r="AP87" s="179"/>
      <c r="AQ87" s="179"/>
      <c r="AR87" s="179"/>
      <c r="AS87" s="179"/>
      <c r="AT87" s="179"/>
      <c r="AU87" s="179"/>
      <c r="AV87" s="179"/>
      <c r="AW87" s="179"/>
      <c r="AX87" s="179"/>
      <c r="AY87" s="179"/>
      <c r="AZ87" s="179"/>
      <c r="BA87" s="179"/>
      <c r="BB87" s="179"/>
      <c r="BC87" s="179"/>
      <c r="BD87" s="179"/>
      <c r="BE87" s="179"/>
      <c r="BF87" s="179"/>
      <c r="BG87" s="118">
        <f t="shared" si="34"/>
        <v>0</v>
      </c>
      <c r="BH87" s="122">
        <f t="shared" si="35"/>
        <v>0</v>
      </c>
      <c r="BI87" s="176"/>
      <c r="BJ87" s="179"/>
      <c r="BK87" s="179"/>
      <c r="BL87" s="179"/>
      <c r="BM87" s="179"/>
      <c r="BN87" s="179"/>
      <c r="BO87" s="179"/>
      <c r="BP87" s="179"/>
      <c r="BQ87" s="179"/>
      <c r="BR87" s="179"/>
      <c r="BS87" s="179"/>
      <c r="BT87" s="179"/>
      <c r="BU87" s="171"/>
      <c r="BV87" s="179"/>
      <c r="BW87" s="186"/>
      <c r="BX87" s="186"/>
      <c r="BY87" s="186"/>
      <c r="BZ87" s="186"/>
      <c r="CA87" s="186"/>
      <c r="CB87" s="186"/>
      <c r="CC87" s="186"/>
      <c r="CD87" s="186"/>
      <c r="CE87" s="172">
        <f t="shared" si="36"/>
        <v>0</v>
      </c>
      <c r="CF87" s="173">
        <f t="shared" si="37"/>
        <v>0</v>
      </c>
      <c r="CG87" s="189">
        <v>1.0</v>
      </c>
      <c r="CH87" s="186"/>
      <c r="CI87" s="186"/>
      <c r="CJ87" s="186"/>
      <c r="CK87" s="186"/>
      <c r="CL87" s="186"/>
      <c r="CM87" s="186"/>
      <c r="CN87" s="186"/>
      <c r="CO87" s="186"/>
      <c r="CP87" s="186"/>
      <c r="CQ87" s="186"/>
      <c r="CR87" s="186"/>
      <c r="CS87" s="175">
        <f t="shared" si="38"/>
        <v>1</v>
      </c>
      <c r="CT87" s="158">
        <f t="shared" si="39"/>
        <v>33.33333333</v>
      </c>
    </row>
    <row r="88" ht="15.75" customHeight="1">
      <c r="A88" s="146">
        <v>78.0</v>
      </c>
      <c r="B88" s="111" t="s">
        <v>207</v>
      </c>
      <c r="C88" s="112" t="s">
        <v>208</v>
      </c>
      <c r="D88" s="250">
        <f t="shared" si="6"/>
        <v>9</v>
      </c>
      <c r="E88" s="113">
        <f t="shared" si="27"/>
        <v>47.36842105</v>
      </c>
      <c r="F88" s="114">
        <f t="shared" si="28"/>
        <v>47.36842105</v>
      </c>
      <c r="G88" s="164" t="str">
        <f t="shared" si="29"/>
        <v>  </v>
      </c>
      <c r="H88" s="183"/>
      <c r="I88" s="179"/>
      <c r="J88" s="179"/>
      <c r="K88" s="179"/>
      <c r="L88" s="179"/>
      <c r="M88" s="118">
        <f t="shared" si="30"/>
        <v>0</v>
      </c>
      <c r="N88" s="119">
        <f t="shared" si="31"/>
        <v>0</v>
      </c>
      <c r="O88" s="176"/>
      <c r="P88" s="179"/>
      <c r="Q88" s="179"/>
      <c r="R88" s="179"/>
      <c r="S88" s="179"/>
      <c r="T88" s="179"/>
      <c r="U88" s="179"/>
      <c r="V88" s="179"/>
      <c r="W88" s="179"/>
      <c r="X88" s="179"/>
      <c r="Y88" s="184">
        <v>1.0</v>
      </c>
      <c r="Z88" s="184">
        <v>1.0</v>
      </c>
      <c r="AA88" s="179"/>
      <c r="AB88" s="179"/>
      <c r="AC88" s="179"/>
      <c r="AD88" s="179"/>
      <c r="AE88" s="179"/>
      <c r="AF88" s="176"/>
      <c r="AG88" s="176"/>
      <c r="AH88" s="176"/>
      <c r="AI88" s="176"/>
      <c r="AJ88" s="251">
        <f t="shared" si="32"/>
        <v>2</v>
      </c>
      <c r="AK88" s="169">
        <f t="shared" si="33"/>
        <v>50</v>
      </c>
      <c r="AL88" s="279">
        <v>1.0</v>
      </c>
      <c r="AM88" s="179"/>
      <c r="AN88" s="184">
        <v>1.0</v>
      </c>
      <c r="AO88" s="179"/>
      <c r="AP88" s="179"/>
      <c r="AQ88" s="184">
        <v>1.0</v>
      </c>
      <c r="AR88" s="179"/>
      <c r="AS88" s="179"/>
      <c r="AT88" s="179"/>
      <c r="AU88" s="179"/>
      <c r="AV88" s="179"/>
      <c r="AW88" s="179"/>
      <c r="AX88" s="179"/>
      <c r="AY88" s="179"/>
      <c r="AZ88" s="179"/>
      <c r="BA88" s="179"/>
      <c r="BB88" s="179"/>
      <c r="BC88" s="179"/>
      <c r="BD88" s="179"/>
      <c r="BE88" s="179"/>
      <c r="BF88" s="179"/>
      <c r="BG88" s="118">
        <f t="shared" si="34"/>
        <v>3</v>
      </c>
      <c r="BH88" s="122">
        <f t="shared" si="35"/>
        <v>60</v>
      </c>
      <c r="BI88" s="176"/>
      <c r="BJ88" s="179"/>
      <c r="BK88" s="179"/>
      <c r="BL88" s="179"/>
      <c r="BM88" s="179"/>
      <c r="BN88" s="179"/>
      <c r="BO88" s="184">
        <v>1.0</v>
      </c>
      <c r="BP88" s="179"/>
      <c r="BQ88" s="179"/>
      <c r="BR88" s="179"/>
      <c r="BS88" s="179"/>
      <c r="BT88" s="179"/>
      <c r="BU88" s="171"/>
      <c r="BV88" s="184">
        <v>1.0</v>
      </c>
      <c r="BW88" s="186"/>
      <c r="BX88" s="186"/>
      <c r="BY88" s="186"/>
      <c r="BZ88" s="186"/>
      <c r="CA88" s="186"/>
      <c r="CB88" s="200">
        <v>1.0</v>
      </c>
      <c r="CC88" s="186"/>
      <c r="CD88" s="186"/>
      <c r="CE88" s="172">
        <f t="shared" si="36"/>
        <v>3</v>
      </c>
      <c r="CF88" s="173">
        <f t="shared" si="37"/>
        <v>37.5</v>
      </c>
      <c r="CG88" s="199"/>
      <c r="CH88" s="262">
        <v>1.0</v>
      </c>
      <c r="CI88" s="186"/>
      <c r="CJ88" s="186"/>
      <c r="CK88" s="186"/>
      <c r="CL88" s="186"/>
      <c r="CM88" s="163"/>
      <c r="CN88" s="186"/>
      <c r="CO88" s="186"/>
      <c r="CP88" s="186"/>
      <c r="CQ88" s="186"/>
      <c r="CR88" s="186"/>
      <c r="CS88" s="175">
        <f t="shared" si="38"/>
        <v>1</v>
      </c>
      <c r="CT88" s="158">
        <f t="shared" si="39"/>
        <v>33.33333333</v>
      </c>
    </row>
    <row r="89" ht="15.75" customHeight="1">
      <c r="A89" s="146">
        <v>79.0</v>
      </c>
      <c r="B89" s="111" t="s">
        <v>209</v>
      </c>
      <c r="C89" s="112" t="s">
        <v>210</v>
      </c>
      <c r="D89" s="250">
        <f t="shared" si="6"/>
        <v>4</v>
      </c>
      <c r="E89" s="113">
        <f t="shared" si="27"/>
        <v>21.05263158</v>
      </c>
      <c r="F89" s="114">
        <f t="shared" si="28"/>
        <v>21.05263158</v>
      </c>
      <c r="G89" s="202">
        <f t="shared" si="29"/>
        <v>21.05263158</v>
      </c>
      <c r="H89" s="183"/>
      <c r="I89" s="179"/>
      <c r="J89" s="179"/>
      <c r="K89" s="166"/>
      <c r="L89" s="166"/>
      <c r="M89" s="118">
        <f t="shared" si="30"/>
        <v>0</v>
      </c>
      <c r="N89" s="119">
        <f t="shared" si="31"/>
        <v>0</v>
      </c>
      <c r="O89" s="176"/>
      <c r="P89" s="179"/>
      <c r="Q89" s="179"/>
      <c r="R89" s="179"/>
      <c r="S89" s="179"/>
      <c r="T89" s="179"/>
      <c r="U89" s="179"/>
      <c r="V89" s="179"/>
      <c r="W89" s="179"/>
      <c r="X89" s="179"/>
      <c r="Y89" s="179"/>
      <c r="Z89" s="179"/>
      <c r="AA89" s="179"/>
      <c r="AB89" s="179"/>
      <c r="AC89" s="179"/>
      <c r="AD89" s="179"/>
      <c r="AE89" s="184">
        <v>1.0</v>
      </c>
      <c r="AF89" s="176"/>
      <c r="AG89" s="176"/>
      <c r="AH89" s="176"/>
      <c r="AI89" s="176"/>
      <c r="AJ89" s="251">
        <f t="shared" si="32"/>
        <v>1</v>
      </c>
      <c r="AK89" s="169">
        <f t="shared" si="33"/>
        <v>25</v>
      </c>
      <c r="AL89" s="183"/>
      <c r="AM89" s="179"/>
      <c r="AN89" s="179"/>
      <c r="AO89" s="179"/>
      <c r="AP89" s="179"/>
      <c r="AQ89" s="179"/>
      <c r="AR89" s="179"/>
      <c r="AS89" s="179"/>
      <c r="AT89" s="179"/>
      <c r="AU89" s="179"/>
      <c r="AV89" s="179"/>
      <c r="AW89" s="179"/>
      <c r="AX89" s="179"/>
      <c r="AY89" s="179"/>
      <c r="AZ89" s="179"/>
      <c r="BA89" s="179"/>
      <c r="BB89" s="179"/>
      <c r="BC89" s="179"/>
      <c r="BD89" s="179"/>
      <c r="BE89" s="179"/>
      <c r="BF89" s="179"/>
      <c r="BG89" s="118">
        <f t="shared" si="34"/>
        <v>0</v>
      </c>
      <c r="BH89" s="122">
        <f t="shared" si="35"/>
        <v>0</v>
      </c>
      <c r="BI89" s="176"/>
      <c r="BJ89" s="179"/>
      <c r="BK89" s="179"/>
      <c r="BL89" s="179"/>
      <c r="BM89" s="179"/>
      <c r="BN89" s="179"/>
      <c r="BO89" s="184">
        <v>1.0</v>
      </c>
      <c r="BP89" s="179"/>
      <c r="BQ89" s="179"/>
      <c r="BR89" s="179"/>
      <c r="BS89" s="179"/>
      <c r="BT89" s="179"/>
      <c r="BU89" s="171"/>
      <c r="BV89" s="179"/>
      <c r="BW89" s="200">
        <v>1.0</v>
      </c>
      <c r="BX89" s="186"/>
      <c r="BY89" s="186"/>
      <c r="BZ89" s="186"/>
      <c r="CA89" s="186"/>
      <c r="CB89" s="186"/>
      <c r="CC89" s="186"/>
      <c r="CD89" s="186"/>
      <c r="CE89" s="172">
        <f t="shared" si="36"/>
        <v>2</v>
      </c>
      <c r="CF89" s="173">
        <f t="shared" si="37"/>
        <v>25</v>
      </c>
      <c r="CG89" s="189">
        <v>1.0</v>
      </c>
      <c r="CH89" s="163"/>
      <c r="CI89" s="186"/>
      <c r="CJ89" s="186"/>
      <c r="CK89" s="186"/>
      <c r="CL89" s="186"/>
      <c r="CM89" s="163"/>
      <c r="CN89" s="186"/>
      <c r="CO89" s="186"/>
      <c r="CP89" s="186"/>
      <c r="CQ89" s="186"/>
      <c r="CR89" s="186"/>
      <c r="CS89" s="175">
        <f t="shared" si="38"/>
        <v>1</v>
      </c>
      <c r="CT89" s="158">
        <f t="shared" si="39"/>
        <v>33.33333333</v>
      </c>
    </row>
    <row r="90" ht="15.75" customHeight="1">
      <c r="A90" s="131">
        <v>80.0</v>
      </c>
      <c r="B90" s="111" t="s">
        <v>211</v>
      </c>
      <c r="C90" s="112" t="s">
        <v>212</v>
      </c>
      <c r="D90" s="250">
        <f t="shared" si="6"/>
        <v>6</v>
      </c>
      <c r="E90" s="113">
        <f t="shared" si="27"/>
        <v>31.57894737</v>
      </c>
      <c r="F90" s="114">
        <f t="shared" si="28"/>
        <v>31.57894737</v>
      </c>
      <c r="G90" s="164" t="str">
        <f t="shared" si="29"/>
        <v>  </v>
      </c>
      <c r="H90" s="183"/>
      <c r="I90" s="179"/>
      <c r="J90" s="179"/>
      <c r="K90" s="166"/>
      <c r="L90" s="166"/>
      <c r="M90" s="118">
        <f t="shared" si="30"/>
        <v>0</v>
      </c>
      <c r="N90" s="119">
        <f t="shared" si="31"/>
        <v>0</v>
      </c>
      <c r="O90" s="176"/>
      <c r="P90" s="179"/>
      <c r="Q90" s="179"/>
      <c r="R90" s="179"/>
      <c r="S90" s="179"/>
      <c r="T90" s="179"/>
      <c r="U90" s="179"/>
      <c r="V90" s="179"/>
      <c r="W90" s="179"/>
      <c r="X90" s="179"/>
      <c r="Y90" s="184">
        <v>1.0</v>
      </c>
      <c r="Z90" s="179"/>
      <c r="AA90" s="179"/>
      <c r="AB90" s="179"/>
      <c r="AC90" s="179"/>
      <c r="AD90" s="179"/>
      <c r="AE90" s="184">
        <v>1.0</v>
      </c>
      <c r="AF90" s="176"/>
      <c r="AG90" s="176"/>
      <c r="AH90" s="176"/>
      <c r="AI90" s="176"/>
      <c r="AJ90" s="251">
        <f t="shared" si="32"/>
        <v>2</v>
      </c>
      <c r="AK90" s="169">
        <f t="shared" si="33"/>
        <v>50</v>
      </c>
      <c r="AL90" s="183"/>
      <c r="AM90" s="179"/>
      <c r="AN90" s="184">
        <v>1.0</v>
      </c>
      <c r="AO90" s="179"/>
      <c r="AP90" s="179"/>
      <c r="AQ90" s="179"/>
      <c r="AR90" s="179"/>
      <c r="AS90" s="179"/>
      <c r="AT90" s="179"/>
      <c r="AU90" s="179"/>
      <c r="AV90" s="179"/>
      <c r="AW90" s="179"/>
      <c r="AX90" s="179"/>
      <c r="AY90" s="179"/>
      <c r="AZ90" s="179"/>
      <c r="BA90" s="179"/>
      <c r="BB90" s="179"/>
      <c r="BC90" s="179"/>
      <c r="BD90" s="179"/>
      <c r="BE90" s="179"/>
      <c r="BF90" s="179"/>
      <c r="BG90" s="118">
        <f t="shared" si="34"/>
        <v>1</v>
      </c>
      <c r="BH90" s="122">
        <f t="shared" si="35"/>
        <v>20</v>
      </c>
      <c r="BI90" s="176"/>
      <c r="BJ90" s="179"/>
      <c r="BK90" s="179"/>
      <c r="BL90" s="179"/>
      <c r="BM90" s="179"/>
      <c r="BN90" s="179"/>
      <c r="BO90" s="179"/>
      <c r="BP90" s="179"/>
      <c r="BQ90" s="179"/>
      <c r="BR90" s="179"/>
      <c r="BS90" s="179"/>
      <c r="BT90" s="179"/>
      <c r="BU90" s="171"/>
      <c r="BV90" s="184">
        <v>1.0</v>
      </c>
      <c r="BW90" s="200">
        <v>1.0</v>
      </c>
      <c r="BX90" s="186"/>
      <c r="BY90" s="186"/>
      <c r="BZ90" s="186"/>
      <c r="CA90" s="186"/>
      <c r="CB90" s="186"/>
      <c r="CC90" s="186"/>
      <c r="CD90" s="186"/>
      <c r="CE90" s="172">
        <f t="shared" si="36"/>
        <v>2</v>
      </c>
      <c r="CF90" s="173">
        <f t="shared" si="37"/>
        <v>25</v>
      </c>
      <c r="CG90" s="199"/>
      <c r="CH90" s="163"/>
      <c r="CI90" s="200">
        <v>1.0</v>
      </c>
      <c r="CJ90" s="186"/>
      <c r="CK90" s="186"/>
      <c r="CL90" s="186"/>
      <c r="CM90" s="163"/>
      <c r="CN90" s="186"/>
      <c r="CO90" s="186"/>
      <c r="CP90" s="186"/>
      <c r="CQ90" s="186"/>
      <c r="CR90" s="186"/>
      <c r="CS90" s="175">
        <f t="shared" si="38"/>
        <v>1</v>
      </c>
      <c r="CT90" s="158">
        <f t="shared" si="39"/>
        <v>33.33333333</v>
      </c>
    </row>
    <row r="91" ht="15.75" customHeight="1">
      <c r="A91" s="146">
        <v>81.0</v>
      </c>
      <c r="B91" s="111" t="s">
        <v>213</v>
      </c>
      <c r="C91" s="112" t="s">
        <v>214</v>
      </c>
      <c r="D91" s="250">
        <f t="shared" si="6"/>
        <v>12</v>
      </c>
      <c r="E91" s="113">
        <f t="shared" si="27"/>
        <v>63.15789474</v>
      </c>
      <c r="F91" s="114" t="str">
        <f t="shared" si="28"/>
        <v>  </v>
      </c>
      <c r="G91" s="164" t="str">
        <f t="shared" si="29"/>
        <v>  </v>
      </c>
      <c r="H91" s="183"/>
      <c r="I91" s="179"/>
      <c r="J91" s="179"/>
      <c r="K91" s="191">
        <v>1.0</v>
      </c>
      <c r="L91" s="166"/>
      <c r="M91" s="118">
        <f t="shared" si="30"/>
        <v>1</v>
      </c>
      <c r="N91" s="119">
        <f t="shared" si="31"/>
        <v>100</v>
      </c>
      <c r="O91" s="176"/>
      <c r="P91" s="179"/>
      <c r="Q91" s="179"/>
      <c r="R91" s="179"/>
      <c r="S91" s="179"/>
      <c r="T91" s="179"/>
      <c r="U91" s="179"/>
      <c r="V91" s="179"/>
      <c r="W91" s="179"/>
      <c r="X91" s="179"/>
      <c r="Y91" s="184">
        <v>1.0</v>
      </c>
      <c r="Z91" s="184">
        <v>1.0</v>
      </c>
      <c r="AA91" s="179"/>
      <c r="AB91" s="184">
        <v>1.0</v>
      </c>
      <c r="AC91" s="179"/>
      <c r="AD91" s="179"/>
      <c r="AE91" s="179"/>
      <c r="AF91" s="176"/>
      <c r="AG91" s="176"/>
      <c r="AH91" s="176"/>
      <c r="AI91" s="176"/>
      <c r="AJ91" s="251">
        <f t="shared" si="32"/>
        <v>3</v>
      </c>
      <c r="AK91" s="169">
        <f t="shared" si="33"/>
        <v>75</v>
      </c>
      <c r="AL91" s="279">
        <v>1.0</v>
      </c>
      <c r="AM91" s="179"/>
      <c r="AN91" s="184">
        <v>1.0</v>
      </c>
      <c r="AO91" s="179"/>
      <c r="AP91" s="179"/>
      <c r="AQ91" s="184">
        <v>1.0</v>
      </c>
      <c r="AR91" s="179"/>
      <c r="AS91" s="184">
        <v>1.0</v>
      </c>
      <c r="AT91" s="179"/>
      <c r="AU91" s="179"/>
      <c r="AV91" s="179"/>
      <c r="AW91" s="179"/>
      <c r="AX91" s="179"/>
      <c r="AY91" s="179"/>
      <c r="AZ91" s="179"/>
      <c r="BA91" s="179"/>
      <c r="BB91" s="179"/>
      <c r="BC91" s="179"/>
      <c r="BD91" s="179"/>
      <c r="BE91" s="179"/>
      <c r="BF91" s="179"/>
      <c r="BG91" s="118">
        <f t="shared" si="34"/>
        <v>4</v>
      </c>
      <c r="BH91" s="122">
        <f t="shared" si="35"/>
        <v>80</v>
      </c>
      <c r="BI91" s="176"/>
      <c r="BJ91" s="179"/>
      <c r="BK91" s="179"/>
      <c r="BL91" s="179"/>
      <c r="BM91" s="179"/>
      <c r="BN91" s="179"/>
      <c r="BO91" s="179"/>
      <c r="BP91" s="179"/>
      <c r="BQ91" s="179"/>
      <c r="BR91" s="184">
        <v>1.0</v>
      </c>
      <c r="BS91" s="179"/>
      <c r="BT91" s="179"/>
      <c r="BU91" s="171"/>
      <c r="BV91" s="184">
        <v>1.0</v>
      </c>
      <c r="BW91" s="186"/>
      <c r="BX91" s="186"/>
      <c r="BY91" s="186"/>
      <c r="BZ91" s="186"/>
      <c r="CA91" s="186"/>
      <c r="CB91" s="200">
        <v>1.0</v>
      </c>
      <c r="CC91" s="186"/>
      <c r="CD91" s="186"/>
      <c r="CE91" s="172">
        <f t="shared" si="36"/>
        <v>3</v>
      </c>
      <c r="CF91" s="173">
        <f t="shared" si="37"/>
        <v>37.5</v>
      </c>
      <c r="CG91" s="199"/>
      <c r="CH91" s="262">
        <v>1.0</v>
      </c>
      <c r="CI91" s="186"/>
      <c r="CJ91" s="186"/>
      <c r="CK91" s="186"/>
      <c r="CL91" s="186"/>
      <c r="CM91" s="163"/>
      <c r="CN91" s="186"/>
      <c r="CO91" s="186"/>
      <c r="CP91" s="186"/>
      <c r="CQ91" s="186"/>
      <c r="CR91" s="186"/>
      <c r="CS91" s="175">
        <f t="shared" si="38"/>
        <v>1</v>
      </c>
      <c r="CT91" s="158">
        <f t="shared" si="39"/>
        <v>33.33333333</v>
      </c>
    </row>
    <row r="92" ht="15.75" customHeight="1">
      <c r="A92" s="146">
        <v>82.0</v>
      </c>
      <c r="B92" s="111" t="s">
        <v>215</v>
      </c>
      <c r="C92" s="112" t="s">
        <v>216</v>
      </c>
      <c r="D92" s="250">
        <f t="shared" si="6"/>
        <v>13</v>
      </c>
      <c r="E92" s="113">
        <f t="shared" si="27"/>
        <v>68.42105263</v>
      </c>
      <c r="F92" s="114" t="str">
        <f t="shared" si="28"/>
        <v>  </v>
      </c>
      <c r="G92" s="164" t="str">
        <f t="shared" si="29"/>
        <v>  </v>
      </c>
      <c r="H92" s="163"/>
      <c r="I92" s="163"/>
      <c r="J92" s="163"/>
      <c r="K92" s="262">
        <v>1.0</v>
      </c>
      <c r="L92" s="163"/>
      <c r="M92" s="118">
        <f t="shared" si="30"/>
        <v>1</v>
      </c>
      <c r="N92" s="119">
        <f t="shared" si="31"/>
        <v>100</v>
      </c>
      <c r="O92" s="163"/>
      <c r="P92" s="163"/>
      <c r="Q92" s="163"/>
      <c r="R92" s="163"/>
      <c r="S92" s="163"/>
      <c r="T92" s="163"/>
      <c r="U92" s="163"/>
      <c r="V92" s="163"/>
      <c r="W92" s="163"/>
      <c r="X92" s="163"/>
      <c r="Y92" s="262">
        <v>1.0</v>
      </c>
      <c r="Z92" s="262">
        <v>1.0</v>
      </c>
      <c r="AA92" s="163"/>
      <c r="AB92" s="262">
        <v>1.0</v>
      </c>
      <c r="AC92" s="163"/>
      <c r="AD92" s="163"/>
      <c r="AE92" s="262">
        <v>1.0</v>
      </c>
      <c r="AF92" s="263"/>
      <c r="AG92" s="263"/>
      <c r="AH92" s="263"/>
      <c r="AI92" s="263"/>
      <c r="AJ92" s="251">
        <f t="shared" si="32"/>
        <v>4</v>
      </c>
      <c r="AK92" s="169">
        <f t="shared" si="33"/>
        <v>100</v>
      </c>
      <c r="AL92" s="163"/>
      <c r="AM92" s="163"/>
      <c r="AN92" s="262">
        <v>1.0</v>
      </c>
      <c r="AO92" s="163"/>
      <c r="AP92" s="163"/>
      <c r="AQ92" s="262">
        <v>1.0</v>
      </c>
      <c r="AR92" s="163"/>
      <c r="AS92" s="262">
        <v>1.0</v>
      </c>
      <c r="AT92" s="163"/>
      <c r="AU92" s="163"/>
      <c r="AV92" s="262">
        <v>1.0</v>
      </c>
      <c r="AW92" s="163"/>
      <c r="AX92" s="163"/>
      <c r="AY92" s="163"/>
      <c r="AZ92" s="163"/>
      <c r="BA92" s="163"/>
      <c r="BB92" s="163"/>
      <c r="BC92" s="163"/>
      <c r="BD92" s="163"/>
      <c r="BE92" s="163"/>
      <c r="BF92" s="163"/>
      <c r="BG92" s="118">
        <f t="shared" si="34"/>
        <v>4</v>
      </c>
      <c r="BH92" s="122">
        <f t="shared" si="35"/>
        <v>80</v>
      </c>
      <c r="BI92" s="163"/>
      <c r="BJ92" s="163"/>
      <c r="BK92" s="163"/>
      <c r="BL92" s="163"/>
      <c r="BM92" s="163"/>
      <c r="BN92" s="163"/>
      <c r="BO92" s="163"/>
      <c r="BP92" s="163"/>
      <c r="BQ92" s="163"/>
      <c r="BR92" s="262">
        <v>1.0</v>
      </c>
      <c r="BS92" s="163"/>
      <c r="BT92" s="163"/>
      <c r="BU92" s="171"/>
      <c r="BV92" s="262">
        <v>1.0</v>
      </c>
      <c r="BW92" s="163"/>
      <c r="BX92" s="163"/>
      <c r="BY92" s="163"/>
      <c r="BZ92" s="163"/>
      <c r="CA92" s="163"/>
      <c r="CB92" s="163"/>
      <c r="CC92" s="163"/>
      <c r="CD92" s="163"/>
      <c r="CE92" s="172">
        <f t="shared" si="36"/>
        <v>2</v>
      </c>
      <c r="CF92" s="173">
        <f t="shared" si="37"/>
        <v>25</v>
      </c>
      <c r="CG92" s="262">
        <v>1.0</v>
      </c>
      <c r="CH92" s="262">
        <v>1.0</v>
      </c>
      <c r="CI92" s="163"/>
      <c r="CJ92" s="163"/>
      <c r="CK92" s="163"/>
      <c r="CL92" s="163"/>
      <c r="CM92" s="163"/>
      <c r="CN92" s="163"/>
      <c r="CO92" s="163"/>
      <c r="CP92" s="163"/>
      <c r="CQ92" s="163"/>
      <c r="CR92" s="163"/>
      <c r="CS92" s="175">
        <f t="shared" si="38"/>
        <v>2</v>
      </c>
      <c r="CT92" s="158">
        <f t="shared" si="39"/>
        <v>66.66666667</v>
      </c>
    </row>
    <row r="93" ht="15.75" customHeight="1">
      <c r="A93" s="131">
        <v>83.0</v>
      </c>
      <c r="B93" s="111" t="s">
        <v>217</v>
      </c>
      <c r="C93" s="112" t="s">
        <v>218</v>
      </c>
      <c r="D93" s="250">
        <f t="shared" si="6"/>
        <v>0</v>
      </c>
      <c r="E93" s="113">
        <f t="shared" si="27"/>
        <v>0</v>
      </c>
      <c r="F93" s="114">
        <f t="shared" si="28"/>
        <v>0</v>
      </c>
      <c r="G93" s="202">
        <f t="shared" si="29"/>
        <v>0</v>
      </c>
      <c r="H93" s="163"/>
      <c r="I93" s="163"/>
      <c r="J93" s="163"/>
      <c r="K93" s="163"/>
      <c r="L93" s="163"/>
      <c r="M93" s="118">
        <f t="shared" si="30"/>
        <v>0</v>
      </c>
      <c r="N93" s="119">
        <f t="shared" si="31"/>
        <v>0</v>
      </c>
      <c r="O93" s="163"/>
      <c r="P93" s="163"/>
      <c r="Q93" s="163"/>
      <c r="R93" s="163"/>
      <c r="S93" s="163"/>
      <c r="T93" s="163"/>
      <c r="U93" s="163"/>
      <c r="V93" s="163"/>
      <c r="W93" s="163"/>
      <c r="X93" s="163"/>
      <c r="Y93" s="163"/>
      <c r="Z93" s="163"/>
      <c r="AA93" s="163"/>
      <c r="AB93" s="163"/>
      <c r="AC93" s="163"/>
      <c r="AD93" s="163"/>
      <c r="AE93" s="163"/>
      <c r="AF93" s="263"/>
      <c r="AG93" s="263"/>
      <c r="AH93" s="263"/>
      <c r="AI93" s="263"/>
      <c r="AJ93" s="251">
        <f t="shared" si="32"/>
        <v>0</v>
      </c>
      <c r="AK93" s="169">
        <f t="shared" si="33"/>
        <v>0</v>
      </c>
      <c r="AL93" s="163"/>
      <c r="AM93" s="163"/>
      <c r="AN93" s="163"/>
      <c r="AO93" s="163"/>
      <c r="AP93" s="163"/>
      <c r="AQ93" s="163"/>
      <c r="AR93" s="163"/>
      <c r="AS93" s="163"/>
      <c r="AT93" s="163"/>
      <c r="AU93" s="163"/>
      <c r="AV93" s="163"/>
      <c r="AW93" s="163"/>
      <c r="AX93" s="163"/>
      <c r="AY93" s="163"/>
      <c r="AZ93" s="163"/>
      <c r="BA93" s="163"/>
      <c r="BB93" s="163"/>
      <c r="BC93" s="163"/>
      <c r="BD93" s="163"/>
      <c r="BE93" s="163"/>
      <c r="BF93" s="163"/>
      <c r="BG93" s="118">
        <f t="shared" si="34"/>
        <v>0</v>
      </c>
      <c r="BH93" s="122">
        <f t="shared" si="35"/>
        <v>0</v>
      </c>
      <c r="BI93" s="163"/>
      <c r="BJ93" s="163"/>
      <c r="BK93" s="163"/>
      <c r="BL93" s="163"/>
      <c r="BM93" s="163"/>
      <c r="BN93" s="163"/>
      <c r="BO93" s="163"/>
      <c r="BP93" s="163"/>
      <c r="BQ93" s="163"/>
      <c r="BR93" s="163"/>
      <c r="BS93" s="163"/>
      <c r="BT93" s="163"/>
      <c r="BU93" s="171"/>
      <c r="BV93" s="163"/>
      <c r="BW93" s="163"/>
      <c r="BX93" s="163"/>
      <c r="BY93" s="163"/>
      <c r="BZ93" s="163"/>
      <c r="CA93" s="163"/>
      <c r="CB93" s="163"/>
      <c r="CC93" s="163"/>
      <c r="CD93" s="163"/>
      <c r="CE93" s="172">
        <f t="shared" si="36"/>
        <v>0</v>
      </c>
      <c r="CF93" s="173">
        <f t="shared" si="37"/>
        <v>0</v>
      </c>
      <c r="CG93" s="163"/>
      <c r="CH93" s="163"/>
      <c r="CI93" s="163"/>
      <c r="CJ93" s="163"/>
      <c r="CK93" s="163"/>
      <c r="CL93" s="163"/>
      <c r="CM93" s="163"/>
      <c r="CN93" s="163"/>
      <c r="CO93" s="163"/>
      <c r="CP93" s="163"/>
      <c r="CQ93" s="163"/>
      <c r="CR93" s="163"/>
      <c r="CS93" s="175">
        <f t="shared" si="38"/>
        <v>0</v>
      </c>
      <c r="CT93" s="158">
        <f t="shared" si="39"/>
        <v>0</v>
      </c>
    </row>
    <row r="94" ht="15.75" customHeight="1">
      <c r="A94" s="9"/>
      <c r="B94" s="11"/>
      <c r="C94" s="11"/>
      <c r="D94" s="9"/>
      <c r="E94" s="9"/>
      <c r="F94" s="9"/>
      <c r="G94" s="9"/>
      <c r="H94" s="11"/>
      <c r="I94" s="11"/>
      <c r="J94" s="11"/>
      <c r="K94" s="11"/>
      <c r="L94" s="11"/>
      <c r="M94" s="9"/>
      <c r="N94" s="9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9"/>
      <c r="AK94" s="13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9"/>
      <c r="BH94" s="15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9"/>
      <c r="CF94" s="9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</row>
    <row r="95" ht="15.75" customHeight="1">
      <c r="A95" s="9"/>
      <c r="B95" s="11"/>
      <c r="C95" s="11"/>
      <c r="D95" s="9"/>
      <c r="E95" s="9"/>
      <c r="F95" s="9"/>
      <c r="G95" s="9"/>
      <c r="H95" s="11"/>
      <c r="I95" s="11"/>
      <c r="J95" s="11"/>
      <c r="K95" s="11"/>
      <c r="L95" s="11"/>
      <c r="M95" s="9"/>
      <c r="N95" s="9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9"/>
      <c r="AK95" s="13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9"/>
      <c r="BH95" s="15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9"/>
      <c r="CF95" s="9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</row>
    <row r="96" ht="15.75" customHeight="1">
      <c r="A96" s="9"/>
      <c r="B96" s="11"/>
      <c r="C96" s="11"/>
      <c r="D96" s="9"/>
      <c r="E96" s="9"/>
      <c r="F96" s="9"/>
      <c r="G96" s="9"/>
      <c r="H96" s="11"/>
      <c r="I96" s="11"/>
      <c r="J96" s="11"/>
      <c r="K96" s="11"/>
      <c r="L96" s="11"/>
      <c r="M96" s="9"/>
      <c r="N96" s="9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9"/>
      <c r="AK96" s="13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9"/>
      <c r="BH96" s="15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9"/>
      <c r="CF96" s="9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</row>
    <row r="97" ht="15.75" customHeight="1">
      <c r="A97" s="9"/>
      <c r="B97" s="11"/>
      <c r="C97" s="11"/>
      <c r="D97" s="9"/>
      <c r="E97" s="9"/>
      <c r="F97" s="9"/>
      <c r="G97" s="9"/>
      <c r="H97" s="11"/>
      <c r="I97" s="11"/>
      <c r="J97" s="11"/>
      <c r="K97" s="11"/>
      <c r="L97" s="11"/>
      <c r="M97" s="9"/>
      <c r="N97" s="9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9"/>
      <c r="AK97" s="13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9"/>
      <c r="BH97" s="15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9"/>
      <c r="CF97" s="9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</row>
    <row r="98" ht="15.75" customHeight="1">
      <c r="A98" s="9"/>
      <c r="B98" s="11"/>
      <c r="C98" s="11"/>
      <c r="D98" s="9"/>
      <c r="E98" s="9"/>
      <c r="F98" s="9"/>
      <c r="G98" s="9"/>
      <c r="H98" s="11"/>
      <c r="I98" s="11"/>
      <c r="J98" s="11"/>
      <c r="K98" s="11"/>
      <c r="L98" s="11"/>
      <c r="M98" s="9"/>
      <c r="N98" s="9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9"/>
      <c r="AK98" s="13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9"/>
      <c r="BH98" s="15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9"/>
      <c r="CF98" s="9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</row>
    <row r="99" ht="15.75" customHeight="1">
      <c r="A99" s="9"/>
      <c r="B99" s="11"/>
      <c r="C99" s="11"/>
      <c r="D99" s="9"/>
      <c r="E99" s="9"/>
      <c r="F99" s="9"/>
      <c r="G99" s="9"/>
      <c r="H99" s="11"/>
      <c r="I99" s="11"/>
      <c r="J99" s="11"/>
      <c r="K99" s="11"/>
      <c r="L99" s="11"/>
      <c r="M99" s="9"/>
      <c r="N99" s="9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9"/>
      <c r="AK99" s="13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9"/>
      <c r="BH99" s="15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9"/>
      <c r="CF99" s="9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</row>
    <row r="100" ht="15.75" customHeight="1">
      <c r="A100" s="9"/>
      <c r="B100" s="11"/>
      <c r="C100" s="11"/>
      <c r="D100" s="9"/>
      <c r="E100" s="9"/>
      <c r="F100" s="9"/>
      <c r="G100" s="9"/>
      <c r="H100" s="11"/>
      <c r="I100" s="11"/>
      <c r="J100" s="11"/>
      <c r="K100" s="11"/>
      <c r="L100" s="11"/>
      <c r="M100" s="9"/>
      <c r="N100" s="9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9"/>
      <c r="AK100" s="13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9"/>
      <c r="BH100" s="15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9"/>
      <c r="CF100" s="9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</row>
    <row r="101" ht="15.75" customHeight="1">
      <c r="A101" s="9"/>
      <c r="B101" s="11"/>
      <c r="C101" s="11"/>
      <c r="D101" s="9"/>
      <c r="E101" s="9"/>
      <c r="F101" s="9"/>
      <c r="G101" s="9"/>
      <c r="H101" s="11"/>
      <c r="I101" s="11"/>
      <c r="J101" s="11"/>
      <c r="K101" s="11"/>
      <c r="L101" s="11"/>
      <c r="M101" s="9"/>
      <c r="N101" s="9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9"/>
      <c r="AK101" s="13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9"/>
      <c r="BH101" s="15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9"/>
      <c r="CF101" s="9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</row>
    <row r="102" ht="15.75" customHeight="1">
      <c r="A102" s="9"/>
      <c r="B102" s="11"/>
      <c r="C102" s="11"/>
      <c r="D102" s="9"/>
      <c r="E102" s="9"/>
      <c r="F102" s="9"/>
      <c r="G102" s="9"/>
      <c r="H102" s="11"/>
      <c r="I102" s="11"/>
      <c r="J102" s="11"/>
      <c r="K102" s="11"/>
      <c r="L102" s="11"/>
      <c r="M102" s="9"/>
      <c r="N102" s="9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9"/>
      <c r="AK102" s="13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9"/>
      <c r="BH102" s="15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9"/>
      <c r="CF102" s="9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</row>
    <row r="103" ht="15.75" customHeight="1">
      <c r="A103" s="9"/>
      <c r="B103" s="11"/>
      <c r="C103" s="11"/>
      <c r="D103" s="9"/>
      <c r="E103" s="9"/>
      <c r="F103" s="9"/>
      <c r="G103" s="9"/>
      <c r="H103" s="11"/>
      <c r="I103" s="11"/>
      <c r="J103" s="11"/>
      <c r="K103" s="11"/>
      <c r="L103" s="11"/>
      <c r="M103" s="9"/>
      <c r="N103" s="9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9"/>
      <c r="AK103" s="13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9"/>
      <c r="BH103" s="15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9"/>
      <c r="CF103" s="9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</row>
    <row r="104" ht="15.75" customHeight="1">
      <c r="A104" s="9"/>
      <c r="B104" s="11"/>
      <c r="C104" s="11"/>
      <c r="D104" s="9"/>
      <c r="E104" s="9"/>
      <c r="F104" s="9"/>
      <c r="G104" s="9"/>
      <c r="H104" s="11"/>
      <c r="I104" s="11"/>
      <c r="J104" s="11"/>
      <c r="K104" s="11"/>
      <c r="L104" s="11"/>
      <c r="M104" s="9"/>
      <c r="N104" s="9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9"/>
      <c r="AK104" s="13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9"/>
      <c r="BH104" s="15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9"/>
      <c r="CF104" s="9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</row>
    <row r="105" ht="15.75" customHeight="1">
      <c r="A105" s="9"/>
      <c r="B105" s="11"/>
      <c r="C105" s="11"/>
      <c r="D105" s="9"/>
      <c r="E105" s="9"/>
      <c r="F105" s="9"/>
      <c r="G105" s="9"/>
      <c r="H105" s="11"/>
      <c r="I105" s="11"/>
      <c r="J105" s="11"/>
      <c r="K105" s="11"/>
      <c r="L105" s="11"/>
      <c r="M105" s="9"/>
      <c r="N105" s="9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9"/>
      <c r="AK105" s="13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9"/>
      <c r="BH105" s="15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9"/>
      <c r="CF105" s="9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</row>
    <row r="106" ht="15.75" customHeight="1">
      <c r="A106" s="9"/>
      <c r="B106" s="11"/>
      <c r="C106" s="11"/>
      <c r="D106" s="9"/>
      <c r="E106" s="9"/>
      <c r="F106" s="9"/>
      <c r="G106" s="9"/>
      <c r="H106" s="11"/>
      <c r="I106" s="11"/>
      <c r="J106" s="11"/>
      <c r="K106" s="11"/>
      <c r="L106" s="11"/>
      <c r="M106" s="9"/>
      <c r="N106" s="9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9"/>
      <c r="AK106" s="13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9"/>
      <c r="BH106" s="15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9"/>
      <c r="CF106" s="9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</row>
    <row r="107" ht="15.75" customHeight="1">
      <c r="A107" s="9"/>
      <c r="B107" s="11"/>
      <c r="C107" s="11"/>
      <c r="D107" s="9"/>
      <c r="E107" s="9"/>
      <c r="F107" s="9"/>
      <c r="G107" s="9"/>
      <c r="H107" s="11"/>
      <c r="I107" s="11"/>
      <c r="J107" s="11"/>
      <c r="K107" s="11"/>
      <c r="L107" s="11"/>
      <c r="M107" s="9"/>
      <c r="N107" s="9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9"/>
      <c r="AK107" s="13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9"/>
      <c r="BH107" s="15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9"/>
      <c r="CF107" s="9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</row>
    <row r="108" ht="15.75" customHeight="1">
      <c r="A108" s="9"/>
      <c r="B108" s="11"/>
      <c r="C108" s="11"/>
      <c r="D108" s="9"/>
      <c r="E108" s="9"/>
      <c r="F108" s="9"/>
      <c r="G108" s="9"/>
      <c r="H108" s="11"/>
      <c r="I108" s="11"/>
      <c r="J108" s="11"/>
      <c r="K108" s="11"/>
      <c r="L108" s="11"/>
      <c r="M108" s="9"/>
      <c r="N108" s="9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9"/>
      <c r="AK108" s="13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9"/>
      <c r="BH108" s="15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9"/>
      <c r="CF108" s="9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</row>
    <row r="109" ht="15.75" customHeight="1">
      <c r="A109" s="9"/>
      <c r="B109" s="11"/>
      <c r="C109" s="11"/>
      <c r="D109" s="9"/>
      <c r="E109" s="9"/>
      <c r="F109" s="9"/>
      <c r="G109" s="9"/>
      <c r="H109" s="11"/>
      <c r="I109" s="11"/>
      <c r="J109" s="11"/>
      <c r="K109" s="11"/>
      <c r="L109" s="11"/>
      <c r="M109" s="9"/>
      <c r="N109" s="9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9"/>
      <c r="AK109" s="13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9"/>
      <c r="BH109" s="15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9"/>
      <c r="CF109" s="9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</row>
    <row r="110" ht="15.75" customHeight="1">
      <c r="A110" s="9"/>
      <c r="B110" s="11"/>
      <c r="C110" s="11"/>
      <c r="D110" s="9"/>
      <c r="E110" s="9"/>
      <c r="F110" s="9"/>
      <c r="G110" s="9"/>
      <c r="H110" s="11"/>
      <c r="I110" s="11"/>
      <c r="J110" s="11"/>
      <c r="K110" s="11"/>
      <c r="L110" s="11"/>
      <c r="M110" s="9"/>
      <c r="N110" s="9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9"/>
      <c r="AK110" s="13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9"/>
      <c r="BH110" s="15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9"/>
      <c r="CF110" s="9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</row>
    <row r="111" ht="15.75" customHeight="1">
      <c r="A111" s="9"/>
      <c r="B111" s="11"/>
      <c r="C111" s="11"/>
      <c r="D111" s="9"/>
      <c r="E111" s="9"/>
      <c r="F111" s="9"/>
      <c r="G111" s="9"/>
      <c r="H111" s="11"/>
      <c r="I111" s="11"/>
      <c r="J111" s="11"/>
      <c r="K111" s="11"/>
      <c r="L111" s="11"/>
      <c r="M111" s="9"/>
      <c r="N111" s="9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9"/>
      <c r="AK111" s="13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9"/>
      <c r="BH111" s="15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9"/>
      <c r="CF111" s="9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</row>
    <row r="112" ht="15.75" customHeight="1">
      <c r="A112" s="9"/>
      <c r="B112" s="11"/>
      <c r="C112" s="11"/>
      <c r="D112" s="9"/>
      <c r="E112" s="9"/>
      <c r="F112" s="9"/>
      <c r="G112" s="9"/>
      <c r="H112" s="11"/>
      <c r="I112" s="11"/>
      <c r="J112" s="11"/>
      <c r="K112" s="11"/>
      <c r="L112" s="11"/>
      <c r="M112" s="9"/>
      <c r="N112" s="9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9"/>
      <c r="AK112" s="13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9"/>
      <c r="BH112" s="15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9"/>
      <c r="CF112" s="9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</row>
    <row r="113" ht="15.75" customHeight="1">
      <c r="A113" s="9"/>
      <c r="B113" s="11"/>
      <c r="C113" s="11"/>
      <c r="D113" s="9"/>
      <c r="E113" s="9"/>
      <c r="F113" s="9"/>
      <c r="G113" s="9"/>
      <c r="H113" s="11"/>
      <c r="I113" s="11"/>
      <c r="J113" s="11"/>
      <c r="K113" s="11"/>
      <c r="L113" s="11"/>
      <c r="M113" s="9"/>
      <c r="N113" s="9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9"/>
      <c r="AK113" s="13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9"/>
      <c r="BH113" s="15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9"/>
      <c r="CF113" s="9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</row>
    <row r="114" ht="15.75" customHeight="1">
      <c r="A114" s="9"/>
      <c r="B114" s="11"/>
      <c r="C114" s="11"/>
      <c r="D114" s="9"/>
      <c r="E114" s="9"/>
      <c r="F114" s="9"/>
      <c r="G114" s="9"/>
      <c r="H114" s="11"/>
      <c r="I114" s="11"/>
      <c r="J114" s="11"/>
      <c r="K114" s="11"/>
      <c r="L114" s="11"/>
      <c r="M114" s="9"/>
      <c r="N114" s="9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9"/>
      <c r="AK114" s="13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9"/>
      <c r="BH114" s="15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9"/>
      <c r="CF114" s="9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</row>
    <row r="115" ht="15.75" customHeight="1">
      <c r="A115" s="9"/>
      <c r="B115" s="11"/>
      <c r="C115" s="11"/>
      <c r="D115" s="9"/>
      <c r="E115" s="9"/>
      <c r="F115" s="9"/>
      <c r="G115" s="9"/>
      <c r="H115" s="11"/>
      <c r="I115" s="11"/>
      <c r="J115" s="11"/>
      <c r="K115" s="11"/>
      <c r="L115" s="11"/>
      <c r="M115" s="9"/>
      <c r="N115" s="9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9"/>
      <c r="AK115" s="13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9"/>
      <c r="BH115" s="15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9"/>
      <c r="CF115" s="9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</row>
    <row r="116" ht="15.75" customHeight="1">
      <c r="A116" s="9"/>
      <c r="B116" s="11"/>
      <c r="C116" s="11"/>
      <c r="D116" s="9"/>
      <c r="E116" s="9"/>
      <c r="F116" s="9"/>
      <c r="G116" s="9"/>
      <c r="H116" s="11"/>
      <c r="I116" s="11"/>
      <c r="J116" s="11"/>
      <c r="K116" s="11"/>
      <c r="L116" s="11"/>
      <c r="M116" s="9"/>
      <c r="N116" s="9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9"/>
      <c r="AK116" s="13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9"/>
      <c r="BH116" s="15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9"/>
      <c r="CF116" s="9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</row>
    <row r="117" ht="15.75" customHeight="1">
      <c r="A117" s="9"/>
      <c r="B117" s="11"/>
      <c r="C117" s="11"/>
      <c r="D117" s="9"/>
      <c r="E117" s="9"/>
      <c r="F117" s="9"/>
      <c r="G117" s="9"/>
      <c r="H117" s="11"/>
      <c r="I117" s="11"/>
      <c r="J117" s="11"/>
      <c r="K117" s="11"/>
      <c r="L117" s="11"/>
      <c r="M117" s="9"/>
      <c r="N117" s="9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9"/>
      <c r="AK117" s="13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9"/>
      <c r="BH117" s="15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9"/>
      <c r="CF117" s="9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</row>
    <row r="118" ht="15.75" customHeight="1">
      <c r="A118" s="9"/>
      <c r="B118" s="11"/>
      <c r="C118" s="11"/>
      <c r="D118" s="9"/>
      <c r="E118" s="9"/>
      <c r="F118" s="9"/>
      <c r="G118" s="9"/>
      <c r="H118" s="11"/>
      <c r="I118" s="11"/>
      <c r="J118" s="11"/>
      <c r="K118" s="11"/>
      <c r="L118" s="11"/>
      <c r="M118" s="9"/>
      <c r="N118" s="9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9"/>
      <c r="AK118" s="13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9"/>
      <c r="BH118" s="15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9"/>
      <c r="CF118" s="9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</row>
    <row r="119" ht="15.75" customHeight="1">
      <c r="A119" s="9"/>
      <c r="B119" s="11"/>
      <c r="C119" s="11"/>
      <c r="D119" s="9"/>
      <c r="E119" s="9"/>
      <c r="F119" s="9"/>
      <c r="G119" s="9"/>
      <c r="H119" s="11"/>
      <c r="I119" s="11"/>
      <c r="J119" s="11"/>
      <c r="K119" s="11"/>
      <c r="L119" s="11"/>
      <c r="M119" s="9"/>
      <c r="N119" s="9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9"/>
      <c r="AK119" s="13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9"/>
      <c r="BH119" s="15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9"/>
      <c r="CF119" s="9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</row>
    <row r="120" ht="15.75" customHeight="1">
      <c r="A120" s="9"/>
      <c r="B120" s="11"/>
      <c r="C120" s="11"/>
      <c r="D120" s="9"/>
      <c r="E120" s="9"/>
      <c r="F120" s="9"/>
      <c r="G120" s="9"/>
      <c r="H120" s="11"/>
      <c r="I120" s="11"/>
      <c r="J120" s="11"/>
      <c r="K120" s="11"/>
      <c r="L120" s="11"/>
      <c r="M120" s="9"/>
      <c r="N120" s="9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9"/>
      <c r="AK120" s="13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9"/>
      <c r="BH120" s="15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9"/>
      <c r="CF120" s="9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</row>
    <row r="121" ht="15.75" customHeight="1">
      <c r="A121" s="9"/>
      <c r="B121" s="11"/>
      <c r="C121" s="11"/>
      <c r="D121" s="9"/>
      <c r="E121" s="9"/>
      <c r="F121" s="9"/>
      <c r="G121" s="9"/>
      <c r="H121" s="11"/>
      <c r="I121" s="11"/>
      <c r="J121" s="11"/>
      <c r="K121" s="11"/>
      <c r="L121" s="11"/>
      <c r="M121" s="9"/>
      <c r="N121" s="9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9"/>
      <c r="AK121" s="13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9"/>
      <c r="BH121" s="15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9"/>
      <c r="CF121" s="9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</row>
    <row r="122" ht="15.75" customHeight="1">
      <c r="A122" s="9"/>
      <c r="B122" s="11"/>
      <c r="C122" s="11"/>
      <c r="D122" s="9"/>
      <c r="E122" s="9"/>
      <c r="F122" s="9"/>
      <c r="G122" s="9"/>
      <c r="H122" s="11"/>
      <c r="I122" s="11"/>
      <c r="J122" s="11"/>
      <c r="K122" s="11"/>
      <c r="L122" s="11"/>
      <c r="M122" s="9"/>
      <c r="N122" s="9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9"/>
      <c r="AK122" s="13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9"/>
      <c r="BH122" s="15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9"/>
      <c r="CF122" s="9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</row>
    <row r="123" ht="15.75" customHeight="1">
      <c r="A123" s="9"/>
      <c r="B123" s="11"/>
      <c r="C123" s="11"/>
      <c r="D123" s="9"/>
      <c r="E123" s="9"/>
      <c r="F123" s="9"/>
      <c r="G123" s="9"/>
      <c r="H123" s="11"/>
      <c r="I123" s="11"/>
      <c r="J123" s="11"/>
      <c r="K123" s="11"/>
      <c r="L123" s="11"/>
      <c r="M123" s="9"/>
      <c r="N123" s="9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9"/>
      <c r="AK123" s="13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9"/>
      <c r="BH123" s="15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9"/>
      <c r="CF123" s="9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</row>
    <row r="124" ht="15.75" customHeight="1">
      <c r="A124" s="9"/>
      <c r="B124" s="11"/>
      <c r="C124" s="11"/>
      <c r="D124" s="9"/>
      <c r="E124" s="9"/>
      <c r="F124" s="9"/>
      <c r="G124" s="9"/>
      <c r="H124" s="11"/>
      <c r="I124" s="11"/>
      <c r="J124" s="11"/>
      <c r="K124" s="11"/>
      <c r="L124" s="11"/>
      <c r="M124" s="9"/>
      <c r="N124" s="9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9"/>
      <c r="AK124" s="13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9"/>
      <c r="BH124" s="15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9"/>
      <c r="CF124" s="9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</row>
    <row r="125" ht="15.75" customHeight="1">
      <c r="A125" s="9"/>
      <c r="B125" s="11"/>
      <c r="C125" s="11"/>
      <c r="D125" s="9"/>
      <c r="E125" s="9"/>
      <c r="F125" s="9"/>
      <c r="G125" s="9"/>
      <c r="H125" s="11"/>
      <c r="I125" s="11"/>
      <c r="J125" s="11"/>
      <c r="K125" s="11"/>
      <c r="L125" s="11"/>
      <c r="M125" s="9"/>
      <c r="N125" s="9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9"/>
      <c r="AK125" s="13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9"/>
      <c r="BH125" s="15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9"/>
      <c r="CF125" s="9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</row>
    <row r="126" ht="15.75" customHeight="1">
      <c r="A126" s="9"/>
      <c r="B126" s="11"/>
      <c r="C126" s="11"/>
      <c r="D126" s="9"/>
      <c r="E126" s="9"/>
      <c r="F126" s="9"/>
      <c r="G126" s="9"/>
      <c r="H126" s="11"/>
      <c r="I126" s="11"/>
      <c r="J126" s="11"/>
      <c r="K126" s="11"/>
      <c r="L126" s="11"/>
      <c r="M126" s="9"/>
      <c r="N126" s="9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9"/>
      <c r="AK126" s="13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9"/>
      <c r="BH126" s="15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9"/>
      <c r="CF126" s="9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</row>
    <row r="127" ht="15.75" customHeight="1">
      <c r="A127" s="9"/>
      <c r="B127" s="11"/>
      <c r="C127" s="11"/>
      <c r="D127" s="9"/>
      <c r="E127" s="9"/>
      <c r="F127" s="9"/>
      <c r="G127" s="9"/>
      <c r="H127" s="11"/>
      <c r="I127" s="11"/>
      <c r="J127" s="11"/>
      <c r="K127" s="11"/>
      <c r="L127" s="11"/>
      <c r="M127" s="9"/>
      <c r="N127" s="9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9"/>
      <c r="AK127" s="13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9"/>
      <c r="BH127" s="15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9"/>
      <c r="CF127" s="9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</row>
    <row r="128" ht="15.75" customHeight="1">
      <c r="A128" s="9"/>
      <c r="B128" s="11"/>
      <c r="C128" s="11"/>
      <c r="D128" s="9"/>
      <c r="E128" s="9"/>
      <c r="F128" s="9"/>
      <c r="G128" s="9"/>
      <c r="H128" s="11"/>
      <c r="I128" s="11"/>
      <c r="J128" s="11"/>
      <c r="K128" s="11"/>
      <c r="L128" s="11"/>
      <c r="M128" s="9"/>
      <c r="N128" s="9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9"/>
      <c r="AK128" s="13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9"/>
      <c r="BH128" s="15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9"/>
      <c r="CF128" s="9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</row>
    <row r="129" ht="15.75" customHeight="1">
      <c r="A129" s="9"/>
      <c r="B129" s="11"/>
      <c r="C129" s="11"/>
      <c r="D129" s="9"/>
      <c r="E129" s="9"/>
      <c r="F129" s="9"/>
      <c r="G129" s="9"/>
      <c r="H129" s="11"/>
      <c r="I129" s="11"/>
      <c r="J129" s="11"/>
      <c r="K129" s="11"/>
      <c r="L129" s="11"/>
      <c r="M129" s="9"/>
      <c r="N129" s="9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9"/>
      <c r="AK129" s="13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9"/>
      <c r="BH129" s="15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9"/>
      <c r="CF129" s="9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</row>
    <row r="130" ht="15.75" customHeight="1">
      <c r="A130" s="9"/>
      <c r="B130" s="11"/>
      <c r="C130" s="11"/>
      <c r="D130" s="9"/>
      <c r="E130" s="9"/>
      <c r="F130" s="9"/>
      <c r="G130" s="9"/>
      <c r="H130" s="11"/>
      <c r="I130" s="11"/>
      <c r="J130" s="11"/>
      <c r="K130" s="11"/>
      <c r="L130" s="11"/>
      <c r="M130" s="9"/>
      <c r="N130" s="9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9"/>
      <c r="AK130" s="13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9"/>
      <c r="BH130" s="15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9"/>
      <c r="CF130" s="9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</row>
    <row r="131" ht="15.75" customHeight="1">
      <c r="A131" s="9"/>
      <c r="B131" s="11"/>
      <c r="C131" s="11"/>
      <c r="D131" s="9"/>
      <c r="E131" s="9"/>
      <c r="F131" s="9"/>
      <c r="G131" s="9"/>
      <c r="H131" s="11"/>
      <c r="I131" s="11"/>
      <c r="J131" s="11"/>
      <c r="K131" s="11"/>
      <c r="L131" s="11"/>
      <c r="M131" s="9"/>
      <c r="N131" s="9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9"/>
      <c r="AK131" s="13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9"/>
      <c r="BH131" s="15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9"/>
      <c r="CF131" s="9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</row>
    <row r="132" ht="15.75" customHeight="1">
      <c r="A132" s="9"/>
      <c r="B132" s="11"/>
      <c r="C132" s="11"/>
      <c r="D132" s="9"/>
      <c r="E132" s="9"/>
      <c r="F132" s="9"/>
      <c r="G132" s="9"/>
      <c r="H132" s="11"/>
      <c r="I132" s="11"/>
      <c r="J132" s="11"/>
      <c r="K132" s="11"/>
      <c r="L132" s="11"/>
      <c r="M132" s="9"/>
      <c r="N132" s="9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9"/>
      <c r="AK132" s="13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9"/>
      <c r="BH132" s="15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9"/>
      <c r="CF132" s="9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</row>
    <row r="133" ht="15.75" customHeight="1">
      <c r="A133" s="9"/>
      <c r="B133" s="11"/>
      <c r="C133" s="11"/>
      <c r="D133" s="9"/>
      <c r="E133" s="9"/>
      <c r="F133" s="9"/>
      <c r="G133" s="9"/>
      <c r="H133" s="11"/>
      <c r="I133" s="11"/>
      <c r="J133" s="11"/>
      <c r="K133" s="11"/>
      <c r="L133" s="11"/>
      <c r="M133" s="9"/>
      <c r="N133" s="9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9"/>
      <c r="AK133" s="13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9"/>
      <c r="BH133" s="15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9"/>
      <c r="CF133" s="9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</row>
    <row r="134" ht="15.75" customHeight="1">
      <c r="A134" s="9"/>
      <c r="B134" s="11"/>
      <c r="C134" s="11"/>
      <c r="D134" s="9"/>
      <c r="E134" s="9"/>
      <c r="F134" s="9"/>
      <c r="G134" s="9"/>
      <c r="H134" s="11"/>
      <c r="I134" s="11"/>
      <c r="J134" s="11"/>
      <c r="K134" s="11"/>
      <c r="L134" s="11"/>
      <c r="M134" s="9"/>
      <c r="N134" s="9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9"/>
      <c r="AK134" s="13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9"/>
      <c r="BH134" s="15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9"/>
      <c r="CF134" s="9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</row>
    <row r="135" ht="15.75" customHeight="1">
      <c r="A135" s="9"/>
      <c r="B135" s="11"/>
      <c r="C135" s="11"/>
      <c r="D135" s="9"/>
      <c r="E135" s="9"/>
      <c r="F135" s="9"/>
      <c r="G135" s="9"/>
      <c r="H135" s="11"/>
      <c r="I135" s="11"/>
      <c r="J135" s="11"/>
      <c r="K135" s="11"/>
      <c r="L135" s="11"/>
      <c r="M135" s="9"/>
      <c r="N135" s="9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9"/>
      <c r="AK135" s="13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9"/>
      <c r="BH135" s="15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9"/>
      <c r="CF135" s="9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</row>
    <row r="136" ht="15.75" customHeight="1">
      <c r="A136" s="9"/>
      <c r="B136" s="11"/>
      <c r="C136" s="11"/>
      <c r="D136" s="9"/>
      <c r="E136" s="9"/>
      <c r="F136" s="9"/>
      <c r="G136" s="9"/>
      <c r="H136" s="11"/>
      <c r="I136" s="11"/>
      <c r="J136" s="11"/>
      <c r="K136" s="11"/>
      <c r="L136" s="11"/>
      <c r="M136" s="9"/>
      <c r="N136" s="9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9"/>
      <c r="AK136" s="13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9"/>
      <c r="BH136" s="15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9"/>
      <c r="CF136" s="9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</row>
    <row r="137" ht="15.75" customHeight="1">
      <c r="A137" s="9"/>
      <c r="B137" s="11"/>
      <c r="C137" s="11"/>
      <c r="D137" s="9"/>
      <c r="E137" s="9"/>
      <c r="F137" s="9"/>
      <c r="G137" s="9"/>
      <c r="H137" s="11"/>
      <c r="I137" s="11"/>
      <c r="J137" s="11"/>
      <c r="K137" s="11"/>
      <c r="L137" s="11"/>
      <c r="M137" s="9"/>
      <c r="N137" s="9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9"/>
      <c r="AK137" s="13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9"/>
      <c r="BH137" s="15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9"/>
      <c r="CF137" s="9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</row>
    <row r="138" ht="15.75" customHeight="1">
      <c r="A138" s="9"/>
      <c r="B138" s="11"/>
      <c r="C138" s="11"/>
      <c r="D138" s="9"/>
      <c r="E138" s="9"/>
      <c r="F138" s="9"/>
      <c r="G138" s="9"/>
      <c r="H138" s="11"/>
      <c r="I138" s="11"/>
      <c r="J138" s="11"/>
      <c r="K138" s="11"/>
      <c r="L138" s="11"/>
      <c r="M138" s="9"/>
      <c r="N138" s="9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9"/>
      <c r="AK138" s="13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9"/>
      <c r="BH138" s="15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9"/>
      <c r="CF138" s="9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</row>
    <row r="139" ht="15.75" customHeight="1">
      <c r="A139" s="9"/>
      <c r="B139" s="11"/>
      <c r="C139" s="11"/>
      <c r="D139" s="9"/>
      <c r="E139" s="9"/>
      <c r="F139" s="9"/>
      <c r="G139" s="9"/>
      <c r="H139" s="11"/>
      <c r="I139" s="11"/>
      <c r="J139" s="11"/>
      <c r="K139" s="11"/>
      <c r="L139" s="11"/>
      <c r="M139" s="9"/>
      <c r="N139" s="9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9"/>
      <c r="AK139" s="13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9"/>
      <c r="BH139" s="15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9"/>
      <c r="CF139" s="9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</row>
    <row r="140" ht="15.75" customHeight="1">
      <c r="A140" s="9"/>
      <c r="B140" s="11"/>
      <c r="C140" s="11"/>
      <c r="D140" s="9"/>
      <c r="E140" s="9"/>
      <c r="F140" s="9"/>
      <c r="G140" s="9"/>
      <c r="H140" s="11"/>
      <c r="I140" s="11"/>
      <c r="J140" s="11"/>
      <c r="K140" s="11"/>
      <c r="L140" s="11"/>
      <c r="M140" s="9"/>
      <c r="N140" s="9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9"/>
      <c r="AK140" s="13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9"/>
      <c r="BH140" s="15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9"/>
      <c r="CF140" s="9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</row>
    <row r="141" ht="15.75" customHeight="1">
      <c r="A141" s="9"/>
      <c r="B141" s="11"/>
      <c r="C141" s="11"/>
      <c r="D141" s="9"/>
      <c r="E141" s="9"/>
      <c r="F141" s="9"/>
      <c r="G141" s="9"/>
      <c r="H141" s="11"/>
      <c r="I141" s="11"/>
      <c r="J141" s="11"/>
      <c r="K141" s="11"/>
      <c r="L141" s="11"/>
      <c r="M141" s="9"/>
      <c r="N141" s="9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9"/>
      <c r="AK141" s="13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9"/>
      <c r="BH141" s="15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9"/>
      <c r="CF141" s="9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</row>
    <row r="142" ht="15.75" customHeight="1">
      <c r="A142" s="9"/>
      <c r="B142" s="11"/>
      <c r="C142" s="11"/>
      <c r="D142" s="9"/>
      <c r="E142" s="9"/>
      <c r="F142" s="9"/>
      <c r="G142" s="9"/>
      <c r="H142" s="11"/>
      <c r="I142" s="11"/>
      <c r="J142" s="11"/>
      <c r="K142" s="11"/>
      <c r="L142" s="11"/>
      <c r="M142" s="9"/>
      <c r="N142" s="9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9"/>
      <c r="AK142" s="13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9"/>
      <c r="BH142" s="15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9"/>
      <c r="CF142" s="9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</row>
    <row r="143" ht="15.75" customHeight="1">
      <c r="A143" s="9"/>
      <c r="B143" s="11"/>
      <c r="C143" s="11"/>
      <c r="D143" s="9"/>
      <c r="E143" s="9"/>
      <c r="F143" s="9"/>
      <c r="G143" s="9"/>
      <c r="H143" s="11"/>
      <c r="I143" s="11"/>
      <c r="J143" s="11"/>
      <c r="K143" s="11"/>
      <c r="L143" s="11"/>
      <c r="M143" s="9"/>
      <c r="N143" s="9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9"/>
      <c r="AK143" s="13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9"/>
      <c r="BH143" s="15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9"/>
      <c r="CF143" s="9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</row>
    <row r="144" ht="15.75" customHeight="1">
      <c r="A144" s="9"/>
      <c r="B144" s="11"/>
      <c r="C144" s="11"/>
      <c r="D144" s="9"/>
      <c r="E144" s="9"/>
      <c r="F144" s="9"/>
      <c r="G144" s="9"/>
      <c r="H144" s="11"/>
      <c r="I144" s="11"/>
      <c r="J144" s="11"/>
      <c r="K144" s="11"/>
      <c r="L144" s="11"/>
      <c r="M144" s="9"/>
      <c r="N144" s="9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9"/>
      <c r="AK144" s="13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9"/>
      <c r="BH144" s="15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9"/>
      <c r="CF144" s="9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</row>
    <row r="145" ht="15.75" customHeight="1">
      <c r="A145" s="9"/>
      <c r="B145" s="11"/>
      <c r="C145" s="11"/>
      <c r="D145" s="9"/>
      <c r="E145" s="9"/>
      <c r="F145" s="9"/>
      <c r="G145" s="9"/>
      <c r="H145" s="11"/>
      <c r="I145" s="11"/>
      <c r="J145" s="11"/>
      <c r="K145" s="11"/>
      <c r="L145" s="11"/>
      <c r="M145" s="9"/>
      <c r="N145" s="9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9"/>
      <c r="AK145" s="13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9"/>
      <c r="BH145" s="15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9"/>
      <c r="CF145" s="9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</row>
    <row r="146" ht="15.75" customHeight="1">
      <c r="A146" s="9"/>
      <c r="B146" s="11"/>
      <c r="C146" s="11"/>
      <c r="D146" s="9"/>
      <c r="E146" s="9"/>
      <c r="F146" s="9"/>
      <c r="G146" s="9"/>
      <c r="H146" s="11"/>
      <c r="I146" s="11"/>
      <c r="J146" s="11"/>
      <c r="K146" s="11"/>
      <c r="L146" s="11"/>
      <c r="M146" s="9"/>
      <c r="N146" s="9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9"/>
      <c r="AK146" s="13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9"/>
      <c r="BH146" s="15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9"/>
      <c r="CF146" s="9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</row>
    <row r="147" ht="15.75" customHeight="1">
      <c r="A147" s="9"/>
      <c r="B147" s="11"/>
      <c r="C147" s="11"/>
      <c r="D147" s="9"/>
      <c r="E147" s="9"/>
      <c r="F147" s="9"/>
      <c r="G147" s="9"/>
      <c r="H147" s="11"/>
      <c r="I147" s="11"/>
      <c r="J147" s="11"/>
      <c r="K147" s="11"/>
      <c r="L147" s="11"/>
      <c r="M147" s="9"/>
      <c r="N147" s="9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9"/>
      <c r="AK147" s="13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9"/>
      <c r="BH147" s="15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9"/>
      <c r="CF147" s="9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</row>
    <row r="148" ht="15.75" customHeight="1">
      <c r="A148" s="9"/>
      <c r="B148" s="11"/>
      <c r="C148" s="11"/>
      <c r="D148" s="9"/>
      <c r="E148" s="9"/>
      <c r="F148" s="9"/>
      <c r="G148" s="9"/>
      <c r="H148" s="11"/>
      <c r="I148" s="11"/>
      <c r="J148" s="11"/>
      <c r="K148" s="11"/>
      <c r="L148" s="11"/>
      <c r="M148" s="9"/>
      <c r="N148" s="9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9"/>
      <c r="AK148" s="13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9"/>
      <c r="BH148" s="15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9"/>
      <c r="CF148" s="9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</row>
    <row r="149" ht="15.75" customHeight="1">
      <c r="A149" s="9"/>
      <c r="B149" s="11"/>
      <c r="C149" s="11"/>
      <c r="D149" s="9"/>
      <c r="E149" s="9"/>
      <c r="F149" s="9"/>
      <c r="G149" s="9"/>
      <c r="H149" s="11"/>
      <c r="I149" s="11"/>
      <c r="J149" s="11"/>
      <c r="K149" s="11"/>
      <c r="L149" s="11"/>
      <c r="M149" s="9"/>
      <c r="N149" s="9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9"/>
      <c r="AK149" s="13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9"/>
      <c r="BH149" s="15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9"/>
      <c r="CF149" s="9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</row>
    <row r="150" ht="15.75" customHeight="1">
      <c r="A150" s="9"/>
      <c r="B150" s="11"/>
      <c r="C150" s="11"/>
      <c r="D150" s="9"/>
      <c r="E150" s="9"/>
      <c r="F150" s="9"/>
      <c r="G150" s="9"/>
      <c r="H150" s="11"/>
      <c r="I150" s="11"/>
      <c r="J150" s="11"/>
      <c r="K150" s="11"/>
      <c r="L150" s="11"/>
      <c r="M150" s="9"/>
      <c r="N150" s="9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9"/>
      <c r="AK150" s="13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9"/>
      <c r="BH150" s="15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9"/>
      <c r="CF150" s="9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</row>
    <row r="151" ht="15.75" customHeight="1">
      <c r="A151" s="9"/>
      <c r="B151" s="11"/>
      <c r="C151" s="11"/>
      <c r="D151" s="9"/>
      <c r="E151" s="9"/>
      <c r="F151" s="9"/>
      <c r="G151" s="9"/>
      <c r="H151" s="11"/>
      <c r="I151" s="11"/>
      <c r="J151" s="11"/>
      <c r="K151" s="11"/>
      <c r="L151" s="11"/>
      <c r="M151" s="9"/>
      <c r="N151" s="9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9"/>
      <c r="AK151" s="13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9"/>
      <c r="BH151" s="15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9"/>
      <c r="CF151" s="9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</row>
    <row r="152" ht="15.75" customHeight="1">
      <c r="A152" s="9"/>
      <c r="B152" s="11"/>
      <c r="C152" s="11"/>
      <c r="D152" s="9"/>
      <c r="E152" s="9"/>
      <c r="F152" s="9"/>
      <c r="G152" s="9"/>
      <c r="H152" s="11"/>
      <c r="I152" s="11"/>
      <c r="J152" s="11"/>
      <c r="K152" s="11"/>
      <c r="L152" s="11"/>
      <c r="M152" s="9"/>
      <c r="N152" s="9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9"/>
      <c r="AK152" s="13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9"/>
      <c r="BH152" s="15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9"/>
      <c r="CF152" s="9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</row>
    <row r="153" ht="15.75" customHeight="1">
      <c r="A153" s="9"/>
      <c r="B153" s="11"/>
      <c r="C153" s="11"/>
      <c r="D153" s="9"/>
      <c r="E153" s="9"/>
      <c r="F153" s="9"/>
      <c r="G153" s="9"/>
      <c r="H153" s="11"/>
      <c r="I153" s="11"/>
      <c r="J153" s="11"/>
      <c r="K153" s="11"/>
      <c r="L153" s="11"/>
      <c r="M153" s="9"/>
      <c r="N153" s="9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9"/>
      <c r="AK153" s="13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9"/>
      <c r="BH153" s="15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9"/>
      <c r="CF153" s="9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</row>
    <row r="154" ht="15.75" customHeight="1">
      <c r="A154" s="9"/>
      <c r="B154" s="11"/>
      <c r="C154" s="11"/>
      <c r="D154" s="9"/>
      <c r="E154" s="9"/>
      <c r="F154" s="9"/>
      <c r="G154" s="9"/>
      <c r="H154" s="11"/>
      <c r="I154" s="11"/>
      <c r="J154" s="11"/>
      <c r="K154" s="11"/>
      <c r="L154" s="11"/>
      <c r="M154" s="9"/>
      <c r="N154" s="9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9"/>
      <c r="AK154" s="13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9"/>
      <c r="BH154" s="15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9"/>
      <c r="CF154" s="9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</row>
    <row r="155" ht="15.75" customHeight="1">
      <c r="A155" s="9"/>
      <c r="B155" s="11"/>
      <c r="C155" s="11"/>
      <c r="D155" s="9"/>
      <c r="E155" s="9"/>
      <c r="F155" s="9"/>
      <c r="G155" s="9"/>
      <c r="H155" s="11"/>
      <c r="I155" s="11"/>
      <c r="J155" s="11"/>
      <c r="K155" s="11"/>
      <c r="L155" s="11"/>
      <c r="M155" s="9"/>
      <c r="N155" s="9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9"/>
      <c r="AK155" s="13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9"/>
      <c r="BH155" s="15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9"/>
      <c r="CF155" s="9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</row>
    <row r="156" ht="15.75" customHeight="1">
      <c r="A156" s="9"/>
      <c r="B156" s="11"/>
      <c r="C156" s="11"/>
      <c r="D156" s="9"/>
      <c r="E156" s="9"/>
      <c r="F156" s="9"/>
      <c r="G156" s="9"/>
      <c r="H156" s="11"/>
      <c r="I156" s="11"/>
      <c r="J156" s="11"/>
      <c r="K156" s="11"/>
      <c r="L156" s="11"/>
      <c r="M156" s="9"/>
      <c r="N156" s="9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9"/>
      <c r="AK156" s="13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9"/>
      <c r="BH156" s="15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9"/>
      <c r="CF156" s="9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</row>
    <row r="157" ht="15.75" customHeight="1">
      <c r="A157" s="9"/>
      <c r="B157" s="11"/>
      <c r="C157" s="11"/>
      <c r="D157" s="9"/>
      <c r="E157" s="9"/>
      <c r="F157" s="9"/>
      <c r="G157" s="9"/>
      <c r="H157" s="11"/>
      <c r="I157" s="11"/>
      <c r="J157" s="11"/>
      <c r="K157" s="11"/>
      <c r="L157" s="11"/>
      <c r="M157" s="9"/>
      <c r="N157" s="9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9"/>
      <c r="AK157" s="13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9"/>
      <c r="BH157" s="15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9"/>
      <c r="CF157" s="9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</row>
    <row r="158" ht="15.75" customHeight="1">
      <c r="A158" s="9"/>
      <c r="B158" s="11"/>
      <c r="C158" s="11"/>
      <c r="D158" s="9"/>
      <c r="E158" s="9"/>
      <c r="F158" s="9"/>
      <c r="G158" s="9"/>
      <c r="H158" s="11"/>
      <c r="I158" s="11"/>
      <c r="J158" s="11"/>
      <c r="K158" s="11"/>
      <c r="L158" s="11"/>
      <c r="M158" s="9"/>
      <c r="N158" s="9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9"/>
      <c r="AK158" s="13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9"/>
      <c r="BH158" s="15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9"/>
      <c r="CF158" s="9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</row>
    <row r="159" ht="15.75" customHeight="1">
      <c r="A159" s="9"/>
      <c r="B159" s="11"/>
      <c r="C159" s="11"/>
      <c r="D159" s="9"/>
      <c r="E159" s="9"/>
      <c r="F159" s="9"/>
      <c r="G159" s="9"/>
      <c r="H159" s="11"/>
      <c r="I159" s="11"/>
      <c r="J159" s="11"/>
      <c r="K159" s="11"/>
      <c r="L159" s="11"/>
      <c r="M159" s="9"/>
      <c r="N159" s="9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9"/>
      <c r="AK159" s="13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9"/>
      <c r="BH159" s="15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9"/>
      <c r="CF159" s="9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</row>
    <row r="160" ht="15.75" customHeight="1">
      <c r="A160" s="9"/>
      <c r="B160" s="11"/>
      <c r="C160" s="11"/>
      <c r="D160" s="9"/>
      <c r="E160" s="9"/>
      <c r="F160" s="9"/>
      <c r="G160" s="9"/>
      <c r="H160" s="11"/>
      <c r="I160" s="11"/>
      <c r="J160" s="11"/>
      <c r="K160" s="11"/>
      <c r="L160" s="11"/>
      <c r="M160" s="9"/>
      <c r="N160" s="9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9"/>
      <c r="AK160" s="13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9"/>
      <c r="BH160" s="15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9"/>
      <c r="CF160" s="9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  <c r="CS160" s="11"/>
      <c r="CT160" s="11"/>
    </row>
    <row r="161" ht="15.75" customHeight="1">
      <c r="A161" s="9"/>
      <c r="B161" s="11"/>
      <c r="C161" s="11"/>
      <c r="D161" s="9"/>
      <c r="E161" s="9"/>
      <c r="F161" s="9"/>
      <c r="G161" s="9"/>
      <c r="H161" s="11"/>
      <c r="I161" s="11"/>
      <c r="J161" s="11"/>
      <c r="K161" s="11"/>
      <c r="L161" s="11"/>
      <c r="M161" s="9"/>
      <c r="N161" s="9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9"/>
      <c r="AK161" s="13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9"/>
      <c r="BH161" s="15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9"/>
      <c r="CF161" s="9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</row>
    <row r="162" ht="15.75" customHeight="1">
      <c r="A162" s="9"/>
      <c r="B162" s="11"/>
      <c r="C162" s="11"/>
      <c r="D162" s="9"/>
      <c r="E162" s="9"/>
      <c r="F162" s="9"/>
      <c r="G162" s="9"/>
      <c r="H162" s="11"/>
      <c r="I162" s="11"/>
      <c r="J162" s="11"/>
      <c r="K162" s="11"/>
      <c r="L162" s="11"/>
      <c r="M162" s="9"/>
      <c r="N162" s="9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9"/>
      <c r="AK162" s="13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9"/>
      <c r="BH162" s="15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9"/>
      <c r="CF162" s="9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</row>
    <row r="163" ht="15.75" customHeight="1">
      <c r="A163" s="9"/>
      <c r="B163" s="11"/>
      <c r="C163" s="11"/>
      <c r="D163" s="9"/>
      <c r="E163" s="9"/>
      <c r="F163" s="9"/>
      <c r="G163" s="9"/>
      <c r="H163" s="11"/>
      <c r="I163" s="11"/>
      <c r="J163" s="11"/>
      <c r="K163" s="11"/>
      <c r="L163" s="11"/>
      <c r="M163" s="9"/>
      <c r="N163" s="9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9"/>
      <c r="AK163" s="13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9"/>
      <c r="BH163" s="15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9"/>
      <c r="CF163" s="9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</row>
    <row r="164" ht="15.75" customHeight="1">
      <c r="A164" s="9"/>
      <c r="B164" s="11"/>
      <c r="C164" s="11"/>
      <c r="D164" s="9"/>
      <c r="E164" s="9"/>
      <c r="F164" s="9"/>
      <c r="G164" s="9"/>
      <c r="H164" s="11"/>
      <c r="I164" s="11"/>
      <c r="J164" s="11"/>
      <c r="K164" s="11"/>
      <c r="L164" s="11"/>
      <c r="M164" s="9"/>
      <c r="N164" s="9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9"/>
      <c r="AK164" s="13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9"/>
      <c r="BH164" s="15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9"/>
      <c r="CF164" s="9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</row>
    <row r="165" ht="15.75" customHeight="1">
      <c r="A165" s="9"/>
      <c r="B165" s="11"/>
      <c r="C165" s="11"/>
      <c r="D165" s="9"/>
      <c r="E165" s="9"/>
      <c r="F165" s="9"/>
      <c r="G165" s="9"/>
      <c r="H165" s="11"/>
      <c r="I165" s="11"/>
      <c r="J165" s="11"/>
      <c r="K165" s="11"/>
      <c r="L165" s="11"/>
      <c r="M165" s="9"/>
      <c r="N165" s="9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9"/>
      <c r="AK165" s="13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9"/>
      <c r="BH165" s="15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9"/>
      <c r="CF165" s="9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</row>
    <row r="166" ht="15.75" customHeight="1">
      <c r="A166" s="9"/>
      <c r="B166" s="11"/>
      <c r="C166" s="11"/>
      <c r="D166" s="9"/>
      <c r="E166" s="9"/>
      <c r="F166" s="9"/>
      <c r="G166" s="9"/>
      <c r="H166" s="11"/>
      <c r="I166" s="11"/>
      <c r="J166" s="11"/>
      <c r="K166" s="11"/>
      <c r="L166" s="11"/>
      <c r="M166" s="9"/>
      <c r="N166" s="9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9"/>
      <c r="AK166" s="13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9"/>
      <c r="BH166" s="15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9"/>
      <c r="CF166" s="9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</row>
    <row r="167" ht="15.75" customHeight="1">
      <c r="A167" s="9"/>
      <c r="B167" s="11"/>
      <c r="C167" s="11"/>
      <c r="D167" s="9"/>
      <c r="E167" s="9"/>
      <c r="F167" s="9"/>
      <c r="G167" s="9"/>
      <c r="H167" s="11"/>
      <c r="I167" s="11"/>
      <c r="J167" s="11"/>
      <c r="K167" s="11"/>
      <c r="L167" s="11"/>
      <c r="M167" s="9"/>
      <c r="N167" s="9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9"/>
      <c r="AK167" s="13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9"/>
      <c r="BH167" s="15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9"/>
      <c r="CF167" s="9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</row>
    <row r="168" ht="15.75" customHeight="1">
      <c r="A168" s="9"/>
      <c r="B168" s="11"/>
      <c r="C168" s="11"/>
      <c r="D168" s="9"/>
      <c r="E168" s="9"/>
      <c r="F168" s="9"/>
      <c r="G168" s="9"/>
      <c r="H168" s="11"/>
      <c r="I168" s="11"/>
      <c r="J168" s="11"/>
      <c r="K168" s="11"/>
      <c r="L168" s="11"/>
      <c r="M168" s="9"/>
      <c r="N168" s="9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9"/>
      <c r="AK168" s="13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9"/>
      <c r="BH168" s="15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9"/>
      <c r="CF168" s="9"/>
      <c r="CG168" s="11"/>
      <c r="CH168" s="11"/>
      <c r="CI168" s="11"/>
      <c r="CJ168" s="11"/>
      <c r="CK168" s="11"/>
      <c r="CL168" s="11"/>
      <c r="CM168" s="11"/>
      <c r="CN168" s="11"/>
      <c r="CO168" s="11"/>
      <c r="CP168" s="11"/>
      <c r="CQ168" s="11"/>
      <c r="CR168" s="11"/>
      <c r="CS168" s="11"/>
      <c r="CT168" s="11"/>
    </row>
    <row r="169" ht="15.75" customHeight="1">
      <c r="A169" s="9"/>
      <c r="B169" s="11"/>
      <c r="C169" s="11"/>
      <c r="D169" s="9"/>
      <c r="E169" s="9"/>
      <c r="F169" s="9"/>
      <c r="G169" s="9"/>
      <c r="H169" s="11"/>
      <c r="I169" s="11"/>
      <c r="J169" s="11"/>
      <c r="K169" s="11"/>
      <c r="L169" s="11"/>
      <c r="M169" s="9"/>
      <c r="N169" s="9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9"/>
      <c r="AK169" s="13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9"/>
      <c r="BH169" s="15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9"/>
      <c r="CF169" s="9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</row>
    <row r="170" ht="15.75" customHeight="1">
      <c r="A170" s="9"/>
      <c r="B170" s="11"/>
      <c r="C170" s="11"/>
      <c r="D170" s="9"/>
      <c r="E170" s="9"/>
      <c r="F170" s="9"/>
      <c r="G170" s="9"/>
      <c r="H170" s="11"/>
      <c r="I170" s="11"/>
      <c r="J170" s="11"/>
      <c r="K170" s="11"/>
      <c r="L170" s="11"/>
      <c r="M170" s="9"/>
      <c r="N170" s="9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9"/>
      <c r="AK170" s="13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9"/>
      <c r="BH170" s="15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9"/>
      <c r="CF170" s="9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</row>
    <row r="171" ht="15.75" customHeight="1">
      <c r="A171" s="9"/>
      <c r="B171" s="11"/>
      <c r="C171" s="11"/>
      <c r="D171" s="9"/>
      <c r="E171" s="9"/>
      <c r="F171" s="9"/>
      <c r="G171" s="9"/>
      <c r="H171" s="11"/>
      <c r="I171" s="11"/>
      <c r="J171" s="11"/>
      <c r="K171" s="11"/>
      <c r="L171" s="11"/>
      <c r="M171" s="9"/>
      <c r="N171" s="9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9"/>
      <c r="AK171" s="13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9"/>
      <c r="BH171" s="15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9"/>
      <c r="CF171" s="9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</row>
    <row r="172" ht="15.75" customHeight="1">
      <c r="A172" s="9"/>
      <c r="B172" s="11"/>
      <c r="C172" s="11"/>
      <c r="D172" s="9"/>
      <c r="E172" s="9"/>
      <c r="F172" s="9"/>
      <c r="G172" s="9"/>
      <c r="H172" s="11"/>
      <c r="I172" s="11"/>
      <c r="J172" s="11"/>
      <c r="K172" s="11"/>
      <c r="L172" s="11"/>
      <c r="M172" s="9"/>
      <c r="N172" s="9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9"/>
      <c r="AK172" s="13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9"/>
      <c r="BH172" s="15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9"/>
      <c r="CF172" s="9"/>
      <c r="CG172" s="11"/>
      <c r="CH172" s="11"/>
      <c r="CI172" s="11"/>
      <c r="CJ172" s="11"/>
      <c r="CK172" s="11"/>
      <c r="CL172" s="11"/>
      <c r="CM172" s="11"/>
      <c r="CN172" s="11"/>
      <c r="CO172" s="11"/>
      <c r="CP172" s="11"/>
      <c r="CQ172" s="11"/>
      <c r="CR172" s="11"/>
      <c r="CS172" s="11"/>
      <c r="CT172" s="11"/>
    </row>
    <row r="173" ht="15.75" customHeight="1">
      <c r="A173" s="9"/>
      <c r="B173" s="11"/>
      <c r="C173" s="11"/>
      <c r="D173" s="9"/>
      <c r="E173" s="9"/>
      <c r="F173" s="9"/>
      <c r="G173" s="9"/>
      <c r="H173" s="11"/>
      <c r="I173" s="11"/>
      <c r="J173" s="11"/>
      <c r="K173" s="11"/>
      <c r="L173" s="11"/>
      <c r="M173" s="9"/>
      <c r="N173" s="9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9"/>
      <c r="AK173" s="13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9"/>
      <c r="BH173" s="15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9"/>
      <c r="CF173" s="9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</row>
    <row r="174" ht="15.75" customHeight="1">
      <c r="A174" s="9"/>
      <c r="B174" s="11"/>
      <c r="C174" s="11"/>
      <c r="D174" s="9"/>
      <c r="E174" s="9"/>
      <c r="F174" s="9"/>
      <c r="G174" s="9"/>
      <c r="H174" s="11"/>
      <c r="I174" s="11"/>
      <c r="J174" s="11"/>
      <c r="K174" s="11"/>
      <c r="L174" s="11"/>
      <c r="M174" s="9"/>
      <c r="N174" s="9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9"/>
      <c r="AK174" s="13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9"/>
      <c r="BH174" s="15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9"/>
      <c r="CF174" s="9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/>
      <c r="CQ174" s="11"/>
      <c r="CR174" s="11"/>
      <c r="CS174" s="11"/>
      <c r="CT174" s="11"/>
    </row>
    <row r="175" ht="15.75" customHeight="1">
      <c r="A175" s="9"/>
      <c r="B175" s="11"/>
      <c r="C175" s="11"/>
      <c r="D175" s="9"/>
      <c r="E175" s="9"/>
      <c r="F175" s="9"/>
      <c r="G175" s="9"/>
      <c r="H175" s="11"/>
      <c r="I175" s="11"/>
      <c r="J175" s="11"/>
      <c r="K175" s="11"/>
      <c r="L175" s="11"/>
      <c r="M175" s="9"/>
      <c r="N175" s="9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9"/>
      <c r="AK175" s="13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9"/>
      <c r="BH175" s="15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9"/>
      <c r="CF175" s="9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</row>
    <row r="176" ht="15.75" customHeight="1">
      <c r="A176" s="9"/>
      <c r="B176" s="11"/>
      <c r="C176" s="11"/>
      <c r="D176" s="9"/>
      <c r="E176" s="9"/>
      <c r="F176" s="9"/>
      <c r="G176" s="9"/>
      <c r="H176" s="11"/>
      <c r="I176" s="11"/>
      <c r="J176" s="11"/>
      <c r="K176" s="11"/>
      <c r="L176" s="11"/>
      <c r="M176" s="9"/>
      <c r="N176" s="9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9"/>
      <c r="AK176" s="13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9"/>
      <c r="BH176" s="15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9"/>
      <c r="CF176" s="9"/>
      <c r="CG176" s="11"/>
      <c r="CH176" s="11"/>
      <c r="CI176" s="11"/>
      <c r="CJ176" s="11"/>
      <c r="CK176" s="11"/>
      <c r="CL176" s="11"/>
      <c r="CM176" s="11"/>
      <c r="CN176" s="11"/>
      <c r="CO176" s="11"/>
      <c r="CP176" s="11"/>
      <c r="CQ176" s="11"/>
      <c r="CR176" s="11"/>
      <c r="CS176" s="11"/>
      <c r="CT176" s="11"/>
    </row>
    <row r="177" ht="15.75" customHeight="1">
      <c r="A177" s="9"/>
      <c r="B177" s="11"/>
      <c r="C177" s="11"/>
      <c r="D177" s="9"/>
      <c r="E177" s="9"/>
      <c r="F177" s="9"/>
      <c r="G177" s="9"/>
      <c r="H177" s="11"/>
      <c r="I177" s="11"/>
      <c r="J177" s="11"/>
      <c r="K177" s="11"/>
      <c r="L177" s="11"/>
      <c r="M177" s="9"/>
      <c r="N177" s="9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9"/>
      <c r="AK177" s="13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9"/>
      <c r="BH177" s="15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9"/>
      <c r="CF177" s="9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</row>
    <row r="178" ht="15.75" customHeight="1">
      <c r="A178" s="9"/>
      <c r="B178" s="11"/>
      <c r="C178" s="11"/>
      <c r="D178" s="9"/>
      <c r="E178" s="9"/>
      <c r="F178" s="9"/>
      <c r="G178" s="9"/>
      <c r="H178" s="11"/>
      <c r="I178" s="11"/>
      <c r="J178" s="11"/>
      <c r="K178" s="11"/>
      <c r="L178" s="11"/>
      <c r="M178" s="9"/>
      <c r="N178" s="9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9"/>
      <c r="AK178" s="13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9"/>
      <c r="BH178" s="15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9"/>
      <c r="CF178" s="9"/>
      <c r="CG178" s="11"/>
      <c r="CH178" s="11"/>
      <c r="CI178" s="11"/>
      <c r="CJ178" s="11"/>
      <c r="CK178" s="11"/>
      <c r="CL178" s="11"/>
      <c r="CM178" s="11"/>
      <c r="CN178" s="11"/>
      <c r="CO178" s="11"/>
      <c r="CP178" s="11"/>
      <c r="CQ178" s="11"/>
      <c r="CR178" s="11"/>
      <c r="CS178" s="11"/>
      <c r="CT178" s="11"/>
    </row>
    <row r="179" ht="15.75" customHeight="1">
      <c r="A179" s="9"/>
      <c r="B179" s="11"/>
      <c r="C179" s="11"/>
      <c r="D179" s="9"/>
      <c r="E179" s="9"/>
      <c r="F179" s="9"/>
      <c r="G179" s="9"/>
      <c r="H179" s="11"/>
      <c r="I179" s="11"/>
      <c r="J179" s="11"/>
      <c r="K179" s="11"/>
      <c r="L179" s="11"/>
      <c r="M179" s="9"/>
      <c r="N179" s="9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9"/>
      <c r="AK179" s="13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9"/>
      <c r="BH179" s="15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9"/>
      <c r="CF179" s="9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</row>
    <row r="180" ht="15.75" customHeight="1">
      <c r="A180" s="9"/>
      <c r="B180" s="11"/>
      <c r="C180" s="11"/>
      <c r="D180" s="9"/>
      <c r="E180" s="9"/>
      <c r="F180" s="9"/>
      <c r="G180" s="9"/>
      <c r="H180" s="11"/>
      <c r="I180" s="11"/>
      <c r="J180" s="11"/>
      <c r="K180" s="11"/>
      <c r="L180" s="11"/>
      <c r="M180" s="9"/>
      <c r="N180" s="9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9"/>
      <c r="AK180" s="13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9"/>
      <c r="BH180" s="15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9"/>
      <c r="CF180" s="9"/>
      <c r="CG180" s="11"/>
      <c r="CH180" s="11"/>
      <c r="CI180" s="11"/>
      <c r="CJ180" s="11"/>
      <c r="CK180" s="11"/>
      <c r="CL180" s="11"/>
      <c r="CM180" s="11"/>
      <c r="CN180" s="11"/>
      <c r="CO180" s="11"/>
      <c r="CP180" s="11"/>
      <c r="CQ180" s="11"/>
      <c r="CR180" s="11"/>
      <c r="CS180" s="11"/>
      <c r="CT180" s="11"/>
    </row>
    <row r="181" ht="15.75" customHeight="1">
      <c r="A181" s="9"/>
      <c r="B181" s="11"/>
      <c r="C181" s="11"/>
      <c r="D181" s="9"/>
      <c r="E181" s="9"/>
      <c r="F181" s="9"/>
      <c r="G181" s="9"/>
      <c r="H181" s="11"/>
      <c r="I181" s="11"/>
      <c r="J181" s="11"/>
      <c r="K181" s="11"/>
      <c r="L181" s="11"/>
      <c r="M181" s="9"/>
      <c r="N181" s="9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9"/>
      <c r="AK181" s="13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9"/>
      <c r="BH181" s="15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9"/>
      <c r="CF181" s="9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</row>
    <row r="182" ht="15.75" customHeight="1">
      <c r="A182" s="9"/>
      <c r="B182" s="11"/>
      <c r="C182" s="11"/>
      <c r="D182" s="9"/>
      <c r="E182" s="9"/>
      <c r="F182" s="9"/>
      <c r="G182" s="9"/>
      <c r="H182" s="11"/>
      <c r="I182" s="11"/>
      <c r="J182" s="11"/>
      <c r="K182" s="11"/>
      <c r="L182" s="11"/>
      <c r="M182" s="9"/>
      <c r="N182" s="9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9"/>
      <c r="AK182" s="13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9"/>
      <c r="BH182" s="15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9"/>
      <c r="CF182" s="9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</row>
    <row r="183" ht="15.75" customHeight="1">
      <c r="A183" s="9"/>
      <c r="B183" s="11"/>
      <c r="C183" s="11"/>
      <c r="D183" s="9"/>
      <c r="E183" s="9"/>
      <c r="F183" s="9"/>
      <c r="G183" s="9"/>
      <c r="H183" s="11"/>
      <c r="I183" s="11"/>
      <c r="J183" s="11"/>
      <c r="K183" s="11"/>
      <c r="L183" s="11"/>
      <c r="M183" s="9"/>
      <c r="N183" s="9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9"/>
      <c r="AK183" s="13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9"/>
      <c r="BH183" s="15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9"/>
      <c r="CF183" s="9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</row>
    <row r="184" ht="15.75" customHeight="1">
      <c r="A184" s="9"/>
      <c r="B184" s="11"/>
      <c r="C184" s="11"/>
      <c r="D184" s="9"/>
      <c r="E184" s="9"/>
      <c r="F184" s="9"/>
      <c r="G184" s="9"/>
      <c r="H184" s="11"/>
      <c r="I184" s="11"/>
      <c r="J184" s="11"/>
      <c r="K184" s="11"/>
      <c r="L184" s="11"/>
      <c r="M184" s="9"/>
      <c r="N184" s="9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9"/>
      <c r="AK184" s="13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9"/>
      <c r="BH184" s="15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9"/>
      <c r="CF184" s="9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</row>
    <row r="185" ht="15.75" customHeight="1">
      <c r="A185" s="9"/>
      <c r="B185" s="11"/>
      <c r="C185" s="11"/>
      <c r="D185" s="9"/>
      <c r="E185" s="9"/>
      <c r="F185" s="9"/>
      <c r="G185" s="9"/>
      <c r="H185" s="11"/>
      <c r="I185" s="11"/>
      <c r="J185" s="11"/>
      <c r="K185" s="11"/>
      <c r="L185" s="11"/>
      <c r="M185" s="9"/>
      <c r="N185" s="9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9"/>
      <c r="AK185" s="13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9"/>
      <c r="BH185" s="15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9"/>
      <c r="CF185" s="9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</row>
    <row r="186" ht="15.75" customHeight="1">
      <c r="A186" s="9"/>
      <c r="B186" s="11"/>
      <c r="C186" s="11"/>
      <c r="D186" s="9"/>
      <c r="E186" s="9"/>
      <c r="F186" s="9"/>
      <c r="G186" s="9"/>
      <c r="H186" s="11"/>
      <c r="I186" s="11"/>
      <c r="J186" s="11"/>
      <c r="K186" s="11"/>
      <c r="L186" s="11"/>
      <c r="M186" s="9"/>
      <c r="N186" s="9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9"/>
      <c r="AK186" s="13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9"/>
      <c r="BH186" s="15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9"/>
      <c r="CF186" s="9"/>
      <c r="CG186" s="11"/>
      <c r="CH186" s="11"/>
      <c r="CI186" s="11"/>
      <c r="CJ186" s="11"/>
      <c r="CK186" s="11"/>
      <c r="CL186" s="11"/>
      <c r="CM186" s="11"/>
      <c r="CN186" s="11"/>
      <c r="CO186" s="11"/>
      <c r="CP186" s="11"/>
      <c r="CQ186" s="11"/>
      <c r="CR186" s="11"/>
      <c r="CS186" s="11"/>
      <c r="CT186" s="11"/>
    </row>
    <row r="187" ht="15.75" customHeight="1">
      <c r="A187" s="9"/>
      <c r="B187" s="11"/>
      <c r="C187" s="11"/>
      <c r="D187" s="9"/>
      <c r="E187" s="9"/>
      <c r="F187" s="9"/>
      <c r="G187" s="9"/>
      <c r="H187" s="11"/>
      <c r="I187" s="11"/>
      <c r="J187" s="11"/>
      <c r="K187" s="11"/>
      <c r="L187" s="11"/>
      <c r="M187" s="9"/>
      <c r="N187" s="9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9"/>
      <c r="AK187" s="13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9"/>
      <c r="BH187" s="15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9"/>
      <c r="CF187" s="9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</row>
    <row r="188" ht="15.75" customHeight="1">
      <c r="A188" s="9"/>
      <c r="B188" s="11"/>
      <c r="C188" s="11"/>
      <c r="D188" s="9"/>
      <c r="E188" s="9"/>
      <c r="F188" s="9"/>
      <c r="G188" s="9"/>
      <c r="H188" s="11"/>
      <c r="I188" s="11"/>
      <c r="J188" s="11"/>
      <c r="K188" s="11"/>
      <c r="L188" s="11"/>
      <c r="M188" s="9"/>
      <c r="N188" s="9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9"/>
      <c r="AK188" s="13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9"/>
      <c r="BH188" s="15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9"/>
      <c r="CF188" s="9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  <c r="CT188" s="11"/>
    </row>
    <row r="189" ht="15.75" customHeight="1">
      <c r="A189" s="9"/>
      <c r="B189" s="11"/>
      <c r="C189" s="11"/>
      <c r="D189" s="9"/>
      <c r="E189" s="9"/>
      <c r="F189" s="9"/>
      <c r="G189" s="9"/>
      <c r="H189" s="11"/>
      <c r="I189" s="11"/>
      <c r="J189" s="11"/>
      <c r="K189" s="11"/>
      <c r="L189" s="11"/>
      <c r="M189" s="9"/>
      <c r="N189" s="9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9"/>
      <c r="AK189" s="13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9"/>
      <c r="BH189" s="15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9"/>
      <c r="CF189" s="9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</row>
    <row r="190" ht="15.75" customHeight="1">
      <c r="A190" s="9"/>
      <c r="B190" s="11"/>
      <c r="C190" s="11"/>
      <c r="D190" s="9"/>
      <c r="E190" s="9"/>
      <c r="F190" s="9"/>
      <c r="G190" s="9"/>
      <c r="H190" s="11"/>
      <c r="I190" s="11"/>
      <c r="J190" s="11"/>
      <c r="K190" s="11"/>
      <c r="L190" s="11"/>
      <c r="M190" s="9"/>
      <c r="N190" s="9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9"/>
      <c r="AK190" s="13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9"/>
      <c r="BH190" s="15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9"/>
      <c r="CF190" s="9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</row>
    <row r="191" ht="15.75" customHeight="1">
      <c r="A191" s="9"/>
      <c r="B191" s="11"/>
      <c r="C191" s="11"/>
      <c r="D191" s="9"/>
      <c r="E191" s="9"/>
      <c r="F191" s="9"/>
      <c r="G191" s="9"/>
      <c r="H191" s="11"/>
      <c r="I191" s="11"/>
      <c r="J191" s="11"/>
      <c r="K191" s="11"/>
      <c r="L191" s="11"/>
      <c r="M191" s="9"/>
      <c r="N191" s="9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9"/>
      <c r="AK191" s="13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9"/>
      <c r="BH191" s="15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9"/>
      <c r="CF191" s="9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</row>
    <row r="192" ht="15.75" customHeight="1">
      <c r="A192" s="9"/>
      <c r="B192" s="11"/>
      <c r="C192" s="11"/>
      <c r="D192" s="9"/>
      <c r="E192" s="9"/>
      <c r="F192" s="9"/>
      <c r="G192" s="9"/>
      <c r="H192" s="11"/>
      <c r="I192" s="11"/>
      <c r="J192" s="11"/>
      <c r="K192" s="11"/>
      <c r="L192" s="11"/>
      <c r="M192" s="9"/>
      <c r="N192" s="9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9"/>
      <c r="AK192" s="13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9"/>
      <c r="BH192" s="15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9"/>
      <c r="CF192" s="9"/>
      <c r="CG192" s="11"/>
      <c r="CH192" s="11"/>
      <c r="CI192" s="11"/>
      <c r="CJ192" s="11"/>
      <c r="CK192" s="11"/>
      <c r="CL192" s="11"/>
      <c r="CM192" s="11"/>
      <c r="CN192" s="11"/>
      <c r="CO192" s="11"/>
      <c r="CP192" s="11"/>
      <c r="CQ192" s="11"/>
      <c r="CR192" s="11"/>
      <c r="CS192" s="11"/>
      <c r="CT192" s="11"/>
    </row>
    <row r="193" ht="15.75" customHeight="1">
      <c r="A193" s="9"/>
      <c r="B193" s="11"/>
      <c r="C193" s="11"/>
      <c r="D193" s="9"/>
      <c r="E193" s="9"/>
      <c r="F193" s="9"/>
      <c r="G193" s="9"/>
      <c r="H193" s="11"/>
      <c r="I193" s="11"/>
      <c r="J193" s="11"/>
      <c r="K193" s="11"/>
      <c r="L193" s="11"/>
      <c r="M193" s="9"/>
      <c r="N193" s="9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9"/>
      <c r="AK193" s="13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9"/>
      <c r="BH193" s="15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9"/>
      <c r="CF193" s="9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</row>
    <row r="194" ht="15.75" customHeight="1">
      <c r="A194" s="9"/>
      <c r="B194" s="11"/>
      <c r="C194" s="11"/>
      <c r="D194" s="9"/>
      <c r="E194" s="9"/>
      <c r="F194" s="9"/>
      <c r="G194" s="9"/>
      <c r="H194" s="11"/>
      <c r="I194" s="11"/>
      <c r="J194" s="11"/>
      <c r="K194" s="11"/>
      <c r="L194" s="11"/>
      <c r="M194" s="9"/>
      <c r="N194" s="9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9"/>
      <c r="AK194" s="13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9"/>
      <c r="BH194" s="15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9"/>
      <c r="CF194" s="9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</row>
    <row r="195" ht="15.75" customHeight="1">
      <c r="A195" s="9"/>
      <c r="B195" s="11"/>
      <c r="C195" s="11"/>
      <c r="D195" s="9"/>
      <c r="E195" s="9"/>
      <c r="F195" s="9"/>
      <c r="G195" s="9"/>
      <c r="H195" s="11"/>
      <c r="I195" s="11"/>
      <c r="J195" s="11"/>
      <c r="K195" s="11"/>
      <c r="L195" s="11"/>
      <c r="M195" s="9"/>
      <c r="N195" s="9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9"/>
      <c r="AK195" s="13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9"/>
      <c r="BH195" s="15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9"/>
      <c r="CF195" s="9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</row>
    <row r="196" ht="15.75" customHeight="1">
      <c r="A196" s="9"/>
      <c r="B196" s="11"/>
      <c r="C196" s="11"/>
      <c r="D196" s="9"/>
      <c r="E196" s="9"/>
      <c r="F196" s="9"/>
      <c r="G196" s="9"/>
      <c r="H196" s="11"/>
      <c r="I196" s="11"/>
      <c r="J196" s="11"/>
      <c r="K196" s="11"/>
      <c r="L196" s="11"/>
      <c r="M196" s="9"/>
      <c r="N196" s="9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9"/>
      <c r="AK196" s="13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9"/>
      <c r="BH196" s="15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9"/>
      <c r="CF196" s="9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</row>
    <row r="197" ht="15.75" customHeight="1">
      <c r="A197" s="9"/>
      <c r="B197" s="11"/>
      <c r="C197" s="11"/>
      <c r="D197" s="9"/>
      <c r="E197" s="9"/>
      <c r="F197" s="9"/>
      <c r="G197" s="9"/>
      <c r="H197" s="11"/>
      <c r="I197" s="11"/>
      <c r="J197" s="11"/>
      <c r="K197" s="11"/>
      <c r="L197" s="11"/>
      <c r="M197" s="9"/>
      <c r="N197" s="9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9"/>
      <c r="AK197" s="13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9"/>
      <c r="BH197" s="15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9"/>
      <c r="CF197" s="9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</row>
    <row r="198" ht="15.75" customHeight="1">
      <c r="A198" s="9"/>
      <c r="B198" s="11"/>
      <c r="C198" s="11"/>
      <c r="D198" s="9"/>
      <c r="E198" s="9"/>
      <c r="F198" s="9"/>
      <c r="G198" s="9"/>
      <c r="H198" s="11"/>
      <c r="I198" s="11"/>
      <c r="J198" s="11"/>
      <c r="K198" s="11"/>
      <c r="L198" s="11"/>
      <c r="M198" s="9"/>
      <c r="N198" s="9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9"/>
      <c r="AK198" s="13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9"/>
      <c r="BH198" s="15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9"/>
      <c r="CF198" s="9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</row>
    <row r="199" ht="15.75" customHeight="1">
      <c r="A199" s="9"/>
      <c r="B199" s="11"/>
      <c r="C199" s="11"/>
      <c r="D199" s="9"/>
      <c r="E199" s="9"/>
      <c r="F199" s="9"/>
      <c r="G199" s="9"/>
      <c r="H199" s="11"/>
      <c r="I199" s="11"/>
      <c r="J199" s="11"/>
      <c r="K199" s="11"/>
      <c r="L199" s="11"/>
      <c r="M199" s="9"/>
      <c r="N199" s="9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9"/>
      <c r="AK199" s="13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9"/>
      <c r="BH199" s="15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9"/>
      <c r="CF199" s="9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</row>
    <row r="200" ht="15.75" customHeight="1">
      <c r="A200" s="9"/>
      <c r="B200" s="11"/>
      <c r="C200" s="11"/>
      <c r="D200" s="9"/>
      <c r="E200" s="9"/>
      <c r="F200" s="9"/>
      <c r="G200" s="9"/>
      <c r="H200" s="11"/>
      <c r="I200" s="11"/>
      <c r="J200" s="11"/>
      <c r="K200" s="11"/>
      <c r="L200" s="11"/>
      <c r="M200" s="9"/>
      <c r="N200" s="9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9"/>
      <c r="AK200" s="13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9"/>
      <c r="BH200" s="15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9"/>
      <c r="CF200" s="9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</row>
    <row r="201" ht="15.75" customHeight="1">
      <c r="A201" s="9"/>
      <c r="B201" s="11"/>
      <c r="C201" s="11"/>
      <c r="D201" s="9"/>
      <c r="E201" s="9"/>
      <c r="F201" s="9"/>
      <c r="G201" s="9"/>
      <c r="H201" s="11"/>
      <c r="I201" s="11"/>
      <c r="J201" s="11"/>
      <c r="K201" s="11"/>
      <c r="L201" s="11"/>
      <c r="M201" s="9"/>
      <c r="N201" s="9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9"/>
      <c r="AK201" s="13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9"/>
      <c r="BH201" s="15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9"/>
      <c r="CF201" s="9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</row>
    <row r="202" ht="15.75" customHeight="1">
      <c r="A202" s="9"/>
      <c r="B202" s="11"/>
      <c r="C202" s="11"/>
      <c r="D202" s="9"/>
      <c r="E202" s="9"/>
      <c r="F202" s="9"/>
      <c r="G202" s="9"/>
      <c r="H202" s="11"/>
      <c r="I202" s="11"/>
      <c r="J202" s="11"/>
      <c r="K202" s="11"/>
      <c r="L202" s="11"/>
      <c r="M202" s="9"/>
      <c r="N202" s="9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9"/>
      <c r="AK202" s="13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9"/>
      <c r="BH202" s="15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9"/>
      <c r="CF202" s="9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</row>
    <row r="203" ht="15.75" customHeight="1">
      <c r="A203" s="9"/>
      <c r="B203" s="11"/>
      <c r="C203" s="11"/>
      <c r="D203" s="9"/>
      <c r="E203" s="9"/>
      <c r="F203" s="9"/>
      <c r="G203" s="9"/>
      <c r="H203" s="11"/>
      <c r="I203" s="11"/>
      <c r="J203" s="11"/>
      <c r="K203" s="11"/>
      <c r="L203" s="11"/>
      <c r="M203" s="9"/>
      <c r="N203" s="9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9"/>
      <c r="AK203" s="13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9"/>
      <c r="BH203" s="15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9"/>
      <c r="CF203" s="9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</row>
    <row r="204" ht="15.75" customHeight="1">
      <c r="A204" s="9"/>
      <c r="B204" s="11"/>
      <c r="C204" s="11"/>
      <c r="D204" s="9"/>
      <c r="E204" s="9"/>
      <c r="F204" s="9"/>
      <c r="G204" s="9"/>
      <c r="H204" s="11"/>
      <c r="I204" s="11"/>
      <c r="J204" s="11"/>
      <c r="K204" s="11"/>
      <c r="L204" s="11"/>
      <c r="M204" s="9"/>
      <c r="N204" s="9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9"/>
      <c r="AK204" s="13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9"/>
      <c r="BH204" s="15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9"/>
      <c r="CF204" s="9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</row>
    <row r="205" ht="15.75" customHeight="1">
      <c r="A205" s="9"/>
      <c r="B205" s="11"/>
      <c r="C205" s="11"/>
      <c r="D205" s="9"/>
      <c r="E205" s="9"/>
      <c r="F205" s="9"/>
      <c r="G205" s="9"/>
      <c r="H205" s="11"/>
      <c r="I205" s="11"/>
      <c r="J205" s="11"/>
      <c r="K205" s="11"/>
      <c r="L205" s="11"/>
      <c r="M205" s="9"/>
      <c r="N205" s="9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9"/>
      <c r="AK205" s="13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9"/>
      <c r="BH205" s="15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9"/>
      <c r="CF205" s="9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</row>
    <row r="206" ht="15.75" customHeight="1">
      <c r="A206" s="9"/>
      <c r="B206" s="11"/>
      <c r="C206" s="11"/>
      <c r="D206" s="9"/>
      <c r="E206" s="9"/>
      <c r="F206" s="9"/>
      <c r="G206" s="9"/>
      <c r="H206" s="11"/>
      <c r="I206" s="11"/>
      <c r="J206" s="11"/>
      <c r="K206" s="11"/>
      <c r="L206" s="11"/>
      <c r="M206" s="9"/>
      <c r="N206" s="9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9"/>
      <c r="AK206" s="13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9"/>
      <c r="BH206" s="15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9"/>
      <c r="CF206" s="9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</row>
    <row r="207" ht="15.75" customHeight="1">
      <c r="A207" s="9"/>
      <c r="B207" s="11"/>
      <c r="C207" s="11"/>
      <c r="D207" s="9"/>
      <c r="E207" s="9"/>
      <c r="F207" s="9"/>
      <c r="G207" s="9"/>
      <c r="H207" s="11"/>
      <c r="I207" s="11"/>
      <c r="J207" s="11"/>
      <c r="K207" s="11"/>
      <c r="L207" s="11"/>
      <c r="M207" s="9"/>
      <c r="N207" s="9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9"/>
      <c r="AK207" s="13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9"/>
      <c r="BH207" s="15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9"/>
      <c r="CF207" s="9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</row>
    <row r="208" ht="15.75" customHeight="1">
      <c r="A208" s="9"/>
      <c r="B208" s="11"/>
      <c r="C208" s="11"/>
      <c r="D208" s="9"/>
      <c r="E208" s="9"/>
      <c r="F208" s="9"/>
      <c r="G208" s="9"/>
      <c r="H208" s="11"/>
      <c r="I208" s="11"/>
      <c r="J208" s="11"/>
      <c r="K208" s="11"/>
      <c r="L208" s="11"/>
      <c r="M208" s="9"/>
      <c r="N208" s="9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9"/>
      <c r="AK208" s="13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9"/>
      <c r="BH208" s="15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9"/>
      <c r="CF208" s="9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</row>
    <row r="209" ht="15.75" customHeight="1">
      <c r="A209" s="9"/>
      <c r="B209" s="11"/>
      <c r="C209" s="11"/>
      <c r="D209" s="9"/>
      <c r="E209" s="9"/>
      <c r="F209" s="9"/>
      <c r="G209" s="9"/>
      <c r="H209" s="11"/>
      <c r="I209" s="11"/>
      <c r="J209" s="11"/>
      <c r="K209" s="11"/>
      <c r="L209" s="11"/>
      <c r="M209" s="9"/>
      <c r="N209" s="9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9"/>
      <c r="AK209" s="13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9"/>
      <c r="BH209" s="15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9"/>
      <c r="CF209" s="9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</row>
    <row r="210" ht="15.75" customHeight="1">
      <c r="A210" s="9"/>
      <c r="B210" s="11"/>
      <c r="C210" s="11"/>
      <c r="D210" s="9"/>
      <c r="E210" s="9"/>
      <c r="F210" s="9"/>
      <c r="G210" s="9"/>
      <c r="H210" s="11"/>
      <c r="I210" s="11"/>
      <c r="J210" s="11"/>
      <c r="K210" s="11"/>
      <c r="L210" s="11"/>
      <c r="M210" s="9"/>
      <c r="N210" s="9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9"/>
      <c r="AK210" s="13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9"/>
      <c r="BH210" s="15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9"/>
      <c r="CF210" s="9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</row>
    <row r="211" ht="15.75" customHeight="1">
      <c r="A211" s="9"/>
      <c r="B211" s="11"/>
      <c r="C211" s="11"/>
      <c r="D211" s="9"/>
      <c r="E211" s="9"/>
      <c r="F211" s="9"/>
      <c r="G211" s="9"/>
      <c r="H211" s="11"/>
      <c r="I211" s="11"/>
      <c r="J211" s="11"/>
      <c r="K211" s="11"/>
      <c r="L211" s="11"/>
      <c r="M211" s="9"/>
      <c r="N211" s="9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9"/>
      <c r="AK211" s="13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9"/>
      <c r="BH211" s="15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9"/>
      <c r="CF211" s="9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</row>
    <row r="212" ht="15.75" customHeight="1">
      <c r="A212" s="9"/>
      <c r="B212" s="11"/>
      <c r="C212" s="11"/>
      <c r="D212" s="9"/>
      <c r="E212" s="9"/>
      <c r="F212" s="9"/>
      <c r="G212" s="9"/>
      <c r="H212" s="11"/>
      <c r="I212" s="11"/>
      <c r="J212" s="11"/>
      <c r="K212" s="11"/>
      <c r="L212" s="11"/>
      <c r="M212" s="9"/>
      <c r="N212" s="9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9"/>
      <c r="AK212" s="13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9"/>
      <c r="BH212" s="15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9"/>
      <c r="CF212" s="9"/>
      <c r="CG212" s="11"/>
      <c r="CH212" s="11"/>
      <c r="CI212" s="11"/>
      <c r="CJ212" s="11"/>
      <c r="CK212" s="11"/>
      <c r="CL212" s="11"/>
      <c r="CM212" s="11"/>
      <c r="CN212" s="11"/>
      <c r="CO212" s="11"/>
      <c r="CP212" s="11"/>
      <c r="CQ212" s="11"/>
      <c r="CR212" s="11"/>
      <c r="CS212" s="11"/>
      <c r="CT212" s="11"/>
    </row>
    <row r="213" ht="15.75" customHeight="1">
      <c r="A213" s="9"/>
      <c r="B213" s="11"/>
      <c r="C213" s="11"/>
      <c r="D213" s="9"/>
      <c r="E213" s="9"/>
      <c r="F213" s="9"/>
      <c r="G213" s="9"/>
      <c r="H213" s="11"/>
      <c r="I213" s="11"/>
      <c r="J213" s="11"/>
      <c r="K213" s="11"/>
      <c r="L213" s="11"/>
      <c r="M213" s="9"/>
      <c r="N213" s="9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9"/>
      <c r="AK213" s="13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9"/>
      <c r="BH213" s="15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9"/>
      <c r="CF213" s="9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</row>
    <row r="214" ht="15.75" customHeight="1">
      <c r="A214" s="9"/>
      <c r="B214" s="11"/>
      <c r="C214" s="11"/>
      <c r="D214" s="9"/>
      <c r="E214" s="9"/>
      <c r="F214" s="9"/>
      <c r="G214" s="9"/>
      <c r="H214" s="11"/>
      <c r="I214" s="11"/>
      <c r="J214" s="11"/>
      <c r="K214" s="11"/>
      <c r="L214" s="11"/>
      <c r="M214" s="9"/>
      <c r="N214" s="9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9"/>
      <c r="AK214" s="13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9"/>
      <c r="BH214" s="15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9"/>
      <c r="CF214" s="9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  <c r="CT214" s="11"/>
    </row>
    <row r="215" ht="15.75" customHeight="1">
      <c r="A215" s="9"/>
      <c r="B215" s="11"/>
      <c r="C215" s="11"/>
      <c r="D215" s="9"/>
      <c r="E215" s="9"/>
      <c r="F215" s="9"/>
      <c r="G215" s="9"/>
      <c r="H215" s="11"/>
      <c r="I215" s="11"/>
      <c r="J215" s="11"/>
      <c r="K215" s="11"/>
      <c r="L215" s="11"/>
      <c r="M215" s="9"/>
      <c r="N215" s="9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9"/>
      <c r="AK215" s="13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9"/>
      <c r="BH215" s="15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9"/>
      <c r="CF215" s="9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</row>
    <row r="216" ht="15.75" customHeight="1">
      <c r="A216" s="9"/>
      <c r="B216" s="11"/>
      <c r="C216" s="11"/>
      <c r="D216" s="9"/>
      <c r="E216" s="9"/>
      <c r="F216" s="9"/>
      <c r="G216" s="9"/>
      <c r="H216" s="11"/>
      <c r="I216" s="11"/>
      <c r="J216" s="11"/>
      <c r="K216" s="11"/>
      <c r="L216" s="11"/>
      <c r="M216" s="9"/>
      <c r="N216" s="9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9"/>
      <c r="AK216" s="13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9"/>
      <c r="BH216" s="15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9"/>
      <c r="CF216" s="9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</row>
    <row r="217" ht="15.75" customHeight="1">
      <c r="A217" s="9"/>
      <c r="B217" s="11"/>
      <c r="C217" s="11"/>
      <c r="D217" s="9"/>
      <c r="E217" s="9"/>
      <c r="F217" s="9"/>
      <c r="G217" s="9"/>
      <c r="H217" s="11"/>
      <c r="I217" s="11"/>
      <c r="J217" s="11"/>
      <c r="K217" s="11"/>
      <c r="L217" s="11"/>
      <c r="M217" s="9"/>
      <c r="N217" s="9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9"/>
      <c r="AK217" s="13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9"/>
      <c r="BH217" s="15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9"/>
      <c r="CF217" s="9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</row>
    <row r="218" ht="15.75" customHeight="1">
      <c r="A218" s="9"/>
      <c r="B218" s="11"/>
      <c r="C218" s="11"/>
      <c r="D218" s="9"/>
      <c r="E218" s="9"/>
      <c r="F218" s="9"/>
      <c r="G218" s="9"/>
      <c r="H218" s="11"/>
      <c r="I218" s="11"/>
      <c r="J218" s="11"/>
      <c r="K218" s="11"/>
      <c r="L218" s="11"/>
      <c r="M218" s="9"/>
      <c r="N218" s="9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9"/>
      <c r="AK218" s="13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9"/>
      <c r="BH218" s="15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9"/>
      <c r="CF218" s="9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</row>
    <row r="219" ht="15.75" customHeight="1">
      <c r="A219" s="9"/>
      <c r="B219" s="11"/>
      <c r="C219" s="11"/>
      <c r="D219" s="9"/>
      <c r="E219" s="9"/>
      <c r="F219" s="9"/>
      <c r="G219" s="9"/>
      <c r="H219" s="11"/>
      <c r="I219" s="11"/>
      <c r="J219" s="11"/>
      <c r="K219" s="11"/>
      <c r="L219" s="11"/>
      <c r="M219" s="9"/>
      <c r="N219" s="9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9"/>
      <c r="AK219" s="13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9"/>
      <c r="BH219" s="15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9"/>
      <c r="CF219" s="9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</row>
    <row r="220" ht="15.75" customHeight="1">
      <c r="A220" s="9"/>
      <c r="B220" s="11"/>
      <c r="C220" s="11"/>
      <c r="D220" s="9"/>
      <c r="E220" s="9"/>
      <c r="F220" s="9"/>
      <c r="G220" s="9"/>
      <c r="H220" s="11"/>
      <c r="I220" s="11"/>
      <c r="J220" s="11"/>
      <c r="K220" s="11"/>
      <c r="L220" s="11"/>
      <c r="M220" s="9"/>
      <c r="N220" s="9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9"/>
      <c r="AK220" s="13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9"/>
      <c r="BH220" s="15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9"/>
      <c r="CF220" s="9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</row>
    <row r="221" ht="15.75" customHeight="1">
      <c r="A221" s="9"/>
      <c r="B221" s="11"/>
      <c r="C221" s="11"/>
      <c r="D221" s="9"/>
      <c r="E221" s="9"/>
      <c r="F221" s="9"/>
      <c r="G221" s="9"/>
      <c r="H221" s="11"/>
      <c r="I221" s="11"/>
      <c r="J221" s="11"/>
      <c r="K221" s="11"/>
      <c r="L221" s="11"/>
      <c r="M221" s="9"/>
      <c r="N221" s="9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9"/>
      <c r="AK221" s="13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9"/>
      <c r="BH221" s="15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9"/>
      <c r="CF221" s="9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</row>
    <row r="222" ht="15.75" customHeight="1">
      <c r="A222" s="9"/>
      <c r="B222" s="11"/>
      <c r="C222" s="11"/>
      <c r="D222" s="9"/>
      <c r="E222" s="9"/>
      <c r="F222" s="9"/>
      <c r="G222" s="9"/>
      <c r="H222" s="11"/>
      <c r="I222" s="11"/>
      <c r="J222" s="11"/>
      <c r="K222" s="11"/>
      <c r="L222" s="11"/>
      <c r="M222" s="9"/>
      <c r="N222" s="9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9"/>
      <c r="AK222" s="13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9"/>
      <c r="BH222" s="15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9"/>
      <c r="CF222" s="9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</row>
    <row r="223" ht="15.75" customHeight="1">
      <c r="A223" s="9"/>
      <c r="B223" s="11"/>
      <c r="C223" s="11"/>
      <c r="D223" s="9"/>
      <c r="E223" s="9"/>
      <c r="F223" s="9"/>
      <c r="G223" s="9"/>
      <c r="H223" s="11"/>
      <c r="I223" s="11"/>
      <c r="J223" s="11"/>
      <c r="K223" s="11"/>
      <c r="L223" s="11"/>
      <c r="M223" s="9"/>
      <c r="N223" s="9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9"/>
      <c r="AK223" s="13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9"/>
      <c r="BH223" s="15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9"/>
      <c r="CF223" s="9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</row>
    <row r="224" ht="15.75" customHeight="1">
      <c r="A224" s="9"/>
      <c r="B224" s="11"/>
      <c r="C224" s="11"/>
      <c r="D224" s="9"/>
      <c r="E224" s="9"/>
      <c r="F224" s="9"/>
      <c r="G224" s="9"/>
      <c r="H224" s="11"/>
      <c r="I224" s="11"/>
      <c r="J224" s="11"/>
      <c r="K224" s="11"/>
      <c r="L224" s="11"/>
      <c r="M224" s="9"/>
      <c r="N224" s="9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9"/>
      <c r="AK224" s="13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9"/>
      <c r="BH224" s="15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9"/>
      <c r="CF224" s="9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</row>
    <row r="225" ht="15.75" customHeight="1">
      <c r="A225" s="9"/>
      <c r="B225" s="11"/>
      <c r="C225" s="11"/>
      <c r="D225" s="9"/>
      <c r="E225" s="9"/>
      <c r="F225" s="9"/>
      <c r="G225" s="9"/>
      <c r="H225" s="11"/>
      <c r="I225" s="11"/>
      <c r="J225" s="11"/>
      <c r="K225" s="11"/>
      <c r="L225" s="11"/>
      <c r="M225" s="9"/>
      <c r="N225" s="9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9"/>
      <c r="AK225" s="13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9"/>
      <c r="BH225" s="15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9"/>
      <c r="CF225" s="9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</row>
    <row r="226" ht="15.75" customHeight="1">
      <c r="A226" s="9"/>
      <c r="B226" s="11"/>
      <c r="C226" s="11"/>
      <c r="D226" s="9"/>
      <c r="E226" s="9"/>
      <c r="F226" s="9"/>
      <c r="G226" s="9"/>
      <c r="H226" s="11"/>
      <c r="I226" s="11"/>
      <c r="J226" s="11"/>
      <c r="K226" s="11"/>
      <c r="L226" s="11"/>
      <c r="M226" s="9"/>
      <c r="N226" s="9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9"/>
      <c r="AK226" s="13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9"/>
      <c r="BH226" s="15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9"/>
      <c r="CF226" s="9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</row>
    <row r="227" ht="15.75" customHeight="1">
      <c r="A227" s="9"/>
      <c r="B227" s="11"/>
      <c r="C227" s="11"/>
      <c r="D227" s="9"/>
      <c r="E227" s="9"/>
      <c r="F227" s="9"/>
      <c r="G227" s="9"/>
      <c r="H227" s="11"/>
      <c r="I227" s="11"/>
      <c r="J227" s="11"/>
      <c r="K227" s="11"/>
      <c r="L227" s="11"/>
      <c r="M227" s="9"/>
      <c r="N227" s="9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9"/>
      <c r="AK227" s="13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9"/>
      <c r="BH227" s="15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9"/>
      <c r="CF227" s="9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</row>
    <row r="228" ht="15.75" customHeight="1">
      <c r="A228" s="9"/>
      <c r="B228" s="11"/>
      <c r="C228" s="11"/>
      <c r="D228" s="9"/>
      <c r="E228" s="9"/>
      <c r="F228" s="9"/>
      <c r="G228" s="9"/>
      <c r="H228" s="11"/>
      <c r="I228" s="11"/>
      <c r="J228" s="11"/>
      <c r="K228" s="11"/>
      <c r="L228" s="11"/>
      <c r="M228" s="9"/>
      <c r="N228" s="9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9"/>
      <c r="AK228" s="13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9"/>
      <c r="BH228" s="15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9"/>
      <c r="CF228" s="9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</row>
    <row r="229" ht="15.75" customHeight="1">
      <c r="A229" s="9"/>
      <c r="B229" s="11"/>
      <c r="C229" s="11"/>
      <c r="D229" s="9"/>
      <c r="E229" s="9"/>
      <c r="F229" s="9"/>
      <c r="G229" s="9"/>
      <c r="H229" s="11"/>
      <c r="I229" s="11"/>
      <c r="J229" s="11"/>
      <c r="K229" s="11"/>
      <c r="L229" s="11"/>
      <c r="M229" s="9"/>
      <c r="N229" s="9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9"/>
      <c r="AK229" s="13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9"/>
      <c r="BH229" s="15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9"/>
      <c r="CF229" s="9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</row>
    <row r="230" ht="15.75" customHeight="1">
      <c r="A230" s="9"/>
      <c r="B230" s="11"/>
      <c r="C230" s="11"/>
      <c r="D230" s="9"/>
      <c r="E230" s="9"/>
      <c r="F230" s="9"/>
      <c r="G230" s="9"/>
      <c r="H230" s="11"/>
      <c r="I230" s="11"/>
      <c r="J230" s="11"/>
      <c r="K230" s="11"/>
      <c r="L230" s="11"/>
      <c r="M230" s="9"/>
      <c r="N230" s="9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9"/>
      <c r="AK230" s="13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9"/>
      <c r="BH230" s="15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9"/>
      <c r="CF230" s="9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</row>
    <row r="231" ht="15.75" customHeight="1">
      <c r="A231" s="9"/>
      <c r="B231" s="11"/>
      <c r="C231" s="11"/>
      <c r="D231" s="9"/>
      <c r="E231" s="9"/>
      <c r="F231" s="9"/>
      <c r="G231" s="9"/>
      <c r="H231" s="11"/>
      <c r="I231" s="11"/>
      <c r="J231" s="11"/>
      <c r="K231" s="11"/>
      <c r="L231" s="11"/>
      <c r="M231" s="9"/>
      <c r="N231" s="9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9"/>
      <c r="AK231" s="13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9"/>
      <c r="BH231" s="15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9"/>
      <c r="CF231" s="9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</row>
    <row r="232" ht="15.75" customHeight="1">
      <c r="A232" s="9"/>
      <c r="B232" s="11"/>
      <c r="C232" s="11"/>
      <c r="D232" s="9"/>
      <c r="E232" s="9"/>
      <c r="F232" s="9"/>
      <c r="G232" s="9"/>
      <c r="H232" s="11"/>
      <c r="I232" s="11"/>
      <c r="J232" s="11"/>
      <c r="K232" s="11"/>
      <c r="L232" s="11"/>
      <c r="M232" s="9"/>
      <c r="N232" s="9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9"/>
      <c r="AK232" s="13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9"/>
      <c r="BH232" s="15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9"/>
      <c r="CF232" s="9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</row>
    <row r="233" ht="15.75" customHeight="1">
      <c r="A233" s="9"/>
      <c r="B233" s="11"/>
      <c r="C233" s="11"/>
      <c r="D233" s="9"/>
      <c r="E233" s="9"/>
      <c r="F233" s="9"/>
      <c r="G233" s="9"/>
      <c r="H233" s="11"/>
      <c r="I233" s="11"/>
      <c r="J233" s="11"/>
      <c r="K233" s="11"/>
      <c r="L233" s="11"/>
      <c r="M233" s="9"/>
      <c r="N233" s="9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9"/>
      <c r="AK233" s="13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9"/>
      <c r="BH233" s="15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9"/>
      <c r="CF233" s="9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</row>
    <row r="234" ht="15.75" customHeight="1">
      <c r="A234" s="9"/>
      <c r="B234" s="11"/>
      <c r="C234" s="11"/>
      <c r="D234" s="9"/>
      <c r="E234" s="9"/>
      <c r="F234" s="9"/>
      <c r="G234" s="9"/>
      <c r="H234" s="11"/>
      <c r="I234" s="11"/>
      <c r="J234" s="11"/>
      <c r="K234" s="11"/>
      <c r="L234" s="11"/>
      <c r="M234" s="9"/>
      <c r="N234" s="9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9"/>
      <c r="AK234" s="13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9"/>
      <c r="BH234" s="15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9"/>
      <c r="CF234" s="9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</row>
    <row r="235" ht="15.75" customHeight="1">
      <c r="A235" s="9"/>
      <c r="B235" s="11"/>
      <c r="C235" s="11"/>
      <c r="D235" s="9"/>
      <c r="E235" s="9"/>
      <c r="F235" s="9"/>
      <c r="G235" s="9"/>
      <c r="H235" s="11"/>
      <c r="I235" s="11"/>
      <c r="J235" s="11"/>
      <c r="K235" s="11"/>
      <c r="L235" s="11"/>
      <c r="M235" s="9"/>
      <c r="N235" s="9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9"/>
      <c r="AK235" s="13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9"/>
      <c r="BH235" s="15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9"/>
      <c r="CF235" s="9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</row>
    <row r="236" ht="15.75" customHeight="1">
      <c r="A236" s="9"/>
      <c r="B236" s="11"/>
      <c r="C236" s="11"/>
      <c r="D236" s="9"/>
      <c r="E236" s="9"/>
      <c r="F236" s="9"/>
      <c r="G236" s="9"/>
      <c r="H236" s="11"/>
      <c r="I236" s="11"/>
      <c r="J236" s="11"/>
      <c r="K236" s="11"/>
      <c r="L236" s="11"/>
      <c r="M236" s="9"/>
      <c r="N236" s="9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9"/>
      <c r="AK236" s="13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9"/>
      <c r="BH236" s="15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9"/>
      <c r="CF236" s="9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</row>
    <row r="237" ht="15.75" customHeight="1">
      <c r="A237" s="9"/>
      <c r="B237" s="11"/>
      <c r="C237" s="11"/>
      <c r="D237" s="9"/>
      <c r="E237" s="9"/>
      <c r="F237" s="9"/>
      <c r="G237" s="9"/>
      <c r="H237" s="11"/>
      <c r="I237" s="11"/>
      <c r="J237" s="11"/>
      <c r="K237" s="11"/>
      <c r="L237" s="11"/>
      <c r="M237" s="9"/>
      <c r="N237" s="9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9"/>
      <c r="AK237" s="13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9"/>
      <c r="BH237" s="15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9"/>
      <c r="CF237" s="9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</row>
    <row r="238" ht="15.75" customHeight="1">
      <c r="A238" s="9"/>
      <c r="B238" s="11"/>
      <c r="C238" s="11"/>
      <c r="D238" s="9"/>
      <c r="E238" s="9"/>
      <c r="F238" s="9"/>
      <c r="G238" s="9"/>
      <c r="H238" s="11"/>
      <c r="I238" s="11"/>
      <c r="J238" s="11"/>
      <c r="K238" s="11"/>
      <c r="L238" s="11"/>
      <c r="M238" s="9"/>
      <c r="N238" s="9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9"/>
      <c r="AK238" s="13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9"/>
      <c r="BH238" s="15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9"/>
      <c r="CF238" s="9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</row>
    <row r="239" ht="15.75" customHeight="1">
      <c r="A239" s="9"/>
      <c r="B239" s="11"/>
      <c r="C239" s="11"/>
      <c r="D239" s="9"/>
      <c r="E239" s="9"/>
      <c r="F239" s="9"/>
      <c r="G239" s="9"/>
      <c r="H239" s="11"/>
      <c r="I239" s="11"/>
      <c r="J239" s="11"/>
      <c r="K239" s="11"/>
      <c r="L239" s="11"/>
      <c r="M239" s="9"/>
      <c r="N239" s="9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9"/>
      <c r="AK239" s="13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9"/>
      <c r="BH239" s="15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9"/>
      <c r="CF239" s="9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</row>
    <row r="240" ht="15.75" customHeight="1">
      <c r="A240" s="9"/>
      <c r="B240" s="11"/>
      <c r="C240" s="11"/>
      <c r="D240" s="9"/>
      <c r="E240" s="9"/>
      <c r="F240" s="9"/>
      <c r="G240" s="9"/>
      <c r="H240" s="11"/>
      <c r="I240" s="11"/>
      <c r="J240" s="11"/>
      <c r="K240" s="11"/>
      <c r="L240" s="11"/>
      <c r="M240" s="9"/>
      <c r="N240" s="9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9"/>
      <c r="AK240" s="13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9"/>
      <c r="BH240" s="15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9"/>
      <c r="CF240" s="9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</row>
    <row r="241" ht="15.75" customHeight="1">
      <c r="A241" s="9"/>
      <c r="B241" s="11"/>
      <c r="C241" s="11"/>
      <c r="D241" s="9"/>
      <c r="E241" s="9"/>
      <c r="F241" s="9"/>
      <c r="G241" s="9"/>
      <c r="H241" s="11"/>
      <c r="I241" s="11"/>
      <c r="J241" s="11"/>
      <c r="K241" s="11"/>
      <c r="L241" s="11"/>
      <c r="M241" s="9"/>
      <c r="N241" s="9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9"/>
      <c r="AK241" s="13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9"/>
      <c r="BH241" s="15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9"/>
      <c r="CF241" s="9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</row>
    <row r="242" ht="15.75" customHeight="1">
      <c r="A242" s="9"/>
      <c r="B242" s="11"/>
      <c r="C242" s="11"/>
      <c r="D242" s="9"/>
      <c r="E242" s="9"/>
      <c r="F242" s="9"/>
      <c r="G242" s="9"/>
      <c r="H242" s="11"/>
      <c r="I242" s="11"/>
      <c r="J242" s="11"/>
      <c r="K242" s="11"/>
      <c r="L242" s="11"/>
      <c r="M242" s="9"/>
      <c r="N242" s="9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9"/>
      <c r="AK242" s="13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9"/>
      <c r="BH242" s="15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9"/>
      <c r="CF242" s="9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</row>
    <row r="243" ht="15.75" customHeight="1">
      <c r="A243" s="9"/>
      <c r="B243" s="11"/>
      <c r="C243" s="11"/>
      <c r="D243" s="9"/>
      <c r="E243" s="9"/>
      <c r="F243" s="9"/>
      <c r="G243" s="9"/>
      <c r="H243" s="11"/>
      <c r="I243" s="11"/>
      <c r="J243" s="11"/>
      <c r="K243" s="11"/>
      <c r="L243" s="11"/>
      <c r="M243" s="9"/>
      <c r="N243" s="9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9"/>
      <c r="AK243" s="13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9"/>
      <c r="BH243" s="15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9"/>
      <c r="CF243" s="9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</row>
    <row r="244" ht="15.75" customHeight="1">
      <c r="A244" s="9"/>
      <c r="B244" s="11"/>
      <c r="C244" s="11"/>
      <c r="D244" s="9"/>
      <c r="E244" s="9"/>
      <c r="F244" s="9"/>
      <c r="G244" s="9"/>
      <c r="H244" s="11"/>
      <c r="I244" s="11"/>
      <c r="J244" s="11"/>
      <c r="K244" s="11"/>
      <c r="L244" s="11"/>
      <c r="M244" s="9"/>
      <c r="N244" s="9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9"/>
      <c r="AK244" s="13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9"/>
      <c r="BH244" s="15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9"/>
      <c r="CF244" s="9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1"/>
    </row>
    <row r="245" ht="15.75" customHeight="1">
      <c r="A245" s="9"/>
      <c r="B245" s="11"/>
      <c r="C245" s="11"/>
      <c r="D245" s="9"/>
      <c r="E245" s="9"/>
      <c r="F245" s="9"/>
      <c r="G245" s="9"/>
      <c r="H245" s="11"/>
      <c r="I245" s="11"/>
      <c r="J245" s="11"/>
      <c r="K245" s="11"/>
      <c r="L245" s="11"/>
      <c r="M245" s="9"/>
      <c r="N245" s="9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9"/>
      <c r="AK245" s="13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9"/>
      <c r="BH245" s="15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9"/>
      <c r="CF245" s="9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</row>
    <row r="246" ht="15.75" customHeight="1">
      <c r="A246" s="9"/>
      <c r="B246" s="11"/>
      <c r="C246" s="11"/>
      <c r="D246" s="9"/>
      <c r="E246" s="9"/>
      <c r="F246" s="9"/>
      <c r="G246" s="9"/>
      <c r="H246" s="11"/>
      <c r="I246" s="11"/>
      <c r="J246" s="11"/>
      <c r="K246" s="11"/>
      <c r="L246" s="11"/>
      <c r="M246" s="9"/>
      <c r="N246" s="9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9"/>
      <c r="AK246" s="13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9"/>
      <c r="BH246" s="15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9"/>
      <c r="CF246" s="9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</row>
    <row r="247" ht="15.75" customHeight="1">
      <c r="A247" s="9"/>
      <c r="B247" s="11"/>
      <c r="C247" s="11"/>
      <c r="D247" s="9"/>
      <c r="E247" s="9"/>
      <c r="F247" s="9"/>
      <c r="G247" s="9"/>
      <c r="H247" s="11"/>
      <c r="I247" s="11"/>
      <c r="J247" s="11"/>
      <c r="K247" s="11"/>
      <c r="L247" s="11"/>
      <c r="M247" s="9"/>
      <c r="N247" s="9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9"/>
      <c r="AK247" s="13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9"/>
      <c r="BH247" s="15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9"/>
      <c r="CF247" s="9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</row>
    <row r="248" ht="15.75" customHeight="1">
      <c r="A248" s="9"/>
      <c r="B248" s="11"/>
      <c r="C248" s="11"/>
      <c r="D248" s="9"/>
      <c r="E248" s="9"/>
      <c r="F248" s="9"/>
      <c r="G248" s="9"/>
      <c r="H248" s="11"/>
      <c r="I248" s="11"/>
      <c r="J248" s="11"/>
      <c r="K248" s="11"/>
      <c r="L248" s="11"/>
      <c r="M248" s="9"/>
      <c r="N248" s="9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9"/>
      <c r="AK248" s="13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9"/>
      <c r="BH248" s="15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9"/>
      <c r="CF248" s="9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</row>
    <row r="249" ht="15.75" customHeight="1">
      <c r="A249" s="9"/>
      <c r="B249" s="11"/>
      <c r="C249" s="11"/>
      <c r="D249" s="9"/>
      <c r="E249" s="9"/>
      <c r="F249" s="9"/>
      <c r="G249" s="9"/>
      <c r="H249" s="11"/>
      <c r="I249" s="11"/>
      <c r="J249" s="11"/>
      <c r="K249" s="11"/>
      <c r="L249" s="11"/>
      <c r="M249" s="9"/>
      <c r="N249" s="9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9"/>
      <c r="AK249" s="13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9"/>
      <c r="BH249" s="15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9"/>
      <c r="CF249" s="9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</row>
    <row r="250" ht="15.75" customHeight="1">
      <c r="A250" s="9"/>
      <c r="B250" s="11"/>
      <c r="C250" s="11"/>
      <c r="D250" s="9"/>
      <c r="E250" s="9"/>
      <c r="F250" s="9"/>
      <c r="G250" s="9"/>
      <c r="H250" s="11"/>
      <c r="I250" s="11"/>
      <c r="J250" s="11"/>
      <c r="K250" s="11"/>
      <c r="L250" s="11"/>
      <c r="M250" s="9"/>
      <c r="N250" s="9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9"/>
      <c r="AK250" s="13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9"/>
      <c r="BH250" s="15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9"/>
      <c r="CF250" s="9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</row>
    <row r="251" ht="15.75" customHeight="1">
      <c r="A251" s="9"/>
      <c r="B251" s="11"/>
      <c r="C251" s="11"/>
      <c r="D251" s="9"/>
      <c r="E251" s="9"/>
      <c r="F251" s="9"/>
      <c r="G251" s="9"/>
      <c r="H251" s="11"/>
      <c r="I251" s="11"/>
      <c r="J251" s="11"/>
      <c r="K251" s="11"/>
      <c r="L251" s="11"/>
      <c r="M251" s="9"/>
      <c r="N251" s="9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9"/>
      <c r="AK251" s="13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9"/>
      <c r="BH251" s="15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9"/>
      <c r="CF251" s="9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</row>
    <row r="252" ht="15.75" customHeight="1">
      <c r="A252" s="9"/>
      <c r="B252" s="11"/>
      <c r="C252" s="11"/>
      <c r="D252" s="9"/>
      <c r="E252" s="9"/>
      <c r="F252" s="9"/>
      <c r="G252" s="9"/>
      <c r="H252" s="11"/>
      <c r="I252" s="11"/>
      <c r="J252" s="11"/>
      <c r="K252" s="11"/>
      <c r="L252" s="11"/>
      <c r="M252" s="9"/>
      <c r="N252" s="9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9"/>
      <c r="AK252" s="13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9"/>
      <c r="BH252" s="15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9"/>
      <c r="CF252" s="9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</row>
    <row r="253" ht="15.75" customHeight="1">
      <c r="A253" s="9"/>
      <c r="B253" s="11"/>
      <c r="C253" s="11"/>
      <c r="D253" s="9"/>
      <c r="E253" s="9"/>
      <c r="F253" s="9"/>
      <c r="G253" s="9"/>
      <c r="H253" s="11"/>
      <c r="I253" s="11"/>
      <c r="J253" s="11"/>
      <c r="K253" s="11"/>
      <c r="L253" s="11"/>
      <c r="M253" s="9"/>
      <c r="N253" s="9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9"/>
      <c r="AK253" s="13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9"/>
      <c r="BH253" s="15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9"/>
      <c r="CF253" s="9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</row>
    <row r="254" ht="15.75" customHeight="1">
      <c r="A254" s="9"/>
      <c r="B254" s="11"/>
      <c r="C254" s="11"/>
      <c r="D254" s="9"/>
      <c r="E254" s="9"/>
      <c r="F254" s="9"/>
      <c r="G254" s="9"/>
      <c r="H254" s="11"/>
      <c r="I254" s="11"/>
      <c r="J254" s="11"/>
      <c r="K254" s="11"/>
      <c r="L254" s="11"/>
      <c r="M254" s="9"/>
      <c r="N254" s="9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9"/>
      <c r="AK254" s="13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9"/>
      <c r="BH254" s="15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9"/>
      <c r="CF254" s="9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</row>
    <row r="255" ht="15.75" customHeight="1">
      <c r="A255" s="9"/>
      <c r="B255" s="11"/>
      <c r="C255" s="11"/>
      <c r="D255" s="9"/>
      <c r="E255" s="9"/>
      <c r="F255" s="9"/>
      <c r="G255" s="9"/>
      <c r="H255" s="11"/>
      <c r="I255" s="11"/>
      <c r="J255" s="11"/>
      <c r="K255" s="11"/>
      <c r="L255" s="11"/>
      <c r="M255" s="9"/>
      <c r="N255" s="9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9"/>
      <c r="AK255" s="13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9"/>
      <c r="BH255" s="15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9"/>
      <c r="CF255" s="9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</row>
    <row r="256" ht="15.75" customHeight="1">
      <c r="A256" s="9"/>
      <c r="B256" s="11"/>
      <c r="C256" s="11"/>
      <c r="D256" s="9"/>
      <c r="E256" s="9"/>
      <c r="F256" s="9"/>
      <c r="G256" s="9"/>
      <c r="H256" s="11"/>
      <c r="I256" s="11"/>
      <c r="J256" s="11"/>
      <c r="K256" s="11"/>
      <c r="L256" s="11"/>
      <c r="M256" s="9"/>
      <c r="N256" s="9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9"/>
      <c r="AK256" s="13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9"/>
      <c r="BH256" s="15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9"/>
      <c r="CF256" s="9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</row>
    <row r="257" ht="15.75" customHeight="1">
      <c r="A257" s="9"/>
      <c r="B257" s="11"/>
      <c r="C257" s="11"/>
      <c r="D257" s="9"/>
      <c r="E257" s="9"/>
      <c r="F257" s="9"/>
      <c r="G257" s="9"/>
      <c r="H257" s="11"/>
      <c r="I257" s="11"/>
      <c r="J257" s="11"/>
      <c r="K257" s="11"/>
      <c r="L257" s="11"/>
      <c r="M257" s="9"/>
      <c r="N257" s="9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9"/>
      <c r="AK257" s="13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9"/>
      <c r="BH257" s="15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9"/>
      <c r="CF257" s="9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</row>
    <row r="258" ht="15.75" customHeight="1">
      <c r="A258" s="9"/>
      <c r="B258" s="11"/>
      <c r="C258" s="11"/>
      <c r="D258" s="9"/>
      <c r="E258" s="9"/>
      <c r="F258" s="9"/>
      <c r="G258" s="9"/>
      <c r="H258" s="11"/>
      <c r="I258" s="11"/>
      <c r="J258" s="11"/>
      <c r="K258" s="11"/>
      <c r="L258" s="11"/>
      <c r="M258" s="9"/>
      <c r="N258" s="9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9"/>
      <c r="AK258" s="13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9"/>
      <c r="BH258" s="15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9"/>
      <c r="CF258" s="9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</row>
    <row r="259" ht="15.75" customHeight="1">
      <c r="A259" s="9"/>
      <c r="B259" s="11"/>
      <c r="C259" s="11"/>
      <c r="D259" s="9"/>
      <c r="E259" s="9"/>
      <c r="F259" s="9"/>
      <c r="G259" s="9"/>
      <c r="H259" s="11"/>
      <c r="I259" s="11"/>
      <c r="J259" s="11"/>
      <c r="K259" s="11"/>
      <c r="L259" s="11"/>
      <c r="M259" s="9"/>
      <c r="N259" s="9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9"/>
      <c r="AK259" s="13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9"/>
      <c r="BH259" s="15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9"/>
      <c r="CF259" s="9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</row>
    <row r="260" ht="15.75" customHeight="1">
      <c r="A260" s="9"/>
      <c r="B260" s="11"/>
      <c r="C260" s="11"/>
      <c r="D260" s="9"/>
      <c r="E260" s="9"/>
      <c r="F260" s="9"/>
      <c r="G260" s="9"/>
      <c r="H260" s="11"/>
      <c r="I260" s="11"/>
      <c r="J260" s="11"/>
      <c r="K260" s="11"/>
      <c r="L260" s="11"/>
      <c r="M260" s="9"/>
      <c r="N260" s="9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9"/>
      <c r="AK260" s="13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9"/>
      <c r="BH260" s="15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9"/>
      <c r="CF260" s="9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</row>
    <row r="261" ht="15.75" customHeight="1">
      <c r="A261" s="9"/>
      <c r="B261" s="11"/>
      <c r="C261" s="11"/>
      <c r="D261" s="9"/>
      <c r="E261" s="9"/>
      <c r="F261" s="9"/>
      <c r="G261" s="9"/>
      <c r="H261" s="11"/>
      <c r="I261" s="11"/>
      <c r="J261" s="11"/>
      <c r="K261" s="11"/>
      <c r="L261" s="11"/>
      <c r="M261" s="9"/>
      <c r="N261" s="9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9"/>
      <c r="AK261" s="13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9"/>
      <c r="BH261" s="15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9"/>
      <c r="CF261" s="9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</row>
    <row r="262" ht="15.75" customHeight="1">
      <c r="A262" s="9"/>
      <c r="B262" s="11"/>
      <c r="C262" s="11"/>
      <c r="D262" s="9"/>
      <c r="E262" s="9"/>
      <c r="F262" s="9"/>
      <c r="G262" s="9"/>
      <c r="H262" s="11"/>
      <c r="I262" s="11"/>
      <c r="J262" s="11"/>
      <c r="K262" s="11"/>
      <c r="L262" s="11"/>
      <c r="M262" s="9"/>
      <c r="N262" s="9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9"/>
      <c r="AK262" s="13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9"/>
      <c r="BH262" s="15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9"/>
      <c r="CF262" s="9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</row>
    <row r="263" ht="15.75" customHeight="1">
      <c r="A263" s="9"/>
      <c r="B263" s="11"/>
      <c r="C263" s="11"/>
      <c r="D263" s="9"/>
      <c r="E263" s="9"/>
      <c r="F263" s="9"/>
      <c r="G263" s="9"/>
      <c r="H263" s="11"/>
      <c r="I263" s="11"/>
      <c r="J263" s="11"/>
      <c r="K263" s="11"/>
      <c r="L263" s="11"/>
      <c r="M263" s="9"/>
      <c r="N263" s="9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9"/>
      <c r="AK263" s="13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9"/>
      <c r="BH263" s="15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9"/>
      <c r="CF263" s="9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</row>
    <row r="264" ht="15.75" customHeight="1">
      <c r="A264" s="9"/>
      <c r="B264" s="11"/>
      <c r="C264" s="11"/>
      <c r="D264" s="9"/>
      <c r="E264" s="9"/>
      <c r="F264" s="9"/>
      <c r="G264" s="9"/>
      <c r="H264" s="11"/>
      <c r="I264" s="11"/>
      <c r="J264" s="11"/>
      <c r="K264" s="11"/>
      <c r="L264" s="11"/>
      <c r="M264" s="9"/>
      <c r="N264" s="9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9"/>
      <c r="AK264" s="13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9"/>
      <c r="BH264" s="15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9"/>
      <c r="CF264" s="9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</row>
    <row r="265" ht="15.75" customHeight="1">
      <c r="A265" s="9"/>
      <c r="B265" s="11"/>
      <c r="C265" s="11"/>
      <c r="D265" s="9"/>
      <c r="E265" s="9"/>
      <c r="F265" s="9"/>
      <c r="G265" s="9"/>
      <c r="H265" s="11"/>
      <c r="I265" s="11"/>
      <c r="J265" s="11"/>
      <c r="K265" s="11"/>
      <c r="L265" s="11"/>
      <c r="M265" s="9"/>
      <c r="N265" s="9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9"/>
      <c r="AK265" s="13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9"/>
      <c r="BH265" s="15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9"/>
      <c r="CF265" s="9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</row>
    <row r="266" ht="15.75" customHeight="1">
      <c r="A266" s="9"/>
      <c r="B266" s="11"/>
      <c r="C266" s="11"/>
      <c r="D266" s="9"/>
      <c r="E266" s="9"/>
      <c r="F266" s="9"/>
      <c r="G266" s="9"/>
      <c r="H266" s="11"/>
      <c r="I266" s="11"/>
      <c r="J266" s="11"/>
      <c r="K266" s="11"/>
      <c r="L266" s="11"/>
      <c r="M266" s="9"/>
      <c r="N266" s="9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9"/>
      <c r="AK266" s="13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9"/>
      <c r="BH266" s="15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9"/>
      <c r="CF266" s="9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</row>
    <row r="267" ht="15.75" customHeight="1">
      <c r="A267" s="9"/>
      <c r="B267" s="11"/>
      <c r="C267" s="11"/>
      <c r="D267" s="9"/>
      <c r="E267" s="9"/>
      <c r="F267" s="9"/>
      <c r="G267" s="9"/>
      <c r="H267" s="11"/>
      <c r="I267" s="11"/>
      <c r="J267" s="11"/>
      <c r="K267" s="11"/>
      <c r="L267" s="11"/>
      <c r="M267" s="9"/>
      <c r="N267" s="9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9"/>
      <c r="AK267" s="13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9"/>
      <c r="BH267" s="15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9"/>
      <c r="CF267" s="9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</row>
    <row r="268" ht="15.75" customHeight="1">
      <c r="A268" s="9"/>
      <c r="B268" s="11"/>
      <c r="C268" s="11"/>
      <c r="D268" s="9"/>
      <c r="E268" s="9"/>
      <c r="F268" s="9"/>
      <c r="G268" s="9"/>
      <c r="H268" s="11"/>
      <c r="I268" s="11"/>
      <c r="J268" s="11"/>
      <c r="K268" s="11"/>
      <c r="L268" s="11"/>
      <c r="M268" s="9"/>
      <c r="N268" s="9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9"/>
      <c r="AK268" s="13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9"/>
      <c r="BH268" s="15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9"/>
      <c r="CF268" s="9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</row>
    <row r="269" ht="15.75" customHeight="1">
      <c r="A269" s="9"/>
      <c r="B269" s="11"/>
      <c r="C269" s="11"/>
      <c r="D269" s="9"/>
      <c r="E269" s="9"/>
      <c r="F269" s="9"/>
      <c r="G269" s="9"/>
      <c r="H269" s="11"/>
      <c r="I269" s="11"/>
      <c r="J269" s="11"/>
      <c r="K269" s="11"/>
      <c r="L269" s="11"/>
      <c r="M269" s="9"/>
      <c r="N269" s="9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9"/>
      <c r="AK269" s="13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9"/>
      <c r="BH269" s="15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9"/>
      <c r="CF269" s="9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</row>
    <row r="270" ht="15.75" customHeight="1">
      <c r="A270" s="9"/>
      <c r="B270" s="11"/>
      <c r="C270" s="11"/>
      <c r="D270" s="9"/>
      <c r="E270" s="9"/>
      <c r="F270" s="9"/>
      <c r="G270" s="9"/>
      <c r="H270" s="11"/>
      <c r="I270" s="11"/>
      <c r="J270" s="11"/>
      <c r="K270" s="11"/>
      <c r="L270" s="11"/>
      <c r="M270" s="9"/>
      <c r="N270" s="9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9"/>
      <c r="AK270" s="13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9"/>
      <c r="BH270" s="15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9"/>
      <c r="CF270" s="9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</row>
    <row r="271" ht="15.75" customHeight="1">
      <c r="A271" s="9"/>
      <c r="B271" s="11"/>
      <c r="C271" s="11"/>
      <c r="D271" s="9"/>
      <c r="E271" s="9"/>
      <c r="F271" s="9"/>
      <c r="G271" s="9"/>
      <c r="H271" s="11"/>
      <c r="I271" s="11"/>
      <c r="J271" s="11"/>
      <c r="K271" s="11"/>
      <c r="L271" s="11"/>
      <c r="M271" s="9"/>
      <c r="N271" s="9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9"/>
      <c r="AK271" s="13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9"/>
      <c r="BH271" s="15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9"/>
      <c r="CF271" s="9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</row>
    <row r="272" ht="15.75" customHeight="1">
      <c r="A272" s="9"/>
      <c r="B272" s="11"/>
      <c r="C272" s="11"/>
      <c r="D272" s="9"/>
      <c r="E272" s="9"/>
      <c r="F272" s="9"/>
      <c r="G272" s="9"/>
      <c r="H272" s="11"/>
      <c r="I272" s="11"/>
      <c r="J272" s="11"/>
      <c r="K272" s="11"/>
      <c r="L272" s="11"/>
      <c r="M272" s="9"/>
      <c r="N272" s="9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9"/>
      <c r="AK272" s="13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9"/>
      <c r="BH272" s="15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9"/>
      <c r="CF272" s="9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</row>
    <row r="273" ht="15.75" customHeight="1">
      <c r="A273" s="9"/>
      <c r="B273" s="11"/>
      <c r="C273" s="11"/>
      <c r="D273" s="9"/>
      <c r="E273" s="9"/>
      <c r="F273" s="9"/>
      <c r="G273" s="9"/>
      <c r="H273" s="11"/>
      <c r="I273" s="11"/>
      <c r="J273" s="11"/>
      <c r="K273" s="11"/>
      <c r="L273" s="11"/>
      <c r="M273" s="9"/>
      <c r="N273" s="9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9"/>
      <c r="AK273" s="13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9"/>
      <c r="BH273" s="15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9"/>
      <c r="CF273" s="9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</row>
    <row r="274" ht="15.75" customHeight="1">
      <c r="A274" s="9"/>
      <c r="B274" s="11"/>
      <c r="C274" s="11"/>
      <c r="D274" s="9"/>
      <c r="E274" s="9"/>
      <c r="F274" s="9"/>
      <c r="G274" s="9"/>
      <c r="H274" s="11"/>
      <c r="I274" s="11"/>
      <c r="J274" s="11"/>
      <c r="K274" s="11"/>
      <c r="L274" s="11"/>
      <c r="M274" s="9"/>
      <c r="N274" s="9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9"/>
      <c r="AK274" s="13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9"/>
      <c r="BH274" s="15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9"/>
      <c r="CF274" s="9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</row>
  </sheetData>
  <mergeCells count="13">
    <mergeCell ref="A4:B4"/>
    <mergeCell ref="A5:B5"/>
    <mergeCell ref="A6:B6"/>
    <mergeCell ref="A52:B52"/>
    <mergeCell ref="C5:F5"/>
    <mergeCell ref="C6:F6"/>
    <mergeCell ref="A1:B1"/>
    <mergeCell ref="C1:F1"/>
    <mergeCell ref="A2:B2"/>
    <mergeCell ref="C2:F2"/>
    <mergeCell ref="A3:B3"/>
    <mergeCell ref="C3:F3"/>
    <mergeCell ref="C4:F4"/>
  </mergeCells>
  <conditionalFormatting sqref="H9:CR9 H52:N52 AJ52:CR52">
    <cfRule type="cellIs" dxfId="0" priority="1" operator="lessThan">
      <formula>1</formula>
    </cfRule>
  </conditionalFormatting>
  <conditionalFormatting sqref="H9:CR9 H52:N52 AJ52:CR52">
    <cfRule type="cellIs" dxfId="0" priority="2" operator="lessThan">
      <formula>1</formula>
    </cfRule>
  </conditionalFormatting>
  <hyperlinks>
    <hyperlink r:id="rId1" ref="A9"/>
  </hyperlinks>
  <printOptions/>
  <pageMargins bottom="0.75" footer="0.0" header="0.0" left="0.7" right="0.7" top="0.75"/>
  <pageSetup orientation="landscape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4.43" defaultRowHeight="15.0"/>
  <cols>
    <col customWidth="1" min="1" max="1" width="4.29"/>
    <col customWidth="1" min="2" max="2" width="15.57"/>
    <col customWidth="1" min="3" max="3" width="32.0"/>
    <col customWidth="1" min="4" max="4" width="11.29"/>
    <col customWidth="1" min="5" max="5" width="11.0"/>
    <col customWidth="1" min="6" max="6" width="8.86"/>
    <col customWidth="1" min="7" max="7" width="6.57"/>
    <col customWidth="1" min="8" max="8" width="9.14"/>
    <col customWidth="1" min="9" max="9" width="8.57"/>
    <col customWidth="1" min="10" max="11" width="8.71"/>
    <col customWidth="1" min="12" max="12" width="9.29"/>
    <col customWidth="1" min="13" max="13" width="8.14"/>
    <col customWidth="1" min="14" max="14" width="7.71"/>
    <col customWidth="1" min="15" max="15" width="8.0"/>
    <col customWidth="1" min="16" max="16" width="7.71"/>
    <col customWidth="1" min="17" max="17" width="7.29"/>
    <col customWidth="1" min="18" max="18" width="13.43"/>
    <col customWidth="1" min="19" max="19" width="9.0"/>
    <col customWidth="1" min="20" max="20" width="16.57"/>
    <col customWidth="1" min="21" max="21" width="10.0"/>
  </cols>
  <sheetData>
    <row r="1">
      <c r="A1" s="11"/>
      <c r="B1" s="294" t="s">
        <v>238</v>
      </c>
      <c r="C1" s="295" t="s">
        <v>239</v>
      </c>
      <c r="D1" s="31"/>
      <c r="E1" s="31"/>
      <c r="F1" s="296"/>
      <c r="G1" s="31"/>
      <c r="H1" s="31"/>
      <c r="I1" s="31"/>
      <c r="J1" s="31"/>
      <c r="K1" s="31"/>
      <c r="L1" s="31"/>
      <c r="M1" s="31"/>
      <c r="N1" s="11"/>
      <c r="O1" s="11"/>
      <c r="P1" s="11"/>
      <c r="Q1" s="31"/>
      <c r="R1" s="11"/>
      <c r="S1" s="11"/>
      <c r="T1" s="11"/>
      <c r="U1" s="297"/>
      <c r="V1" s="11"/>
      <c r="W1" s="11"/>
      <c r="X1" s="11"/>
      <c r="Y1" s="11"/>
      <c r="Z1" s="11"/>
      <c r="AA1" s="11"/>
      <c r="AB1" s="11"/>
    </row>
    <row r="2">
      <c r="A2" s="11"/>
      <c r="B2" s="298" t="s">
        <v>240</v>
      </c>
      <c r="C2" s="299" t="s">
        <v>241</v>
      </c>
      <c r="D2" s="31"/>
      <c r="E2" s="31"/>
      <c r="F2" s="296"/>
      <c r="G2" s="31"/>
      <c r="H2" s="31"/>
      <c r="I2" s="31"/>
      <c r="J2" s="31"/>
      <c r="K2" s="31"/>
      <c r="L2" s="31"/>
      <c r="M2" s="31"/>
      <c r="N2" s="11"/>
      <c r="O2" s="11"/>
      <c r="P2" s="11"/>
      <c r="Q2" s="31"/>
      <c r="R2" s="11"/>
      <c r="S2" s="11"/>
      <c r="T2" s="11"/>
      <c r="U2" s="297"/>
      <c r="V2" s="11"/>
      <c r="W2" s="11"/>
      <c r="X2" s="11"/>
      <c r="Y2" s="11"/>
      <c r="Z2" s="11"/>
      <c r="AA2" s="11"/>
      <c r="AB2" s="11"/>
    </row>
    <row r="3">
      <c r="A3" s="11"/>
      <c r="B3" s="298" t="s">
        <v>242</v>
      </c>
      <c r="C3" s="300">
        <v>45894.0</v>
      </c>
      <c r="D3" s="11"/>
      <c r="E3" s="11"/>
      <c r="F3" s="30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297"/>
      <c r="V3" s="11"/>
      <c r="W3" s="11"/>
      <c r="X3" s="11"/>
      <c r="Y3" s="11"/>
      <c r="Z3" s="11"/>
      <c r="AA3" s="11"/>
      <c r="AB3" s="11"/>
    </row>
    <row r="4">
      <c r="A4" s="11"/>
      <c r="B4" s="302" t="s">
        <v>243</v>
      </c>
      <c r="C4" s="303"/>
      <c r="D4" s="11"/>
      <c r="E4" s="11"/>
      <c r="F4" s="30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297"/>
      <c r="V4" s="11"/>
      <c r="W4" s="11"/>
      <c r="X4" s="11"/>
      <c r="Y4" s="11"/>
      <c r="Z4" s="11"/>
      <c r="AA4" s="11"/>
      <c r="AB4" s="11"/>
    </row>
    <row r="5">
      <c r="A5" s="11"/>
      <c r="B5" s="11"/>
      <c r="C5" s="11"/>
      <c r="D5" s="11"/>
      <c r="E5" s="11"/>
      <c r="F5" s="30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297"/>
      <c r="V5" s="11"/>
      <c r="W5" s="11"/>
      <c r="X5" s="11"/>
      <c r="Y5" s="11"/>
      <c r="Z5" s="11"/>
      <c r="AA5" s="11"/>
      <c r="AB5" s="11"/>
    </row>
    <row r="6">
      <c r="A6" s="11"/>
      <c r="B6" s="11"/>
      <c r="C6" s="11"/>
      <c r="D6" s="31"/>
      <c r="E6" s="31"/>
      <c r="F6" s="296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11"/>
      <c r="S6" s="11"/>
      <c r="T6" s="11"/>
      <c r="U6" s="297"/>
      <c r="V6" s="11"/>
      <c r="W6" s="11"/>
      <c r="X6" s="11"/>
      <c r="Y6" s="11"/>
      <c r="Z6" s="11"/>
      <c r="AA6" s="11"/>
      <c r="AB6" s="11"/>
    </row>
    <row r="7" ht="42.0" customHeight="1">
      <c r="A7" s="304"/>
      <c r="B7" s="304"/>
      <c r="C7" s="305"/>
      <c r="D7" s="306" t="s">
        <v>244</v>
      </c>
      <c r="E7" s="307" t="s">
        <v>245</v>
      </c>
      <c r="F7" s="306" t="s">
        <v>246</v>
      </c>
      <c r="G7" s="306" t="s">
        <v>247</v>
      </c>
      <c r="H7" s="308">
        <v>401.0</v>
      </c>
      <c r="I7" s="309">
        <v>402.0</v>
      </c>
      <c r="J7" s="310" t="s">
        <v>248</v>
      </c>
      <c r="K7" s="309">
        <v>403.0</v>
      </c>
      <c r="L7" s="310" t="s">
        <v>249</v>
      </c>
      <c r="M7" s="311">
        <v>404.0</v>
      </c>
      <c r="N7" s="312" t="s">
        <v>250</v>
      </c>
      <c r="O7" s="313">
        <v>405.0</v>
      </c>
      <c r="P7" s="312" t="s">
        <v>251</v>
      </c>
      <c r="Q7" s="314" t="s">
        <v>252</v>
      </c>
      <c r="R7" s="315" t="s">
        <v>253</v>
      </c>
      <c r="S7" s="315" t="s">
        <v>254</v>
      </c>
      <c r="T7" s="316" t="s">
        <v>255</v>
      </c>
      <c r="U7" s="317" t="s">
        <v>256</v>
      </c>
      <c r="V7" s="11"/>
      <c r="W7" s="11"/>
      <c r="X7" s="11"/>
      <c r="Y7" s="11"/>
      <c r="Z7" s="11"/>
      <c r="AA7" s="11"/>
      <c r="AB7" s="11"/>
    </row>
    <row r="8">
      <c r="A8" s="318" t="s">
        <v>257</v>
      </c>
      <c r="B8" s="319" t="s">
        <v>40</v>
      </c>
      <c r="C8" s="320" t="s">
        <v>42</v>
      </c>
      <c r="D8" s="321"/>
      <c r="E8" s="321"/>
      <c r="F8" s="322"/>
      <c r="G8" s="321"/>
      <c r="H8" s="323">
        <f>'401'!D9</f>
        <v>44</v>
      </c>
      <c r="I8" s="323">
        <f>'402'!D9</f>
        <v>38</v>
      </c>
      <c r="J8" s="324">
        <f>'402 L'!D9</f>
        <v>7</v>
      </c>
      <c r="K8" s="323">
        <f>'403'!D9</f>
        <v>40</v>
      </c>
      <c r="L8" s="324">
        <f>'403 L'!D9</f>
        <v>13</v>
      </c>
      <c r="M8" s="323">
        <f>'404'!D9</f>
        <v>35</v>
      </c>
      <c r="N8" s="324">
        <f>'404 L'!D9</f>
        <v>13</v>
      </c>
      <c r="O8" s="323">
        <f>'405'!D9</f>
        <v>38</v>
      </c>
      <c r="P8" s="324">
        <f>'405 L'!D9</f>
        <v>12</v>
      </c>
      <c r="Q8" s="324">
        <f>'406 L'!D9</f>
        <v>18</v>
      </c>
      <c r="R8" s="324">
        <f t="shared" ref="R8:R92" si="1">SUM(H8+I8+K8+M8+O8)</f>
        <v>195</v>
      </c>
      <c r="S8" s="324">
        <f t="shared" ref="S8:S92" si="2">SUM(L8+N8+Q8+J8+P8)</f>
        <v>63</v>
      </c>
      <c r="T8" s="47">
        <f t="shared" ref="T8:T92" si="3">R8+S8+G8+D8+E8</f>
        <v>258</v>
      </c>
      <c r="U8" s="325" t="s">
        <v>258</v>
      </c>
      <c r="V8" s="11"/>
      <c r="W8" s="11"/>
      <c r="X8" s="11"/>
      <c r="Y8" s="11"/>
      <c r="Z8" s="11"/>
      <c r="AA8" s="11"/>
      <c r="AB8" s="11"/>
    </row>
    <row r="9">
      <c r="A9" s="326">
        <v>1.0</v>
      </c>
      <c r="B9" s="126" t="s">
        <v>51</v>
      </c>
      <c r="C9" s="127" t="s">
        <v>52</v>
      </c>
      <c r="D9" s="327"/>
      <c r="E9" s="327"/>
      <c r="F9" s="328"/>
      <c r="G9" s="329"/>
      <c r="H9" s="330">
        <f>'401'!D10</f>
        <v>0</v>
      </c>
      <c r="I9" s="331">
        <f>'402'!D10</f>
        <v>0</v>
      </c>
      <c r="J9" s="332">
        <f>'402 L'!D10</f>
        <v>0</v>
      </c>
      <c r="K9" s="333">
        <f>'403'!D10</f>
        <v>0</v>
      </c>
      <c r="L9" s="332">
        <f>'403 L'!D10</f>
        <v>0</v>
      </c>
      <c r="M9" s="333">
        <f>'404'!D10</f>
        <v>0</v>
      </c>
      <c r="N9" s="332">
        <f>'404 L'!D10</f>
        <v>1</v>
      </c>
      <c r="O9" s="333">
        <f>'405'!D10</f>
        <v>0</v>
      </c>
      <c r="P9" s="332">
        <f>'405 L'!D10</f>
        <v>0</v>
      </c>
      <c r="Q9" s="332">
        <f>'406 L'!D10</f>
        <v>1</v>
      </c>
      <c r="R9" s="332">
        <f t="shared" si="1"/>
        <v>0</v>
      </c>
      <c r="S9" s="332">
        <f t="shared" si="2"/>
        <v>2</v>
      </c>
      <c r="T9" s="334">
        <f t="shared" si="3"/>
        <v>2</v>
      </c>
      <c r="U9" s="335">
        <f t="shared" ref="U9:U50" si="4">ROUND(T9/T$8*100,0)</f>
        <v>1</v>
      </c>
      <c r="V9" s="336"/>
      <c r="W9" s="336"/>
      <c r="X9" s="336"/>
      <c r="Y9" s="336"/>
      <c r="Z9" s="336"/>
      <c r="AA9" s="336"/>
      <c r="AB9" s="336"/>
    </row>
    <row r="10" ht="15.75" customHeight="1">
      <c r="A10" s="337">
        <v>2.0</v>
      </c>
      <c r="B10" s="111" t="s">
        <v>53</v>
      </c>
      <c r="C10" s="112" t="s">
        <v>61</v>
      </c>
      <c r="D10" s="327"/>
      <c r="E10" s="327"/>
      <c r="F10" s="328"/>
      <c r="G10" s="329"/>
      <c r="H10" s="330">
        <f>'401'!D11</f>
        <v>29</v>
      </c>
      <c r="I10" s="331">
        <f>'402'!D11</f>
        <v>27</v>
      </c>
      <c r="J10" s="332">
        <f>'402 L'!D11</f>
        <v>5</v>
      </c>
      <c r="K10" s="333">
        <f>'403'!D11</f>
        <v>28</v>
      </c>
      <c r="L10" s="332">
        <f>'403 L'!D11</f>
        <v>11</v>
      </c>
      <c r="M10" s="333">
        <f>'404'!D11</f>
        <v>28</v>
      </c>
      <c r="N10" s="332">
        <f>'404 L'!D11</f>
        <v>9</v>
      </c>
      <c r="O10" s="333">
        <f>'405'!D11</f>
        <v>30</v>
      </c>
      <c r="P10" s="332">
        <f>'405 L'!D11</f>
        <v>9</v>
      </c>
      <c r="Q10" s="332">
        <f>'406 L'!D11</f>
        <v>15</v>
      </c>
      <c r="R10" s="332">
        <f t="shared" si="1"/>
        <v>142</v>
      </c>
      <c r="S10" s="332">
        <f t="shared" si="2"/>
        <v>49</v>
      </c>
      <c r="T10" s="334">
        <f t="shared" si="3"/>
        <v>191</v>
      </c>
      <c r="U10" s="335">
        <f t="shared" si="4"/>
        <v>74</v>
      </c>
      <c r="V10" s="336"/>
      <c r="W10" s="336"/>
      <c r="X10" s="336"/>
      <c r="Y10" s="336"/>
      <c r="Z10" s="336"/>
      <c r="AA10" s="336"/>
      <c r="AB10" s="336"/>
    </row>
    <row r="11">
      <c r="A11" s="326">
        <v>3.0</v>
      </c>
      <c r="B11" s="111" t="s">
        <v>55</v>
      </c>
      <c r="C11" s="112" t="s">
        <v>56</v>
      </c>
      <c r="D11" s="327"/>
      <c r="E11" s="338"/>
      <c r="F11" s="328"/>
      <c r="G11" s="329"/>
      <c r="H11" s="330">
        <f>'401'!D12</f>
        <v>18</v>
      </c>
      <c r="I11" s="331">
        <f>'402'!D12</f>
        <v>15</v>
      </c>
      <c r="J11" s="332">
        <f>'402 L'!D12</f>
        <v>4</v>
      </c>
      <c r="K11" s="333">
        <f>'403'!D12</f>
        <v>17</v>
      </c>
      <c r="L11" s="332">
        <f>'403 L'!D12</f>
        <v>8</v>
      </c>
      <c r="M11" s="333">
        <f>'404'!D12</f>
        <v>18</v>
      </c>
      <c r="N11" s="332">
        <f>'404 L'!D12</f>
        <v>4</v>
      </c>
      <c r="O11" s="333">
        <f>'405'!D12</f>
        <v>20</v>
      </c>
      <c r="P11" s="332">
        <f>'405 L'!D12</f>
        <v>8</v>
      </c>
      <c r="Q11" s="332">
        <f>'406 L'!D12</f>
        <v>9</v>
      </c>
      <c r="R11" s="332">
        <f t="shared" si="1"/>
        <v>88</v>
      </c>
      <c r="S11" s="332">
        <f t="shared" si="2"/>
        <v>33</v>
      </c>
      <c r="T11" s="334">
        <f t="shared" si="3"/>
        <v>121</v>
      </c>
      <c r="U11" s="335">
        <f t="shared" si="4"/>
        <v>47</v>
      </c>
      <c r="V11" s="336"/>
      <c r="W11" s="336"/>
      <c r="X11" s="336"/>
      <c r="Y11" s="336"/>
      <c r="Z11" s="336"/>
      <c r="AA11" s="336"/>
      <c r="AB11" s="336"/>
    </row>
    <row r="12">
      <c r="A12" s="326">
        <v>4.0</v>
      </c>
      <c r="B12" s="161" t="s">
        <v>57</v>
      </c>
      <c r="C12" s="162" t="s">
        <v>58</v>
      </c>
      <c r="D12" s="327"/>
      <c r="E12" s="327"/>
      <c r="F12" s="328"/>
      <c r="G12" s="329"/>
      <c r="H12" s="330">
        <f>'401'!D13</f>
        <v>24</v>
      </c>
      <c r="I12" s="331">
        <f>'402'!D13</f>
        <v>18</v>
      </c>
      <c r="J12" s="332">
        <f>'402 L'!D13</f>
        <v>4</v>
      </c>
      <c r="K12" s="333">
        <f>'403'!D13</f>
        <v>21</v>
      </c>
      <c r="L12" s="332">
        <f>'403 L'!D13</f>
        <v>9</v>
      </c>
      <c r="M12" s="333">
        <f>'404'!D13</f>
        <v>20</v>
      </c>
      <c r="N12" s="332">
        <f>'404 L'!D13</f>
        <v>3</v>
      </c>
      <c r="O12" s="333">
        <f>'405'!D13</f>
        <v>23</v>
      </c>
      <c r="P12" s="332">
        <f>'405 L'!D13</f>
        <v>9</v>
      </c>
      <c r="Q12" s="332">
        <f>'406 L'!D13</f>
        <v>10</v>
      </c>
      <c r="R12" s="332">
        <f t="shared" si="1"/>
        <v>106</v>
      </c>
      <c r="S12" s="332">
        <f t="shared" si="2"/>
        <v>35</v>
      </c>
      <c r="T12" s="334">
        <f t="shared" si="3"/>
        <v>141</v>
      </c>
      <c r="U12" s="335">
        <f t="shared" si="4"/>
        <v>55</v>
      </c>
      <c r="V12" s="336"/>
      <c r="W12" s="336"/>
      <c r="X12" s="336"/>
      <c r="Y12" s="336"/>
      <c r="Z12" s="336"/>
      <c r="AA12" s="336"/>
      <c r="AB12" s="336"/>
    </row>
    <row r="13">
      <c r="A13" s="337">
        <v>5.0</v>
      </c>
      <c r="B13" s="111" t="s">
        <v>59</v>
      </c>
      <c r="C13" s="112" t="s">
        <v>60</v>
      </c>
      <c r="D13" s="327"/>
      <c r="E13" s="338"/>
      <c r="F13" s="328"/>
      <c r="G13" s="329"/>
      <c r="H13" s="330">
        <f>'401'!D14</f>
        <v>26</v>
      </c>
      <c r="I13" s="331">
        <f>'402'!D14</f>
        <v>21</v>
      </c>
      <c r="J13" s="332">
        <f>'402 L'!D14</f>
        <v>5</v>
      </c>
      <c r="K13" s="333">
        <f>'403'!D14</f>
        <v>27</v>
      </c>
      <c r="L13" s="332">
        <f>'403 L'!D14</f>
        <v>9</v>
      </c>
      <c r="M13" s="333">
        <f>'404'!D14</f>
        <v>20</v>
      </c>
      <c r="N13" s="332">
        <f>'404 L'!D14</f>
        <v>6</v>
      </c>
      <c r="O13" s="333">
        <f>'405'!D14</f>
        <v>27</v>
      </c>
      <c r="P13" s="332">
        <f>'405 L'!D14</f>
        <v>8</v>
      </c>
      <c r="Q13" s="332">
        <f>'406 L'!D14</f>
        <v>12</v>
      </c>
      <c r="R13" s="332">
        <f t="shared" si="1"/>
        <v>121</v>
      </c>
      <c r="S13" s="332">
        <f t="shared" si="2"/>
        <v>40</v>
      </c>
      <c r="T13" s="334">
        <f t="shared" si="3"/>
        <v>161</v>
      </c>
      <c r="U13" s="335">
        <f t="shared" si="4"/>
        <v>62</v>
      </c>
      <c r="V13" s="336"/>
      <c r="W13" s="336"/>
      <c r="X13" s="336"/>
      <c r="Y13" s="336"/>
      <c r="Z13" s="336"/>
      <c r="AA13" s="336"/>
      <c r="AB13" s="336"/>
    </row>
    <row r="14">
      <c r="A14" s="326">
        <v>6.0</v>
      </c>
      <c r="B14" s="111" t="s">
        <v>62</v>
      </c>
      <c r="C14" s="112" t="s">
        <v>63</v>
      </c>
      <c r="D14" s="327"/>
      <c r="E14" s="327"/>
      <c r="F14" s="328"/>
      <c r="G14" s="329"/>
      <c r="H14" s="330">
        <f>'401'!D15</f>
        <v>28</v>
      </c>
      <c r="I14" s="331">
        <f>'402'!D15</f>
        <v>20</v>
      </c>
      <c r="J14" s="332">
        <f>'402 L'!D15</f>
        <v>5</v>
      </c>
      <c r="K14" s="333">
        <f>'403'!D15</f>
        <v>29</v>
      </c>
      <c r="L14" s="332">
        <f>'403 L'!D15</f>
        <v>10</v>
      </c>
      <c r="M14" s="333">
        <f>'404'!D15</f>
        <v>20</v>
      </c>
      <c r="N14" s="332">
        <f>'404 L'!D15</f>
        <v>5</v>
      </c>
      <c r="O14" s="333">
        <f>'405'!D15</f>
        <v>23</v>
      </c>
      <c r="P14" s="332">
        <f>'405 L'!D15</f>
        <v>8</v>
      </c>
      <c r="Q14" s="332">
        <f>'406 L'!D15</f>
        <v>14</v>
      </c>
      <c r="R14" s="332">
        <f t="shared" si="1"/>
        <v>120</v>
      </c>
      <c r="S14" s="332">
        <f t="shared" si="2"/>
        <v>42</v>
      </c>
      <c r="T14" s="334">
        <f t="shared" si="3"/>
        <v>162</v>
      </c>
      <c r="U14" s="335">
        <f t="shared" si="4"/>
        <v>63</v>
      </c>
      <c r="V14" s="336"/>
      <c r="W14" s="336"/>
      <c r="X14" s="336"/>
      <c r="Y14" s="336"/>
      <c r="Z14" s="336"/>
      <c r="AA14" s="336"/>
      <c r="AB14" s="336"/>
    </row>
    <row r="15">
      <c r="A15" s="326">
        <v>7.0</v>
      </c>
      <c r="B15" s="111" t="s">
        <v>64</v>
      </c>
      <c r="C15" s="112" t="s">
        <v>65</v>
      </c>
      <c r="D15" s="327"/>
      <c r="E15" s="327"/>
      <c r="F15" s="328"/>
      <c r="G15" s="329"/>
      <c r="H15" s="330">
        <f>'401'!D16</f>
        <v>8</v>
      </c>
      <c r="I15" s="331">
        <f>'402'!D16</f>
        <v>7</v>
      </c>
      <c r="J15" s="332">
        <f>'402 L'!D16</f>
        <v>0</v>
      </c>
      <c r="K15" s="333">
        <f>'403'!D16</f>
        <v>5</v>
      </c>
      <c r="L15" s="332">
        <f>'403 L'!D16</f>
        <v>3</v>
      </c>
      <c r="M15" s="333">
        <f>'404'!D16</f>
        <v>7</v>
      </c>
      <c r="N15" s="332">
        <f>'404 L'!D16</f>
        <v>2</v>
      </c>
      <c r="O15" s="333">
        <f>'405'!D16</f>
        <v>6</v>
      </c>
      <c r="P15" s="332">
        <f>'405 L'!D16</f>
        <v>1</v>
      </c>
      <c r="Q15" s="332">
        <f>'406 L'!D16</f>
        <v>2</v>
      </c>
      <c r="R15" s="332">
        <f t="shared" si="1"/>
        <v>33</v>
      </c>
      <c r="S15" s="332">
        <f t="shared" si="2"/>
        <v>8</v>
      </c>
      <c r="T15" s="334">
        <f t="shared" si="3"/>
        <v>41</v>
      </c>
      <c r="U15" s="335">
        <f t="shared" si="4"/>
        <v>16</v>
      </c>
      <c r="V15" s="336"/>
      <c r="W15" s="336"/>
      <c r="X15" s="336"/>
      <c r="Y15" s="336"/>
      <c r="Z15" s="336"/>
      <c r="AA15" s="336"/>
      <c r="AB15" s="336"/>
    </row>
    <row r="16">
      <c r="A16" s="337">
        <v>8.0</v>
      </c>
      <c r="B16" s="111" t="s">
        <v>66</v>
      </c>
      <c r="C16" s="112" t="s">
        <v>67</v>
      </c>
      <c r="D16" s="327"/>
      <c r="E16" s="327"/>
      <c r="F16" s="328"/>
      <c r="G16" s="329"/>
      <c r="H16" s="330">
        <f>'401'!D17</f>
        <v>17</v>
      </c>
      <c r="I16" s="331">
        <f>'402'!D17</f>
        <v>11</v>
      </c>
      <c r="J16" s="332">
        <f>'402 L'!D17</f>
        <v>2</v>
      </c>
      <c r="K16" s="333">
        <f>'403'!D17</f>
        <v>13</v>
      </c>
      <c r="L16" s="332">
        <f>'403 L'!D17</f>
        <v>5</v>
      </c>
      <c r="M16" s="333">
        <f>'404'!D17</f>
        <v>14</v>
      </c>
      <c r="N16" s="332">
        <f>'404 L'!D17</f>
        <v>7</v>
      </c>
      <c r="O16" s="333">
        <f>'405'!D17</f>
        <v>16</v>
      </c>
      <c r="P16" s="332">
        <f>'405 L'!D17</f>
        <v>6</v>
      </c>
      <c r="Q16" s="332">
        <f>'406 L'!D17</f>
        <v>9</v>
      </c>
      <c r="R16" s="332">
        <f t="shared" si="1"/>
        <v>71</v>
      </c>
      <c r="S16" s="332">
        <f t="shared" si="2"/>
        <v>29</v>
      </c>
      <c r="T16" s="334">
        <f t="shared" si="3"/>
        <v>100</v>
      </c>
      <c r="U16" s="335">
        <f t="shared" si="4"/>
        <v>39</v>
      </c>
      <c r="V16" s="336"/>
      <c r="W16" s="336"/>
      <c r="X16" s="336"/>
      <c r="Y16" s="336"/>
      <c r="Z16" s="336"/>
      <c r="AA16" s="336"/>
      <c r="AB16" s="336"/>
    </row>
    <row r="17">
      <c r="A17" s="326">
        <v>9.0</v>
      </c>
      <c r="B17" s="111" t="s">
        <v>68</v>
      </c>
      <c r="C17" s="112" t="s">
        <v>69</v>
      </c>
      <c r="D17" s="327"/>
      <c r="E17" s="327"/>
      <c r="F17" s="328"/>
      <c r="G17" s="329"/>
      <c r="H17" s="330">
        <f>'401'!D18</f>
        <v>20</v>
      </c>
      <c r="I17" s="331">
        <f>'402'!D18</f>
        <v>14</v>
      </c>
      <c r="J17" s="332">
        <f>'402 L'!D18</f>
        <v>5</v>
      </c>
      <c r="K17" s="333">
        <f>'403'!D18</f>
        <v>16</v>
      </c>
      <c r="L17" s="332">
        <f>'403 L'!D18</f>
        <v>7</v>
      </c>
      <c r="M17" s="333">
        <f>'404'!D18</f>
        <v>14</v>
      </c>
      <c r="N17" s="332">
        <f>'404 L'!D18</f>
        <v>1</v>
      </c>
      <c r="O17" s="333">
        <f>'405'!D18</f>
        <v>15</v>
      </c>
      <c r="P17" s="332">
        <f>'405 L'!D18</f>
        <v>4</v>
      </c>
      <c r="Q17" s="332">
        <f>'406 L'!D18</f>
        <v>10</v>
      </c>
      <c r="R17" s="332">
        <f t="shared" si="1"/>
        <v>79</v>
      </c>
      <c r="S17" s="332">
        <f t="shared" si="2"/>
        <v>27</v>
      </c>
      <c r="T17" s="334">
        <f t="shared" si="3"/>
        <v>106</v>
      </c>
      <c r="U17" s="335">
        <f t="shared" si="4"/>
        <v>41</v>
      </c>
      <c r="V17" s="336"/>
      <c r="W17" s="336"/>
      <c r="X17" s="336"/>
      <c r="Y17" s="336"/>
      <c r="Z17" s="336"/>
      <c r="AA17" s="336"/>
      <c r="AB17" s="336"/>
    </row>
    <row r="18">
      <c r="A18" s="326">
        <v>10.0</v>
      </c>
      <c r="B18" s="111" t="s">
        <v>70</v>
      </c>
      <c r="C18" s="112" t="s">
        <v>71</v>
      </c>
      <c r="D18" s="327"/>
      <c r="E18" s="327"/>
      <c r="F18" s="328"/>
      <c r="G18" s="329"/>
      <c r="H18" s="330">
        <f>'401'!D19</f>
        <v>26</v>
      </c>
      <c r="I18" s="331">
        <f>'402'!D19</f>
        <v>22</v>
      </c>
      <c r="J18" s="332">
        <f>'402 L'!D19</f>
        <v>3</v>
      </c>
      <c r="K18" s="333">
        <f>'403'!D19</f>
        <v>19</v>
      </c>
      <c r="L18" s="332">
        <f>'403 L'!D19</f>
        <v>8</v>
      </c>
      <c r="M18" s="333">
        <f>'404'!D19</f>
        <v>21</v>
      </c>
      <c r="N18" s="332">
        <f>'404 L'!D19</f>
        <v>6</v>
      </c>
      <c r="O18" s="333">
        <f>'405'!D19</f>
        <v>29</v>
      </c>
      <c r="P18" s="332">
        <f>'405 L'!D19</f>
        <v>11</v>
      </c>
      <c r="Q18" s="332">
        <f>'406 L'!D19</f>
        <v>8</v>
      </c>
      <c r="R18" s="332">
        <f t="shared" si="1"/>
        <v>117</v>
      </c>
      <c r="S18" s="332">
        <f t="shared" si="2"/>
        <v>36</v>
      </c>
      <c r="T18" s="334">
        <f t="shared" si="3"/>
        <v>153</v>
      </c>
      <c r="U18" s="335">
        <f t="shared" si="4"/>
        <v>59</v>
      </c>
      <c r="V18" s="336"/>
      <c r="W18" s="336"/>
      <c r="X18" s="336"/>
      <c r="Y18" s="336"/>
      <c r="Z18" s="336"/>
      <c r="AA18" s="336"/>
      <c r="AB18" s="336"/>
    </row>
    <row r="19">
      <c r="A19" s="337">
        <v>11.0</v>
      </c>
      <c r="B19" s="111" t="s">
        <v>72</v>
      </c>
      <c r="C19" s="112" t="s">
        <v>73</v>
      </c>
      <c r="D19" s="327"/>
      <c r="E19" s="327"/>
      <c r="F19" s="328"/>
      <c r="G19" s="329"/>
      <c r="H19" s="330">
        <f>'401'!D20</f>
        <v>35</v>
      </c>
      <c r="I19" s="331">
        <f>'402'!D20</f>
        <v>28</v>
      </c>
      <c r="J19" s="332">
        <f>'402 L'!D20</f>
        <v>5</v>
      </c>
      <c r="K19" s="333">
        <f>'403'!D20</f>
        <v>25</v>
      </c>
      <c r="L19" s="332">
        <f>'403 L'!D20</f>
        <v>10</v>
      </c>
      <c r="M19" s="333">
        <f>'404'!D20</f>
        <v>25</v>
      </c>
      <c r="N19" s="332">
        <f>'404 L'!D20</f>
        <v>8</v>
      </c>
      <c r="O19" s="333">
        <f>'405'!D20</f>
        <v>29</v>
      </c>
      <c r="P19" s="332">
        <f>'405 L'!D20</f>
        <v>8</v>
      </c>
      <c r="Q19" s="332">
        <f>'406 L'!D20</f>
        <v>15</v>
      </c>
      <c r="R19" s="332">
        <f t="shared" si="1"/>
        <v>142</v>
      </c>
      <c r="S19" s="332">
        <f t="shared" si="2"/>
        <v>46</v>
      </c>
      <c r="T19" s="334">
        <f t="shared" si="3"/>
        <v>188</v>
      </c>
      <c r="U19" s="335">
        <f t="shared" si="4"/>
        <v>73</v>
      </c>
      <c r="V19" s="336"/>
      <c r="W19" s="336"/>
      <c r="X19" s="336"/>
      <c r="Y19" s="336"/>
      <c r="Z19" s="336"/>
      <c r="AA19" s="336"/>
      <c r="AB19" s="336"/>
    </row>
    <row r="20" ht="15.75" customHeight="1">
      <c r="A20" s="326">
        <v>12.0</v>
      </c>
      <c r="B20" s="111" t="s">
        <v>74</v>
      </c>
      <c r="C20" s="112" t="s">
        <v>75</v>
      </c>
      <c r="D20" s="327"/>
      <c r="E20" s="327"/>
      <c r="F20" s="328"/>
      <c r="G20" s="329"/>
      <c r="H20" s="330">
        <f>'401'!D21</f>
        <v>19</v>
      </c>
      <c r="I20" s="331">
        <f>'402'!D21</f>
        <v>16</v>
      </c>
      <c r="J20" s="332">
        <f>'402 L'!D21</f>
        <v>2</v>
      </c>
      <c r="K20" s="333">
        <f>'403'!D21</f>
        <v>23</v>
      </c>
      <c r="L20" s="332">
        <f>'403 L'!D21</f>
        <v>7</v>
      </c>
      <c r="M20" s="333">
        <f>'404'!D21</f>
        <v>16</v>
      </c>
      <c r="N20" s="332">
        <f>'404 L'!D21</f>
        <v>6</v>
      </c>
      <c r="O20" s="333">
        <f>'405'!D21</f>
        <v>21</v>
      </c>
      <c r="P20" s="332">
        <f>'405 L'!D21</f>
        <v>4</v>
      </c>
      <c r="Q20" s="332">
        <f>'406 L'!D21</f>
        <v>8</v>
      </c>
      <c r="R20" s="332">
        <f t="shared" si="1"/>
        <v>95</v>
      </c>
      <c r="S20" s="332">
        <f t="shared" si="2"/>
        <v>27</v>
      </c>
      <c r="T20" s="334">
        <f t="shared" si="3"/>
        <v>122</v>
      </c>
      <c r="U20" s="335">
        <f t="shared" si="4"/>
        <v>47</v>
      </c>
      <c r="V20" s="336"/>
      <c r="W20" s="336"/>
      <c r="X20" s="336"/>
      <c r="Y20" s="336"/>
      <c r="Z20" s="336"/>
      <c r="AA20" s="336"/>
      <c r="AB20" s="336"/>
    </row>
    <row r="21" ht="15.75" customHeight="1">
      <c r="A21" s="326">
        <v>13.0</v>
      </c>
      <c r="B21" s="111" t="s">
        <v>76</v>
      </c>
      <c r="C21" s="112" t="s">
        <v>77</v>
      </c>
      <c r="D21" s="327"/>
      <c r="E21" s="327"/>
      <c r="F21" s="328"/>
      <c r="G21" s="329"/>
      <c r="H21" s="330">
        <f>'401'!D22</f>
        <v>22</v>
      </c>
      <c r="I21" s="331">
        <f>'402'!D22</f>
        <v>18</v>
      </c>
      <c r="J21" s="332">
        <f>'402 L'!D22</f>
        <v>5</v>
      </c>
      <c r="K21" s="333">
        <f>'403'!D22</f>
        <v>18</v>
      </c>
      <c r="L21" s="332">
        <f>'403 L'!D22</f>
        <v>7</v>
      </c>
      <c r="M21" s="333">
        <f>'404'!D22</f>
        <v>16</v>
      </c>
      <c r="N21" s="332">
        <f>'404 L'!D22</f>
        <v>1</v>
      </c>
      <c r="O21" s="333">
        <f>'405'!D22</f>
        <v>17</v>
      </c>
      <c r="P21" s="332">
        <f>'405 L'!D22</f>
        <v>5</v>
      </c>
      <c r="Q21" s="332">
        <f>'406 L'!D22</f>
        <v>11</v>
      </c>
      <c r="R21" s="332">
        <f t="shared" si="1"/>
        <v>91</v>
      </c>
      <c r="S21" s="332">
        <f t="shared" si="2"/>
        <v>29</v>
      </c>
      <c r="T21" s="334">
        <f t="shared" si="3"/>
        <v>120</v>
      </c>
      <c r="U21" s="335">
        <f t="shared" si="4"/>
        <v>47</v>
      </c>
      <c r="V21" s="336"/>
      <c r="W21" s="336"/>
      <c r="X21" s="336"/>
      <c r="Y21" s="336"/>
      <c r="Z21" s="336"/>
      <c r="AA21" s="336"/>
      <c r="AB21" s="336"/>
    </row>
    <row r="22" ht="15.75" customHeight="1">
      <c r="A22" s="337">
        <v>14.0</v>
      </c>
      <c r="B22" s="111" t="s">
        <v>78</v>
      </c>
      <c r="C22" s="112" t="s">
        <v>79</v>
      </c>
      <c r="D22" s="327"/>
      <c r="E22" s="327"/>
      <c r="F22" s="328"/>
      <c r="G22" s="329"/>
      <c r="H22" s="330">
        <f>'401'!D23</f>
        <v>15</v>
      </c>
      <c r="I22" s="331">
        <f>'402'!D23</f>
        <v>10</v>
      </c>
      <c r="J22" s="332">
        <f>'402 L'!D23</f>
        <v>5</v>
      </c>
      <c r="K22" s="333">
        <f>'403'!D23</f>
        <v>20</v>
      </c>
      <c r="L22" s="332">
        <f>'403 L'!D23</f>
        <v>7</v>
      </c>
      <c r="M22" s="333">
        <f>'404'!D23</f>
        <v>12</v>
      </c>
      <c r="N22" s="332">
        <f>'404 L'!D23</f>
        <v>5</v>
      </c>
      <c r="O22" s="333">
        <f>'405'!D23</f>
        <v>15</v>
      </c>
      <c r="P22" s="332">
        <f>'405 L'!D23</f>
        <v>6</v>
      </c>
      <c r="Q22" s="332">
        <f>'406 L'!D23</f>
        <v>4</v>
      </c>
      <c r="R22" s="332">
        <f t="shared" si="1"/>
        <v>72</v>
      </c>
      <c r="S22" s="332">
        <f t="shared" si="2"/>
        <v>27</v>
      </c>
      <c r="T22" s="334">
        <f t="shared" si="3"/>
        <v>99</v>
      </c>
      <c r="U22" s="335">
        <f t="shared" si="4"/>
        <v>38</v>
      </c>
      <c r="V22" s="336"/>
      <c r="W22" s="336"/>
      <c r="X22" s="336"/>
      <c r="Y22" s="336"/>
      <c r="Z22" s="336"/>
      <c r="AA22" s="336"/>
      <c r="AB22" s="336"/>
    </row>
    <row r="23" ht="15.75" customHeight="1">
      <c r="A23" s="326">
        <v>15.0</v>
      </c>
      <c r="B23" s="111" t="s">
        <v>80</v>
      </c>
      <c r="C23" s="112" t="s">
        <v>81</v>
      </c>
      <c r="D23" s="327"/>
      <c r="E23" s="327"/>
      <c r="F23" s="328"/>
      <c r="G23" s="329"/>
      <c r="H23" s="330">
        <f>'401'!D24</f>
        <v>17</v>
      </c>
      <c r="I23" s="331">
        <f>'402'!D24</f>
        <v>12</v>
      </c>
      <c r="J23" s="332">
        <f>'402 L'!D24</f>
        <v>2</v>
      </c>
      <c r="K23" s="333">
        <f>'403'!D24</f>
        <v>19</v>
      </c>
      <c r="L23" s="332">
        <f>'403 L'!D24</f>
        <v>8</v>
      </c>
      <c r="M23" s="333">
        <f>'404'!D24</f>
        <v>12</v>
      </c>
      <c r="N23" s="332">
        <f>'404 L'!D24</f>
        <v>3</v>
      </c>
      <c r="O23" s="333">
        <f>'405'!D24</f>
        <v>19</v>
      </c>
      <c r="P23" s="332">
        <f>'405 L'!D24</f>
        <v>3</v>
      </c>
      <c r="Q23" s="332">
        <f>'406 L'!D24</f>
        <v>8</v>
      </c>
      <c r="R23" s="332">
        <f t="shared" si="1"/>
        <v>79</v>
      </c>
      <c r="S23" s="332">
        <f t="shared" si="2"/>
        <v>24</v>
      </c>
      <c r="T23" s="334">
        <f t="shared" si="3"/>
        <v>103</v>
      </c>
      <c r="U23" s="335">
        <f t="shared" si="4"/>
        <v>40</v>
      </c>
      <c r="V23" s="336"/>
      <c r="W23" s="336"/>
      <c r="X23" s="336"/>
      <c r="Y23" s="336"/>
      <c r="Z23" s="336"/>
      <c r="AA23" s="336"/>
      <c r="AB23" s="336"/>
    </row>
    <row r="24" ht="15.75" customHeight="1">
      <c r="A24" s="326">
        <v>16.0</v>
      </c>
      <c r="B24" s="111" t="s">
        <v>82</v>
      </c>
      <c r="C24" s="112" t="s">
        <v>83</v>
      </c>
      <c r="D24" s="327"/>
      <c r="E24" s="327"/>
      <c r="F24" s="328"/>
      <c r="G24" s="329"/>
      <c r="H24" s="330">
        <f>'401'!D25</f>
        <v>21</v>
      </c>
      <c r="I24" s="331">
        <f>'402'!D25</f>
        <v>14</v>
      </c>
      <c r="J24" s="332">
        <f>'402 L'!D25</f>
        <v>4</v>
      </c>
      <c r="K24" s="333">
        <f>'403'!D25</f>
        <v>17</v>
      </c>
      <c r="L24" s="332">
        <f>'403 L'!D25</f>
        <v>6</v>
      </c>
      <c r="M24" s="333">
        <f>'404'!D25</f>
        <v>16</v>
      </c>
      <c r="N24" s="332">
        <f>'404 L'!D25</f>
        <v>2</v>
      </c>
      <c r="O24" s="333">
        <f>'405'!D25</f>
        <v>14</v>
      </c>
      <c r="P24" s="332">
        <f>'405 L'!D25</f>
        <v>4</v>
      </c>
      <c r="Q24" s="332">
        <f>'406 L'!D25</f>
        <v>9</v>
      </c>
      <c r="R24" s="332">
        <f t="shared" si="1"/>
        <v>82</v>
      </c>
      <c r="S24" s="332">
        <f t="shared" si="2"/>
        <v>25</v>
      </c>
      <c r="T24" s="334">
        <f t="shared" si="3"/>
        <v>107</v>
      </c>
      <c r="U24" s="335">
        <f t="shared" si="4"/>
        <v>41</v>
      </c>
      <c r="V24" s="336"/>
      <c r="W24" s="336"/>
      <c r="X24" s="336"/>
      <c r="Y24" s="336"/>
      <c r="Z24" s="336"/>
      <c r="AA24" s="336"/>
      <c r="AB24" s="336"/>
    </row>
    <row r="25" ht="15.75" customHeight="1">
      <c r="A25" s="337">
        <v>17.0</v>
      </c>
      <c r="B25" s="111" t="s">
        <v>84</v>
      </c>
      <c r="C25" s="112" t="s">
        <v>85</v>
      </c>
      <c r="D25" s="327"/>
      <c r="E25" s="338"/>
      <c r="F25" s="328"/>
      <c r="G25" s="329"/>
      <c r="H25" s="330">
        <f>'401'!D26</f>
        <v>22</v>
      </c>
      <c r="I25" s="331">
        <f>'402'!D26</f>
        <v>23</v>
      </c>
      <c r="J25" s="332">
        <f>'402 L'!D26</f>
        <v>3</v>
      </c>
      <c r="K25" s="333">
        <f>'403'!D26</f>
        <v>25</v>
      </c>
      <c r="L25" s="332">
        <f>'403 L'!D26</f>
        <v>8</v>
      </c>
      <c r="M25" s="333">
        <f>'404'!D26</f>
        <v>21</v>
      </c>
      <c r="N25" s="332">
        <f>'404 L'!D26</f>
        <v>6</v>
      </c>
      <c r="O25" s="333">
        <f>'405'!D26</f>
        <v>25</v>
      </c>
      <c r="P25" s="332">
        <f>'405 L'!D26</f>
        <v>10</v>
      </c>
      <c r="Q25" s="332">
        <f>'406 L'!D26</f>
        <v>10</v>
      </c>
      <c r="R25" s="332">
        <f t="shared" si="1"/>
        <v>116</v>
      </c>
      <c r="S25" s="332">
        <f t="shared" si="2"/>
        <v>37</v>
      </c>
      <c r="T25" s="334">
        <f t="shared" si="3"/>
        <v>153</v>
      </c>
      <c r="U25" s="335">
        <f t="shared" si="4"/>
        <v>59</v>
      </c>
      <c r="V25" s="336"/>
      <c r="W25" s="336"/>
      <c r="X25" s="336"/>
      <c r="Y25" s="336"/>
      <c r="Z25" s="336"/>
      <c r="AA25" s="336"/>
      <c r="AB25" s="336"/>
    </row>
    <row r="26" ht="15.75" customHeight="1">
      <c r="A26" s="326">
        <v>18.0</v>
      </c>
      <c r="B26" s="111" t="s">
        <v>86</v>
      </c>
      <c r="C26" s="112" t="s">
        <v>87</v>
      </c>
      <c r="D26" s="327"/>
      <c r="E26" s="327"/>
      <c r="F26" s="328"/>
      <c r="G26" s="329"/>
      <c r="H26" s="330">
        <f>'401'!D27</f>
        <v>20</v>
      </c>
      <c r="I26" s="331">
        <f>'402'!D27</f>
        <v>16</v>
      </c>
      <c r="J26" s="332">
        <f>'402 L'!D27</f>
        <v>1</v>
      </c>
      <c r="K26" s="333">
        <f>'403'!D27</f>
        <v>10</v>
      </c>
      <c r="L26" s="332">
        <f>'403 L'!D27</f>
        <v>5</v>
      </c>
      <c r="M26" s="333">
        <f>'404'!D27</f>
        <v>16</v>
      </c>
      <c r="N26" s="332">
        <f>'404 L'!D27</f>
        <v>5</v>
      </c>
      <c r="O26" s="333">
        <f>'405'!D27</f>
        <v>17</v>
      </c>
      <c r="P26" s="332">
        <f>'405 L'!D27</f>
        <v>3</v>
      </c>
      <c r="Q26" s="332">
        <f>'406 L'!D27</f>
        <v>8</v>
      </c>
      <c r="R26" s="332">
        <f t="shared" si="1"/>
        <v>79</v>
      </c>
      <c r="S26" s="332">
        <f t="shared" si="2"/>
        <v>22</v>
      </c>
      <c r="T26" s="334">
        <f t="shared" si="3"/>
        <v>101</v>
      </c>
      <c r="U26" s="335">
        <f t="shared" si="4"/>
        <v>39</v>
      </c>
      <c r="V26" s="336"/>
      <c r="W26" s="336"/>
      <c r="X26" s="336"/>
      <c r="Y26" s="336"/>
      <c r="Z26" s="336"/>
      <c r="AA26" s="336"/>
      <c r="AB26" s="336"/>
    </row>
    <row r="27" ht="15.75" customHeight="1">
      <c r="A27" s="326">
        <v>19.0</v>
      </c>
      <c r="B27" s="111" t="s">
        <v>88</v>
      </c>
      <c r="C27" s="112" t="s">
        <v>89</v>
      </c>
      <c r="D27" s="327"/>
      <c r="E27" s="327"/>
      <c r="F27" s="328"/>
      <c r="G27" s="329"/>
      <c r="H27" s="330">
        <f>'401'!D28</f>
        <v>25</v>
      </c>
      <c r="I27" s="331">
        <f>'402'!D28</f>
        <v>17</v>
      </c>
      <c r="J27" s="332">
        <f>'402 L'!D28</f>
        <v>5</v>
      </c>
      <c r="K27" s="333">
        <f>'403'!D28</f>
        <v>24</v>
      </c>
      <c r="L27" s="332">
        <f>'403 L'!D28</f>
        <v>9</v>
      </c>
      <c r="M27" s="333">
        <f>'404'!D28</f>
        <v>22</v>
      </c>
      <c r="N27" s="332">
        <f>'404 L'!D28</f>
        <v>9</v>
      </c>
      <c r="O27" s="333">
        <f>'405'!D28</f>
        <v>22</v>
      </c>
      <c r="P27" s="332">
        <f>'405 L'!D28</f>
        <v>9</v>
      </c>
      <c r="Q27" s="332">
        <f>'406 L'!D28</f>
        <v>4</v>
      </c>
      <c r="R27" s="332">
        <f t="shared" si="1"/>
        <v>110</v>
      </c>
      <c r="S27" s="332">
        <f t="shared" si="2"/>
        <v>36</v>
      </c>
      <c r="T27" s="334">
        <f t="shared" si="3"/>
        <v>146</v>
      </c>
      <c r="U27" s="335">
        <f t="shared" si="4"/>
        <v>57</v>
      </c>
      <c r="V27" s="336"/>
      <c r="W27" s="336"/>
      <c r="X27" s="336"/>
      <c r="Y27" s="336"/>
      <c r="Z27" s="336"/>
      <c r="AA27" s="336"/>
      <c r="AB27" s="336"/>
    </row>
    <row r="28" ht="15.75" customHeight="1">
      <c r="A28" s="337">
        <v>20.0</v>
      </c>
      <c r="B28" s="111" t="s">
        <v>90</v>
      </c>
      <c r="C28" s="112" t="s">
        <v>91</v>
      </c>
      <c r="D28" s="327"/>
      <c r="E28" s="327"/>
      <c r="F28" s="328"/>
      <c r="G28" s="329"/>
      <c r="H28" s="330">
        <f>'401'!D29</f>
        <v>22</v>
      </c>
      <c r="I28" s="331">
        <f>'402'!D29</f>
        <v>16</v>
      </c>
      <c r="J28" s="332">
        <f>'402 L'!D29</f>
        <v>4</v>
      </c>
      <c r="K28" s="333">
        <f>'403'!D29</f>
        <v>18</v>
      </c>
      <c r="L28" s="332">
        <f>'403 L'!D29</f>
        <v>6</v>
      </c>
      <c r="M28" s="333">
        <f>'404'!D29</f>
        <v>14</v>
      </c>
      <c r="N28" s="332">
        <f>'404 L'!D29</f>
        <v>1</v>
      </c>
      <c r="O28" s="333">
        <f>'405'!D29</f>
        <v>14</v>
      </c>
      <c r="P28" s="332">
        <f>'405 L'!D29</f>
        <v>7</v>
      </c>
      <c r="Q28" s="332">
        <f>'406 L'!D29</f>
        <v>10</v>
      </c>
      <c r="R28" s="332">
        <f t="shared" si="1"/>
        <v>84</v>
      </c>
      <c r="S28" s="332">
        <f t="shared" si="2"/>
        <v>28</v>
      </c>
      <c r="T28" s="334">
        <f t="shared" si="3"/>
        <v>112</v>
      </c>
      <c r="U28" s="335">
        <f t="shared" si="4"/>
        <v>43</v>
      </c>
      <c r="V28" s="336"/>
      <c r="W28" s="336"/>
      <c r="X28" s="336"/>
      <c r="Y28" s="336"/>
      <c r="Z28" s="336"/>
      <c r="AA28" s="336"/>
      <c r="AB28" s="336"/>
    </row>
    <row r="29" ht="15.75" customHeight="1">
      <c r="A29" s="326">
        <v>21.0</v>
      </c>
      <c r="B29" s="111" t="s">
        <v>92</v>
      </c>
      <c r="C29" s="112" t="s">
        <v>93</v>
      </c>
      <c r="D29" s="327"/>
      <c r="E29" s="327"/>
      <c r="F29" s="328"/>
      <c r="G29" s="329"/>
      <c r="H29" s="330">
        <f>'401'!D30</f>
        <v>0</v>
      </c>
      <c r="I29" s="331">
        <f>'402'!D30</f>
        <v>1</v>
      </c>
      <c r="J29" s="332">
        <f>'402 L'!D30</f>
        <v>0</v>
      </c>
      <c r="K29" s="333">
        <f>'403'!D30</f>
        <v>0</v>
      </c>
      <c r="L29" s="332">
        <f>'403 L'!D30</f>
        <v>0</v>
      </c>
      <c r="M29" s="333">
        <f>'404'!D30</f>
        <v>1</v>
      </c>
      <c r="N29" s="332">
        <f>'404 L'!D30</f>
        <v>0</v>
      </c>
      <c r="O29" s="333">
        <f>'405'!D30</f>
        <v>1</v>
      </c>
      <c r="P29" s="332">
        <f>'405 L'!D30</f>
        <v>0</v>
      </c>
      <c r="Q29" s="332">
        <f>'406 L'!D30</f>
        <v>0</v>
      </c>
      <c r="R29" s="332">
        <f t="shared" si="1"/>
        <v>3</v>
      </c>
      <c r="S29" s="332">
        <f t="shared" si="2"/>
        <v>0</v>
      </c>
      <c r="T29" s="334">
        <f t="shared" si="3"/>
        <v>3</v>
      </c>
      <c r="U29" s="335">
        <f t="shared" si="4"/>
        <v>1</v>
      </c>
      <c r="V29" s="336"/>
      <c r="W29" s="336"/>
      <c r="X29" s="336"/>
      <c r="Y29" s="336"/>
      <c r="Z29" s="336"/>
      <c r="AA29" s="336"/>
      <c r="AB29" s="336"/>
    </row>
    <row r="30" ht="15.75" customHeight="1">
      <c r="A30" s="326">
        <v>22.0</v>
      </c>
      <c r="B30" s="111" t="s">
        <v>94</v>
      </c>
      <c r="C30" s="112" t="s">
        <v>95</v>
      </c>
      <c r="D30" s="327"/>
      <c r="E30" s="327"/>
      <c r="F30" s="328"/>
      <c r="G30" s="329"/>
      <c r="H30" s="330">
        <f>'401'!D31</f>
        <v>18</v>
      </c>
      <c r="I30" s="331">
        <f>'402'!D31</f>
        <v>15</v>
      </c>
      <c r="J30" s="332">
        <f>'402 L'!D31</f>
        <v>5</v>
      </c>
      <c r="K30" s="333">
        <f>'403'!D31</f>
        <v>16</v>
      </c>
      <c r="L30" s="332">
        <f>'403 L'!D31</f>
        <v>5</v>
      </c>
      <c r="M30" s="333">
        <f>'404'!D31</f>
        <v>14</v>
      </c>
      <c r="N30" s="332">
        <f>'404 L'!D31</f>
        <v>2</v>
      </c>
      <c r="O30" s="333">
        <f>'405'!D31</f>
        <v>16</v>
      </c>
      <c r="P30" s="332">
        <f>'405 L'!D31</f>
        <v>6</v>
      </c>
      <c r="Q30" s="332">
        <f>'406 L'!D31</f>
        <v>8</v>
      </c>
      <c r="R30" s="332">
        <f t="shared" si="1"/>
        <v>79</v>
      </c>
      <c r="S30" s="332">
        <f t="shared" si="2"/>
        <v>26</v>
      </c>
      <c r="T30" s="334">
        <f t="shared" si="3"/>
        <v>105</v>
      </c>
      <c r="U30" s="335">
        <f t="shared" si="4"/>
        <v>41</v>
      </c>
      <c r="V30" s="336"/>
      <c r="W30" s="336"/>
      <c r="X30" s="336"/>
      <c r="Y30" s="336"/>
      <c r="Z30" s="336"/>
      <c r="AA30" s="336"/>
      <c r="AB30" s="336"/>
    </row>
    <row r="31" ht="15.75" customHeight="1">
      <c r="A31" s="337">
        <v>23.0</v>
      </c>
      <c r="B31" s="111" t="s">
        <v>96</v>
      </c>
      <c r="C31" s="112" t="s">
        <v>97</v>
      </c>
      <c r="D31" s="327"/>
      <c r="E31" s="327"/>
      <c r="F31" s="328"/>
      <c r="G31" s="329"/>
      <c r="H31" s="330">
        <f>'401'!D32</f>
        <v>23</v>
      </c>
      <c r="I31" s="331">
        <f>'402'!D32</f>
        <v>19</v>
      </c>
      <c r="J31" s="332">
        <f>'402 L'!D32</f>
        <v>2</v>
      </c>
      <c r="K31" s="333">
        <f>'403'!D32</f>
        <v>17</v>
      </c>
      <c r="L31" s="332">
        <f>'403 L'!D32</f>
        <v>9</v>
      </c>
      <c r="M31" s="333">
        <f>'404'!D32</f>
        <v>20</v>
      </c>
      <c r="N31" s="332">
        <f>'404 L'!D32</f>
        <v>5</v>
      </c>
      <c r="O31" s="333">
        <f>'405'!D32</f>
        <v>17</v>
      </c>
      <c r="P31" s="332">
        <f>'405 L'!D32</f>
        <v>4</v>
      </c>
      <c r="Q31" s="332">
        <f>'406 L'!D32</f>
        <v>9</v>
      </c>
      <c r="R31" s="332">
        <f t="shared" si="1"/>
        <v>96</v>
      </c>
      <c r="S31" s="332">
        <f t="shared" si="2"/>
        <v>29</v>
      </c>
      <c r="T31" s="334">
        <f t="shared" si="3"/>
        <v>125</v>
      </c>
      <c r="U31" s="335">
        <f t="shared" si="4"/>
        <v>48</v>
      </c>
      <c r="V31" s="336"/>
      <c r="W31" s="336"/>
      <c r="X31" s="336"/>
      <c r="Y31" s="336"/>
      <c r="Z31" s="336"/>
      <c r="AA31" s="336"/>
      <c r="AB31" s="336"/>
    </row>
    <row r="32" ht="15.75" customHeight="1">
      <c r="A32" s="326">
        <v>24.0</v>
      </c>
      <c r="B32" s="111" t="s">
        <v>98</v>
      </c>
      <c r="C32" s="112" t="s">
        <v>99</v>
      </c>
      <c r="D32" s="327"/>
      <c r="E32" s="338"/>
      <c r="F32" s="328"/>
      <c r="G32" s="329"/>
      <c r="H32" s="330">
        <f>'401'!D33</f>
        <v>20</v>
      </c>
      <c r="I32" s="331">
        <f>'402'!D33</f>
        <v>16</v>
      </c>
      <c r="J32" s="332">
        <f>'402 L'!D33</f>
        <v>4</v>
      </c>
      <c r="K32" s="333">
        <f>'403'!D33</f>
        <v>18</v>
      </c>
      <c r="L32" s="332">
        <f>'403 L'!D33</f>
        <v>8</v>
      </c>
      <c r="M32" s="333">
        <f>'404'!D33</f>
        <v>18</v>
      </c>
      <c r="N32" s="332">
        <f>'404 L'!D33</f>
        <v>3</v>
      </c>
      <c r="O32" s="333">
        <f>'405'!D33</f>
        <v>20</v>
      </c>
      <c r="P32" s="332">
        <f>'405 L'!D33</f>
        <v>8</v>
      </c>
      <c r="Q32" s="332">
        <f>'406 L'!D33</f>
        <v>9</v>
      </c>
      <c r="R32" s="332">
        <f t="shared" si="1"/>
        <v>92</v>
      </c>
      <c r="S32" s="332">
        <f t="shared" si="2"/>
        <v>32</v>
      </c>
      <c r="T32" s="334">
        <f t="shared" si="3"/>
        <v>124</v>
      </c>
      <c r="U32" s="335">
        <f t="shared" si="4"/>
        <v>48</v>
      </c>
      <c r="V32" s="336"/>
      <c r="W32" s="336"/>
      <c r="X32" s="336"/>
      <c r="Y32" s="336"/>
      <c r="Z32" s="336"/>
      <c r="AA32" s="336"/>
      <c r="AB32" s="336"/>
    </row>
    <row r="33" ht="15.75" customHeight="1">
      <c r="A33" s="326">
        <v>25.0</v>
      </c>
      <c r="B33" s="111" t="s">
        <v>100</v>
      </c>
      <c r="C33" s="112" t="s">
        <v>101</v>
      </c>
      <c r="D33" s="327"/>
      <c r="E33" s="338"/>
      <c r="F33" s="328"/>
      <c r="G33" s="329"/>
      <c r="H33" s="330">
        <f>'401'!D34</f>
        <v>30</v>
      </c>
      <c r="I33" s="331">
        <f>'402'!D34</f>
        <v>23</v>
      </c>
      <c r="J33" s="332">
        <f>'402 L'!D34</f>
        <v>6</v>
      </c>
      <c r="K33" s="333">
        <f>'403'!D34</f>
        <v>24</v>
      </c>
      <c r="L33" s="332">
        <f>'403 L'!D34</f>
        <v>11</v>
      </c>
      <c r="M33" s="333">
        <f>'404'!D34</f>
        <v>23</v>
      </c>
      <c r="N33" s="332">
        <f>'404 L'!D34</f>
        <v>2</v>
      </c>
      <c r="O33" s="333">
        <f>'405'!D34</f>
        <v>26</v>
      </c>
      <c r="P33" s="332">
        <f>'405 L'!D34</f>
        <v>10</v>
      </c>
      <c r="Q33" s="332">
        <f>'406 L'!D34</f>
        <v>13</v>
      </c>
      <c r="R33" s="332">
        <f t="shared" si="1"/>
        <v>126</v>
      </c>
      <c r="S33" s="332">
        <f t="shared" si="2"/>
        <v>42</v>
      </c>
      <c r="T33" s="334">
        <f t="shared" si="3"/>
        <v>168</v>
      </c>
      <c r="U33" s="335">
        <f t="shared" si="4"/>
        <v>65</v>
      </c>
      <c r="V33" s="336"/>
      <c r="W33" s="336"/>
      <c r="X33" s="336"/>
      <c r="Y33" s="336"/>
      <c r="Z33" s="336"/>
      <c r="AA33" s="336"/>
      <c r="AB33" s="336"/>
    </row>
    <row r="34" ht="15.75" customHeight="1">
      <c r="A34" s="337">
        <v>26.0</v>
      </c>
      <c r="B34" s="111" t="s">
        <v>102</v>
      </c>
      <c r="C34" s="112" t="s">
        <v>103</v>
      </c>
      <c r="D34" s="327"/>
      <c r="E34" s="327"/>
      <c r="F34" s="328"/>
      <c r="G34" s="329"/>
      <c r="H34" s="330">
        <f>'401'!D35</f>
        <v>18</v>
      </c>
      <c r="I34" s="331">
        <f>'402'!D35</f>
        <v>17</v>
      </c>
      <c r="J34" s="332">
        <f>'402 L'!D35</f>
        <v>2</v>
      </c>
      <c r="K34" s="333">
        <f>'403'!D35</f>
        <v>13</v>
      </c>
      <c r="L34" s="332">
        <f>'403 L'!D35</f>
        <v>7</v>
      </c>
      <c r="M34" s="333">
        <f>'404'!D35</f>
        <v>14</v>
      </c>
      <c r="N34" s="332">
        <f>'404 L'!D35</f>
        <v>7</v>
      </c>
      <c r="O34" s="333">
        <f>'405'!D35</f>
        <v>18</v>
      </c>
      <c r="P34" s="332">
        <f>'405 L'!D35</f>
        <v>3</v>
      </c>
      <c r="Q34" s="332">
        <f>'406 L'!D35</f>
        <v>7</v>
      </c>
      <c r="R34" s="332">
        <f t="shared" si="1"/>
        <v>80</v>
      </c>
      <c r="S34" s="332">
        <f t="shared" si="2"/>
        <v>26</v>
      </c>
      <c r="T34" s="334">
        <f t="shared" si="3"/>
        <v>106</v>
      </c>
      <c r="U34" s="335">
        <f t="shared" si="4"/>
        <v>41</v>
      </c>
      <c r="V34" s="336"/>
      <c r="W34" s="336"/>
      <c r="X34" s="336"/>
      <c r="Y34" s="336"/>
      <c r="Z34" s="336"/>
      <c r="AA34" s="336"/>
      <c r="AB34" s="336"/>
    </row>
    <row r="35" ht="15.75" customHeight="1">
      <c r="A35" s="326">
        <v>27.0</v>
      </c>
      <c r="B35" s="111" t="s">
        <v>104</v>
      </c>
      <c r="C35" s="112" t="s">
        <v>105</v>
      </c>
      <c r="D35" s="327"/>
      <c r="E35" s="327"/>
      <c r="F35" s="328"/>
      <c r="G35" s="329"/>
      <c r="H35" s="330">
        <f>'401'!D36</f>
        <v>26</v>
      </c>
      <c r="I35" s="331">
        <f>'402'!D36</f>
        <v>25</v>
      </c>
      <c r="J35" s="332">
        <f>'402 L'!D36</f>
        <v>3</v>
      </c>
      <c r="K35" s="333">
        <f>'403'!D36</f>
        <v>21</v>
      </c>
      <c r="L35" s="332">
        <f>'403 L'!D36</f>
        <v>8</v>
      </c>
      <c r="M35" s="333">
        <f>'404'!D36</f>
        <v>21</v>
      </c>
      <c r="N35" s="332">
        <f>'404 L'!D36</f>
        <v>6</v>
      </c>
      <c r="O35" s="333">
        <f>'405'!D36</f>
        <v>29</v>
      </c>
      <c r="P35" s="332">
        <f>'405 L'!D36</f>
        <v>11</v>
      </c>
      <c r="Q35" s="332">
        <f>'406 L'!D36</f>
        <v>9</v>
      </c>
      <c r="R35" s="332">
        <f t="shared" si="1"/>
        <v>122</v>
      </c>
      <c r="S35" s="332">
        <f t="shared" si="2"/>
        <v>37</v>
      </c>
      <c r="T35" s="334">
        <f t="shared" si="3"/>
        <v>159</v>
      </c>
      <c r="U35" s="335">
        <f t="shared" si="4"/>
        <v>62</v>
      </c>
      <c r="V35" s="336"/>
      <c r="W35" s="336"/>
      <c r="X35" s="336"/>
      <c r="Y35" s="336"/>
      <c r="Z35" s="336"/>
      <c r="AA35" s="336"/>
      <c r="AB35" s="336"/>
    </row>
    <row r="36" ht="15.75" customHeight="1">
      <c r="A36" s="326">
        <v>28.0</v>
      </c>
      <c r="B36" s="111" t="s">
        <v>106</v>
      </c>
      <c r="C36" s="112" t="s">
        <v>107</v>
      </c>
      <c r="D36" s="327"/>
      <c r="E36" s="327"/>
      <c r="F36" s="328"/>
      <c r="G36" s="329"/>
      <c r="H36" s="330">
        <f>'401'!D37</f>
        <v>13</v>
      </c>
      <c r="I36" s="331">
        <f>'402'!D37</f>
        <v>9</v>
      </c>
      <c r="J36" s="332">
        <f>'402 L'!D37</f>
        <v>4</v>
      </c>
      <c r="K36" s="333">
        <f>'403'!D37</f>
        <v>9</v>
      </c>
      <c r="L36" s="332">
        <f>'403 L'!D37</f>
        <v>4</v>
      </c>
      <c r="M36" s="333">
        <f>'404'!D37</f>
        <v>13</v>
      </c>
      <c r="N36" s="332">
        <f>'404 L'!D37</f>
        <v>8</v>
      </c>
      <c r="O36" s="333">
        <f>'405'!D37</f>
        <v>11</v>
      </c>
      <c r="P36" s="332">
        <f>'405 L'!D37</f>
        <v>5</v>
      </c>
      <c r="Q36" s="332">
        <f>'406 L'!D37</f>
        <v>3</v>
      </c>
      <c r="R36" s="332">
        <f t="shared" si="1"/>
        <v>55</v>
      </c>
      <c r="S36" s="332">
        <f t="shared" si="2"/>
        <v>24</v>
      </c>
      <c r="T36" s="334">
        <f t="shared" si="3"/>
        <v>79</v>
      </c>
      <c r="U36" s="335">
        <f t="shared" si="4"/>
        <v>31</v>
      </c>
      <c r="V36" s="336"/>
      <c r="W36" s="336"/>
      <c r="X36" s="336"/>
      <c r="Y36" s="336"/>
      <c r="Z36" s="336"/>
      <c r="AA36" s="336"/>
      <c r="AB36" s="336"/>
    </row>
    <row r="37" ht="15.75" customHeight="1">
      <c r="A37" s="337">
        <v>29.0</v>
      </c>
      <c r="B37" s="111" t="s">
        <v>108</v>
      </c>
      <c r="C37" s="112" t="s">
        <v>109</v>
      </c>
      <c r="D37" s="327"/>
      <c r="E37" s="327"/>
      <c r="F37" s="328"/>
      <c r="G37" s="329"/>
      <c r="H37" s="330">
        <f>'401'!D38</f>
        <v>22</v>
      </c>
      <c r="I37" s="331">
        <f>'402'!D38</f>
        <v>18</v>
      </c>
      <c r="J37" s="332">
        <f>'402 L'!D38</f>
        <v>4</v>
      </c>
      <c r="K37" s="333">
        <f>'403'!D38</f>
        <v>14</v>
      </c>
      <c r="L37" s="332">
        <f>'403 L'!D38</f>
        <v>8</v>
      </c>
      <c r="M37" s="333">
        <f>'404'!D38</f>
        <v>17</v>
      </c>
      <c r="N37" s="332">
        <f>'404 L'!D38</f>
        <v>4</v>
      </c>
      <c r="O37" s="333">
        <f>'405'!D38</f>
        <v>19</v>
      </c>
      <c r="P37" s="332">
        <f>'405 L'!D38</f>
        <v>8</v>
      </c>
      <c r="Q37" s="332">
        <f>'406 L'!D38</f>
        <v>7</v>
      </c>
      <c r="R37" s="332">
        <f t="shared" si="1"/>
        <v>90</v>
      </c>
      <c r="S37" s="332">
        <f t="shared" si="2"/>
        <v>31</v>
      </c>
      <c r="T37" s="334">
        <f t="shared" si="3"/>
        <v>121</v>
      </c>
      <c r="U37" s="335">
        <f t="shared" si="4"/>
        <v>47</v>
      </c>
      <c r="V37" s="336"/>
      <c r="W37" s="336"/>
      <c r="X37" s="336"/>
      <c r="Y37" s="336"/>
      <c r="Z37" s="336"/>
      <c r="AA37" s="336"/>
      <c r="AB37" s="336"/>
    </row>
    <row r="38" ht="15.75" customHeight="1">
      <c r="A38" s="326">
        <v>30.0</v>
      </c>
      <c r="B38" s="111" t="s">
        <v>110</v>
      </c>
      <c r="C38" s="112" t="s">
        <v>111</v>
      </c>
      <c r="D38" s="327"/>
      <c r="E38" s="327"/>
      <c r="F38" s="328"/>
      <c r="G38" s="329"/>
      <c r="H38" s="330">
        <f>'401'!D39</f>
        <v>29</v>
      </c>
      <c r="I38" s="331">
        <f>'402'!D39</f>
        <v>23</v>
      </c>
      <c r="J38" s="332">
        <f>'402 L'!D39</f>
        <v>6</v>
      </c>
      <c r="K38" s="333">
        <f>'403'!D39</f>
        <v>25</v>
      </c>
      <c r="L38" s="332">
        <f>'403 L'!D39</f>
        <v>7</v>
      </c>
      <c r="M38" s="333">
        <f>'404'!D39</f>
        <v>20</v>
      </c>
      <c r="N38" s="332">
        <f>'404 L'!D39</f>
        <v>5</v>
      </c>
      <c r="O38" s="333">
        <f>'405'!D39</f>
        <v>24</v>
      </c>
      <c r="P38" s="332">
        <f>'405 L'!D39</f>
        <v>8</v>
      </c>
      <c r="Q38" s="332">
        <f>'406 L'!D39</f>
        <v>11</v>
      </c>
      <c r="R38" s="332">
        <f t="shared" si="1"/>
        <v>121</v>
      </c>
      <c r="S38" s="332">
        <f t="shared" si="2"/>
        <v>37</v>
      </c>
      <c r="T38" s="334">
        <f t="shared" si="3"/>
        <v>158</v>
      </c>
      <c r="U38" s="335">
        <f t="shared" si="4"/>
        <v>61</v>
      </c>
      <c r="V38" s="336"/>
      <c r="W38" s="336"/>
      <c r="X38" s="336"/>
      <c r="Y38" s="336"/>
      <c r="Z38" s="336"/>
      <c r="AA38" s="336"/>
      <c r="AB38" s="336"/>
    </row>
    <row r="39" ht="15.75" customHeight="1">
      <c r="A39" s="326">
        <v>31.0</v>
      </c>
      <c r="B39" s="111" t="s">
        <v>112</v>
      </c>
      <c r="C39" s="112" t="s">
        <v>113</v>
      </c>
      <c r="D39" s="339"/>
      <c r="E39" s="327"/>
      <c r="F39" s="328"/>
      <c r="G39" s="329"/>
      <c r="H39" s="330">
        <f>'401'!D40</f>
        <v>23</v>
      </c>
      <c r="I39" s="331">
        <f>'402'!D40</f>
        <v>20</v>
      </c>
      <c r="J39" s="332">
        <f>'402 L'!D40</f>
        <v>3</v>
      </c>
      <c r="K39" s="333">
        <f>'403'!D40</f>
        <v>24</v>
      </c>
      <c r="L39" s="332">
        <f>'403 L'!D40</f>
        <v>8</v>
      </c>
      <c r="M39" s="333">
        <f>'404'!D40</f>
        <v>24</v>
      </c>
      <c r="N39" s="332">
        <f>'404 L'!D40</f>
        <v>9</v>
      </c>
      <c r="O39" s="333">
        <f>'405'!D40</f>
        <v>27</v>
      </c>
      <c r="P39" s="332">
        <f>'405 L'!D40</f>
        <v>9</v>
      </c>
      <c r="Q39" s="332">
        <f>'406 L'!D40</f>
        <v>15</v>
      </c>
      <c r="R39" s="332">
        <f t="shared" si="1"/>
        <v>118</v>
      </c>
      <c r="S39" s="332">
        <f t="shared" si="2"/>
        <v>44</v>
      </c>
      <c r="T39" s="334">
        <f t="shared" si="3"/>
        <v>162</v>
      </c>
      <c r="U39" s="335">
        <f t="shared" si="4"/>
        <v>63</v>
      </c>
      <c r="V39" s="336"/>
      <c r="W39" s="336"/>
      <c r="X39" s="336"/>
      <c r="Y39" s="336"/>
      <c r="Z39" s="336"/>
      <c r="AA39" s="336"/>
      <c r="AB39" s="336"/>
    </row>
    <row r="40" ht="15.75" customHeight="1">
      <c r="A40" s="337">
        <v>32.0</v>
      </c>
      <c r="B40" s="111" t="s">
        <v>114</v>
      </c>
      <c r="C40" s="112" t="s">
        <v>115</v>
      </c>
      <c r="D40" s="338"/>
      <c r="E40" s="338"/>
      <c r="F40" s="328"/>
      <c r="G40" s="329"/>
      <c r="H40" s="330">
        <f>'401'!D41</f>
        <v>22</v>
      </c>
      <c r="I40" s="331">
        <f>'402'!D41</f>
        <v>25</v>
      </c>
      <c r="J40" s="332">
        <f>'402 L'!D41</f>
        <v>2</v>
      </c>
      <c r="K40" s="333">
        <f>'403'!D41</f>
        <v>16</v>
      </c>
      <c r="L40" s="332">
        <f>'403 L'!D41</f>
        <v>4</v>
      </c>
      <c r="M40" s="333">
        <f>'404'!D41</f>
        <v>17</v>
      </c>
      <c r="N40" s="332">
        <f>'404 L'!D41</f>
        <v>6</v>
      </c>
      <c r="O40" s="333">
        <f>'405'!D41</f>
        <v>23</v>
      </c>
      <c r="P40" s="332">
        <f>'405 L'!D41</f>
        <v>9</v>
      </c>
      <c r="Q40" s="332">
        <f>'406 L'!D41</f>
        <v>11</v>
      </c>
      <c r="R40" s="332">
        <f t="shared" si="1"/>
        <v>103</v>
      </c>
      <c r="S40" s="332">
        <f t="shared" si="2"/>
        <v>32</v>
      </c>
      <c r="T40" s="334">
        <f t="shared" si="3"/>
        <v>135</v>
      </c>
      <c r="U40" s="335">
        <f t="shared" si="4"/>
        <v>52</v>
      </c>
      <c r="V40" s="336"/>
      <c r="W40" s="336"/>
      <c r="X40" s="336"/>
      <c r="Y40" s="336"/>
      <c r="Z40" s="336"/>
      <c r="AA40" s="336"/>
      <c r="AB40" s="336"/>
    </row>
    <row r="41" ht="15.75" customHeight="1">
      <c r="A41" s="326">
        <v>33.0</v>
      </c>
      <c r="B41" s="111" t="s">
        <v>116</v>
      </c>
      <c r="C41" s="112" t="s">
        <v>117</v>
      </c>
      <c r="D41" s="327"/>
      <c r="E41" s="327"/>
      <c r="F41" s="328"/>
      <c r="G41" s="329"/>
      <c r="H41" s="330">
        <f>'401'!D42</f>
        <v>9</v>
      </c>
      <c r="I41" s="331">
        <f>'402'!D42</f>
        <v>12</v>
      </c>
      <c r="J41" s="332">
        <f>'402 L'!D42</f>
        <v>2</v>
      </c>
      <c r="K41" s="333">
        <f>'403'!D42</f>
        <v>11</v>
      </c>
      <c r="L41" s="332">
        <f>'403 L'!D42</f>
        <v>1</v>
      </c>
      <c r="M41" s="333">
        <f>'404'!D42</f>
        <v>14</v>
      </c>
      <c r="N41" s="332">
        <f>'404 L'!D42</f>
        <v>2</v>
      </c>
      <c r="O41" s="333">
        <f>'405'!D42</f>
        <v>11</v>
      </c>
      <c r="P41" s="332">
        <f>'405 L'!D42</f>
        <v>8</v>
      </c>
      <c r="Q41" s="332">
        <f>'406 L'!D42</f>
        <v>4</v>
      </c>
      <c r="R41" s="332">
        <f t="shared" si="1"/>
        <v>57</v>
      </c>
      <c r="S41" s="332">
        <f t="shared" si="2"/>
        <v>17</v>
      </c>
      <c r="T41" s="334">
        <f t="shared" si="3"/>
        <v>74</v>
      </c>
      <c r="U41" s="335">
        <f t="shared" si="4"/>
        <v>29</v>
      </c>
      <c r="V41" s="336"/>
      <c r="W41" s="336"/>
      <c r="X41" s="336"/>
      <c r="Y41" s="336"/>
      <c r="Z41" s="336"/>
      <c r="AA41" s="336"/>
      <c r="AB41" s="336"/>
    </row>
    <row r="42" ht="15.75" customHeight="1">
      <c r="A42" s="326">
        <v>34.0</v>
      </c>
      <c r="B42" s="111" t="s">
        <v>118</v>
      </c>
      <c r="C42" s="112" t="s">
        <v>119</v>
      </c>
      <c r="D42" s="327"/>
      <c r="E42" s="338"/>
      <c r="F42" s="328"/>
      <c r="G42" s="329"/>
      <c r="H42" s="330">
        <f>'401'!D43</f>
        <v>1</v>
      </c>
      <c r="I42" s="331">
        <f>'402'!D43</f>
        <v>1</v>
      </c>
      <c r="J42" s="332">
        <f>'402 L'!D43</f>
        <v>0</v>
      </c>
      <c r="K42" s="333">
        <f>'403'!D43</f>
        <v>0</v>
      </c>
      <c r="L42" s="332">
        <f>'403 L'!D43</f>
        <v>0</v>
      </c>
      <c r="M42" s="333">
        <f>'404'!D43</f>
        <v>1</v>
      </c>
      <c r="N42" s="332">
        <f>'404 L'!D43</f>
        <v>0</v>
      </c>
      <c r="O42" s="333">
        <f>'405'!D43</f>
        <v>1</v>
      </c>
      <c r="P42" s="332">
        <f>'405 L'!D43</f>
        <v>0</v>
      </c>
      <c r="Q42" s="332">
        <f>'406 L'!D43</f>
        <v>0</v>
      </c>
      <c r="R42" s="332">
        <f t="shared" si="1"/>
        <v>4</v>
      </c>
      <c r="S42" s="332">
        <f t="shared" si="2"/>
        <v>0</v>
      </c>
      <c r="T42" s="334">
        <f t="shared" si="3"/>
        <v>4</v>
      </c>
      <c r="U42" s="335">
        <f t="shared" si="4"/>
        <v>2</v>
      </c>
      <c r="V42" s="336"/>
      <c r="W42" s="336"/>
      <c r="X42" s="336"/>
      <c r="Y42" s="336"/>
      <c r="Z42" s="336"/>
      <c r="AA42" s="336"/>
      <c r="AB42" s="336"/>
    </row>
    <row r="43" ht="15.75" customHeight="1">
      <c r="A43" s="337">
        <v>35.0</v>
      </c>
      <c r="B43" s="111" t="s">
        <v>120</v>
      </c>
      <c r="C43" s="112" t="s">
        <v>121</v>
      </c>
      <c r="D43" s="327"/>
      <c r="E43" s="338"/>
      <c r="F43" s="328"/>
      <c r="G43" s="329"/>
      <c r="H43" s="330">
        <f>'401'!D44</f>
        <v>21</v>
      </c>
      <c r="I43" s="331">
        <f>'402'!D44</f>
        <v>14</v>
      </c>
      <c r="J43" s="332">
        <f>'402 L'!D44</f>
        <v>2</v>
      </c>
      <c r="K43" s="333">
        <f>'403'!D44</f>
        <v>16</v>
      </c>
      <c r="L43" s="332">
        <f>'403 L'!D44</f>
        <v>7</v>
      </c>
      <c r="M43" s="333">
        <f>'404'!D44</f>
        <v>10</v>
      </c>
      <c r="N43" s="332">
        <f>'404 L'!D44</f>
        <v>2</v>
      </c>
      <c r="O43" s="333">
        <f>'405'!D44</f>
        <v>15</v>
      </c>
      <c r="P43" s="332">
        <f>'405 L'!D44</f>
        <v>6</v>
      </c>
      <c r="Q43" s="332">
        <f>'406 L'!D44</f>
        <v>4</v>
      </c>
      <c r="R43" s="332">
        <f t="shared" si="1"/>
        <v>76</v>
      </c>
      <c r="S43" s="332">
        <f t="shared" si="2"/>
        <v>21</v>
      </c>
      <c r="T43" s="334">
        <f t="shared" si="3"/>
        <v>97</v>
      </c>
      <c r="U43" s="335">
        <f t="shared" si="4"/>
        <v>38</v>
      </c>
      <c r="V43" s="336"/>
      <c r="W43" s="336"/>
      <c r="X43" s="336"/>
      <c r="Y43" s="336"/>
      <c r="Z43" s="336"/>
      <c r="AA43" s="336"/>
      <c r="AB43" s="336"/>
    </row>
    <row r="44" ht="18.0" customHeight="1">
      <c r="A44" s="326">
        <v>36.0</v>
      </c>
      <c r="B44" s="111" t="s">
        <v>122</v>
      </c>
      <c r="C44" s="112" t="s">
        <v>123</v>
      </c>
      <c r="D44" s="327"/>
      <c r="E44" s="327"/>
      <c r="F44" s="328"/>
      <c r="G44" s="329"/>
      <c r="H44" s="330">
        <f>'401'!D45</f>
        <v>27</v>
      </c>
      <c r="I44" s="331">
        <f>'402'!D45</f>
        <v>21</v>
      </c>
      <c r="J44" s="332">
        <f>'402 L'!D45</f>
        <v>5</v>
      </c>
      <c r="K44" s="333">
        <f>'403'!D45</f>
        <v>19</v>
      </c>
      <c r="L44" s="332">
        <f>'403 L'!D45</f>
        <v>7</v>
      </c>
      <c r="M44" s="333">
        <f>'404'!D45</f>
        <v>22</v>
      </c>
      <c r="N44" s="332">
        <f>'404 L'!D45</f>
        <v>4</v>
      </c>
      <c r="O44" s="333">
        <f>'405'!D45</f>
        <v>20</v>
      </c>
      <c r="P44" s="332">
        <f>'405 L'!D45</f>
        <v>7</v>
      </c>
      <c r="Q44" s="332">
        <f>'406 L'!D45</f>
        <v>10</v>
      </c>
      <c r="R44" s="332">
        <f t="shared" si="1"/>
        <v>109</v>
      </c>
      <c r="S44" s="332">
        <f t="shared" si="2"/>
        <v>33</v>
      </c>
      <c r="T44" s="334">
        <f t="shared" si="3"/>
        <v>142</v>
      </c>
      <c r="U44" s="335">
        <f t="shared" si="4"/>
        <v>55</v>
      </c>
      <c r="V44" s="336"/>
      <c r="W44" s="336"/>
      <c r="X44" s="336"/>
      <c r="Y44" s="336"/>
      <c r="Z44" s="336"/>
      <c r="AA44" s="336"/>
      <c r="AB44" s="336"/>
    </row>
    <row r="45" ht="30.75" customHeight="1">
      <c r="A45" s="326">
        <v>37.0</v>
      </c>
      <c r="B45" s="111" t="s">
        <v>124</v>
      </c>
      <c r="C45" s="112" t="s">
        <v>125</v>
      </c>
      <c r="D45" s="327"/>
      <c r="E45" s="327"/>
      <c r="F45" s="328"/>
      <c r="G45" s="329"/>
      <c r="H45" s="330">
        <f>'401'!D46</f>
        <v>22</v>
      </c>
      <c r="I45" s="331">
        <f>'402'!D46</f>
        <v>18</v>
      </c>
      <c r="J45" s="332">
        <f>'402 L'!D46</f>
        <v>4</v>
      </c>
      <c r="K45" s="333">
        <f>'403'!D46</f>
        <v>16</v>
      </c>
      <c r="L45" s="332">
        <f>'403 L'!D46</f>
        <v>4</v>
      </c>
      <c r="M45" s="333">
        <f>'404'!D46</f>
        <v>19</v>
      </c>
      <c r="N45" s="332">
        <f>'404 L'!D46</f>
        <v>2</v>
      </c>
      <c r="O45" s="333">
        <f>'405'!D46</f>
        <v>17</v>
      </c>
      <c r="P45" s="332">
        <f>'405 L'!D46</f>
        <v>8</v>
      </c>
      <c r="Q45" s="332">
        <f>'406 L'!D46</f>
        <v>11</v>
      </c>
      <c r="R45" s="332">
        <f t="shared" si="1"/>
        <v>92</v>
      </c>
      <c r="S45" s="332">
        <f t="shared" si="2"/>
        <v>29</v>
      </c>
      <c r="T45" s="334">
        <f t="shared" si="3"/>
        <v>121</v>
      </c>
      <c r="U45" s="335">
        <f t="shared" si="4"/>
        <v>47</v>
      </c>
      <c r="V45" s="336"/>
      <c r="W45" s="336"/>
      <c r="X45" s="336"/>
      <c r="Y45" s="336"/>
      <c r="Z45" s="336"/>
      <c r="AA45" s="336"/>
      <c r="AB45" s="336"/>
    </row>
    <row r="46" ht="15.75" customHeight="1">
      <c r="A46" s="337">
        <v>38.0</v>
      </c>
      <c r="B46" s="111" t="s">
        <v>126</v>
      </c>
      <c r="C46" s="112" t="s">
        <v>127</v>
      </c>
      <c r="D46" s="327"/>
      <c r="E46" s="327"/>
      <c r="F46" s="328"/>
      <c r="G46" s="329"/>
      <c r="H46" s="330">
        <f>'401'!D47</f>
        <v>18</v>
      </c>
      <c r="I46" s="331">
        <f>'402'!D47</f>
        <v>17</v>
      </c>
      <c r="J46" s="332">
        <f>'402 L'!D47</f>
        <v>0</v>
      </c>
      <c r="K46" s="333">
        <f>'403'!D47</f>
        <v>12</v>
      </c>
      <c r="L46" s="332">
        <f>'403 L'!D47</f>
        <v>6</v>
      </c>
      <c r="M46" s="333">
        <f>'404'!D47</f>
        <v>11</v>
      </c>
      <c r="N46" s="332">
        <f>'404 L'!D47</f>
        <v>5</v>
      </c>
      <c r="O46" s="333">
        <f>'405'!D47</f>
        <v>14</v>
      </c>
      <c r="P46" s="332">
        <f>'405 L'!D47</f>
        <v>3</v>
      </c>
      <c r="Q46" s="332">
        <f>'406 L'!D47</f>
        <v>5</v>
      </c>
      <c r="R46" s="332">
        <f t="shared" si="1"/>
        <v>72</v>
      </c>
      <c r="S46" s="332">
        <f t="shared" si="2"/>
        <v>19</v>
      </c>
      <c r="T46" s="334">
        <f t="shared" si="3"/>
        <v>91</v>
      </c>
      <c r="U46" s="335">
        <f t="shared" si="4"/>
        <v>35</v>
      </c>
      <c r="V46" s="336"/>
      <c r="W46" s="336"/>
      <c r="X46" s="336"/>
      <c r="Y46" s="336"/>
      <c r="Z46" s="336"/>
      <c r="AA46" s="336"/>
      <c r="AB46" s="336"/>
    </row>
    <row r="47" ht="15.75" customHeight="1">
      <c r="A47" s="326">
        <v>39.0</v>
      </c>
      <c r="B47" s="111" t="s">
        <v>128</v>
      </c>
      <c r="C47" s="112" t="s">
        <v>129</v>
      </c>
      <c r="D47" s="327"/>
      <c r="E47" s="327"/>
      <c r="F47" s="328"/>
      <c r="G47" s="329"/>
      <c r="H47" s="330">
        <f>'401'!D48</f>
        <v>27</v>
      </c>
      <c r="I47" s="331">
        <f>'402'!D48</f>
        <v>26</v>
      </c>
      <c r="J47" s="332">
        <f>'402 L'!D48</f>
        <v>2</v>
      </c>
      <c r="K47" s="333">
        <f>'403'!D48</f>
        <v>25</v>
      </c>
      <c r="L47" s="332">
        <f>'403 L'!D48</f>
        <v>10</v>
      </c>
      <c r="M47" s="333">
        <f>'404'!D48</f>
        <v>22</v>
      </c>
      <c r="N47" s="332">
        <f>'404 L'!D48</f>
        <v>7</v>
      </c>
      <c r="O47" s="333">
        <f>'405'!D48</f>
        <v>27</v>
      </c>
      <c r="P47" s="332">
        <f>'405 L'!D48</f>
        <v>11</v>
      </c>
      <c r="Q47" s="332">
        <f>'406 L'!D48</f>
        <v>9</v>
      </c>
      <c r="R47" s="332">
        <f t="shared" si="1"/>
        <v>127</v>
      </c>
      <c r="S47" s="332">
        <f t="shared" si="2"/>
        <v>39</v>
      </c>
      <c r="T47" s="334">
        <f t="shared" si="3"/>
        <v>166</v>
      </c>
      <c r="U47" s="335">
        <f t="shared" si="4"/>
        <v>64</v>
      </c>
      <c r="V47" s="336"/>
      <c r="W47" s="336"/>
      <c r="X47" s="336"/>
      <c r="Y47" s="336"/>
      <c r="Z47" s="336"/>
      <c r="AA47" s="336"/>
      <c r="AB47" s="336"/>
    </row>
    <row r="48" ht="15.75" customHeight="1">
      <c r="A48" s="326">
        <v>40.0</v>
      </c>
      <c r="B48" s="111" t="s">
        <v>130</v>
      </c>
      <c r="C48" s="112" t="s">
        <v>131</v>
      </c>
      <c r="D48" s="327"/>
      <c r="E48" s="327"/>
      <c r="F48" s="328"/>
      <c r="G48" s="329"/>
      <c r="H48" s="330">
        <f>'401'!D49</f>
        <v>1</v>
      </c>
      <c r="I48" s="331">
        <f>'402'!D49</f>
        <v>0</v>
      </c>
      <c r="J48" s="332">
        <f>'402 L'!D49</f>
        <v>0</v>
      </c>
      <c r="K48" s="333">
        <f>'403'!D49</f>
        <v>0</v>
      </c>
      <c r="L48" s="332">
        <f>'403 L'!D49</f>
        <v>0</v>
      </c>
      <c r="M48" s="333">
        <f>'404'!D49</f>
        <v>0</v>
      </c>
      <c r="N48" s="332">
        <f>'404 L'!D49</f>
        <v>0</v>
      </c>
      <c r="O48" s="333">
        <f>'405'!D49</f>
        <v>0</v>
      </c>
      <c r="P48" s="332">
        <f>'405 L'!D49</f>
        <v>0</v>
      </c>
      <c r="Q48" s="332">
        <f>'406 L'!D49</f>
        <v>0</v>
      </c>
      <c r="R48" s="332">
        <f t="shared" si="1"/>
        <v>1</v>
      </c>
      <c r="S48" s="332">
        <f t="shared" si="2"/>
        <v>0</v>
      </c>
      <c r="T48" s="334">
        <f t="shared" si="3"/>
        <v>1</v>
      </c>
      <c r="U48" s="335">
        <f t="shared" si="4"/>
        <v>0</v>
      </c>
      <c r="V48" s="336"/>
      <c r="W48" s="336"/>
      <c r="X48" s="336"/>
      <c r="Y48" s="336"/>
      <c r="Z48" s="336"/>
      <c r="AA48" s="336"/>
      <c r="AB48" s="336"/>
    </row>
    <row r="49" ht="15.75" customHeight="1">
      <c r="A49" s="337">
        <v>41.0</v>
      </c>
      <c r="B49" s="111" t="s">
        <v>132</v>
      </c>
      <c r="C49" s="112" t="s">
        <v>133</v>
      </c>
      <c r="D49" s="327"/>
      <c r="E49" s="327"/>
      <c r="F49" s="328"/>
      <c r="G49" s="329"/>
      <c r="H49" s="330">
        <f>'401'!D50</f>
        <v>22</v>
      </c>
      <c r="I49" s="331">
        <f>'402'!D50</f>
        <v>20</v>
      </c>
      <c r="J49" s="332">
        <f>'402 L'!D50</f>
        <v>4</v>
      </c>
      <c r="K49" s="333">
        <f>'403'!D50</f>
        <v>17</v>
      </c>
      <c r="L49" s="332">
        <f>'403 L'!D50</f>
        <v>7</v>
      </c>
      <c r="M49" s="333">
        <f>'404'!D50</f>
        <v>17</v>
      </c>
      <c r="N49" s="332">
        <f>'404 L'!D50</f>
        <v>2</v>
      </c>
      <c r="O49" s="333">
        <f>'405'!D50</f>
        <v>18</v>
      </c>
      <c r="P49" s="332">
        <f>'405 L'!D50</f>
        <v>9</v>
      </c>
      <c r="Q49" s="332">
        <f>'406 L'!D50</f>
        <v>11</v>
      </c>
      <c r="R49" s="332">
        <f t="shared" si="1"/>
        <v>94</v>
      </c>
      <c r="S49" s="332">
        <f t="shared" si="2"/>
        <v>33</v>
      </c>
      <c r="T49" s="334">
        <f t="shared" si="3"/>
        <v>127</v>
      </c>
      <c r="U49" s="335">
        <f t="shared" si="4"/>
        <v>49</v>
      </c>
      <c r="V49" s="336"/>
      <c r="W49" s="336"/>
      <c r="X49" s="336"/>
      <c r="Y49" s="336"/>
      <c r="Z49" s="336"/>
      <c r="AA49" s="336"/>
      <c r="AB49" s="336"/>
    </row>
    <row r="50" ht="15.75" customHeight="1">
      <c r="A50" s="326">
        <v>42.0</v>
      </c>
      <c r="B50" s="111" t="s">
        <v>134</v>
      </c>
      <c r="C50" s="112" t="s">
        <v>135</v>
      </c>
      <c r="D50" s="327"/>
      <c r="E50" s="327"/>
      <c r="F50" s="328"/>
      <c r="G50" s="329"/>
      <c r="H50" s="330">
        <f>'401'!D51</f>
        <v>18</v>
      </c>
      <c r="I50" s="331">
        <f>'402'!D51</f>
        <v>17</v>
      </c>
      <c r="J50" s="332">
        <f>'402 L'!D51</f>
        <v>5</v>
      </c>
      <c r="K50" s="333">
        <f>'403'!D51</f>
        <v>17</v>
      </c>
      <c r="L50" s="332">
        <f>'403 L'!D51</f>
        <v>8</v>
      </c>
      <c r="M50" s="333">
        <f>'404'!D51</f>
        <v>17</v>
      </c>
      <c r="N50" s="332">
        <f>'404 L'!D51</f>
        <v>7</v>
      </c>
      <c r="O50" s="333">
        <f>'405'!D51</f>
        <v>16</v>
      </c>
      <c r="P50" s="332">
        <f>'405 L'!D51</f>
        <v>8</v>
      </c>
      <c r="Q50" s="332">
        <f>'406 L'!D51</f>
        <v>8</v>
      </c>
      <c r="R50" s="332">
        <f t="shared" si="1"/>
        <v>85</v>
      </c>
      <c r="S50" s="332">
        <f t="shared" si="2"/>
        <v>36</v>
      </c>
      <c r="T50" s="334">
        <f t="shared" si="3"/>
        <v>121</v>
      </c>
      <c r="U50" s="335">
        <f t="shared" si="4"/>
        <v>47</v>
      </c>
      <c r="V50" s="336"/>
      <c r="W50" s="336"/>
      <c r="X50" s="336"/>
      <c r="Y50" s="336"/>
      <c r="Z50" s="336"/>
      <c r="AA50" s="336"/>
      <c r="AB50" s="336"/>
    </row>
    <row r="51" ht="15.75" customHeight="1">
      <c r="A51" s="340" t="s">
        <v>136</v>
      </c>
      <c r="B51" s="341"/>
      <c r="C51" s="243"/>
      <c r="D51" s="342"/>
      <c r="E51" s="342"/>
      <c r="F51" s="343"/>
      <c r="G51" s="342"/>
      <c r="H51" s="323">
        <f>'401'!D9</f>
        <v>44</v>
      </c>
      <c r="I51" s="323">
        <f>'402'!D9</f>
        <v>38</v>
      </c>
      <c r="J51" s="324">
        <f>'402 L'!D52</f>
        <v>10</v>
      </c>
      <c r="K51" s="323">
        <f>'403'!D9</f>
        <v>40</v>
      </c>
      <c r="L51" s="324">
        <f>'403 L'!D52</f>
        <v>11</v>
      </c>
      <c r="M51" s="323">
        <f>'404'!D9</f>
        <v>35</v>
      </c>
      <c r="N51" s="324">
        <f>'404 L'!D52</f>
        <v>8</v>
      </c>
      <c r="O51" s="323">
        <f>'405'!D9</f>
        <v>38</v>
      </c>
      <c r="P51" s="324">
        <f>'405 L'!D52</f>
        <v>9</v>
      </c>
      <c r="Q51" s="324">
        <f>'406 L'!D52</f>
        <v>19</v>
      </c>
      <c r="R51" s="324">
        <f t="shared" si="1"/>
        <v>195</v>
      </c>
      <c r="S51" s="324">
        <f t="shared" si="2"/>
        <v>57</v>
      </c>
      <c r="T51" s="47">
        <f t="shared" si="3"/>
        <v>252</v>
      </c>
      <c r="U51" s="325" t="s">
        <v>258</v>
      </c>
      <c r="V51" s="344"/>
      <c r="W51" s="344"/>
      <c r="X51" s="344"/>
      <c r="Y51" s="344"/>
      <c r="Z51" s="344"/>
      <c r="AA51" s="344"/>
      <c r="AB51" s="344"/>
    </row>
    <row r="52" ht="15.75" customHeight="1">
      <c r="A52" s="345">
        <v>43.0</v>
      </c>
      <c r="B52" s="111" t="s">
        <v>137</v>
      </c>
      <c r="C52" s="112" t="s">
        <v>138</v>
      </c>
      <c r="D52" s="327"/>
      <c r="E52" s="327"/>
      <c r="F52" s="328"/>
      <c r="G52" s="327"/>
      <c r="H52" s="330">
        <f>'401'!D52</f>
        <v>23</v>
      </c>
      <c r="I52" s="331">
        <f>'402'!D52</f>
        <v>13</v>
      </c>
      <c r="J52" s="332">
        <f>'402 L'!D53</f>
        <v>4</v>
      </c>
      <c r="K52" s="333">
        <f>'403'!D52</f>
        <v>14</v>
      </c>
      <c r="L52" s="332">
        <f>'403 L'!D53</f>
        <v>5</v>
      </c>
      <c r="M52" s="333">
        <f>'404'!D52</f>
        <v>20</v>
      </c>
      <c r="N52" s="332">
        <f>'404 L'!D53</f>
        <v>4</v>
      </c>
      <c r="O52" s="333">
        <f>'405'!D52</f>
        <v>13</v>
      </c>
      <c r="P52" s="332">
        <f>'405 L'!D53</f>
        <v>8</v>
      </c>
      <c r="Q52" s="332">
        <f>'406 L'!D53</f>
        <v>2</v>
      </c>
      <c r="R52" s="332">
        <f t="shared" si="1"/>
        <v>83</v>
      </c>
      <c r="S52" s="332">
        <f t="shared" si="2"/>
        <v>23</v>
      </c>
      <c r="T52" s="334">
        <f t="shared" si="3"/>
        <v>106</v>
      </c>
      <c r="U52" s="348">
        <f t="shared" ref="U52:U92" si="5">ROUND(T52/T$51*100,0)</f>
        <v>42</v>
      </c>
      <c r="V52" s="344"/>
      <c r="W52" s="344"/>
      <c r="X52" s="344"/>
      <c r="Y52" s="344"/>
      <c r="Z52" s="344"/>
      <c r="AA52" s="344"/>
      <c r="AB52" s="344"/>
    </row>
    <row r="53" ht="15.75" customHeight="1">
      <c r="A53" s="326">
        <v>44.0</v>
      </c>
      <c r="B53" s="111" t="s">
        <v>139</v>
      </c>
      <c r="C53" s="112" t="s">
        <v>140</v>
      </c>
      <c r="D53" s="327"/>
      <c r="E53" s="327"/>
      <c r="F53" s="328"/>
      <c r="G53" s="327"/>
      <c r="H53" s="330">
        <f>'401'!D53</f>
        <v>20</v>
      </c>
      <c r="I53" s="331">
        <f>'402'!D53</f>
        <v>20</v>
      </c>
      <c r="J53" s="332">
        <f>'402 L'!D54</f>
        <v>6</v>
      </c>
      <c r="K53" s="333">
        <f>'403'!D53</f>
        <v>17</v>
      </c>
      <c r="L53" s="332">
        <f>'403 L'!D54</f>
        <v>5</v>
      </c>
      <c r="M53" s="333">
        <f>'404'!D53</f>
        <v>17</v>
      </c>
      <c r="N53" s="332">
        <f>'404 L'!D54</f>
        <v>5</v>
      </c>
      <c r="O53" s="333">
        <f>'405'!D53</f>
        <v>22</v>
      </c>
      <c r="P53" s="332">
        <f>'405 L'!D54</f>
        <v>9</v>
      </c>
      <c r="Q53" s="332">
        <f>'406 L'!D54</f>
        <v>9</v>
      </c>
      <c r="R53" s="332">
        <f t="shared" si="1"/>
        <v>96</v>
      </c>
      <c r="S53" s="332">
        <f t="shared" si="2"/>
        <v>34</v>
      </c>
      <c r="T53" s="334">
        <f t="shared" si="3"/>
        <v>130</v>
      </c>
      <c r="U53" s="348">
        <f t="shared" si="5"/>
        <v>52</v>
      </c>
      <c r="V53" s="336"/>
      <c r="W53" s="336"/>
      <c r="X53" s="336"/>
      <c r="Y53" s="336"/>
      <c r="Z53" s="336"/>
      <c r="AA53" s="336"/>
      <c r="AB53" s="336"/>
    </row>
    <row r="54" ht="15.75" customHeight="1">
      <c r="A54" s="337">
        <v>45.0</v>
      </c>
      <c r="B54" s="111" t="s">
        <v>141</v>
      </c>
      <c r="C54" s="112" t="s">
        <v>142</v>
      </c>
      <c r="D54" s="327"/>
      <c r="E54" s="327"/>
      <c r="F54" s="328"/>
      <c r="G54" s="327"/>
      <c r="H54" s="330">
        <f>'401'!D54</f>
        <v>23</v>
      </c>
      <c r="I54" s="331">
        <f>'402'!D54</f>
        <v>19</v>
      </c>
      <c r="J54" s="332">
        <f>'402 L'!D55</f>
        <v>5</v>
      </c>
      <c r="K54" s="333">
        <f>'403'!D54</f>
        <v>20</v>
      </c>
      <c r="L54" s="332">
        <f>'403 L'!D55</f>
        <v>9</v>
      </c>
      <c r="M54" s="333">
        <f>'404'!D54</f>
        <v>20</v>
      </c>
      <c r="N54" s="332">
        <f>'404 L'!D55</f>
        <v>6</v>
      </c>
      <c r="O54" s="333">
        <f>'405'!D54</f>
        <v>23</v>
      </c>
      <c r="P54" s="332">
        <f>'405 L'!D55</f>
        <v>9</v>
      </c>
      <c r="Q54" s="332">
        <f>'406 L'!D55</f>
        <v>6</v>
      </c>
      <c r="R54" s="332">
        <f t="shared" si="1"/>
        <v>105</v>
      </c>
      <c r="S54" s="332">
        <f t="shared" si="2"/>
        <v>35</v>
      </c>
      <c r="T54" s="334">
        <f t="shared" si="3"/>
        <v>140</v>
      </c>
      <c r="U54" s="348">
        <f t="shared" si="5"/>
        <v>56</v>
      </c>
      <c r="V54" s="336"/>
      <c r="W54" s="336"/>
      <c r="X54" s="336"/>
      <c r="Y54" s="336"/>
      <c r="Z54" s="336"/>
      <c r="AA54" s="336"/>
      <c r="AB54" s="336"/>
    </row>
    <row r="55" ht="15.75" customHeight="1">
      <c r="A55" s="345">
        <v>46.0</v>
      </c>
      <c r="B55" s="111" t="s">
        <v>143</v>
      </c>
      <c r="C55" s="112" t="s">
        <v>144</v>
      </c>
      <c r="D55" s="327"/>
      <c r="E55" s="327"/>
      <c r="F55" s="328"/>
      <c r="G55" s="327"/>
      <c r="H55" s="330">
        <f>'401'!D55</f>
        <v>28</v>
      </c>
      <c r="I55" s="331">
        <f>'402'!D55</f>
        <v>21</v>
      </c>
      <c r="J55" s="332">
        <f>'402 L'!D56</f>
        <v>6</v>
      </c>
      <c r="K55" s="333">
        <f>'403'!D55</f>
        <v>18</v>
      </c>
      <c r="L55" s="332">
        <f>'403 L'!D56</f>
        <v>8</v>
      </c>
      <c r="M55" s="333">
        <f>'404'!D55</f>
        <v>19</v>
      </c>
      <c r="N55" s="332">
        <f>'404 L'!D56</f>
        <v>3</v>
      </c>
      <c r="O55" s="333">
        <f>'405'!D55</f>
        <v>24</v>
      </c>
      <c r="P55" s="332">
        <f>'405 L'!D56</f>
        <v>7</v>
      </c>
      <c r="Q55" s="332">
        <f>'406 L'!D56</f>
        <v>6</v>
      </c>
      <c r="R55" s="332">
        <f t="shared" si="1"/>
        <v>110</v>
      </c>
      <c r="S55" s="332">
        <f t="shared" si="2"/>
        <v>30</v>
      </c>
      <c r="T55" s="334">
        <f t="shared" si="3"/>
        <v>140</v>
      </c>
      <c r="U55" s="348">
        <f t="shared" si="5"/>
        <v>56</v>
      </c>
      <c r="V55" s="336"/>
      <c r="W55" s="336"/>
      <c r="X55" s="336"/>
      <c r="Y55" s="336"/>
      <c r="Z55" s="336"/>
      <c r="AA55" s="336"/>
      <c r="AB55" s="336"/>
    </row>
    <row r="56" ht="15.75" customHeight="1">
      <c r="A56" s="326">
        <v>47.0</v>
      </c>
      <c r="B56" s="111" t="s">
        <v>145</v>
      </c>
      <c r="C56" s="112" t="s">
        <v>146</v>
      </c>
      <c r="D56" s="327"/>
      <c r="E56" s="327"/>
      <c r="F56" s="328"/>
      <c r="G56" s="327"/>
      <c r="H56" s="330">
        <f>'401'!D56</f>
        <v>28</v>
      </c>
      <c r="I56" s="331">
        <f>'402'!D56</f>
        <v>20</v>
      </c>
      <c r="J56" s="332">
        <f>'402 L'!D57</f>
        <v>7</v>
      </c>
      <c r="K56" s="333">
        <f>'403'!D56</f>
        <v>25</v>
      </c>
      <c r="L56" s="332">
        <f>'403 L'!D57</f>
        <v>8</v>
      </c>
      <c r="M56" s="333">
        <f>'404'!D56</f>
        <v>20</v>
      </c>
      <c r="N56" s="332">
        <f>'404 L'!D57</f>
        <v>5</v>
      </c>
      <c r="O56" s="333">
        <f>'405'!D56</f>
        <v>23</v>
      </c>
      <c r="P56" s="332">
        <f>'405 L'!D57</f>
        <v>10</v>
      </c>
      <c r="Q56" s="332">
        <f>'406 L'!D57</f>
        <v>12</v>
      </c>
      <c r="R56" s="332">
        <f t="shared" si="1"/>
        <v>116</v>
      </c>
      <c r="S56" s="332">
        <f t="shared" si="2"/>
        <v>42</v>
      </c>
      <c r="T56" s="334">
        <f t="shared" si="3"/>
        <v>158</v>
      </c>
      <c r="U56" s="348">
        <f t="shared" si="5"/>
        <v>63</v>
      </c>
      <c r="V56" s="336"/>
      <c r="W56" s="336"/>
      <c r="X56" s="336"/>
      <c r="Y56" s="336"/>
      <c r="Z56" s="336"/>
      <c r="AA56" s="336"/>
      <c r="AB56" s="336"/>
    </row>
    <row r="57" ht="15.75" customHeight="1">
      <c r="A57" s="337">
        <v>48.0</v>
      </c>
      <c r="B57" s="111" t="s">
        <v>147</v>
      </c>
      <c r="C57" s="112" t="s">
        <v>148</v>
      </c>
      <c r="D57" s="327"/>
      <c r="E57" s="327"/>
      <c r="F57" s="328"/>
      <c r="G57" s="327"/>
      <c r="H57" s="330">
        <f>'401'!D57</f>
        <v>23</v>
      </c>
      <c r="I57" s="331">
        <f>'402'!D57</f>
        <v>16</v>
      </c>
      <c r="J57" s="332">
        <f>'402 L'!D58</f>
        <v>5</v>
      </c>
      <c r="K57" s="333">
        <f>'403'!D57</f>
        <v>19</v>
      </c>
      <c r="L57" s="332">
        <f>'403 L'!D58</f>
        <v>6</v>
      </c>
      <c r="M57" s="333">
        <f>'404'!D57</f>
        <v>21</v>
      </c>
      <c r="N57" s="332">
        <f>'404 L'!D58</f>
        <v>4</v>
      </c>
      <c r="O57" s="333">
        <f>'405'!D57</f>
        <v>17</v>
      </c>
      <c r="P57" s="332">
        <f>'405 L'!D58</f>
        <v>10</v>
      </c>
      <c r="Q57" s="332">
        <f>'406 L'!D58</f>
        <v>6</v>
      </c>
      <c r="R57" s="332">
        <f t="shared" si="1"/>
        <v>96</v>
      </c>
      <c r="S57" s="332">
        <f t="shared" si="2"/>
        <v>31</v>
      </c>
      <c r="T57" s="334">
        <f t="shared" si="3"/>
        <v>127</v>
      </c>
      <c r="U57" s="348">
        <f t="shared" si="5"/>
        <v>50</v>
      </c>
      <c r="V57" s="336"/>
      <c r="W57" s="336"/>
      <c r="X57" s="336"/>
      <c r="Y57" s="336"/>
      <c r="Z57" s="336"/>
      <c r="AA57" s="336"/>
      <c r="AB57" s="336"/>
    </row>
    <row r="58" ht="15.75" customHeight="1">
      <c r="A58" s="345">
        <v>49.0</v>
      </c>
      <c r="B58" s="111" t="s">
        <v>149</v>
      </c>
      <c r="C58" s="112" t="s">
        <v>150</v>
      </c>
      <c r="D58" s="327"/>
      <c r="E58" s="327"/>
      <c r="F58" s="328"/>
      <c r="G58" s="327"/>
      <c r="H58" s="330">
        <f>'401'!D58</f>
        <v>24</v>
      </c>
      <c r="I58" s="331">
        <f>'402'!D58</f>
        <v>20</v>
      </c>
      <c r="J58" s="332">
        <f>'402 L'!D59</f>
        <v>8</v>
      </c>
      <c r="K58" s="333">
        <f>'403'!D58</f>
        <v>17</v>
      </c>
      <c r="L58" s="332">
        <f>'403 L'!D59</f>
        <v>5</v>
      </c>
      <c r="M58" s="333">
        <f>'404'!D58</f>
        <v>18</v>
      </c>
      <c r="N58" s="332">
        <f>'404 L'!D59</f>
        <v>1</v>
      </c>
      <c r="O58" s="333">
        <f>'405'!D58</f>
        <v>18</v>
      </c>
      <c r="P58" s="332">
        <f>'405 L'!D59</f>
        <v>11</v>
      </c>
      <c r="Q58" s="332">
        <f>'406 L'!D59</f>
        <v>7</v>
      </c>
      <c r="R58" s="332">
        <f t="shared" si="1"/>
        <v>97</v>
      </c>
      <c r="S58" s="332">
        <f t="shared" si="2"/>
        <v>32</v>
      </c>
      <c r="T58" s="334">
        <f t="shared" si="3"/>
        <v>129</v>
      </c>
      <c r="U58" s="348">
        <f t="shared" si="5"/>
        <v>51</v>
      </c>
      <c r="V58" s="336"/>
      <c r="W58" s="336"/>
      <c r="X58" s="336"/>
      <c r="Y58" s="336"/>
      <c r="Z58" s="336"/>
      <c r="AA58" s="336"/>
      <c r="AB58" s="336"/>
    </row>
    <row r="59" ht="15.75" customHeight="1">
      <c r="A59" s="326">
        <v>50.0</v>
      </c>
      <c r="B59" s="111" t="s">
        <v>151</v>
      </c>
      <c r="C59" s="112" t="s">
        <v>152</v>
      </c>
      <c r="D59" s="327"/>
      <c r="E59" s="327"/>
      <c r="F59" s="328"/>
      <c r="G59" s="327"/>
      <c r="H59" s="330">
        <f>'401'!D59</f>
        <v>30</v>
      </c>
      <c r="I59" s="331">
        <f>'402'!D59</f>
        <v>28</v>
      </c>
      <c r="J59" s="332">
        <f>'402 L'!D60</f>
        <v>9</v>
      </c>
      <c r="K59" s="333">
        <f>'403'!D59</f>
        <v>32</v>
      </c>
      <c r="L59" s="332">
        <f>'403 L'!D60</f>
        <v>9</v>
      </c>
      <c r="M59" s="333">
        <f>'404'!D59</f>
        <v>26</v>
      </c>
      <c r="N59" s="332">
        <f>'404 L'!D60</f>
        <v>6</v>
      </c>
      <c r="O59" s="333">
        <f>'405'!D59</f>
        <v>27</v>
      </c>
      <c r="P59" s="332">
        <f>'405 L'!D60</f>
        <v>10</v>
      </c>
      <c r="Q59" s="332">
        <f>'406 L'!D60</f>
        <v>14</v>
      </c>
      <c r="R59" s="332">
        <f t="shared" si="1"/>
        <v>143</v>
      </c>
      <c r="S59" s="332">
        <f t="shared" si="2"/>
        <v>48</v>
      </c>
      <c r="T59" s="334">
        <f t="shared" si="3"/>
        <v>191</v>
      </c>
      <c r="U59" s="348">
        <f t="shared" si="5"/>
        <v>76</v>
      </c>
      <c r="V59" s="336"/>
      <c r="W59" s="336"/>
      <c r="X59" s="336"/>
      <c r="Y59" s="336"/>
      <c r="Z59" s="336"/>
      <c r="AA59" s="336"/>
      <c r="AB59" s="336"/>
    </row>
    <row r="60" ht="15.75" customHeight="1">
      <c r="A60" s="337">
        <v>51.0</v>
      </c>
      <c r="B60" s="111" t="s">
        <v>153</v>
      </c>
      <c r="C60" s="112" t="s">
        <v>154</v>
      </c>
      <c r="D60" s="327"/>
      <c r="E60" s="327"/>
      <c r="F60" s="328"/>
      <c r="G60" s="327"/>
      <c r="H60" s="330">
        <f>'401'!D60</f>
        <v>14</v>
      </c>
      <c r="I60" s="331">
        <f>'402'!D60</f>
        <v>16</v>
      </c>
      <c r="J60" s="332">
        <f>'402 L'!D61</f>
        <v>3</v>
      </c>
      <c r="K60" s="333">
        <f>'403'!D60</f>
        <v>18</v>
      </c>
      <c r="L60" s="332">
        <f>'403 L'!D61</f>
        <v>3</v>
      </c>
      <c r="M60" s="333">
        <f>'404'!D60</f>
        <v>11</v>
      </c>
      <c r="N60" s="332">
        <f>'404 L'!D61</f>
        <v>1</v>
      </c>
      <c r="O60" s="333">
        <f>'405'!D60</f>
        <v>13</v>
      </c>
      <c r="P60" s="332">
        <f>'405 L'!D61</f>
        <v>5</v>
      </c>
      <c r="Q60" s="332">
        <f>'406 L'!D61</f>
        <v>5</v>
      </c>
      <c r="R60" s="332">
        <f t="shared" si="1"/>
        <v>72</v>
      </c>
      <c r="S60" s="332">
        <f t="shared" si="2"/>
        <v>17</v>
      </c>
      <c r="T60" s="334">
        <f t="shared" si="3"/>
        <v>89</v>
      </c>
      <c r="U60" s="348">
        <f t="shared" si="5"/>
        <v>35</v>
      </c>
      <c r="V60" s="336"/>
      <c r="W60" s="336"/>
      <c r="X60" s="336"/>
      <c r="Y60" s="336"/>
      <c r="Z60" s="336"/>
      <c r="AA60" s="336"/>
      <c r="AB60" s="336"/>
    </row>
    <row r="61" ht="15.75" customHeight="1">
      <c r="A61" s="345">
        <v>52.0</v>
      </c>
      <c r="B61" s="111" t="s">
        <v>155</v>
      </c>
      <c r="C61" s="112" t="s">
        <v>156</v>
      </c>
      <c r="D61" s="327"/>
      <c r="E61" s="327"/>
      <c r="F61" s="328"/>
      <c r="G61" s="327"/>
      <c r="H61" s="330">
        <f>'401'!D61</f>
        <v>14</v>
      </c>
      <c r="I61" s="331">
        <f>'402'!D61</f>
        <v>14</v>
      </c>
      <c r="J61" s="332">
        <f>'402 L'!D62</f>
        <v>2</v>
      </c>
      <c r="K61" s="333">
        <f>'403'!D61</f>
        <v>15</v>
      </c>
      <c r="L61" s="332">
        <f>'403 L'!D62</f>
        <v>6</v>
      </c>
      <c r="M61" s="333">
        <f>'404'!D61</f>
        <v>14</v>
      </c>
      <c r="N61" s="332">
        <f>'404 L'!D62</f>
        <v>3</v>
      </c>
      <c r="O61" s="333">
        <f>'405'!D61</f>
        <v>15</v>
      </c>
      <c r="P61" s="332">
        <f>'405 L'!D62</f>
        <v>8</v>
      </c>
      <c r="Q61" s="332">
        <f>'406 L'!D62</f>
        <v>2</v>
      </c>
      <c r="R61" s="332">
        <f t="shared" si="1"/>
        <v>72</v>
      </c>
      <c r="S61" s="332">
        <f t="shared" si="2"/>
        <v>21</v>
      </c>
      <c r="T61" s="334">
        <f t="shared" si="3"/>
        <v>93</v>
      </c>
      <c r="U61" s="348">
        <f t="shared" si="5"/>
        <v>37</v>
      </c>
      <c r="V61" s="336"/>
      <c r="W61" s="336"/>
      <c r="X61" s="336"/>
      <c r="Y61" s="336"/>
      <c r="Z61" s="336"/>
      <c r="AA61" s="336"/>
      <c r="AB61" s="336"/>
    </row>
    <row r="62" ht="15.75" customHeight="1">
      <c r="A62" s="326">
        <v>53.0</v>
      </c>
      <c r="B62" s="111" t="s">
        <v>157</v>
      </c>
      <c r="C62" s="112" t="s">
        <v>158</v>
      </c>
      <c r="D62" s="327"/>
      <c r="E62" s="327"/>
      <c r="F62" s="328"/>
      <c r="G62" s="327"/>
      <c r="H62" s="330">
        <f>'401'!D62</f>
        <v>23</v>
      </c>
      <c r="I62" s="331">
        <f>'402'!D62</f>
        <v>22</v>
      </c>
      <c r="J62" s="332">
        <f>'402 L'!D63</f>
        <v>7</v>
      </c>
      <c r="K62" s="333">
        <f>'403'!D62</f>
        <v>17</v>
      </c>
      <c r="L62" s="332">
        <f>'403 L'!D63</f>
        <v>2</v>
      </c>
      <c r="M62" s="333">
        <f>'404'!D62</f>
        <v>17</v>
      </c>
      <c r="N62" s="332">
        <f>'404 L'!D63</f>
        <v>4</v>
      </c>
      <c r="O62" s="333">
        <f>'405'!D62</f>
        <v>19</v>
      </c>
      <c r="P62" s="332">
        <f>'405 L'!D63</f>
        <v>9</v>
      </c>
      <c r="Q62" s="332">
        <f>'406 L'!D63</f>
        <v>5</v>
      </c>
      <c r="R62" s="332">
        <f t="shared" si="1"/>
        <v>98</v>
      </c>
      <c r="S62" s="332">
        <f t="shared" si="2"/>
        <v>27</v>
      </c>
      <c r="T62" s="334">
        <f t="shared" si="3"/>
        <v>125</v>
      </c>
      <c r="U62" s="348">
        <f t="shared" si="5"/>
        <v>50</v>
      </c>
      <c r="V62" s="336"/>
      <c r="W62" s="336"/>
      <c r="X62" s="336"/>
      <c r="Y62" s="336"/>
      <c r="Z62" s="336"/>
      <c r="AA62" s="336"/>
      <c r="AB62" s="336"/>
    </row>
    <row r="63" ht="15.75" customHeight="1">
      <c r="A63" s="337">
        <v>54.0</v>
      </c>
      <c r="B63" s="111" t="s">
        <v>159</v>
      </c>
      <c r="C63" s="112" t="s">
        <v>160</v>
      </c>
      <c r="D63" s="327"/>
      <c r="E63" s="327"/>
      <c r="F63" s="328"/>
      <c r="G63" s="327"/>
      <c r="H63" s="330">
        <f>'401'!D63</f>
        <v>20</v>
      </c>
      <c r="I63" s="331">
        <f>'402'!D63</f>
        <v>12</v>
      </c>
      <c r="J63" s="332">
        <f>'402 L'!D64</f>
        <v>7</v>
      </c>
      <c r="K63" s="333">
        <f>'403'!D63</f>
        <v>19</v>
      </c>
      <c r="L63" s="332">
        <f>'403 L'!D64</f>
        <v>4</v>
      </c>
      <c r="M63" s="333">
        <f>'404'!D63</f>
        <v>14</v>
      </c>
      <c r="N63" s="332">
        <f>'404 L'!D64</f>
        <v>4</v>
      </c>
      <c r="O63" s="333">
        <f>'405'!D63</f>
        <v>11</v>
      </c>
      <c r="P63" s="332">
        <f>'405 L'!D64</f>
        <v>10</v>
      </c>
      <c r="Q63" s="332">
        <f>'406 L'!D64</f>
        <v>5</v>
      </c>
      <c r="R63" s="332">
        <f t="shared" si="1"/>
        <v>76</v>
      </c>
      <c r="S63" s="332">
        <f t="shared" si="2"/>
        <v>30</v>
      </c>
      <c r="T63" s="334">
        <f t="shared" si="3"/>
        <v>106</v>
      </c>
      <c r="U63" s="348">
        <f t="shared" si="5"/>
        <v>42</v>
      </c>
      <c r="V63" s="336"/>
      <c r="W63" s="336"/>
      <c r="X63" s="336"/>
      <c r="Y63" s="336"/>
      <c r="Z63" s="336"/>
      <c r="AA63" s="336"/>
      <c r="AB63" s="336"/>
    </row>
    <row r="64" ht="15.75" customHeight="1">
      <c r="A64" s="345">
        <v>55.0</v>
      </c>
      <c r="B64" s="111" t="s">
        <v>161</v>
      </c>
      <c r="C64" s="112" t="s">
        <v>162</v>
      </c>
      <c r="D64" s="327"/>
      <c r="E64" s="327"/>
      <c r="F64" s="328"/>
      <c r="G64" s="327"/>
      <c r="H64" s="330">
        <f>'401'!D64</f>
        <v>18</v>
      </c>
      <c r="I64" s="331">
        <f>'402'!D64</f>
        <v>17</v>
      </c>
      <c r="J64" s="332">
        <f>'402 L'!D65</f>
        <v>6</v>
      </c>
      <c r="K64" s="333">
        <f>'403'!D64</f>
        <v>15</v>
      </c>
      <c r="L64" s="332">
        <f>'403 L'!D65</f>
        <v>6</v>
      </c>
      <c r="M64" s="333">
        <f>'404'!D64</f>
        <v>18</v>
      </c>
      <c r="N64" s="332">
        <f>'404 L'!D65</f>
        <v>2</v>
      </c>
      <c r="O64" s="333">
        <f>'405'!D64</f>
        <v>14</v>
      </c>
      <c r="P64" s="332">
        <f>'405 L'!D65</f>
        <v>8</v>
      </c>
      <c r="Q64" s="332">
        <f>'406 L'!D65</f>
        <v>2</v>
      </c>
      <c r="R64" s="332">
        <f t="shared" si="1"/>
        <v>82</v>
      </c>
      <c r="S64" s="332">
        <f t="shared" si="2"/>
        <v>24</v>
      </c>
      <c r="T64" s="334">
        <f t="shared" si="3"/>
        <v>106</v>
      </c>
      <c r="U64" s="348">
        <f t="shared" si="5"/>
        <v>42</v>
      </c>
      <c r="V64" s="336"/>
      <c r="W64" s="336"/>
      <c r="X64" s="336"/>
      <c r="Y64" s="336"/>
      <c r="Z64" s="336"/>
      <c r="AA64" s="336"/>
      <c r="AB64" s="336"/>
    </row>
    <row r="65" ht="15.75" customHeight="1">
      <c r="A65" s="326">
        <v>56.0</v>
      </c>
      <c r="B65" s="111" t="s">
        <v>163</v>
      </c>
      <c r="C65" s="112" t="s">
        <v>164</v>
      </c>
      <c r="D65" s="327"/>
      <c r="E65" s="327"/>
      <c r="F65" s="328"/>
      <c r="G65" s="327"/>
      <c r="H65" s="330">
        <f>'401'!D65</f>
        <v>24</v>
      </c>
      <c r="I65" s="331">
        <f>'402'!D65</f>
        <v>18</v>
      </c>
      <c r="J65" s="332">
        <f>'402 L'!D66</f>
        <v>6</v>
      </c>
      <c r="K65" s="333">
        <f>'403'!D65</f>
        <v>21</v>
      </c>
      <c r="L65" s="332">
        <f>'403 L'!D66</f>
        <v>7</v>
      </c>
      <c r="M65" s="333">
        <f>'404'!D65</f>
        <v>22</v>
      </c>
      <c r="N65" s="332">
        <f>'404 L'!D66</f>
        <v>3</v>
      </c>
      <c r="O65" s="333">
        <f>'405'!D65</f>
        <v>23</v>
      </c>
      <c r="P65" s="332">
        <f>'405 L'!D66</f>
        <v>11</v>
      </c>
      <c r="Q65" s="332">
        <f>'406 L'!D66</f>
        <v>11</v>
      </c>
      <c r="R65" s="332">
        <f t="shared" si="1"/>
        <v>108</v>
      </c>
      <c r="S65" s="332">
        <f t="shared" si="2"/>
        <v>38</v>
      </c>
      <c r="T65" s="334">
        <f t="shared" si="3"/>
        <v>146</v>
      </c>
      <c r="U65" s="348">
        <f t="shared" si="5"/>
        <v>58</v>
      </c>
      <c r="V65" s="336"/>
      <c r="W65" s="336"/>
      <c r="X65" s="336"/>
      <c r="Y65" s="336"/>
      <c r="Z65" s="336"/>
      <c r="AA65" s="336"/>
      <c r="AB65" s="336"/>
    </row>
    <row r="66" ht="15.75" customHeight="1">
      <c r="A66" s="337">
        <v>57.0</v>
      </c>
      <c r="B66" s="111" t="s">
        <v>165</v>
      </c>
      <c r="C66" s="112" t="s">
        <v>166</v>
      </c>
      <c r="D66" s="327"/>
      <c r="E66" s="327"/>
      <c r="F66" s="328"/>
      <c r="G66" s="327"/>
      <c r="H66" s="330">
        <f>'401'!D66</f>
        <v>30</v>
      </c>
      <c r="I66" s="331">
        <f>'402'!D66</f>
        <v>27</v>
      </c>
      <c r="J66" s="332">
        <f>'402 L'!D67</f>
        <v>9</v>
      </c>
      <c r="K66" s="333">
        <f>'403'!D66</f>
        <v>29</v>
      </c>
      <c r="L66" s="332">
        <f>'403 L'!D67</f>
        <v>9</v>
      </c>
      <c r="M66" s="333">
        <f>'404'!D66</f>
        <v>27</v>
      </c>
      <c r="N66" s="332">
        <f>'404 L'!D67</f>
        <v>5</v>
      </c>
      <c r="O66" s="333">
        <f>'405'!D66</f>
        <v>25</v>
      </c>
      <c r="P66" s="332">
        <f>'405 L'!D67</f>
        <v>10</v>
      </c>
      <c r="Q66" s="332">
        <f>'406 L'!D67</f>
        <v>13</v>
      </c>
      <c r="R66" s="332">
        <f t="shared" si="1"/>
        <v>138</v>
      </c>
      <c r="S66" s="332">
        <f t="shared" si="2"/>
        <v>46</v>
      </c>
      <c r="T66" s="334">
        <f t="shared" si="3"/>
        <v>184</v>
      </c>
      <c r="U66" s="348">
        <f t="shared" si="5"/>
        <v>73</v>
      </c>
      <c r="V66" s="336"/>
      <c r="W66" s="336"/>
      <c r="X66" s="336"/>
      <c r="Y66" s="336"/>
      <c r="Z66" s="336"/>
      <c r="AA66" s="336"/>
      <c r="AB66" s="336"/>
    </row>
    <row r="67" ht="15.75" customHeight="1">
      <c r="A67" s="345">
        <v>58.0</v>
      </c>
      <c r="B67" s="111" t="s">
        <v>167</v>
      </c>
      <c r="C67" s="112" t="s">
        <v>168</v>
      </c>
      <c r="D67" s="327"/>
      <c r="E67" s="327"/>
      <c r="F67" s="328"/>
      <c r="G67" s="327"/>
      <c r="H67" s="330">
        <f>'401'!D67</f>
        <v>31</v>
      </c>
      <c r="I67" s="331">
        <f>'402'!D67</f>
        <v>26</v>
      </c>
      <c r="J67" s="332">
        <f>'402 L'!D68</f>
        <v>8</v>
      </c>
      <c r="K67" s="333">
        <f>'403'!D67</f>
        <v>30</v>
      </c>
      <c r="L67" s="332">
        <f>'403 L'!D68</f>
        <v>11</v>
      </c>
      <c r="M67" s="333">
        <f>'404'!D67</f>
        <v>23</v>
      </c>
      <c r="N67" s="332">
        <f>'404 L'!D68</f>
        <v>7</v>
      </c>
      <c r="O67" s="333">
        <f>'405'!D67</f>
        <v>28</v>
      </c>
      <c r="P67" s="332">
        <f>'405 L'!D68</f>
        <v>12</v>
      </c>
      <c r="Q67" s="332">
        <f>'406 L'!D68</f>
        <v>9</v>
      </c>
      <c r="R67" s="332">
        <f t="shared" si="1"/>
        <v>138</v>
      </c>
      <c r="S67" s="332">
        <f t="shared" si="2"/>
        <v>47</v>
      </c>
      <c r="T67" s="334">
        <f t="shared" si="3"/>
        <v>185</v>
      </c>
      <c r="U67" s="348">
        <f t="shared" si="5"/>
        <v>73</v>
      </c>
      <c r="V67" s="336"/>
      <c r="W67" s="336"/>
      <c r="X67" s="336"/>
      <c r="Y67" s="336"/>
      <c r="Z67" s="336"/>
      <c r="AA67" s="336"/>
      <c r="AB67" s="336"/>
    </row>
    <row r="68" ht="15.75" customHeight="1">
      <c r="A68" s="326">
        <v>59.0</v>
      </c>
      <c r="B68" s="111" t="s">
        <v>169</v>
      </c>
      <c r="C68" s="112" t="s">
        <v>170</v>
      </c>
      <c r="D68" s="327"/>
      <c r="E68" s="327"/>
      <c r="F68" s="328"/>
      <c r="G68" s="327"/>
      <c r="H68" s="330">
        <f>'401'!D68</f>
        <v>22</v>
      </c>
      <c r="I68" s="331">
        <f>'402'!D68</f>
        <v>21</v>
      </c>
      <c r="J68" s="332">
        <f>'402 L'!D69</f>
        <v>6</v>
      </c>
      <c r="K68" s="333">
        <f>'403'!D68</f>
        <v>23</v>
      </c>
      <c r="L68" s="332">
        <f>'403 L'!D69</f>
        <v>5</v>
      </c>
      <c r="M68" s="333">
        <f>'404'!D68</f>
        <v>15</v>
      </c>
      <c r="N68" s="332">
        <f>'404 L'!D69</f>
        <v>6</v>
      </c>
      <c r="O68" s="333">
        <f>'405'!D68</f>
        <v>24</v>
      </c>
      <c r="P68" s="332">
        <f>'405 L'!D69</f>
        <v>9</v>
      </c>
      <c r="Q68" s="332">
        <f>'406 L'!D69</f>
        <v>9</v>
      </c>
      <c r="R68" s="332">
        <f t="shared" si="1"/>
        <v>105</v>
      </c>
      <c r="S68" s="332">
        <f t="shared" si="2"/>
        <v>35</v>
      </c>
      <c r="T68" s="334">
        <f t="shared" si="3"/>
        <v>140</v>
      </c>
      <c r="U68" s="348">
        <f t="shared" si="5"/>
        <v>56</v>
      </c>
      <c r="V68" s="336"/>
      <c r="W68" s="336"/>
      <c r="X68" s="336"/>
      <c r="Y68" s="336"/>
      <c r="Z68" s="336"/>
      <c r="AA68" s="336"/>
      <c r="AB68" s="336"/>
    </row>
    <row r="69" ht="15.75" customHeight="1">
      <c r="A69" s="337">
        <v>60.0</v>
      </c>
      <c r="B69" s="111" t="s">
        <v>171</v>
      </c>
      <c r="C69" s="112" t="s">
        <v>172</v>
      </c>
      <c r="D69" s="327"/>
      <c r="E69" s="327"/>
      <c r="F69" s="328"/>
      <c r="G69" s="327"/>
      <c r="H69" s="330">
        <f>'401'!D69</f>
        <v>14</v>
      </c>
      <c r="I69" s="331">
        <f>'402'!D69</f>
        <v>18</v>
      </c>
      <c r="J69" s="332">
        <f>'402 L'!D70</f>
        <v>6</v>
      </c>
      <c r="K69" s="333">
        <f>'403'!D69</f>
        <v>11</v>
      </c>
      <c r="L69" s="332">
        <f>'403 L'!D70</f>
        <v>1</v>
      </c>
      <c r="M69" s="333">
        <f>'404'!D69</f>
        <v>14</v>
      </c>
      <c r="N69" s="332">
        <f>'404 L'!D70</f>
        <v>5</v>
      </c>
      <c r="O69" s="333">
        <f>'405'!D69</f>
        <v>23</v>
      </c>
      <c r="P69" s="332">
        <f>'405 L'!D70</f>
        <v>7</v>
      </c>
      <c r="Q69" s="332">
        <f>'406 L'!D70</f>
        <v>7</v>
      </c>
      <c r="R69" s="332">
        <f t="shared" si="1"/>
        <v>80</v>
      </c>
      <c r="S69" s="332">
        <f t="shared" si="2"/>
        <v>26</v>
      </c>
      <c r="T69" s="334">
        <f t="shared" si="3"/>
        <v>106</v>
      </c>
      <c r="U69" s="348">
        <f t="shared" si="5"/>
        <v>42</v>
      </c>
      <c r="V69" s="336"/>
      <c r="W69" s="336"/>
      <c r="X69" s="336"/>
      <c r="Y69" s="336"/>
      <c r="Z69" s="336"/>
      <c r="AA69" s="336"/>
      <c r="AB69" s="336"/>
    </row>
    <row r="70" ht="15.75" customHeight="1">
      <c r="A70" s="345">
        <v>61.0</v>
      </c>
      <c r="B70" s="111" t="s">
        <v>173</v>
      </c>
      <c r="C70" s="112" t="s">
        <v>174</v>
      </c>
      <c r="D70" s="327"/>
      <c r="E70" s="327"/>
      <c r="F70" s="328"/>
      <c r="G70" s="327"/>
      <c r="H70" s="330">
        <f>'401'!D70</f>
        <v>18</v>
      </c>
      <c r="I70" s="331">
        <f>'402'!D70</f>
        <v>13</v>
      </c>
      <c r="J70" s="332">
        <f>'402 L'!D71</f>
        <v>3</v>
      </c>
      <c r="K70" s="333">
        <f>'403'!D70</f>
        <v>17</v>
      </c>
      <c r="L70" s="332">
        <f>'403 L'!D71</f>
        <v>2</v>
      </c>
      <c r="M70" s="333">
        <f>'404'!D70</f>
        <v>12</v>
      </c>
      <c r="N70" s="332">
        <f>'404 L'!D71</f>
        <v>5</v>
      </c>
      <c r="O70" s="333">
        <f>'405'!D70</f>
        <v>15</v>
      </c>
      <c r="P70" s="332">
        <f>'405 L'!D71</f>
        <v>6</v>
      </c>
      <c r="Q70" s="332">
        <f>'406 L'!D71</f>
        <v>4</v>
      </c>
      <c r="R70" s="332">
        <f t="shared" si="1"/>
        <v>75</v>
      </c>
      <c r="S70" s="332">
        <f t="shared" si="2"/>
        <v>20</v>
      </c>
      <c r="T70" s="334">
        <f t="shared" si="3"/>
        <v>95</v>
      </c>
      <c r="U70" s="348">
        <f t="shared" si="5"/>
        <v>38</v>
      </c>
      <c r="V70" s="336"/>
      <c r="W70" s="336"/>
      <c r="X70" s="336"/>
      <c r="Y70" s="336"/>
      <c r="Z70" s="336"/>
      <c r="AA70" s="336"/>
      <c r="AB70" s="336"/>
    </row>
    <row r="71" ht="15.75" customHeight="1">
      <c r="A71" s="326">
        <v>62.0</v>
      </c>
      <c r="B71" s="111" t="s">
        <v>175</v>
      </c>
      <c r="C71" s="112" t="s">
        <v>176</v>
      </c>
      <c r="D71" s="327"/>
      <c r="E71" s="327"/>
      <c r="F71" s="328"/>
      <c r="G71" s="327"/>
      <c r="H71" s="330">
        <f>'401'!D71</f>
        <v>3</v>
      </c>
      <c r="I71" s="331">
        <f>'402'!D71</f>
        <v>3</v>
      </c>
      <c r="J71" s="332">
        <f>'402 L'!D72</f>
        <v>1</v>
      </c>
      <c r="K71" s="333">
        <f>'403'!D71</f>
        <v>1</v>
      </c>
      <c r="L71" s="332">
        <f>'403 L'!D72</f>
        <v>0</v>
      </c>
      <c r="M71" s="333">
        <f>'404'!D71</f>
        <v>5</v>
      </c>
      <c r="N71" s="332">
        <f>'404 L'!D72</f>
        <v>4</v>
      </c>
      <c r="O71" s="333">
        <f>'405'!D71</f>
        <v>1</v>
      </c>
      <c r="P71" s="332">
        <f>'405 L'!D72</f>
        <v>1</v>
      </c>
      <c r="Q71" s="332">
        <f>'406 L'!D72</f>
        <v>1</v>
      </c>
      <c r="R71" s="332">
        <f t="shared" si="1"/>
        <v>13</v>
      </c>
      <c r="S71" s="332">
        <f t="shared" si="2"/>
        <v>7</v>
      </c>
      <c r="T71" s="334">
        <f t="shared" si="3"/>
        <v>20</v>
      </c>
      <c r="U71" s="348">
        <f t="shared" si="5"/>
        <v>8</v>
      </c>
      <c r="V71" s="336"/>
      <c r="W71" s="336"/>
      <c r="X71" s="336"/>
      <c r="Y71" s="336"/>
      <c r="Z71" s="336"/>
      <c r="AA71" s="336"/>
      <c r="AB71" s="336"/>
    </row>
    <row r="72" ht="15.75" customHeight="1">
      <c r="A72" s="337">
        <v>63.0</v>
      </c>
      <c r="B72" s="111" t="s">
        <v>177</v>
      </c>
      <c r="C72" s="112" t="s">
        <v>178</v>
      </c>
      <c r="D72" s="327"/>
      <c r="E72" s="327"/>
      <c r="F72" s="328"/>
      <c r="G72" s="327"/>
      <c r="H72" s="330">
        <f>'401'!D72</f>
        <v>18</v>
      </c>
      <c r="I72" s="331">
        <f>'402'!D72</f>
        <v>12</v>
      </c>
      <c r="J72" s="332">
        <f>'402 L'!D73</f>
        <v>7</v>
      </c>
      <c r="K72" s="333">
        <f>'403'!D72</f>
        <v>17</v>
      </c>
      <c r="L72" s="332">
        <f>'403 L'!D73</f>
        <v>5</v>
      </c>
      <c r="M72" s="333">
        <f>'404'!D72</f>
        <v>15</v>
      </c>
      <c r="N72" s="332">
        <f>'404 L'!D73</f>
        <v>6</v>
      </c>
      <c r="O72" s="333">
        <f>'405'!D72</f>
        <v>14</v>
      </c>
      <c r="P72" s="332">
        <f>'405 L'!D73</f>
        <v>7</v>
      </c>
      <c r="Q72" s="332">
        <f>'406 L'!D73</f>
        <v>5</v>
      </c>
      <c r="R72" s="332">
        <f t="shared" si="1"/>
        <v>76</v>
      </c>
      <c r="S72" s="332">
        <f t="shared" si="2"/>
        <v>30</v>
      </c>
      <c r="T72" s="334">
        <f t="shared" si="3"/>
        <v>106</v>
      </c>
      <c r="U72" s="348">
        <f t="shared" si="5"/>
        <v>42</v>
      </c>
      <c r="V72" s="336"/>
      <c r="W72" s="336"/>
      <c r="X72" s="336"/>
      <c r="Y72" s="336"/>
      <c r="Z72" s="336"/>
      <c r="AA72" s="336"/>
      <c r="AB72" s="336"/>
    </row>
    <row r="73" ht="15.75" customHeight="1">
      <c r="A73" s="345">
        <v>64.0</v>
      </c>
      <c r="B73" s="111" t="s">
        <v>179</v>
      </c>
      <c r="C73" s="112" t="s">
        <v>180</v>
      </c>
      <c r="D73" s="327"/>
      <c r="E73" s="327"/>
      <c r="F73" s="328"/>
      <c r="G73" s="327"/>
      <c r="H73" s="330">
        <f>'401'!D73</f>
        <v>22</v>
      </c>
      <c r="I73" s="331">
        <f>'402'!D73</f>
        <v>19</v>
      </c>
      <c r="J73" s="332">
        <f>'402 L'!D74</f>
        <v>9</v>
      </c>
      <c r="K73" s="333">
        <f>'403'!D73</f>
        <v>22</v>
      </c>
      <c r="L73" s="332">
        <f>'403 L'!D74</f>
        <v>3</v>
      </c>
      <c r="M73" s="333">
        <f>'404'!D73</f>
        <v>20</v>
      </c>
      <c r="N73" s="332">
        <f>'404 L'!D74</f>
        <v>7</v>
      </c>
      <c r="O73" s="333">
        <f>'405'!D73</f>
        <v>24</v>
      </c>
      <c r="P73" s="332">
        <f>'405 L'!D74</f>
        <v>9</v>
      </c>
      <c r="Q73" s="332">
        <f>'406 L'!D74</f>
        <v>11</v>
      </c>
      <c r="R73" s="332">
        <f t="shared" si="1"/>
        <v>107</v>
      </c>
      <c r="S73" s="332">
        <f t="shared" si="2"/>
        <v>39</v>
      </c>
      <c r="T73" s="334">
        <f t="shared" si="3"/>
        <v>146</v>
      </c>
      <c r="U73" s="348">
        <f t="shared" si="5"/>
        <v>58</v>
      </c>
      <c r="V73" s="336"/>
      <c r="W73" s="336"/>
      <c r="X73" s="336"/>
      <c r="Y73" s="336"/>
      <c r="Z73" s="336"/>
      <c r="AA73" s="336"/>
      <c r="AB73" s="336"/>
    </row>
    <row r="74" ht="15.75" customHeight="1">
      <c r="A74" s="326">
        <v>65.0</v>
      </c>
      <c r="B74" s="111" t="s">
        <v>181</v>
      </c>
      <c r="C74" s="112" t="s">
        <v>182</v>
      </c>
      <c r="D74" s="327"/>
      <c r="E74" s="327"/>
      <c r="F74" s="328"/>
      <c r="G74" s="327"/>
      <c r="H74" s="330">
        <f>'401'!D74</f>
        <v>23</v>
      </c>
      <c r="I74" s="331">
        <f>'402'!D74</f>
        <v>19</v>
      </c>
      <c r="J74" s="332">
        <f>'402 L'!D75</f>
        <v>8</v>
      </c>
      <c r="K74" s="333">
        <f>'403'!D74</f>
        <v>18</v>
      </c>
      <c r="L74" s="332">
        <f>'403 L'!D75</f>
        <v>5</v>
      </c>
      <c r="M74" s="333">
        <f>'404'!D74</f>
        <v>20</v>
      </c>
      <c r="N74" s="332">
        <f>'404 L'!D75</f>
        <v>7</v>
      </c>
      <c r="O74" s="333">
        <f>'405'!D74</f>
        <v>17</v>
      </c>
      <c r="P74" s="332">
        <f>'405 L'!D75</f>
        <v>8</v>
      </c>
      <c r="Q74" s="332">
        <f>'406 L'!D75</f>
        <v>8</v>
      </c>
      <c r="R74" s="332">
        <f t="shared" si="1"/>
        <v>97</v>
      </c>
      <c r="S74" s="332">
        <f t="shared" si="2"/>
        <v>36</v>
      </c>
      <c r="T74" s="334">
        <f t="shared" si="3"/>
        <v>133</v>
      </c>
      <c r="U74" s="348">
        <f t="shared" si="5"/>
        <v>53</v>
      </c>
      <c r="V74" s="336"/>
      <c r="W74" s="336"/>
      <c r="X74" s="336"/>
      <c r="Y74" s="336"/>
      <c r="Z74" s="336"/>
      <c r="AA74" s="336"/>
      <c r="AB74" s="336"/>
    </row>
    <row r="75" ht="15.75" customHeight="1">
      <c r="A75" s="337">
        <v>66.0</v>
      </c>
      <c r="B75" s="111" t="s">
        <v>183</v>
      </c>
      <c r="C75" s="112" t="s">
        <v>184</v>
      </c>
      <c r="D75" s="327"/>
      <c r="E75" s="327"/>
      <c r="F75" s="328"/>
      <c r="G75" s="327"/>
      <c r="H75" s="330">
        <f>'401'!D75</f>
        <v>6</v>
      </c>
      <c r="I75" s="331">
        <f>'402'!D75</f>
        <v>0</v>
      </c>
      <c r="J75" s="332">
        <f>'402 L'!D76</f>
        <v>1</v>
      </c>
      <c r="K75" s="333">
        <f>'403'!D75</f>
        <v>0</v>
      </c>
      <c r="L75" s="332">
        <f>'403 L'!D76</f>
        <v>0</v>
      </c>
      <c r="M75" s="333">
        <f>'404'!D75</f>
        <v>1</v>
      </c>
      <c r="N75" s="332">
        <f>'404 L'!D76</f>
        <v>0</v>
      </c>
      <c r="O75" s="333">
        <f>'405'!D75</f>
        <v>2</v>
      </c>
      <c r="P75" s="332">
        <f>'405 L'!D76</f>
        <v>1</v>
      </c>
      <c r="Q75" s="332">
        <f>'406 L'!D76</f>
        <v>0</v>
      </c>
      <c r="R75" s="332">
        <f t="shared" si="1"/>
        <v>9</v>
      </c>
      <c r="S75" s="332">
        <f t="shared" si="2"/>
        <v>2</v>
      </c>
      <c r="T75" s="334">
        <f t="shared" si="3"/>
        <v>11</v>
      </c>
      <c r="U75" s="348">
        <f t="shared" si="5"/>
        <v>4</v>
      </c>
      <c r="V75" s="336"/>
      <c r="W75" s="336"/>
      <c r="X75" s="336"/>
      <c r="Y75" s="336"/>
      <c r="Z75" s="336"/>
      <c r="AA75" s="336"/>
      <c r="AB75" s="336"/>
    </row>
    <row r="76" ht="15.75" customHeight="1">
      <c r="A76" s="345">
        <v>67.0</v>
      </c>
      <c r="B76" s="111" t="s">
        <v>185</v>
      </c>
      <c r="C76" s="112" t="s">
        <v>186</v>
      </c>
      <c r="D76" s="327"/>
      <c r="E76" s="327"/>
      <c r="F76" s="328"/>
      <c r="G76" s="327"/>
      <c r="H76" s="330">
        <f>'401'!D76</f>
        <v>19</v>
      </c>
      <c r="I76" s="331">
        <f>'402'!D76</f>
        <v>21</v>
      </c>
      <c r="J76" s="332">
        <f>'402 L'!D77</f>
        <v>7</v>
      </c>
      <c r="K76" s="333">
        <f>'403'!D76</f>
        <v>19</v>
      </c>
      <c r="L76" s="332">
        <f>'403 L'!D77</f>
        <v>8</v>
      </c>
      <c r="M76" s="333">
        <f>'404'!D76</f>
        <v>21</v>
      </c>
      <c r="N76" s="332">
        <f>'404 L'!D77</f>
        <v>4</v>
      </c>
      <c r="O76" s="333">
        <f>'405'!D76</f>
        <v>23</v>
      </c>
      <c r="P76" s="332">
        <f>'405 L'!D77</f>
        <v>8</v>
      </c>
      <c r="Q76" s="332">
        <f>'406 L'!D77</f>
        <v>7</v>
      </c>
      <c r="R76" s="332">
        <f t="shared" si="1"/>
        <v>103</v>
      </c>
      <c r="S76" s="332">
        <f t="shared" si="2"/>
        <v>34</v>
      </c>
      <c r="T76" s="334">
        <f t="shared" si="3"/>
        <v>137</v>
      </c>
      <c r="U76" s="348">
        <f t="shared" si="5"/>
        <v>54</v>
      </c>
      <c r="V76" s="336"/>
      <c r="W76" s="336"/>
      <c r="X76" s="336"/>
      <c r="Y76" s="336"/>
      <c r="Z76" s="336"/>
      <c r="AA76" s="336"/>
      <c r="AB76" s="336"/>
    </row>
    <row r="77" ht="15.75" customHeight="1">
      <c r="A77" s="326">
        <v>68.0</v>
      </c>
      <c r="B77" s="161" t="s">
        <v>187</v>
      </c>
      <c r="C77" s="162" t="s">
        <v>188</v>
      </c>
      <c r="D77" s="327"/>
      <c r="E77" s="327"/>
      <c r="F77" s="328"/>
      <c r="G77" s="327"/>
      <c r="H77" s="330">
        <f>'401'!D77</f>
        <v>16</v>
      </c>
      <c r="I77" s="331">
        <f>'402'!D77</f>
        <v>13</v>
      </c>
      <c r="J77" s="332">
        <f>'402 L'!D78</f>
        <v>2</v>
      </c>
      <c r="K77" s="333">
        <f>'403'!D77</f>
        <v>14</v>
      </c>
      <c r="L77" s="332">
        <f>'403 L'!D78</f>
        <v>3</v>
      </c>
      <c r="M77" s="333">
        <f>'404'!D77</f>
        <v>11</v>
      </c>
      <c r="N77" s="332">
        <f>'404 L'!D78</f>
        <v>5</v>
      </c>
      <c r="O77" s="333">
        <f>'405'!D77</f>
        <v>18</v>
      </c>
      <c r="P77" s="332">
        <f>'405 L'!D78</f>
        <v>7</v>
      </c>
      <c r="Q77" s="332">
        <f>'406 L'!D78</f>
        <v>9</v>
      </c>
      <c r="R77" s="332">
        <f t="shared" si="1"/>
        <v>72</v>
      </c>
      <c r="S77" s="332">
        <f t="shared" si="2"/>
        <v>26</v>
      </c>
      <c r="T77" s="334">
        <f t="shared" si="3"/>
        <v>98</v>
      </c>
      <c r="U77" s="348">
        <f t="shared" si="5"/>
        <v>39</v>
      </c>
      <c r="V77" s="336"/>
      <c r="W77" s="336"/>
      <c r="X77" s="336"/>
      <c r="Y77" s="336"/>
      <c r="Z77" s="336"/>
      <c r="AA77" s="336"/>
      <c r="AB77" s="336"/>
    </row>
    <row r="78" ht="15.75" customHeight="1">
      <c r="A78" s="337">
        <v>69.0</v>
      </c>
      <c r="B78" s="161" t="s">
        <v>189</v>
      </c>
      <c r="C78" s="162" t="s">
        <v>190</v>
      </c>
      <c r="D78" s="327"/>
      <c r="E78" s="338"/>
      <c r="F78" s="328"/>
      <c r="G78" s="327"/>
      <c r="H78" s="330">
        <f>'401'!D78</f>
        <v>13</v>
      </c>
      <c r="I78" s="331">
        <f>'402'!D78</f>
        <v>6</v>
      </c>
      <c r="J78" s="332">
        <f>'402 L'!D79</f>
        <v>3</v>
      </c>
      <c r="K78" s="333">
        <f>'403'!D78</f>
        <v>14</v>
      </c>
      <c r="L78" s="332">
        <f>'403 L'!D79</f>
        <v>3</v>
      </c>
      <c r="M78" s="333">
        <f>'404'!D78</f>
        <v>9</v>
      </c>
      <c r="N78" s="332">
        <f>'404 L'!D79</f>
        <v>5</v>
      </c>
      <c r="O78" s="333">
        <f>'405'!D78</f>
        <v>11</v>
      </c>
      <c r="P78" s="332">
        <f>'405 L'!D79</f>
        <v>4</v>
      </c>
      <c r="Q78" s="332">
        <f>'406 L'!D79</f>
        <v>2</v>
      </c>
      <c r="R78" s="332">
        <f t="shared" si="1"/>
        <v>53</v>
      </c>
      <c r="S78" s="332">
        <f t="shared" si="2"/>
        <v>17</v>
      </c>
      <c r="T78" s="334">
        <f t="shared" si="3"/>
        <v>70</v>
      </c>
      <c r="U78" s="348">
        <f t="shared" si="5"/>
        <v>28</v>
      </c>
      <c r="V78" s="336"/>
      <c r="W78" s="336"/>
      <c r="X78" s="336"/>
      <c r="Y78" s="336"/>
      <c r="Z78" s="336"/>
      <c r="AA78" s="336"/>
      <c r="AB78" s="336"/>
    </row>
    <row r="79" ht="15.75" customHeight="1">
      <c r="A79" s="345">
        <v>70.0</v>
      </c>
      <c r="B79" s="111" t="s">
        <v>191</v>
      </c>
      <c r="C79" s="112" t="s">
        <v>192</v>
      </c>
      <c r="D79" s="327"/>
      <c r="E79" s="338"/>
      <c r="F79" s="328"/>
      <c r="G79" s="327"/>
      <c r="H79" s="330">
        <f>'401'!D79</f>
        <v>23</v>
      </c>
      <c r="I79" s="331">
        <f>'402'!D79</f>
        <v>25</v>
      </c>
      <c r="J79" s="332">
        <f>'402 L'!D80</f>
        <v>9</v>
      </c>
      <c r="K79" s="333">
        <f>'403'!D79</f>
        <v>20</v>
      </c>
      <c r="L79" s="332">
        <f>'403 L'!D80</f>
        <v>5</v>
      </c>
      <c r="M79" s="333">
        <f>'404'!D79</f>
        <v>21</v>
      </c>
      <c r="N79" s="332">
        <f>'404 L'!D80</f>
        <v>5</v>
      </c>
      <c r="O79" s="333">
        <f>'405'!D79</f>
        <v>25</v>
      </c>
      <c r="P79" s="332">
        <f>'405 L'!D80</f>
        <v>7</v>
      </c>
      <c r="Q79" s="332">
        <f>'406 L'!D80</f>
        <v>6</v>
      </c>
      <c r="R79" s="332">
        <f t="shared" si="1"/>
        <v>114</v>
      </c>
      <c r="S79" s="332">
        <f t="shared" si="2"/>
        <v>32</v>
      </c>
      <c r="T79" s="334">
        <f t="shared" si="3"/>
        <v>146</v>
      </c>
      <c r="U79" s="348">
        <f t="shared" si="5"/>
        <v>58</v>
      </c>
      <c r="V79" s="336"/>
      <c r="W79" s="336"/>
      <c r="X79" s="336"/>
      <c r="Y79" s="336"/>
      <c r="Z79" s="336"/>
      <c r="AA79" s="336"/>
      <c r="AB79" s="336"/>
    </row>
    <row r="80" ht="15.75" customHeight="1">
      <c r="A80" s="326">
        <v>71.0</v>
      </c>
      <c r="B80" s="111" t="s">
        <v>193</v>
      </c>
      <c r="C80" s="112" t="s">
        <v>194</v>
      </c>
      <c r="D80" s="327"/>
      <c r="E80" s="338"/>
      <c r="F80" s="328"/>
      <c r="G80" s="327"/>
      <c r="H80" s="330">
        <f>'401'!D80</f>
        <v>28</v>
      </c>
      <c r="I80" s="331">
        <f>'402'!D80</f>
        <v>20</v>
      </c>
      <c r="J80" s="332">
        <f>'402 L'!D81</f>
        <v>7</v>
      </c>
      <c r="K80" s="333">
        <f>'403'!D80</f>
        <v>24</v>
      </c>
      <c r="L80" s="332">
        <f>'403 L'!D81</f>
        <v>5</v>
      </c>
      <c r="M80" s="333">
        <f>'404'!D80</f>
        <v>20</v>
      </c>
      <c r="N80" s="332">
        <f>'404 L'!D81</f>
        <v>8</v>
      </c>
      <c r="O80" s="333">
        <f>'405'!D80</f>
        <v>27</v>
      </c>
      <c r="P80" s="332">
        <f>'405 L'!D81</f>
        <v>9</v>
      </c>
      <c r="Q80" s="332">
        <f>'406 L'!D81</f>
        <v>10</v>
      </c>
      <c r="R80" s="332">
        <f t="shared" si="1"/>
        <v>119</v>
      </c>
      <c r="S80" s="332">
        <f t="shared" si="2"/>
        <v>39</v>
      </c>
      <c r="T80" s="334">
        <f t="shared" si="3"/>
        <v>158</v>
      </c>
      <c r="U80" s="348">
        <f t="shared" si="5"/>
        <v>63</v>
      </c>
      <c r="V80" s="336"/>
      <c r="W80" s="336"/>
      <c r="X80" s="336"/>
      <c r="Y80" s="336"/>
      <c r="Z80" s="336"/>
      <c r="AA80" s="336"/>
      <c r="AB80" s="336"/>
    </row>
    <row r="81" ht="15.75" customHeight="1">
      <c r="A81" s="337">
        <v>72.0</v>
      </c>
      <c r="B81" s="350" t="s">
        <v>195</v>
      </c>
      <c r="C81" s="351" t="s">
        <v>196</v>
      </c>
      <c r="D81" s="327"/>
      <c r="E81" s="327"/>
      <c r="F81" s="328"/>
      <c r="G81" s="327"/>
      <c r="H81" s="330">
        <f>'401'!D81</f>
        <v>0</v>
      </c>
      <c r="I81" s="331">
        <f>'402'!D81</f>
        <v>0</v>
      </c>
      <c r="J81" s="332">
        <f>'402 L'!D82</f>
        <v>1</v>
      </c>
      <c r="K81" s="333">
        <f>'403'!D81</f>
        <v>10</v>
      </c>
      <c r="L81" s="332">
        <f>'403 L'!D82</f>
        <v>2</v>
      </c>
      <c r="M81" s="333">
        <f>'404'!D81</f>
        <v>3</v>
      </c>
      <c r="N81" s="332">
        <f>'404 L'!D82</f>
        <v>1</v>
      </c>
      <c r="O81" s="333">
        <f>'405'!D81</f>
        <v>12</v>
      </c>
      <c r="P81" s="332">
        <f>'405 L'!D82</f>
        <v>2</v>
      </c>
      <c r="Q81" s="332">
        <f>'406 L'!D82</f>
        <v>1</v>
      </c>
      <c r="R81" s="332">
        <f t="shared" si="1"/>
        <v>25</v>
      </c>
      <c r="S81" s="332">
        <f t="shared" si="2"/>
        <v>7</v>
      </c>
      <c r="T81" s="334">
        <f t="shared" si="3"/>
        <v>32</v>
      </c>
      <c r="U81" s="348">
        <f t="shared" si="5"/>
        <v>13</v>
      </c>
      <c r="V81" s="336"/>
      <c r="W81" s="336"/>
      <c r="X81" s="336"/>
      <c r="Y81" s="336"/>
      <c r="Z81" s="336"/>
      <c r="AA81" s="336"/>
      <c r="AB81" s="336"/>
    </row>
    <row r="82" ht="15.75" customHeight="1">
      <c r="A82" s="345">
        <v>73.0</v>
      </c>
      <c r="B82" s="111" t="s">
        <v>197</v>
      </c>
      <c r="C82" s="112" t="s">
        <v>198</v>
      </c>
      <c r="D82" s="327"/>
      <c r="E82" s="327"/>
      <c r="F82" s="328"/>
      <c r="G82" s="327"/>
      <c r="H82" s="330">
        <f>'401'!D82</f>
        <v>8</v>
      </c>
      <c r="I82" s="331">
        <f>'402'!D82</f>
        <v>0</v>
      </c>
      <c r="J82" s="332">
        <f>'402 L'!D83</f>
        <v>2</v>
      </c>
      <c r="K82" s="333">
        <f>'403'!D82</f>
        <v>8</v>
      </c>
      <c r="L82" s="332">
        <f>'403 L'!D83</f>
        <v>2</v>
      </c>
      <c r="M82" s="333">
        <f>'404'!D82</f>
        <v>5</v>
      </c>
      <c r="N82" s="332">
        <f>'404 L'!D83</f>
        <v>3</v>
      </c>
      <c r="O82" s="333">
        <f>'405'!D82</f>
        <v>10</v>
      </c>
      <c r="P82" s="332">
        <f>'405 L'!D83</f>
        <v>4</v>
      </c>
      <c r="Q82" s="332">
        <f>'406 L'!D83</f>
        <v>2</v>
      </c>
      <c r="R82" s="332">
        <f t="shared" si="1"/>
        <v>31</v>
      </c>
      <c r="S82" s="332">
        <f t="shared" si="2"/>
        <v>13</v>
      </c>
      <c r="T82" s="334">
        <f t="shared" si="3"/>
        <v>44</v>
      </c>
      <c r="U82" s="348">
        <f t="shared" si="5"/>
        <v>17</v>
      </c>
      <c r="V82" s="336"/>
      <c r="W82" s="336"/>
      <c r="X82" s="336"/>
      <c r="Y82" s="336"/>
      <c r="Z82" s="336"/>
      <c r="AA82" s="336"/>
      <c r="AB82" s="336"/>
    </row>
    <row r="83" ht="15.75" customHeight="1">
      <c r="A83" s="326">
        <v>74.0</v>
      </c>
      <c r="B83" s="111" t="s">
        <v>199</v>
      </c>
      <c r="C83" s="112" t="s">
        <v>200</v>
      </c>
      <c r="D83" s="327"/>
      <c r="E83" s="327"/>
      <c r="F83" s="328"/>
      <c r="G83" s="327"/>
      <c r="H83" s="330">
        <f>'401'!D83</f>
        <v>14</v>
      </c>
      <c r="I83" s="331">
        <f>'402'!D83</f>
        <v>6</v>
      </c>
      <c r="J83" s="332">
        <f>'402 L'!D84</f>
        <v>5</v>
      </c>
      <c r="K83" s="333">
        <f>'403'!D83</f>
        <v>13</v>
      </c>
      <c r="L83" s="332">
        <f>'403 L'!D84</f>
        <v>2</v>
      </c>
      <c r="M83" s="333">
        <f>'404'!D83</f>
        <v>6</v>
      </c>
      <c r="N83" s="332">
        <f>'404 L'!D84</f>
        <v>3</v>
      </c>
      <c r="O83" s="333">
        <f>'405'!D83</f>
        <v>11</v>
      </c>
      <c r="P83" s="332">
        <f>'405 L'!D84</f>
        <v>4</v>
      </c>
      <c r="Q83" s="332">
        <f>'406 L'!D84</f>
        <v>3</v>
      </c>
      <c r="R83" s="332">
        <f t="shared" si="1"/>
        <v>50</v>
      </c>
      <c r="S83" s="332">
        <f t="shared" si="2"/>
        <v>17</v>
      </c>
      <c r="T83" s="334">
        <f t="shared" si="3"/>
        <v>67</v>
      </c>
      <c r="U83" s="348">
        <f t="shared" si="5"/>
        <v>27</v>
      </c>
      <c r="V83" s="336"/>
      <c r="W83" s="336"/>
      <c r="X83" s="336"/>
      <c r="Y83" s="336"/>
      <c r="Z83" s="336"/>
      <c r="AA83" s="336"/>
      <c r="AB83" s="336"/>
    </row>
    <row r="84" ht="15.75" customHeight="1">
      <c r="A84" s="337">
        <v>75.0</v>
      </c>
      <c r="B84" s="111" t="s">
        <v>201</v>
      </c>
      <c r="C84" s="112" t="s">
        <v>202</v>
      </c>
      <c r="D84" s="327"/>
      <c r="E84" s="327"/>
      <c r="F84" s="328"/>
      <c r="G84" s="327"/>
      <c r="H84" s="330">
        <f>'401'!D84</f>
        <v>22</v>
      </c>
      <c r="I84" s="331">
        <f>'402'!D84</f>
        <v>6</v>
      </c>
      <c r="J84" s="332">
        <f>'402 L'!D85</f>
        <v>5</v>
      </c>
      <c r="K84" s="333">
        <f>'403'!D84</f>
        <v>12</v>
      </c>
      <c r="L84" s="332">
        <f>'403 L'!D85</f>
        <v>2</v>
      </c>
      <c r="M84" s="333">
        <f>'404'!D84</f>
        <v>11</v>
      </c>
      <c r="N84" s="332">
        <f>'404 L'!D85</f>
        <v>5</v>
      </c>
      <c r="O84" s="333">
        <f>'405'!D84</f>
        <v>11</v>
      </c>
      <c r="P84" s="332">
        <f>'405 L'!D85</f>
        <v>4</v>
      </c>
      <c r="Q84" s="332">
        <f>'406 L'!D85</f>
        <v>6</v>
      </c>
      <c r="R84" s="332">
        <f t="shared" si="1"/>
        <v>62</v>
      </c>
      <c r="S84" s="332">
        <f t="shared" si="2"/>
        <v>22</v>
      </c>
      <c r="T84" s="334">
        <f t="shared" si="3"/>
        <v>84</v>
      </c>
      <c r="U84" s="348">
        <f t="shared" si="5"/>
        <v>33</v>
      </c>
      <c r="V84" s="336"/>
      <c r="W84" s="336"/>
      <c r="X84" s="336"/>
      <c r="Y84" s="336"/>
      <c r="Z84" s="336"/>
      <c r="AA84" s="336"/>
      <c r="AB84" s="336"/>
    </row>
    <row r="85" ht="15.75" customHeight="1">
      <c r="A85" s="345">
        <v>76.0</v>
      </c>
      <c r="B85" s="111" t="s">
        <v>203</v>
      </c>
      <c r="C85" s="112" t="s">
        <v>204</v>
      </c>
      <c r="D85" s="327"/>
      <c r="E85" s="327"/>
      <c r="F85" s="328"/>
      <c r="G85" s="327"/>
      <c r="H85" s="330">
        <f>'401'!D85</f>
        <v>23</v>
      </c>
      <c r="I85" s="331">
        <f>'402'!D85</f>
        <v>9</v>
      </c>
      <c r="J85" s="332">
        <f>'402 L'!D86</f>
        <v>6</v>
      </c>
      <c r="K85" s="333">
        <f>'403'!D85</f>
        <v>14</v>
      </c>
      <c r="L85" s="332">
        <f>'403 L'!D86</f>
        <v>3</v>
      </c>
      <c r="M85" s="333">
        <f>'404'!D85</f>
        <v>12</v>
      </c>
      <c r="N85" s="332">
        <f>'404 L'!D86</f>
        <v>3</v>
      </c>
      <c r="O85" s="333">
        <f>'405'!D85</f>
        <v>16</v>
      </c>
      <c r="P85" s="332">
        <f>'405 L'!D86</f>
        <v>6</v>
      </c>
      <c r="Q85" s="332">
        <f>'406 L'!D86</f>
        <v>6</v>
      </c>
      <c r="R85" s="332">
        <f t="shared" si="1"/>
        <v>74</v>
      </c>
      <c r="S85" s="332">
        <f t="shared" si="2"/>
        <v>24</v>
      </c>
      <c r="T85" s="334">
        <f t="shared" si="3"/>
        <v>98</v>
      </c>
      <c r="U85" s="348">
        <f t="shared" si="5"/>
        <v>39</v>
      </c>
      <c r="V85" s="336"/>
      <c r="W85" s="336"/>
      <c r="X85" s="336"/>
      <c r="Y85" s="336"/>
      <c r="Z85" s="336"/>
      <c r="AA85" s="336"/>
      <c r="AB85" s="336"/>
    </row>
    <row r="86" ht="15.75" customHeight="1">
      <c r="A86" s="326">
        <v>77.0</v>
      </c>
      <c r="B86" s="352" t="s">
        <v>205</v>
      </c>
      <c r="C86" s="353" t="s">
        <v>206</v>
      </c>
      <c r="D86" s="327"/>
      <c r="E86" s="327"/>
      <c r="F86" s="328"/>
      <c r="G86" s="327"/>
      <c r="H86" s="330">
        <f>'401'!D86</f>
        <v>3</v>
      </c>
      <c r="I86" s="331">
        <f>'402'!D86</f>
        <v>0</v>
      </c>
      <c r="J86" s="332">
        <f>'402 L'!D87</f>
        <v>2</v>
      </c>
      <c r="K86" s="333">
        <f>'403'!D86</f>
        <v>12</v>
      </c>
      <c r="L86" s="332">
        <f>'403 L'!D87</f>
        <v>2</v>
      </c>
      <c r="M86" s="333">
        <f>'404'!D86</f>
        <v>3</v>
      </c>
      <c r="N86" s="332">
        <f>'404 L'!D87</f>
        <v>1</v>
      </c>
      <c r="O86" s="333">
        <f>'405'!D86</f>
        <v>15</v>
      </c>
      <c r="P86" s="332">
        <f>'405 L'!D87</f>
        <v>3</v>
      </c>
      <c r="Q86" s="332">
        <f>'406 L'!D87</f>
        <v>1</v>
      </c>
      <c r="R86" s="332">
        <f t="shared" si="1"/>
        <v>33</v>
      </c>
      <c r="S86" s="332">
        <f t="shared" si="2"/>
        <v>9</v>
      </c>
      <c r="T86" s="334">
        <f t="shared" si="3"/>
        <v>42</v>
      </c>
      <c r="U86" s="348">
        <f t="shared" si="5"/>
        <v>17</v>
      </c>
      <c r="V86" s="336"/>
      <c r="W86" s="336"/>
      <c r="X86" s="336"/>
      <c r="Y86" s="336"/>
      <c r="Z86" s="336"/>
      <c r="AA86" s="336"/>
      <c r="AB86" s="336"/>
    </row>
    <row r="87" ht="15.75" customHeight="1">
      <c r="A87" s="337">
        <v>78.0</v>
      </c>
      <c r="B87" s="111" t="s">
        <v>207</v>
      </c>
      <c r="C87" s="112" t="s">
        <v>208</v>
      </c>
      <c r="D87" s="327"/>
      <c r="E87" s="327"/>
      <c r="F87" s="328"/>
      <c r="G87" s="327"/>
      <c r="H87" s="330">
        <f>'401'!D87</f>
        <v>20</v>
      </c>
      <c r="I87" s="331">
        <f>'402'!D87</f>
        <v>19</v>
      </c>
      <c r="J87" s="332">
        <f>'402 L'!D88</f>
        <v>3</v>
      </c>
      <c r="K87" s="333">
        <f>'403'!D87</f>
        <v>23</v>
      </c>
      <c r="L87" s="332">
        <f>'403 L'!D88</f>
        <v>7</v>
      </c>
      <c r="M87" s="333">
        <f>'404'!D87</f>
        <v>16</v>
      </c>
      <c r="N87" s="332">
        <f>'404 L'!D88</f>
        <v>5</v>
      </c>
      <c r="O87" s="333">
        <f>'405'!D87</f>
        <v>20</v>
      </c>
      <c r="P87" s="332">
        <f>'405 L'!D88</f>
        <v>8</v>
      </c>
      <c r="Q87" s="332">
        <f>'406 L'!D88</f>
        <v>9</v>
      </c>
      <c r="R87" s="332">
        <f t="shared" si="1"/>
        <v>98</v>
      </c>
      <c r="S87" s="332">
        <f t="shared" si="2"/>
        <v>32</v>
      </c>
      <c r="T87" s="334">
        <f t="shared" si="3"/>
        <v>130</v>
      </c>
      <c r="U87" s="348">
        <f t="shared" si="5"/>
        <v>52</v>
      </c>
      <c r="V87" s="336"/>
      <c r="W87" s="336"/>
      <c r="X87" s="336"/>
      <c r="Y87" s="336"/>
      <c r="Z87" s="336"/>
      <c r="AA87" s="336"/>
      <c r="AB87" s="336"/>
    </row>
    <row r="88" ht="15.75" customHeight="1">
      <c r="A88" s="345">
        <v>79.0</v>
      </c>
      <c r="B88" s="111" t="s">
        <v>209</v>
      </c>
      <c r="C88" s="112" t="s">
        <v>210</v>
      </c>
      <c r="D88" s="327"/>
      <c r="E88" s="327"/>
      <c r="F88" s="328"/>
      <c r="G88" s="327"/>
      <c r="H88" s="330">
        <f>'401'!D88</f>
        <v>22</v>
      </c>
      <c r="I88" s="331">
        <f>'402'!D88</f>
        <v>14</v>
      </c>
      <c r="J88" s="332">
        <f>'402 L'!D89</f>
        <v>7</v>
      </c>
      <c r="K88" s="333">
        <f>'403'!D88</f>
        <v>16</v>
      </c>
      <c r="L88" s="332">
        <f>'403 L'!D89</f>
        <v>6</v>
      </c>
      <c r="M88" s="333">
        <f>'404'!D88</f>
        <v>14</v>
      </c>
      <c r="N88" s="332">
        <f>'404 L'!D89</f>
        <v>4</v>
      </c>
      <c r="O88" s="333">
        <f>'405'!D88</f>
        <v>17</v>
      </c>
      <c r="P88" s="332">
        <f>'405 L'!D89</f>
        <v>8</v>
      </c>
      <c r="Q88" s="332">
        <f>'406 L'!D89</f>
        <v>4</v>
      </c>
      <c r="R88" s="332">
        <f t="shared" si="1"/>
        <v>83</v>
      </c>
      <c r="S88" s="332">
        <f t="shared" si="2"/>
        <v>29</v>
      </c>
      <c r="T88" s="334">
        <f t="shared" si="3"/>
        <v>112</v>
      </c>
      <c r="U88" s="348">
        <f t="shared" si="5"/>
        <v>44</v>
      </c>
      <c r="V88" s="336"/>
      <c r="W88" s="336"/>
      <c r="X88" s="336"/>
      <c r="Y88" s="336"/>
      <c r="Z88" s="336"/>
      <c r="AA88" s="336"/>
      <c r="AB88" s="336"/>
    </row>
    <row r="89" ht="15.75" customHeight="1">
      <c r="A89" s="326">
        <v>80.0</v>
      </c>
      <c r="B89" s="111" t="s">
        <v>211</v>
      </c>
      <c r="C89" s="112" t="s">
        <v>212</v>
      </c>
      <c r="D89" s="327"/>
      <c r="E89" s="327"/>
      <c r="F89" s="328"/>
      <c r="G89" s="327"/>
      <c r="H89" s="330">
        <f>'401'!D89</f>
        <v>16</v>
      </c>
      <c r="I89" s="331">
        <f>'402'!D89</f>
        <v>16</v>
      </c>
      <c r="J89" s="332">
        <f>'402 L'!D90</f>
        <v>5</v>
      </c>
      <c r="K89" s="333">
        <f>'403'!D89</f>
        <v>17</v>
      </c>
      <c r="L89" s="332">
        <f>'403 L'!D90</f>
        <v>5</v>
      </c>
      <c r="M89" s="333">
        <f>'404'!D89</f>
        <v>16</v>
      </c>
      <c r="N89" s="332">
        <f>'404 L'!D90</f>
        <v>4</v>
      </c>
      <c r="O89" s="333">
        <f>'405'!D89</f>
        <v>12</v>
      </c>
      <c r="P89" s="332">
        <f>'405 L'!D90</f>
        <v>4</v>
      </c>
      <c r="Q89" s="332">
        <f>'406 L'!D90</f>
        <v>6</v>
      </c>
      <c r="R89" s="332">
        <f t="shared" si="1"/>
        <v>77</v>
      </c>
      <c r="S89" s="332">
        <f t="shared" si="2"/>
        <v>24</v>
      </c>
      <c r="T89" s="334">
        <f t="shared" si="3"/>
        <v>101</v>
      </c>
      <c r="U89" s="348">
        <f t="shared" si="5"/>
        <v>40</v>
      </c>
      <c r="V89" s="336"/>
      <c r="W89" s="336"/>
      <c r="X89" s="336"/>
      <c r="Y89" s="336"/>
      <c r="Z89" s="336"/>
      <c r="AA89" s="336"/>
      <c r="AB89" s="336"/>
    </row>
    <row r="90" ht="15.75" customHeight="1">
      <c r="A90" s="337">
        <v>81.0</v>
      </c>
      <c r="B90" s="111" t="s">
        <v>213</v>
      </c>
      <c r="C90" s="112" t="s">
        <v>214</v>
      </c>
      <c r="D90" s="327"/>
      <c r="E90" s="327"/>
      <c r="F90" s="328"/>
      <c r="G90" s="327"/>
      <c r="H90" s="330">
        <f>'401'!D90</f>
        <v>35</v>
      </c>
      <c r="I90" s="331">
        <f>'402'!D90</f>
        <v>27</v>
      </c>
      <c r="J90" s="332">
        <f>'402 L'!D91</f>
        <v>8</v>
      </c>
      <c r="K90" s="333">
        <f>'403'!D90</f>
        <v>29</v>
      </c>
      <c r="L90" s="332">
        <f>'403 L'!D91</f>
        <v>7</v>
      </c>
      <c r="M90" s="333">
        <f>'404'!D90</f>
        <v>26</v>
      </c>
      <c r="N90" s="332">
        <f>'404 L'!D91</f>
        <v>6</v>
      </c>
      <c r="O90" s="333">
        <f>'405'!D90</f>
        <v>32</v>
      </c>
      <c r="P90" s="332">
        <f>'405 L'!D91</f>
        <v>10</v>
      </c>
      <c r="Q90" s="332">
        <f>'406 L'!D91</f>
        <v>12</v>
      </c>
      <c r="R90" s="332">
        <f t="shared" si="1"/>
        <v>149</v>
      </c>
      <c r="S90" s="332">
        <f t="shared" si="2"/>
        <v>43</v>
      </c>
      <c r="T90" s="334">
        <f t="shared" si="3"/>
        <v>192</v>
      </c>
      <c r="U90" s="348">
        <f t="shared" si="5"/>
        <v>76</v>
      </c>
      <c r="V90" s="336"/>
      <c r="W90" s="336"/>
      <c r="X90" s="336"/>
      <c r="Y90" s="336"/>
      <c r="Z90" s="336"/>
      <c r="AA90" s="336"/>
      <c r="AB90" s="336"/>
    </row>
    <row r="91" ht="15.75" customHeight="1">
      <c r="A91" s="345">
        <v>82.0</v>
      </c>
      <c r="B91" s="111" t="s">
        <v>215</v>
      </c>
      <c r="C91" s="112" t="s">
        <v>216</v>
      </c>
      <c r="D91" s="354"/>
      <c r="E91" s="354"/>
      <c r="F91" s="328"/>
      <c r="G91" s="354"/>
      <c r="H91" s="330">
        <f>'401'!D91</f>
        <v>35</v>
      </c>
      <c r="I91" s="331">
        <f>'402'!D91</f>
        <v>26</v>
      </c>
      <c r="J91" s="332">
        <f>'402 L'!D92</f>
        <v>9</v>
      </c>
      <c r="K91" s="333">
        <f>'403'!D91</f>
        <v>29</v>
      </c>
      <c r="L91" s="332">
        <f>'403 L'!D92</f>
        <v>9</v>
      </c>
      <c r="M91" s="333">
        <f>'404'!D91</f>
        <v>27</v>
      </c>
      <c r="N91" s="332">
        <f>'404 L'!D92</f>
        <v>5</v>
      </c>
      <c r="O91" s="333">
        <f>'405'!D91</f>
        <v>27</v>
      </c>
      <c r="P91" s="332">
        <f>'405 L'!D92</f>
        <v>8</v>
      </c>
      <c r="Q91" s="332">
        <f>'406 L'!D92</f>
        <v>13</v>
      </c>
      <c r="R91" s="332">
        <f t="shared" si="1"/>
        <v>144</v>
      </c>
      <c r="S91" s="332">
        <f t="shared" si="2"/>
        <v>44</v>
      </c>
      <c r="T91" s="334">
        <f t="shared" si="3"/>
        <v>188</v>
      </c>
      <c r="U91" s="348">
        <f t="shared" si="5"/>
        <v>75</v>
      </c>
      <c r="V91" s="11"/>
      <c r="W91" s="11"/>
      <c r="X91" s="11"/>
      <c r="Y91" s="11"/>
      <c r="Z91" s="11"/>
      <c r="AA91" s="11"/>
      <c r="AB91" s="11"/>
    </row>
    <row r="92" ht="15.75" customHeight="1">
      <c r="A92" s="326">
        <v>83.0</v>
      </c>
      <c r="B92" s="111" t="s">
        <v>217</v>
      </c>
      <c r="C92" s="112" t="s">
        <v>218</v>
      </c>
      <c r="D92" s="354"/>
      <c r="E92" s="354"/>
      <c r="F92" s="355"/>
      <c r="G92" s="354"/>
      <c r="H92" s="330">
        <f>'401'!D92</f>
        <v>0</v>
      </c>
      <c r="I92" s="331">
        <f>'402'!D92</f>
        <v>0</v>
      </c>
      <c r="J92" s="332">
        <f>'402 L'!D93</f>
        <v>0</v>
      </c>
      <c r="K92" s="333">
        <f>'403'!D92</f>
        <v>0</v>
      </c>
      <c r="L92" s="332">
        <f>'403 L'!D93</f>
        <v>0</v>
      </c>
      <c r="M92" s="333">
        <f>'404'!D92</f>
        <v>1</v>
      </c>
      <c r="N92" s="332">
        <f>'404 L'!D93</f>
        <v>0</v>
      </c>
      <c r="O92" s="333">
        <f>'405'!D92</f>
        <v>0</v>
      </c>
      <c r="P92" s="332">
        <f>'405 L'!D93</f>
        <v>0</v>
      </c>
      <c r="Q92" s="332">
        <f>'406 L'!D93</f>
        <v>0</v>
      </c>
      <c r="R92" s="332">
        <f t="shared" si="1"/>
        <v>1</v>
      </c>
      <c r="S92" s="332">
        <f t="shared" si="2"/>
        <v>0</v>
      </c>
      <c r="T92" s="334">
        <f t="shared" si="3"/>
        <v>1</v>
      </c>
      <c r="U92" s="348">
        <f t="shared" si="5"/>
        <v>0</v>
      </c>
      <c r="V92" s="11"/>
      <c r="W92" s="11"/>
      <c r="X92" s="11"/>
      <c r="Y92" s="11"/>
      <c r="Z92" s="11"/>
      <c r="AA92" s="11"/>
      <c r="AB92" s="11"/>
    </row>
    <row r="93" ht="15.75" customHeight="1">
      <c r="A93" s="11"/>
      <c r="B93" s="11"/>
      <c r="C93" s="11"/>
      <c r="D93" s="31"/>
      <c r="E93" s="31"/>
      <c r="F93" s="296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11"/>
      <c r="S93" s="11"/>
      <c r="T93" s="11"/>
      <c r="U93" s="297"/>
      <c r="V93" s="11"/>
      <c r="W93" s="11"/>
      <c r="X93" s="11"/>
      <c r="Y93" s="11"/>
      <c r="Z93" s="11"/>
      <c r="AA93" s="11"/>
      <c r="AB93" s="11"/>
    </row>
    <row r="94" ht="15.75" customHeight="1">
      <c r="A94" s="11"/>
      <c r="B94" s="11"/>
      <c r="C94" s="11"/>
      <c r="D94" s="31"/>
      <c r="E94" s="31"/>
      <c r="F94" s="296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11"/>
      <c r="S94" s="11"/>
      <c r="T94" s="11"/>
      <c r="U94" s="297"/>
      <c r="V94" s="11"/>
      <c r="W94" s="11"/>
      <c r="X94" s="11"/>
      <c r="Y94" s="11"/>
      <c r="Z94" s="11"/>
      <c r="AA94" s="11"/>
      <c r="AB94" s="11"/>
    </row>
    <row r="95" ht="15.75" customHeight="1">
      <c r="A95" s="11"/>
      <c r="B95" s="11"/>
      <c r="C95" s="11"/>
      <c r="D95" s="31"/>
      <c r="E95" s="31"/>
      <c r="F95" s="296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11"/>
      <c r="S95" s="11"/>
      <c r="T95" s="11"/>
      <c r="U95" s="297"/>
      <c r="V95" s="11"/>
      <c r="W95" s="11"/>
      <c r="X95" s="11"/>
      <c r="Y95" s="11"/>
      <c r="Z95" s="11"/>
      <c r="AA95" s="11"/>
      <c r="AB95" s="11"/>
    </row>
    <row r="96" ht="15.75" customHeight="1">
      <c r="A96" s="11"/>
      <c r="B96" s="11"/>
      <c r="C96" s="11"/>
      <c r="D96" s="31"/>
      <c r="E96" s="31"/>
      <c r="F96" s="296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11"/>
      <c r="S96" s="11"/>
      <c r="T96" s="11"/>
      <c r="U96" s="297"/>
      <c r="V96" s="11"/>
      <c r="W96" s="11"/>
      <c r="X96" s="11"/>
      <c r="Y96" s="11"/>
      <c r="Z96" s="11"/>
      <c r="AA96" s="11"/>
      <c r="AB96" s="11"/>
    </row>
    <row r="97" ht="15.75" customHeight="1">
      <c r="A97" s="11"/>
      <c r="B97" s="11"/>
      <c r="C97" s="11"/>
      <c r="D97" s="31"/>
      <c r="E97" s="31"/>
      <c r="F97" s="296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11"/>
      <c r="S97" s="11"/>
      <c r="T97" s="11"/>
      <c r="U97" s="297"/>
      <c r="V97" s="11"/>
      <c r="W97" s="11"/>
      <c r="X97" s="11"/>
      <c r="Y97" s="11"/>
      <c r="Z97" s="11"/>
      <c r="AA97" s="11"/>
      <c r="AB97" s="11"/>
    </row>
    <row r="98" ht="15.75" customHeight="1">
      <c r="A98" s="11"/>
      <c r="B98" s="11"/>
      <c r="C98" s="11"/>
      <c r="D98" s="31"/>
      <c r="E98" s="31"/>
      <c r="F98" s="296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11"/>
      <c r="S98" s="11"/>
      <c r="T98" s="11"/>
      <c r="U98" s="297"/>
      <c r="V98" s="11"/>
      <c r="W98" s="11"/>
      <c r="X98" s="11"/>
      <c r="Y98" s="11"/>
      <c r="Z98" s="11"/>
      <c r="AA98" s="11"/>
      <c r="AB98" s="11"/>
    </row>
    <row r="99" ht="15.75" customHeight="1">
      <c r="A99" s="11"/>
      <c r="B99" s="11"/>
      <c r="C99" s="11"/>
      <c r="D99" s="31"/>
      <c r="E99" s="31"/>
      <c r="F99" s="296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11"/>
      <c r="S99" s="11"/>
      <c r="T99" s="11"/>
      <c r="U99" s="297"/>
      <c r="V99" s="11"/>
      <c r="W99" s="11"/>
      <c r="X99" s="11"/>
      <c r="Y99" s="11"/>
      <c r="Z99" s="11"/>
      <c r="AA99" s="11"/>
      <c r="AB99" s="11"/>
    </row>
    <row r="100" ht="15.75" customHeight="1">
      <c r="A100" s="11"/>
      <c r="B100" s="11"/>
      <c r="C100" s="11"/>
      <c r="D100" s="31"/>
      <c r="E100" s="31"/>
      <c r="F100" s="296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11"/>
      <c r="S100" s="11"/>
      <c r="T100" s="11"/>
      <c r="U100" s="297"/>
      <c r="V100" s="11"/>
      <c r="W100" s="11"/>
      <c r="X100" s="11"/>
      <c r="Y100" s="11"/>
      <c r="Z100" s="11"/>
      <c r="AA100" s="11"/>
      <c r="AB100" s="11"/>
    </row>
    <row r="101" ht="15.75" customHeight="1">
      <c r="A101" s="11"/>
      <c r="B101" s="11"/>
      <c r="C101" s="11"/>
      <c r="D101" s="31"/>
      <c r="E101" s="31"/>
      <c r="F101" s="296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11"/>
      <c r="S101" s="11"/>
      <c r="T101" s="11"/>
      <c r="U101" s="297"/>
      <c r="V101" s="11"/>
      <c r="W101" s="11"/>
      <c r="X101" s="11"/>
      <c r="Y101" s="11"/>
      <c r="Z101" s="11"/>
      <c r="AA101" s="11"/>
      <c r="AB101" s="11"/>
    </row>
    <row r="102" ht="15.75" customHeight="1">
      <c r="A102" s="11"/>
      <c r="B102" s="11"/>
      <c r="C102" s="11"/>
      <c r="D102" s="31"/>
      <c r="E102" s="31"/>
      <c r="F102" s="296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11"/>
      <c r="S102" s="11"/>
      <c r="T102" s="11"/>
      <c r="U102" s="297"/>
      <c r="V102" s="11"/>
      <c r="W102" s="11"/>
      <c r="X102" s="11"/>
      <c r="Y102" s="11"/>
      <c r="Z102" s="11"/>
      <c r="AA102" s="11"/>
      <c r="AB102" s="11"/>
    </row>
    <row r="103" ht="15.75" customHeight="1">
      <c r="A103" s="11"/>
      <c r="B103" s="11"/>
      <c r="C103" s="11"/>
      <c r="D103" s="31"/>
      <c r="E103" s="31"/>
      <c r="F103" s="296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11"/>
      <c r="S103" s="11"/>
      <c r="T103" s="11"/>
      <c r="U103" s="297"/>
      <c r="V103" s="11"/>
      <c r="W103" s="11"/>
      <c r="X103" s="11"/>
      <c r="Y103" s="11"/>
      <c r="Z103" s="11"/>
      <c r="AA103" s="11"/>
      <c r="AB103" s="11"/>
    </row>
    <row r="104" ht="15.75" customHeight="1">
      <c r="A104" s="11"/>
      <c r="B104" s="11"/>
      <c r="C104" s="11"/>
      <c r="D104" s="31"/>
      <c r="E104" s="31"/>
      <c r="F104" s="296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11"/>
      <c r="S104" s="11"/>
      <c r="T104" s="11"/>
      <c r="U104" s="297"/>
      <c r="V104" s="11"/>
      <c r="W104" s="11"/>
      <c r="X104" s="11"/>
      <c r="Y104" s="11"/>
      <c r="Z104" s="11"/>
      <c r="AA104" s="11"/>
      <c r="AB104" s="11"/>
    </row>
    <row r="105" ht="15.75" customHeight="1">
      <c r="A105" s="11"/>
      <c r="B105" s="11"/>
      <c r="C105" s="11"/>
      <c r="D105" s="31"/>
      <c r="E105" s="31"/>
      <c r="F105" s="296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11"/>
      <c r="S105" s="11"/>
      <c r="T105" s="11"/>
      <c r="U105" s="297"/>
      <c r="V105" s="11"/>
      <c r="W105" s="11"/>
      <c r="X105" s="11"/>
      <c r="Y105" s="11"/>
      <c r="Z105" s="11"/>
      <c r="AA105" s="11"/>
      <c r="AB105" s="11"/>
    </row>
    <row r="106" ht="15.75" customHeight="1">
      <c r="A106" s="11"/>
      <c r="B106" s="11"/>
      <c r="C106" s="11"/>
      <c r="D106" s="31"/>
      <c r="E106" s="31"/>
      <c r="F106" s="296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11"/>
      <c r="S106" s="11"/>
      <c r="T106" s="11"/>
      <c r="U106" s="297"/>
      <c r="V106" s="11"/>
      <c r="W106" s="11"/>
      <c r="X106" s="11"/>
      <c r="Y106" s="11"/>
      <c r="Z106" s="11"/>
      <c r="AA106" s="11"/>
      <c r="AB106" s="11"/>
    </row>
    <row r="107" ht="15.75" customHeight="1">
      <c r="A107" s="11"/>
      <c r="B107" s="11"/>
      <c r="C107" s="11"/>
      <c r="D107" s="31"/>
      <c r="E107" s="31"/>
      <c r="F107" s="296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11"/>
      <c r="S107" s="11"/>
      <c r="T107" s="11"/>
      <c r="U107" s="297"/>
      <c r="V107" s="11"/>
      <c r="W107" s="11"/>
      <c r="X107" s="11"/>
      <c r="Y107" s="11"/>
      <c r="Z107" s="11"/>
      <c r="AA107" s="11"/>
      <c r="AB107" s="11"/>
    </row>
    <row r="108" ht="15.75" customHeight="1">
      <c r="A108" s="11"/>
      <c r="B108" s="11"/>
      <c r="C108" s="11"/>
      <c r="D108" s="31"/>
      <c r="E108" s="31"/>
      <c r="F108" s="296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11"/>
      <c r="S108" s="11"/>
      <c r="T108" s="11"/>
      <c r="U108" s="297"/>
      <c r="V108" s="11"/>
      <c r="W108" s="11"/>
      <c r="X108" s="11"/>
      <c r="Y108" s="11"/>
      <c r="Z108" s="11"/>
      <c r="AA108" s="11"/>
      <c r="AB108" s="11"/>
    </row>
    <row r="109" ht="15.75" customHeight="1">
      <c r="A109" s="11"/>
      <c r="B109" s="11"/>
      <c r="C109" s="11"/>
      <c r="D109" s="31"/>
      <c r="E109" s="31"/>
      <c r="F109" s="296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11"/>
      <c r="S109" s="11"/>
      <c r="T109" s="11"/>
      <c r="U109" s="297"/>
      <c r="V109" s="11"/>
      <c r="W109" s="11"/>
      <c r="X109" s="11"/>
      <c r="Y109" s="11"/>
      <c r="Z109" s="11"/>
      <c r="AA109" s="11"/>
      <c r="AB109" s="11"/>
    </row>
    <row r="110" ht="15.75" customHeight="1">
      <c r="A110" s="11"/>
      <c r="B110" s="11"/>
      <c r="C110" s="11"/>
      <c r="D110" s="31"/>
      <c r="E110" s="31"/>
      <c r="F110" s="296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11"/>
      <c r="S110" s="11"/>
      <c r="T110" s="11"/>
      <c r="U110" s="297"/>
      <c r="V110" s="11"/>
      <c r="W110" s="11"/>
      <c r="X110" s="11"/>
      <c r="Y110" s="11"/>
      <c r="Z110" s="11"/>
      <c r="AA110" s="11"/>
      <c r="AB110" s="11"/>
    </row>
    <row r="111" ht="15.75" customHeight="1">
      <c r="A111" s="11"/>
      <c r="B111" s="11"/>
      <c r="C111" s="11"/>
      <c r="D111" s="31"/>
      <c r="E111" s="31"/>
      <c r="F111" s="296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11"/>
      <c r="S111" s="11"/>
      <c r="T111" s="11"/>
      <c r="U111" s="297"/>
      <c r="V111" s="11"/>
      <c r="W111" s="11"/>
      <c r="X111" s="11"/>
      <c r="Y111" s="11"/>
      <c r="Z111" s="11"/>
      <c r="AA111" s="11"/>
      <c r="AB111" s="11"/>
    </row>
    <row r="112" ht="15.75" customHeight="1">
      <c r="A112" s="11"/>
      <c r="B112" s="11"/>
      <c r="C112" s="11"/>
      <c r="D112" s="31"/>
      <c r="E112" s="31"/>
      <c r="F112" s="296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11"/>
      <c r="S112" s="11"/>
      <c r="T112" s="11"/>
      <c r="U112" s="297"/>
      <c r="V112" s="11"/>
      <c r="W112" s="11"/>
      <c r="X112" s="11"/>
      <c r="Y112" s="11"/>
      <c r="Z112" s="11"/>
      <c r="AA112" s="11"/>
      <c r="AB112" s="11"/>
    </row>
    <row r="113" ht="15.75" customHeight="1">
      <c r="A113" s="11"/>
      <c r="B113" s="11"/>
      <c r="C113" s="11"/>
      <c r="D113" s="31"/>
      <c r="E113" s="31"/>
      <c r="F113" s="296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11"/>
      <c r="S113" s="11"/>
      <c r="T113" s="11"/>
      <c r="U113" s="297"/>
      <c r="V113" s="11"/>
      <c r="W113" s="11"/>
      <c r="X113" s="11"/>
      <c r="Y113" s="11"/>
      <c r="Z113" s="11"/>
      <c r="AA113" s="11"/>
      <c r="AB113" s="11"/>
    </row>
    <row r="114" ht="15.75" customHeight="1">
      <c r="A114" s="11"/>
      <c r="B114" s="11"/>
      <c r="C114" s="11"/>
      <c r="D114" s="31"/>
      <c r="E114" s="31"/>
      <c r="F114" s="296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11"/>
      <c r="S114" s="11"/>
      <c r="T114" s="11"/>
      <c r="U114" s="297"/>
      <c r="V114" s="11"/>
      <c r="W114" s="11"/>
      <c r="X114" s="11"/>
      <c r="Y114" s="11"/>
      <c r="Z114" s="11"/>
      <c r="AA114" s="11"/>
      <c r="AB114" s="11"/>
    </row>
    <row r="115" ht="15.75" customHeight="1">
      <c r="A115" s="11"/>
      <c r="B115" s="11"/>
      <c r="C115" s="11"/>
      <c r="D115" s="31"/>
      <c r="E115" s="31"/>
      <c r="F115" s="296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11"/>
      <c r="S115" s="11"/>
      <c r="T115" s="11"/>
      <c r="U115" s="297"/>
      <c r="V115" s="11"/>
      <c r="W115" s="11"/>
      <c r="X115" s="11"/>
      <c r="Y115" s="11"/>
      <c r="Z115" s="11"/>
      <c r="AA115" s="11"/>
      <c r="AB115" s="11"/>
    </row>
    <row r="116" ht="15.75" customHeight="1">
      <c r="A116" s="11"/>
      <c r="B116" s="11"/>
      <c r="C116" s="11"/>
      <c r="D116" s="31"/>
      <c r="E116" s="31"/>
      <c r="F116" s="296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11"/>
      <c r="S116" s="11"/>
      <c r="T116" s="11"/>
      <c r="U116" s="297"/>
      <c r="V116" s="11"/>
      <c r="W116" s="11"/>
      <c r="X116" s="11"/>
      <c r="Y116" s="11"/>
      <c r="Z116" s="11"/>
      <c r="AA116" s="11"/>
      <c r="AB116" s="11"/>
    </row>
    <row r="117" ht="15.75" customHeight="1">
      <c r="A117" s="11"/>
      <c r="B117" s="11"/>
      <c r="C117" s="11"/>
      <c r="D117" s="31"/>
      <c r="E117" s="31"/>
      <c r="F117" s="296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11"/>
      <c r="S117" s="11"/>
      <c r="T117" s="11"/>
      <c r="U117" s="297"/>
      <c r="V117" s="11"/>
      <c r="W117" s="11"/>
      <c r="X117" s="11"/>
      <c r="Y117" s="11"/>
      <c r="Z117" s="11"/>
      <c r="AA117" s="11"/>
      <c r="AB117" s="11"/>
    </row>
    <row r="118" ht="15.75" customHeight="1">
      <c r="A118" s="11"/>
      <c r="B118" s="11"/>
      <c r="C118" s="11"/>
      <c r="D118" s="31"/>
      <c r="E118" s="31"/>
      <c r="F118" s="296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11"/>
      <c r="S118" s="11"/>
      <c r="T118" s="11"/>
      <c r="U118" s="297"/>
      <c r="V118" s="11"/>
      <c r="W118" s="11"/>
      <c r="X118" s="11"/>
      <c r="Y118" s="11"/>
      <c r="Z118" s="11"/>
      <c r="AA118" s="11"/>
      <c r="AB118" s="11"/>
    </row>
    <row r="119" ht="15.75" customHeight="1">
      <c r="A119" s="11"/>
      <c r="B119" s="11"/>
      <c r="C119" s="11"/>
      <c r="D119" s="31"/>
      <c r="E119" s="31"/>
      <c r="F119" s="296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11"/>
      <c r="S119" s="11"/>
      <c r="T119" s="11"/>
      <c r="U119" s="297"/>
      <c r="V119" s="11"/>
      <c r="W119" s="11"/>
      <c r="X119" s="11"/>
      <c r="Y119" s="11"/>
      <c r="Z119" s="11"/>
      <c r="AA119" s="11"/>
      <c r="AB119" s="11"/>
    </row>
    <row r="120" ht="15.75" customHeight="1">
      <c r="A120" s="11"/>
      <c r="B120" s="11"/>
      <c r="C120" s="11"/>
      <c r="D120" s="31"/>
      <c r="E120" s="31"/>
      <c r="F120" s="296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11"/>
      <c r="S120" s="11"/>
      <c r="T120" s="11"/>
      <c r="U120" s="297"/>
      <c r="V120" s="11"/>
      <c r="W120" s="11"/>
      <c r="X120" s="11"/>
      <c r="Y120" s="11"/>
      <c r="Z120" s="11"/>
      <c r="AA120" s="11"/>
      <c r="AB120" s="11"/>
    </row>
    <row r="121" ht="15.75" customHeight="1">
      <c r="A121" s="11"/>
      <c r="B121" s="11"/>
      <c r="C121" s="11"/>
      <c r="D121" s="31"/>
      <c r="E121" s="31"/>
      <c r="F121" s="296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11"/>
      <c r="S121" s="11"/>
      <c r="T121" s="11"/>
      <c r="U121" s="297"/>
      <c r="V121" s="11"/>
      <c r="W121" s="11"/>
      <c r="X121" s="11"/>
      <c r="Y121" s="11"/>
      <c r="Z121" s="11"/>
      <c r="AA121" s="11"/>
      <c r="AB121" s="11"/>
    </row>
    <row r="122" ht="15.75" customHeight="1">
      <c r="A122" s="11"/>
      <c r="B122" s="11"/>
      <c r="C122" s="11"/>
      <c r="D122" s="31"/>
      <c r="E122" s="31"/>
      <c r="F122" s="296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11"/>
      <c r="S122" s="11"/>
      <c r="T122" s="11"/>
      <c r="U122" s="297"/>
      <c r="V122" s="11"/>
      <c r="W122" s="11"/>
      <c r="X122" s="11"/>
      <c r="Y122" s="11"/>
      <c r="Z122" s="11"/>
      <c r="AA122" s="11"/>
      <c r="AB122" s="11"/>
    </row>
    <row r="123" ht="15.75" customHeight="1">
      <c r="A123" s="11"/>
      <c r="B123" s="11"/>
      <c r="C123" s="11"/>
      <c r="D123" s="31"/>
      <c r="E123" s="31"/>
      <c r="F123" s="296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11"/>
      <c r="S123" s="11"/>
      <c r="T123" s="11"/>
      <c r="U123" s="297"/>
      <c r="V123" s="11"/>
      <c r="W123" s="11"/>
      <c r="X123" s="11"/>
      <c r="Y123" s="11"/>
      <c r="Z123" s="11"/>
      <c r="AA123" s="11"/>
      <c r="AB123" s="11"/>
    </row>
    <row r="124" ht="15.75" customHeight="1">
      <c r="A124" s="11"/>
      <c r="B124" s="11"/>
      <c r="C124" s="11"/>
      <c r="D124" s="31"/>
      <c r="E124" s="31"/>
      <c r="F124" s="296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11"/>
      <c r="S124" s="11"/>
      <c r="T124" s="11"/>
      <c r="U124" s="297"/>
      <c r="V124" s="11"/>
      <c r="W124" s="11"/>
      <c r="X124" s="11"/>
      <c r="Y124" s="11"/>
      <c r="Z124" s="11"/>
      <c r="AA124" s="11"/>
      <c r="AB124" s="11"/>
    </row>
    <row r="125" ht="15.75" customHeight="1">
      <c r="A125" s="11"/>
      <c r="B125" s="11"/>
      <c r="C125" s="11"/>
      <c r="D125" s="11"/>
      <c r="E125" s="11"/>
      <c r="F125" s="30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297"/>
      <c r="V125" s="11"/>
      <c r="W125" s="11"/>
      <c r="X125" s="11"/>
      <c r="Y125" s="11"/>
      <c r="Z125" s="11"/>
      <c r="AA125" s="11"/>
      <c r="AB125" s="11"/>
    </row>
    <row r="126" ht="15.75" customHeight="1">
      <c r="A126" s="11"/>
      <c r="B126" s="11"/>
      <c r="C126" s="11"/>
      <c r="D126" s="11"/>
      <c r="E126" s="11"/>
      <c r="F126" s="30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297"/>
      <c r="V126" s="11"/>
      <c r="W126" s="11"/>
      <c r="X126" s="11"/>
      <c r="Y126" s="11"/>
      <c r="Z126" s="11"/>
      <c r="AA126" s="11"/>
      <c r="AB126" s="11"/>
    </row>
    <row r="127" ht="15.75" customHeight="1">
      <c r="A127" s="11"/>
      <c r="B127" s="11"/>
      <c r="C127" s="11"/>
      <c r="D127" s="11"/>
      <c r="E127" s="11"/>
      <c r="F127" s="30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297"/>
      <c r="V127" s="11"/>
      <c r="W127" s="11"/>
      <c r="X127" s="11"/>
      <c r="Y127" s="11"/>
      <c r="Z127" s="11"/>
      <c r="AA127" s="11"/>
      <c r="AB127" s="11"/>
    </row>
    <row r="128" ht="15.75" customHeight="1">
      <c r="A128" s="11"/>
      <c r="B128" s="11"/>
      <c r="C128" s="11"/>
      <c r="D128" s="11"/>
      <c r="E128" s="11"/>
      <c r="F128" s="30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297"/>
      <c r="V128" s="11"/>
      <c r="W128" s="11"/>
      <c r="X128" s="11"/>
      <c r="Y128" s="11"/>
      <c r="Z128" s="11"/>
      <c r="AA128" s="11"/>
      <c r="AB128" s="11"/>
    </row>
    <row r="129" ht="15.75" customHeight="1">
      <c r="A129" s="11"/>
      <c r="B129" s="11"/>
      <c r="C129" s="11"/>
      <c r="D129" s="11"/>
      <c r="E129" s="11"/>
      <c r="F129" s="30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297"/>
      <c r="V129" s="11"/>
      <c r="W129" s="11"/>
      <c r="X129" s="11"/>
      <c r="Y129" s="11"/>
      <c r="Z129" s="11"/>
      <c r="AA129" s="11"/>
      <c r="AB129" s="11"/>
    </row>
    <row r="130" ht="15.75" customHeight="1">
      <c r="A130" s="11"/>
      <c r="B130" s="11"/>
      <c r="C130" s="11"/>
      <c r="D130" s="11"/>
      <c r="E130" s="11"/>
      <c r="F130" s="30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297"/>
      <c r="V130" s="11"/>
      <c r="W130" s="11"/>
      <c r="X130" s="11"/>
      <c r="Y130" s="11"/>
      <c r="Z130" s="11"/>
      <c r="AA130" s="11"/>
      <c r="AB130" s="11"/>
    </row>
    <row r="131" ht="15.75" customHeight="1">
      <c r="A131" s="11"/>
      <c r="B131" s="11"/>
      <c r="C131" s="11"/>
      <c r="D131" s="11"/>
      <c r="E131" s="11"/>
      <c r="F131" s="30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297"/>
      <c r="V131" s="11"/>
      <c r="W131" s="11"/>
      <c r="X131" s="11"/>
      <c r="Y131" s="11"/>
      <c r="Z131" s="11"/>
      <c r="AA131" s="11"/>
      <c r="AB131" s="11"/>
    </row>
    <row r="132" ht="15.75" customHeight="1">
      <c r="A132" s="11"/>
      <c r="B132" s="11"/>
      <c r="C132" s="11"/>
      <c r="D132" s="11"/>
      <c r="E132" s="11"/>
      <c r="F132" s="30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297"/>
      <c r="V132" s="11"/>
      <c r="W132" s="11"/>
      <c r="X132" s="11"/>
      <c r="Y132" s="11"/>
      <c r="Z132" s="11"/>
      <c r="AA132" s="11"/>
      <c r="AB132" s="11"/>
    </row>
    <row r="133" ht="15.75" customHeight="1">
      <c r="A133" s="11"/>
      <c r="B133" s="11"/>
      <c r="C133" s="11"/>
      <c r="D133" s="11"/>
      <c r="E133" s="11"/>
      <c r="F133" s="30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297"/>
      <c r="V133" s="11"/>
      <c r="W133" s="11"/>
      <c r="X133" s="11"/>
      <c r="Y133" s="11"/>
      <c r="Z133" s="11"/>
      <c r="AA133" s="11"/>
      <c r="AB133" s="11"/>
    </row>
    <row r="134" ht="15.75" customHeight="1">
      <c r="A134" s="11"/>
      <c r="B134" s="11"/>
      <c r="C134" s="11"/>
      <c r="D134" s="11"/>
      <c r="E134" s="11"/>
      <c r="F134" s="30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297"/>
      <c r="V134" s="11"/>
      <c r="W134" s="11"/>
      <c r="X134" s="11"/>
      <c r="Y134" s="11"/>
      <c r="Z134" s="11"/>
      <c r="AA134" s="11"/>
      <c r="AB134" s="11"/>
    </row>
    <row r="135" ht="15.75" customHeight="1">
      <c r="A135" s="11"/>
      <c r="B135" s="11"/>
      <c r="C135" s="11"/>
      <c r="D135" s="11"/>
      <c r="E135" s="11"/>
      <c r="F135" s="30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297"/>
      <c r="V135" s="11"/>
      <c r="W135" s="11"/>
      <c r="X135" s="11"/>
      <c r="Y135" s="11"/>
      <c r="Z135" s="11"/>
      <c r="AA135" s="11"/>
      <c r="AB135" s="11"/>
    </row>
    <row r="136" ht="15.75" customHeight="1">
      <c r="A136" s="11"/>
      <c r="B136" s="11"/>
      <c r="C136" s="11"/>
      <c r="D136" s="11"/>
      <c r="E136" s="11"/>
      <c r="F136" s="30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297"/>
      <c r="V136" s="11"/>
      <c r="W136" s="11"/>
      <c r="X136" s="11"/>
      <c r="Y136" s="11"/>
      <c r="Z136" s="11"/>
      <c r="AA136" s="11"/>
      <c r="AB136" s="11"/>
    </row>
    <row r="137" ht="15.75" customHeight="1">
      <c r="A137" s="11"/>
      <c r="B137" s="11"/>
      <c r="C137" s="11"/>
      <c r="D137" s="11"/>
      <c r="E137" s="11"/>
      <c r="F137" s="30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297"/>
      <c r="V137" s="11"/>
      <c r="W137" s="11"/>
      <c r="X137" s="11"/>
      <c r="Y137" s="11"/>
      <c r="Z137" s="11"/>
      <c r="AA137" s="11"/>
      <c r="AB137" s="11"/>
    </row>
    <row r="138" ht="15.75" customHeight="1">
      <c r="A138" s="11"/>
      <c r="B138" s="11"/>
      <c r="C138" s="11"/>
      <c r="D138" s="11"/>
      <c r="E138" s="11"/>
      <c r="F138" s="30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297"/>
      <c r="V138" s="11"/>
      <c r="W138" s="11"/>
      <c r="X138" s="11"/>
      <c r="Y138" s="11"/>
      <c r="Z138" s="11"/>
      <c r="AA138" s="11"/>
      <c r="AB138" s="11"/>
    </row>
    <row r="139" ht="15.75" customHeight="1">
      <c r="A139" s="11"/>
      <c r="B139" s="11"/>
      <c r="C139" s="11"/>
      <c r="D139" s="11"/>
      <c r="E139" s="11"/>
      <c r="F139" s="30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297"/>
      <c r="V139" s="11"/>
      <c r="W139" s="11"/>
      <c r="X139" s="11"/>
      <c r="Y139" s="11"/>
      <c r="Z139" s="11"/>
      <c r="AA139" s="11"/>
      <c r="AB139" s="11"/>
    </row>
    <row r="140" ht="15.75" customHeight="1">
      <c r="A140" s="11"/>
      <c r="B140" s="11"/>
      <c r="C140" s="11"/>
      <c r="D140" s="11"/>
      <c r="E140" s="11"/>
      <c r="F140" s="30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297"/>
      <c r="V140" s="11"/>
      <c r="W140" s="11"/>
      <c r="X140" s="11"/>
      <c r="Y140" s="11"/>
      <c r="Z140" s="11"/>
      <c r="AA140" s="11"/>
      <c r="AB140" s="11"/>
    </row>
    <row r="141" ht="15.75" customHeight="1">
      <c r="A141" s="11"/>
      <c r="B141" s="11"/>
      <c r="C141" s="11"/>
      <c r="D141" s="11"/>
      <c r="E141" s="11"/>
      <c r="F141" s="30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297"/>
      <c r="V141" s="11"/>
      <c r="W141" s="11"/>
      <c r="X141" s="11"/>
      <c r="Y141" s="11"/>
      <c r="Z141" s="11"/>
      <c r="AA141" s="11"/>
      <c r="AB141" s="11"/>
    </row>
    <row r="142" ht="15.75" customHeight="1">
      <c r="A142" s="11"/>
      <c r="B142" s="11"/>
      <c r="C142" s="11"/>
      <c r="D142" s="11"/>
      <c r="E142" s="11"/>
      <c r="F142" s="30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297"/>
      <c r="V142" s="11"/>
      <c r="W142" s="11"/>
      <c r="X142" s="11"/>
      <c r="Y142" s="11"/>
      <c r="Z142" s="11"/>
      <c r="AA142" s="11"/>
      <c r="AB142" s="11"/>
    </row>
    <row r="143" ht="15.75" customHeight="1">
      <c r="A143" s="11"/>
      <c r="B143" s="11"/>
      <c r="C143" s="11"/>
      <c r="D143" s="11"/>
      <c r="E143" s="11"/>
      <c r="F143" s="30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297"/>
      <c r="V143" s="11"/>
      <c r="W143" s="11"/>
      <c r="X143" s="11"/>
      <c r="Y143" s="11"/>
      <c r="Z143" s="11"/>
      <c r="AA143" s="11"/>
      <c r="AB143" s="11"/>
    </row>
    <row r="144" ht="15.75" customHeight="1">
      <c r="A144" s="11"/>
      <c r="B144" s="11"/>
      <c r="C144" s="11"/>
      <c r="D144" s="11"/>
      <c r="E144" s="11"/>
      <c r="F144" s="30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297"/>
      <c r="V144" s="11"/>
      <c r="W144" s="11"/>
      <c r="X144" s="11"/>
      <c r="Y144" s="11"/>
      <c r="Z144" s="11"/>
      <c r="AA144" s="11"/>
      <c r="AB144" s="11"/>
    </row>
    <row r="145" ht="15.75" customHeight="1">
      <c r="A145" s="11"/>
      <c r="B145" s="11"/>
      <c r="C145" s="11"/>
      <c r="D145" s="11"/>
      <c r="E145" s="11"/>
      <c r="F145" s="30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297"/>
      <c r="V145" s="11"/>
      <c r="W145" s="11"/>
      <c r="X145" s="11"/>
      <c r="Y145" s="11"/>
      <c r="Z145" s="11"/>
      <c r="AA145" s="11"/>
      <c r="AB145" s="11"/>
    </row>
    <row r="146" ht="15.75" customHeight="1">
      <c r="A146" s="11"/>
      <c r="B146" s="11"/>
      <c r="C146" s="11"/>
      <c r="D146" s="11"/>
      <c r="E146" s="11"/>
      <c r="F146" s="30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297"/>
      <c r="V146" s="11"/>
      <c r="W146" s="11"/>
      <c r="X146" s="11"/>
      <c r="Y146" s="11"/>
      <c r="Z146" s="11"/>
      <c r="AA146" s="11"/>
      <c r="AB146" s="11"/>
    </row>
    <row r="147" ht="15.75" customHeight="1">
      <c r="A147" s="11"/>
      <c r="B147" s="11"/>
      <c r="C147" s="11"/>
      <c r="D147" s="11"/>
      <c r="E147" s="11"/>
      <c r="F147" s="30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297"/>
      <c r="V147" s="11"/>
      <c r="W147" s="11"/>
      <c r="X147" s="11"/>
      <c r="Y147" s="11"/>
      <c r="Z147" s="11"/>
      <c r="AA147" s="11"/>
      <c r="AB147" s="11"/>
    </row>
    <row r="148" ht="15.75" customHeight="1">
      <c r="A148" s="11"/>
      <c r="B148" s="11"/>
      <c r="C148" s="11"/>
      <c r="D148" s="11"/>
      <c r="E148" s="11"/>
      <c r="F148" s="30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297"/>
      <c r="V148" s="11"/>
      <c r="W148" s="11"/>
      <c r="X148" s="11"/>
      <c r="Y148" s="11"/>
      <c r="Z148" s="11"/>
      <c r="AA148" s="11"/>
      <c r="AB148" s="11"/>
    </row>
    <row r="149" ht="15.75" customHeight="1">
      <c r="A149" s="11"/>
      <c r="B149" s="11"/>
      <c r="C149" s="11"/>
      <c r="D149" s="11"/>
      <c r="E149" s="11"/>
      <c r="F149" s="30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297"/>
      <c r="V149" s="11"/>
      <c r="W149" s="11"/>
      <c r="X149" s="11"/>
      <c r="Y149" s="11"/>
      <c r="Z149" s="11"/>
      <c r="AA149" s="11"/>
      <c r="AB149" s="11"/>
    </row>
    <row r="150" ht="15.75" customHeight="1">
      <c r="A150" s="11"/>
      <c r="B150" s="11"/>
      <c r="C150" s="11"/>
      <c r="D150" s="11"/>
      <c r="E150" s="11"/>
      <c r="F150" s="30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297"/>
      <c r="V150" s="11"/>
      <c r="W150" s="11"/>
      <c r="X150" s="11"/>
      <c r="Y150" s="11"/>
      <c r="Z150" s="11"/>
      <c r="AA150" s="11"/>
      <c r="AB150" s="11"/>
    </row>
    <row r="151" ht="15.75" customHeight="1">
      <c r="A151" s="11"/>
      <c r="B151" s="11"/>
      <c r="C151" s="11"/>
      <c r="D151" s="11"/>
      <c r="E151" s="11"/>
      <c r="F151" s="30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297"/>
      <c r="V151" s="11"/>
      <c r="W151" s="11"/>
      <c r="X151" s="11"/>
      <c r="Y151" s="11"/>
      <c r="Z151" s="11"/>
      <c r="AA151" s="11"/>
      <c r="AB151" s="11"/>
    </row>
    <row r="152" ht="15.75" customHeight="1">
      <c r="A152" s="11"/>
      <c r="B152" s="11"/>
      <c r="C152" s="11"/>
      <c r="D152" s="11"/>
      <c r="E152" s="11"/>
      <c r="F152" s="30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297"/>
      <c r="V152" s="11"/>
      <c r="W152" s="11"/>
      <c r="X152" s="11"/>
      <c r="Y152" s="11"/>
      <c r="Z152" s="11"/>
      <c r="AA152" s="11"/>
      <c r="AB152" s="11"/>
    </row>
    <row r="153" ht="15.75" customHeight="1">
      <c r="A153" s="11"/>
      <c r="B153" s="11"/>
      <c r="C153" s="11"/>
      <c r="D153" s="11"/>
      <c r="E153" s="11"/>
      <c r="F153" s="30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297"/>
      <c r="V153" s="11"/>
      <c r="W153" s="11"/>
      <c r="X153" s="11"/>
      <c r="Y153" s="11"/>
      <c r="Z153" s="11"/>
      <c r="AA153" s="11"/>
      <c r="AB153" s="11"/>
    </row>
    <row r="154" ht="15.75" customHeight="1">
      <c r="A154" s="11"/>
      <c r="B154" s="11"/>
      <c r="C154" s="11"/>
      <c r="D154" s="11"/>
      <c r="E154" s="11"/>
      <c r="F154" s="30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297"/>
      <c r="V154" s="11"/>
      <c r="W154" s="11"/>
      <c r="X154" s="11"/>
      <c r="Y154" s="11"/>
      <c r="Z154" s="11"/>
      <c r="AA154" s="11"/>
      <c r="AB154" s="11"/>
    </row>
    <row r="155" ht="15.75" customHeight="1">
      <c r="A155" s="11"/>
      <c r="B155" s="11"/>
      <c r="C155" s="11"/>
      <c r="D155" s="11"/>
      <c r="E155" s="11"/>
      <c r="F155" s="30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297"/>
      <c r="V155" s="11"/>
      <c r="W155" s="11"/>
      <c r="X155" s="11"/>
      <c r="Y155" s="11"/>
      <c r="Z155" s="11"/>
      <c r="AA155" s="11"/>
      <c r="AB155" s="11"/>
    </row>
    <row r="156" ht="15.75" customHeight="1">
      <c r="A156" s="11"/>
      <c r="B156" s="11"/>
      <c r="C156" s="11"/>
      <c r="D156" s="11"/>
      <c r="E156" s="11"/>
      <c r="F156" s="30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297"/>
      <c r="V156" s="11"/>
      <c r="W156" s="11"/>
      <c r="X156" s="11"/>
      <c r="Y156" s="11"/>
      <c r="Z156" s="11"/>
      <c r="AA156" s="11"/>
      <c r="AB156" s="11"/>
    </row>
    <row r="157" ht="15.75" customHeight="1">
      <c r="A157" s="11"/>
      <c r="B157" s="11"/>
      <c r="C157" s="11"/>
      <c r="D157" s="11"/>
      <c r="E157" s="11"/>
      <c r="F157" s="30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297"/>
      <c r="V157" s="11"/>
      <c r="W157" s="11"/>
      <c r="X157" s="11"/>
      <c r="Y157" s="11"/>
      <c r="Z157" s="11"/>
      <c r="AA157" s="11"/>
      <c r="AB157" s="11"/>
    </row>
    <row r="158" ht="15.75" customHeight="1">
      <c r="A158" s="11"/>
      <c r="B158" s="11"/>
      <c r="C158" s="11"/>
      <c r="D158" s="11"/>
      <c r="E158" s="11"/>
      <c r="F158" s="30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297"/>
      <c r="V158" s="11"/>
      <c r="W158" s="11"/>
      <c r="X158" s="11"/>
      <c r="Y158" s="11"/>
      <c r="Z158" s="11"/>
      <c r="AA158" s="11"/>
      <c r="AB158" s="11"/>
    </row>
    <row r="159" ht="15.75" customHeight="1">
      <c r="A159" s="11"/>
      <c r="B159" s="11"/>
      <c r="C159" s="11"/>
      <c r="D159" s="11"/>
      <c r="E159" s="11"/>
      <c r="F159" s="30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297"/>
      <c r="V159" s="11"/>
      <c r="W159" s="11"/>
      <c r="X159" s="11"/>
      <c r="Y159" s="11"/>
      <c r="Z159" s="11"/>
      <c r="AA159" s="11"/>
      <c r="AB159" s="11"/>
    </row>
    <row r="160" ht="15.75" customHeight="1">
      <c r="A160" s="11"/>
      <c r="B160" s="11"/>
      <c r="C160" s="11"/>
      <c r="D160" s="11"/>
      <c r="E160" s="11"/>
      <c r="F160" s="30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297"/>
      <c r="V160" s="11"/>
      <c r="W160" s="11"/>
      <c r="X160" s="11"/>
      <c r="Y160" s="11"/>
      <c r="Z160" s="11"/>
      <c r="AA160" s="11"/>
      <c r="AB160" s="11"/>
    </row>
    <row r="161" ht="15.75" customHeight="1">
      <c r="A161" s="11"/>
      <c r="B161" s="11"/>
      <c r="C161" s="11"/>
      <c r="D161" s="11"/>
      <c r="E161" s="11"/>
      <c r="F161" s="30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297"/>
      <c r="V161" s="11"/>
      <c r="W161" s="11"/>
      <c r="X161" s="11"/>
      <c r="Y161" s="11"/>
      <c r="Z161" s="11"/>
      <c r="AA161" s="11"/>
      <c r="AB161" s="11"/>
    </row>
    <row r="162" ht="15.75" customHeight="1">
      <c r="A162" s="11"/>
      <c r="B162" s="11"/>
      <c r="C162" s="11"/>
      <c r="D162" s="11"/>
      <c r="E162" s="11"/>
      <c r="F162" s="30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297"/>
      <c r="V162" s="11"/>
      <c r="W162" s="11"/>
      <c r="X162" s="11"/>
      <c r="Y162" s="11"/>
      <c r="Z162" s="11"/>
      <c r="AA162" s="11"/>
      <c r="AB162" s="11"/>
    </row>
    <row r="163" ht="15.75" customHeight="1">
      <c r="A163" s="11"/>
      <c r="B163" s="11"/>
      <c r="C163" s="11"/>
      <c r="D163" s="11"/>
      <c r="E163" s="11"/>
      <c r="F163" s="30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297"/>
      <c r="V163" s="11"/>
      <c r="W163" s="11"/>
      <c r="X163" s="11"/>
      <c r="Y163" s="11"/>
      <c r="Z163" s="11"/>
      <c r="AA163" s="11"/>
      <c r="AB163" s="11"/>
    </row>
    <row r="164" ht="15.75" customHeight="1">
      <c r="A164" s="11"/>
      <c r="B164" s="11"/>
      <c r="C164" s="11"/>
      <c r="D164" s="11"/>
      <c r="E164" s="11"/>
      <c r="F164" s="30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297"/>
      <c r="V164" s="11"/>
      <c r="W164" s="11"/>
      <c r="X164" s="11"/>
      <c r="Y164" s="11"/>
      <c r="Z164" s="11"/>
      <c r="AA164" s="11"/>
      <c r="AB164" s="11"/>
    </row>
    <row r="165" ht="15.75" customHeight="1">
      <c r="A165" s="11"/>
      <c r="B165" s="11"/>
      <c r="C165" s="11"/>
      <c r="D165" s="11"/>
      <c r="E165" s="11"/>
      <c r="F165" s="30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297"/>
      <c r="V165" s="11"/>
      <c r="W165" s="11"/>
      <c r="X165" s="11"/>
      <c r="Y165" s="11"/>
      <c r="Z165" s="11"/>
      <c r="AA165" s="11"/>
      <c r="AB165" s="11"/>
    </row>
    <row r="166" ht="15.75" customHeight="1">
      <c r="A166" s="11"/>
      <c r="B166" s="11"/>
      <c r="C166" s="11"/>
      <c r="D166" s="11"/>
      <c r="E166" s="11"/>
      <c r="F166" s="30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297"/>
      <c r="V166" s="11"/>
      <c r="W166" s="11"/>
      <c r="X166" s="11"/>
      <c r="Y166" s="11"/>
      <c r="Z166" s="11"/>
      <c r="AA166" s="11"/>
      <c r="AB166" s="11"/>
    </row>
    <row r="167" ht="15.75" customHeight="1">
      <c r="A167" s="11"/>
      <c r="B167" s="11"/>
      <c r="C167" s="11"/>
      <c r="D167" s="11"/>
      <c r="E167" s="11"/>
      <c r="F167" s="30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297"/>
      <c r="V167" s="11"/>
      <c r="W167" s="11"/>
      <c r="X167" s="11"/>
      <c r="Y167" s="11"/>
      <c r="Z167" s="11"/>
      <c r="AA167" s="11"/>
      <c r="AB167" s="11"/>
    </row>
    <row r="168" ht="15.75" customHeight="1">
      <c r="A168" s="11"/>
      <c r="B168" s="11"/>
      <c r="C168" s="11"/>
      <c r="D168" s="11"/>
      <c r="E168" s="11"/>
      <c r="F168" s="30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297"/>
      <c r="V168" s="11"/>
      <c r="W168" s="11"/>
      <c r="X168" s="11"/>
      <c r="Y168" s="11"/>
      <c r="Z168" s="11"/>
      <c r="AA168" s="11"/>
      <c r="AB168" s="11"/>
    </row>
    <row r="169" ht="15.75" customHeight="1">
      <c r="A169" s="11"/>
      <c r="B169" s="11"/>
      <c r="C169" s="11"/>
      <c r="D169" s="11"/>
      <c r="E169" s="11"/>
      <c r="F169" s="30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297"/>
      <c r="V169" s="11"/>
      <c r="W169" s="11"/>
      <c r="X169" s="11"/>
      <c r="Y169" s="11"/>
      <c r="Z169" s="11"/>
      <c r="AA169" s="11"/>
      <c r="AB169" s="11"/>
    </row>
    <row r="170" ht="15.75" customHeight="1">
      <c r="A170" s="11"/>
      <c r="B170" s="11"/>
      <c r="C170" s="11"/>
      <c r="D170" s="11"/>
      <c r="E170" s="11"/>
      <c r="F170" s="30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297"/>
      <c r="V170" s="11"/>
      <c r="W170" s="11"/>
      <c r="X170" s="11"/>
      <c r="Y170" s="11"/>
      <c r="Z170" s="11"/>
      <c r="AA170" s="11"/>
      <c r="AB170" s="11"/>
    </row>
    <row r="171" ht="15.75" customHeight="1">
      <c r="A171" s="11"/>
      <c r="B171" s="11"/>
      <c r="C171" s="11"/>
      <c r="D171" s="11"/>
      <c r="E171" s="11"/>
      <c r="F171" s="30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297"/>
      <c r="V171" s="11"/>
      <c r="W171" s="11"/>
      <c r="X171" s="11"/>
      <c r="Y171" s="11"/>
      <c r="Z171" s="11"/>
      <c r="AA171" s="11"/>
      <c r="AB171" s="11"/>
    </row>
    <row r="172" ht="15.75" customHeight="1">
      <c r="A172" s="11"/>
      <c r="B172" s="11"/>
      <c r="C172" s="11"/>
      <c r="D172" s="11"/>
      <c r="E172" s="11"/>
      <c r="F172" s="30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297"/>
      <c r="V172" s="11"/>
      <c r="W172" s="11"/>
      <c r="X172" s="11"/>
      <c r="Y172" s="11"/>
      <c r="Z172" s="11"/>
      <c r="AA172" s="11"/>
      <c r="AB172" s="11"/>
    </row>
    <row r="173" ht="15.75" customHeight="1">
      <c r="A173" s="11"/>
      <c r="B173" s="11"/>
      <c r="C173" s="11"/>
      <c r="D173" s="11"/>
      <c r="E173" s="11"/>
      <c r="F173" s="30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297"/>
      <c r="V173" s="11"/>
      <c r="W173" s="11"/>
      <c r="X173" s="11"/>
      <c r="Y173" s="11"/>
      <c r="Z173" s="11"/>
      <c r="AA173" s="11"/>
      <c r="AB173" s="11"/>
    </row>
    <row r="174" ht="15.75" customHeight="1">
      <c r="A174" s="11"/>
      <c r="B174" s="11"/>
      <c r="C174" s="11"/>
      <c r="D174" s="11"/>
      <c r="E174" s="11"/>
      <c r="F174" s="30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297"/>
      <c r="V174" s="11"/>
      <c r="W174" s="11"/>
      <c r="X174" s="11"/>
      <c r="Y174" s="11"/>
      <c r="Z174" s="11"/>
      <c r="AA174" s="11"/>
      <c r="AB174" s="11"/>
    </row>
    <row r="175" ht="15.75" customHeight="1">
      <c r="A175" s="11"/>
      <c r="B175" s="11"/>
      <c r="C175" s="11"/>
      <c r="D175" s="11"/>
      <c r="E175" s="11"/>
      <c r="F175" s="30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297"/>
      <c r="V175" s="11"/>
      <c r="W175" s="11"/>
      <c r="X175" s="11"/>
      <c r="Y175" s="11"/>
      <c r="Z175" s="11"/>
      <c r="AA175" s="11"/>
      <c r="AB175" s="11"/>
    </row>
    <row r="176" ht="15.75" customHeight="1">
      <c r="A176" s="11"/>
      <c r="B176" s="11"/>
      <c r="C176" s="11"/>
      <c r="D176" s="11"/>
      <c r="E176" s="11"/>
      <c r="F176" s="30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297"/>
      <c r="V176" s="11"/>
      <c r="W176" s="11"/>
      <c r="X176" s="11"/>
      <c r="Y176" s="11"/>
      <c r="Z176" s="11"/>
      <c r="AA176" s="11"/>
      <c r="AB176" s="11"/>
    </row>
    <row r="177" ht="15.75" customHeight="1">
      <c r="A177" s="11"/>
      <c r="B177" s="11"/>
      <c r="C177" s="11"/>
      <c r="D177" s="11"/>
      <c r="E177" s="11"/>
      <c r="F177" s="30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297"/>
      <c r="V177" s="11"/>
      <c r="W177" s="11"/>
      <c r="X177" s="11"/>
      <c r="Y177" s="11"/>
      <c r="Z177" s="11"/>
      <c r="AA177" s="11"/>
      <c r="AB177" s="11"/>
    </row>
    <row r="178" ht="15.75" customHeight="1">
      <c r="A178" s="11"/>
      <c r="B178" s="11"/>
      <c r="C178" s="11"/>
      <c r="D178" s="11"/>
      <c r="E178" s="11"/>
      <c r="F178" s="30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297"/>
      <c r="V178" s="11"/>
      <c r="W178" s="11"/>
      <c r="X178" s="11"/>
      <c r="Y178" s="11"/>
      <c r="Z178" s="11"/>
      <c r="AA178" s="11"/>
      <c r="AB178" s="11"/>
    </row>
    <row r="179" ht="15.75" customHeight="1">
      <c r="A179" s="11"/>
      <c r="B179" s="11"/>
      <c r="C179" s="11"/>
      <c r="D179" s="11"/>
      <c r="E179" s="11"/>
      <c r="F179" s="30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297"/>
      <c r="V179" s="11"/>
      <c r="W179" s="11"/>
      <c r="X179" s="11"/>
      <c r="Y179" s="11"/>
      <c r="Z179" s="11"/>
      <c r="AA179" s="11"/>
      <c r="AB179" s="11"/>
    </row>
    <row r="180" ht="15.75" customHeight="1">
      <c r="A180" s="11"/>
      <c r="B180" s="11"/>
      <c r="C180" s="11"/>
      <c r="D180" s="11"/>
      <c r="E180" s="11"/>
      <c r="F180" s="30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297"/>
      <c r="V180" s="11"/>
      <c r="W180" s="11"/>
      <c r="X180" s="11"/>
      <c r="Y180" s="11"/>
      <c r="Z180" s="11"/>
      <c r="AA180" s="11"/>
      <c r="AB180" s="11"/>
    </row>
    <row r="181" ht="15.75" customHeight="1">
      <c r="A181" s="11"/>
      <c r="B181" s="11"/>
      <c r="C181" s="11"/>
      <c r="D181" s="11"/>
      <c r="E181" s="11"/>
      <c r="F181" s="30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297"/>
      <c r="V181" s="11"/>
      <c r="W181" s="11"/>
      <c r="X181" s="11"/>
      <c r="Y181" s="11"/>
      <c r="Z181" s="11"/>
      <c r="AA181" s="11"/>
      <c r="AB181" s="11"/>
    </row>
    <row r="182" ht="15.75" customHeight="1">
      <c r="A182" s="11"/>
      <c r="B182" s="11"/>
      <c r="C182" s="11"/>
      <c r="D182" s="11"/>
      <c r="E182" s="11"/>
      <c r="F182" s="30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297"/>
      <c r="V182" s="11"/>
      <c r="W182" s="11"/>
      <c r="X182" s="11"/>
      <c r="Y182" s="11"/>
      <c r="Z182" s="11"/>
      <c r="AA182" s="11"/>
      <c r="AB182" s="11"/>
    </row>
    <row r="183" ht="15.75" customHeight="1">
      <c r="A183" s="11"/>
      <c r="B183" s="11"/>
      <c r="C183" s="11"/>
      <c r="D183" s="11"/>
      <c r="E183" s="11"/>
      <c r="F183" s="30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297"/>
      <c r="V183" s="11"/>
      <c r="W183" s="11"/>
      <c r="X183" s="11"/>
      <c r="Y183" s="11"/>
      <c r="Z183" s="11"/>
      <c r="AA183" s="11"/>
      <c r="AB183" s="11"/>
    </row>
    <row r="184" ht="15.75" customHeight="1">
      <c r="A184" s="11"/>
      <c r="B184" s="11"/>
      <c r="C184" s="11"/>
      <c r="D184" s="11"/>
      <c r="E184" s="11"/>
      <c r="F184" s="30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297"/>
      <c r="V184" s="11"/>
      <c r="W184" s="11"/>
      <c r="X184" s="11"/>
      <c r="Y184" s="11"/>
      <c r="Z184" s="11"/>
      <c r="AA184" s="11"/>
      <c r="AB184" s="11"/>
    </row>
    <row r="185" ht="15.75" customHeight="1">
      <c r="A185" s="11"/>
      <c r="B185" s="11"/>
      <c r="C185" s="11"/>
      <c r="D185" s="11"/>
      <c r="E185" s="11"/>
      <c r="F185" s="30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297"/>
      <c r="V185" s="11"/>
      <c r="W185" s="11"/>
      <c r="X185" s="11"/>
      <c r="Y185" s="11"/>
      <c r="Z185" s="11"/>
      <c r="AA185" s="11"/>
      <c r="AB185" s="11"/>
    </row>
    <row r="186" ht="15.75" customHeight="1">
      <c r="A186" s="11"/>
      <c r="B186" s="11"/>
      <c r="C186" s="11"/>
      <c r="D186" s="11"/>
      <c r="E186" s="11"/>
      <c r="F186" s="30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ht="15.75" customHeight="1">
      <c r="A187" s="11"/>
      <c r="B187" s="11"/>
      <c r="C187" s="11"/>
      <c r="D187" s="11"/>
      <c r="E187" s="11"/>
      <c r="F187" s="30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ht="15.75" customHeight="1">
      <c r="A188" s="11"/>
      <c r="B188" s="11"/>
      <c r="C188" s="11"/>
      <c r="D188" s="11"/>
      <c r="E188" s="11"/>
      <c r="F188" s="30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ht="15.75" customHeight="1">
      <c r="A189" s="11"/>
      <c r="B189" s="11"/>
      <c r="C189" s="11"/>
      <c r="D189" s="11"/>
      <c r="E189" s="11"/>
      <c r="F189" s="30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ht="15.75" customHeight="1">
      <c r="A190" s="11"/>
      <c r="B190" s="11"/>
      <c r="C190" s="11"/>
      <c r="D190" s="11"/>
      <c r="E190" s="11"/>
      <c r="F190" s="30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ht="15.75" customHeight="1">
      <c r="A191" s="11"/>
      <c r="B191" s="11"/>
      <c r="C191" s="11"/>
      <c r="D191" s="11"/>
      <c r="E191" s="11"/>
      <c r="F191" s="30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ht="15.75" customHeight="1">
      <c r="A192" s="11"/>
      <c r="B192" s="11"/>
      <c r="C192" s="11"/>
      <c r="D192" s="11"/>
      <c r="E192" s="11"/>
      <c r="F192" s="30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ht="15.75" customHeight="1">
      <c r="A193" s="11"/>
      <c r="B193" s="11"/>
      <c r="C193" s="11"/>
      <c r="D193" s="11"/>
      <c r="E193" s="11"/>
      <c r="F193" s="30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ht="15.75" customHeight="1">
      <c r="A194" s="11"/>
      <c r="B194" s="11"/>
      <c r="C194" s="11"/>
      <c r="D194" s="11"/>
      <c r="E194" s="11"/>
      <c r="F194" s="30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ht="15.75" customHeight="1">
      <c r="A195" s="11"/>
      <c r="B195" s="11"/>
      <c r="C195" s="11"/>
      <c r="D195" s="11"/>
      <c r="E195" s="11"/>
      <c r="F195" s="30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ht="15.75" customHeight="1">
      <c r="A196" s="11"/>
      <c r="B196" s="11"/>
      <c r="C196" s="11"/>
      <c r="D196" s="11"/>
      <c r="E196" s="11"/>
      <c r="F196" s="30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ht="15.75" customHeight="1">
      <c r="A197" s="11"/>
      <c r="B197" s="11"/>
      <c r="C197" s="11"/>
      <c r="D197" s="11"/>
      <c r="E197" s="11"/>
      <c r="F197" s="30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ht="15.75" customHeight="1">
      <c r="A198" s="11"/>
      <c r="B198" s="11"/>
      <c r="C198" s="11"/>
      <c r="D198" s="11"/>
      <c r="E198" s="11"/>
      <c r="F198" s="30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ht="15.75" customHeight="1">
      <c r="A199" s="11"/>
      <c r="B199" s="11"/>
      <c r="C199" s="11"/>
      <c r="D199" s="11"/>
      <c r="E199" s="11"/>
      <c r="F199" s="30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ht="15.75" customHeight="1">
      <c r="A200" s="11"/>
      <c r="B200" s="11"/>
      <c r="C200" s="11"/>
      <c r="D200" s="11"/>
      <c r="E200" s="11"/>
      <c r="F200" s="30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ht="15.75" customHeight="1">
      <c r="A201" s="11"/>
      <c r="B201" s="11"/>
      <c r="C201" s="11"/>
      <c r="D201" s="11"/>
      <c r="E201" s="11"/>
      <c r="F201" s="30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ht="15.75" customHeight="1">
      <c r="A202" s="11"/>
      <c r="B202" s="11"/>
      <c r="C202" s="11"/>
      <c r="D202" s="11"/>
      <c r="E202" s="11"/>
      <c r="F202" s="30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ht="15.75" customHeight="1">
      <c r="A203" s="11"/>
      <c r="B203" s="11"/>
      <c r="C203" s="11"/>
      <c r="D203" s="11"/>
      <c r="E203" s="11"/>
      <c r="F203" s="30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ht="15.75" customHeight="1">
      <c r="A204" s="11"/>
      <c r="B204" s="11"/>
      <c r="C204" s="11"/>
      <c r="D204" s="11"/>
      <c r="E204" s="11"/>
      <c r="F204" s="30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ht="15.75" customHeight="1">
      <c r="A205" s="11"/>
      <c r="B205" s="11"/>
      <c r="C205" s="11"/>
      <c r="D205" s="11"/>
      <c r="E205" s="11"/>
      <c r="F205" s="30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ht="15.75" customHeight="1">
      <c r="A206" s="11"/>
      <c r="B206" s="11"/>
      <c r="C206" s="11"/>
      <c r="D206" s="11"/>
      <c r="E206" s="11"/>
      <c r="F206" s="30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ht="15.75" customHeight="1">
      <c r="A207" s="11"/>
      <c r="B207" s="11"/>
      <c r="C207" s="11"/>
      <c r="D207" s="11"/>
      <c r="E207" s="11"/>
      <c r="F207" s="30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ht="15.75" customHeight="1">
      <c r="A208" s="11"/>
      <c r="B208" s="11"/>
      <c r="C208" s="11"/>
      <c r="D208" s="11"/>
      <c r="E208" s="11"/>
      <c r="F208" s="30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ht="15.75" customHeight="1">
      <c r="A209" s="11"/>
      <c r="B209" s="11"/>
      <c r="C209" s="11"/>
      <c r="D209" s="11"/>
      <c r="E209" s="11"/>
      <c r="F209" s="30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ht="15.75" customHeight="1">
      <c r="A210" s="11"/>
      <c r="B210" s="11"/>
      <c r="C210" s="11"/>
      <c r="D210" s="11"/>
      <c r="E210" s="11"/>
      <c r="F210" s="30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ht="15.75" customHeight="1">
      <c r="A211" s="11"/>
      <c r="B211" s="11"/>
      <c r="C211" s="11"/>
      <c r="D211" s="11"/>
      <c r="E211" s="11"/>
      <c r="F211" s="30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ht="15.75" customHeight="1">
      <c r="A212" s="11"/>
      <c r="B212" s="11"/>
      <c r="C212" s="11"/>
      <c r="D212" s="11"/>
      <c r="E212" s="11"/>
      <c r="F212" s="30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ht="15.75" customHeight="1">
      <c r="A213" s="11"/>
      <c r="B213" s="11"/>
      <c r="C213" s="11"/>
      <c r="D213" s="11"/>
      <c r="E213" s="11"/>
      <c r="F213" s="30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ht="15.75" customHeight="1">
      <c r="A214" s="11"/>
      <c r="B214" s="11"/>
      <c r="C214" s="11"/>
      <c r="D214" s="11"/>
      <c r="E214" s="11"/>
      <c r="F214" s="30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ht="15.75" customHeight="1">
      <c r="A215" s="11"/>
      <c r="B215" s="11"/>
      <c r="C215" s="11"/>
      <c r="D215" s="11"/>
      <c r="E215" s="11"/>
      <c r="F215" s="30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ht="15.75" customHeight="1">
      <c r="A216" s="11"/>
      <c r="B216" s="11"/>
      <c r="C216" s="11"/>
      <c r="D216" s="11"/>
      <c r="E216" s="11"/>
      <c r="F216" s="30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ht="15.75" customHeight="1">
      <c r="A217" s="11"/>
      <c r="B217" s="11"/>
      <c r="C217" s="11"/>
      <c r="D217" s="11"/>
      <c r="E217" s="11"/>
      <c r="F217" s="30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ht="15.75" customHeight="1">
      <c r="A218" s="11"/>
      <c r="B218" s="11"/>
      <c r="C218" s="11"/>
      <c r="D218" s="11"/>
      <c r="E218" s="11"/>
      <c r="F218" s="30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ht="15.75" customHeight="1">
      <c r="A219" s="11"/>
      <c r="B219" s="11"/>
      <c r="C219" s="11"/>
      <c r="D219" s="11"/>
      <c r="E219" s="11"/>
      <c r="F219" s="30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ht="15.75" customHeight="1">
      <c r="A220" s="11"/>
      <c r="B220" s="11"/>
      <c r="C220" s="11"/>
      <c r="D220" s="11"/>
      <c r="E220" s="11"/>
      <c r="F220" s="30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ht="15.75" customHeight="1">
      <c r="A221" s="11"/>
      <c r="B221" s="11"/>
      <c r="C221" s="11"/>
      <c r="D221" s="11"/>
      <c r="E221" s="11"/>
      <c r="F221" s="30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ht="15.75" customHeight="1">
      <c r="A222" s="11"/>
      <c r="B222" s="11"/>
      <c r="C222" s="11"/>
      <c r="D222" s="11"/>
      <c r="E222" s="11"/>
      <c r="F222" s="30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ht="15.75" customHeight="1">
      <c r="A223" s="11"/>
      <c r="B223" s="11"/>
      <c r="C223" s="11"/>
      <c r="D223" s="11"/>
      <c r="E223" s="11"/>
      <c r="F223" s="30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ht="15.75" customHeight="1">
      <c r="A224" s="11"/>
      <c r="B224" s="11"/>
      <c r="C224" s="11"/>
      <c r="D224" s="11"/>
      <c r="E224" s="11"/>
      <c r="F224" s="30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ht="15.75" customHeight="1">
      <c r="A225" s="11"/>
      <c r="B225" s="11"/>
      <c r="C225" s="11"/>
      <c r="D225" s="11"/>
      <c r="E225" s="11"/>
      <c r="F225" s="30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ht="15.75" customHeight="1">
      <c r="A226" s="11"/>
      <c r="B226" s="11"/>
      <c r="C226" s="11"/>
      <c r="D226" s="11"/>
      <c r="E226" s="11"/>
      <c r="F226" s="30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ht="15.75" customHeight="1">
      <c r="A227" s="11"/>
      <c r="B227" s="11"/>
      <c r="C227" s="11"/>
      <c r="D227" s="11"/>
      <c r="E227" s="11"/>
      <c r="F227" s="30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ht="15.75" customHeight="1">
      <c r="A228" s="11"/>
      <c r="B228" s="11"/>
      <c r="C228" s="11"/>
      <c r="D228" s="11"/>
      <c r="E228" s="11"/>
      <c r="F228" s="30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ht="15.75" customHeight="1">
      <c r="A229" s="11"/>
      <c r="B229" s="11"/>
      <c r="C229" s="11"/>
      <c r="D229" s="11"/>
      <c r="E229" s="11"/>
      <c r="F229" s="30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ht="15.75" customHeight="1">
      <c r="A230" s="11"/>
      <c r="B230" s="11"/>
      <c r="C230" s="11"/>
      <c r="D230" s="11"/>
      <c r="E230" s="11"/>
      <c r="F230" s="30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ht="15.75" customHeight="1">
      <c r="A231" s="11"/>
      <c r="B231" s="11"/>
      <c r="C231" s="11"/>
      <c r="D231" s="11"/>
      <c r="E231" s="11"/>
      <c r="F231" s="30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ht="15.75" customHeight="1">
      <c r="A232" s="11"/>
      <c r="B232" s="11"/>
      <c r="C232" s="11"/>
      <c r="D232" s="11"/>
      <c r="E232" s="11"/>
      <c r="F232" s="30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ht="15.75" customHeight="1">
      <c r="A233" s="11"/>
      <c r="B233" s="11"/>
      <c r="C233" s="11"/>
      <c r="D233" s="11"/>
      <c r="E233" s="11"/>
      <c r="F233" s="30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ht="15.75" customHeight="1">
      <c r="A234" s="11"/>
      <c r="B234" s="11"/>
      <c r="C234" s="11"/>
      <c r="D234" s="11"/>
      <c r="E234" s="11"/>
      <c r="F234" s="30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ht="15.75" customHeight="1">
      <c r="A235" s="11"/>
      <c r="B235" s="11"/>
      <c r="C235" s="11"/>
      <c r="D235" s="11"/>
      <c r="E235" s="11"/>
      <c r="F235" s="30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ht="15.75" customHeight="1">
      <c r="A236" s="11"/>
      <c r="B236" s="11"/>
      <c r="C236" s="11"/>
      <c r="D236" s="11"/>
      <c r="E236" s="11"/>
      <c r="F236" s="30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ht="15.75" customHeight="1">
      <c r="A237" s="11"/>
      <c r="B237" s="11"/>
      <c r="C237" s="11"/>
      <c r="D237" s="11"/>
      <c r="E237" s="11"/>
      <c r="F237" s="30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ht="15.75" customHeight="1">
      <c r="A238" s="11"/>
      <c r="B238" s="11"/>
      <c r="C238" s="11"/>
      <c r="D238" s="11"/>
      <c r="E238" s="11"/>
      <c r="F238" s="30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ht="15.75" customHeight="1">
      <c r="A239" s="11"/>
      <c r="B239" s="11"/>
      <c r="C239" s="11"/>
      <c r="D239" s="11"/>
      <c r="E239" s="11"/>
      <c r="F239" s="30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ht="15.75" customHeight="1">
      <c r="A240" s="11"/>
      <c r="B240" s="11"/>
      <c r="C240" s="11"/>
      <c r="D240" s="11"/>
      <c r="E240" s="11"/>
      <c r="F240" s="30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ht="15.75" customHeight="1">
      <c r="A241" s="11"/>
      <c r="B241" s="11"/>
      <c r="C241" s="11"/>
      <c r="D241" s="11"/>
      <c r="E241" s="11"/>
      <c r="F241" s="30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ht="15.75" customHeight="1">
      <c r="A242" s="11"/>
      <c r="B242" s="11"/>
      <c r="C242" s="11"/>
      <c r="D242" s="11"/>
      <c r="E242" s="11"/>
      <c r="F242" s="30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ht="15.75" customHeight="1">
      <c r="A243" s="11"/>
      <c r="B243" s="11"/>
      <c r="C243" s="11"/>
      <c r="D243" s="11"/>
      <c r="E243" s="11"/>
      <c r="F243" s="30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ht="15.75" customHeight="1">
      <c r="A244" s="11"/>
      <c r="B244" s="11"/>
      <c r="C244" s="11"/>
      <c r="D244" s="11"/>
      <c r="E244" s="11"/>
      <c r="F244" s="30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ht="15.75" customHeight="1">
      <c r="A245" s="11"/>
      <c r="B245" s="11"/>
      <c r="C245" s="11"/>
      <c r="D245" s="11"/>
      <c r="E245" s="11"/>
      <c r="F245" s="30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ht="15.75" customHeight="1">
      <c r="A246" s="11"/>
      <c r="B246" s="11"/>
      <c r="C246" s="11"/>
      <c r="D246" s="11"/>
      <c r="E246" s="11"/>
      <c r="F246" s="30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ht="15.75" customHeight="1">
      <c r="A247" s="11"/>
      <c r="B247" s="11"/>
      <c r="C247" s="11"/>
      <c r="D247" s="11"/>
      <c r="E247" s="11"/>
      <c r="F247" s="30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ht="15.75" customHeight="1">
      <c r="A248" s="11"/>
      <c r="B248" s="11"/>
      <c r="C248" s="11"/>
      <c r="D248" s="11"/>
      <c r="E248" s="11"/>
      <c r="F248" s="30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 ht="15.75" customHeight="1">
      <c r="A249" s="11"/>
      <c r="B249" s="11"/>
      <c r="C249" s="11"/>
      <c r="D249" s="11"/>
      <c r="E249" s="11"/>
      <c r="F249" s="30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 ht="15.75" customHeight="1">
      <c r="A250" s="11"/>
      <c r="B250" s="11"/>
      <c r="C250" s="11"/>
      <c r="D250" s="11"/>
      <c r="E250" s="11"/>
      <c r="F250" s="30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 ht="15.75" customHeight="1">
      <c r="A251" s="11"/>
      <c r="B251" s="11"/>
      <c r="C251" s="11"/>
      <c r="D251" s="11"/>
      <c r="E251" s="11"/>
      <c r="F251" s="30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 ht="15.75" customHeight="1">
      <c r="A252" s="11"/>
      <c r="B252" s="11"/>
      <c r="C252" s="11"/>
      <c r="D252" s="11"/>
      <c r="E252" s="11"/>
      <c r="F252" s="30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 ht="15.75" customHeight="1">
      <c r="A253" s="11"/>
      <c r="B253" s="11"/>
      <c r="C253" s="11"/>
      <c r="D253" s="11"/>
      <c r="E253" s="11"/>
      <c r="F253" s="30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 ht="15.75" customHeight="1">
      <c r="A254" s="11"/>
      <c r="B254" s="11"/>
      <c r="C254" s="11"/>
      <c r="D254" s="11"/>
      <c r="E254" s="11"/>
      <c r="F254" s="30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 ht="15.75" customHeight="1">
      <c r="A255" s="11"/>
      <c r="B255" s="11"/>
      <c r="C255" s="11"/>
      <c r="D255" s="11"/>
      <c r="E255" s="11"/>
      <c r="F255" s="30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 ht="15.75" customHeight="1">
      <c r="A256" s="11"/>
      <c r="B256" s="11"/>
      <c r="C256" s="11"/>
      <c r="D256" s="11"/>
      <c r="E256" s="11"/>
      <c r="F256" s="30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 ht="15.75" customHeight="1">
      <c r="A257" s="11"/>
      <c r="B257" s="11"/>
      <c r="C257" s="11"/>
      <c r="D257" s="11"/>
      <c r="E257" s="11"/>
      <c r="F257" s="30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 ht="15.75" customHeight="1">
      <c r="A258" s="11"/>
      <c r="B258" s="11"/>
      <c r="C258" s="11"/>
      <c r="D258" s="11"/>
      <c r="E258" s="11"/>
      <c r="F258" s="30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 ht="15.75" customHeight="1">
      <c r="A259" s="11"/>
      <c r="B259" s="11"/>
      <c r="C259" s="11"/>
      <c r="D259" s="11"/>
      <c r="E259" s="11"/>
      <c r="F259" s="30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 ht="15.75" customHeight="1">
      <c r="A260" s="11"/>
      <c r="B260" s="11"/>
      <c r="C260" s="11"/>
      <c r="D260" s="11"/>
      <c r="E260" s="11"/>
      <c r="F260" s="30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 ht="15.75" customHeight="1">
      <c r="A261" s="11"/>
      <c r="B261" s="11"/>
      <c r="C261" s="11"/>
      <c r="D261" s="11"/>
      <c r="E261" s="11"/>
      <c r="F261" s="30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 ht="15.75" customHeight="1">
      <c r="A262" s="11"/>
      <c r="B262" s="11"/>
      <c r="C262" s="11"/>
      <c r="D262" s="11"/>
      <c r="E262" s="11"/>
      <c r="F262" s="30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 ht="15.75" customHeight="1">
      <c r="A263" s="11"/>
      <c r="B263" s="11"/>
      <c r="C263" s="11"/>
      <c r="D263" s="11"/>
      <c r="E263" s="11"/>
      <c r="F263" s="30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 ht="15.75" customHeight="1">
      <c r="A264" s="11"/>
      <c r="B264" s="11"/>
      <c r="C264" s="11"/>
      <c r="D264" s="11"/>
      <c r="E264" s="11"/>
      <c r="F264" s="30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 ht="15.75" customHeight="1">
      <c r="A265" s="11"/>
      <c r="B265" s="11"/>
      <c r="C265" s="11"/>
      <c r="D265" s="11"/>
      <c r="E265" s="11"/>
      <c r="F265" s="30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 ht="15.75" customHeight="1">
      <c r="A266" s="11"/>
      <c r="B266" s="11"/>
      <c r="C266" s="11"/>
      <c r="D266" s="11"/>
      <c r="E266" s="11"/>
      <c r="F266" s="30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 ht="15.75" customHeight="1">
      <c r="A267" s="11"/>
      <c r="B267" s="11"/>
      <c r="C267" s="11"/>
      <c r="D267" s="11"/>
      <c r="E267" s="11"/>
      <c r="F267" s="30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 ht="15.75" customHeight="1">
      <c r="A268" s="11"/>
      <c r="B268" s="11"/>
      <c r="C268" s="11"/>
      <c r="D268" s="11"/>
      <c r="E268" s="11"/>
      <c r="F268" s="30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 ht="15.75" customHeight="1">
      <c r="A269" s="11"/>
      <c r="B269" s="11"/>
      <c r="C269" s="11"/>
      <c r="D269" s="11"/>
      <c r="E269" s="11"/>
      <c r="F269" s="30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 ht="15.75" customHeight="1">
      <c r="A270" s="11"/>
      <c r="B270" s="11"/>
      <c r="C270" s="11"/>
      <c r="D270" s="11"/>
      <c r="E270" s="11"/>
      <c r="F270" s="30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 ht="15.75" customHeight="1">
      <c r="A271" s="11"/>
      <c r="B271" s="11"/>
      <c r="C271" s="11"/>
      <c r="D271" s="11"/>
      <c r="E271" s="11"/>
      <c r="F271" s="30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 ht="15.75" customHeight="1">
      <c r="A272" s="11"/>
      <c r="B272" s="11"/>
      <c r="C272" s="11"/>
      <c r="D272" s="11"/>
      <c r="E272" s="11"/>
      <c r="F272" s="30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 ht="15.75" customHeight="1">
      <c r="A273" s="11"/>
      <c r="B273" s="11"/>
      <c r="C273" s="11"/>
      <c r="D273" s="11"/>
      <c r="E273" s="11"/>
      <c r="F273" s="30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 ht="15.75" customHeight="1">
      <c r="A274" s="11"/>
      <c r="B274" s="11"/>
      <c r="C274" s="11"/>
      <c r="D274" s="11"/>
      <c r="E274" s="11"/>
      <c r="F274" s="30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 ht="15.75" customHeight="1">
      <c r="A275" s="11"/>
      <c r="B275" s="11"/>
      <c r="C275" s="11"/>
      <c r="D275" s="11"/>
      <c r="E275" s="11"/>
      <c r="F275" s="30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autoFilter ref="$U$1:$U$972"/>
  <mergeCells count="1">
    <mergeCell ref="A51:C51"/>
  </mergeCells>
  <conditionalFormatting sqref="I7:I92 D8:E90 F8:F91 G8:G90 H8:H92 J8:Q92 T8:T92 U9:U92">
    <cfRule type="cellIs" dxfId="1" priority="1" operator="lessThan">
      <formula>1</formula>
    </cfRule>
  </conditionalFormatting>
  <conditionalFormatting sqref="U1:U972">
    <cfRule type="cellIs" dxfId="2" priority="2" operator="lessThan">
      <formula>49.9</formula>
    </cfRule>
  </conditionalFormatting>
  <conditionalFormatting sqref="U1:U972">
    <cfRule type="cellIs" dxfId="3" priority="3" operator="greaterThanOrEqual">
      <formula>50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5.57"/>
    <col customWidth="1" min="3" max="3" width="32.0"/>
    <col customWidth="1" min="4" max="4" width="11.29"/>
    <col customWidth="1" min="5" max="5" width="11.0"/>
    <col customWidth="1" min="6" max="6" width="8.86"/>
    <col customWidth="1" min="7" max="7" width="6.57"/>
    <col customWidth="1" min="8" max="8" width="9.14"/>
    <col customWidth="1" min="9" max="9" width="8.57"/>
    <col customWidth="1" min="10" max="11" width="8.71"/>
    <col customWidth="1" min="12" max="12" width="9.29"/>
    <col customWidth="1" min="13" max="13" width="8.14"/>
    <col customWidth="1" min="14" max="14" width="7.71"/>
    <col customWidth="1" min="15" max="15" width="8.0"/>
    <col customWidth="1" min="16" max="16" width="7.71"/>
    <col customWidth="1" min="17" max="17" width="7.29"/>
    <col customWidth="1" min="18" max="18" width="13.43"/>
    <col customWidth="1" min="19" max="19" width="9.0"/>
    <col customWidth="1" min="20" max="20" width="16.57"/>
    <col customWidth="1" min="21" max="21" width="10.0"/>
  </cols>
  <sheetData>
    <row r="1">
      <c r="A1" s="11"/>
      <c r="B1" s="294" t="s">
        <v>238</v>
      </c>
      <c r="C1" s="295" t="s">
        <v>239</v>
      </c>
      <c r="D1" s="31"/>
      <c r="E1" s="31"/>
      <c r="F1" s="296"/>
      <c r="G1" s="31"/>
      <c r="H1" s="31"/>
      <c r="I1" s="31"/>
      <c r="J1" s="31"/>
      <c r="K1" s="31"/>
      <c r="L1" s="31"/>
      <c r="M1" s="31"/>
      <c r="N1" s="11"/>
      <c r="O1" s="11"/>
      <c r="P1" s="11"/>
      <c r="Q1" s="31"/>
      <c r="R1" s="11"/>
      <c r="S1" s="11"/>
      <c r="T1" s="11"/>
      <c r="U1" s="297"/>
      <c r="V1" s="11"/>
      <c r="W1" s="11"/>
      <c r="X1" s="11"/>
      <c r="Y1" s="11"/>
      <c r="Z1" s="11"/>
      <c r="AA1" s="11"/>
      <c r="AB1" s="11"/>
    </row>
    <row r="2">
      <c r="A2" s="11"/>
      <c r="B2" s="298" t="s">
        <v>240</v>
      </c>
      <c r="C2" s="299" t="s">
        <v>241</v>
      </c>
      <c r="D2" s="31"/>
      <c r="E2" s="31"/>
      <c r="F2" s="296"/>
      <c r="G2" s="31"/>
      <c r="H2" s="31"/>
      <c r="I2" s="31"/>
      <c r="J2" s="31"/>
      <c r="K2" s="31"/>
      <c r="L2" s="31"/>
      <c r="M2" s="31"/>
      <c r="N2" s="11"/>
      <c r="O2" s="11"/>
      <c r="P2" s="11"/>
      <c r="Q2" s="31"/>
      <c r="R2" s="11"/>
      <c r="S2" s="11"/>
      <c r="T2" s="11"/>
      <c r="U2" s="297"/>
      <c r="V2" s="11"/>
      <c r="W2" s="11"/>
      <c r="X2" s="11"/>
      <c r="Y2" s="11"/>
      <c r="Z2" s="11"/>
      <c r="AA2" s="11"/>
      <c r="AB2" s="11"/>
    </row>
    <row r="3">
      <c r="A3" s="11"/>
      <c r="B3" s="298" t="s">
        <v>242</v>
      </c>
      <c r="C3" s="300">
        <v>45894.0</v>
      </c>
      <c r="D3" s="11"/>
      <c r="E3" s="11"/>
      <c r="F3" s="30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297"/>
      <c r="V3" s="11"/>
      <c r="W3" s="11"/>
      <c r="X3" s="11"/>
      <c r="Y3" s="11"/>
      <c r="Z3" s="11"/>
      <c r="AA3" s="11"/>
      <c r="AB3" s="11"/>
    </row>
    <row r="4">
      <c r="A4" s="11"/>
      <c r="B4" s="302" t="s">
        <v>243</v>
      </c>
      <c r="C4" s="303"/>
      <c r="D4" s="11"/>
      <c r="E4" s="11"/>
      <c r="F4" s="30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297"/>
      <c r="V4" s="11"/>
      <c r="W4" s="11"/>
      <c r="X4" s="11"/>
      <c r="Y4" s="11"/>
      <c r="Z4" s="11"/>
      <c r="AA4" s="11"/>
      <c r="AB4" s="11"/>
    </row>
    <row r="5">
      <c r="A5" s="11"/>
      <c r="B5" s="11"/>
      <c r="C5" s="11"/>
      <c r="D5" s="11"/>
      <c r="E5" s="11"/>
      <c r="F5" s="30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297"/>
      <c r="V5" s="11"/>
      <c r="W5" s="11"/>
      <c r="X5" s="11"/>
      <c r="Y5" s="11"/>
      <c r="Z5" s="11"/>
      <c r="AA5" s="11"/>
      <c r="AB5" s="11"/>
    </row>
    <row r="6">
      <c r="A6" s="11"/>
      <c r="B6" s="11"/>
      <c r="C6" s="11"/>
      <c r="D6" s="31"/>
      <c r="E6" s="31"/>
      <c r="F6" s="296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11"/>
      <c r="S6" s="11"/>
      <c r="T6" s="11"/>
      <c r="U6" s="297"/>
      <c r="V6" s="11"/>
      <c r="W6" s="11"/>
      <c r="X6" s="11"/>
      <c r="Y6" s="11"/>
      <c r="Z6" s="11"/>
      <c r="AA6" s="11"/>
      <c r="AB6" s="11"/>
    </row>
    <row r="7" ht="42.0" customHeight="1">
      <c r="A7" s="304"/>
      <c r="B7" s="304"/>
      <c r="C7" s="305"/>
      <c r="D7" s="306" t="s">
        <v>244</v>
      </c>
      <c r="E7" s="307" t="s">
        <v>245</v>
      </c>
      <c r="F7" s="306" t="s">
        <v>246</v>
      </c>
      <c r="G7" s="306" t="s">
        <v>247</v>
      </c>
      <c r="H7" s="308">
        <v>401.0</v>
      </c>
      <c r="I7" s="309">
        <v>402.0</v>
      </c>
      <c r="J7" s="310" t="s">
        <v>248</v>
      </c>
      <c r="K7" s="309">
        <v>403.0</v>
      </c>
      <c r="L7" s="310" t="s">
        <v>249</v>
      </c>
      <c r="M7" s="311">
        <v>404.0</v>
      </c>
      <c r="N7" s="312" t="s">
        <v>250</v>
      </c>
      <c r="O7" s="313">
        <v>405.0</v>
      </c>
      <c r="P7" s="312" t="s">
        <v>251</v>
      </c>
      <c r="Q7" s="314" t="s">
        <v>252</v>
      </c>
      <c r="R7" s="315" t="s">
        <v>253</v>
      </c>
      <c r="S7" s="315" t="s">
        <v>254</v>
      </c>
      <c r="T7" s="316" t="s">
        <v>255</v>
      </c>
      <c r="U7" s="317" t="s">
        <v>256</v>
      </c>
      <c r="V7" s="11"/>
      <c r="W7" s="11"/>
      <c r="X7" s="11"/>
      <c r="Y7" s="11"/>
      <c r="Z7" s="11"/>
      <c r="AA7" s="11"/>
      <c r="AB7" s="11"/>
    </row>
    <row r="8">
      <c r="A8" s="318" t="s">
        <v>259</v>
      </c>
      <c r="B8" s="319" t="s">
        <v>40</v>
      </c>
      <c r="C8" s="320" t="s">
        <v>42</v>
      </c>
      <c r="D8" s="321"/>
      <c r="E8" s="321"/>
      <c r="F8" s="322"/>
      <c r="G8" s="321"/>
      <c r="H8" s="323">
        <f>'401'!D9</f>
        <v>44</v>
      </c>
      <c r="I8" s="323">
        <f>'402'!D9</f>
        <v>38</v>
      </c>
      <c r="J8" s="324">
        <f>'402 L'!D9</f>
        <v>7</v>
      </c>
      <c r="K8" s="323">
        <f>'403'!D9</f>
        <v>40</v>
      </c>
      <c r="L8" s="324">
        <f>'403 L'!D9</f>
        <v>13</v>
      </c>
      <c r="M8" s="323">
        <f>'404'!D9</f>
        <v>35</v>
      </c>
      <c r="N8" s="324">
        <f>'404 L'!D9</f>
        <v>13</v>
      </c>
      <c r="O8" s="323">
        <f>'405'!D9</f>
        <v>38</v>
      </c>
      <c r="P8" s="324">
        <f>'405 L'!D9</f>
        <v>12</v>
      </c>
      <c r="Q8" s="324">
        <f>'406 L'!D9</f>
        <v>18</v>
      </c>
      <c r="R8" s="324">
        <f t="shared" ref="R8:R92" si="1">SUM(H8+I8+K8+M8+O8)</f>
        <v>195</v>
      </c>
      <c r="S8" s="324">
        <f t="shared" ref="S8:S92" si="2">SUM(L8+N8+Q8+J8+P8)</f>
        <v>63</v>
      </c>
      <c r="T8" s="47">
        <f t="shared" ref="T8:T92" si="3">R8+S8+G8+D8+E8</f>
        <v>258</v>
      </c>
      <c r="U8" s="325" t="s">
        <v>258</v>
      </c>
      <c r="V8" s="11"/>
      <c r="W8" s="11"/>
      <c r="X8" s="11"/>
      <c r="Y8" s="11"/>
      <c r="Z8" s="11"/>
      <c r="AA8" s="11"/>
      <c r="AB8" s="11"/>
    </row>
    <row r="9">
      <c r="A9" s="326">
        <v>1.0</v>
      </c>
      <c r="B9" s="126" t="s">
        <v>51</v>
      </c>
      <c r="C9" s="127" t="s">
        <v>52</v>
      </c>
      <c r="D9" s="327"/>
      <c r="E9" s="327"/>
      <c r="F9" s="328"/>
      <c r="G9" s="329"/>
      <c r="H9" s="330">
        <f>'401'!D10</f>
        <v>0</v>
      </c>
      <c r="I9" s="331">
        <f>'402'!D10</f>
        <v>0</v>
      </c>
      <c r="J9" s="332">
        <f>'402 L'!D10</f>
        <v>0</v>
      </c>
      <c r="K9" s="333">
        <f>'403'!D10</f>
        <v>0</v>
      </c>
      <c r="L9" s="332">
        <f>'403 L'!D10</f>
        <v>0</v>
      </c>
      <c r="M9" s="333">
        <f>'404'!D10</f>
        <v>0</v>
      </c>
      <c r="N9" s="332">
        <f>'404 L'!D10</f>
        <v>1</v>
      </c>
      <c r="O9" s="333">
        <f>'405'!D10</f>
        <v>0</v>
      </c>
      <c r="P9" s="332">
        <f>'405 L'!D10</f>
        <v>0</v>
      </c>
      <c r="Q9" s="332">
        <f>'406 L'!D10</f>
        <v>1</v>
      </c>
      <c r="R9" s="332">
        <f t="shared" si="1"/>
        <v>0</v>
      </c>
      <c r="S9" s="332">
        <f t="shared" si="2"/>
        <v>2</v>
      </c>
      <c r="T9" s="334">
        <f t="shared" si="3"/>
        <v>2</v>
      </c>
      <c r="U9" s="335">
        <f t="shared" ref="U9:U50" si="4">ROUND(T9/T$8*100,0)</f>
        <v>1</v>
      </c>
      <c r="V9" s="336"/>
      <c r="W9" s="336"/>
      <c r="X9" s="336"/>
      <c r="Y9" s="336"/>
      <c r="Z9" s="336"/>
      <c r="AA9" s="336"/>
      <c r="AB9" s="336"/>
    </row>
    <row r="10" ht="15.75" customHeight="1">
      <c r="A10" s="337">
        <v>2.0</v>
      </c>
      <c r="B10" s="111" t="s">
        <v>53</v>
      </c>
      <c r="C10" s="112" t="s">
        <v>61</v>
      </c>
      <c r="D10" s="327"/>
      <c r="E10" s="346">
        <v>25.0</v>
      </c>
      <c r="F10" s="347" t="s">
        <v>260</v>
      </c>
      <c r="G10" s="329"/>
      <c r="H10" s="330">
        <f>'401'!D11</f>
        <v>29</v>
      </c>
      <c r="I10" s="331">
        <f>'402'!D11</f>
        <v>27</v>
      </c>
      <c r="J10" s="332">
        <f>'402 L'!D11</f>
        <v>5</v>
      </c>
      <c r="K10" s="333">
        <f>'403'!D11</f>
        <v>28</v>
      </c>
      <c r="L10" s="332">
        <f>'403 L'!D11</f>
        <v>11</v>
      </c>
      <c r="M10" s="333">
        <f>'404'!D11</f>
        <v>28</v>
      </c>
      <c r="N10" s="332">
        <f>'404 L'!D11</f>
        <v>9</v>
      </c>
      <c r="O10" s="333">
        <f>'405'!D11</f>
        <v>30</v>
      </c>
      <c r="P10" s="332">
        <f>'405 L'!D11</f>
        <v>9</v>
      </c>
      <c r="Q10" s="332">
        <f>'406 L'!D11</f>
        <v>15</v>
      </c>
      <c r="R10" s="332">
        <f t="shared" si="1"/>
        <v>142</v>
      </c>
      <c r="S10" s="332">
        <f t="shared" si="2"/>
        <v>49</v>
      </c>
      <c r="T10" s="334">
        <f t="shared" si="3"/>
        <v>216</v>
      </c>
      <c r="U10" s="335">
        <f t="shared" si="4"/>
        <v>84</v>
      </c>
      <c r="V10" s="336"/>
      <c r="W10" s="336"/>
      <c r="X10" s="336"/>
      <c r="Y10" s="336"/>
      <c r="Z10" s="336"/>
      <c r="AA10" s="336"/>
      <c r="AB10" s="336"/>
    </row>
    <row r="11">
      <c r="A11" s="326">
        <v>3.0</v>
      </c>
      <c r="B11" s="111" t="s">
        <v>55</v>
      </c>
      <c r="C11" s="112" t="s">
        <v>56</v>
      </c>
      <c r="D11" s="327"/>
      <c r="E11" s="349">
        <v>14.0</v>
      </c>
      <c r="F11" s="328"/>
      <c r="G11" s="329"/>
      <c r="H11" s="330">
        <f>'401'!D12</f>
        <v>18</v>
      </c>
      <c r="I11" s="331">
        <f>'402'!D12</f>
        <v>15</v>
      </c>
      <c r="J11" s="332">
        <f>'402 L'!D12</f>
        <v>4</v>
      </c>
      <c r="K11" s="333">
        <f>'403'!D12</f>
        <v>17</v>
      </c>
      <c r="L11" s="332">
        <f>'403 L'!D12</f>
        <v>8</v>
      </c>
      <c r="M11" s="333">
        <f>'404'!D12</f>
        <v>18</v>
      </c>
      <c r="N11" s="332">
        <f>'404 L'!D12</f>
        <v>4</v>
      </c>
      <c r="O11" s="333">
        <f>'405'!D12</f>
        <v>20</v>
      </c>
      <c r="P11" s="332">
        <f>'405 L'!D12</f>
        <v>8</v>
      </c>
      <c r="Q11" s="332">
        <f>'406 L'!D12</f>
        <v>9</v>
      </c>
      <c r="R11" s="332">
        <f t="shared" si="1"/>
        <v>88</v>
      </c>
      <c r="S11" s="332">
        <f t="shared" si="2"/>
        <v>33</v>
      </c>
      <c r="T11" s="334">
        <f t="shared" si="3"/>
        <v>135</v>
      </c>
      <c r="U11" s="335">
        <f t="shared" si="4"/>
        <v>52</v>
      </c>
      <c r="V11" s="336"/>
      <c r="W11" s="336"/>
      <c r="X11" s="336"/>
      <c r="Y11" s="336"/>
      <c r="Z11" s="336"/>
      <c r="AA11" s="336"/>
      <c r="AB11" s="336"/>
    </row>
    <row r="12">
      <c r="A12" s="326">
        <v>4.0</v>
      </c>
      <c r="B12" s="161" t="s">
        <v>57</v>
      </c>
      <c r="C12" s="162" t="s">
        <v>58</v>
      </c>
      <c r="D12" s="327"/>
      <c r="E12" s="327"/>
      <c r="F12" s="328"/>
      <c r="G12" s="329"/>
      <c r="H12" s="330">
        <f>'401'!D13</f>
        <v>24</v>
      </c>
      <c r="I12" s="331">
        <f>'402'!D13</f>
        <v>18</v>
      </c>
      <c r="J12" s="332">
        <f>'402 L'!D13</f>
        <v>4</v>
      </c>
      <c r="K12" s="333">
        <f>'403'!D13</f>
        <v>21</v>
      </c>
      <c r="L12" s="332">
        <f>'403 L'!D13</f>
        <v>9</v>
      </c>
      <c r="M12" s="333">
        <f>'404'!D13</f>
        <v>20</v>
      </c>
      <c r="N12" s="332">
        <f>'404 L'!D13</f>
        <v>3</v>
      </c>
      <c r="O12" s="333">
        <f>'405'!D13</f>
        <v>23</v>
      </c>
      <c r="P12" s="332">
        <f>'405 L'!D13</f>
        <v>9</v>
      </c>
      <c r="Q12" s="332">
        <f>'406 L'!D13</f>
        <v>10</v>
      </c>
      <c r="R12" s="332">
        <f t="shared" si="1"/>
        <v>106</v>
      </c>
      <c r="S12" s="332">
        <f t="shared" si="2"/>
        <v>35</v>
      </c>
      <c r="T12" s="334">
        <f t="shared" si="3"/>
        <v>141</v>
      </c>
      <c r="U12" s="335">
        <f t="shared" si="4"/>
        <v>55</v>
      </c>
      <c r="V12" s="336"/>
      <c r="W12" s="336"/>
      <c r="X12" s="336"/>
      <c r="Y12" s="336"/>
      <c r="Z12" s="336"/>
      <c r="AA12" s="336"/>
      <c r="AB12" s="336"/>
    </row>
    <row r="13">
      <c r="A13" s="337">
        <v>5.0</v>
      </c>
      <c r="B13" s="111" t="s">
        <v>59</v>
      </c>
      <c r="C13" s="112" t="s">
        <v>60</v>
      </c>
      <c r="D13" s="327"/>
      <c r="E13" s="349">
        <v>20.0</v>
      </c>
      <c r="F13" s="347" t="s">
        <v>260</v>
      </c>
      <c r="G13" s="329"/>
      <c r="H13" s="330">
        <f>'401'!D14</f>
        <v>26</v>
      </c>
      <c r="I13" s="331">
        <f>'402'!D14</f>
        <v>21</v>
      </c>
      <c r="J13" s="332">
        <f>'402 L'!D14</f>
        <v>5</v>
      </c>
      <c r="K13" s="333">
        <f>'403'!D14</f>
        <v>27</v>
      </c>
      <c r="L13" s="332">
        <f>'403 L'!D14</f>
        <v>9</v>
      </c>
      <c r="M13" s="333">
        <f>'404'!D14</f>
        <v>20</v>
      </c>
      <c r="N13" s="332">
        <f>'404 L'!D14</f>
        <v>6</v>
      </c>
      <c r="O13" s="333">
        <f>'405'!D14</f>
        <v>27</v>
      </c>
      <c r="P13" s="332">
        <f>'405 L'!D14</f>
        <v>8</v>
      </c>
      <c r="Q13" s="332">
        <f>'406 L'!D14</f>
        <v>12</v>
      </c>
      <c r="R13" s="332">
        <f t="shared" si="1"/>
        <v>121</v>
      </c>
      <c r="S13" s="332">
        <f t="shared" si="2"/>
        <v>40</v>
      </c>
      <c r="T13" s="334">
        <f t="shared" si="3"/>
        <v>181</v>
      </c>
      <c r="U13" s="335">
        <f t="shared" si="4"/>
        <v>70</v>
      </c>
      <c r="V13" s="336"/>
      <c r="W13" s="336"/>
      <c r="X13" s="336"/>
      <c r="Y13" s="336"/>
      <c r="Z13" s="336"/>
      <c r="AA13" s="336"/>
      <c r="AB13" s="336"/>
    </row>
    <row r="14">
      <c r="A14" s="326">
        <v>6.0</v>
      </c>
      <c r="B14" s="111" t="s">
        <v>62</v>
      </c>
      <c r="C14" s="112" t="s">
        <v>63</v>
      </c>
      <c r="D14" s="327"/>
      <c r="E14" s="346">
        <v>35.0</v>
      </c>
      <c r="F14" s="347" t="s">
        <v>260</v>
      </c>
      <c r="G14" s="329"/>
      <c r="H14" s="330">
        <f>'401'!D15</f>
        <v>28</v>
      </c>
      <c r="I14" s="331">
        <f>'402'!D15</f>
        <v>20</v>
      </c>
      <c r="J14" s="332">
        <f>'402 L'!D15</f>
        <v>5</v>
      </c>
      <c r="K14" s="333">
        <f>'403'!D15</f>
        <v>29</v>
      </c>
      <c r="L14" s="332">
        <f>'403 L'!D15</f>
        <v>10</v>
      </c>
      <c r="M14" s="333">
        <f>'404'!D15</f>
        <v>20</v>
      </c>
      <c r="N14" s="332">
        <f>'404 L'!D15</f>
        <v>5</v>
      </c>
      <c r="O14" s="333">
        <f>'405'!D15</f>
        <v>23</v>
      </c>
      <c r="P14" s="332">
        <f>'405 L'!D15</f>
        <v>8</v>
      </c>
      <c r="Q14" s="332">
        <f>'406 L'!D15</f>
        <v>14</v>
      </c>
      <c r="R14" s="332">
        <f t="shared" si="1"/>
        <v>120</v>
      </c>
      <c r="S14" s="332">
        <f t="shared" si="2"/>
        <v>42</v>
      </c>
      <c r="T14" s="334">
        <f t="shared" si="3"/>
        <v>197</v>
      </c>
      <c r="U14" s="335">
        <f t="shared" si="4"/>
        <v>76</v>
      </c>
      <c r="V14" s="336"/>
      <c r="W14" s="336"/>
      <c r="X14" s="336"/>
      <c r="Y14" s="336"/>
      <c r="Z14" s="336"/>
      <c r="AA14" s="336"/>
      <c r="AB14" s="336"/>
    </row>
    <row r="15">
      <c r="A15" s="326">
        <v>7.0</v>
      </c>
      <c r="B15" s="111" t="s">
        <v>64</v>
      </c>
      <c r="C15" s="112" t="s">
        <v>65</v>
      </c>
      <c r="D15" s="327"/>
      <c r="E15" s="346">
        <v>7.0</v>
      </c>
      <c r="F15" s="328"/>
      <c r="G15" s="329"/>
      <c r="H15" s="330">
        <f>'401'!D16</f>
        <v>8</v>
      </c>
      <c r="I15" s="331">
        <f>'402'!D16</f>
        <v>7</v>
      </c>
      <c r="J15" s="332">
        <f>'402 L'!D16</f>
        <v>0</v>
      </c>
      <c r="K15" s="333">
        <f>'403'!D16</f>
        <v>5</v>
      </c>
      <c r="L15" s="332">
        <f>'403 L'!D16</f>
        <v>3</v>
      </c>
      <c r="M15" s="333">
        <f>'404'!D16</f>
        <v>7</v>
      </c>
      <c r="N15" s="332">
        <f>'404 L'!D16</f>
        <v>2</v>
      </c>
      <c r="O15" s="333">
        <f>'405'!D16</f>
        <v>6</v>
      </c>
      <c r="P15" s="332">
        <f>'405 L'!D16</f>
        <v>1</v>
      </c>
      <c r="Q15" s="332">
        <f>'406 L'!D16</f>
        <v>2</v>
      </c>
      <c r="R15" s="332">
        <f t="shared" si="1"/>
        <v>33</v>
      </c>
      <c r="S15" s="332">
        <f t="shared" si="2"/>
        <v>8</v>
      </c>
      <c r="T15" s="334">
        <f t="shared" si="3"/>
        <v>48</v>
      </c>
      <c r="U15" s="335">
        <f t="shared" si="4"/>
        <v>19</v>
      </c>
      <c r="V15" s="336"/>
      <c r="W15" s="336"/>
      <c r="X15" s="336"/>
      <c r="Y15" s="336"/>
      <c r="Z15" s="336"/>
      <c r="AA15" s="336"/>
      <c r="AB15" s="336"/>
    </row>
    <row r="16">
      <c r="A16" s="337">
        <v>8.0</v>
      </c>
      <c r="B16" s="111" t="s">
        <v>66</v>
      </c>
      <c r="C16" s="112" t="s">
        <v>67</v>
      </c>
      <c r="D16" s="327"/>
      <c r="E16" s="346">
        <v>63.0</v>
      </c>
      <c r="F16" s="328"/>
      <c r="G16" s="329"/>
      <c r="H16" s="330">
        <f>'401'!D17</f>
        <v>17</v>
      </c>
      <c r="I16" s="331">
        <f>'402'!D17</f>
        <v>11</v>
      </c>
      <c r="J16" s="332">
        <f>'402 L'!D17</f>
        <v>2</v>
      </c>
      <c r="K16" s="333">
        <f>'403'!D17</f>
        <v>13</v>
      </c>
      <c r="L16" s="332">
        <f>'403 L'!D17</f>
        <v>5</v>
      </c>
      <c r="M16" s="333">
        <f>'404'!D17</f>
        <v>14</v>
      </c>
      <c r="N16" s="332">
        <f>'404 L'!D17</f>
        <v>7</v>
      </c>
      <c r="O16" s="333">
        <f>'405'!D17</f>
        <v>16</v>
      </c>
      <c r="P16" s="332">
        <f>'405 L'!D17</f>
        <v>6</v>
      </c>
      <c r="Q16" s="332">
        <f>'406 L'!D17</f>
        <v>9</v>
      </c>
      <c r="R16" s="332">
        <f t="shared" si="1"/>
        <v>71</v>
      </c>
      <c r="S16" s="332">
        <f t="shared" si="2"/>
        <v>29</v>
      </c>
      <c r="T16" s="334">
        <f t="shared" si="3"/>
        <v>163</v>
      </c>
      <c r="U16" s="335">
        <f t="shared" si="4"/>
        <v>63</v>
      </c>
      <c r="V16" s="336"/>
      <c r="W16" s="336"/>
      <c r="X16" s="336"/>
      <c r="Y16" s="336"/>
      <c r="Z16" s="336"/>
      <c r="AA16" s="336"/>
      <c r="AB16" s="336"/>
    </row>
    <row r="17">
      <c r="A17" s="326">
        <v>9.0</v>
      </c>
      <c r="B17" s="111" t="s">
        <v>68</v>
      </c>
      <c r="C17" s="112" t="s">
        <v>69</v>
      </c>
      <c r="D17" s="327"/>
      <c r="E17" s="346">
        <v>7.0</v>
      </c>
      <c r="F17" s="328"/>
      <c r="G17" s="329"/>
      <c r="H17" s="330">
        <f>'401'!D18</f>
        <v>20</v>
      </c>
      <c r="I17" s="331">
        <f>'402'!D18</f>
        <v>14</v>
      </c>
      <c r="J17" s="332">
        <f>'402 L'!D18</f>
        <v>5</v>
      </c>
      <c r="K17" s="333">
        <f>'403'!D18</f>
        <v>16</v>
      </c>
      <c r="L17" s="332">
        <f>'403 L'!D18</f>
        <v>7</v>
      </c>
      <c r="M17" s="333">
        <f>'404'!D18</f>
        <v>14</v>
      </c>
      <c r="N17" s="332">
        <f>'404 L'!D18</f>
        <v>1</v>
      </c>
      <c r="O17" s="333">
        <f>'405'!D18</f>
        <v>15</v>
      </c>
      <c r="P17" s="332">
        <f>'405 L'!D18</f>
        <v>4</v>
      </c>
      <c r="Q17" s="332">
        <f>'406 L'!D18</f>
        <v>10</v>
      </c>
      <c r="R17" s="332">
        <f t="shared" si="1"/>
        <v>79</v>
      </c>
      <c r="S17" s="332">
        <f t="shared" si="2"/>
        <v>27</v>
      </c>
      <c r="T17" s="334">
        <f t="shared" si="3"/>
        <v>113</v>
      </c>
      <c r="U17" s="335">
        <f t="shared" si="4"/>
        <v>44</v>
      </c>
      <c r="V17" s="336"/>
      <c r="W17" s="336"/>
      <c r="X17" s="336"/>
      <c r="Y17" s="336"/>
      <c r="Z17" s="336"/>
      <c r="AA17" s="336"/>
      <c r="AB17" s="336"/>
    </row>
    <row r="18">
      <c r="A18" s="326">
        <v>10.0</v>
      </c>
      <c r="B18" s="111" t="s">
        <v>70</v>
      </c>
      <c r="C18" s="112" t="s">
        <v>71</v>
      </c>
      <c r="D18" s="327"/>
      <c r="E18" s="327"/>
      <c r="F18" s="328"/>
      <c r="G18" s="329"/>
      <c r="H18" s="330">
        <f>'401'!D19</f>
        <v>26</v>
      </c>
      <c r="I18" s="331">
        <f>'402'!D19</f>
        <v>22</v>
      </c>
      <c r="J18" s="332">
        <f>'402 L'!D19</f>
        <v>3</v>
      </c>
      <c r="K18" s="333">
        <f>'403'!D19</f>
        <v>19</v>
      </c>
      <c r="L18" s="332">
        <f>'403 L'!D19</f>
        <v>8</v>
      </c>
      <c r="M18" s="333">
        <f>'404'!D19</f>
        <v>21</v>
      </c>
      <c r="N18" s="332">
        <f>'404 L'!D19</f>
        <v>6</v>
      </c>
      <c r="O18" s="333">
        <f>'405'!D19</f>
        <v>29</v>
      </c>
      <c r="P18" s="332">
        <f>'405 L'!D19</f>
        <v>11</v>
      </c>
      <c r="Q18" s="332">
        <f>'406 L'!D19</f>
        <v>8</v>
      </c>
      <c r="R18" s="332">
        <f t="shared" si="1"/>
        <v>117</v>
      </c>
      <c r="S18" s="332">
        <f t="shared" si="2"/>
        <v>36</v>
      </c>
      <c r="T18" s="334">
        <f t="shared" si="3"/>
        <v>153</v>
      </c>
      <c r="U18" s="335">
        <f t="shared" si="4"/>
        <v>59</v>
      </c>
      <c r="V18" s="336"/>
      <c r="W18" s="336"/>
      <c r="X18" s="336"/>
      <c r="Y18" s="336"/>
      <c r="Z18" s="336"/>
      <c r="AA18" s="336"/>
      <c r="AB18" s="336"/>
    </row>
    <row r="19">
      <c r="A19" s="337">
        <v>11.0</v>
      </c>
      <c r="B19" s="111" t="s">
        <v>72</v>
      </c>
      <c r="C19" s="112" t="s">
        <v>73</v>
      </c>
      <c r="D19" s="327"/>
      <c r="E19" s="327"/>
      <c r="F19" s="328"/>
      <c r="G19" s="329"/>
      <c r="H19" s="330">
        <f>'401'!D20</f>
        <v>35</v>
      </c>
      <c r="I19" s="331">
        <f>'402'!D20</f>
        <v>28</v>
      </c>
      <c r="J19" s="332">
        <f>'402 L'!D20</f>
        <v>5</v>
      </c>
      <c r="K19" s="333">
        <f>'403'!D20</f>
        <v>25</v>
      </c>
      <c r="L19" s="332">
        <f>'403 L'!D20</f>
        <v>10</v>
      </c>
      <c r="M19" s="333">
        <f>'404'!D20</f>
        <v>25</v>
      </c>
      <c r="N19" s="332">
        <f>'404 L'!D20</f>
        <v>8</v>
      </c>
      <c r="O19" s="333">
        <f>'405'!D20</f>
        <v>29</v>
      </c>
      <c r="P19" s="332">
        <f>'405 L'!D20</f>
        <v>8</v>
      </c>
      <c r="Q19" s="332">
        <f>'406 L'!D20</f>
        <v>15</v>
      </c>
      <c r="R19" s="332">
        <f t="shared" si="1"/>
        <v>142</v>
      </c>
      <c r="S19" s="332">
        <f t="shared" si="2"/>
        <v>46</v>
      </c>
      <c r="T19" s="334">
        <f t="shared" si="3"/>
        <v>188</v>
      </c>
      <c r="U19" s="335">
        <f t="shared" si="4"/>
        <v>73</v>
      </c>
      <c r="V19" s="336"/>
      <c r="W19" s="336"/>
      <c r="X19" s="336"/>
      <c r="Y19" s="336"/>
      <c r="Z19" s="336"/>
      <c r="AA19" s="336"/>
      <c r="AB19" s="336"/>
    </row>
    <row r="20" ht="15.75" customHeight="1">
      <c r="A20" s="326">
        <v>12.0</v>
      </c>
      <c r="B20" s="111" t="s">
        <v>74</v>
      </c>
      <c r="C20" s="112" t="s">
        <v>75</v>
      </c>
      <c r="D20" s="327"/>
      <c r="E20" s="327"/>
      <c r="F20" s="328"/>
      <c r="G20" s="329"/>
      <c r="H20" s="330">
        <f>'401'!D21</f>
        <v>19</v>
      </c>
      <c r="I20" s="331">
        <f>'402'!D21</f>
        <v>16</v>
      </c>
      <c r="J20" s="332">
        <f>'402 L'!D21</f>
        <v>2</v>
      </c>
      <c r="K20" s="333">
        <f>'403'!D21</f>
        <v>23</v>
      </c>
      <c r="L20" s="332">
        <f>'403 L'!D21</f>
        <v>7</v>
      </c>
      <c r="M20" s="333">
        <f>'404'!D21</f>
        <v>16</v>
      </c>
      <c r="N20" s="332">
        <f>'404 L'!D21</f>
        <v>6</v>
      </c>
      <c r="O20" s="333">
        <f>'405'!D21</f>
        <v>21</v>
      </c>
      <c r="P20" s="332">
        <f>'405 L'!D21</f>
        <v>4</v>
      </c>
      <c r="Q20" s="332">
        <f>'406 L'!D21</f>
        <v>8</v>
      </c>
      <c r="R20" s="332">
        <f t="shared" si="1"/>
        <v>95</v>
      </c>
      <c r="S20" s="332">
        <f t="shared" si="2"/>
        <v>27</v>
      </c>
      <c r="T20" s="334">
        <f t="shared" si="3"/>
        <v>122</v>
      </c>
      <c r="U20" s="335">
        <f t="shared" si="4"/>
        <v>47</v>
      </c>
      <c r="V20" s="336"/>
      <c r="W20" s="336"/>
      <c r="X20" s="336"/>
      <c r="Y20" s="336"/>
      <c r="Z20" s="336"/>
      <c r="AA20" s="336"/>
      <c r="AB20" s="336"/>
    </row>
    <row r="21" ht="15.75" customHeight="1">
      <c r="A21" s="326">
        <v>13.0</v>
      </c>
      <c r="B21" s="111" t="s">
        <v>76</v>
      </c>
      <c r="C21" s="112" t="s">
        <v>77</v>
      </c>
      <c r="D21" s="327"/>
      <c r="E21" s="346">
        <v>14.0</v>
      </c>
      <c r="F21" s="328"/>
      <c r="G21" s="329"/>
      <c r="H21" s="330">
        <f>'401'!D22</f>
        <v>22</v>
      </c>
      <c r="I21" s="331">
        <f>'402'!D22</f>
        <v>18</v>
      </c>
      <c r="J21" s="332">
        <f>'402 L'!D22</f>
        <v>5</v>
      </c>
      <c r="K21" s="333">
        <f>'403'!D22</f>
        <v>18</v>
      </c>
      <c r="L21" s="332">
        <f>'403 L'!D22</f>
        <v>7</v>
      </c>
      <c r="M21" s="333">
        <f>'404'!D22</f>
        <v>16</v>
      </c>
      <c r="N21" s="332">
        <f>'404 L'!D22</f>
        <v>1</v>
      </c>
      <c r="O21" s="333">
        <f>'405'!D22</f>
        <v>17</v>
      </c>
      <c r="P21" s="332">
        <f>'405 L'!D22</f>
        <v>5</v>
      </c>
      <c r="Q21" s="332">
        <f>'406 L'!D22</f>
        <v>11</v>
      </c>
      <c r="R21" s="332">
        <f t="shared" si="1"/>
        <v>91</v>
      </c>
      <c r="S21" s="332">
        <f t="shared" si="2"/>
        <v>29</v>
      </c>
      <c r="T21" s="334">
        <f t="shared" si="3"/>
        <v>134</v>
      </c>
      <c r="U21" s="335">
        <f t="shared" si="4"/>
        <v>52</v>
      </c>
      <c r="V21" s="336"/>
      <c r="W21" s="336"/>
      <c r="X21" s="336"/>
      <c r="Y21" s="336"/>
      <c r="Z21" s="336"/>
      <c r="AA21" s="336"/>
      <c r="AB21" s="336"/>
    </row>
    <row r="22" ht="15.75" customHeight="1">
      <c r="A22" s="337">
        <v>14.0</v>
      </c>
      <c r="B22" s="111" t="s">
        <v>78</v>
      </c>
      <c r="C22" s="112" t="s">
        <v>79</v>
      </c>
      <c r="D22" s="327"/>
      <c r="E22" s="346">
        <v>7.0</v>
      </c>
      <c r="F22" s="328"/>
      <c r="G22" s="329"/>
      <c r="H22" s="330">
        <f>'401'!D23</f>
        <v>15</v>
      </c>
      <c r="I22" s="331">
        <f>'402'!D23</f>
        <v>10</v>
      </c>
      <c r="J22" s="332">
        <f>'402 L'!D23</f>
        <v>5</v>
      </c>
      <c r="K22" s="333">
        <f>'403'!D23</f>
        <v>20</v>
      </c>
      <c r="L22" s="332">
        <f>'403 L'!D23</f>
        <v>7</v>
      </c>
      <c r="M22" s="333">
        <f>'404'!D23</f>
        <v>12</v>
      </c>
      <c r="N22" s="332">
        <f>'404 L'!D23</f>
        <v>5</v>
      </c>
      <c r="O22" s="333">
        <f>'405'!D23</f>
        <v>15</v>
      </c>
      <c r="P22" s="332">
        <f>'405 L'!D23</f>
        <v>6</v>
      </c>
      <c r="Q22" s="332">
        <f>'406 L'!D23</f>
        <v>4</v>
      </c>
      <c r="R22" s="332">
        <f t="shared" si="1"/>
        <v>72</v>
      </c>
      <c r="S22" s="332">
        <f t="shared" si="2"/>
        <v>27</v>
      </c>
      <c r="T22" s="334">
        <f t="shared" si="3"/>
        <v>106</v>
      </c>
      <c r="U22" s="335">
        <f t="shared" si="4"/>
        <v>41</v>
      </c>
      <c r="V22" s="336"/>
      <c r="W22" s="336"/>
      <c r="X22" s="336"/>
      <c r="Y22" s="336"/>
      <c r="Z22" s="336"/>
      <c r="AA22" s="336"/>
      <c r="AB22" s="336"/>
    </row>
    <row r="23" ht="15.75" customHeight="1">
      <c r="A23" s="326">
        <v>15.0</v>
      </c>
      <c r="B23" s="111" t="s">
        <v>80</v>
      </c>
      <c r="C23" s="112" t="s">
        <v>81</v>
      </c>
      <c r="D23" s="327"/>
      <c r="E23" s="346">
        <v>7.0</v>
      </c>
      <c r="F23" s="328"/>
      <c r="G23" s="329"/>
      <c r="H23" s="330">
        <f>'401'!D24</f>
        <v>17</v>
      </c>
      <c r="I23" s="331">
        <f>'402'!D24</f>
        <v>12</v>
      </c>
      <c r="J23" s="332">
        <f>'402 L'!D24</f>
        <v>2</v>
      </c>
      <c r="K23" s="333">
        <f>'403'!D24</f>
        <v>19</v>
      </c>
      <c r="L23" s="332">
        <f>'403 L'!D24</f>
        <v>8</v>
      </c>
      <c r="M23" s="333">
        <f>'404'!D24</f>
        <v>12</v>
      </c>
      <c r="N23" s="332">
        <f>'404 L'!D24</f>
        <v>3</v>
      </c>
      <c r="O23" s="333">
        <f>'405'!D24</f>
        <v>19</v>
      </c>
      <c r="P23" s="332">
        <f>'405 L'!D24</f>
        <v>3</v>
      </c>
      <c r="Q23" s="332">
        <f>'406 L'!D24</f>
        <v>8</v>
      </c>
      <c r="R23" s="332">
        <f t="shared" si="1"/>
        <v>79</v>
      </c>
      <c r="S23" s="332">
        <f t="shared" si="2"/>
        <v>24</v>
      </c>
      <c r="T23" s="334">
        <f t="shared" si="3"/>
        <v>110</v>
      </c>
      <c r="U23" s="335">
        <f t="shared" si="4"/>
        <v>43</v>
      </c>
      <c r="V23" s="336"/>
      <c r="W23" s="336"/>
      <c r="X23" s="336"/>
      <c r="Y23" s="336"/>
      <c r="Z23" s="336"/>
      <c r="AA23" s="336"/>
      <c r="AB23" s="336"/>
    </row>
    <row r="24" ht="15.75" customHeight="1">
      <c r="A24" s="326">
        <v>16.0</v>
      </c>
      <c r="B24" s="111" t="s">
        <v>82</v>
      </c>
      <c r="C24" s="112" t="s">
        <v>83</v>
      </c>
      <c r="D24" s="327"/>
      <c r="E24" s="346">
        <v>7.0</v>
      </c>
      <c r="F24" s="328"/>
      <c r="G24" s="329"/>
      <c r="H24" s="330">
        <f>'401'!D25</f>
        <v>21</v>
      </c>
      <c r="I24" s="331">
        <f>'402'!D25</f>
        <v>14</v>
      </c>
      <c r="J24" s="332">
        <f>'402 L'!D25</f>
        <v>4</v>
      </c>
      <c r="K24" s="333">
        <f>'403'!D25</f>
        <v>17</v>
      </c>
      <c r="L24" s="332">
        <f>'403 L'!D25</f>
        <v>6</v>
      </c>
      <c r="M24" s="333">
        <f>'404'!D25</f>
        <v>16</v>
      </c>
      <c r="N24" s="332">
        <f>'404 L'!D25</f>
        <v>2</v>
      </c>
      <c r="O24" s="333">
        <f>'405'!D25</f>
        <v>14</v>
      </c>
      <c r="P24" s="332">
        <f>'405 L'!D25</f>
        <v>4</v>
      </c>
      <c r="Q24" s="332">
        <f>'406 L'!D25</f>
        <v>9</v>
      </c>
      <c r="R24" s="332">
        <f t="shared" si="1"/>
        <v>82</v>
      </c>
      <c r="S24" s="332">
        <f t="shared" si="2"/>
        <v>25</v>
      </c>
      <c r="T24" s="334">
        <f t="shared" si="3"/>
        <v>114</v>
      </c>
      <c r="U24" s="335">
        <f t="shared" si="4"/>
        <v>44</v>
      </c>
      <c r="V24" s="336"/>
      <c r="W24" s="336"/>
      <c r="X24" s="336"/>
      <c r="Y24" s="336"/>
      <c r="Z24" s="336"/>
      <c r="AA24" s="336"/>
      <c r="AB24" s="336"/>
    </row>
    <row r="25" ht="15.75" customHeight="1">
      <c r="A25" s="337">
        <v>17.0</v>
      </c>
      <c r="B25" s="111" t="s">
        <v>84</v>
      </c>
      <c r="C25" s="112" t="s">
        <v>85</v>
      </c>
      <c r="D25" s="327"/>
      <c r="E25" s="338"/>
      <c r="F25" s="328"/>
      <c r="G25" s="329"/>
      <c r="H25" s="330">
        <f>'401'!D26</f>
        <v>22</v>
      </c>
      <c r="I25" s="331">
        <f>'402'!D26</f>
        <v>23</v>
      </c>
      <c r="J25" s="332">
        <f>'402 L'!D26</f>
        <v>3</v>
      </c>
      <c r="K25" s="333">
        <f>'403'!D26</f>
        <v>25</v>
      </c>
      <c r="L25" s="332">
        <f>'403 L'!D26</f>
        <v>8</v>
      </c>
      <c r="M25" s="333">
        <f>'404'!D26</f>
        <v>21</v>
      </c>
      <c r="N25" s="332">
        <f>'404 L'!D26</f>
        <v>6</v>
      </c>
      <c r="O25" s="333">
        <f>'405'!D26</f>
        <v>25</v>
      </c>
      <c r="P25" s="332">
        <f>'405 L'!D26</f>
        <v>10</v>
      </c>
      <c r="Q25" s="332">
        <f>'406 L'!D26</f>
        <v>10</v>
      </c>
      <c r="R25" s="332">
        <f t="shared" si="1"/>
        <v>116</v>
      </c>
      <c r="S25" s="332">
        <f t="shared" si="2"/>
        <v>37</v>
      </c>
      <c r="T25" s="334">
        <f t="shared" si="3"/>
        <v>153</v>
      </c>
      <c r="U25" s="335">
        <f t="shared" si="4"/>
        <v>59</v>
      </c>
      <c r="V25" s="336"/>
      <c r="W25" s="336"/>
      <c r="X25" s="336"/>
      <c r="Y25" s="336"/>
      <c r="Z25" s="336"/>
      <c r="AA25" s="336"/>
      <c r="AB25" s="336"/>
    </row>
    <row r="26" ht="15.75" customHeight="1">
      <c r="A26" s="326">
        <v>18.0</v>
      </c>
      <c r="B26" s="111" t="s">
        <v>86</v>
      </c>
      <c r="C26" s="112" t="s">
        <v>87</v>
      </c>
      <c r="D26" s="327"/>
      <c r="E26" s="346">
        <v>28.0</v>
      </c>
      <c r="F26" s="328"/>
      <c r="G26" s="329"/>
      <c r="H26" s="330">
        <f>'401'!D27</f>
        <v>20</v>
      </c>
      <c r="I26" s="331">
        <f>'402'!D27</f>
        <v>16</v>
      </c>
      <c r="J26" s="332">
        <f>'402 L'!D27</f>
        <v>1</v>
      </c>
      <c r="K26" s="333">
        <f>'403'!D27</f>
        <v>10</v>
      </c>
      <c r="L26" s="332">
        <f>'403 L'!D27</f>
        <v>5</v>
      </c>
      <c r="M26" s="333">
        <f>'404'!D27</f>
        <v>16</v>
      </c>
      <c r="N26" s="332">
        <f>'404 L'!D27</f>
        <v>5</v>
      </c>
      <c r="O26" s="333">
        <f>'405'!D27</f>
        <v>17</v>
      </c>
      <c r="P26" s="332">
        <f>'405 L'!D27</f>
        <v>3</v>
      </c>
      <c r="Q26" s="332">
        <f>'406 L'!D27</f>
        <v>8</v>
      </c>
      <c r="R26" s="332">
        <f t="shared" si="1"/>
        <v>79</v>
      </c>
      <c r="S26" s="332">
        <f t="shared" si="2"/>
        <v>22</v>
      </c>
      <c r="T26" s="334">
        <f t="shared" si="3"/>
        <v>129</v>
      </c>
      <c r="U26" s="335">
        <f t="shared" si="4"/>
        <v>50</v>
      </c>
      <c r="V26" s="336"/>
      <c r="W26" s="336"/>
      <c r="X26" s="336"/>
      <c r="Y26" s="336"/>
      <c r="Z26" s="336"/>
      <c r="AA26" s="336"/>
      <c r="AB26" s="336"/>
    </row>
    <row r="27" ht="15.75" customHeight="1">
      <c r="A27" s="326">
        <v>19.0</v>
      </c>
      <c r="B27" s="111" t="s">
        <v>88</v>
      </c>
      <c r="C27" s="112" t="s">
        <v>89</v>
      </c>
      <c r="D27" s="327"/>
      <c r="E27" s="346">
        <v>7.0</v>
      </c>
      <c r="F27" s="328"/>
      <c r="G27" s="329"/>
      <c r="H27" s="330">
        <f>'401'!D28</f>
        <v>25</v>
      </c>
      <c r="I27" s="331">
        <f>'402'!D28</f>
        <v>17</v>
      </c>
      <c r="J27" s="332">
        <f>'402 L'!D28</f>
        <v>5</v>
      </c>
      <c r="K27" s="333">
        <f>'403'!D28</f>
        <v>24</v>
      </c>
      <c r="L27" s="332">
        <f>'403 L'!D28</f>
        <v>9</v>
      </c>
      <c r="M27" s="333">
        <f>'404'!D28</f>
        <v>22</v>
      </c>
      <c r="N27" s="332">
        <f>'404 L'!D28</f>
        <v>9</v>
      </c>
      <c r="O27" s="333">
        <f>'405'!D28</f>
        <v>22</v>
      </c>
      <c r="P27" s="332">
        <f>'405 L'!D28</f>
        <v>9</v>
      </c>
      <c r="Q27" s="332">
        <f>'406 L'!D28</f>
        <v>4</v>
      </c>
      <c r="R27" s="332">
        <f t="shared" si="1"/>
        <v>110</v>
      </c>
      <c r="S27" s="332">
        <f t="shared" si="2"/>
        <v>36</v>
      </c>
      <c r="T27" s="334">
        <f t="shared" si="3"/>
        <v>153</v>
      </c>
      <c r="U27" s="335">
        <f t="shared" si="4"/>
        <v>59</v>
      </c>
      <c r="V27" s="336"/>
      <c r="W27" s="336"/>
      <c r="X27" s="336"/>
      <c r="Y27" s="336"/>
      <c r="Z27" s="336"/>
      <c r="AA27" s="336"/>
      <c r="AB27" s="336"/>
    </row>
    <row r="28" ht="15.75" customHeight="1">
      <c r="A28" s="337">
        <v>20.0</v>
      </c>
      <c r="B28" s="111" t="s">
        <v>90</v>
      </c>
      <c r="C28" s="112" t="s">
        <v>91</v>
      </c>
      <c r="D28" s="327"/>
      <c r="E28" s="346">
        <v>14.0</v>
      </c>
      <c r="F28" s="328"/>
      <c r="G28" s="329"/>
      <c r="H28" s="330">
        <f>'401'!D29</f>
        <v>22</v>
      </c>
      <c r="I28" s="331">
        <f>'402'!D29</f>
        <v>16</v>
      </c>
      <c r="J28" s="332">
        <f>'402 L'!D29</f>
        <v>4</v>
      </c>
      <c r="K28" s="333">
        <f>'403'!D29</f>
        <v>18</v>
      </c>
      <c r="L28" s="332">
        <f>'403 L'!D29</f>
        <v>6</v>
      </c>
      <c r="M28" s="333">
        <f>'404'!D29</f>
        <v>14</v>
      </c>
      <c r="N28" s="332">
        <f>'404 L'!D29</f>
        <v>1</v>
      </c>
      <c r="O28" s="333">
        <f>'405'!D29</f>
        <v>14</v>
      </c>
      <c r="P28" s="332">
        <f>'405 L'!D29</f>
        <v>7</v>
      </c>
      <c r="Q28" s="332">
        <f>'406 L'!D29</f>
        <v>10</v>
      </c>
      <c r="R28" s="332">
        <f t="shared" si="1"/>
        <v>84</v>
      </c>
      <c r="S28" s="332">
        <f t="shared" si="2"/>
        <v>28</v>
      </c>
      <c r="T28" s="334">
        <f t="shared" si="3"/>
        <v>126</v>
      </c>
      <c r="U28" s="335">
        <f t="shared" si="4"/>
        <v>49</v>
      </c>
      <c r="V28" s="336"/>
      <c r="W28" s="336"/>
      <c r="X28" s="336"/>
      <c r="Y28" s="336"/>
      <c r="Z28" s="336"/>
      <c r="AA28" s="336"/>
      <c r="AB28" s="336"/>
    </row>
    <row r="29" ht="15.75" customHeight="1">
      <c r="A29" s="326">
        <v>21.0</v>
      </c>
      <c r="B29" s="111" t="s">
        <v>92</v>
      </c>
      <c r="C29" s="112" t="s">
        <v>93</v>
      </c>
      <c r="D29" s="327"/>
      <c r="E29" s="327"/>
      <c r="F29" s="328"/>
      <c r="G29" s="329"/>
      <c r="H29" s="330">
        <f>'401'!D30</f>
        <v>0</v>
      </c>
      <c r="I29" s="331">
        <f>'402'!D30</f>
        <v>1</v>
      </c>
      <c r="J29" s="332">
        <f>'402 L'!D30</f>
        <v>0</v>
      </c>
      <c r="K29" s="333">
        <f>'403'!D30</f>
        <v>0</v>
      </c>
      <c r="L29" s="332">
        <f>'403 L'!D30</f>
        <v>0</v>
      </c>
      <c r="M29" s="333">
        <f>'404'!D30</f>
        <v>1</v>
      </c>
      <c r="N29" s="332">
        <f>'404 L'!D30</f>
        <v>0</v>
      </c>
      <c r="O29" s="333">
        <f>'405'!D30</f>
        <v>1</v>
      </c>
      <c r="P29" s="332">
        <f>'405 L'!D30</f>
        <v>0</v>
      </c>
      <c r="Q29" s="332">
        <f>'406 L'!D30</f>
        <v>0</v>
      </c>
      <c r="R29" s="332">
        <f t="shared" si="1"/>
        <v>3</v>
      </c>
      <c r="S29" s="332">
        <f t="shared" si="2"/>
        <v>0</v>
      </c>
      <c r="T29" s="334">
        <f t="shared" si="3"/>
        <v>3</v>
      </c>
      <c r="U29" s="335">
        <f t="shared" si="4"/>
        <v>1</v>
      </c>
      <c r="V29" s="336"/>
      <c r="W29" s="336"/>
      <c r="X29" s="336"/>
      <c r="Y29" s="336"/>
      <c r="Z29" s="336"/>
      <c r="AA29" s="336"/>
      <c r="AB29" s="336"/>
    </row>
    <row r="30" ht="15.75" customHeight="1">
      <c r="A30" s="326">
        <v>22.0</v>
      </c>
      <c r="B30" s="111" t="s">
        <v>94</v>
      </c>
      <c r="C30" s="112" t="s">
        <v>95</v>
      </c>
      <c r="D30" s="327"/>
      <c r="E30" s="346">
        <v>7.0</v>
      </c>
      <c r="F30" s="328"/>
      <c r="G30" s="329"/>
      <c r="H30" s="330">
        <f>'401'!D31</f>
        <v>18</v>
      </c>
      <c r="I30" s="331">
        <f>'402'!D31</f>
        <v>15</v>
      </c>
      <c r="J30" s="332">
        <f>'402 L'!D31</f>
        <v>5</v>
      </c>
      <c r="K30" s="333">
        <f>'403'!D31</f>
        <v>16</v>
      </c>
      <c r="L30" s="332">
        <f>'403 L'!D31</f>
        <v>5</v>
      </c>
      <c r="M30" s="333">
        <f>'404'!D31</f>
        <v>14</v>
      </c>
      <c r="N30" s="332">
        <f>'404 L'!D31</f>
        <v>2</v>
      </c>
      <c r="O30" s="333">
        <f>'405'!D31</f>
        <v>16</v>
      </c>
      <c r="P30" s="332">
        <f>'405 L'!D31</f>
        <v>6</v>
      </c>
      <c r="Q30" s="332">
        <f>'406 L'!D31</f>
        <v>8</v>
      </c>
      <c r="R30" s="332">
        <f t="shared" si="1"/>
        <v>79</v>
      </c>
      <c r="S30" s="332">
        <f t="shared" si="2"/>
        <v>26</v>
      </c>
      <c r="T30" s="334">
        <f t="shared" si="3"/>
        <v>112</v>
      </c>
      <c r="U30" s="335">
        <f t="shared" si="4"/>
        <v>43</v>
      </c>
      <c r="V30" s="336"/>
      <c r="W30" s="336"/>
      <c r="X30" s="336"/>
      <c r="Y30" s="336"/>
      <c r="Z30" s="336"/>
      <c r="AA30" s="336"/>
      <c r="AB30" s="336"/>
    </row>
    <row r="31" ht="15.75" customHeight="1">
      <c r="A31" s="337">
        <v>23.0</v>
      </c>
      <c r="B31" s="111" t="s">
        <v>96</v>
      </c>
      <c r="C31" s="112" t="s">
        <v>97</v>
      </c>
      <c r="D31" s="327"/>
      <c r="E31" s="346">
        <v>14.0</v>
      </c>
      <c r="F31" s="328"/>
      <c r="G31" s="329"/>
      <c r="H31" s="330">
        <f>'401'!D32</f>
        <v>23</v>
      </c>
      <c r="I31" s="331">
        <f>'402'!D32</f>
        <v>19</v>
      </c>
      <c r="J31" s="332">
        <f>'402 L'!D32</f>
        <v>2</v>
      </c>
      <c r="K31" s="333">
        <f>'403'!D32</f>
        <v>17</v>
      </c>
      <c r="L31" s="332">
        <f>'403 L'!D32</f>
        <v>9</v>
      </c>
      <c r="M31" s="333">
        <f>'404'!D32</f>
        <v>20</v>
      </c>
      <c r="N31" s="332">
        <f>'404 L'!D32</f>
        <v>5</v>
      </c>
      <c r="O31" s="333">
        <f>'405'!D32</f>
        <v>17</v>
      </c>
      <c r="P31" s="332">
        <f>'405 L'!D32</f>
        <v>4</v>
      </c>
      <c r="Q31" s="332">
        <f>'406 L'!D32</f>
        <v>9</v>
      </c>
      <c r="R31" s="332">
        <f t="shared" si="1"/>
        <v>96</v>
      </c>
      <c r="S31" s="332">
        <f t="shared" si="2"/>
        <v>29</v>
      </c>
      <c r="T31" s="334">
        <f t="shared" si="3"/>
        <v>139</v>
      </c>
      <c r="U31" s="335">
        <f t="shared" si="4"/>
        <v>54</v>
      </c>
      <c r="V31" s="336"/>
      <c r="W31" s="336"/>
      <c r="X31" s="336"/>
      <c r="Y31" s="336"/>
      <c r="Z31" s="336"/>
      <c r="AA31" s="336"/>
      <c r="AB31" s="336"/>
    </row>
    <row r="32" ht="15.75" customHeight="1">
      <c r="A32" s="326">
        <v>24.0</v>
      </c>
      <c r="B32" s="111" t="s">
        <v>98</v>
      </c>
      <c r="C32" s="112" t="s">
        <v>99</v>
      </c>
      <c r="D32" s="327"/>
      <c r="E32" s="349">
        <v>7.0</v>
      </c>
      <c r="F32" s="328"/>
      <c r="G32" s="329"/>
      <c r="H32" s="330">
        <f>'401'!D33</f>
        <v>20</v>
      </c>
      <c r="I32" s="331">
        <f>'402'!D33</f>
        <v>16</v>
      </c>
      <c r="J32" s="332">
        <f>'402 L'!D33</f>
        <v>4</v>
      </c>
      <c r="K32" s="333">
        <f>'403'!D33</f>
        <v>18</v>
      </c>
      <c r="L32" s="332">
        <f>'403 L'!D33</f>
        <v>8</v>
      </c>
      <c r="M32" s="333">
        <f>'404'!D33</f>
        <v>18</v>
      </c>
      <c r="N32" s="332">
        <f>'404 L'!D33</f>
        <v>3</v>
      </c>
      <c r="O32" s="333">
        <f>'405'!D33</f>
        <v>20</v>
      </c>
      <c r="P32" s="332">
        <f>'405 L'!D33</f>
        <v>8</v>
      </c>
      <c r="Q32" s="332">
        <f>'406 L'!D33</f>
        <v>9</v>
      </c>
      <c r="R32" s="332">
        <f t="shared" si="1"/>
        <v>92</v>
      </c>
      <c r="S32" s="332">
        <f t="shared" si="2"/>
        <v>32</v>
      </c>
      <c r="T32" s="334">
        <f t="shared" si="3"/>
        <v>131</v>
      </c>
      <c r="U32" s="335">
        <f t="shared" si="4"/>
        <v>51</v>
      </c>
      <c r="V32" s="336"/>
      <c r="W32" s="336"/>
      <c r="X32" s="336"/>
      <c r="Y32" s="336"/>
      <c r="Z32" s="336"/>
      <c r="AA32" s="336"/>
      <c r="AB32" s="336"/>
    </row>
    <row r="33" ht="15.75" customHeight="1">
      <c r="A33" s="326">
        <v>25.0</v>
      </c>
      <c r="B33" s="111" t="s">
        <v>100</v>
      </c>
      <c r="C33" s="112" t="s">
        <v>101</v>
      </c>
      <c r="D33" s="327"/>
      <c r="E33" s="338"/>
      <c r="F33" s="328"/>
      <c r="G33" s="329"/>
      <c r="H33" s="330">
        <f>'401'!D34</f>
        <v>30</v>
      </c>
      <c r="I33" s="331">
        <f>'402'!D34</f>
        <v>23</v>
      </c>
      <c r="J33" s="332">
        <f>'402 L'!D34</f>
        <v>6</v>
      </c>
      <c r="K33" s="333">
        <f>'403'!D34</f>
        <v>24</v>
      </c>
      <c r="L33" s="332">
        <f>'403 L'!D34</f>
        <v>11</v>
      </c>
      <c r="M33" s="333">
        <f>'404'!D34</f>
        <v>23</v>
      </c>
      <c r="N33" s="332">
        <f>'404 L'!D34</f>
        <v>2</v>
      </c>
      <c r="O33" s="333">
        <f>'405'!D34</f>
        <v>26</v>
      </c>
      <c r="P33" s="332">
        <f>'405 L'!D34</f>
        <v>10</v>
      </c>
      <c r="Q33" s="332">
        <f>'406 L'!D34</f>
        <v>13</v>
      </c>
      <c r="R33" s="332">
        <f t="shared" si="1"/>
        <v>126</v>
      </c>
      <c r="S33" s="332">
        <f t="shared" si="2"/>
        <v>42</v>
      </c>
      <c r="T33" s="334">
        <f t="shared" si="3"/>
        <v>168</v>
      </c>
      <c r="U33" s="335">
        <f t="shared" si="4"/>
        <v>65</v>
      </c>
      <c r="V33" s="336"/>
      <c r="W33" s="336"/>
      <c r="X33" s="336"/>
      <c r="Y33" s="336"/>
      <c r="Z33" s="336"/>
      <c r="AA33" s="336"/>
      <c r="AB33" s="336"/>
    </row>
    <row r="34" ht="15.75" customHeight="1">
      <c r="A34" s="337">
        <v>26.0</v>
      </c>
      <c r="B34" s="111" t="s">
        <v>102</v>
      </c>
      <c r="C34" s="112" t="s">
        <v>103</v>
      </c>
      <c r="D34" s="327"/>
      <c r="E34" s="346">
        <v>21.0</v>
      </c>
      <c r="F34" s="328"/>
      <c r="G34" s="329"/>
      <c r="H34" s="330">
        <f>'401'!D35</f>
        <v>18</v>
      </c>
      <c r="I34" s="331">
        <f>'402'!D35</f>
        <v>17</v>
      </c>
      <c r="J34" s="332">
        <f>'402 L'!D35</f>
        <v>2</v>
      </c>
      <c r="K34" s="333">
        <f>'403'!D35</f>
        <v>13</v>
      </c>
      <c r="L34" s="332">
        <f>'403 L'!D35</f>
        <v>7</v>
      </c>
      <c r="M34" s="333">
        <f>'404'!D35</f>
        <v>14</v>
      </c>
      <c r="N34" s="332">
        <f>'404 L'!D35</f>
        <v>7</v>
      </c>
      <c r="O34" s="333">
        <f>'405'!D35</f>
        <v>18</v>
      </c>
      <c r="P34" s="332">
        <f>'405 L'!D35</f>
        <v>3</v>
      </c>
      <c r="Q34" s="332">
        <f>'406 L'!D35</f>
        <v>7</v>
      </c>
      <c r="R34" s="332">
        <f t="shared" si="1"/>
        <v>80</v>
      </c>
      <c r="S34" s="332">
        <f t="shared" si="2"/>
        <v>26</v>
      </c>
      <c r="T34" s="334">
        <f t="shared" si="3"/>
        <v>127</v>
      </c>
      <c r="U34" s="335">
        <f t="shared" si="4"/>
        <v>49</v>
      </c>
      <c r="V34" s="336"/>
      <c r="W34" s="336"/>
      <c r="X34" s="336"/>
      <c r="Y34" s="336"/>
      <c r="Z34" s="336"/>
      <c r="AA34" s="336"/>
      <c r="AB34" s="336"/>
    </row>
    <row r="35" ht="15.75" customHeight="1">
      <c r="A35" s="326">
        <v>27.0</v>
      </c>
      <c r="B35" s="111" t="s">
        <v>104</v>
      </c>
      <c r="C35" s="112" t="s">
        <v>105</v>
      </c>
      <c r="D35" s="327"/>
      <c r="E35" s="327"/>
      <c r="F35" s="328"/>
      <c r="G35" s="329"/>
      <c r="H35" s="330">
        <f>'401'!D36</f>
        <v>26</v>
      </c>
      <c r="I35" s="331">
        <f>'402'!D36</f>
        <v>25</v>
      </c>
      <c r="J35" s="332">
        <f>'402 L'!D36</f>
        <v>3</v>
      </c>
      <c r="K35" s="333">
        <f>'403'!D36</f>
        <v>21</v>
      </c>
      <c r="L35" s="332">
        <f>'403 L'!D36</f>
        <v>8</v>
      </c>
      <c r="M35" s="333">
        <f>'404'!D36</f>
        <v>21</v>
      </c>
      <c r="N35" s="332">
        <f>'404 L'!D36</f>
        <v>6</v>
      </c>
      <c r="O35" s="333">
        <f>'405'!D36</f>
        <v>29</v>
      </c>
      <c r="P35" s="332">
        <f>'405 L'!D36</f>
        <v>11</v>
      </c>
      <c r="Q35" s="332">
        <f>'406 L'!D36</f>
        <v>9</v>
      </c>
      <c r="R35" s="332">
        <f t="shared" si="1"/>
        <v>122</v>
      </c>
      <c r="S35" s="332">
        <f t="shared" si="2"/>
        <v>37</v>
      </c>
      <c r="T35" s="334">
        <f t="shared" si="3"/>
        <v>159</v>
      </c>
      <c r="U35" s="335">
        <f t="shared" si="4"/>
        <v>62</v>
      </c>
      <c r="V35" s="336"/>
      <c r="W35" s="336"/>
      <c r="X35" s="336"/>
      <c r="Y35" s="336"/>
      <c r="Z35" s="336"/>
      <c r="AA35" s="336"/>
      <c r="AB35" s="336"/>
    </row>
    <row r="36" ht="15.75" customHeight="1">
      <c r="A36" s="326">
        <v>28.0</v>
      </c>
      <c r="B36" s="111" t="s">
        <v>106</v>
      </c>
      <c r="C36" s="112" t="s">
        <v>107</v>
      </c>
      <c r="D36" s="327"/>
      <c r="E36" s="346">
        <v>21.0</v>
      </c>
      <c r="F36" s="328"/>
      <c r="G36" s="329"/>
      <c r="H36" s="330">
        <f>'401'!D37</f>
        <v>13</v>
      </c>
      <c r="I36" s="331">
        <f>'402'!D37</f>
        <v>9</v>
      </c>
      <c r="J36" s="332">
        <f>'402 L'!D37</f>
        <v>4</v>
      </c>
      <c r="K36" s="333">
        <f>'403'!D37</f>
        <v>9</v>
      </c>
      <c r="L36" s="332">
        <f>'403 L'!D37</f>
        <v>4</v>
      </c>
      <c r="M36" s="333">
        <f>'404'!D37</f>
        <v>13</v>
      </c>
      <c r="N36" s="332">
        <f>'404 L'!D37</f>
        <v>8</v>
      </c>
      <c r="O36" s="333">
        <f>'405'!D37</f>
        <v>11</v>
      </c>
      <c r="P36" s="332">
        <f>'405 L'!D37</f>
        <v>5</v>
      </c>
      <c r="Q36" s="332">
        <f>'406 L'!D37</f>
        <v>3</v>
      </c>
      <c r="R36" s="332">
        <f t="shared" si="1"/>
        <v>55</v>
      </c>
      <c r="S36" s="332">
        <f t="shared" si="2"/>
        <v>24</v>
      </c>
      <c r="T36" s="334">
        <f t="shared" si="3"/>
        <v>100</v>
      </c>
      <c r="U36" s="335">
        <f t="shared" si="4"/>
        <v>39</v>
      </c>
      <c r="V36" s="336"/>
      <c r="W36" s="336"/>
      <c r="X36" s="336"/>
      <c r="Y36" s="336"/>
      <c r="Z36" s="336"/>
      <c r="AA36" s="336"/>
      <c r="AB36" s="336"/>
    </row>
    <row r="37" ht="15.75" customHeight="1">
      <c r="A37" s="337">
        <v>29.0</v>
      </c>
      <c r="B37" s="111" t="s">
        <v>108</v>
      </c>
      <c r="C37" s="112" t="s">
        <v>109</v>
      </c>
      <c r="D37" s="327"/>
      <c r="E37" s="346">
        <v>7.0</v>
      </c>
      <c r="F37" s="328"/>
      <c r="G37" s="329"/>
      <c r="H37" s="330">
        <f>'401'!D38</f>
        <v>22</v>
      </c>
      <c r="I37" s="331">
        <f>'402'!D38</f>
        <v>18</v>
      </c>
      <c r="J37" s="332">
        <f>'402 L'!D38</f>
        <v>4</v>
      </c>
      <c r="K37" s="333">
        <f>'403'!D38</f>
        <v>14</v>
      </c>
      <c r="L37" s="332">
        <f>'403 L'!D38</f>
        <v>8</v>
      </c>
      <c r="M37" s="333">
        <f>'404'!D38</f>
        <v>17</v>
      </c>
      <c r="N37" s="332">
        <f>'404 L'!D38</f>
        <v>4</v>
      </c>
      <c r="O37" s="333">
        <f>'405'!D38</f>
        <v>19</v>
      </c>
      <c r="P37" s="332">
        <f>'405 L'!D38</f>
        <v>8</v>
      </c>
      <c r="Q37" s="332">
        <f>'406 L'!D38</f>
        <v>7</v>
      </c>
      <c r="R37" s="332">
        <f t="shared" si="1"/>
        <v>90</v>
      </c>
      <c r="S37" s="332">
        <f t="shared" si="2"/>
        <v>31</v>
      </c>
      <c r="T37" s="334">
        <f t="shared" si="3"/>
        <v>128</v>
      </c>
      <c r="U37" s="335">
        <f t="shared" si="4"/>
        <v>50</v>
      </c>
      <c r="V37" s="336"/>
      <c r="W37" s="336"/>
      <c r="X37" s="336"/>
      <c r="Y37" s="336"/>
      <c r="Z37" s="336"/>
      <c r="AA37" s="336"/>
      <c r="AB37" s="336"/>
    </row>
    <row r="38" ht="15.75" customHeight="1">
      <c r="A38" s="326">
        <v>30.0</v>
      </c>
      <c r="B38" s="111" t="s">
        <v>110</v>
      </c>
      <c r="C38" s="112" t="s">
        <v>111</v>
      </c>
      <c r="D38" s="327"/>
      <c r="E38" s="346">
        <v>7.0</v>
      </c>
      <c r="F38" s="328"/>
      <c r="G38" s="329"/>
      <c r="H38" s="330">
        <f>'401'!D39</f>
        <v>29</v>
      </c>
      <c r="I38" s="331">
        <f>'402'!D39</f>
        <v>23</v>
      </c>
      <c r="J38" s="332">
        <f>'402 L'!D39</f>
        <v>6</v>
      </c>
      <c r="K38" s="333">
        <f>'403'!D39</f>
        <v>25</v>
      </c>
      <c r="L38" s="332">
        <f>'403 L'!D39</f>
        <v>7</v>
      </c>
      <c r="M38" s="333">
        <f>'404'!D39</f>
        <v>20</v>
      </c>
      <c r="N38" s="332">
        <f>'404 L'!D39</f>
        <v>5</v>
      </c>
      <c r="O38" s="333">
        <f>'405'!D39</f>
        <v>24</v>
      </c>
      <c r="P38" s="332">
        <f>'405 L'!D39</f>
        <v>8</v>
      </c>
      <c r="Q38" s="332">
        <f>'406 L'!D39</f>
        <v>11</v>
      </c>
      <c r="R38" s="332">
        <f t="shared" si="1"/>
        <v>121</v>
      </c>
      <c r="S38" s="332">
        <f t="shared" si="2"/>
        <v>37</v>
      </c>
      <c r="T38" s="334">
        <f t="shared" si="3"/>
        <v>165</v>
      </c>
      <c r="U38" s="335">
        <f t="shared" si="4"/>
        <v>64</v>
      </c>
      <c r="V38" s="336"/>
      <c r="W38" s="336"/>
      <c r="X38" s="336"/>
      <c r="Y38" s="336"/>
      <c r="Z38" s="336"/>
      <c r="AA38" s="336"/>
      <c r="AB38" s="336"/>
    </row>
    <row r="39" ht="15.75" customHeight="1">
      <c r="A39" s="326">
        <v>31.0</v>
      </c>
      <c r="B39" s="111" t="s">
        <v>112</v>
      </c>
      <c r="C39" s="112" t="s">
        <v>113</v>
      </c>
      <c r="D39" s="339"/>
      <c r="E39" s="327"/>
      <c r="F39" s="328"/>
      <c r="G39" s="329"/>
      <c r="H39" s="330">
        <f>'401'!D40</f>
        <v>23</v>
      </c>
      <c r="I39" s="331">
        <f>'402'!D40</f>
        <v>20</v>
      </c>
      <c r="J39" s="332">
        <f>'402 L'!D40</f>
        <v>3</v>
      </c>
      <c r="K39" s="333">
        <f>'403'!D40</f>
        <v>24</v>
      </c>
      <c r="L39" s="332">
        <f>'403 L'!D40</f>
        <v>8</v>
      </c>
      <c r="M39" s="333">
        <f>'404'!D40</f>
        <v>24</v>
      </c>
      <c r="N39" s="332">
        <f>'404 L'!D40</f>
        <v>9</v>
      </c>
      <c r="O39" s="333">
        <f>'405'!D40</f>
        <v>27</v>
      </c>
      <c r="P39" s="332">
        <f>'405 L'!D40</f>
        <v>9</v>
      </c>
      <c r="Q39" s="332">
        <f>'406 L'!D40</f>
        <v>15</v>
      </c>
      <c r="R39" s="332">
        <f t="shared" si="1"/>
        <v>118</v>
      </c>
      <c r="S39" s="332">
        <f t="shared" si="2"/>
        <v>44</v>
      </c>
      <c r="T39" s="334">
        <f t="shared" si="3"/>
        <v>162</v>
      </c>
      <c r="U39" s="335">
        <f t="shared" si="4"/>
        <v>63</v>
      </c>
      <c r="V39" s="336"/>
      <c r="W39" s="336"/>
      <c r="X39" s="336"/>
      <c r="Y39" s="336"/>
      <c r="Z39" s="336"/>
      <c r="AA39" s="336"/>
      <c r="AB39" s="336"/>
    </row>
    <row r="40" ht="15.75" customHeight="1">
      <c r="A40" s="337">
        <v>32.0</v>
      </c>
      <c r="B40" s="111" t="s">
        <v>114</v>
      </c>
      <c r="C40" s="112" t="s">
        <v>115</v>
      </c>
      <c r="D40" s="338"/>
      <c r="E40" s="349">
        <v>7.0</v>
      </c>
      <c r="F40" s="328"/>
      <c r="G40" s="329"/>
      <c r="H40" s="330">
        <f>'401'!D41</f>
        <v>22</v>
      </c>
      <c r="I40" s="331">
        <f>'402'!D41</f>
        <v>25</v>
      </c>
      <c r="J40" s="332">
        <f>'402 L'!D41</f>
        <v>2</v>
      </c>
      <c r="K40" s="333">
        <f>'403'!D41</f>
        <v>16</v>
      </c>
      <c r="L40" s="332">
        <f>'403 L'!D41</f>
        <v>4</v>
      </c>
      <c r="M40" s="333">
        <f>'404'!D41</f>
        <v>17</v>
      </c>
      <c r="N40" s="332">
        <f>'404 L'!D41</f>
        <v>6</v>
      </c>
      <c r="O40" s="333">
        <f>'405'!D41</f>
        <v>23</v>
      </c>
      <c r="P40" s="332">
        <f>'405 L'!D41</f>
        <v>9</v>
      </c>
      <c r="Q40" s="332">
        <f>'406 L'!D41</f>
        <v>11</v>
      </c>
      <c r="R40" s="332">
        <f t="shared" si="1"/>
        <v>103</v>
      </c>
      <c r="S40" s="332">
        <f t="shared" si="2"/>
        <v>32</v>
      </c>
      <c r="T40" s="334">
        <f t="shared" si="3"/>
        <v>142</v>
      </c>
      <c r="U40" s="335">
        <f t="shared" si="4"/>
        <v>55</v>
      </c>
      <c r="V40" s="336"/>
      <c r="W40" s="336"/>
      <c r="X40" s="336"/>
      <c r="Y40" s="336"/>
      <c r="Z40" s="336"/>
      <c r="AA40" s="336"/>
      <c r="AB40" s="336"/>
    </row>
    <row r="41" ht="15.75" customHeight="1">
      <c r="A41" s="326">
        <v>33.0</v>
      </c>
      <c r="B41" s="111" t="s">
        <v>116</v>
      </c>
      <c r="C41" s="112" t="s">
        <v>117</v>
      </c>
      <c r="D41" s="327"/>
      <c r="E41" s="346">
        <v>14.0</v>
      </c>
      <c r="F41" s="328"/>
      <c r="G41" s="329"/>
      <c r="H41" s="330">
        <f>'401'!D42</f>
        <v>9</v>
      </c>
      <c r="I41" s="331">
        <f>'402'!D42</f>
        <v>12</v>
      </c>
      <c r="J41" s="332">
        <f>'402 L'!D42</f>
        <v>2</v>
      </c>
      <c r="K41" s="333">
        <f>'403'!D42</f>
        <v>11</v>
      </c>
      <c r="L41" s="332">
        <f>'403 L'!D42</f>
        <v>1</v>
      </c>
      <c r="M41" s="333">
        <f>'404'!D42</f>
        <v>14</v>
      </c>
      <c r="N41" s="332">
        <f>'404 L'!D42</f>
        <v>2</v>
      </c>
      <c r="O41" s="333">
        <f>'405'!D42</f>
        <v>11</v>
      </c>
      <c r="P41" s="332">
        <f>'405 L'!D42</f>
        <v>8</v>
      </c>
      <c r="Q41" s="332">
        <f>'406 L'!D42</f>
        <v>4</v>
      </c>
      <c r="R41" s="332">
        <f t="shared" si="1"/>
        <v>57</v>
      </c>
      <c r="S41" s="332">
        <f t="shared" si="2"/>
        <v>17</v>
      </c>
      <c r="T41" s="334">
        <f t="shared" si="3"/>
        <v>88</v>
      </c>
      <c r="U41" s="335">
        <f t="shared" si="4"/>
        <v>34</v>
      </c>
      <c r="V41" s="336"/>
      <c r="W41" s="336"/>
      <c r="X41" s="336"/>
      <c r="Y41" s="336"/>
      <c r="Z41" s="336"/>
      <c r="AA41" s="336"/>
      <c r="AB41" s="336"/>
    </row>
    <row r="42" ht="15.75" customHeight="1">
      <c r="A42" s="326">
        <v>34.0</v>
      </c>
      <c r="B42" s="356" t="s">
        <v>118</v>
      </c>
      <c r="C42" s="357" t="s">
        <v>119</v>
      </c>
      <c r="D42" s="327"/>
      <c r="E42" s="338"/>
      <c r="F42" s="328"/>
      <c r="G42" s="329"/>
      <c r="H42" s="330">
        <f>'401'!D43</f>
        <v>1</v>
      </c>
      <c r="I42" s="331">
        <f>'402'!D43</f>
        <v>1</v>
      </c>
      <c r="J42" s="332">
        <f>'402 L'!D43</f>
        <v>0</v>
      </c>
      <c r="K42" s="333">
        <f>'403'!D43</f>
        <v>0</v>
      </c>
      <c r="L42" s="332">
        <f>'403 L'!D43</f>
        <v>0</v>
      </c>
      <c r="M42" s="333">
        <f>'404'!D43</f>
        <v>1</v>
      </c>
      <c r="N42" s="332">
        <f>'404 L'!D43</f>
        <v>0</v>
      </c>
      <c r="O42" s="333">
        <f>'405'!D43</f>
        <v>1</v>
      </c>
      <c r="P42" s="332">
        <f>'405 L'!D43</f>
        <v>0</v>
      </c>
      <c r="Q42" s="332">
        <f>'406 L'!D43</f>
        <v>0</v>
      </c>
      <c r="R42" s="332">
        <f t="shared" si="1"/>
        <v>4</v>
      </c>
      <c r="S42" s="332">
        <f t="shared" si="2"/>
        <v>0</v>
      </c>
      <c r="T42" s="334">
        <f t="shared" si="3"/>
        <v>4</v>
      </c>
      <c r="U42" s="335">
        <f t="shared" si="4"/>
        <v>2</v>
      </c>
      <c r="V42" s="336"/>
      <c r="W42" s="336"/>
      <c r="X42" s="336"/>
      <c r="Y42" s="336"/>
      <c r="Z42" s="336"/>
      <c r="AA42" s="336"/>
      <c r="AB42" s="336"/>
    </row>
    <row r="43" ht="15.75" customHeight="1">
      <c r="A43" s="337">
        <v>35.0</v>
      </c>
      <c r="B43" s="111" t="s">
        <v>120</v>
      </c>
      <c r="C43" s="112" t="s">
        <v>121</v>
      </c>
      <c r="D43" s="327"/>
      <c r="E43" s="349">
        <v>63.0</v>
      </c>
      <c r="F43" s="328"/>
      <c r="G43" s="329"/>
      <c r="H43" s="330">
        <f>'401'!D44</f>
        <v>21</v>
      </c>
      <c r="I43" s="331">
        <f>'402'!D44</f>
        <v>14</v>
      </c>
      <c r="J43" s="332">
        <f>'402 L'!D44</f>
        <v>2</v>
      </c>
      <c r="K43" s="333">
        <f>'403'!D44</f>
        <v>16</v>
      </c>
      <c r="L43" s="332">
        <f>'403 L'!D44</f>
        <v>7</v>
      </c>
      <c r="M43" s="333">
        <f>'404'!D44</f>
        <v>10</v>
      </c>
      <c r="N43" s="332">
        <f>'404 L'!D44</f>
        <v>2</v>
      </c>
      <c r="O43" s="333">
        <f>'405'!D44</f>
        <v>15</v>
      </c>
      <c r="P43" s="332">
        <f>'405 L'!D44</f>
        <v>6</v>
      </c>
      <c r="Q43" s="332">
        <f>'406 L'!D44</f>
        <v>4</v>
      </c>
      <c r="R43" s="332">
        <f t="shared" si="1"/>
        <v>76</v>
      </c>
      <c r="S43" s="332">
        <f t="shared" si="2"/>
        <v>21</v>
      </c>
      <c r="T43" s="334">
        <f t="shared" si="3"/>
        <v>160</v>
      </c>
      <c r="U43" s="335">
        <f t="shared" si="4"/>
        <v>62</v>
      </c>
      <c r="V43" s="336"/>
      <c r="W43" s="336"/>
      <c r="X43" s="336"/>
      <c r="Y43" s="336"/>
      <c r="Z43" s="336"/>
      <c r="AA43" s="336"/>
      <c r="AB43" s="336"/>
    </row>
    <row r="44" ht="18.0" customHeight="1">
      <c r="A44" s="326">
        <v>36.0</v>
      </c>
      <c r="B44" s="111" t="s">
        <v>122</v>
      </c>
      <c r="C44" s="112" t="s">
        <v>123</v>
      </c>
      <c r="D44" s="327"/>
      <c r="E44" s="327"/>
      <c r="F44" s="328"/>
      <c r="G44" s="329"/>
      <c r="H44" s="330">
        <f>'401'!D45</f>
        <v>27</v>
      </c>
      <c r="I44" s="331">
        <f>'402'!D45</f>
        <v>21</v>
      </c>
      <c r="J44" s="332">
        <f>'402 L'!D45</f>
        <v>5</v>
      </c>
      <c r="K44" s="333">
        <f>'403'!D45</f>
        <v>19</v>
      </c>
      <c r="L44" s="332">
        <f>'403 L'!D45</f>
        <v>7</v>
      </c>
      <c r="M44" s="333">
        <f>'404'!D45</f>
        <v>22</v>
      </c>
      <c r="N44" s="332">
        <f>'404 L'!D45</f>
        <v>4</v>
      </c>
      <c r="O44" s="333">
        <f>'405'!D45</f>
        <v>20</v>
      </c>
      <c r="P44" s="332">
        <f>'405 L'!D45</f>
        <v>7</v>
      </c>
      <c r="Q44" s="332">
        <f>'406 L'!D45</f>
        <v>10</v>
      </c>
      <c r="R44" s="332">
        <f t="shared" si="1"/>
        <v>109</v>
      </c>
      <c r="S44" s="332">
        <f t="shared" si="2"/>
        <v>33</v>
      </c>
      <c r="T44" s="334">
        <f t="shared" si="3"/>
        <v>142</v>
      </c>
      <c r="U44" s="335">
        <f t="shared" si="4"/>
        <v>55</v>
      </c>
      <c r="V44" s="336"/>
      <c r="W44" s="336"/>
      <c r="X44" s="336"/>
      <c r="Y44" s="336"/>
      <c r="Z44" s="336"/>
      <c r="AA44" s="336"/>
      <c r="AB44" s="336"/>
    </row>
    <row r="45" ht="30.75" customHeight="1">
      <c r="A45" s="326">
        <v>37.0</v>
      </c>
      <c r="B45" s="111" t="s">
        <v>124</v>
      </c>
      <c r="C45" s="112" t="s">
        <v>125</v>
      </c>
      <c r="D45" s="327"/>
      <c r="E45" s="346">
        <v>7.0</v>
      </c>
      <c r="F45" s="328"/>
      <c r="G45" s="329"/>
      <c r="H45" s="330">
        <f>'401'!D46</f>
        <v>22</v>
      </c>
      <c r="I45" s="331">
        <f>'402'!D46</f>
        <v>18</v>
      </c>
      <c r="J45" s="332">
        <f>'402 L'!D46</f>
        <v>4</v>
      </c>
      <c r="K45" s="333">
        <f>'403'!D46</f>
        <v>16</v>
      </c>
      <c r="L45" s="332">
        <f>'403 L'!D46</f>
        <v>4</v>
      </c>
      <c r="M45" s="333">
        <f>'404'!D46</f>
        <v>19</v>
      </c>
      <c r="N45" s="332">
        <f>'404 L'!D46</f>
        <v>2</v>
      </c>
      <c r="O45" s="333">
        <f>'405'!D46</f>
        <v>17</v>
      </c>
      <c r="P45" s="332">
        <f>'405 L'!D46</f>
        <v>8</v>
      </c>
      <c r="Q45" s="332">
        <f>'406 L'!D46</f>
        <v>11</v>
      </c>
      <c r="R45" s="332">
        <f t="shared" si="1"/>
        <v>92</v>
      </c>
      <c r="S45" s="332">
        <f t="shared" si="2"/>
        <v>29</v>
      </c>
      <c r="T45" s="334">
        <f t="shared" si="3"/>
        <v>128</v>
      </c>
      <c r="U45" s="335">
        <f t="shared" si="4"/>
        <v>50</v>
      </c>
      <c r="V45" s="336"/>
      <c r="W45" s="336"/>
      <c r="X45" s="336"/>
      <c r="Y45" s="336"/>
      <c r="Z45" s="336"/>
      <c r="AA45" s="336"/>
      <c r="AB45" s="336"/>
    </row>
    <row r="46" ht="15.75" customHeight="1">
      <c r="A46" s="337">
        <v>38.0</v>
      </c>
      <c r="B46" s="111" t="s">
        <v>126</v>
      </c>
      <c r="C46" s="112" t="s">
        <v>127</v>
      </c>
      <c r="D46" s="327"/>
      <c r="E46" s="346">
        <v>14.0</v>
      </c>
      <c r="F46" s="328"/>
      <c r="G46" s="329"/>
      <c r="H46" s="330">
        <f>'401'!D47</f>
        <v>18</v>
      </c>
      <c r="I46" s="331">
        <f>'402'!D47</f>
        <v>17</v>
      </c>
      <c r="J46" s="332">
        <f>'402 L'!D47</f>
        <v>0</v>
      </c>
      <c r="K46" s="333">
        <f>'403'!D47</f>
        <v>12</v>
      </c>
      <c r="L46" s="332">
        <f>'403 L'!D47</f>
        <v>6</v>
      </c>
      <c r="M46" s="333">
        <f>'404'!D47</f>
        <v>11</v>
      </c>
      <c r="N46" s="332">
        <f>'404 L'!D47</f>
        <v>5</v>
      </c>
      <c r="O46" s="333">
        <f>'405'!D47</f>
        <v>14</v>
      </c>
      <c r="P46" s="332">
        <f>'405 L'!D47</f>
        <v>3</v>
      </c>
      <c r="Q46" s="332">
        <f>'406 L'!D47</f>
        <v>5</v>
      </c>
      <c r="R46" s="332">
        <f t="shared" si="1"/>
        <v>72</v>
      </c>
      <c r="S46" s="332">
        <f t="shared" si="2"/>
        <v>19</v>
      </c>
      <c r="T46" s="334">
        <f t="shared" si="3"/>
        <v>105</v>
      </c>
      <c r="U46" s="335">
        <f t="shared" si="4"/>
        <v>41</v>
      </c>
      <c r="V46" s="336"/>
      <c r="W46" s="336"/>
      <c r="X46" s="336"/>
      <c r="Y46" s="336"/>
      <c r="Z46" s="336"/>
      <c r="AA46" s="336"/>
      <c r="AB46" s="336"/>
    </row>
    <row r="47" ht="15.75" customHeight="1">
      <c r="A47" s="326">
        <v>39.0</v>
      </c>
      <c r="B47" s="111" t="s">
        <v>128</v>
      </c>
      <c r="C47" s="112" t="s">
        <v>129</v>
      </c>
      <c r="D47" s="327"/>
      <c r="E47" s="346">
        <v>20.0</v>
      </c>
      <c r="F47" s="347" t="s">
        <v>260</v>
      </c>
      <c r="G47" s="329"/>
      <c r="H47" s="330">
        <f>'401'!D48</f>
        <v>27</v>
      </c>
      <c r="I47" s="331">
        <f>'402'!D48</f>
        <v>26</v>
      </c>
      <c r="J47" s="332">
        <f>'402 L'!D48</f>
        <v>2</v>
      </c>
      <c r="K47" s="333">
        <f>'403'!D48</f>
        <v>25</v>
      </c>
      <c r="L47" s="332">
        <f>'403 L'!D48</f>
        <v>10</v>
      </c>
      <c r="M47" s="333">
        <f>'404'!D48</f>
        <v>22</v>
      </c>
      <c r="N47" s="332">
        <f>'404 L'!D48</f>
        <v>7</v>
      </c>
      <c r="O47" s="333">
        <f>'405'!D48</f>
        <v>27</v>
      </c>
      <c r="P47" s="332">
        <f>'405 L'!D48</f>
        <v>11</v>
      </c>
      <c r="Q47" s="332">
        <f>'406 L'!D48</f>
        <v>9</v>
      </c>
      <c r="R47" s="332">
        <f t="shared" si="1"/>
        <v>127</v>
      </c>
      <c r="S47" s="332">
        <f t="shared" si="2"/>
        <v>39</v>
      </c>
      <c r="T47" s="334">
        <f t="shared" si="3"/>
        <v>186</v>
      </c>
      <c r="U47" s="335">
        <f t="shared" si="4"/>
        <v>72</v>
      </c>
      <c r="V47" s="336"/>
      <c r="W47" s="336"/>
      <c r="X47" s="336"/>
      <c r="Y47" s="336"/>
      <c r="Z47" s="336"/>
      <c r="AA47" s="336"/>
      <c r="AB47" s="336"/>
    </row>
    <row r="48" ht="15.75" customHeight="1">
      <c r="A48" s="326">
        <v>40.0</v>
      </c>
      <c r="B48" s="356" t="s">
        <v>130</v>
      </c>
      <c r="C48" s="357" t="s">
        <v>131</v>
      </c>
      <c r="D48" s="327"/>
      <c r="E48" s="327"/>
      <c r="F48" s="328"/>
      <c r="G48" s="329"/>
      <c r="H48" s="330">
        <f>'401'!D49</f>
        <v>1</v>
      </c>
      <c r="I48" s="331">
        <f>'402'!D49</f>
        <v>0</v>
      </c>
      <c r="J48" s="332">
        <f>'402 L'!D49</f>
        <v>0</v>
      </c>
      <c r="K48" s="333">
        <f>'403'!D49</f>
        <v>0</v>
      </c>
      <c r="L48" s="332">
        <f>'403 L'!D49</f>
        <v>0</v>
      </c>
      <c r="M48" s="333">
        <f>'404'!D49</f>
        <v>0</v>
      </c>
      <c r="N48" s="332">
        <f>'404 L'!D49</f>
        <v>0</v>
      </c>
      <c r="O48" s="333">
        <f>'405'!D49</f>
        <v>0</v>
      </c>
      <c r="P48" s="332">
        <f>'405 L'!D49</f>
        <v>0</v>
      </c>
      <c r="Q48" s="332">
        <f>'406 L'!D49</f>
        <v>0</v>
      </c>
      <c r="R48" s="332">
        <f t="shared" si="1"/>
        <v>1</v>
      </c>
      <c r="S48" s="332">
        <f t="shared" si="2"/>
        <v>0</v>
      </c>
      <c r="T48" s="334">
        <f t="shared" si="3"/>
        <v>1</v>
      </c>
      <c r="U48" s="335">
        <f t="shared" si="4"/>
        <v>0</v>
      </c>
      <c r="V48" s="336"/>
      <c r="W48" s="336"/>
      <c r="X48" s="336"/>
      <c r="Y48" s="336"/>
      <c r="Z48" s="336"/>
      <c r="AA48" s="336"/>
      <c r="AB48" s="336"/>
    </row>
    <row r="49" ht="15.75" customHeight="1">
      <c r="A49" s="337">
        <v>41.0</v>
      </c>
      <c r="B49" s="111" t="s">
        <v>132</v>
      </c>
      <c r="C49" s="112" t="s">
        <v>133</v>
      </c>
      <c r="D49" s="327"/>
      <c r="E49" s="346">
        <v>14.0</v>
      </c>
      <c r="F49" s="328"/>
      <c r="G49" s="329"/>
      <c r="H49" s="330">
        <f>'401'!D50</f>
        <v>22</v>
      </c>
      <c r="I49" s="331">
        <f>'402'!D50</f>
        <v>20</v>
      </c>
      <c r="J49" s="332">
        <f>'402 L'!D50</f>
        <v>4</v>
      </c>
      <c r="K49" s="333">
        <f>'403'!D50</f>
        <v>17</v>
      </c>
      <c r="L49" s="332">
        <f>'403 L'!D50</f>
        <v>7</v>
      </c>
      <c r="M49" s="333">
        <f>'404'!D50</f>
        <v>17</v>
      </c>
      <c r="N49" s="332">
        <f>'404 L'!D50</f>
        <v>2</v>
      </c>
      <c r="O49" s="333">
        <f>'405'!D50</f>
        <v>18</v>
      </c>
      <c r="P49" s="332">
        <f>'405 L'!D50</f>
        <v>9</v>
      </c>
      <c r="Q49" s="332">
        <f>'406 L'!D50</f>
        <v>11</v>
      </c>
      <c r="R49" s="332">
        <f t="shared" si="1"/>
        <v>94</v>
      </c>
      <c r="S49" s="332">
        <f t="shared" si="2"/>
        <v>33</v>
      </c>
      <c r="T49" s="334">
        <f t="shared" si="3"/>
        <v>141</v>
      </c>
      <c r="U49" s="335">
        <f t="shared" si="4"/>
        <v>55</v>
      </c>
      <c r="V49" s="336"/>
      <c r="W49" s="336"/>
      <c r="X49" s="336"/>
      <c r="Y49" s="336"/>
      <c r="Z49" s="336"/>
      <c r="AA49" s="336"/>
      <c r="AB49" s="336"/>
    </row>
    <row r="50" ht="15.75" customHeight="1">
      <c r="A50" s="326">
        <v>42.0</v>
      </c>
      <c r="B50" s="111" t="s">
        <v>134</v>
      </c>
      <c r="C50" s="112" t="s">
        <v>135</v>
      </c>
      <c r="D50" s="327"/>
      <c r="E50" s="346">
        <v>14.0</v>
      </c>
      <c r="F50" s="328"/>
      <c r="G50" s="329"/>
      <c r="H50" s="330">
        <f>'401'!D51</f>
        <v>18</v>
      </c>
      <c r="I50" s="331">
        <f>'402'!D51</f>
        <v>17</v>
      </c>
      <c r="J50" s="332">
        <f>'402 L'!D51</f>
        <v>5</v>
      </c>
      <c r="K50" s="333">
        <f>'403'!D51</f>
        <v>17</v>
      </c>
      <c r="L50" s="332">
        <f>'403 L'!D51</f>
        <v>8</v>
      </c>
      <c r="M50" s="333">
        <f>'404'!D51</f>
        <v>17</v>
      </c>
      <c r="N50" s="332">
        <f>'404 L'!D51</f>
        <v>7</v>
      </c>
      <c r="O50" s="333">
        <f>'405'!D51</f>
        <v>16</v>
      </c>
      <c r="P50" s="332">
        <f>'405 L'!D51</f>
        <v>8</v>
      </c>
      <c r="Q50" s="332">
        <f>'406 L'!D51</f>
        <v>8</v>
      </c>
      <c r="R50" s="332">
        <f t="shared" si="1"/>
        <v>85</v>
      </c>
      <c r="S50" s="332">
        <f t="shared" si="2"/>
        <v>36</v>
      </c>
      <c r="T50" s="334">
        <f t="shared" si="3"/>
        <v>135</v>
      </c>
      <c r="U50" s="335">
        <f t="shared" si="4"/>
        <v>52</v>
      </c>
      <c r="V50" s="336"/>
      <c r="W50" s="336"/>
      <c r="X50" s="336"/>
      <c r="Y50" s="336"/>
      <c r="Z50" s="336"/>
      <c r="AA50" s="336"/>
      <c r="AB50" s="336"/>
    </row>
    <row r="51" ht="15.75" customHeight="1">
      <c r="A51" s="340" t="s">
        <v>136</v>
      </c>
      <c r="B51" s="341"/>
      <c r="C51" s="243"/>
      <c r="D51" s="342"/>
      <c r="E51" s="342"/>
      <c r="F51" s="343"/>
      <c r="G51" s="342"/>
      <c r="H51" s="323">
        <f>'401'!D9</f>
        <v>44</v>
      </c>
      <c r="I51" s="323">
        <f>'402'!D9</f>
        <v>38</v>
      </c>
      <c r="J51" s="324">
        <f>'402 L'!D52</f>
        <v>10</v>
      </c>
      <c r="K51" s="323">
        <f>'403'!D9</f>
        <v>40</v>
      </c>
      <c r="L51" s="324">
        <f>'403 L'!D52</f>
        <v>11</v>
      </c>
      <c r="M51" s="323">
        <f>'404'!D9</f>
        <v>35</v>
      </c>
      <c r="N51" s="324">
        <f>'404 L'!D52</f>
        <v>8</v>
      </c>
      <c r="O51" s="323">
        <f>'405'!D9</f>
        <v>38</v>
      </c>
      <c r="P51" s="324">
        <f>'405 L'!D52</f>
        <v>9</v>
      </c>
      <c r="Q51" s="324">
        <f>'406 L'!D52</f>
        <v>19</v>
      </c>
      <c r="R51" s="324">
        <f t="shared" si="1"/>
        <v>195</v>
      </c>
      <c r="S51" s="324">
        <f t="shared" si="2"/>
        <v>57</v>
      </c>
      <c r="T51" s="47">
        <f t="shared" si="3"/>
        <v>252</v>
      </c>
      <c r="U51" s="325" t="s">
        <v>258</v>
      </c>
      <c r="V51" s="344"/>
      <c r="W51" s="344"/>
      <c r="X51" s="344"/>
      <c r="Y51" s="344"/>
      <c r="Z51" s="344"/>
      <c r="AA51" s="344"/>
      <c r="AB51" s="344"/>
    </row>
    <row r="52" ht="15.75" customHeight="1">
      <c r="A52" s="345">
        <v>43.0</v>
      </c>
      <c r="B52" s="111" t="s">
        <v>137</v>
      </c>
      <c r="C52" s="112" t="s">
        <v>138</v>
      </c>
      <c r="D52" s="327"/>
      <c r="E52" s="346">
        <v>14.0</v>
      </c>
      <c r="F52" s="328"/>
      <c r="G52" s="327"/>
      <c r="H52" s="330">
        <f>'401'!D52</f>
        <v>23</v>
      </c>
      <c r="I52" s="331">
        <f>'402'!D52</f>
        <v>13</v>
      </c>
      <c r="J52" s="332">
        <f>'402 L'!D53</f>
        <v>4</v>
      </c>
      <c r="K52" s="333">
        <f>'403'!D52</f>
        <v>14</v>
      </c>
      <c r="L52" s="332">
        <f>'403 L'!D53</f>
        <v>5</v>
      </c>
      <c r="M52" s="333">
        <f>'404'!D52</f>
        <v>20</v>
      </c>
      <c r="N52" s="332">
        <f>'404 L'!D53</f>
        <v>4</v>
      </c>
      <c r="O52" s="333">
        <f>'405'!D52</f>
        <v>13</v>
      </c>
      <c r="P52" s="332">
        <f>'405 L'!D53</f>
        <v>8</v>
      </c>
      <c r="Q52" s="332">
        <f>'406 L'!D53</f>
        <v>2</v>
      </c>
      <c r="R52" s="332">
        <f t="shared" si="1"/>
        <v>83</v>
      </c>
      <c r="S52" s="332">
        <f t="shared" si="2"/>
        <v>23</v>
      </c>
      <c r="T52" s="334">
        <f t="shared" si="3"/>
        <v>120</v>
      </c>
      <c r="U52" s="348">
        <f t="shared" ref="U52:U92" si="5">ROUND(T52/T$51*100,0)</f>
        <v>48</v>
      </c>
      <c r="V52" s="344"/>
      <c r="W52" s="344"/>
      <c r="X52" s="344"/>
      <c r="Y52" s="344"/>
      <c r="Z52" s="344"/>
      <c r="AA52" s="344"/>
      <c r="AB52" s="344"/>
    </row>
    <row r="53" ht="15.75" customHeight="1">
      <c r="A53" s="326">
        <v>44.0</v>
      </c>
      <c r="B53" s="111" t="s">
        <v>139</v>
      </c>
      <c r="C53" s="112" t="s">
        <v>140</v>
      </c>
      <c r="D53" s="327"/>
      <c r="E53" s="327"/>
      <c r="F53" s="328"/>
      <c r="G53" s="327"/>
      <c r="H53" s="330">
        <f>'401'!D53</f>
        <v>20</v>
      </c>
      <c r="I53" s="331">
        <f>'402'!D53</f>
        <v>20</v>
      </c>
      <c r="J53" s="332">
        <f>'402 L'!D54</f>
        <v>6</v>
      </c>
      <c r="K53" s="333">
        <f>'403'!D53</f>
        <v>17</v>
      </c>
      <c r="L53" s="332">
        <f>'403 L'!D54</f>
        <v>5</v>
      </c>
      <c r="M53" s="333">
        <f>'404'!D53</f>
        <v>17</v>
      </c>
      <c r="N53" s="332">
        <f>'404 L'!D54</f>
        <v>5</v>
      </c>
      <c r="O53" s="333">
        <f>'405'!D53</f>
        <v>22</v>
      </c>
      <c r="P53" s="332">
        <f>'405 L'!D54</f>
        <v>9</v>
      </c>
      <c r="Q53" s="332">
        <f>'406 L'!D54</f>
        <v>9</v>
      </c>
      <c r="R53" s="332">
        <f t="shared" si="1"/>
        <v>96</v>
      </c>
      <c r="S53" s="332">
        <f t="shared" si="2"/>
        <v>34</v>
      </c>
      <c r="T53" s="334">
        <f t="shared" si="3"/>
        <v>130</v>
      </c>
      <c r="U53" s="348">
        <f t="shared" si="5"/>
        <v>52</v>
      </c>
      <c r="V53" s="336"/>
      <c r="W53" s="336"/>
      <c r="X53" s="336"/>
      <c r="Y53" s="336"/>
      <c r="Z53" s="336"/>
      <c r="AA53" s="336"/>
      <c r="AB53" s="336"/>
    </row>
    <row r="54" ht="15.75" customHeight="1">
      <c r="A54" s="337">
        <v>45.0</v>
      </c>
      <c r="B54" s="111" t="s">
        <v>141</v>
      </c>
      <c r="C54" s="112" t="s">
        <v>142</v>
      </c>
      <c r="D54" s="327"/>
      <c r="E54" s="327"/>
      <c r="F54" s="328"/>
      <c r="G54" s="327"/>
      <c r="H54" s="330">
        <f>'401'!D54</f>
        <v>23</v>
      </c>
      <c r="I54" s="331">
        <f>'402'!D54</f>
        <v>19</v>
      </c>
      <c r="J54" s="332">
        <f>'402 L'!D55</f>
        <v>5</v>
      </c>
      <c r="K54" s="333">
        <f>'403'!D54</f>
        <v>20</v>
      </c>
      <c r="L54" s="332">
        <f>'403 L'!D55</f>
        <v>9</v>
      </c>
      <c r="M54" s="333">
        <f>'404'!D54</f>
        <v>20</v>
      </c>
      <c r="N54" s="332">
        <f>'404 L'!D55</f>
        <v>6</v>
      </c>
      <c r="O54" s="333">
        <f>'405'!D54</f>
        <v>23</v>
      </c>
      <c r="P54" s="332">
        <f>'405 L'!D55</f>
        <v>9</v>
      </c>
      <c r="Q54" s="332">
        <f>'406 L'!D55</f>
        <v>6</v>
      </c>
      <c r="R54" s="332">
        <f t="shared" si="1"/>
        <v>105</v>
      </c>
      <c r="S54" s="332">
        <f t="shared" si="2"/>
        <v>35</v>
      </c>
      <c r="T54" s="334">
        <f t="shared" si="3"/>
        <v>140</v>
      </c>
      <c r="U54" s="348">
        <f t="shared" si="5"/>
        <v>56</v>
      </c>
      <c r="V54" s="336"/>
      <c r="W54" s="336"/>
      <c r="X54" s="336"/>
      <c r="Y54" s="336"/>
      <c r="Z54" s="336"/>
      <c r="AA54" s="336"/>
      <c r="AB54" s="336"/>
    </row>
    <row r="55" ht="15.75" customHeight="1">
      <c r="A55" s="345">
        <v>46.0</v>
      </c>
      <c r="B55" s="111" t="s">
        <v>143</v>
      </c>
      <c r="C55" s="112" t="s">
        <v>144</v>
      </c>
      <c r="D55" s="327"/>
      <c r="E55" s="327"/>
      <c r="F55" s="328"/>
      <c r="G55" s="327"/>
      <c r="H55" s="330">
        <f>'401'!D55</f>
        <v>28</v>
      </c>
      <c r="I55" s="331">
        <f>'402'!D55</f>
        <v>21</v>
      </c>
      <c r="J55" s="332">
        <f>'402 L'!D56</f>
        <v>6</v>
      </c>
      <c r="K55" s="333">
        <f>'403'!D55</f>
        <v>18</v>
      </c>
      <c r="L55" s="332">
        <f>'403 L'!D56</f>
        <v>8</v>
      </c>
      <c r="M55" s="333">
        <f>'404'!D55</f>
        <v>19</v>
      </c>
      <c r="N55" s="332">
        <f>'404 L'!D56</f>
        <v>3</v>
      </c>
      <c r="O55" s="333">
        <f>'405'!D55</f>
        <v>24</v>
      </c>
      <c r="P55" s="332">
        <f>'405 L'!D56</f>
        <v>7</v>
      </c>
      <c r="Q55" s="332">
        <f>'406 L'!D56</f>
        <v>6</v>
      </c>
      <c r="R55" s="332">
        <f t="shared" si="1"/>
        <v>110</v>
      </c>
      <c r="S55" s="332">
        <f t="shared" si="2"/>
        <v>30</v>
      </c>
      <c r="T55" s="334">
        <f t="shared" si="3"/>
        <v>140</v>
      </c>
      <c r="U55" s="348">
        <f t="shared" si="5"/>
        <v>56</v>
      </c>
      <c r="V55" s="336"/>
      <c r="W55" s="336"/>
      <c r="X55" s="336"/>
      <c r="Y55" s="336"/>
      <c r="Z55" s="336"/>
      <c r="AA55" s="336"/>
      <c r="AB55" s="336"/>
    </row>
    <row r="56" ht="15.75" customHeight="1">
      <c r="A56" s="326">
        <v>47.0</v>
      </c>
      <c r="B56" s="111" t="s">
        <v>145</v>
      </c>
      <c r="C56" s="112" t="s">
        <v>146</v>
      </c>
      <c r="D56" s="327"/>
      <c r="E56" s="327"/>
      <c r="F56" s="328"/>
      <c r="G56" s="327"/>
      <c r="H56" s="330">
        <f>'401'!D56</f>
        <v>28</v>
      </c>
      <c r="I56" s="331">
        <f>'402'!D56</f>
        <v>20</v>
      </c>
      <c r="J56" s="332">
        <f>'402 L'!D57</f>
        <v>7</v>
      </c>
      <c r="K56" s="333">
        <f>'403'!D56</f>
        <v>25</v>
      </c>
      <c r="L56" s="332">
        <f>'403 L'!D57</f>
        <v>8</v>
      </c>
      <c r="M56" s="333">
        <f>'404'!D56</f>
        <v>20</v>
      </c>
      <c r="N56" s="332">
        <f>'404 L'!D57</f>
        <v>5</v>
      </c>
      <c r="O56" s="333">
        <f>'405'!D56</f>
        <v>23</v>
      </c>
      <c r="P56" s="332">
        <f>'405 L'!D57</f>
        <v>10</v>
      </c>
      <c r="Q56" s="332">
        <f>'406 L'!D57</f>
        <v>12</v>
      </c>
      <c r="R56" s="332">
        <f t="shared" si="1"/>
        <v>116</v>
      </c>
      <c r="S56" s="332">
        <f t="shared" si="2"/>
        <v>42</v>
      </c>
      <c r="T56" s="334">
        <f t="shared" si="3"/>
        <v>158</v>
      </c>
      <c r="U56" s="348">
        <f t="shared" si="5"/>
        <v>63</v>
      </c>
      <c r="V56" s="336"/>
      <c r="W56" s="336"/>
      <c r="X56" s="336"/>
      <c r="Y56" s="336"/>
      <c r="Z56" s="336"/>
      <c r="AA56" s="336"/>
      <c r="AB56" s="336"/>
    </row>
    <row r="57" ht="15.75" customHeight="1">
      <c r="A57" s="337">
        <v>48.0</v>
      </c>
      <c r="B57" s="111" t="s">
        <v>147</v>
      </c>
      <c r="C57" s="112" t="s">
        <v>148</v>
      </c>
      <c r="D57" s="327"/>
      <c r="E57" s="327"/>
      <c r="F57" s="328"/>
      <c r="G57" s="327"/>
      <c r="H57" s="330">
        <f>'401'!D57</f>
        <v>23</v>
      </c>
      <c r="I57" s="331">
        <f>'402'!D57</f>
        <v>16</v>
      </c>
      <c r="J57" s="332">
        <f>'402 L'!D58</f>
        <v>5</v>
      </c>
      <c r="K57" s="333">
        <f>'403'!D57</f>
        <v>19</v>
      </c>
      <c r="L57" s="332">
        <f>'403 L'!D58</f>
        <v>6</v>
      </c>
      <c r="M57" s="333">
        <f>'404'!D57</f>
        <v>21</v>
      </c>
      <c r="N57" s="332">
        <f>'404 L'!D58</f>
        <v>4</v>
      </c>
      <c r="O57" s="333">
        <f>'405'!D57</f>
        <v>17</v>
      </c>
      <c r="P57" s="332">
        <f>'405 L'!D58</f>
        <v>10</v>
      </c>
      <c r="Q57" s="332">
        <f>'406 L'!D58</f>
        <v>6</v>
      </c>
      <c r="R57" s="332">
        <f t="shared" si="1"/>
        <v>96</v>
      </c>
      <c r="S57" s="332">
        <f t="shared" si="2"/>
        <v>31</v>
      </c>
      <c r="T57" s="334">
        <f t="shared" si="3"/>
        <v>127</v>
      </c>
      <c r="U57" s="348">
        <f t="shared" si="5"/>
        <v>50</v>
      </c>
      <c r="V57" s="336"/>
      <c r="W57" s="336"/>
      <c r="X57" s="336"/>
      <c r="Y57" s="336"/>
      <c r="Z57" s="336"/>
      <c r="AA57" s="336"/>
      <c r="AB57" s="336"/>
    </row>
    <row r="58" ht="15.75" customHeight="1">
      <c r="A58" s="345">
        <v>49.0</v>
      </c>
      <c r="B58" s="111" t="s">
        <v>149</v>
      </c>
      <c r="C58" s="112" t="s">
        <v>150</v>
      </c>
      <c r="D58" s="327"/>
      <c r="E58" s="327"/>
      <c r="F58" s="328"/>
      <c r="G58" s="327"/>
      <c r="H58" s="330">
        <f>'401'!D58</f>
        <v>24</v>
      </c>
      <c r="I58" s="331">
        <f>'402'!D58</f>
        <v>20</v>
      </c>
      <c r="J58" s="332">
        <f>'402 L'!D59</f>
        <v>8</v>
      </c>
      <c r="K58" s="333">
        <f>'403'!D58</f>
        <v>17</v>
      </c>
      <c r="L58" s="332">
        <f>'403 L'!D59</f>
        <v>5</v>
      </c>
      <c r="M58" s="333">
        <f>'404'!D58</f>
        <v>18</v>
      </c>
      <c r="N58" s="332">
        <f>'404 L'!D59</f>
        <v>1</v>
      </c>
      <c r="O58" s="333">
        <f>'405'!D58</f>
        <v>18</v>
      </c>
      <c r="P58" s="332">
        <f>'405 L'!D59</f>
        <v>11</v>
      </c>
      <c r="Q58" s="332">
        <f>'406 L'!D59</f>
        <v>7</v>
      </c>
      <c r="R58" s="332">
        <f t="shared" si="1"/>
        <v>97</v>
      </c>
      <c r="S58" s="332">
        <f t="shared" si="2"/>
        <v>32</v>
      </c>
      <c r="T58" s="334">
        <f t="shared" si="3"/>
        <v>129</v>
      </c>
      <c r="U58" s="348">
        <f t="shared" si="5"/>
        <v>51</v>
      </c>
      <c r="V58" s="336"/>
      <c r="W58" s="336"/>
      <c r="X58" s="336"/>
      <c r="Y58" s="336"/>
      <c r="Z58" s="336"/>
      <c r="AA58" s="336"/>
      <c r="AB58" s="336"/>
    </row>
    <row r="59" ht="15.75" customHeight="1">
      <c r="A59" s="326">
        <v>50.0</v>
      </c>
      <c r="B59" s="111" t="s">
        <v>151</v>
      </c>
      <c r="C59" s="112" t="s">
        <v>152</v>
      </c>
      <c r="D59" s="327"/>
      <c r="E59" s="327"/>
      <c r="F59" s="328"/>
      <c r="G59" s="327"/>
      <c r="H59" s="330">
        <f>'401'!D59</f>
        <v>30</v>
      </c>
      <c r="I59" s="331">
        <f>'402'!D59</f>
        <v>28</v>
      </c>
      <c r="J59" s="332">
        <f>'402 L'!D60</f>
        <v>9</v>
      </c>
      <c r="K59" s="333">
        <f>'403'!D59</f>
        <v>32</v>
      </c>
      <c r="L59" s="332">
        <f>'403 L'!D60</f>
        <v>9</v>
      </c>
      <c r="M59" s="333">
        <f>'404'!D59</f>
        <v>26</v>
      </c>
      <c r="N59" s="332">
        <f>'404 L'!D60</f>
        <v>6</v>
      </c>
      <c r="O59" s="333">
        <f>'405'!D59</f>
        <v>27</v>
      </c>
      <c r="P59" s="332">
        <f>'405 L'!D60</f>
        <v>10</v>
      </c>
      <c r="Q59" s="332">
        <f>'406 L'!D60</f>
        <v>14</v>
      </c>
      <c r="R59" s="332">
        <f t="shared" si="1"/>
        <v>143</v>
      </c>
      <c r="S59" s="332">
        <f t="shared" si="2"/>
        <v>48</v>
      </c>
      <c r="T59" s="334">
        <f t="shared" si="3"/>
        <v>191</v>
      </c>
      <c r="U59" s="348">
        <f t="shared" si="5"/>
        <v>76</v>
      </c>
      <c r="V59" s="336"/>
      <c r="W59" s="336"/>
      <c r="X59" s="336"/>
      <c r="Y59" s="336"/>
      <c r="Z59" s="336"/>
      <c r="AA59" s="336"/>
      <c r="AB59" s="336"/>
    </row>
    <row r="60" ht="15.75" customHeight="1">
      <c r="A60" s="337">
        <v>51.0</v>
      </c>
      <c r="B60" s="111" t="s">
        <v>153</v>
      </c>
      <c r="C60" s="112" t="s">
        <v>154</v>
      </c>
      <c r="D60" s="327"/>
      <c r="E60" s="327"/>
      <c r="F60" s="328"/>
      <c r="G60" s="327"/>
      <c r="H60" s="330">
        <f>'401'!D60</f>
        <v>14</v>
      </c>
      <c r="I60" s="331">
        <f>'402'!D60</f>
        <v>16</v>
      </c>
      <c r="J60" s="332">
        <f>'402 L'!D61</f>
        <v>3</v>
      </c>
      <c r="K60" s="333">
        <f>'403'!D60</f>
        <v>18</v>
      </c>
      <c r="L60" s="332">
        <f>'403 L'!D61</f>
        <v>3</v>
      </c>
      <c r="M60" s="333">
        <f>'404'!D60</f>
        <v>11</v>
      </c>
      <c r="N60" s="332">
        <f>'404 L'!D61</f>
        <v>1</v>
      </c>
      <c r="O60" s="333">
        <f>'405'!D60</f>
        <v>13</v>
      </c>
      <c r="P60" s="332">
        <f>'405 L'!D61</f>
        <v>5</v>
      </c>
      <c r="Q60" s="332">
        <f>'406 L'!D61</f>
        <v>5</v>
      </c>
      <c r="R60" s="332">
        <f t="shared" si="1"/>
        <v>72</v>
      </c>
      <c r="S60" s="332">
        <f t="shared" si="2"/>
        <v>17</v>
      </c>
      <c r="T60" s="334">
        <f t="shared" si="3"/>
        <v>89</v>
      </c>
      <c r="U60" s="348">
        <f t="shared" si="5"/>
        <v>35</v>
      </c>
      <c r="V60" s="336"/>
      <c r="W60" s="336"/>
      <c r="X60" s="336"/>
      <c r="Y60" s="336"/>
      <c r="Z60" s="336"/>
      <c r="AA60" s="336"/>
      <c r="AB60" s="336"/>
    </row>
    <row r="61" ht="15.75" customHeight="1">
      <c r="A61" s="345">
        <v>52.0</v>
      </c>
      <c r="B61" s="111" t="s">
        <v>155</v>
      </c>
      <c r="C61" s="112" t="s">
        <v>156</v>
      </c>
      <c r="D61" s="327"/>
      <c r="E61" s="346">
        <v>14.0</v>
      </c>
      <c r="F61" s="328"/>
      <c r="G61" s="327"/>
      <c r="H61" s="330">
        <f>'401'!D61</f>
        <v>14</v>
      </c>
      <c r="I61" s="331">
        <f>'402'!D61</f>
        <v>14</v>
      </c>
      <c r="J61" s="332">
        <f>'402 L'!D62</f>
        <v>2</v>
      </c>
      <c r="K61" s="333">
        <f>'403'!D61</f>
        <v>15</v>
      </c>
      <c r="L61" s="332">
        <f>'403 L'!D62</f>
        <v>6</v>
      </c>
      <c r="M61" s="333">
        <f>'404'!D61</f>
        <v>14</v>
      </c>
      <c r="N61" s="332">
        <f>'404 L'!D62</f>
        <v>3</v>
      </c>
      <c r="O61" s="333">
        <f>'405'!D61</f>
        <v>15</v>
      </c>
      <c r="P61" s="332">
        <f>'405 L'!D62</f>
        <v>8</v>
      </c>
      <c r="Q61" s="332">
        <f>'406 L'!D62</f>
        <v>2</v>
      </c>
      <c r="R61" s="332">
        <f t="shared" si="1"/>
        <v>72</v>
      </c>
      <c r="S61" s="332">
        <f t="shared" si="2"/>
        <v>21</v>
      </c>
      <c r="T61" s="334">
        <f t="shared" si="3"/>
        <v>107</v>
      </c>
      <c r="U61" s="348">
        <f t="shared" si="5"/>
        <v>42</v>
      </c>
      <c r="V61" s="336"/>
      <c r="W61" s="336"/>
      <c r="X61" s="336"/>
      <c r="Y61" s="336"/>
      <c r="Z61" s="336"/>
      <c r="AA61" s="336"/>
      <c r="AB61" s="336"/>
    </row>
    <row r="62" ht="15.75" customHeight="1">
      <c r="A62" s="326">
        <v>53.0</v>
      </c>
      <c r="B62" s="111" t="s">
        <v>157</v>
      </c>
      <c r="C62" s="112" t="s">
        <v>158</v>
      </c>
      <c r="D62" s="327"/>
      <c r="E62" s="346">
        <v>7.0</v>
      </c>
      <c r="F62" s="328"/>
      <c r="G62" s="327"/>
      <c r="H62" s="330">
        <f>'401'!D62</f>
        <v>23</v>
      </c>
      <c r="I62" s="331">
        <f>'402'!D62</f>
        <v>22</v>
      </c>
      <c r="J62" s="332">
        <f>'402 L'!D63</f>
        <v>7</v>
      </c>
      <c r="K62" s="333">
        <f>'403'!D62</f>
        <v>17</v>
      </c>
      <c r="L62" s="332">
        <f>'403 L'!D63</f>
        <v>2</v>
      </c>
      <c r="M62" s="333">
        <f>'404'!D62</f>
        <v>17</v>
      </c>
      <c r="N62" s="332">
        <f>'404 L'!D63</f>
        <v>4</v>
      </c>
      <c r="O62" s="333">
        <f>'405'!D62</f>
        <v>19</v>
      </c>
      <c r="P62" s="332">
        <f>'405 L'!D63</f>
        <v>9</v>
      </c>
      <c r="Q62" s="332">
        <f>'406 L'!D63</f>
        <v>5</v>
      </c>
      <c r="R62" s="332">
        <f t="shared" si="1"/>
        <v>98</v>
      </c>
      <c r="S62" s="332">
        <f t="shared" si="2"/>
        <v>27</v>
      </c>
      <c r="T62" s="334">
        <f t="shared" si="3"/>
        <v>132</v>
      </c>
      <c r="U62" s="348">
        <f t="shared" si="5"/>
        <v>52</v>
      </c>
      <c r="V62" s="336"/>
      <c r="W62" s="336"/>
      <c r="X62" s="336"/>
      <c r="Y62" s="336"/>
      <c r="Z62" s="336"/>
      <c r="AA62" s="336"/>
      <c r="AB62" s="336"/>
    </row>
    <row r="63" ht="15.75" customHeight="1">
      <c r="A63" s="337">
        <v>54.0</v>
      </c>
      <c r="B63" s="111" t="s">
        <v>159</v>
      </c>
      <c r="C63" s="112" t="s">
        <v>160</v>
      </c>
      <c r="D63" s="327"/>
      <c r="E63" s="346">
        <v>7.0</v>
      </c>
      <c r="F63" s="328"/>
      <c r="G63" s="327"/>
      <c r="H63" s="330">
        <f>'401'!D63</f>
        <v>20</v>
      </c>
      <c r="I63" s="331">
        <f>'402'!D63</f>
        <v>12</v>
      </c>
      <c r="J63" s="332">
        <f>'402 L'!D64</f>
        <v>7</v>
      </c>
      <c r="K63" s="333">
        <f>'403'!D63</f>
        <v>19</v>
      </c>
      <c r="L63" s="332">
        <f>'403 L'!D64</f>
        <v>4</v>
      </c>
      <c r="M63" s="333">
        <f>'404'!D63</f>
        <v>14</v>
      </c>
      <c r="N63" s="332">
        <f>'404 L'!D64</f>
        <v>4</v>
      </c>
      <c r="O63" s="333">
        <f>'405'!D63</f>
        <v>11</v>
      </c>
      <c r="P63" s="332">
        <f>'405 L'!D64</f>
        <v>10</v>
      </c>
      <c r="Q63" s="332">
        <f>'406 L'!D64</f>
        <v>5</v>
      </c>
      <c r="R63" s="332">
        <f t="shared" si="1"/>
        <v>76</v>
      </c>
      <c r="S63" s="332">
        <f t="shared" si="2"/>
        <v>30</v>
      </c>
      <c r="T63" s="334">
        <f t="shared" si="3"/>
        <v>113</v>
      </c>
      <c r="U63" s="348">
        <f t="shared" si="5"/>
        <v>45</v>
      </c>
      <c r="V63" s="336"/>
      <c r="W63" s="336"/>
      <c r="X63" s="336"/>
      <c r="Y63" s="336"/>
      <c r="Z63" s="336"/>
      <c r="AA63" s="336"/>
      <c r="AB63" s="336"/>
    </row>
    <row r="64" ht="15.75" customHeight="1">
      <c r="A64" s="345">
        <v>55.0</v>
      </c>
      <c r="B64" s="111" t="s">
        <v>161</v>
      </c>
      <c r="C64" s="112" t="s">
        <v>162</v>
      </c>
      <c r="D64" s="327"/>
      <c r="E64" s="346">
        <v>7.0</v>
      </c>
      <c r="F64" s="328"/>
      <c r="G64" s="327"/>
      <c r="H64" s="330">
        <f>'401'!D64</f>
        <v>18</v>
      </c>
      <c r="I64" s="331">
        <f>'402'!D64</f>
        <v>17</v>
      </c>
      <c r="J64" s="332">
        <f>'402 L'!D65</f>
        <v>6</v>
      </c>
      <c r="K64" s="333">
        <f>'403'!D64</f>
        <v>15</v>
      </c>
      <c r="L64" s="332">
        <f>'403 L'!D65</f>
        <v>6</v>
      </c>
      <c r="M64" s="333">
        <f>'404'!D64</f>
        <v>18</v>
      </c>
      <c r="N64" s="332">
        <f>'404 L'!D65</f>
        <v>2</v>
      </c>
      <c r="O64" s="333">
        <f>'405'!D64</f>
        <v>14</v>
      </c>
      <c r="P64" s="332">
        <f>'405 L'!D65</f>
        <v>8</v>
      </c>
      <c r="Q64" s="332">
        <f>'406 L'!D65</f>
        <v>2</v>
      </c>
      <c r="R64" s="332">
        <f t="shared" si="1"/>
        <v>82</v>
      </c>
      <c r="S64" s="332">
        <f t="shared" si="2"/>
        <v>24</v>
      </c>
      <c r="T64" s="334">
        <f t="shared" si="3"/>
        <v>113</v>
      </c>
      <c r="U64" s="348">
        <f t="shared" si="5"/>
        <v>45</v>
      </c>
      <c r="V64" s="336"/>
      <c r="W64" s="336"/>
      <c r="X64" s="336"/>
      <c r="Y64" s="336"/>
      <c r="Z64" s="336"/>
      <c r="AA64" s="336"/>
      <c r="AB64" s="336"/>
    </row>
    <row r="65" ht="15.75" customHeight="1">
      <c r="A65" s="326">
        <v>56.0</v>
      </c>
      <c r="B65" s="111" t="s">
        <v>163</v>
      </c>
      <c r="C65" s="112" t="s">
        <v>164</v>
      </c>
      <c r="D65" s="327"/>
      <c r="E65" s="346">
        <v>20.0</v>
      </c>
      <c r="F65" s="347" t="s">
        <v>260</v>
      </c>
      <c r="G65" s="327"/>
      <c r="H65" s="330">
        <f>'401'!D65</f>
        <v>24</v>
      </c>
      <c r="I65" s="331">
        <f>'402'!D65</f>
        <v>18</v>
      </c>
      <c r="J65" s="332">
        <f>'402 L'!D66</f>
        <v>6</v>
      </c>
      <c r="K65" s="333">
        <f>'403'!D65</f>
        <v>21</v>
      </c>
      <c r="L65" s="332">
        <f>'403 L'!D66</f>
        <v>7</v>
      </c>
      <c r="M65" s="333">
        <f>'404'!D65</f>
        <v>22</v>
      </c>
      <c r="N65" s="332">
        <f>'404 L'!D66</f>
        <v>3</v>
      </c>
      <c r="O65" s="333">
        <f>'405'!D65</f>
        <v>23</v>
      </c>
      <c r="P65" s="332">
        <f>'405 L'!D66</f>
        <v>11</v>
      </c>
      <c r="Q65" s="332">
        <f>'406 L'!D66</f>
        <v>11</v>
      </c>
      <c r="R65" s="332">
        <f t="shared" si="1"/>
        <v>108</v>
      </c>
      <c r="S65" s="332">
        <f t="shared" si="2"/>
        <v>38</v>
      </c>
      <c r="T65" s="334">
        <f t="shared" si="3"/>
        <v>166</v>
      </c>
      <c r="U65" s="348">
        <f t="shared" si="5"/>
        <v>66</v>
      </c>
      <c r="V65" s="336"/>
      <c r="W65" s="336"/>
      <c r="X65" s="336"/>
      <c r="Y65" s="336"/>
      <c r="Z65" s="336"/>
      <c r="AA65" s="336"/>
      <c r="AB65" s="336"/>
    </row>
    <row r="66" ht="15.75" customHeight="1">
      <c r="A66" s="337">
        <v>57.0</v>
      </c>
      <c r="B66" s="111" t="s">
        <v>165</v>
      </c>
      <c r="C66" s="112" t="s">
        <v>166</v>
      </c>
      <c r="D66" s="327"/>
      <c r="E66" s="327"/>
      <c r="F66" s="328"/>
      <c r="G66" s="327"/>
      <c r="H66" s="330">
        <f>'401'!D66</f>
        <v>30</v>
      </c>
      <c r="I66" s="331">
        <f>'402'!D66</f>
        <v>27</v>
      </c>
      <c r="J66" s="332">
        <f>'402 L'!D67</f>
        <v>9</v>
      </c>
      <c r="K66" s="333">
        <f>'403'!D66</f>
        <v>29</v>
      </c>
      <c r="L66" s="332">
        <f>'403 L'!D67</f>
        <v>9</v>
      </c>
      <c r="M66" s="333">
        <f>'404'!D66</f>
        <v>27</v>
      </c>
      <c r="N66" s="332">
        <f>'404 L'!D67</f>
        <v>5</v>
      </c>
      <c r="O66" s="333">
        <f>'405'!D66</f>
        <v>25</v>
      </c>
      <c r="P66" s="332">
        <f>'405 L'!D67</f>
        <v>10</v>
      </c>
      <c r="Q66" s="332">
        <f>'406 L'!D67</f>
        <v>13</v>
      </c>
      <c r="R66" s="332">
        <f t="shared" si="1"/>
        <v>138</v>
      </c>
      <c r="S66" s="332">
        <f t="shared" si="2"/>
        <v>46</v>
      </c>
      <c r="T66" s="334">
        <f t="shared" si="3"/>
        <v>184</v>
      </c>
      <c r="U66" s="348">
        <f t="shared" si="5"/>
        <v>73</v>
      </c>
      <c r="V66" s="336"/>
      <c r="W66" s="336"/>
      <c r="X66" s="336"/>
      <c r="Y66" s="336"/>
      <c r="Z66" s="336"/>
      <c r="AA66" s="336"/>
      <c r="AB66" s="336"/>
    </row>
    <row r="67" ht="15.75" customHeight="1">
      <c r="A67" s="345">
        <v>58.0</v>
      </c>
      <c r="B67" s="111" t="s">
        <v>167</v>
      </c>
      <c r="C67" s="112" t="s">
        <v>168</v>
      </c>
      <c r="D67" s="327"/>
      <c r="E67" s="346">
        <v>7.0</v>
      </c>
      <c r="F67" s="328"/>
      <c r="G67" s="327"/>
      <c r="H67" s="330">
        <f>'401'!D67</f>
        <v>31</v>
      </c>
      <c r="I67" s="331">
        <f>'402'!D67</f>
        <v>26</v>
      </c>
      <c r="J67" s="332">
        <f>'402 L'!D68</f>
        <v>8</v>
      </c>
      <c r="K67" s="333">
        <f>'403'!D67</f>
        <v>30</v>
      </c>
      <c r="L67" s="332">
        <f>'403 L'!D68</f>
        <v>11</v>
      </c>
      <c r="M67" s="333">
        <f>'404'!D67</f>
        <v>23</v>
      </c>
      <c r="N67" s="332">
        <f>'404 L'!D68</f>
        <v>7</v>
      </c>
      <c r="O67" s="333">
        <f>'405'!D67</f>
        <v>28</v>
      </c>
      <c r="P67" s="332">
        <f>'405 L'!D68</f>
        <v>12</v>
      </c>
      <c r="Q67" s="332">
        <f>'406 L'!D68</f>
        <v>9</v>
      </c>
      <c r="R67" s="332">
        <f t="shared" si="1"/>
        <v>138</v>
      </c>
      <c r="S67" s="332">
        <f t="shared" si="2"/>
        <v>47</v>
      </c>
      <c r="T67" s="334">
        <f t="shared" si="3"/>
        <v>192</v>
      </c>
      <c r="U67" s="348">
        <f t="shared" si="5"/>
        <v>76</v>
      </c>
      <c r="V67" s="336"/>
      <c r="W67" s="336"/>
      <c r="X67" s="336"/>
      <c r="Y67" s="336"/>
      <c r="Z67" s="336"/>
      <c r="AA67" s="336"/>
      <c r="AB67" s="336"/>
    </row>
    <row r="68" ht="15.75" customHeight="1">
      <c r="A68" s="326">
        <v>59.0</v>
      </c>
      <c r="B68" s="111" t="s">
        <v>169</v>
      </c>
      <c r="C68" s="112" t="s">
        <v>170</v>
      </c>
      <c r="D68" s="327"/>
      <c r="E68" s="327"/>
      <c r="F68" s="328"/>
      <c r="G68" s="327"/>
      <c r="H68" s="330">
        <f>'401'!D68</f>
        <v>22</v>
      </c>
      <c r="I68" s="331">
        <f>'402'!D68</f>
        <v>21</v>
      </c>
      <c r="J68" s="332">
        <f>'402 L'!D69</f>
        <v>6</v>
      </c>
      <c r="K68" s="333">
        <f>'403'!D68</f>
        <v>23</v>
      </c>
      <c r="L68" s="332">
        <f>'403 L'!D69</f>
        <v>5</v>
      </c>
      <c r="M68" s="333">
        <f>'404'!D68</f>
        <v>15</v>
      </c>
      <c r="N68" s="332">
        <f>'404 L'!D69</f>
        <v>6</v>
      </c>
      <c r="O68" s="333">
        <f>'405'!D68</f>
        <v>24</v>
      </c>
      <c r="P68" s="332">
        <f>'405 L'!D69</f>
        <v>9</v>
      </c>
      <c r="Q68" s="332">
        <f>'406 L'!D69</f>
        <v>9</v>
      </c>
      <c r="R68" s="332">
        <f t="shared" si="1"/>
        <v>105</v>
      </c>
      <c r="S68" s="332">
        <f t="shared" si="2"/>
        <v>35</v>
      </c>
      <c r="T68" s="334">
        <f t="shared" si="3"/>
        <v>140</v>
      </c>
      <c r="U68" s="348">
        <f t="shared" si="5"/>
        <v>56</v>
      </c>
      <c r="V68" s="336"/>
      <c r="W68" s="336"/>
      <c r="X68" s="336"/>
      <c r="Y68" s="336"/>
      <c r="Z68" s="336"/>
      <c r="AA68" s="336"/>
      <c r="AB68" s="336"/>
    </row>
    <row r="69" ht="15.75" customHeight="1">
      <c r="A69" s="337">
        <v>60.0</v>
      </c>
      <c r="B69" s="111" t="s">
        <v>171</v>
      </c>
      <c r="C69" s="112" t="s">
        <v>172</v>
      </c>
      <c r="D69" s="327"/>
      <c r="E69" s="346">
        <v>42.0</v>
      </c>
      <c r="F69" s="328"/>
      <c r="G69" s="327"/>
      <c r="H69" s="330">
        <f>'401'!D69</f>
        <v>14</v>
      </c>
      <c r="I69" s="331">
        <f>'402'!D69</f>
        <v>18</v>
      </c>
      <c r="J69" s="332">
        <f>'402 L'!D70</f>
        <v>6</v>
      </c>
      <c r="K69" s="333">
        <f>'403'!D69</f>
        <v>11</v>
      </c>
      <c r="L69" s="332">
        <f>'403 L'!D70</f>
        <v>1</v>
      </c>
      <c r="M69" s="333">
        <f>'404'!D69</f>
        <v>14</v>
      </c>
      <c r="N69" s="332">
        <f>'404 L'!D70</f>
        <v>5</v>
      </c>
      <c r="O69" s="333">
        <f>'405'!D69</f>
        <v>23</v>
      </c>
      <c r="P69" s="332">
        <f>'405 L'!D70</f>
        <v>7</v>
      </c>
      <c r="Q69" s="332">
        <f>'406 L'!D70</f>
        <v>7</v>
      </c>
      <c r="R69" s="332">
        <f t="shared" si="1"/>
        <v>80</v>
      </c>
      <c r="S69" s="332">
        <f t="shared" si="2"/>
        <v>26</v>
      </c>
      <c r="T69" s="334">
        <f t="shared" si="3"/>
        <v>148</v>
      </c>
      <c r="U69" s="348">
        <f t="shared" si="5"/>
        <v>59</v>
      </c>
      <c r="V69" s="336"/>
      <c r="W69" s="336"/>
      <c r="X69" s="336"/>
      <c r="Y69" s="336"/>
      <c r="Z69" s="336"/>
      <c r="AA69" s="336"/>
      <c r="AB69" s="336"/>
    </row>
    <row r="70" ht="15.75" customHeight="1">
      <c r="A70" s="345">
        <v>61.0</v>
      </c>
      <c r="B70" s="111" t="s">
        <v>173</v>
      </c>
      <c r="C70" s="112" t="s">
        <v>174</v>
      </c>
      <c r="D70" s="327"/>
      <c r="E70" s="346">
        <v>14.0</v>
      </c>
      <c r="F70" s="328"/>
      <c r="G70" s="327"/>
      <c r="H70" s="330">
        <f>'401'!D70</f>
        <v>18</v>
      </c>
      <c r="I70" s="331">
        <f>'402'!D70</f>
        <v>13</v>
      </c>
      <c r="J70" s="332">
        <f>'402 L'!D71</f>
        <v>3</v>
      </c>
      <c r="K70" s="333">
        <f>'403'!D70</f>
        <v>17</v>
      </c>
      <c r="L70" s="332">
        <f>'403 L'!D71</f>
        <v>2</v>
      </c>
      <c r="M70" s="333">
        <f>'404'!D70</f>
        <v>12</v>
      </c>
      <c r="N70" s="332">
        <f>'404 L'!D71</f>
        <v>5</v>
      </c>
      <c r="O70" s="333">
        <f>'405'!D70</f>
        <v>15</v>
      </c>
      <c r="P70" s="332">
        <f>'405 L'!D71</f>
        <v>6</v>
      </c>
      <c r="Q70" s="332">
        <f>'406 L'!D71</f>
        <v>4</v>
      </c>
      <c r="R70" s="332">
        <f t="shared" si="1"/>
        <v>75</v>
      </c>
      <c r="S70" s="332">
        <f t="shared" si="2"/>
        <v>20</v>
      </c>
      <c r="T70" s="334">
        <f t="shared" si="3"/>
        <v>109</v>
      </c>
      <c r="U70" s="348">
        <f t="shared" si="5"/>
        <v>43</v>
      </c>
      <c r="V70" s="336"/>
      <c r="W70" s="336"/>
      <c r="X70" s="336"/>
      <c r="Y70" s="336"/>
      <c r="Z70" s="336"/>
      <c r="AA70" s="336"/>
      <c r="AB70" s="336"/>
    </row>
    <row r="71" ht="15.75" customHeight="1">
      <c r="A71" s="326">
        <v>62.0</v>
      </c>
      <c r="B71" s="356" t="s">
        <v>175</v>
      </c>
      <c r="C71" s="357" t="s">
        <v>176</v>
      </c>
      <c r="D71" s="327"/>
      <c r="E71" s="327"/>
      <c r="F71" s="328"/>
      <c r="G71" s="327"/>
      <c r="H71" s="330">
        <f>'401'!D71</f>
        <v>3</v>
      </c>
      <c r="I71" s="331">
        <f>'402'!D71</f>
        <v>3</v>
      </c>
      <c r="J71" s="332">
        <f>'402 L'!D72</f>
        <v>1</v>
      </c>
      <c r="K71" s="333">
        <f>'403'!D71</f>
        <v>1</v>
      </c>
      <c r="L71" s="332">
        <f>'403 L'!D72</f>
        <v>0</v>
      </c>
      <c r="M71" s="333">
        <f>'404'!D71</f>
        <v>5</v>
      </c>
      <c r="N71" s="332">
        <f>'404 L'!D72</f>
        <v>4</v>
      </c>
      <c r="O71" s="333">
        <f>'405'!D71</f>
        <v>1</v>
      </c>
      <c r="P71" s="332">
        <f>'405 L'!D72</f>
        <v>1</v>
      </c>
      <c r="Q71" s="332">
        <f>'406 L'!D72</f>
        <v>1</v>
      </c>
      <c r="R71" s="332">
        <f t="shared" si="1"/>
        <v>13</v>
      </c>
      <c r="S71" s="332">
        <f t="shared" si="2"/>
        <v>7</v>
      </c>
      <c r="T71" s="334">
        <f t="shared" si="3"/>
        <v>20</v>
      </c>
      <c r="U71" s="348">
        <f t="shared" si="5"/>
        <v>8</v>
      </c>
      <c r="V71" s="336"/>
      <c r="W71" s="336"/>
      <c r="X71" s="336"/>
      <c r="Y71" s="336"/>
      <c r="Z71" s="336"/>
      <c r="AA71" s="336"/>
      <c r="AB71" s="336"/>
    </row>
    <row r="72" ht="15.75" customHeight="1">
      <c r="A72" s="337">
        <v>63.0</v>
      </c>
      <c r="B72" s="111" t="s">
        <v>177</v>
      </c>
      <c r="C72" s="112" t="s">
        <v>178</v>
      </c>
      <c r="D72" s="327"/>
      <c r="E72" s="346">
        <v>19.0</v>
      </c>
      <c r="F72" s="328"/>
      <c r="G72" s="327"/>
      <c r="H72" s="330">
        <f>'401'!D72</f>
        <v>18</v>
      </c>
      <c r="I72" s="331">
        <f>'402'!D72</f>
        <v>12</v>
      </c>
      <c r="J72" s="332">
        <f>'402 L'!D73</f>
        <v>7</v>
      </c>
      <c r="K72" s="333">
        <f>'403'!D72</f>
        <v>17</v>
      </c>
      <c r="L72" s="332">
        <f>'403 L'!D73</f>
        <v>5</v>
      </c>
      <c r="M72" s="333">
        <f>'404'!D72</f>
        <v>15</v>
      </c>
      <c r="N72" s="332">
        <f>'404 L'!D73</f>
        <v>6</v>
      </c>
      <c r="O72" s="333">
        <f>'405'!D72</f>
        <v>14</v>
      </c>
      <c r="P72" s="332">
        <f>'405 L'!D73</f>
        <v>7</v>
      </c>
      <c r="Q72" s="332">
        <f>'406 L'!D73</f>
        <v>5</v>
      </c>
      <c r="R72" s="332">
        <f t="shared" si="1"/>
        <v>76</v>
      </c>
      <c r="S72" s="332">
        <f t="shared" si="2"/>
        <v>30</v>
      </c>
      <c r="T72" s="334">
        <f t="shared" si="3"/>
        <v>125</v>
      </c>
      <c r="U72" s="348">
        <f t="shared" si="5"/>
        <v>50</v>
      </c>
      <c r="V72" s="336"/>
      <c r="W72" s="336"/>
      <c r="X72" s="336"/>
      <c r="Y72" s="336"/>
      <c r="Z72" s="336"/>
      <c r="AA72" s="336"/>
      <c r="AB72" s="336"/>
    </row>
    <row r="73" ht="15.75" customHeight="1">
      <c r="A73" s="345">
        <v>64.0</v>
      </c>
      <c r="B73" s="111" t="s">
        <v>179</v>
      </c>
      <c r="C73" s="112" t="s">
        <v>180</v>
      </c>
      <c r="D73" s="327"/>
      <c r="E73" s="327"/>
      <c r="F73" s="328"/>
      <c r="G73" s="327"/>
      <c r="H73" s="330">
        <f>'401'!D73</f>
        <v>22</v>
      </c>
      <c r="I73" s="331">
        <f>'402'!D73</f>
        <v>19</v>
      </c>
      <c r="J73" s="332">
        <f>'402 L'!D74</f>
        <v>9</v>
      </c>
      <c r="K73" s="333">
        <f>'403'!D73</f>
        <v>22</v>
      </c>
      <c r="L73" s="332">
        <f>'403 L'!D74</f>
        <v>3</v>
      </c>
      <c r="M73" s="333">
        <f>'404'!D73</f>
        <v>20</v>
      </c>
      <c r="N73" s="332">
        <f>'404 L'!D74</f>
        <v>7</v>
      </c>
      <c r="O73" s="333">
        <f>'405'!D73</f>
        <v>24</v>
      </c>
      <c r="P73" s="332">
        <f>'405 L'!D74</f>
        <v>9</v>
      </c>
      <c r="Q73" s="332">
        <f>'406 L'!D74</f>
        <v>11</v>
      </c>
      <c r="R73" s="332">
        <f t="shared" si="1"/>
        <v>107</v>
      </c>
      <c r="S73" s="332">
        <f t="shared" si="2"/>
        <v>39</v>
      </c>
      <c r="T73" s="334">
        <f t="shared" si="3"/>
        <v>146</v>
      </c>
      <c r="U73" s="348">
        <f t="shared" si="5"/>
        <v>58</v>
      </c>
      <c r="V73" s="336"/>
      <c r="W73" s="336"/>
      <c r="X73" s="336"/>
      <c r="Y73" s="336"/>
      <c r="Z73" s="336"/>
      <c r="AA73" s="336"/>
      <c r="AB73" s="336"/>
    </row>
    <row r="74" ht="15.75" customHeight="1">
      <c r="A74" s="326">
        <v>65.0</v>
      </c>
      <c r="B74" s="111" t="s">
        <v>181</v>
      </c>
      <c r="C74" s="112" t="s">
        <v>182</v>
      </c>
      <c r="D74" s="327"/>
      <c r="E74" s="327"/>
      <c r="F74" s="328"/>
      <c r="G74" s="327"/>
      <c r="H74" s="330">
        <f>'401'!D74</f>
        <v>23</v>
      </c>
      <c r="I74" s="331">
        <f>'402'!D74</f>
        <v>19</v>
      </c>
      <c r="J74" s="332">
        <f>'402 L'!D75</f>
        <v>8</v>
      </c>
      <c r="K74" s="333">
        <f>'403'!D74</f>
        <v>18</v>
      </c>
      <c r="L74" s="332">
        <f>'403 L'!D75</f>
        <v>5</v>
      </c>
      <c r="M74" s="333">
        <f>'404'!D74</f>
        <v>20</v>
      </c>
      <c r="N74" s="332">
        <f>'404 L'!D75</f>
        <v>7</v>
      </c>
      <c r="O74" s="333">
        <f>'405'!D74</f>
        <v>17</v>
      </c>
      <c r="P74" s="332">
        <f>'405 L'!D75</f>
        <v>8</v>
      </c>
      <c r="Q74" s="332">
        <f>'406 L'!D75</f>
        <v>8</v>
      </c>
      <c r="R74" s="332">
        <f t="shared" si="1"/>
        <v>97</v>
      </c>
      <c r="S74" s="332">
        <f t="shared" si="2"/>
        <v>36</v>
      </c>
      <c r="T74" s="334">
        <f t="shared" si="3"/>
        <v>133</v>
      </c>
      <c r="U74" s="348">
        <f t="shared" si="5"/>
        <v>53</v>
      </c>
      <c r="V74" s="336"/>
      <c r="W74" s="336"/>
      <c r="X74" s="336"/>
      <c r="Y74" s="336"/>
      <c r="Z74" s="336"/>
      <c r="AA74" s="336"/>
      <c r="AB74" s="336"/>
    </row>
    <row r="75" ht="15.75" customHeight="1">
      <c r="A75" s="337">
        <v>66.0</v>
      </c>
      <c r="B75" s="356" t="s">
        <v>183</v>
      </c>
      <c r="C75" s="357" t="s">
        <v>184</v>
      </c>
      <c r="D75" s="327"/>
      <c r="E75" s="327"/>
      <c r="F75" s="328"/>
      <c r="G75" s="327"/>
      <c r="H75" s="330">
        <f>'401'!D75</f>
        <v>6</v>
      </c>
      <c r="I75" s="331">
        <f>'402'!D75</f>
        <v>0</v>
      </c>
      <c r="J75" s="332">
        <f>'402 L'!D76</f>
        <v>1</v>
      </c>
      <c r="K75" s="333">
        <f>'403'!D75</f>
        <v>0</v>
      </c>
      <c r="L75" s="332">
        <f>'403 L'!D76</f>
        <v>0</v>
      </c>
      <c r="M75" s="333">
        <f>'404'!D75</f>
        <v>1</v>
      </c>
      <c r="N75" s="332">
        <f>'404 L'!D76</f>
        <v>0</v>
      </c>
      <c r="O75" s="333">
        <f>'405'!D75</f>
        <v>2</v>
      </c>
      <c r="P75" s="332">
        <f>'405 L'!D76</f>
        <v>1</v>
      </c>
      <c r="Q75" s="332">
        <f>'406 L'!D76</f>
        <v>0</v>
      </c>
      <c r="R75" s="332">
        <f t="shared" si="1"/>
        <v>9</v>
      </c>
      <c r="S75" s="332">
        <f t="shared" si="2"/>
        <v>2</v>
      </c>
      <c r="T75" s="334">
        <f t="shared" si="3"/>
        <v>11</v>
      </c>
      <c r="U75" s="348">
        <f t="shared" si="5"/>
        <v>4</v>
      </c>
      <c r="V75" s="336"/>
      <c r="W75" s="336"/>
      <c r="X75" s="336"/>
      <c r="Y75" s="336"/>
      <c r="Z75" s="336"/>
      <c r="AA75" s="336"/>
      <c r="AB75" s="336"/>
    </row>
    <row r="76" ht="15.75" customHeight="1">
      <c r="A76" s="345">
        <v>67.0</v>
      </c>
      <c r="B76" s="111" t="s">
        <v>185</v>
      </c>
      <c r="C76" s="112" t="s">
        <v>186</v>
      </c>
      <c r="D76" s="327"/>
      <c r="E76" s="327"/>
      <c r="F76" s="328"/>
      <c r="G76" s="327"/>
      <c r="H76" s="330">
        <f>'401'!D76</f>
        <v>19</v>
      </c>
      <c r="I76" s="331">
        <f>'402'!D76</f>
        <v>21</v>
      </c>
      <c r="J76" s="332">
        <f>'402 L'!D77</f>
        <v>7</v>
      </c>
      <c r="K76" s="333">
        <f>'403'!D76</f>
        <v>19</v>
      </c>
      <c r="L76" s="332">
        <f>'403 L'!D77</f>
        <v>8</v>
      </c>
      <c r="M76" s="333">
        <f>'404'!D76</f>
        <v>21</v>
      </c>
      <c r="N76" s="332">
        <f>'404 L'!D77</f>
        <v>4</v>
      </c>
      <c r="O76" s="333">
        <f>'405'!D76</f>
        <v>23</v>
      </c>
      <c r="P76" s="332">
        <f>'405 L'!D77</f>
        <v>8</v>
      </c>
      <c r="Q76" s="332">
        <f>'406 L'!D77</f>
        <v>7</v>
      </c>
      <c r="R76" s="332">
        <f t="shared" si="1"/>
        <v>103</v>
      </c>
      <c r="S76" s="332">
        <f t="shared" si="2"/>
        <v>34</v>
      </c>
      <c r="T76" s="334">
        <f t="shared" si="3"/>
        <v>137</v>
      </c>
      <c r="U76" s="348">
        <f t="shared" si="5"/>
        <v>54</v>
      </c>
      <c r="V76" s="336"/>
      <c r="W76" s="336"/>
      <c r="X76" s="336"/>
      <c r="Y76" s="336"/>
      <c r="Z76" s="336"/>
      <c r="AA76" s="336"/>
      <c r="AB76" s="336"/>
    </row>
    <row r="77" ht="15.75" customHeight="1">
      <c r="A77" s="326">
        <v>68.0</v>
      </c>
      <c r="B77" s="161" t="s">
        <v>187</v>
      </c>
      <c r="C77" s="162" t="s">
        <v>188</v>
      </c>
      <c r="D77" s="327"/>
      <c r="E77" s="346">
        <v>14.0</v>
      </c>
      <c r="F77" s="328"/>
      <c r="G77" s="327"/>
      <c r="H77" s="330">
        <f>'401'!D77</f>
        <v>16</v>
      </c>
      <c r="I77" s="331">
        <f>'402'!D77</f>
        <v>13</v>
      </c>
      <c r="J77" s="332">
        <f>'402 L'!D78</f>
        <v>2</v>
      </c>
      <c r="K77" s="333">
        <f>'403'!D77</f>
        <v>14</v>
      </c>
      <c r="L77" s="332">
        <f>'403 L'!D78</f>
        <v>3</v>
      </c>
      <c r="M77" s="333">
        <f>'404'!D77</f>
        <v>11</v>
      </c>
      <c r="N77" s="332">
        <f>'404 L'!D78</f>
        <v>5</v>
      </c>
      <c r="O77" s="333">
        <f>'405'!D77</f>
        <v>18</v>
      </c>
      <c r="P77" s="332">
        <f>'405 L'!D78</f>
        <v>7</v>
      </c>
      <c r="Q77" s="332">
        <f>'406 L'!D78</f>
        <v>9</v>
      </c>
      <c r="R77" s="332">
        <f t="shared" si="1"/>
        <v>72</v>
      </c>
      <c r="S77" s="332">
        <f t="shared" si="2"/>
        <v>26</v>
      </c>
      <c r="T77" s="334">
        <f t="shared" si="3"/>
        <v>112</v>
      </c>
      <c r="U77" s="348">
        <f t="shared" si="5"/>
        <v>44</v>
      </c>
      <c r="V77" s="336"/>
      <c r="W77" s="336"/>
      <c r="X77" s="336"/>
      <c r="Y77" s="336"/>
      <c r="Z77" s="336"/>
      <c r="AA77" s="336"/>
      <c r="AB77" s="336"/>
    </row>
    <row r="78" ht="15.75" customHeight="1">
      <c r="A78" s="337">
        <v>69.0</v>
      </c>
      <c r="B78" s="161" t="s">
        <v>189</v>
      </c>
      <c r="C78" s="162" t="s">
        <v>190</v>
      </c>
      <c r="D78" s="327"/>
      <c r="E78" s="349">
        <v>7.0</v>
      </c>
      <c r="F78" s="328"/>
      <c r="G78" s="327"/>
      <c r="H78" s="330">
        <f>'401'!D78</f>
        <v>13</v>
      </c>
      <c r="I78" s="331">
        <f>'402'!D78</f>
        <v>6</v>
      </c>
      <c r="J78" s="332">
        <f>'402 L'!D79</f>
        <v>3</v>
      </c>
      <c r="K78" s="333">
        <f>'403'!D78</f>
        <v>14</v>
      </c>
      <c r="L78" s="332">
        <f>'403 L'!D79</f>
        <v>3</v>
      </c>
      <c r="M78" s="333">
        <f>'404'!D78</f>
        <v>9</v>
      </c>
      <c r="N78" s="332">
        <f>'404 L'!D79</f>
        <v>5</v>
      </c>
      <c r="O78" s="333">
        <f>'405'!D78</f>
        <v>11</v>
      </c>
      <c r="P78" s="332">
        <f>'405 L'!D79</f>
        <v>4</v>
      </c>
      <c r="Q78" s="332">
        <f>'406 L'!D79</f>
        <v>2</v>
      </c>
      <c r="R78" s="332">
        <f t="shared" si="1"/>
        <v>53</v>
      </c>
      <c r="S78" s="332">
        <f t="shared" si="2"/>
        <v>17</v>
      </c>
      <c r="T78" s="334">
        <f t="shared" si="3"/>
        <v>77</v>
      </c>
      <c r="U78" s="348">
        <f t="shared" si="5"/>
        <v>31</v>
      </c>
      <c r="V78" s="336"/>
      <c r="W78" s="336"/>
      <c r="X78" s="336"/>
      <c r="Y78" s="336"/>
      <c r="Z78" s="336"/>
      <c r="AA78" s="336"/>
      <c r="AB78" s="336"/>
    </row>
    <row r="79" ht="15.75" customHeight="1">
      <c r="A79" s="345">
        <v>70.0</v>
      </c>
      <c r="B79" s="111" t="s">
        <v>191</v>
      </c>
      <c r="C79" s="112" t="s">
        <v>192</v>
      </c>
      <c r="D79" s="327"/>
      <c r="E79" s="349">
        <v>20.0</v>
      </c>
      <c r="F79" s="347" t="s">
        <v>260</v>
      </c>
      <c r="G79" s="327"/>
      <c r="H79" s="330">
        <f>'401'!D79</f>
        <v>23</v>
      </c>
      <c r="I79" s="331">
        <f>'402'!D79</f>
        <v>25</v>
      </c>
      <c r="J79" s="332">
        <f>'402 L'!D80</f>
        <v>9</v>
      </c>
      <c r="K79" s="333">
        <f>'403'!D79</f>
        <v>20</v>
      </c>
      <c r="L79" s="332">
        <f>'403 L'!D80</f>
        <v>5</v>
      </c>
      <c r="M79" s="333">
        <f>'404'!D79</f>
        <v>21</v>
      </c>
      <c r="N79" s="332">
        <f>'404 L'!D80</f>
        <v>5</v>
      </c>
      <c r="O79" s="333">
        <f>'405'!D79</f>
        <v>25</v>
      </c>
      <c r="P79" s="332">
        <f>'405 L'!D80</f>
        <v>7</v>
      </c>
      <c r="Q79" s="332">
        <f>'406 L'!D80</f>
        <v>6</v>
      </c>
      <c r="R79" s="332">
        <f t="shared" si="1"/>
        <v>114</v>
      </c>
      <c r="S79" s="332">
        <f t="shared" si="2"/>
        <v>32</v>
      </c>
      <c r="T79" s="334">
        <f t="shared" si="3"/>
        <v>166</v>
      </c>
      <c r="U79" s="348">
        <f t="shared" si="5"/>
        <v>66</v>
      </c>
      <c r="V79" s="336"/>
      <c r="W79" s="336"/>
      <c r="X79" s="336"/>
      <c r="Y79" s="336"/>
      <c r="Z79" s="336"/>
      <c r="AA79" s="336"/>
      <c r="AB79" s="336"/>
    </row>
    <row r="80" ht="15.75" customHeight="1">
      <c r="A80" s="326">
        <v>71.0</v>
      </c>
      <c r="B80" s="111" t="s">
        <v>193</v>
      </c>
      <c r="C80" s="112" t="s">
        <v>194</v>
      </c>
      <c r="D80" s="327"/>
      <c r="E80" s="349">
        <v>30.0</v>
      </c>
      <c r="F80" s="347" t="s">
        <v>260</v>
      </c>
      <c r="G80" s="327"/>
      <c r="H80" s="330">
        <f>'401'!D80</f>
        <v>28</v>
      </c>
      <c r="I80" s="331">
        <f>'402'!D80</f>
        <v>20</v>
      </c>
      <c r="J80" s="332">
        <f>'402 L'!D81</f>
        <v>7</v>
      </c>
      <c r="K80" s="333">
        <f>'403'!D80</f>
        <v>24</v>
      </c>
      <c r="L80" s="332">
        <f>'403 L'!D81</f>
        <v>5</v>
      </c>
      <c r="M80" s="333">
        <f>'404'!D80</f>
        <v>20</v>
      </c>
      <c r="N80" s="332">
        <f>'404 L'!D81</f>
        <v>8</v>
      </c>
      <c r="O80" s="333">
        <f>'405'!D80</f>
        <v>27</v>
      </c>
      <c r="P80" s="332">
        <f>'405 L'!D81</f>
        <v>9</v>
      </c>
      <c r="Q80" s="332">
        <f>'406 L'!D81</f>
        <v>10</v>
      </c>
      <c r="R80" s="332">
        <f t="shared" si="1"/>
        <v>119</v>
      </c>
      <c r="S80" s="332">
        <f t="shared" si="2"/>
        <v>39</v>
      </c>
      <c r="T80" s="334">
        <f t="shared" si="3"/>
        <v>188</v>
      </c>
      <c r="U80" s="348">
        <f t="shared" si="5"/>
        <v>75</v>
      </c>
      <c r="V80" s="336"/>
      <c r="W80" s="336"/>
      <c r="X80" s="336"/>
      <c r="Y80" s="336"/>
      <c r="Z80" s="336"/>
      <c r="AA80" s="336"/>
      <c r="AB80" s="336"/>
    </row>
    <row r="81" ht="15.75" customHeight="1">
      <c r="A81" s="337">
        <v>72.0</v>
      </c>
      <c r="B81" s="350" t="s">
        <v>195</v>
      </c>
      <c r="C81" s="351" t="s">
        <v>196</v>
      </c>
      <c r="D81" s="327"/>
      <c r="E81" s="346">
        <v>14.0</v>
      </c>
      <c r="F81" s="328"/>
      <c r="G81" s="327"/>
      <c r="H81" s="330">
        <f>'401'!D81</f>
        <v>0</v>
      </c>
      <c r="I81" s="331">
        <f>'402'!D81</f>
        <v>0</v>
      </c>
      <c r="J81" s="332">
        <f>'402 L'!D82</f>
        <v>1</v>
      </c>
      <c r="K81" s="333">
        <f>'403'!D81</f>
        <v>10</v>
      </c>
      <c r="L81" s="332">
        <f>'403 L'!D82</f>
        <v>2</v>
      </c>
      <c r="M81" s="333">
        <f>'404'!D81</f>
        <v>3</v>
      </c>
      <c r="N81" s="332">
        <f>'404 L'!D82</f>
        <v>1</v>
      </c>
      <c r="O81" s="333">
        <f>'405'!D81</f>
        <v>12</v>
      </c>
      <c r="P81" s="332">
        <f>'405 L'!D82</f>
        <v>2</v>
      </c>
      <c r="Q81" s="332">
        <f>'406 L'!D82</f>
        <v>1</v>
      </c>
      <c r="R81" s="332">
        <f t="shared" si="1"/>
        <v>25</v>
      </c>
      <c r="S81" s="332">
        <f t="shared" si="2"/>
        <v>7</v>
      </c>
      <c r="T81" s="334">
        <f t="shared" si="3"/>
        <v>46</v>
      </c>
      <c r="U81" s="348">
        <f t="shared" si="5"/>
        <v>18</v>
      </c>
      <c r="V81" s="336"/>
      <c r="W81" s="336"/>
      <c r="X81" s="336"/>
      <c r="Y81" s="336"/>
      <c r="Z81" s="336"/>
      <c r="AA81" s="336"/>
      <c r="AB81" s="336"/>
    </row>
    <row r="82" ht="15.75" customHeight="1">
      <c r="A82" s="345">
        <v>73.0</v>
      </c>
      <c r="B82" s="111" t="s">
        <v>197</v>
      </c>
      <c r="C82" s="112" t="s">
        <v>198</v>
      </c>
      <c r="D82" s="327"/>
      <c r="E82" s="327"/>
      <c r="F82" s="328"/>
      <c r="G82" s="327"/>
      <c r="H82" s="330">
        <f>'401'!D82</f>
        <v>8</v>
      </c>
      <c r="I82" s="331">
        <f>'402'!D82</f>
        <v>0</v>
      </c>
      <c r="J82" s="332">
        <f>'402 L'!D83</f>
        <v>2</v>
      </c>
      <c r="K82" s="333">
        <f>'403'!D82</f>
        <v>8</v>
      </c>
      <c r="L82" s="332">
        <f>'403 L'!D83</f>
        <v>2</v>
      </c>
      <c r="M82" s="333">
        <f>'404'!D82</f>
        <v>5</v>
      </c>
      <c r="N82" s="332">
        <f>'404 L'!D83</f>
        <v>3</v>
      </c>
      <c r="O82" s="333">
        <f>'405'!D82</f>
        <v>10</v>
      </c>
      <c r="P82" s="332">
        <f>'405 L'!D83</f>
        <v>4</v>
      </c>
      <c r="Q82" s="332">
        <f>'406 L'!D83</f>
        <v>2</v>
      </c>
      <c r="R82" s="332">
        <f t="shared" si="1"/>
        <v>31</v>
      </c>
      <c r="S82" s="332">
        <f t="shared" si="2"/>
        <v>13</v>
      </c>
      <c r="T82" s="334">
        <f t="shared" si="3"/>
        <v>44</v>
      </c>
      <c r="U82" s="348">
        <f t="shared" si="5"/>
        <v>17</v>
      </c>
      <c r="V82" s="336"/>
      <c r="W82" s="336"/>
      <c r="X82" s="336"/>
      <c r="Y82" s="336"/>
      <c r="Z82" s="336"/>
      <c r="AA82" s="336"/>
      <c r="AB82" s="336"/>
    </row>
    <row r="83" ht="15.75" customHeight="1">
      <c r="A83" s="326">
        <v>74.0</v>
      </c>
      <c r="B83" s="111" t="s">
        <v>199</v>
      </c>
      <c r="C83" s="112" t="s">
        <v>200</v>
      </c>
      <c r="D83" s="327"/>
      <c r="E83" s="327"/>
      <c r="F83" s="328"/>
      <c r="G83" s="327"/>
      <c r="H83" s="330">
        <f>'401'!D83</f>
        <v>14</v>
      </c>
      <c r="I83" s="331">
        <f>'402'!D83</f>
        <v>6</v>
      </c>
      <c r="J83" s="332">
        <f>'402 L'!D84</f>
        <v>5</v>
      </c>
      <c r="K83" s="333">
        <f>'403'!D83</f>
        <v>13</v>
      </c>
      <c r="L83" s="332">
        <f>'403 L'!D84</f>
        <v>2</v>
      </c>
      <c r="M83" s="333">
        <f>'404'!D83</f>
        <v>6</v>
      </c>
      <c r="N83" s="332">
        <f>'404 L'!D84</f>
        <v>3</v>
      </c>
      <c r="O83" s="333">
        <f>'405'!D83</f>
        <v>11</v>
      </c>
      <c r="P83" s="332">
        <f>'405 L'!D84</f>
        <v>4</v>
      </c>
      <c r="Q83" s="332">
        <f>'406 L'!D84</f>
        <v>3</v>
      </c>
      <c r="R83" s="332">
        <f t="shared" si="1"/>
        <v>50</v>
      </c>
      <c r="S83" s="332">
        <f t="shared" si="2"/>
        <v>17</v>
      </c>
      <c r="T83" s="334">
        <f t="shared" si="3"/>
        <v>67</v>
      </c>
      <c r="U83" s="348">
        <f t="shared" si="5"/>
        <v>27</v>
      </c>
      <c r="V83" s="336"/>
      <c r="W83" s="336"/>
      <c r="X83" s="336"/>
      <c r="Y83" s="336"/>
      <c r="Z83" s="336"/>
      <c r="AA83" s="336"/>
      <c r="AB83" s="336"/>
    </row>
    <row r="84" ht="15.75" customHeight="1">
      <c r="A84" s="337">
        <v>75.0</v>
      </c>
      <c r="B84" s="111" t="s">
        <v>201</v>
      </c>
      <c r="C84" s="112" t="s">
        <v>202</v>
      </c>
      <c r="D84" s="327"/>
      <c r="E84" s="327"/>
      <c r="F84" s="328"/>
      <c r="G84" s="327"/>
      <c r="H84" s="330">
        <f>'401'!D84</f>
        <v>22</v>
      </c>
      <c r="I84" s="331">
        <f>'402'!D84</f>
        <v>6</v>
      </c>
      <c r="J84" s="332">
        <f>'402 L'!D85</f>
        <v>5</v>
      </c>
      <c r="K84" s="333">
        <f>'403'!D84</f>
        <v>12</v>
      </c>
      <c r="L84" s="332">
        <f>'403 L'!D85</f>
        <v>2</v>
      </c>
      <c r="M84" s="333">
        <f>'404'!D84</f>
        <v>11</v>
      </c>
      <c r="N84" s="332">
        <f>'404 L'!D85</f>
        <v>5</v>
      </c>
      <c r="O84" s="333">
        <f>'405'!D84</f>
        <v>11</v>
      </c>
      <c r="P84" s="332">
        <f>'405 L'!D85</f>
        <v>4</v>
      </c>
      <c r="Q84" s="332">
        <f>'406 L'!D85</f>
        <v>6</v>
      </c>
      <c r="R84" s="332">
        <f t="shared" si="1"/>
        <v>62</v>
      </c>
      <c r="S84" s="332">
        <f t="shared" si="2"/>
        <v>22</v>
      </c>
      <c r="T84" s="334">
        <f t="shared" si="3"/>
        <v>84</v>
      </c>
      <c r="U84" s="348">
        <f t="shared" si="5"/>
        <v>33</v>
      </c>
      <c r="V84" s="336"/>
      <c r="W84" s="336"/>
      <c r="X84" s="336"/>
      <c r="Y84" s="336"/>
      <c r="Z84" s="336"/>
      <c r="AA84" s="336"/>
      <c r="AB84" s="336"/>
    </row>
    <row r="85" ht="15.75" customHeight="1">
      <c r="A85" s="345">
        <v>76.0</v>
      </c>
      <c r="B85" s="111" t="s">
        <v>203</v>
      </c>
      <c r="C85" s="112" t="s">
        <v>204</v>
      </c>
      <c r="D85" s="327"/>
      <c r="E85" s="327"/>
      <c r="F85" s="328"/>
      <c r="G85" s="327"/>
      <c r="H85" s="330">
        <f>'401'!D85</f>
        <v>23</v>
      </c>
      <c r="I85" s="331">
        <f>'402'!D85</f>
        <v>9</v>
      </c>
      <c r="J85" s="332">
        <f>'402 L'!D86</f>
        <v>6</v>
      </c>
      <c r="K85" s="333">
        <f>'403'!D85</f>
        <v>14</v>
      </c>
      <c r="L85" s="332">
        <f>'403 L'!D86</f>
        <v>3</v>
      </c>
      <c r="M85" s="333">
        <f>'404'!D85</f>
        <v>12</v>
      </c>
      <c r="N85" s="332">
        <f>'404 L'!D86</f>
        <v>3</v>
      </c>
      <c r="O85" s="333">
        <f>'405'!D85</f>
        <v>16</v>
      </c>
      <c r="P85" s="332">
        <f>'405 L'!D86</f>
        <v>6</v>
      </c>
      <c r="Q85" s="332">
        <f>'406 L'!D86</f>
        <v>6</v>
      </c>
      <c r="R85" s="332">
        <f t="shared" si="1"/>
        <v>74</v>
      </c>
      <c r="S85" s="332">
        <f t="shared" si="2"/>
        <v>24</v>
      </c>
      <c r="T85" s="334">
        <f t="shared" si="3"/>
        <v>98</v>
      </c>
      <c r="U85" s="348">
        <f t="shared" si="5"/>
        <v>39</v>
      </c>
      <c r="V85" s="336"/>
      <c r="W85" s="336"/>
      <c r="X85" s="336"/>
      <c r="Y85" s="336"/>
      <c r="Z85" s="336"/>
      <c r="AA85" s="336"/>
      <c r="AB85" s="336"/>
    </row>
    <row r="86" ht="15.75" customHeight="1">
      <c r="A86" s="326">
        <v>77.0</v>
      </c>
      <c r="B86" s="352" t="s">
        <v>205</v>
      </c>
      <c r="C86" s="353" t="s">
        <v>206</v>
      </c>
      <c r="D86" s="327"/>
      <c r="E86" s="327"/>
      <c r="F86" s="328"/>
      <c r="G86" s="327"/>
      <c r="H86" s="330">
        <f>'401'!D86</f>
        <v>3</v>
      </c>
      <c r="I86" s="331">
        <f>'402'!D86</f>
        <v>0</v>
      </c>
      <c r="J86" s="332">
        <f>'402 L'!D87</f>
        <v>2</v>
      </c>
      <c r="K86" s="333">
        <f>'403'!D86</f>
        <v>12</v>
      </c>
      <c r="L86" s="332">
        <f>'403 L'!D87</f>
        <v>2</v>
      </c>
      <c r="M86" s="333">
        <f>'404'!D86</f>
        <v>3</v>
      </c>
      <c r="N86" s="332">
        <f>'404 L'!D87</f>
        <v>1</v>
      </c>
      <c r="O86" s="333">
        <f>'405'!D86</f>
        <v>15</v>
      </c>
      <c r="P86" s="332">
        <f>'405 L'!D87</f>
        <v>3</v>
      </c>
      <c r="Q86" s="332">
        <f>'406 L'!D87</f>
        <v>1</v>
      </c>
      <c r="R86" s="332">
        <f t="shared" si="1"/>
        <v>33</v>
      </c>
      <c r="S86" s="332">
        <f t="shared" si="2"/>
        <v>9</v>
      </c>
      <c r="T86" s="334">
        <f t="shared" si="3"/>
        <v>42</v>
      </c>
      <c r="U86" s="348">
        <f t="shared" si="5"/>
        <v>17</v>
      </c>
      <c r="V86" s="336"/>
      <c r="W86" s="336"/>
      <c r="X86" s="336"/>
      <c r="Y86" s="336"/>
      <c r="Z86" s="336"/>
      <c r="AA86" s="336"/>
      <c r="AB86" s="336"/>
    </row>
    <row r="87" ht="15.75" customHeight="1">
      <c r="A87" s="337">
        <v>78.0</v>
      </c>
      <c r="B87" s="111" t="s">
        <v>207</v>
      </c>
      <c r="C87" s="112" t="s">
        <v>208</v>
      </c>
      <c r="D87" s="327"/>
      <c r="E87" s="327"/>
      <c r="F87" s="328"/>
      <c r="G87" s="327"/>
      <c r="H87" s="330">
        <f>'401'!D87</f>
        <v>20</v>
      </c>
      <c r="I87" s="331">
        <f>'402'!D87</f>
        <v>19</v>
      </c>
      <c r="J87" s="332">
        <f>'402 L'!D88</f>
        <v>3</v>
      </c>
      <c r="K87" s="333">
        <f>'403'!D87</f>
        <v>23</v>
      </c>
      <c r="L87" s="332">
        <f>'403 L'!D88</f>
        <v>7</v>
      </c>
      <c r="M87" s="333">
        <f>'404'!D87</f>
        <v>16</v>
      </c>
      <c r="N87" s="332">
        <f>'404 L'!D88</f>
        <v>5</v>
      </c>
      <c r="O87" s="333">
        <f>'405'!D87</f>
        <v>20</v>
      </c>
      <c r="P87" s="332">
        <f>'405 L'!D88</f>
        <v>8</v>
      </c>
      <c r="Q87" s="332">
        <f>'406 L'!D88</f>
        <v>9</v>
      </c>
      <c r="R87" s="332">
        <f t="shared" si="1"/>
        <v>98</v>
      </c>
      <c r="S87" s="332">
        <f t="shared" si="2"/>
        <v>32</v>
      </c>
      <c r="T87" s="334">
        <f t="shared" si="3"/>
        <v>130</v>
      </c>
      <c r="U87" s="348">
        <f t="shared" si="5"/>
        <v>52</v>
      </c>
      <c r="V87" s="336"/>
      <c r="W87" s="336"/>
      <c r="X87" s="336"/>
      <c r="Y87" s="336"/>
      <c r="Z87" s="336"/>
      <c r="AA87" s="336"/>
      <c r="AB87" s="336"/>
    </row>
    <row r="88" ht="15.75" customHeight="1">
      <c r="A88" s="345">
        <v>79.0</v>
      </c>
      <c r="B88" s="111" t="s">
        <v>209</v>
      </c>
      <c r="C88" s="112" t="s">
        <v>210</v>
      </c>
      <c r="D88" s="327"/>
      <c r="E88" s="346">
        <v>14.0</v>
      </c>
      <c r="F88" s="328"/>
      <c r="G88" s="327"/>
      <c r="H88" s="330">
        <f>'401'!D88</f>
        <v>22</v>
      </c>
      <c r="I88" s="331">
        <f>'402'!D88</f>
        <v>14</v>
      </c>
      <c r="J88" s="332">
        <f>'402 L'!D89</f>
        <v>7</v>
      </c>
      <c r="K88" s="333">
        <f>'403'!D88</f>
        <v>16</v>
      </c>
      <c r="L88" s="332">
        <f>'403 L'!D89</f>
        <v>6</v>
      </c>
      <c r="M88" s="333">
        <f>'404'!D88</f>
        <v>14</v>
      </c>
      <c r="N88" s="332">
        <f>'404 L'!D89</f>
        <v>4</v>
      </c>
      <c r="O88" s="333">
        <f>'405'!D88</f>
        <v>17</v>
      </c>
      <c r="P88" s="332">
        <f>'405 L'!D89</f>
        <v>8</v>
      </c>
      <c r="Q88" s="332">
        <f>'406 L'!D89</f>
        <v>4</v>
      </c>
      <c r="R88" s="332">
        <f t="shared" si="1"/>
        <v>83</v>
      </c>
      <c r="S88" s="332">
        <f t="shared" si="2"/>
        <v>29</v>
      </c>
      <c r="T88" s="334">
        <f t="shared" si="3"/>
        <v>126</v>
      </c>
      <c r="U88" s="348">
        <f t="shared" si="5"/>
        <v>50</v>
      </c>
      <c r="V88" s="336"/>
      <c r="W88" s="336"/>
      <c r="X88" s="336"/>
      <c r="Y88" s="336"/>
      <c r="Z88" s="336"/>
      <c r="AA88" s="336"/>
      <c r="AB88" s="336"/>
    </row>
    <row r="89" ht="15.75" customHeight="1">
      <c r="A89" s="326">
        <v>80.0</v>
      </c>
      <c r="B89" s="111" t="s">
        <v>211</v>
      </c>
      <c r="C89" s="112" t="s">
        <v>212</v>
      </c>
      <c r="D89" s="327"/>
      <c r="E89" s="346">
        <v>28.0</v>
      </c>
      <c r="F89" s="328"/>
      <c r="G89" s="327"/>
      <c r="H89" s="330">
        <f>'401'!D89</f>
        <v>16</v>
      </c>
      <c r="I89" s="331">
        <f>'402'!D89</f>
        <v>16</v>
      </c>
      <c r="J89" s="332">
        <f>'402 L'!D90</f>
        <v>5</v>
      </c>
      <c r="K89" s="333">
        <f>'403'!D89</f>
        <v>17</v>
      </c>
      <c r="L89" s="332">
        <f>'403 L'!D90</f>
        <v>5</v>
      </c>
      <c r="M89" s="333">
        <f>'404'!D89</f>
        <v>16</v>
      </c>
      <c r="N89" s="332">
        <f>'404 L'!D90</f>
        <v>4</v>
      </c>
      <c r="O89" s="333">
        <f>'405'!D89</f>
        <v>12</v>
      </c>
      <c r="P89" s="332">
        <f>'405 L'!D90</f>
        <v>4</v>
      </c>
      <c r="Q89" s="332">
        <f>'406 L'!D90</f>
        <v>6</v>
      </c>
      <c r="R89" s="332">
        <f t="shared" si="1"/>
        <v>77</v>
      </c>
      <c r="S89" s="332">
        <f t="shared" si="2"/>
        <v>24</v>
      </c>
      <c r="T89" s="334">
        <f t="shared" si="3"/>
        <v>129</v>
      </c>
      <c r="U89" s="348">
        <f t="shared" si="5"/>
        <v>51</v>
      </c>
      <c r="V89" s="336"/>
      <c r="W89" s="336"/>
      <c r="X89" s="336"/>
      <c r="Y89" s="336"/>
      <c r="Z89" s="336"/>
      <c r="AA89" s="336"/>
      <c r="AB89" s="336"/>
    </row>
    <row r="90" ht="15.75" customHeight="1">
      <c r="A90" s="337">
        <v>81.0</v>
      </c>
      <c r="B90" s="111" t="s">
        <v>213</v>
      </c>
      <c r="C90" s="112" t="s">
        <v>214</v>
      </c>
      <c r="D90" s="327"/>
      <c r="E90" s="346">
        <v>20.0</v>
      </c>
      <c r="F90" s="347" t="s">
        <v>260</v>
      </c>
      <c r="G90" s="327"/>
      <c r="H90" s="330">
        <f>'401'!D90</f>
        <v>35</v>
      </c>
      <c r="I90" s="331">
        <f>'402'!D90</f>
        <v>27</v>
      </c>
      <c r="J90" s="332">
        <f>'402 L'!D91</f>
        <v>8</v>
      </c>
      <c r="K90" s="333">
        <f>'403'!D90</f>
        <v>29</v>
      </c>
      <c r="L90" s="332">
        <f>'403 L'!D91</f>
        <v>7</v>
      </c>
      <c r="M90" s="333">
        <f>'404'!D90</f>
        <v>26</v>
      </c>
      <c r="N90" s="332">
        <f>'404 L'!D91</f>
        <v>6</v>
      </c>
      <c r="O90" s="333">
        <f>'405'!D90</f>
        <v>32</v>
      </c>
      <c r="P90" s="332">
        <f>'405 L'!D91</f>
        <v>10</v>
      </c>
      <c r="Q90" s="332">
        <f>'406 L'!D91</f>
        <v>12</v>
      </c>
      <c r="R90" s="332">
        <f t="shared" si="1"/>
        <v>149</v>
      </c>
      <c r="S90" s="332">
        <f t="shared" si="2"/>
        <v>43</v>
      </c>
      <c r="T90" s="334">
        <f t="shared" si="3"/>
        <v>212</v>
      </c>
      <c r="U90" s="348">
        <f t="shared" si="5"/>
        <v>84</v>
      </c>
      <c r="V90" s="336"/>
      <c r="W90" s="336"/>
      <c r="X90" s="336"/>
      <c r="Y90" s="336"/>
      <c r="Z90" s="336"/>
      <c r="AA90" s="336"/>
      <c r="AB90" s="336"/>
    </row>
    <row r="91" ht="15.75" customHeight="1">
      <c r="A91" s="345">
        <v>82.0</v>
      </c>
      <c r="B91" s="111" t="s">
        <v>215</v>
      </c>
      <c r="C91" s="112" t="s">
        <v>216</v>
      </c>
      <c r="D91" s="354"/>
      <c r="E91" s="383">
        <v>20.0</v>
      </c>
      <c r="F91" s="347" t="s">
        <v>260</v>
      </c>
      <c r="G91" s="354"/>
      <c r="H91" s="330">
        <f>'401'!D91</f>
        <v>35</v>
      </c>
      <c r="I91" s="331">
        <f>'402'!D91</f>
        <v>26</v>
      </c>
      <c r="J91" s="332">
        <f>'402 L'!D92</f>
        <v>9</v>
      </c>
      <c r="K91" s="333">
        <f>'403'!D91</f>
        <v>29</v>
      </c>
      <c r="L91" s="332">
        <f>'403 L'!D92</f>
        <v>9</v>
      </c>
      <c r="M91" s="333">
        <f>'404'!D91</f>
        <v>27</v>
      </c>
      <c r="N91" s="332">
        <f>'404 L'!D92</f>
        <v>5</v>
      </c>
      <c r="O91" s="333">
        <f>'405'!D91</f>
        <v>27</v>
      </c>
      <c r="P91" s="332">
        <f>'405 L'!D92</f>
        <v>8</v>
      </c>
      <c r="Q91" s="332">
        <f>'406 L'!D92</f>
        <v>13</v>
      </c>
      <c r="R91" s="332">
        <f t="shared" si="1"/>
        <v>144</v>
      </c>
      <c r="S91" s="332">
        <f t="shared" si="2"/>
        <v>44</v>
      </c>
      <c r="T91" s="334">
        <f t="shared" si="3"/>
        <v>208</v>
      </c>
      <c r="U91" s="348">
        <f t="shared" si="5"/>
        <v>83</v>
      </c>
      <c r="V91" s="11"/>
      <c r="W91" s="11"/>
      <c r="X91" s="11"/>
      <c r="Y91" s="11"/>
      <c r="Z91" s="11"/>
      <c r="AA91" s="11"/>
      <c r="AB91" s="11"/>
    </row>
    <row r="92" ht="15.75" customHeight="1">
      <c r="A92" s="326">
        <v>83.0</v>
      </c>
      <c r="B92" s="111" t="s">
        <v>217</v>
      </c>
      <c r="C92" s="112" t="s">
        <v>218</v>
      </c>
      <c r="D92" s="354"/>
      <c r="E92" s="354"/>
      <c r="F92" s="355"/>
      <c r="G92" s="354"/>
      <c r="H92" s="330">
        <f>'401'!D92</f>
        <v>0</v>
      </c>
      <c r="I92" s="331">
        <f>'402'!D92</f>
        <v>0</v>
      </c>
      <c r="J92" s="332">
        <f>'402 L'!D93</f>
        <v>0</v>
      </c>
      <c r="K92" s="333">
        <f>'403'!D92</f>
        <v>0</v>
      </c>
      <c r="L92" s="332">
        <f>'403 L'!D93</f>
        <v>0</v>
      </c>
      <c r="M92" s="333">
        <f>'404'!D92</f>
        <v>1</v>
      </c>
      <c r="N92" s="332">
        <f>'404 L'!D93</f>
        <v>0</v>
      </c>
      <c r="O92" s="333">
        <f>'405'!D92</f>
        <v>0</v>
      </c>
      <c r="P92" s="332">
        <f>'405 L'!D93</f>
        <v>0</v>
      </c>
      <c r="Q92" s="332">
        <f>'406 L'!D93</f>
        <v>0</v>
      </c>
      <c r="R92" s="332">
        <f t="shared" si="1"/>
        <v>1</v>
      </c>
      <c r="S92" s="332">
        <f t="shared" si="2"/>
        <v>0</v>
      </c>
      <c r="T92" s="334">
        <f t="shared" si="3"/>
        <v>1</v>
      </c>
      <c r="U92" s="348">
        <f t="shared" si="5"/>
        <v>0</v>
      </c>
      <c r="V92" s="11"/>
      <c r="W92" s="11"/>
      <c r="X92" s="11"/>
      <c r="Y92" s="11"/>
      <c r="Z92" s="11"/>
      <c r="AA92" s="11"/>
      <c r="AB92" s="11"/>
    </row>
    <row r="93" ht="15.75" customHeight="1">
      <c r="A93" s="11"/>
      <c r="B93" s="11"/>
      <c r="C93" s="11"/>
      <c r="D93" s="31"/>
      <c r="E93" s="31"/>
      <c r="F93" s="296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11"/>
      <c r="S93" s="11"/>
      <c r="T93" s="11"/>
      <c r="U93" s="297"/>
      <c r="V93" s="11"/>
      <c r="W93" s="11"/>
      <c r="X93" s="11"/>
      <c r="Y93" s="11"/>
      <c r="Z93" s="11"/>
      <c r="AA93" s="11"/>
      <c r="AB93" s="11"/>
    </row>
    <row r="94" ht="15.75" customHeight="1">
      <c r="A94" s="11"/>
      <c r="B94" s="11"/>
      <c r="C94" s="11"/>
      <c r="D94" s="31"/>
      <c r="E94" s="31"/>
      <c r="F94" s="296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11"/>
      <c r="S94" s="11"/>
      <c r="T94" s="11"/>
      <c r="U94" s="297"/>
      <c r="V94" s="11"/>
      <c r="W94" s="11"/>
      <c r="X94" s="11"/>
      <c r="Y94" s="11"/>
      <c r="Z94" s="11"/>
      <c r="AA94" s="11"/>
      <c r="AB94" s="11"/>
    </row>
    <row r="95" ht="15.75" customHeight="1">
      <c r="A95" s="11"/>
      <c r="B95" s="11"/>
      <c r="C95" s="11"/>
      <c r="D95" s="31"/>
      <c r="E95" s="31"/>
      <c r="F95" s="296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11"/>
      <c r="S95" s="11"/>
      <c r="T95" s="11"/>
      <c r="U95" s="297"/>
      <c r="V95" s="11"/>
      <c r="W95" s="11"/>
      <c r="X95" s="11"/>
      <c r="Y95" s="11"/>
      <c r="Z95" s="11"/>
      <c r="AA95" s="11"/>
      <c r="AB95" s="11"/>
    </row>
    <row r="96" ht="15.75" customHeight="1">
      <c r="A96" s="11"/>
      <c r="B96" s="11"/>
      <c r="C96" s="11"/>
      <c r="D96" s="31"/>
      <c r="E96" s="31"/>
      <c r="F96" s="296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11"/>
      <c r="S96" s="11"/>
      <c r="T96" s="11"/>
      <c r="U96" s="297"/>
      <c r="V96" s="11"/>
      <c r="W96" s="11"/>
      <c r="X96" s="11"/>
      <c r="Y96" s="11"/>
      <c r="Z96" s="11"/>
      <c r="AA96" s="11"/>
      <c r="AB96" s="11"/>
    </row>
    <row r="97" ht="15.75" customHeight="1">
      <c r="A97" s="11"/>
      <c r="B97" s="11"/>
      <c r="C97" s="11"/>
      <c r="D97" s="31"/>
      <c r="E97" s="31"/>
      <c r="F97" s="296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11"/>
      <c r="S97" s="11"/>
      <c r="T97" s="11"/>
      <c r="U97" s="297"/>
      <c r="V97" s="11"/>
      <c r="W97" s="11"/>
      <c r="X97" s="11"/>
      <c r="Y97" s="11"/>
      <c r="Z97" s="11"/>
      <c r="AA97" s="11"/>
      <c r="AB97" s="11"/>
    </row>
    <row r="98" ht="15.75" customHeight="1">
      <c r="A98" s="11"/>
      <c r="B98" s="11"/>
      <c r="C98" s="11"/>
      <c r="D98" s="31"/>
      <c r="E98" s="31"/>
      <c r="F98" s="296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11"/>
      <c r="S98" s="11"/>
      <c r="T98" s="11"/>
      <c r="U98" s="297"/>
      <c r="V98" s="11"/>
      <c r="W98" s="11"/>
      <c r="X98" s="11"/>
      <c r="Y98" s="11"/>
      <c r="Z98" s="11"/>
      <c r="AA98" s="11"/>
      <c r="AB98" s="11"/>
    </row>
    <row r="99" ht="15.75" customHeight="1">
      <c r="A99" s="11"/>
      <c r="B99" s="11"/>
      <c r="C99" s="11"/>
      <c r="D99" s="31"/>
      <c r="E99" s="31"/>
      <c r="F99" s="296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11"/>
      <c r="S99" s="11"/>
      <c r="T99" s="11"/>
      <c r="U99" s="297"/>
      <c r="V99" s="11"/>
      <c r="W99" s="11"/>
      <c r="X99" s="11"/>
      <c r="Y99" s="11"/>
      <c r="Z99" s="11"/>
      <c r="AA99" s="11"/>
      <c r="AB99" s="11"/>
    </row>
    <row r="100" ht="15.75" customHeight="1">
      <c r="A100" s="11"/>
      <c r="B100" s="11"/>
      <c r="C100" s="11"/>
      <c r="D100" s="31"/>
      <c r="E100" s="31"/>
      <c r="F100" s="296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11"/>
      <c r="S100" s="11"/>
      <c r="T100" s="11"/>
      <c r="U100" s="297"/>
      <c r="V100" s="11"/>
      <c r="W100" s="11"/>
      <c r="X100" s="11"/>
      <c r="Y100" s="11"/>
      <c r="Z100" s="11"/>
      <c r="AA100" s="11"/>
      <c r="AB100" s="11"/>
    </row>
    <row r="101" ht="15.75" customHeight="1">
      <c r="A101" s="11"/>
      <c r="B101" s="11"/>
      <c r="C101" s="11"/>
      <c r="D101" s="31"/>
      <c r="E101" s="31"/>
      <c r="F101" s="296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11"/>
      <c r="S101" s="11"/>
      <c r="T101" s="11"/>
      <c r="U101" s="297"/>
      <c r="V101" s="11"/>
      <c r="W101" s="11"/>
      <c r="X101" s="11"/>
      <c r="Y101" s="11"/>
      <c r="Z101" s="11"/>
      <c r="AA101" s="11"/>
      <c r="AB101" s="11"/>
    </row>
    <row r="102" ht="15.75" customHeight="1">
      <c r="A102" s="11"/>
      <c r="B102" s="11"/>
      <c r="C102" s="11"/>
      <c r="D102" s="31"/>
      <c r="E102" s="31"/>
      <c r="F102" s="296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11"/>
      <c r="S102" s="11"/>
      <c r="T102" s="11"/>
      <c r="U102" s="297"/>
      <c r="V102" s="11"/>
      <c r="W102" s="11"/>
      <c r="X102" s="11"/>
      <c r="Y102" s="11"/>
      <c r="Z102" s="11"/>
      <c r="AA102" s="11"/>
      <c r="AB102" s="11"/>
    </row>
    <row r="103" ht="15.75" customHeight="1">
      <c r="A103" s="11"/>
      <c r="B103" s="11"/>
      <c r="C103" s="11"/>
      <c r="D103" s="31"/>
      <c r="E103" s="31"/>
      <c r="F103" s="296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11"/>
      <c r="S103" s="11"/>
      <c r="T103" s="11"/>
      <c r="U103" s="297"/>
      <c r="V103" s="11"/>
      <c r="W103" s="11"/>
      <c r="X103" s="11"/>
      <c r="Y103" s="11"/>
      <c r="Z103" s="11"/>
      <c r="AA103" s="11"/>
      <c r="AB103" s="11"/>
    </row>
    <row r="104" ht="15.75" customHeight="1">
      <c r="A104" s="11"/>
      <c r="B104" s="11"/>
      <c r="C104" s="11"/>
      <c r="D104" s="31"/>
      <c r="E104" s="31"/>
      <c r="F104" s="296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11"/>
      <c r="S104" s="11"/>
      <c r="T104" s="11"/>
      <c r="U104" s="297"/>
      <c r="V104" s="11"/>
      <c r="W104" s="11"/>
      <c r="X104" s="11"/>
      <c r="Y104" s="11"/>
      <c r="Z104" s="11"/>
      <c r="AA104" s="11"/>
      <c r="AB104" s="11"/>
    </row>
    <row r="105" ht="15.75" customHeight="1">
      <c r="A105" s="11"/>
      <c r="B105" s="11"/>
      <c r="C105" s="11"/>
      <c r="D105" s="31"/>
      <c r="E105" s="31"/>
      <c r="F105" s="296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11"/>
      <c r="S105" s="11"/>
      <c r="T105" s="11"/>
      <c r="U105" s="297"/>
      <c r="V105" s="11"/>
      <c r="W105" s="11"/>
      <c r="X105" s="11"/>
      <c r="Y105" s="11"/>
      <c r="Z105" s="11"/>
      <c r="AA105" s="11"/>
      <c r="AB105" s="11"/>
    </row>
    <row r="106" ht="15.75" customHeight="1">
      <c r="A106" s="11"/>
      <c r="B106" s="11"/>
      <c r="C106" s="11"/>
      <c r="D106" s="31"/>
      <c r="E106" s="31"/>
      <c r="F106" s="296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11"/>
      <c r="S106" s="11"/>
      <c r="T106" s="11"/>
      <c r="U106" s="297"/>
      <c r="V106" s="11"/>
      <c r="W106" s="11"/>
      <c r="X106" s="11"/>
      <c r="Y106" s="11"/>
      <c r="Z106" s="11"/>
      <c r="AA106" s="11"/>
      <c r="AB106" s="11"/>
    </row>
    <row r="107" ht="15.75" customHeight="1">
      <c r="A107" s="11"/>
      <c r="B107" s="11"/>
      <c r="C107" s="11"/>
      <c r="D107" s="31"/>
      <c r="E107" s="31"/>
      <c r="F107" s="296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11"/>
      <c r="S107" s="11"/>
      <c r="T107" s="11"/>
      <c r="U107" s="297"/>
      <c r="V107" s="11"/>
      <c r="W107" s="11"/>
      <c r="X107" s="11"/>
      <c r="Y107" s="11"/>
      <c r="Z107" s="11"/>
      <c r="AA107" s="11"/>
      <c r="AB107" s="11"/>
    </row>
    <row r="108" ht="15.75" customHeight="1">
      <c r="A108" s="11"/>
      <c r="B108" s="11"/>
      <c r="C108" s="11"/>
      <c r="D108" s="31"/>
      <c r="E108" s="31"/>
      <c r="F108" s="296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11"/>
      <c r="S108" s="11"/>
      <c r="T108" s="11"/>
      <c r="U108" s="297"/>
      <c r="V108" s="11"/>
      <c r="W108" s="11"/>
      <c r="X108" s="11"/>
      <c r="Y108" s="11"/>
      <c r="Z108" s="11"/>
      <c r="AA108" s="11"/>
      <c r="AB108" s="11"/>
    </row>
    <row r="109" ht="15.75" customHeight="1">
      <c r="A109" s="11"/>
      <c r="B109" s="11"/>
      <c r="C109" s="11"/>
      <c r="D109" s="31"/>
      <c r="E109" s="31"/>
      <c r="F109" s="296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11"/>
      <c r="S109" s="11"/>
      <c r="T109" s="11"/>
      <c r="U109" s="297"/>
      <c r="V109" s="11"/>
      <c r="W109" s="11"/>
      <c r="X109" s="11"/>
      <c r="Y109" s="11"/>
      <c r="Z109" s="11"/>
      <c r="AA109" s="11"/>
      <c r="AB109" s="11"/>
    </row>
    <row r="110" ht="15.75" customHeight="1">
      <c r="A110" s="11"/>
      <c r="B110" s="11"/>
      <c r="C110" s="11"/>
      <c r="D110" s="31"/>
      <c r="E110" s="31"/>
      <c r="F110" s="296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11"/>
      <c r="S110" s="11"/>
      <c r="T110" s="11"/>
      <c r="U110" s="297"/>
      <c r="V110" s="11"/>
      <c r="W110" s="11"/>
      <c r="X110" s="11"/>
      <c r="Y110" s="11"/>
      <c r="Z110" s="11"/>
      <c r="AA110" s="11"/>
      <c r="AB110" s="11"/>
    </row>
    <row r="111" ht="15.75" customHeight="1">
      <c r="A111" s="11"/>
      <c r="B111" s="11"/>
      <c r="C111" s="11"/>
      <c r="D111" s="31"/>
      <c r="E111" s="31"/>
      <c r="F111" s="296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11"/>
      <c r="S111" s="11"/>
      <c r="T111" s="11"/>
      <c r="U111" s="297"/>
      <c r="V111" s="11"/>
      <c r="W111" s="11"/>
      <c r="X111" s="11"/>
      <c r="Y111" s="11"/>
      <c r="Z111" s="11"/>
      <c r="AA111" s="11"/>
      <c r="AB111" s="11"/>
    </row>
    <row r="112" ht="15.75" customHeight="1">
      <c r="A112" s="11"/>
      <c r="B112" s="11"/>
      <c r="C112" s="11"/>
      <c r="D112" s="31"/>
      <c r="E112" s="31"/>
      <c r="F112" s="296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11"/>
      <c r="S112" s="11"/>
      <c r="T112" s="11"/>
      <c r="U112" s="297"/>
      <c r="V112" s="11"/>
      <c r="W112" s="11"/>
      <c r="X112" s="11"/>
      <c r="Y112" s="11"/>
      <c r="Z112" s="11"/>
      <c r="AA112" s="11"/>
      <c r="AB112" s="11"/>
    </row>
    <row r="113" ht="15.75" customHeight="1">
      <c r="A113" s="11"/>
      <c r="B113" s="11"/>
      <c r="C113" s="11"/>
      <c r="D113" s="31"/>
      <c r="E113" s="31"/>
      <c r="F113" s="296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11"/>
      <c r="S113" s="11"/>
      <c r="T113" s="11"/>
      <c r="U113" s="297"/>
      <c r="V113" s="11"/>
      <c r="W113" s="11"/>
      <c r="X113" s="11"/>
      <c r="Y113" s="11"/>
      <c r="Z113" s="11"/>
      <c r="AA113" s="11"/>
      <c r="AB113" s="11"/>
    </row>
    <row r="114" ht="15.75" customHeight="1">
      <c r="A114" s="11"/>
      <c r="B114" s="11"/>
      <c r="C114" s="11"/>
      <c r="D114" s="31"/>
      <c r="E114" s="31"/>
      <c r="F114" s="296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11"/>
      <c r="S114" s="11"/>
      <c r="T114" s="11"/>
      <c r="U114" s="297"/>
      <c r="V114" s="11"/>
      <c r="W114" s="11"/>
      <c r="X114" s="11"/>
      <c r="Y114" s="11"/>
      <c r="Z114" s="11"/>
      <c r="AA114" s="11"/>
      <c r="AB114" s="11"/>
    </row>
    <row r="115" ht="15.75" customHeight="1">
      <c r="A115" s="11"/>
      <c r="B115" s="11"/>
      <c r="C115" s="11"/>
      <c r="D115" s="31"/>
      <c r="E115" s="31"/>
      <c r="F115" s="296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11"/>
      <c r="S115" s="11"/>
      <c r="T115" s="11"/>
      <c r="U115" s="297"/>
      <c r="V115" s="11"/>
      <c r="W115" s="11"/>
      <c r="X115" s="11"/>
      <c r="Y115" s="11"/>
      <c r="Z115" s="11"/>
      <c r="AA115" s="11"/>
      <c r="AB115" s="11"/>
    </row>
    <row r="116" ht="15.75" customHeight="1">
      <c r="A116" s="11"/>
      <c r="B116" s="11"/>
      <c r="C116" s="11"/>
      <c r="D116" s="31"/>
      <c r="E116" s="31"/>
      <c r="F116" s="296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11"/>
      <c r="S116" s="11"/>
      <c r="T116" s="11"/>
      <c r="U116" s="297"/>
      <c r="V116" s="11"/>
      <c r="W116" s="11"/>
      <c r="X116" s="11"/>
      <c r="Y116" s="11"/>
      <c r="Z116" s="11"/>
      <c r="AA116" s="11"/>
      <c r="AB116" s="11"/>
    </row>
    <row r="117" ht="15.75" customHeight="1">
      <c r="A117" s="11"/>
      <c r="B117" s="11"/>
      <c r="C117" s="11"/>
      <c r="D117" s="31"/>
      <c r="E117" s="31"/>
      <c r="F117" s="296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11"/>
      <c r="S117" s="11"/>
      <c r="T117" s="11"/>
      <c r="U117" s="297"/>
      <c r="V117" s="11"/>
      <c r="W117" s="11"/>
      <c r="X117" s="11"/>
      <c r="Y117" s="11"/>
      <c r="Z117" s="11"/>
      <c r="AA117" s="11"/>
      <c r="AB117" s="11"/>
    </row>
    <row r="118" ht="15.75" customHeight="1">
      <c r="A118" s="11"/>
      <c r="B118" s="11"/>
      <c r="C118" s="11"/>
      <c r="D118" s="31"/>
      <c r="E118" s="31"/>
      <c r="F118" s="296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11"/>
      <c r="S118" s="11"/>
      <c r="T118" s="11"/>
      <c r="U118" s="297"/>
      <c r="V118" s="11"/>
      <c r="W118" s="11"/>
      <c r="X118" s="11"/>
      <c r="Y118" s="11"/>
      <c r="Z118" s="11"/>
      <c r="AA118" s="11"/>
      <c r="AB118" s="11"/>
    </row>
    <row r="119" ht="15.75" customHeight="1">
      <c r="A119" s="11"/>
      <c r="B119" s="11"/>
      <c r="C119" s="11"/>
      <c r="D119" s="31"/>
      <c r="E119" s="31"/>
      <c r="F119" s="296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11"/>
      <c r="S119" s="11"/>
      <c r="T119" s="11"/>
      <c r="U119" s="297"/>
      <c r="V119" s="11"/>
      <c r="W119" s="11"/>
      <c r="X119" s="11"/>
      <c r="Y119" s="11"/>
      <c r="Z119" s="11"/>
      <c r="AA119" s="11"/>
      <c r="AB119" s="11"/>
    </row>
    <row r="120" ht="15.75" customHeight="1">
      <c r="A120" s="11"/>
      <c r="B120" s="11"/>
      <c r="C120" s="11"/>
      <c r="D120" s="31"/>
      <c r="E120" s="31"/>
      <c r="F120" s="296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11"/>
      <c r="S120" s="11"/>
      <c r="T120" s="11"/>
      <c r="U120" s="297"/>
      <c r="V120" s="11"/>
      <c r="W120" s="11"/>
      <c r="X120" s="11"/>
      <c r="Y120" s="11"/>
      <c r="Z120" s="11"/>
      <c r="AA120" s="11"/>
      <c r="AB120" s="11"/>
    </row>
    <row r="121" ht="15.75" customHeight="1">
      <c r="A121" s="11"/>
      <c r="B121" s="11"/>
      <c r="C121" s="11"/>
      <c r="D121" s="31"/>
      <c r="E121" s="31"/>
      <c r="F121" s="296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11"/>
      <c r="S121" s="11"/>
      <c r="T121" s="11"/>
      <c r="U121" s="297"/>
      <c r="V121" s="11"/>
      <c r="W121" s="11"/>
      <c r="X121" s="11"/>
      <c r="Y121" s="11"/>
      <c r="Z121" s="11"/>
      <c r="AA121" s="11"/>
      <c r="AB121" s="11"/>
    </row>
    <row r="122" ht="15.75" customHeight="1">
      <c r="A122" s="11"/>
      <c r="B122" s="11"/>
      <c r="C122" s="11"/>
      <c r="D122" s="31"/>
      <c r="E122" s="31"/>
      <c r="F122" s="296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11"/>
      <c r="S122" s="11"/>
      <c r="T122" s="11"/>
      <c r="U122" s="297"/>
      <c r="V122" s="11"/>
      <c r="W122" s="11"/>
      <c r="X122" s="11"/>
      <c r="Y122" s="11"/>
      <c r="Z122" s="11"/>
      <c r="AA122" s="11"/>
      <c r="AB122" s="11"/>
    </row>
    <row r="123" ht="15.75" customHeight="1">
      <c r="A123" s="11"/>
      <c r="B123" s="11"/>
      <c r="C123" s="11"/>
      <c r="D123" s="31"/>
      <c r="E123" s="31"/>
      <c r="F123" s="296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11"/>
      <c r="S123" s="11"/>
      <c r="T123" s="11"/>
      <c r="U123" s="297"/>
      <c r="V123" s="11"/>
      <c r="W123" s="11"/>
      <c r="X123" s="11"/>
      <c r="Y123" s="11"/>
      <c r="Z123" s="11"/>
      <c r="AA123" s="11"/>
      <c r="AB123" s="11"/>
    </row>
    <row r="124" ht="15.75" customHeight="1">
      <c r="A124" s="11"/>
      <c r="B124" s="11"/>
      <c r="C124" s="11"/>
      <c r="D124" s="31"/>
      <c r="E124" s="31"/>
      <c r="F124" s="296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11"/>
      <c r="S124" s="11"/>
      <c r="T124" s="11"/>
      <c r="U124" s="297"/>
      <c r="V124" s="11"/>
      <c r="W124" s="11"/>
      <c r="X124" s="11"/>
      <c r="Y124" s="11"/>
      <c r="Z124" s="11"/>
      <c r="AA124" s="11"/>
      <c r="AB124" s="11"/>
    </row>
    <row r="125" ht="15.75" customHeight="1">
      <c r="A125" s="11"/>
      <c r="B125" s="11"/>
      <c r="C125" s="11"/>
      <c r="D125" s="11"/>
      <c r="E125" s="11"/>
      <c r="F125" s="30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297"/>
      <c r="V125" s="11"/>
      <c r="W125" s="11"/>
      <c r="X125" s="11"/>
      <c r="Y125" s="11"/>
      <c r="Z125" s="11"/>
      <c r="AA125" s="11"/>
      <c r="AB125" s="11"/>
    </row>
    <row r="126" ht="15.75" customHeight="1">
      <c r="A126" s="11"/>
      <c r="B126" s="11"/>
      <c r="C126" s="11"/>
      <c r="D126" s="11"/>
      <c r="E126" s="11"/>
      <c r="F126" s="30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297"/>
      <c r="V126" s="11"/>
      <c r="W126" s="11"/>
      <c r="X126" s="11"/>
      <c r="Y126" s="11"/>
      <c r="Z126" s="11"/>
      <c r="AA126" s="11"/>
      <c r="AB126" s="11"/>
    </row>
    <row r="127" ht="15.75" customHeight="1">
      <c r="A127" s="11"/>
      <c r="B127" s="11"/>
      <c r="C127" s="11"/>
      <c r="D127" s="11"/>
      <c r="E127" s="11"/>
      <c r="F127" s="30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297"/>
      <c r="V127" s="11"/>
      <c r="W127" s="11"/>
      <c r="X127" s="11"/>
      <c r="Y127" s="11"/>
      <c r="Z127" s="11"/>
      <c r="AA127" s="11"/>
      <c r="AB127" s="11"/>
    </row>
    <row r="128" ht="15.75" customHeight="1">
      <c r="A128" s="11"/>
      <c r="B128" s="11"/>
      <c r="C128" s="11"/>
      <c r="D128" s="11"/>
      <c r="E128" s="11"/>
      <c r="F128" s="30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297"/>
      <c r="V128" s="11"/>
      <c r="W128" s="11"/>
      <c r="X128" s="11"/>
      <c r="Y128" s="11"/>
      <c r="Z128" s="11"/>
      <c r="AA128" s="11"/>
      <c r="AB128" s="11"/>
    </row>
    <row r="129" ht="15.75" customHeight="1">
      <c r="A129" s="11"/>
      <c r="B129" s="11"/>
      <c r="C129" s="11"/>
      <c r="D129" s="11"/>
      <c r="E129" s="11"/>
      <c r="F129" s="30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297"/>
      <c r="V129" s="11"/>
      <c r="W129" s="11"/>
      <c r="X129" s="11"/>
      <c r="Y129" s="11"/>
      <c r="Z129" s="11"/>
      <c r="AA129" s="11"/>
      <c r="AB129" s="11"/>
    </row>
    <row r="130" ht="15.75" customHeight="1">
      <c r="A130" s="11"/>
      <c r="B130" s="11"/>
      <c r="C130" s="11"/>
      <c r="D130" s="11"/>
      <c r="E130" s="11"/>
      <c r="F130" s="30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297"/>
      <c r="V130" s="11"/>
      <c r="W130" s="11"/>
      <c r="X130" s="11"/>
      <c r="Y130" s="11"/>
      <c r="Z130" s="11"/>
      <c r="AA130" s="11"/>
      <c r="AB130" s="11"/>
    </row>
    <row r="131" ht="15.75" customHeight="1">
      <c r="A131" s="11"/>
      <c r="B131" s="11"/>
      <c r="C131" s="11"/>
      <c r="D131" s="11"/>
      <c r="E131" s="11"/>
      <c r="F131" s="30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297"/>
      <c r="V131" s="11"/>
      <c r="W131" s="11"/>
      <c r="X131" s="11"/>
      <c r="Y131" s="11"/>
      <c r="Z131" s="11"/>
      <c r="AA131" s="11"/>
      <c r="AB131" s="11"/>
    </row>
    <row r="132" ht="15.75" customHeight="1">
      <c r="A132" s="11"/>
      <c r="B132" s="11"/>
      <c r="C132" s="11"/>
      <c r="D132" s="11"/>
      <c r="E132" s="11"/>
      <c r="F132" s="30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297"/>
      <c r="V132" s="11"/>
      <c r="W132" s="11"/>
      <c r="X132" s="11"/>
      <c r="Y132" s="11"/>
      <c r="Z132" s="11"/>
      <c r="AA132" s="11"/>
      <c r="AB132" s="11"/>
    </row>
    <row r="133" ht="15.75" customHeight="1">
      <c r="A133" s="11"/>
      <c r="B133" s="11"/>
      <c r="C133" s="11"/>
      <c r="D133" s="11"/>
      <c r="E133" s="11"/>
      <c r="F133" s="30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297"/>
      <c r="V133" s="11"/>
      <c r="W133" s="11"/>
      <c r="X133" s="11"/>
      <c r="Y133" s="11"/>
      <c r="Z133" s="11"/>
      <c r="AA133" s="11"/>
      <c r="AB133" s="11"/>
    </row>
    <row r="134" ht="15.75" customHeight="1">
      <c r="A134" s="11"/>
      <c r="B134" s="11"/>
      <c r="C134" s="11"/>
      <c r="D134" s="11"/>
      <c r="E134" s="11"/>
      <c r="F134" s="30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297"/>
      <c r="V134" s="11"/>
      <c r="W134" s="11"/>
      <c r="X134" s="11"/>
      <c r="Y134" s="11"/>
      <c r="Z134" s="11"/>
      <c r="AA134" s="11"/>
      <c r="AB134" s="11"/>
    </row>
    <row r="135" ht="15.75" customHeight="1">
      <c r="A135" s="11"/>
      <c r="B135" s="11"/>
      <c r="C135" s="11"/>
      <c r="D135" s="11"/>
      <c r="E135" s="11"/>
      <c r="F135" s="30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297"/>
      <c r="V135" s="11"/>
      <c r="W135" s="11"/>
      <c r="X135" s="11"/>
      <c r="Y135" s="11"/>
      <c r="Z135" s="11"/>
      <c r="AA135" s="11"/>
      <c r="AB135" s="11"/>
    </row>
    <row r="136" ht="15.75" customHeight="1">
      <c r="A136" s="11"/>
      <c r="B136" s="11"/>
      <c r="C136" s="11"/>
      <c r="D136" s="11"/>
      <c r="E136" s="11"/>
      <c r="F136" s="30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297"/>
      <c r="V136" s="11"/>
      <c r="W136" s="11"/>
      <c r="X136" s="11"/>
      <c r="Y136" s="11"/>
      <c r="Z136" s="11"/>
      <c r="AA136" s="11"/>
      <c r="AB136" s="11"/>
    </row>
    <row r="137" ht="15.75" customHeight="1">
      <c r="A137" s="11"/>
      <c r="B137" s="11"/>
      <c r="C137" s="11"/>
      <c r="D137" s="11"/>
      <c r="E137" s="11"/>
      <c r="F137" s="30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297"/>
      <c r="V137" s="11"/>
      <c r="W137" s="11"/>
      <c r="X137" s="11"/>
      <c r="Y137" s="11"/>
      <c r="Z137" s="11"/>
      <c r="AA137" s="11"/>
      <c r="AB137" s="11"/>
    </row>
    <row r="138" ht="15.75" customHeight="1">
      <c r="A138" s="11"/>
      <c r="B138" s="11"/>
      <c r="C138" s="11"/>
      <c r="D138" s="11"/>
      <c r="E138" s="11"/>
      <c r="F138" s="30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297"/>
      <c r="V138" s="11"/>
      <c r="W138" s="11"/>
      <c r="X138" s="11"/>
      <c r="Y138" s="11"/>
      <c r="Z138" s="11"/>
      <c r="AA138" s="11"/>
      <c r="AB138" s="11"/>
    </row>
    <row r="139" ht="15.75" customHeight="1">
      <c r="A139" s="11"/>
      <c r="B139" s="11"/>
      <c r="C139" s="11"/>
      <c r="D139" s="11"/>
      <c r="E139" s="11"/>
      <c r="F139" s="30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297"/>
      <c r="V139" s="11"/>
      <c r="W139" s="11"/>
      <c r="X139" s="11"/>
      <c r="Y139" s="11"/>
      <c r="Z139" s="11"/>
      <c r="AA139" s="11"/>
      <c r="AB139" s="11"/>
    </row>
    <row r="140" ht="15.75" customHeight="1">
      <c r="A140" s="11"/>
      <c r="B140" s="11"/>
      <c r="C140" s="11"/>
      <c r="D140" s="11"/>
      <c r="E140" s="11"/>
      <c r="F140" s="30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297"/>
      <c r="V140" s="11"/>
      <c r="W140" s="11"/>
      <c r="X140" s="11"/>
      <c r="Y140" s="11"/>
      <c r="Z140" s="11"/>
      <c r="AA140" s="11"/>
      <c r="AB140" s="11"/>
    </row>
    <row r="141" ht="15.75" customHeight="1">
      <c r="A141" s="11"/>
      <c r="B141" s="11"/>
      <c r="C141" s="11"/>
      <c r="D141" s="11"/>
      <c r="E141" s="11"/>
      <c r="F141" s="30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297"/>
      <c r="V141" s="11"/>
      <c r="W141" s="11"/>
      <c r="X141" s="11"/>
      <c r="Y141" s="11"/>
      <c r="Z141" s="11"/>
      <c r="AA141" s="11"/>
      <c r="AB141" s="11"/>
    </row>
    <row r="142" ht="15.75" customHeight="1">
      <c r="A142" s="11"/>
      <c r="B142" s="11"/>
      <c r="C142" s="11"/>
      <c r="D142" s="11"/>
      <c r="E142" s="11"/>
      <c r="F142" s="30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297"/>
      <c r="V142" s="11"/>
      <c r="W142" s="11"/>
      <c r="X142" s="11"/>
      <c r="Y142" s="11"/>
      <c r="Z142" s="11"/>
      <c r="AA142" s="11"/>
      <c r="AB142" s="11"/>
    </row>
    <row r="143" ht="15.75" customHeight="1">
      <c r="A143" s="11"/>
      <c r="B143" s="11"/>
      <c r="C143" s="11"/>
      <c r="D143" s="11"/>
      <c r="E143" s="11"/>
      <c r="F143" s="30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297"/>
      <c r="V143" s="11"/>
      <c r="W143" s="11"/>
      <c r="X143" s="11"/>
      <c r="Y143" s="11"/>
      <c r="Z143" s="11"/>
      <c r="AA143" s="11"/>
      <c r="AB143" s="11"/>
    </row>
    <row r="144" ht="15.75" customHeight="1">
      <c r="A144" s="11"/>
      <c r="B144" s="11"/>
      <c r="C144" s="11"/>
      <c r="D144" s="11"/>
      <c r="E144" s="11"/>
      <c r="F144" s="30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297"/>
      <c r="V144" s="11"/>
      <c r="W144" s="11"/>
      <c r="X144" s="11"/>
      <c r="Y144" s="11"/>
      <c r="Z144" s="11"/>
      <c r="AA144" s="11"/>
      <c r="AB144" s="11"/>
    </row>
    <row r="145" ht="15.75" customHeight="1">
      <c r="A145" s="11"/>
      <c r="B145" s="11"/>
      <c r="C145" s="11"/>
      <c r="D145" s="11"/>
      <c r="E145" s="11"/>
      <c r="F145" s="30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297"/>
      <c r="V145" s="11"/>
      <c r="W145" s="11"/>
      <c r="X145" s="11"/>
      <c r="Y145" s="11"/>
      <c r="Z145" s="11"/>
      <c r="AA145" s="11"/>
      <c r="AB145" s="11"/>
    </row>
    <row r="146" ht="15.75" customHeight="1">
      <c r="A146" s="11"/>
      <c r="B146" s="11"/>
      <c r="C146" s="11"/>
      <c r="D146" s="11"/>
      <c r="E146" s="11"/>
      <c r="F146" s="30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297"/>
      <c r="V146" s="11"/>
      <c r="W146" s="11"/>
      <c r="X146" s="11"/>
      <c r="Y146" s="11"/>
      <c r="Z146" s="11"/>
      <c r="AA146" s="11"/>
      <c r="AB146" s="11"/>
    </row>
    <row r="147" ht="15.75" customHeight="1">
      <c r="A147" s="11"/>
      <c r="B147" s="11"/>
      <c r="C147" s="11"/>
      <c r="D147" s="11"/>
      <c r="E147" s="11"/>
      <c r="F147" s="30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297"/>
      <c r="V147" s="11"/>
      <c r="W147" s="11"/>
      <c r="X147" s="11"/>
      <c r="Y147" s="11"/>
      <c r="Z147" s="11"/>
      <c r="AA147" s="11"/>
      <c r="AB147" s="11"/>
    </row>
    <row r="148" ht="15.75" customHeight="1">
      <c r="A148" s="11"/>
      <c r="B148" s="11"/>
      <c r="C148" s="11"/>
      <c r="D148" s="11"/>
      <c r="E148" s="11"/>
      <c r="F148" s="30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297"/>
      <c r="V148" s="11"/>
      <c r="W148" s="11"/>
      <c r="X148" s="11"/>
      <c r="Y148" s="11"/>
      <c r="Z148" s="11"/>
      <c r="AA148" s="11"/>
      <c r="AB148" s="11"/>
    </row>
    <row r="149" ht="15.75" customHeight="1">
      <c r="A149" s="11"/>
      <c r="B149" s="11"/>
      <c r="C149" s="11"/>
      <c r="D149" s="11"/>
      <c r="E149" s="11"/>
      <c r="F149" s="30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297"/>
      <c r="V149" s="11"/>
      <c r="W149" s="11"/>
      <c r="X149" s="11"/>
      <c r="Y149" s="11"/>
      <c r="Z149" s="11"/>
      <c r="AA149" s="11"/>
      <c r="AB149" s="11"/>
    </row>
    <row r="150" ht="15.75" customHeight="1">
      <c r="A150" s="11"/>
      <c r="B150" s="11"/>
      <c r="C150" s="11"/>
      <c r="D150" s="11"/>
      <c r="E150" s="11"/>
      <c r="F150" s="30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297"/>
      <c r="V150" s="11"/>
      <c r="W150" s="11"/>
      <c r="X150" s="11"/>
      <c r="Y150" s="11"/>
      <c r="Z150" s="11"/>
      <c r="AA150" s="11"/>
      <c r="AB150" s="11"/>
    </row>
    <row r="151" ht="15.75" customHeight="1">
      <c r="A151" s="11"/>
      <c r="B151" s="11"/>
      <c r="C151" s="11"/>
      <c r="D151" s="11"/>
      <c r="E151" s="11"/>
      <c r="F151" s="30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297"/>
      <c r="V151" s="11"/>
      <c r="W151" s="11"/>
      <c r="X151" s="11"/>
      <c r="Y151" s="11"/>
      <c r="Z151" s="11"/>
      <c r="AA151" s="11"/>
      <c r="AB151" s="11"/>
    </row>
    <row r="152" ht="15.75" customHeight="1">
      <c r="A152" s="11"/>
      <c r="B152" s="11"/>
      <c r="C152" s="11"/>
      <c r="D152" s="11"/>
      <c r="E152" s="11"/>
      <c r="F152" s="30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297"/>
      <c r="V152" s="11"/>
      <c r="W152" s="11"/>
      <c r="X152" s="11"/>
      <c r="Y152" s="11"/>
      <c r="Z152" s="11"/>
      <c r="AA152" s="11"/>
      <c r="AB152" s="11"/>
    </row>
    <row r="153" ht="15.75" customHeight="1">
      <c r="A153" s="11"/>
      <c r="B153" s="11"/>
      <c r="C153" s="11"/>
      <c r="D153" s="11"/>
      <c r="E153" s="11"/>
      <c r="F153" s="30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297"/>
      <c r="V153" s="11"/>
      <c r="W153" s="11"/>
      <c r="X153" s="11"/>
      <c r="Y153" s="11"/>
      <c r="Z153" s="11"/>
      <c r="AA153" s="11"/>
      <c r="AB153" s="11"/>
    </row>
    <row r="154" ht="15.75" customHeight="1">
      <c r="A154" s="11"/>
      <c r="B154" s="11"/>
      <c r="C154" s="11"/>
      <c r="D154" s="11"/>
      <c r="E154" s="11"/>
      <c r="F154" s="30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297"/>
      <c r="V154" s="11"/>
      <c r="W154" s="11"/>
      <c r="X154" s="11"/>
      <c r="Y154" s="11"/>
      <c r="Z154" s="11"/>
      <c r="AA154" s="11"/>
      <c r="AB154" s="11"/>
    </row>
    <row r="155" ht="15.75" customHeight="1">
      <c r="A155" s="11"/>
      <c r="B155" s="11"/>
      <c r="C155" s="11"/>
      <c r="D155" s="11"/>
      <c r="E155" s="11"/>
      <c r="F155" s="30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297"/>
      <c r="V155" s="11"/>
      <c r="W155" s="11"/>
      <c r="X155" s="11"/>
      <c r="Y155" s="11"/>
      <c r="Z155" s="11"/>
      <c r="AA155" s="11"/>
      <c r="AB155" s="11"/>
    </row>
    <row r="156" ht="15.75" customHeight="1">
      <c r="A156" s="11"/>
      <c r="B156" s="11"/>
      <c r="C156" s="11"/>
      <c r="D156" s="11"/>
      <c r="E156" s="11"/>
      <c r="F156" s="30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297"/>
      <c r="V156" s="11"/>
      <c r="W156" s="11"/>
      <c r="X156" s="11"/>
      <c r="Y156" s="11"/>
      <c r="Z156" s="11"/>
      <c r="AA156" s="11"/>
      <c r="AB156" s="11"/>
    </row>
    <row r="157" ht="15.75" customHeight="1">
      <c r="A157" s="11"/>
      <c r="B157" s="11"/>
      <c r="C157" s="11"/>
      <c r="D157" s="11"/>
      <c r="E157" s="11"/>
      <c r="F157" s="30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297"/>
      <c r="V157" s="11"/>
      <c r="W157" s="11"/>
      <c r="X157" s="11"/>
      <c r="Y157" s="11"/>
      <c r="Z157" s="11"/>
      <c r="AA157" s="11"/>
      <c r="AB157" s="11"/>
    </row>
    <row r="158" ht="15.75" customHeight="1">
      <c r="A158" s="11"/>
      <c r="B158" s="11"/>
      <c r="C158" s="11"/>
      <c r="D158" s="11"/>
      <c r="E158" s="11"/>
      <c r="F158" s="30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297"/>
      <c r="V158" s="11"/>
      <c r="W158" s="11"/>
      <c r="X158" s="11"/>
      <c r="Y158" s="11"/>
      <c r="Z158" s="11"/>
      <c r="AA158" s="11"/>
      <c r="AB158" s="11"/>
    </row>
    <row r="159" ht="15.75" customHeight="1">
      <c r="A159" s="11"/>
      <c r="B159" s="11"/>
      <c r="C159" s="11"/>
      <c r="D159" s="11"/>
      <c r="E159" s="11"/>
      <c r="F159" s="30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297"/>
      <c r="V159" s="11"/>
      <c r="W159" s="11"/>
      <c r="X159" s="11"/>
      <c r="Y159" s="11"/>
      <c r="Z159" s="11"/>
      <c r="AA159" s="11"/>
      <c r="AB159" s="11"/>
    </row>
    <row r="160" ht="15.75" customHeight="1">
      <c r="A160" s="11"/>
      <c r="B160" s="11"/>
      <c r="C160" s="11"/>
      <c r="D160" s="11"/>
      <c r="E160" s="11"/>
      <c r="F160" s="30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297"/>
      <c r="V160" s="11"/>
      <c r="W160" s="11"/>
      <c r="X160" s="11"/>
      <c r="Y160" s="11"/>
      <c r="Z160" s="11"/>
      <c r="AA160" s="11"/>
      <c r="AB160" s="11"/>
    </row>
    <row r="161" ht="15.75" customHeight="1">
      <c r="A161" s="11"/>
      <c r="B161" s="11"/>
      <c r="C161" s="11"/>
      <c r="D161" s="11"/>
      <c r="E161" s="11"/>
      <c r="F161" s="30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297"/>
      <c r="V161" s="11"/>
      <c r="W161" s="11"/>
      <c r="X161" s="11"/>
      <c r="Y161" s="11"/>
      <c r="Z161" s="11"/>
      <c r="AA161" s="11"/>
      <c r="AB161" s="11"/>
    </row>
    <row r="162" ht="15.75" customHeight="1">
      <c r="A162" s="11"/>
      <c r="B162" s="11"/>
      <c r="C162" s="11"/>
      <c r="D162" s="11"/>
      <c r="E162" s="11"/>
      <c r="F162" s="30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297"/>
      <c r="V162" s="11"/>
      <c r="W162" s="11"/>
      <c r="X162" s="11"/>
      <c r="Y162" s="11"/>
      <c r="Z162" s="11"/>
      <c r="AA162" s="11"/>
      <c r="AB162" s="11"/>
    </row>
    <row r="163" ht="15.75" customHeight="1">
      <c r="A163" s="11"/>
      <c r="B163" s="11"/>
      <c r="C163" s="11"/>
      <c r="D163" s="11"/>
      <c r="E163" s="11"/>
      <c r="F163" s="30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297"/>
      <c r="V163" s="11"/>
      <c r="W163" s="11"/>
      <c r="X163" s="11"/>
      <c r="Y163" s="11"/>
      <c r="Z163" s="11"/>
      <c r="AA163" s="11"/>
      <c r="AB163" s="11"/>
    </row>
    <row r="164" ht="15.75" customHeight="1">
      <c r="A164" s="11"/>
      <c r="B164" s="11"/>
      <c r="C164" s="11"/>
      <c r="D164" s="11"/>
      <c r="E164" s="11"/>
      <c r="F164" s="30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297"/>
      <c r="V164" s="11"/>
      <c r="W164" s="11"/>
      <c r="X164" s="11"/>
      <c r="Y164" s="11"/>
      <c r="Z164" s="11"/>
      <c r="AA164" s="11"/>
      <c r="AB164" s="11"/>
    </row>
    <row r="165" ht="15.75" customHeight="1">
      <c r="A165" s="11"/>
      <c r="B165" s="11"/>
      <c r="C165" s="11"/>
      <c r="D165" s="11"/>
      <c r="E165" s="11"/>
      <c r="F165" s="30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297"/>
      <c r="V165" s="11"/>
      <c r="W165" s="11"/>
      <c r="X165" s="11"/>
      <c r="Y165" s="11"/>
      <c r="Z165" s="11"/>
      <c r="AA165" s="11"/>
      <c r="AB165" s="11"/>
    </row>
    <row r="166" ht="15.75" customHeight="1">
      <c r="A166" s="11"/>
      <c r="B166" s="11"/>
      <c r="C166" s="11"/>
      <c r="D166" s="11"/>
      <c r="E166" s="11"/>
      <c r="F166" s="30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297"/>
      <c r="V166" s="11"/>
      <c r="W166" s="11"/>
      <c r="X166" s="11"/>
      <c r="Y166" s="11"/>
      <c r="Z166" s="11"/>
      <c r="AA166" s="11"/>
      <c r="AB166" s="11"/>
    </row>
    <row r="167" ht="15.75" customHeight="1">
      <c r="A167" s="11"/>
      <c r="B167" s="11"/>
      <c r="C167" s="11"/>
      <c r="D167" s="11"/>
      <c r="E167" s="11"/>
      <c r="F167" s="30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297"/>
      <c r="V167" s="11"/>
      <c r="W167" s="11"/>
      <c r="X167" s="11"/>
      <c r="Y167" s="11"/>
      <c r="Z167" s="11"/>
      <c r="AA167" s="11"/>
      <c r="AB167" s="11"/>
    </row>
    <row r="168" ht="15.75" customHeight="1">
      <c r="A168" s="11"/>
      <c r="B168" s="11"/>
      <c r="C168" s="11"/>
      <c r="D168" s="11"/>
      <c r="E168" s="11"/>
      <c r="F168" s="30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297"/>
      <c r="V168" s="11"/>
      <c r="W168" s="11"/>
      <c r="X168" s="11"/>
      <c r="Y168" s="11"/>
      <c r="Z168" s="11"/>
      <c r="AA168" s="11"/>
      <c r="AB168" s="11"/>
    </row>
    <row r="169" ht="15.75" customHeight="1">
      <c r="A169" s="11"/>
      <c r="B169" s="11"/>
      <c r="C169" s="11"/>
      <c r="D169" s="11"/>
      <c r="E169" s="11"/>
      <c r="F169" s="30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297"/>
      <c r="V169" s="11"/>
      <c r="W169" s="11"/>
      <c r="X169" s="11"/>
      <c r="Y169" s="11"/>
      <c r="Z169" s="11"/>
      <c r="AA169" s="11"/>
      <c r="AB169" s="11"/>
    </row>
    <row r="170" ht="15.75" customHeight="1">
      <c r="A170" s="11"/>
      <c r="B170" s="11"/>
      <c r="C170" s="11"/>
      <c r="D170" s="11"/>
      <c r="E170" s="11"/>
      <c r="F170" s="30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297"/>
      <c r="V170" s="11"/>
      <c r="W170" s="11"/>
      <c r="X170" s="11"/>
      <c r="Y170" s="11"/>
      <c r="Z170" s="11"/>
      <c r="AA170" s="11"/>
      <c r="AB170" s="11"/>
    </row>
    <row r="171" ht="15.75" customHeight="1">
      <c r="A171" s="11"/>
      <c r="B171" s="11"/>
      <c r="C171" s="11"/>
      <c r="D171" s="11"/>
      <c r="E171" s="11"/>
      <c r="F171" s="30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297"/>
      <c r="V171" s="11"/>
      <c r="W171" s="11"/>
      <c r="X171" s="11"/>
      <c r="Y171" s="11"/>
      <c r="Z171" s="11"/>
      <c r="AA171" s="11"/>
      <c r="AB171" s="11"/>
    </row>
    <row r="172" ht="15.75" customHeight="1">
      <c r="A172" s="11"/>
      <c r="B172" s="11"/>
      <c r="C172" s="11"/>
      <c r="D172" s="11"/>
      <c r="E172" s="11"/>
      <c r="F172" s="30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297"/>
      <c r="V172" s="11"/>
      <c r="W172" s="11"/>
      <c r="X172" s="11"/>
      <c r="Y172" s="11"/>
      <c r="Z172" s="11"/>
      <c r="AA172" s="11"/>
      <c r="AB172" s="11"/>
    </row>
    <row r="173" ht="15.75" customHeight="1">
      <c r="A173" s="11"/>
      <c r="B173" s="11"/>
      <c r="C173" s="11"/>
      <c r="D173" s="11"/>
      <c r="E173" s="11"/>
      <c r="F173" s="30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297"/>
      <c r="V173" s="11"/>
      <c r="W173" s="11"/>
      <c r="X173" s="11"/>
      <c r="Y173" s="11"/>
      <c r="Z173" s="11"/>
      <c r="AA173" s="11"/>
      <c r="AB173" s="11"/>
    </row>
    <row r="174" ht="15.75" customHeight="1">
      <c r="A174" s="11"/>
      <c r="B174" s="11"/>
      <c r="C174" s="11"/>
      <c r="D174" s="11"/>
      <c r="E174" s="11"/>
      <c r="F174" s="30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297"/>
      <c r="V174" s="11"/>
      <c r="W174" s="11"/>
      <c r="X174" s="11"/>
      <c r="Y174" s="11"/>
      <c r="Z174" s="11"/>
      <c r="AA174" s="11"/>
      <c r="AB174" s="11"/>
    </row>
    <row r="175" ht="15.75" customHeight="1">
      <c r="A175" s="11"/>
      <c r="B175" s="11"/>
      <c r="C175" s="11"/>
      <c r="D175" s="11"/>
      <c r="E175" s="11"/>
      <c r="F175" s="30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297"/>
      <c r="V175" s="11"/>
      <c r="W175" s="11"/>
      <c r="X175" s="11"/>
      <c r="Y175" s="11"/>
      <c r="Z175" s="11"/>
      <c r="AA175" s="11"/>
      <c r="AB175" s="11"/>
    </row>
    <row r="176" ht="15.75" customHeight="1">
      <c r="A176" s="11"/>
      <c r="B176" s="11"/>
      <c r="C176" s="11"/>
      <c r="D176" s="11"/>
      <c r="E176" s="11"/>
      <c r="F176" s="30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297"/>
      <c r="V176" s="11"/>
      <c r="W176" s="11"/>
      <c r="X176" s="11"/>
      <c r="Y176" s="11"/>
      <c r="Z176" s="11"/>
      <c r="AA176" s="11"/>
      <c r="AB176" s="11"/>
    </row>
    <row r="177" ht="15.75" customHeight="1">
      <c r="A177" s="11"/>
      <c r="B177" s="11"/>
      <c r="C177" s="11"/>
      <c r="D177" s="11"/>
      <c r="E177" s="11"/>
      <c r="F177" s="30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297"/>
      <c r="V177" s="11"/>
      <c r="W177" s="11"/>
      <c r="X177" s="11"/>
      <c r="Y177" s="11"/>
      <c r="Z177" s="11"/>
      <c r="AA177" s="11"/>
      <c r="AB177" s="11"/>
    </row>
    <row r="178" ht="15.75" customHeight="1">
      <c r="A178" s="11"/>
      <c r="B178" s="11"/>
      <c r="C178" s="11"/>
      <c r="D178" s="11"/>
      <c r="E178" s="11"/>
      <c r="F178" s="30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297"/>
      <c r="V178" s="11"/>
      <c r="W178" s="11"/>
      <c r="X178" s="11"/>
      <c r="Y178" s="11"/>
      <c r="Z178" s="11"/>
      <c r="AA178" s="11"/>
      <c r="AB178" s="11"/>
    </row>
    <row r="179" ht="15.75" customHeight="1">
      <c r="A179" s="11"/>
      <c r="B179" s="11"/>
      <c r="C179" s="11"/>
      <c r="D179" s="11"/>
      <c r="E179" s="11"/>
      <c r="F179" s="30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297"/>
      <c r="V179" s="11"/>
      <c r="W179" s="11"/>
      <c r="X179" s="11"/>
      <c r="Y179" s="11"/>
      <c r="Z179" s="11"/>
      <c r="AA179" s="11"/>
      <c r="AB179" s="11"/>
    </row>
    <row r="180" ht="15.75" customHeight="1">
      <c r="A180" s="11"/>
      <c r="B180" s="11"/>
      <c r="C180" s="11"/>
      <c r="D180" s="11"/>
      <c r="E180" s="11"/>
      <c r="F180" s="30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297"/>
      <c r="V180" s="11"/>
      <c r="W180" s="11"/>
      <c r="X180" s="11"/>
      <c r="Y180" s="11"/>
      <c r="Z180" s="11"/>
      <c r="AA180" s="11"/>
      <c r="AB180" s="11"/>
    </row>
    <row r="181" ht="15.75" customHeight="1">
      <c r="A181" s="11"/>
      <c r="B181" s="11"/>
      <c r="C181" s="11"/>
      <c r="D181" s="11"/>
      <c r="E181" s="11"/>
      <c r="F181" s="30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297"/>
      <c r="V181" s="11"/>
      <c r="W181" s="11"/>
      <c r="X181" s="11"/>
      <c r="Y181" s="11"/>
      <c r="Z181" s="11"/>
      <c r="AA181" s="11"/>
      <c r="AB181" s="11"/>
    </row>
    <row r="182" ht="15.75" customHeight="1">
      <c r="A182" s="11"/>
      <c r="B182" s="11"/>
      <c r="C182" s="11"/>
      <c r="D182" s="11"/>
      <c r="E182" s="11"/>
      <c r="F182" s="30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297"/>
      <c r="V182" s="11"/>
      <c r="W182" s="11"/>
      <c r="X182" s="11"/>
      <c r="Y182" s="11"/>
      <c r="Z182" s="11"/>
      <c r="AA182" s="11"/>
      <c r="AB182" s="11"/>
    </row>
    <row r="183" ht="15.75" customHeight="1">
      <c r="A183" s="11"/>
      <c r="B183" s="11"/>
      <c r="C183" s="11"/>
      <c r="D183" s="11"/>
      <c r="E183" s="11"/>
      <c r="F183" s="30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297"/>
      <c r="V183" s="11"/>
      <c r="W183" s="11"/>
      <c r="X183" s="11"/>
      <c r="Y183" s="11"/>
      <c r="Z183" s="11"/>
      <c r="AA183" s="11"/>
      <c r="AB183" s="11"/>
    </row>
    <row r="184" ht="15.75" customHeight="1">
      <c r="A184" s="11"/>
      <c r="B184" s="11"/>
      <c r="C184" s="11"/>
      <c r="D184" s="11"/>
      <c r="E184" s="11"/>
      <c r="F184" s="30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297"/>
      <c r="V184" s="11"/>
      <c r="W184" s="11"/>
      <c r="X184" s="11"/>
      <c r="Y184" s="11"/>
      <c r="Z184" s="11"/>
      <c r="AA184" s="11"/>
      <c r="AB184" s="11"/>
    </row>
    <row r="185" ht="15.75" customHeight="1">
      <c r="A185" s="11"/>
      <c r="B185" s="11"/>
      <c r="C185" s="11"/>
      <c r="D185" s="11"/>
      <c r="E185" s="11"/>
      <c r="F185" s="30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297"/>
      <c r="V185" s="11"/>
      <c r="W185" s="11"/>
      <c r="X185" s="11"/>
      <c r="Y185" s="11"/>
      <c r="Z185" s="11"/>
      <c r="AA185" s="11"/>
      <c r="AB185" s="11"/>
    </row>
    <row r="186" ht="15.75" customHeight="1">
      <c r="A186" s="11"/>
      <c r="B186" s="11"/>
      <c r="C186" s="11"/>
      <c r="D186" s="11"/>
      <c r="E186" s="11"/>
      <c r="F186" s="30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ht="15.75" customHeight="1">
      <c r="A187" s="11"/>
      <c r="B187" s="11"/>
      <c r="C187" s="11"/>
      <c r="D187" s="11"/>
      <c r="E187" s="11"/>
      <c r="F187" s="30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ht="15.75" customHeight="1">
      <c r="A188" s="11"/>
      <c r="B188" s="11"/>
      <c r="C188" s="11"/>
      <c r="D188" s="11"/>
      <c r="E188" s="11"/>
      <c r="F188" s="30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ht="15.75" customHeight="1">
      <c r="A189" s="11"/>
      <c r="B189" s="11"/>
      <c r="C189" s="11"/>
      <c r="D189" s="11"/>
      <c r="E189" s="11"/>
      <c r="F189" s="30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ht="15.75" customHeight="1">
      <c r="A190" s="11"/>
      <c r="B190" s="11"/>
      <c r="C190" s="11"/>
      <c r="D190" s="11"/>
      <c r="E190" s="11"/>
      <c r="F190" s="30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ht="15.75" customHeight="1">
      <c r="A191" s="11"/>
      <c r="B191" s="11"/>
      <c r="C191" s="11"/>
      <c r="D191" s="11"/>
      <c r="E191" s="11"/>
      <c r="F191" s="30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ht="15.75" customHeight="1">
      <c r="A192" s="11"/>
      <c r="B192" s="11"/>
      <c r="C192" s="11"/>
      <c r="D192" s="11"/>
      <c r="E192" s="11"/>
      <c r="F192" s="30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ht="15.75" customHeight="1">
      <c r="A193" s="11"/>
      <c r="B193" s="11"/>
      <c r="C193" s="11"/>
      <c r="D193" s="11"/>
      <c r="E193" s="11"/>
      <c r="F193" s="30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ht="15.75" customHeight="1">
      <c r="A194" s="11"/>
      <c r="B194" s="11"/>
      <c r="C194" s="11"/>
      <c r="D194" s="11"/>
      <c r="E194" s="11"/>
      <c r="F194" s="30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ht="15.75" customHeight="1">
      <c r="A195" s="11"/>
      <c r="B195" s="11"/>
      <c r="C195" s="11"/>
      <c r="D195" s="11"/>
      <c r="E195" s="11"/>
      <c r="F195" s="30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ht="15.75" customHeight="1">
      <c r="A196" s="11"/>
      <c r="B196" s="11"/>
      <c r="C196" s="11"/>
      <c r="D196" s="11"/>
      <c r="E196" s="11"/>
      <c r="F196" s="30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ht="15.75" customHeight="1">
      <c r="A197" s="11"/>
      <c r="B197" s="11"/>
      <c r="C197" s="11"/>
      <c r="D197" s="11"/>
      <c r="E197" s="11"/>
      <c r="F197" s="30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ht="15.75" customHeight="1">
      <c r="A198" s="11"/>
      <c r="B198" s="11"/>
      <c r="C198" s="11"/>
      <c r="D198" s="11"/>
      <c r="E198" s="11"/>
      <c r="F198" s="30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ht="15.75" customHeight="1">
      <c r="A199" s="11"/>
      <c r="B199" s="11"/>
      <c r="C199" s="11"/>
      <c r="D199" s="11"/>
      <c r="E199" s="11"/>
      <c r="F199" s="30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ht="15.75" customHeight="1">
      <c r="A200" s="11"/>
      <c r="B200" s="11"/>
      <c r="C200" s="11"/>
      <c r="D200" s="11"/>
      <c r="E200" s="11"/>
      <c r="F200" s="30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ht="15.75" customHeight="1">
      <c r="A201" s="11"/>
      <c r="B201" s="11"/>
      <c r="C201" s="11"/>
      <c r="D201" s="11"/>
      <c r="E201" s="11"/>
      <c r="F201" s="30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ht="15.75" customHeight="1">
      <c r="A202" s="11"/>
      <c r="B202" s="11"/>
      <c r="C202" s="11"/>
      <c r="D202" s="11"/>
      <c r="E202" s="11"/>
      <c r="F202" s="30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ht="15.75" customHeight="1">
      <c r="A203" s="11"/>
      <c r="B203" s="11"/>
      <c r="C203" s="11"/>
      <c r="D203" s="11"/>
      <c r="E203" s="11"/>
      <c r="F203" s="30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ht="15.75" customHeight="1">
      <c r="A204" s="11"/>
      <c r="B204" s="11"/>
      <c r="C204" s="11"/>
      <c r="D204" s="11"/>
      <c r="E204" s="11"/>
      <c r="F204" s="30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ht="15.75" customHeight="1">
      <c r="A205" s="11"/>
      <c r="B205" s="11"/>
      <c r="C205" s="11"/>
      <c r="D205" s="11"/>
      <c r="E205" s="11"/>
      <c r="F205" s="30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ht="15.75" customHeight="1">
      <c r="A206" s="11"/>
      <c r="B206" s="11"/>
      <c r="C206" s="11"/>
      <c r="D206" s="11"/>
      <c r="E206" s="11"/>
      <c r="F206" s="30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ht="15.75" customHeight="1">
      <c r="A207" s="11"/>
      <c r="B207" s="11"/>
      <c r="C207" s="11"/>
      <c r="D207" s="11"/>
      <c r="E207" s="11"/>
      <c r="F207" s="30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ht="15.75" customHeight="1">
      <c r="A208" s="11"/>
      <c r="B208" s="11"/>
      <c r="C208" s="11"/>
      <c r="D208" s="11"/>
      <c r="E208" s="11"/>
      <c r="F208" s="30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ht="15.75" customHeight="1">
      <c r="A209" s="11"/>
      <c r="B209" s="11"/>
      <c r="C209" s="11"/>
      <c r="D209" s="11"/>
      <c r="E209" s="11"/>
      <c r="F209" s="30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ht="15.75" customHeight="1">
      <c r="A210" s="11"/>
      <c r="B210" s="11"/>
      <c r="C210" s="11"/>
      <c r="D210" s="11"/>
      <c r="E210" s="11"/>
      <c r="F210" s="30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ht="15.75" customHeight="1">
      <c r="A211" s="11"/>
      <c r="B211" s="11"/>
      <c r="C211" s="11"/>
      <c r="D211" s="11"/>
      <c r="E211" s="11"/>
      <c r="F211" s="30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ht="15.75" customHeight="1">
      <c r="A212" s="11"/>
      <c r="B212" s="11"/>
      <c r="C212" s="11"/>
      <c r="D212" s="11"/>
      <c r="E212" s="11"/>
      <c r="F212" s="30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ht="15.75" customHeight="1">
      <c r="A213" s="11"/>
      <c r="B213" s="11"/>
      <c r="C213" s="11"/>
      <c r="D213" s="11"/>
      <c r="E213" s="11"/>
      <c r="F213" s="30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ht="15.75" customHeight="1">
      <c r="A214" s="11"/>
      <c r="B214" s="11"/>
      <c r="C214" s="11"/>
      <c r="D214" s="11"/>
      <c r="E214" s="11"/>
      <c r="F214" s="30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ht="15.75" customHeight="1">
      <c r="A215" s="11"/>
      <c r="B215" s="11"/>
      <c r="C215" s="11"/>
      <c r="D215" s="11"/>
      <c r="E215" s="11"/>
      <c r="F215" s="30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ht="15.75" customHeight="1">
      <c r="A216" s="11"/>
      <c r="B216" s="11"/>
      <c r="C216" s="11"/>
      <c r="D216" s="11"/>
      <c r="E216" s="11"/>
      <c r="F216" s="30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ht="15.75" customHeight="1">
      <c r="A217" s="11"/>
      <c r="B217" s="11"/>
      <c r="C217" s="11"/>
      <c r="D217" s="11"/>
      <c r="E217" s="11"/>
      <c r="F217" s="30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ht="15.75" customHeight="1">
      <c r="A218" s="11"/>
      <c r="B218" s="11"/>
      <c r="C218" s="11"/>
      <c r="D218" s="11"/>
      <c r="E218" s="11"/>
      <c r="F218" s="30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ht="15.75" customHeight="1">
      <c r="A219" s="11"/>
      <c r="B219" s="11"/>
      <c r="C219" s="11"/>
      <c r="D219" s="11"/>
      <c r="E219" s="11"/>
      <c r="F219" s="30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ht="15.75" customHeight="1">
      <c r="A220" s="11"/>
      <c r="B220" s="11"/>
      <c r="C220" s="11"/>
      <c r="D220" s="11"/>
      <c r="E220" s="11"/>
      <c r="F220" s="30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ht="15.75" customHeight="1">
      <c r="A221" s="11"/>
      <c r="B221" s="11"/>
      <c r="C221" s="11"/>
      <c r="D221" s="11"/>
      <c r="E221" s="11"/>
      <c r="F221" s="30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ht="15.75" customHeight="1">
      <c r="A222" s="11"/>
      <c r="B222" s="11"/>
      <c r="C222" s="11"/>
      <c r="D222" s="11"/>
      <c r="E222" s="11"/>
      <c r="F222" s="30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ht="15.75" customHeight="1">
      <c r="A223" s="11"/>
      <c r="B223" s="11"/>
      <c r="C223" s="11"/>
      <c r="D223" s="11"/>
      <c r="E223" s="11"/>
      <c r="F223" s="30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ht="15.75" customHeight="1">
      <c r="A224" s="11"/>
      <c r="B224" s="11"/>
      <c r="C224" s="11"/>
      <c r="D224" s="11"/>
      <c r="E224" s="11"/>
      <c r="F224" s="30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ht="15.75" customHeight="1">
      <c r="A225" s="11"/>
      <c r="B225" s="11"/>
      <c r="C225" s="11"/>
      <c r="D225" s="11"/>
      <c r="E225" s="11"/>
      <c r="F225" s="30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ht="15.75" customHeight="1">
      <c r="A226" s="11"/>
      <c r="B226" s="11"/>
      <c r="C226" s="11"/>
      <c r="D226" s="11"/>
      <c r="E226" s="11"/>
      <c r="F226" s="30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ht="15.75" customHeight="1">
      <c r="A227" s="11"/>
      <c r="B227" s="11"/>
      <c r="C227" s="11"/>
      <c r="D227" s="11"/>
      <c r="E227" s="11"/>
      <c r="F227" s="30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ht="15.75" customHeight="1">
      <c r="A228" s="11"/>
      <c r="B228" s="11"/>
      <c r="C228" s="11"/>
      <c r="D228" s="11"/>
      <c r="E228" s="11"/>
      <c r="F228" s="30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ht="15.75" customHeight="1">
      <c r="A229" s="11"/>
      <c r="B229" s="11"/>
      <c r="C229" s="11"/>
      <c r="D229" s="11"/>
      <c r="E229" s="11"/>
      <c r="F229" s="30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ht="15.75" customHeight="1">
      <c r="A230" s="11"/>
      <c r="B230" s="11"/>
      <c r="C230" s="11"/>
      <c r="D230" s="11"/>
      <c r="E230" s="11"/>
      <c r="F230" s="30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ht="15.75" customHeight="1">
      <c r="A231" s="11"/>
      <c r="B231" s="11"/>
      <c r="C231" s="11"/>
      <c r="D231" s="11"/>
      <c r="E231" s="11"/>
      <c r="F231" s="30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ht="15.75" customHeight="1">
      <c r="A232" s="11"/>
      <c r="B232" s="11"/>
      <c r="C232" s="11"/>
      <c r="D232" s="11"/>
      <c r="E232" s="11"/>
      <c r="F232" s="30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ht="15.75" customHeight="1">
      <c r="A233" s="11"/>
      <c r="B233" s="11"/>
      <c r="C233" s="11"/>
      <c r="D233" s="11"/>
      <c r="E233" s="11"/>
      <c r="F233" s="30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ht="15.75" customHeight="1">
      <c r="A234" s="11"/>
      <c r="B234" s="11"/>
      <c r="C234" s="11"/>
      <c r="D234" s="11"/>
      <c r="E234" s="11"/>
      <c r="F234" s="30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ht="15.75" customHeight="1">
      <c r="A235" s="11"/>
      <c r="B235" s="11"/>
      <c r="C235" s="11"/>
      <c r="D235" s="11"/>
      <c r="E235" s="11"/>
      <c r="F235" s="30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ht="15.75" customHeight="1">
      <c r="A236" s="11"/>
      <c r="B236" s="11"/>
      <c r="C236" s="11"/>
      <c r="D236" s="11"/>
      <c r="E236" s="11"/>
      <c r="F236" s="30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ht="15.75" customHeight="1">
      <c r="A237" s="11"/>
      <c r="B237" s="11"/>
      <c r="C237" s="11"/>
      <c r="D237" s="11"/>
      <c r="E237" s="11"/>
      <c r="F237" s="30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ht="15.75" customHeight="1">
      <c r="A238" s="11"/>
      <c r="B238" s="11"/>
      <c r="C238" s="11"/>
      <c r="D238" s="11"/>
      <c r="E238" s="11"/>
      <c r="F238" s="30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ht="15.75" customHeight="1">
      <c r="A239" s="11"/>
      <c r="B239" s="11"/>
      <c r="C239" s="11"/>
      <c r="D239" s="11"/>
      <c r="E239" s="11"/>
      <c r="F239" s="30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ht="15.75" customHeight="1">
      <c r="A240" s="11"/>
      <c r="B240" s="11"/>
      <c r="C240" s="11"/>
      <c r="D240" s="11"/>
      <c r="E240" s="11"/>
      <c r="F240" s="30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ht="15.75" customHeight="1">
      <c r="A241" s="11"/>
      <c r="B241" s="11"/>
      <c r="C241" s="11"/>
      <c r="D241" s="11"/>
      <c r="E241" s="11"/>
      <c r="F241" s="30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ht="15.75" customHeight="1">
      <c r="A242" s="11"/>
      <c r="B242" s="11"/>
      <c r="C242" s="11"/>
      <c r="D242" s="11"/>
      <c r="E242" s="11"/>
      <c r="F242" s="30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ht="15.75" customHeight="1">
      <c r="A243" s="11"/>
      <c r="B243" s="11"/>
      <c r="C243" s="11"/>
      <c r="D243" s="11"/>
      <c r="E243" s="11"/>
      <c r="F243" s="30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ht="15.75" customHeight="1">
      <c r="A244" s="11"/>
      <c r="B244" s="11"/>
      <c r="C244" s="11"/>
      <c r="D244" s="11"/>
      <c r="E244" s="11"/>
      <c r="F244" s="30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ht="15.75" customHeight="1">
      <c r="A245" s="11"/>
      <c r="B245" s="11"/>
      <c r="C245" s="11"/>
      <c r="D245" s="11"/>
      <c r="E245" s="11"/>
      <c r="F245" s="30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ht="15.75" customHeight="1">
      <c r="A246" s="11"/>
      <c r="B246" s="11"/>
      <c r="C246" s="11"/>
      <c r="D246" s="11"/>
      <c r="E246" s="11"/>
      <c r="F246" s="30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ht="15.75" customHeight="1">
      <c r="A247" s="11"/>
      <c r="B247" s="11"/>
      <c r="C247" s="11"/>
      <c r="D247" s="11"/>
      <c r="E247" s="11"/>
      <c r="F247" s="30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ht="15.75" customHeight="1">
      <c r="A248" s="11"/>
      <c r="B248" s="11"/>
      <c r="C248" s="11"/>
      <c r="D248" s="11"/>
      <c r="E248" s="11"/>
      <c r="F248" s="30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 ht="15.75" customHeight="1">
      <c r="A249" s="11"/>
      <c r="B249" s="11"/>
      <c r="C249" s="11"/>
      <c r="D249" s="11"/>
      <c r="E249" s="11"/>
      <c r="F249" s="30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 ht="15.75" customHeight="1">
      <c r="A250" s="11"/>
      <c r="B250" s="11"/>
      <c r="C250" s="11"/>
      <c r="D250" s="11"/>
      <c r="E250" s="11"/>
      <c r="F250" s="30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 ht="15.75" customHeight="1">
      <c r="A251" s="11"/>
      <c r="B251" s="11"/>
      <c r="C251" s="11"/>
      <c r="D251" s="11"/>
      <c r="E251" s="11"/>
      <c r="F251" s="30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 ht="15.75" customHeight="1">
      <c r="A252" s="11"/>
      <c r="B252" s="11"/>
      <c r="C252" s="11"/>
      <c r="D252" s="11"/>
      <c r="E252" s="11"/>
      <c r="F252" s="30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 ht="15.75" customHeight="1">
      <c r="A253" s="11"/>
      <c r="B253" s="11"/>
      <c r="C253" s="11"/>
      <c r="D253" s="11"/>
      <c r="E253" s="11"/>
      <c r="F253" s="30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 ht="15.75" customHeight="1">
      <c r="A254" s="11"/>
      <c r="B254" s="11"/>
      <c r="C254" s="11"/>
      <c r="D254" s="11"/>
      <c r="E254" s="11"/>
      <c r="F254" s="30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 ht="15.75" customHeight="1">
      <c r="A255" s="11"/>
      <c r="B255" s="11"/>
      <c r="C255" s="11"/>
      <c r="D255" s="11"/>
      <c r="E255" s="11"/>
      <c r="F255" s="30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 ht="15.75" customHeight="1">
      <c r="A256" s="11"/>
      <c r="B256" s="11"/>
      <c r="C256" s="11"/>
      <c r="D256" s="11"/>
      <c r="E256" s="11"/>
      <c r="F256" s="30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 ht="15.75" customHeight="1">
      <c r="A257" s="11"/>
      <c r="B257" s="11"/>
      <c r="C257" s="11"/>
      <c r="D257" s="11"/>
      <c r="E257" s="11"/>
      <c r="F257" s="30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 ht="15.75" customHeight="1">
      <c r="A258" s="11"/>
      <c r="B258" s="11"/>
      <c r="C258" s="11"/>
      <c r="D258" s="11"/>
      <c r="E258" s="11"/>
      <c r="F258" s="30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 ht="15.75" customHeight="1">
      <c r="A259" s="11"/>
      <c r="B259" s="11"/>
      <c r="C259" s="11"/>
      <c r="D259" s="11"/>
      <c r="E259" s="11"/>
      <c r="F259" s="30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 ht="15.75" customHeight="1">
      <c r="A260" s="11"/>
      <c r="B260" s="11"/>
      <c r="C260" s="11"/>
      <c r="D260" s="11"/>
      <c r="E260" s="11"/>
      <c r="F260" s="30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 ht="15.75" customHeight="1">
      <c r="A261" s="11"/>
      <c r="B261" s="11"/>
      <c r="C261" s="11"/>
      <c r="D261" s="11"/>
      <c r="E261" s="11"/>
      <c r="F261" s="30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 ht="15.75" customHeight="1">
      <c r="A262" s="11"/>
      <c r="B262" s="11"/>
      <c r="C262" s="11"/>
      <c r="D262" s="11"/>
      <c r="E262" s="11"/>
      <c r="F262" s="30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 ht="15.75" customHeight="1">
      <c r="A263" s="11"/>
      <c r="B263" s="11"/>
      <c r="C263" s="11"/>
      <c r="D263" s="11"/>
      <c r="E263" s="11"/>
      <c r="F263" s="30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 ht="15.75" customHeight="1">
      <c r="A264" s="11"/>
      <c r="B264" s="11"/>
      <c r="C264" s="11"/>
      <c r="D264" s="11"/>
      <c r="E264" s="11"/>
      <c r="F264" s="30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 ht="15.75" customHeight="1">
      <c r="A265" s="11"/>
      <c r="B265" s="11"/>
      <c r="C265" s="11"/>
      <c r="D265" s="11"/>
      <c r="E265" s="11"/>
      <c r="F265" s="30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 ht="15.75" customHeight="1">
      <c r="A266" s="11"/>
      <c r="B266" s="11"/>
      <c r="C266" s="11"/>
      <c r="D266" s="11"/>
      <c r="E266" s="11"/>
      <c r="F266" s="30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 ht="15.75" customHeight="1">
      <c r="A267" s="11"/>
      <c r="B267" s="11"/>
      <c r="C267" s="11"/>
      <c r="D267" s="11"/>
      <c r="E267" s="11"/>
      <c r="F267" s="30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 ht="15.75" customHeight="1">
      <c r="A268" s="11"/>
      <c r="B268" s="11"/>
      <c r="C268" s="11"/>
      <c r="D268" s="11"/>
      <c r="E268" s="11"/>
      <c r="F268" s="30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 ht="15.75" customHeight="1">
      <c r="A269" s="11"/>
      <c r="B269" s="11"/>
      <c r="C269" s="11"/>
      <c r="D269" s="11"/>
      <c r="E269" s="11"/>
      <c r="F269" s="30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 ht="15.75" customHeight="1">
      <c r="A270" s="11"/>
      <c r="B270" s="11"/>
      <c r="C270" s="11"/>
      <c r="D270" s="11"/>
      <c r="E270" s="11"/>
      <c r="F270" s="30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 ht="15.75" customHeight="1">
      <c r="A271" s="11"/>
      <c r="B271" s="11"/>
      <c r="C271" s="11"/>
      <c r="D271" s="11"/>
      <c r="E271" s="11"/>
      <c r="F271" s="30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 ht="15.75" customHeight="1">
      <c r="A272" s="11"/>
      <c r="B272" s="11"/>
      <c r="C272" s="11"/>
      <c r="D272" s="11"/>
      <c r="E272" s="11"/>
      <c r="F272" s="30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 ht="15.75" customHeight="1">
      <c r="A273" s="11"/>
      <c r="B273" s="11"/>
      <c r="C273" s="11"/>
      <c r="D273" s="11"/>
      <c r="E273" s="11"/>
      <c r="F273" s="30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 ht="15.75" customHeight="1">
      <c r="A274" s="11"/>
      <c r="B274" s="11"/>
      <c r="C274" s="11"/>
      <c r="D274" s="11"/>
      <c r="E274" s="11"/>
      <c r="F274" s="30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 ht="15.75" customHeight="1">
      <c r="A275" s="11"/>
      <c r="B275" s="11"/>
      <c r="C275" s="11"/>
      <c r="D275" s="11"/>
      <c r="E275" s="11"/>
      <c r="F275" s="30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mergeCells count="1">
    <mergeCell ref="A51:C51"/>
  </mergeCells>
  <conditionalFormatting sqref="I7:I92 D8:E90 F8:F91 G8:G90 H8:H92 J8:Q92 T8:T92 U9:U92">
    <cfRule type="cellIs" dxfId="1" priority="1" operator="lessThan">
      <formula>1</formula>
    </cfRule>
  </conditionalFormatting>
  <conditionalFormatting sqref="U1:U972">
    <cfRule type="cellIs" dxfId="2" priority="2" operator="lessThan">
      <formula>49.9</formula>
    </cfRule>
  </conditionalFormatting>
  <conditionalFormatting sqref="U1:U972">
    <cfRule type="cellIs" dxfId="3" priority="3" operator="greaterThanOrEqual">
      <formula>50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5.57"/>
    <col customWidth="1" min="3" max="3" width="32.0"/>
    <col customWidth="1" min="4" max="4" width="11.29"/>
    <col customWidth="1" min="5" max="5" width="11.0"/>
    <col customWidth="1" min="6" max="6" width="8.86"/>
    <col customWidth="1" min="7" max="7" width="6.57"/>
    <col customWidth="1" min="8" max="8" width="9.14"/>
    <col customWidth="1" min="9" max="9" width="8.57"/>
    <col customWidth="1" min="10" max="11" width="8.71"/>
    <col customWidth="1" min="12" max="12" width="9.29"/>
    <col customWidth="1" min="13" max="13" width="8.14"/>
    <col customWidth="1" min="14" max="14" width="7.71"/>
    <col customWidth="1" min="15" max="15" width="8.0"/>
    <col customWidth="1" min="16" max="16" width="7.71"/>
    <col customWidth="1" min="17" max="17" width="7.29"/>
    <col customWidth="1" min="18" max="18" width="13.43"/>
    <col customWidth="1" min="19" max="19" width="9.0"/>
    <col customWidth="1" min="20" max="20" width="16.57"/>
    <col customWidth="1" min="21" max="21" width="10.0"/>
  </cols>
  <sheetData>
    <row r="1">
      <c r="A1" s="326">
        <v>40.0</v>
      </c>
      <c r="B1" s="358" t="s">
        <v>130</v>
      </c>
      <c r="C1" s="359" t="s">
        <v>131</v>
      </c>
      <c r="D1" s="327">
        <v>0.0</v>
      </c>
      <c r="E1" s="327"/>
      <c r="F1" s="328"/>
      <c r="G1" s="329"/>
      <c r="H1" s="330"/>
      <c r="I1" s="331"/>
      <c r="J1" s="332"/>
      <c r="K1" s="333"/>
      <c r="L1" s="332"/>
      <c r="M1" s="333"/>
      <c r="N1" s="332"/>
      <c r="O1" s="333"/>
      <c r="P1" s="332"/>
      <c r="Q1" s="332"/>
      <c r="R1" s="332"/>
      <c r="S1" s="332"/>
      <c r="T1" s="334"/>
      <c r="U1" s="335"/>
      <c r="V1" s="336"/>
    </row>
    <row r="2">
      <c r="A2" s="337">
        <v>83.0</v>
      </c>
      <c r="B2" s="111" t="s">
        <v>217</v>
      </c>
      <c r="C2" s="112" t="s">
        <v>218</v>
      </c>
      <c r="D2" s="329">
        <v>0.0</v>
      </c>
      <c r="E2" s="329"/>
      <c r="F2" s="360"/>
      <c r="G2" s="329"/>
      <c r="H2" s="330"/>
      <c r="I2" s="331"/>
      <c r="J2" s="332"/>
      <c r="K2" s="333"/>
      <c r="L2" s="332"/>
      <c r="M2" s="333"/>
      <c r="N2" s="332"/>
      <c r="O2" s="333"/>
      <c r="P2" s="332"/>
      <c r="Q2" s="332"/>
      <c r="R2" s="332"/>
      <c r="S2" s="332"/>
      <c r="T2" s="334"/>
      <c r="U2" s="361"/>
      <c r="V2" s="362"/>
    </row>
    <row r="3">
      <c r="A3" s="326">
        <v>1.0</v>
      </c>
      <c r="B3" s="111" t="s">
        <v>51</v>
      </c>
      <c r="C3" s="112" t="s">
        <v>52</v>
      </c>
      <c r="D3" s="327">
        <v>1.0</v>
      </c>
      <c r="E3" s="338"/>
      <c r="F3" s="328"/>
      <c r="G3" s="329"/>
      <c r="H3" s="330"/>
      <c r="I3" s="331"/>
      <c r="J3" s="332"/>
      <c r="K3" s="333"/>
      <c r="L3" s="332"/>
      <c r="M3" s="333"/>
      <c r="N3" s="332"/>
      <c r="O3" s="333"/>
      <c r="P3" s="332"/>
      <c r="Q3" s="332"/>
      <c r="R3" s="332"/>
      <c r="S3" s="332"/>
      <c r="T3" s="334"/>
      <c r="U3" s="335"/>
      <c r="V3" s="336"/>
    </row>
    <row r="4">
      <c r="A4" s="326">
        <v>21.0</v>
      </c>
      <c r="B4" s="161" t="s">
        <v>92</v>
      </c>
      <c r="C4" s="162" t="s">
        <v>93</v>
      </c>
      <c r="D4" s="327">
        <v>1.0</v>
      </c>
      <c r="E4" s="327"/>
      <c r="F4" s="328"/>
      <c r="G4" s="329"/>
      <c r="H4" s="330"/>
      <c r="I4" s="331"/>
      <c r="J4" s="332"/>
      <c r="K4" s="333"/>
      <c r="L4" s="332"/>
      <c r="M4" s="333"/>
      <c r="N4" s="332"/>
      <c r="O4" s="333"/>
      <c r="P4" s="332"/>
      <c r="Q4" s="332"/>
      <c r="R4" s="332"/>
      <c r="S4" s="332"/>
      <c r="T4" s="334"/>
      <c r="U4" s="335"/>
      <c r="V4" s="336"/>
    </row>
    <row r="5">
      <c r="A5" s="337">
        <v>34.0</v>
      </c>
      <c r="B5" s="356" t="s">
        <v>118</v>
      </c>
      <c r="C5" s="357" t="s">
        <v>119</v>
      </c>
      <c r="D5" s="327">
        <v>2.0</v>
      </c>
      <c r="E5" s="338"/>
      <c r="F5" s="328"/>
      <c r="G5" s="329"/>
      <c r="H5" s="330"/>
      <c r="I5" s="331"/>
      <c r="J5" s="332"/>
      <c r="K5" s="333"/>
      <c r="L5" s="332"/>
      <c r="M5" s="333"/>
      <c r="N5" s="332"/>
      <c r="O5" s="333"/>
      <c r="P5" s="332"/>
      <c r="Q5" s="332"/>
      <c r="R5" s="332"/>
      <c r="S5" s="332"/>
      <c r="T5" s="334"/>
      <c r="U5" s="335"/>
      <c r="V5" s="336"/>
    </row>
    <row r="6">
      <c r="A6" s="326">
        <v>66.0</v>
      </c>
      <c r="B6" s="356" t="s">
        <v>183</v>
      </c>
      <c r="C6" s="357" t="s">
        <v>184</v>
      </c>
      <c r="D6" s="327">
        <v>4.0</v>
      </c>
      <c r="E6" s="327"/>
      <c r="F6" s="328"/>
      <c r="G6" s="327"/>
      <c r="H6" s="330"/>
      <c r="I6" s="331"/>
      <c r="J6" s="332"/>
      <c r="K6" s="333"/>
      <c r="L6" s="332"/>
      <c r="M6" s="333"/>
      <c r="N6" s="332"/>
      <c r="O6" s="333"/>
      <c r="P6" s="332"/>
      <c r="Q6" s="332"/>
      <c r="R6" s="332"/>
      <c r="S6" s="332"/>
      <c r="T6" s="334"/>
      <c r="U6" s="361"/>
      <c r="V6" s="336"/>
    </row>
    <row r="7">
      <c r="A7" s="326">
        <v>62.0</v>
      </c>
      <c r="B7" s="356" t="s">
        <v>175</v>
      </c>
      <c r="C7" s="357" t="s">
        <v>176</v>
      </c>
      <c r="D7" s="327">
        <v>8.0</v>
      </c>
      <c r="E7" s="327"/>
      <c r="F7" s="328"/>
      <c r="G7" s="327"/>
      <c r="H7" s="330"/>
      <c r="I7" s="331"/>
      <c r="J7" s="332"/>
      <c r="K7" s="333"/>
      <c r="L7" s="332"/>
      <c r="M7" s="333"/>
      <c r="N7" s="332"/>
      <c r="O7" s="333"/>
      <c r="P7" s="332"/>
      <c r="Q7" s="332"/>
      <c r="R7" s="332"/>
      <c r="S7" s="332"/>
      <c r="T7" s="334"/>
      <c r="U7" s="361"/>
      <c r="V7" s="336"/>
    </row>
    <row r="8">
      <c r="A8" s="337">
        <v>77.0</v>
      </c>
      <c r="B8" s="350" t="s">
        <v>205</v>
      </c>
      <c r="C8" s="351" t="s">
        <v>206</v>
      </c>
      <c r="D8" s="327">
        <v>17.0</v>
      </c>
      <c r="E8" s="327"/>
      <c r="F8" s="328"/>
      <c r="G8" s="327"/>
      <c r="H8" s="330"/>
      <c r="I8" s="331"/>
      <c r="J8" s="332"/>
      <c r="K8" s="333"/>
      <c r="L8" s="332"/>
      <c r="M8" s="333"/>
      <c r="N8" s="332"/>
      <c r="O8" s="333"/>
      <c r="P8" s="332"/>
      <c r="Q8" s="332"/>
      <c r="R8" s="332"/>
      <c r="S8" s="332"/>
      <c r="T8" s="334"/>
      <c r="U8" s="361"/>
      <c r="V8" s="336"/>
    </row>
    <row r="9">
      <c r="A9" s="326">
        <v>72.0</v>
      </c>
      <c r="B9" s="350" t="s">
        <v>195</v>
      </c>
      <c r="C9" s="351" t="s">
        <v>196</v>
      </c>
      <c r="D9" s="327">
        <v>18.0</v>
      </c>
      <c r="E9" s="346"/>
      <c r="F9" s="328"/>
      <c r="G9" s="327"/>
      <c r="H9" s="330"/>
      <c r="I9" s="331"/>
      <c r="J9" s="332"/>
      <c r="K9" s="333"/>
      <c r="L9" s="332"/>
      <c r="M9" s="333"/>
      <c r="N9" s="332"/>
      <c r="O9" s="333"/>
      <c r="P9" s="332"/>
      <c r="Q9" s="332"/>
      <c r="R9" s="332"/>
      <c r="S9" s="332"/>
      <c r="T9" s="334"/>
      <c r="U9" s="361"/>
      <c r="V9" s="336"/>
    </row>
    <row r="10">
      <c r="A10" s="363">
        <v>73.0</v>
      </c>
      <c r="B10" s="111" t="s">
        <v>197</v>
      </c>
      <c r="C10" s="112" t="s">
        <v>198</v>
      </c>
      <c r="D10" s="327">
        <v>18.0</v>
      </c>
      <c r="E10" s="327"/>
      <c r="F10" s="328"/>
      <c r="G10" s="327"/>
      <c r="H10" s="330"/>
      <c r="I10" s="331"/>
      <c r="J10" s="332"/>
      <c r="K10" s="333"/>
      <c r="L10" s="332"/>
      <c r="M10" s="333"/>
      <c r="N10" s="332"/>
      <c r="O10" s="333"/>
      <c r="P10" s="332"/>
      <c r="Q10" s="332"/>
      <c r="R10" s="332"/>
      <c r="S10" s="332"/>
      <c r="T10" s="334"/>
      <c r="U10" s="361"/>
      <c r="V10" s="336"/>
    </row>
    <row r="11">
      <c r="A11" s="337">
        <v>7.0</v>
      </c>
      <c r="B11" s="111" t="s">
        <v>64</v>
      </c>
      <c r="C11" s="112" t="s">
        <v>65</v>
      </c>
      <c r="D11" s="327">
        <v>19.0</v>
      </c>
      <c r="E11" s="346"/>
      <c r="F11" s="328"/>
      <c r="G11" s="329"/>
      <c r="H11" s="330"/>
      <c r="I11" s="331"/>
      <c r="J11" s="332"/>
      <c r="K11" s="333"/>
      <c r="L11" s="332"/>
      <c r="M11" s="333"/>
      <c r="N11" s="332"/>
      <c r="O11" s="333"/>
      <c r="P11" s="332"/>
      <c r="Q11" s="332"/>
      <c r="R11" s="332"/>
      <c r="S11" s="332"/>
      <c r="T11" s="334"/>
      <c r="U11" s="335"/>
      <c r="V11" s="336"/>
    </row>
    <row r="12">
      <c r="A12" s="326">
        <v>74.0</v>
      </c>
      <c r="B12" s="111" t="s">
        <v>199</v>
      </c>
      <c r="C12" s="112" t="s">
        <v>200</v>
      </c>
      <c r="D12" s="327">
        <v>27.0</v>
      </c>
      <c r="E12" s="327"/>
      <c r="F12" s="328"/>
      <c r="G12" s="327"/>
      <c r="H12" s="330"/>
      <c r="I12" s="331"/>
      <c r="J12" s="332"/>
      <c r="K12" s="333"/>
      <c r="L12" s="332"/>
      <c r="M12" s="333"/>
      <c r="N12" s="332"/>
      <c r="O12" s="333"/>
      <c r="P12" s="332"/>
      <c r="Q12" s="332"/>
      <c r="R12" s="332"/>
      <c r="S12" s="332"/>
      <c r="T12" s="334"/>
      <c r="U12" s="361"/>
      <c r="V12" s="336"/>
    </row>
    <row r="13">
      <c r="A13" s="326">
        <v>69.0</v>
      </c>
      <c r="B13" s="111" t="s">
        <v>189</v>
      </c>
      <c r="C13" s="112" t="s">
        <v>190</v>
      </c>
      <c r="D13" s="327">
        <v>30.0</v>
      </c>
      <c r="E13" s="346"/>
      <c r="F13" s="328"/>
      <c r="G13" s="327"/>
      <c r="H13" s="330"/>
      <c r="I13" s="331"/>
      <c r="J13" s="332"/>
      <c r="K13" s="333"/>
      <c r="L13" s="332"/>
      <c r="M13" s="333"/>
      <c r="N13" s="332"/>
      <c r="O13" s="333"/>
      <c r="P13" s="332"/>
      <c r="Q13" s="332"/>
      <c r="R13" s="332"/>
      <c r="S13" s="332"/>
      <c r="T13" s="334"/>
      <c r="U13" s="361"/>
      <c r="V13" s="336"/>
    </row>
    <row r="14">
      <c r="A14" s="337">
        <v>33.0</v>
      </c>
      <c r="B14" s="111" t="s">
        <v>116</v>
      </c>
      <c r="C14" s="112" t="s">
        <v>117</v>
      </c>
      <c r="D14" s="327">
        <v>34.0</v>
      </c>
      <c r="E14" s="346"/>
      <c r="F14" s="328"/>
      <c r="G14" s="329"/>
      <c r="H14" s="330"/>
      <c r="I14" s="331"/>
      <c r="J14" s="332"/>
      <c r="K14" s="333"/>
      <c r="L14" s="332"/>
      <c r="M14" s="333"/>
      <c r="N14" s="332"/>
      <c r="O14" s="333"/>
      <c r="P14" s="332"/>
      <c r="Q14" s="332"/>
      <c r="R14" s="332"/>
      <c r="S14" s="332"/>
      <c r="T14" s="334"/>
      <c r="U14" s="335"/>
      <c r="V14" s="336"/>
    </row>
    <row r="15">
      <c r="A15" s="326">
        <v>75.0</v>
      </c>
      <c r="B15" s="111" t="s">
        <v>201</v>
      </c>
      <c r="C15" s="112" t="s">
        <v>202</v>
      </c>
      <c r="D15" s="327">
        <v>34.0</v>
      </c>
      <c r="E15" s="327"/>
      <c r="F15" s="328"/>
      <c r="G15" s="327"/>
      <c r="H15" s="330"/>
      <c r="I15" s="331"/>
      <c r="J15" s="332"/>
      <c r="K15" s="333"/>
      <c r="L15" s="332"/>
      <c r="M15" s="333"/>
      <c r="N15" s="332"/>
      <c r="O15" s="333"/>
      <c r="P15" s="332"/>
      <c r="Q15" s="332"/>
      <c r="R15" s="332"/>
      <c r="S15" s="332"/>
      <c r="T15" s="334"/>
      <c r="U15" s="361"/>
      <c r="V15" s="336"/>
    </row>
    <row r="16">
      <c r="A16" s="326">
        <v>51.0</v>
      </c>
      <c r="B16" s="111" t="s">
        <v>153</v>
      </c>
      <c r="C16" s="112" t="s">
        <v>154</v>
      </c>
      <c r="D16" s="327">
        <v>36.0</v>
      </c>
      <c r="E16" s="327"/>
      <c r="F16" s="328"/>
      <c r="G16" s="327"/>
      <c r="H16" s="330"/>
      <c r="I16" s="331"/>
      <c r="J16" s="332"/>
      <c r="K16" s="333"/>
      <c r="L16" s="332"/>
      <c r="M16" s="333"/>
      <c r="N16" s="332"/>
      <c r="O16" s="333"/>
      <c r="P16" s="332"/>
      <c r="Q16" s="332"/>
      <c r="R16" s="332"/>
      <c r="S16" s="332"/>
      <c r="T16" s="334"/>
      <c r="U16" s="361"/>
      <c r="V16" s="336"/>
    </row>
    <row r="17">
      <c r="A17" s="337">
        <v>28.0</v>
      </c>
      <c r="B17" s="111" t="s">
        <v>106</v>
      </c>
      <c r="C17" s="112" t="s">
        <v>107</v>
      </c>
      <c r="D17" s="327">
        <v>39.0</v>
      </c>
      <c r="E17" s="349"/>
      <c r="F17" s="328"/>
      <c r="G17" s="329"/>
      <c r="H17" s="330"/>
      <c r="I17" s="331"/>
      <c r="J17" s="332"/>
      <c r="K17" s="333"/>
      <c r="L17" s="332"/>
      <c r="M17" s="333"/>
      <c r="N17" s="332"/>
      <c r="O17" s="333"/>
      <c r="P17" s="332"/>
      <c r="Q17" s="332"/>
      <c r="R17" s="332"/>
      <c r="S17" s="332"/>
      <c r="T17" s="334"/>
      <c r="U17" s="335"/>
      <c r="V17" s="336"/>
    </row>
    <row r="18">
      <c r="A18" s="363">
        <v>76.0</v>
      </c>
      <c r="B18" s="111" t="s">
        <v>203</v>
      </c>
      <c r="C18" s="112" t="s">
        <v>204</v>
      </c>
      <c r="D18" s="327">
        <v>39.0</v>
      </c>
      <c r="E18" s="327"/>
      <c r="F18" s="328"/>
      <c r="G18" s="327"/>
      <c r="H18" s="330"/>
      <c r="I18" s="331"/>
      <c r="J18" s="332"/>
      <c r="K18" s="333"/>
      <c r="L18" s="332"/>
      <c r="M18" s="333"/>
      <c r="N18" s="332"/>
      <c r="O18" s="333"/>
      <c r="P18" s="332"/>
      <c r="Q18" s="332"/>
      <c r="R18" s="332"/>
      <c r="S18" s="332"/>
      <c r="T18" s="334"/>
      <c r="U18" s="361"/>
      <c r="V18" s="336"/>
    </row>
    <row r="19">
      <c r="A19" s="326">
        <v>14.0</v>
      </c>
      <c r="B19" s="111" t="s">
        <v>78</v>
      </c>
      <c r="C19" s="112" t="s">
        <v>79</v>
      </c>
      <c r="D19" s="327">
        <v>41.0</v>
      </c>
      <c r="E19" s="346"/>
      <c r="F19" s="328"/>
      <c r="G19" s="329"/>
      <c r="H19" s="330"/>
      <c r="I19" s="331"/>
      <c r="J19" s="332"/>
      <c r="K19" s="333"/>
      <c r="L19" s="332"/>
      <c r="M19" s="333"/>
      <c r="N19" s="332"/>
      <c r="O19" s="333"/>
      <c r="P19" s="332"/>
      <c r="Q19" s="332"/>
      <c r="R19" s="332"/>
      <c r="S19" s="332"/>
      <c r="T19" s="334"/>
      <c r="U19" s="335"/>
      <c r="V19" s="336"/>
    </row>
    <row r="20">
      <c r="A20" s="337">
        <v>38.0</v>
      </c>
      <c r="B20" s="111" t="s">
        <v>126</v>
      </c>
      <c r="C20" s="112" t="s">
        <v>127</v>
      </c>
      <c r="D20" s="327">
        <v>41.0</v>
      </c>
      <c r="E20" s="346"/>
      <c r="F20" s="328"/>
      <c r="G20" s="329"/>
      <c r="H20" s="330"/>
      <c r="I20" s="331"/>
      <c r="J20" s="332"/>
      <c r="K20" s="333"/>
      <c r="L20" s="332"/>
      <c r="M20" s="333"/>
      <c r="N20" s="332"/>
      <c r="O20" s="333"/>
      <c r="P20" s="332"/>
      <c r="Q20" s="332"/>
      <c r="R20" s="332"/>
      <c r="S20" s="332"/>
      <c r="T20" s="334"/>
      <c r="U20" s="335"/>
      <c r="V20" s="336"/>
    </row>
    <row r="21">
      <c r="A21" s="326">
        <v>15.0</v>
      </c>
      <c r="B21" s="111" t="s">
        <v>80</v>
      </c>
      <c r="C21" s="112" t="s">
        <v>81</v>
      </c>
      <c r="D21" s="327">
        <v>42.0</v>
      </c>
      <c r="E21" s="346"/>
      <c r="F21" s="328"/>
      <c r="G21" s="329"/>
      <c r="H21" s="330"/>
      <c r="I21" s="331"/>
      <c r="J21" s="332"/>
      <c r="K21" s="333"/>
      <c r="L21" s="332"/>
      <c r="M21" s="333"/>
      <c r="N21" s="332"/>
      <c r="O21" s="333"/>
      <c r="P21" s="332"/>
      <c r="Q21" s="332"/>
      <c r="R21" s="332"/>
      <c r="S21" s="332"/>
      <c r="T21" s="334"/>
      <c r="U21" s="335"/>
      <c r="V21" s="336"/>
    </row>
    <row r="22">
      <c r="A22" s="363">
        <v>52.0</v>
      </c>
      <c r="B22" s="111" t="s">
        <v>155</v>
      </c>
      <c r="C22" s="112" t="s">
        <v>156</v>
      </c>
      <c r="D22" s="327">
        <v>42.0</v>
      </c>
      <c r="E22" s="346"/>
      <c r="F22" s="328"/>
      <c r="G22" s="327"/>
      <c r="H22" s="330"/>
      <c r="I22" s="331"/>
      <c r="J22" s="332"/>
      <c r="K22" s="333"/>
      <c r="L22" s="332"/>
      <c r="M22" s="333"/>
      <c r="N22" s="332"/>
      <c r="O22" s="333"/>
      <c r="P22" s="332"/>
      <c r="Q22" s="332"/>
      <c r="R22" s="332"/>
      <c r="S22" s="332"/>
      <c r="T22" s="334"/>
      <c r="U22" s="361"/>
      <c r="V22" s="336"/>
    </row>
    <row r="23">
      <c r="A23" s="337">
        <v>9.0</v>
      </c>
      <c r="B23" s="111" t="s">
        <v>68</v>
      </c>
      <c r="C23" s="112" t="s">
        <v>69</v>
      </c>
      <c r="D23" s="327">
        <v>43.0</v>
      </c>
      <c r="E23" s="346"/>
      <c r="F23" s="328"/>
      <c r="G23" s="329"/>
      <c r="H23" s="330"/>
      <c r="I23" s="331"/>
      <c r="J23" s="332"/>
      <c r="K23" s="333"/>
      <c r="L23" s="332"/>
      <c r="M23" s="333"/>
      <c r="N23" s="332"/>
      <c r="O23" s="333"/>
      <c r="P23" s="332"/>
      <c r="Q23" s="332"/>
      <c r="R23" s="332"/>
      <c r="S23" s="332"/>
      <c r="T23" s="334"/>
      <c r="U23" s="335"/>
      <c r="V23" s="336"/>
    </row>
    <row r="24">
      <c r="A24" s="326">
        <v>22.0</v>
      </c>
      <c r="B24" s="111" t="s">
        <v>94</v>
      </c>
      <c r="C24" s="112" t="s">
        <v>95</v>
      </c>
      <c r="D24" s="327">
        <v>43.0</v>
      </c>
      <c r="E24" s="349"/>
      <c r="F24" s="328"/>
      <c r="G24" s="329"/>
      <c r="H24" s="330"/>
      <c r="I24" s="331"/>
      <c r="J24" s="332"/>
      <c r="K24" s="333"/>
      <c r="L24" s="332"/>
      <c r="M24" s="333"/>
      <c r="N24" s="332"/>
      <c r="O24" s="333"/>
      <c r="P24" s="332"/>
      <c r="Q24" s="332"/>
      <c r="R24" s="332"/>
      <c r="S24" s="332"/>
      <c r="T24" s="334"/>
      <c r="U24" s="335"/>
      <c r="V24" s="336"/>
    </row>
    <row r="25">
      <c r="A25" s="363">
        <v>61.0</v>
      </c>
      <c r="B25" s="111" t="s">
        <v>173</v>
      </c>
      <c r="C25" s="112" t="s">
        <v>174</v>
      </c>
      <c r="D25" s="327">
        <v>43.0</v>
      </c>
      <c r="E25" s="349"/>
      <c r="F25" s="328"/>
      <c r="G25" s="327"/>
      <c r="H25" s="330"/>
      <c r="I25" s="331"/>
      <c r="J25" s="332"/>
      <c r="K25" s="333"/>
      <c r="L25" s="332"/>
      <c r="M25" s="333"/>
      <c r="N25" s="332"/>
      <c r="O25" s="333"/>
      <c r="P25" s="332"/>
      <c r="Q25" s="332"/>
      <c r="R25" s="332"/>
      <c r="S25" s="332"/>
      <c r="T25" s="334"/>
      <c r="U25" s="361"/>
      <c r="V25" s="336"/>
    </row>
    <row r="26">
      <c r="A26" s="337">
        <v>16.0</v>
      </c>
      <c r="B26" s="111" t="s">
        <v>82</v>
      </c>
      <c r="C26" s="112" t="s">
        <v>83</v>
      </c>
      <c r="D26" s="327">
        <v>44.0</v>
      </c>
      <c r="E26" s="346"/>
      <c r="F26" s="328"/>
      <c r="G26" s="329"/>
      <c r="H26" s="330"/>
      <c r="I26" s="331"/>
      <c r="J26" s="332"/>
      <c r="K26" s="333"/>
      <c r="L26" s="332"/>
      <c r="M26" s="333"/>
      <c r="N26" s="332"/>
      <c r="O26" s="333"/>
      <c r="P26" s="332"/>
      <c r="Q26" s="332"/>
      <c r="R26" s="332"/>
      <c r="S26" s="332"/>
      <c r="T26" s="334"/>
      <c r="U26" s="335"/>
      <c r="V26" s="336"/>
    </row>
    <row r="27">
      <c r="A27" s="326">
        <v>68.0</v>
      </c>
      <c r="B27" s="111" t="s">
        <v>187</v>
      </c>
      <c r="C27" s="112" t="s">
        <v>188</v>
      </c>
      <c r="D27" s="327">
        <v>44.0</v>
      </c>
      <c r="E27" s="346"/>
      <c r="F27" s="328"/>
      <c r="G27" s="327"/>
      <c r="H27" s="330"/>
      <c r="I27" s="331"/>
      <c r="J27" s="332"/>
      <c r="K27" s="333"/>
      <c r="L27" s="332"/>
      <c r="M27" s="333"/>
      <c r="N27" s="332"/>
      <c r="O27" s="333"/>
      <c r="P27" s="332"/>
      <c r="Q27" s="332"/>
      <c r="R27" s="332"/>
      <c r="S27" s="332"/>
      <c r="T27" s="334"/>
      <c r="U27" s="361"/>
      <c r="V27" s="336"/>
    </row>
    <row r="28">
      <c r="A28" s="326">
        <v>54.0</v>
      </c>
      <c r="B28" s="111" t="s">
        <v>159</v>
      </c>
      <c r="C28" s="112" t="s">
        <v>160</v>
      </c>
      <c r="D28" s="327">
        <v>45.0</v>
      </c>
      <c r="E28" s="346"/>
      <c r="F28" s="328"/>
      <c r="G28" s="327"/>
      <c r="H28" s="330"/>
      <c r="I28" s="331"/>
      <c r="J28" s="332"/>
      <c r="K28" s="333"/>
      <c r="L28" s="332"/>
      <c r="M28" s="333"/>
      <c r="N28" s="332"/>
      <c r="O28" s="333"/>
      <c r="P28" s="332"/>
      <c r="Q28" s="332"/>
      <c r="R28" s="332"/>
      <c r="S28" s="332"/>
      <c r="T28" s="334"/>
      <c r="U28" s="361"/>
      <c r="V28" s="336"/>
    </row>
    <row r="29">
      <c r="A29" s="345">
        <v>55.0</v>
      </c>
      <c r="B29" s="111" t="s">
        <v>161</v>
      </c>
      <c r="C29" s="112" t="s">
        <v>162</v>
      </c>
      <c r="D29" s="327">
        <v>45.0</v>
      </c>
      <c r="E29" s="346"/>
      <c r="F29" s="328"/>
      <c r="G29" s="327"/>
      <c r="H29" s="330"/>
      <c r="I29" s="331"/>
      <c r="J29" s="332"/>
      <c r="K29" s="333"/>
      <c r="L29" s="332"/>
      <c r="M29" s="333"/>
      <c r="N29" s="332"/>
      <c r="O29" s="333"/>
      <c r="P29" s="332"/>
      <c r="Q29" s="332"/>
      <c r="R29" s="332"/>
      <c r="S29" s="332"/>
      <c r="T29" s="334"/>
      <c r="U29" s="361"/>
      <c r="V29" s="336"/>
    </row>
    <row r="30">
      <c r="A30" s="326">
        <v>12.0</v>
      </c>
      <c r="B30" s="111" t="s">
        <v>74</v>
      </c>
      <c r="C30" s="112" t="s">
        <v>75</v>
      </c>
      <c r="D30" s="327">
        <v>47.0</v>
      </c>
      <c r="E30" s="327"/>
      <c r="F30" s="328"/>
      <c r="G30" s="329"/>
      <c r="H30" s="330"/>
      <c r="I30" s="331"/>
      <c r="J30" s="332"/>
      <c r="K30" s="333"/>
      <c r="L30" s="332"/>
      <c r="M30" s="333"/>
      <c r="N30" s="332"/>
      <c r="O30" s="333"/>
      <c r="P30" s="332"/>
      <c r="Q30" s="332"/>
      <c r="R30" s="332"/>
      <c r="S30" s="332"/>
      <c r="T30" s="334"/>
      <c r="U30" s="335"/>
      <c r="V30" s="336"/>
    </row>
    <row r="31">
      <c r="A31" s="326">
        <v>18.0</v>
      </c>
      <c r="B31" s="111" t="s">
        <v>86</v>
      </c>
      <c r="C31" s="112" t="s">
        <v>87</v>
      </c>
      <c r="D31" s="338">
        <v>47.0</v>
      </c>
      <c r="E31" s="346"/>
      <c r="F31" s="328"/>
      <c r="G31" s="329"/>
      <c r="H31" s="330"/>
      <c r="I31" s="331"/>
      <c r="J31" s="332"/>
      <c r="K31" s="333"/>
      <c r="L31" s="332"/>
      <c r="M31" s="333"/>
      <c r="N31" s="332"/>
      <c r="O31" s="333"/>
      <c r="P31" s="332"/>
      <c r="Q31" s="332"/>
      <c r="R31" s="332"/>
      <c r="S31" s="332"/>
      <c r="T31" s="334"/>
      <c r="U31" s="335"/>
      <c r="V31" s="336"/>
    </row>
    <row r="32">
      <c r="A32" s="345">
        <v>43.0</v>
      </c>
      <c r="B32" s="111" t="s">
        <v>137</v>
      </c>
      <c r="C32" s="112" t="s">
        <v>138</v>
      </c>
      <c r="D32" s="338">
        <v>48.0</v>
      </c>
      <c r="E32" s="349"/>
      <c r="F32" s="328"/>
      <c r="G32" s="327"/>
      <c r="H32" s="330"/>
      <c r="I32" s="331"/>
      <c r="J32" s="332"/>
      <c r="K32" s="333"/>
      <c r="L32" s="332"/>
      <c r="M32" s="333"/>
      <c r="N32" s="332"/>
      <c r="O32" s="333"/>
      <c r="P32" s="332"/>
      <c r="Q32" s="332"/>
      <c r="R32" s="332"/>
      <c r="S32" s="332"/>
      <c r="T32" s="334"/>
      <c r="U32" s="361"/>
      <c r="V32" s="344"/>
    </row>
    <row r="33">
      <c r="A33" s="326">
        <v>20.0</v>
      </c>
      <c r="B33" s="111" t="s">
        <v>90</v>
      </c>
      <c r="C33" s="112" t="s">
        <v>91</v>
      </c>
      <c r="D33" s="327">
        <v>49.0</v>
      </c>
      <c r="E33" s="346"/>
      <c r="F33" s="328"/>
      <c r="G33" s="329"/>
      <c r="H33" s="330"/>
      <c r="I33" s="331"/>
      <c r="J33" s="332"/>
      <c r="K33" s="333"/>
      <c r="L33" s="332"/>
      <c r="M33" s="333"/>
      <c r="N33" s="332"/>
      <c r="O33" s="333"/>
      <c r="P33" s="332"/>
      <c r="Q33" s="332"/>
      <c r="R33" s="332"/>
      <c r="S33" s="332"/>
      <c r="T33" s="334"/>
      <c r="U33" s="335"/>
      <c r="V33" s="336"/>
    </row>
    <row r="34">
      <c r="A34" s="326">
        <v>29.0</v>
      </c>
      <c r="B34" s="111" t="s">
        <v>108</v>
      </c>
      <c r="C34" s="112" t="s">
        <v>109</v>
      </c>
      <c r="D34" s="327">
        <v>49.0</v>
      </c>
      <c r="E34" s="349"/>
      <c r="F34" s="328"/>
      <c r="G34" s="329"/>
      <c r="H34" s="330"/>
      <c r="I34" s="331"/>
      <c r="J34" s="332"/>
      <c r="K34" s="333"/>
      <c r="L34" s="332"/>
      <c r="M34" s="333"/>
      <c r="N34" s="332"/>
      <c r="O34" s="333"/>
      <c r="P34" s="332"/>
      <c r="Q34" s="332"/>
      <c r="R34" s="332"/>
      <c r="S34" s="332"/>
      <c r="T34" s="334"/>
      <c r="U34" s="335"/>
      <c r="V34" s="336"/>
    </row>
    <row r="35">
      <c r="A35" s="337">
        <v>26.0</v>
      </c>
      <c r="B35" s="111" t="s">
        <v>102</v>
      </c>
      <c r="C35" s="112" t="s">
        <v>103</v>
      </c>
      <c r="D35" s="327">
        <v>50.0</v>
      </c>
      <c r="E35" s="349"/>
      <c r="F35" s="328"/>
      <c r="G35" s="329"/>
      <c r="H35" s="330"/>
      <c r="I35" s="331"/>
      <c r="J35" s="332"/>
      <c r="K35" s="333"/>
      <c r="L35" s="332"/>
      <c r="M35" s="333"/>
      <c r="N35" s="332"/>
      <c r="O35" s="333"/>
      <c r="P35" s="332"/>
      <c r="Q35" s="332"/>
      <c r="R35" s="332"/>
      <c r="S35" s="332"/>
      <c r="T35" s="334"/>
      <c r="U35" s="335"/>
      <c r="V35" s="336"/>
    </row>
    <row r="36">
      <c r="A36" s="326">
        <v>37.0</v>
      </c>
      <c r="B36" s="111" t="s">
        <v>124</v>
      </c>
      <c r="C36" s="112" t="s">
        <v>125</v>
      </c>
      <c r="D36" s="327">
        <v>50.0</v>
      </c>
      <c r="E36" s="346"/>
      <c r="F36" s="328"/>
      <c r="G36" s="329"/>
      <c r="H36" s="330"/>
      <c r="I36" s="331"/>
      <c r="J36" s="332"/>
      <c r="K36" s="333"/>
      <c r="L36" s="332"/>
      <c r="M36" s="333"/>
      <c r="N36" s="332"/>
      <c r="O36" s="333"/>
      <c r="P36" s="332"/>
      <c r="Q36" s="332"/>
      <c r="R36" s="332"/>
      <c r="S36" s="332"/>
      <c r="T36" s="334"/>
      <c r="U36" s="335"/>
      <c r="V36" s="336"/>
    </row>
    <row r="37">
      <c r="A37" s="326">
        <v>48.0</v>
      </c>
      <c r="B37" s="111" t="s">
        <v>147</v>
      </c>
      <c r="C37" s="112" t="s">
        <v>148</v>
      </c>
      <c r="D37" s="327">
        <v>50.0</v>
      </c>
      <c r="E37" s="327"/>
      <c r="F37" s="328"/>
      <c r="G37" s="327"/>
      <c r="H37" s="330"/>
      <c r="I37" s="331"/>
      <c r="J37" s="332"/>
      <c r="K37" s="333"/>
      <c r="L37" s="332"/>
      <c r="M37" s="333"/>
      <c r="N37" s="332"/>
      <c r="O37" s="333"/>
      <c r="P37" s="332"/>
      <c r="Q37" s="332"/>
      <c r="R37" s="332"/>
      <c r="S37" s="332"/>
      <c r="T37" s="334"/>
      <c r="U37" s="361"/>
      <c r="V37" s="336"/>
    </row>
    <row r="38">
      <c r="A38" s="345">
        <v>49.0</v>
      </c>
      <c r="B38" s="111" t="s">
        <v>149</v>
      </c>
      <c r="C38" s="112" t="s">
        <v>150</v>
      </c>
      <c r="D38" s="327">
        <v>50.0</v>
      </c>
      <c r="E38" s="327"/>
      <c r="F38" s="328"/>
      <c r="G38" s="327"/>
      <c r="H38" s="330"/>
      <c r="I38" s="331"/>
      <c r="J38" s="332"/>
      <c r="K38" s="333"/>
      <c r="L38" s="332"/>
      <c r="M38" s="333"/>
      <c r="N38" s="332"/>
      <c r="O38" s="333"/>
      <c r="P38" s="332"/>
      <c r="Q38" s="332"/>
      <c r="R38" s="332"/>
      <c r="S38" s="332"/>
      <c r="T38" s="334"/>
      <c r="U38" s="361"/>
      <c r="V38" s="336"/>
    </row>
    <row r="39">
      <c r="A39" s="326">
        <v>63.0</v>
      </c>
      <c r="B39" s="111" t="s">
        <v>177</v>
      </c>
      <c r="C39" s="112" t="s">
        <v>178</v>
      </c>
      <c r="D39" s="327">
        <v>50.0</v>
      </c>
      <c r="E39" s="346"/>
      <c r="F39" s="328"/>
      <c r="G39" s="327"/>
      <c r="H39" s="330"/>
      <c r="I39" s="331"/>
      <c r="J39" s="332"/>
      <c r="K39" s="333"/>
      <c r="L39" s="332"/>
      <c r="M39" s="333"/>
      <c r="N39" s="332"/>
      <c r="O39" s="333"/>
      <c r="P39" s="332"/>
      <c r="Q39" s="332"/>
      <c r="R39" s="332"/>
      <c r="S39" s="332"/>
      <c r="T39" s="334"/>
      <c r="U39" s="361"/>
      <c r="V39" s="336"/>
    </row>
    <row r="40">
      <c r="A40" s="363">
        <v>79.0</v>
      </c>
      <c r="B40" s="111" t="s">
        <v>209</v>
      </c>
      <c r="C40" s="112" t="s">
        <v>210</v>
      </c>
      <c r="D40" s="327">
        <v>50.0</v>
      </c>
      <c r="E40" s="346"/>
      <c r="F40" s="328"/>
      <c r="G40" s="327"/>
      <c r="H40" s="330"/>
      <c r="I40" s="331"/>
      <c r="J40" s="332"/>
      <c r="K40" s="333"/>
      <c r="L40" s="332"/>
      <c r="M40" s="333"/>
      <c r="N40" s="332"/>
      <c r="O40" s="333"/>
      <c r="P40" s="332"/>
      <c r="Q40" s="332"/>
      <c r="R40" s="332"/>
      <c r="S40" s="332"/>
      <c r="T40" s="334"/>
      <c r="U40" s="361"/>
      <c r="V40" s="336"/>
    </row>
    <row r="41">
      <c r="A41" s="337">
        <v>24.0</v>
      </c>
      <c r="B41" s="111" t="s">
        <v>98</v>
      </c>
      <c r="C41" s="112" t="s">
        <v>99</v>
      </c>
      <c r="D41" s="327">
        <v>51.0</v>
      </c>
      <c r="E41" s="346"/>
      <c r="F41" s="328"/>
      <c r="G41" s="329"/>
      <c r="H41" s="330"/>
      <c r="I41" s="331"/>
      <c r="J41" s="332"/>
      <c r="K41" s="333"/>
      <c r="L41" s="332"/>
      <c r="M41" s="333"/>
      <c r="N41" s="332"/>
      <c r="O41" s="333"/>
      <c r="P41" s="332"/>
      <c r="Q41" s="332"/>
      <c r="R41" s="332"/>
      <c r="S41" s="332"/>
      <c r="T41" s="334"/>
      <c r="U41" s="335"/>
      <c r="V41" s="336"/>
    </row>
    <row r="42">
      <c r="A42" s="326">
        <v>80.0</v>
      </c>
      <c r="B42" s="111" t="s">
        <v>211</v>
      </c>
      <c r="C42" s="112" t="s">
        <v>212</v>
      </c>
      <c r="D42" s="327">
        <v>51.0</v>
      </c>
      <c r="E42" s="346"/>
      <c r="F42" s="328"/>
      <c r="G42" s="327"/>
      <c r="H42" s="330"/>
      <c r="I42" s="331"/>
      <c r="J42" s="332"/>
      <c r="K42" s="333"/>
      <c r="L42" s="332"/>
      <c r="M42" s="333"/>
      <c r="N42" s="332"/>
      <c r="O42" s="333"/>
      <c r="P42" s="332"/>
      <c r="Q42" s="332"/>
      <c r="R42" s="332"/>
      <c r="S42" s="332"/>
      <c r="T42" s="334"/>
      <c r="U42" s="361"/>
      <c r="V42" s="336"/>
    </row>
    <row r="43">
      <c r="A43" s="364">
        <v>13.0</v>
      </c>
      <c r="B43" s="365" t="s">
        <v>76</v>
      </c>
      <c r="C43" s="366" t="s">
        <v>77</v>
      </c>
      <c r="D43" s="367">
        <v>52.0</v>
      </c>
      <c r="E43" s="368"/>
      <c r="F43" s="369"/>
      <c r="G43" s="370"/>
      <c r="H43" s="331"/>
      <c r="I43" s="331"/>
      <c r="J43" s="332"/>
      <c r="K43" s="333"/>
      <c r="L43" s="332"/>
      <c r="M43" s="333"/>
      <c r="N43" s="332"/>
      <c r="O43" s="333"/>
      <c r="P43" s="332"/>
      <c r="Q43" s="332"/>
      <c r="R43" s="332"/>
      <c r="S43" s="332"/>
      <c r="T43" s="334"/>
      <c r="U43" s="335"/>
      <c r="V43" s="336"/>
    </row>
    <row r="44">
      <c r="A44" s="337">
        <v>44.0</v>
      </c>
      <c r="B44" s="111" t="s">
        <v>139</v>
      </c>
      <c r="C44" s="112" t="s">
        <v>140</v>
      </c>
      <c r="D44" s="327">
        <v>52.0</v>
      </c>
      <c r="E44" s="327"/>
      <c r="F44" s="328"/>
      <c r="G44" s="327"/>
      <c r="H44" s="330"/>
      <c r="I44" s="331"/>
      <c r="J44" s="332"/>
      <c r="K44" s="333"/>
      <c r="L44" s="332"/>
      <c r="M44" s="333"/>
      <c r="N44" s="332"/>
      <c r="O44" s="333"/>
      <c r="P44" s="332"/>
      <c r="Q44" s="332"/>
      <c r="R44" s="332"/>
      <c r="S44" s="332"/>
      <c r="T44" s="334"/>
      <c r="U44" s="348"/>
      <c r="V44" s="336"/>
    </row>
    <row r="45">
      <c r="A45" s="326">
        <v>53.0</v>
      </c>
      <c r="B45" s="111" t="s">
        <v>157</v>
      </c>
      <c r="C45" s="112" t="s">
        <v>158</v>
      </c>
      <c r="D45" s="327">
        <v>52.0</v>
      </c>
      <c r="E45" s="346"/>
      <c r="F45" s="328"/>
      <c r="G45" s="327"/>
      <c r="H45" s="330"/>
      <c r="I45" s="331"/>
      <c r="J45" s="332"/>
      <c r="K45" s="333"/>
      <c r="L45" s="332"/>
      <c r="M45" s="333"/>
      <c r="N45" s="332"/>
      <c r="O45" s="333"/>
      <c r="P45" s="332"/>
      <c r="Q45" s="332"/>
      <c r="R45" s="332"/>
      <c r="S45" s="332"/>
      <c r="T45" s="334"/>
      <c r="U45" s="348"/>
      <c r="V45" s="336"/>
    </row>
    <row r="46">
      <c r="A46" s="337">
        <v>65.0</v>
      </c>
      <c r="B46" s="111" t="s">
        <v>181</v>
      </c>
      <c r="C46" s="112" t="s">
        <v>182</v>
      </c>
      <c r="D46" s="327">
        <v>52.0</v>
      </c>
      <c r="E46" s="327"/>
      <c r="F46" s="328"/>
      <c r="G46" s="327"/>
      <c r="H46" s="330"/>
      <c r="I46" s="331"/>
      <c r="J46" s="332"/>
      <c r="K46" s="333"/>
      <c r="L46" s="332"/>
      <c r="M46" s="333"/>
      <c r="N46" s="332"/>
      <c r="O46" s="333"/>
      <c r="P46" s="332"/>
      <c r="Q46" s="332"/>
      <c r="R46" s="332"/>
      <c r="S46" s="332"/>
      <c r="T46" s="334"/>
      <c r="U46" s="348"/>
      <c r="V46" s="336"/>
    </row>
    <row r="47">
      <c r="A47" s="337">
        <v>78.0</v>
      </c>
      <c r="B47" s="111" t="s">
        <v>207</v>
      </c>
      <c r="C47" s="112" t="s">
        <v>208</v>
      </c>
      <c r="D47" s="327">
        <v>52.0</v>
      </c>
      <c r="E47" s="327"/>
      <c r="F47" s="328"/>
      <c r="G47" s="327"/>
      <c r="H47" s="330"/>
      <c r="I47" s="331"/>
      <c r="J47" s="332"/>
      <c r="K47" s="333"/>
      <c r="L47" s="332"/>
      <c r="M47" s="333"/>
      <c r="N47" s="332"/>
      <c r="O47" s="333"/>
      <c r="P47" s="332"/>
      <c r="Q47" s="332"/>
      <c r="R47" s="332"/>
      <c r="S47" s="332"/>
      <c r="T47" s="334"/>
      <c r="U47" s="348"/>
      <c r="V47" s="336"/>
    </row>
    <row r="48">
      <c r="A48" s="326">
        <v>3.0</v>
      </c>
      <c r="B48" s="111" t="s">
        <v>55</v>
      </c>
      <c r="C48" s="112" t="s">
        <v>56</v>
      </c>
      <c r="D48" s="327">
        <v>53.0</v>
      </c>
      <c r="E48" s="346"/>
      <c r="F48" s="328"/>
      <c r="G48" s="329"/>
      <c r="H48" s="330"/>
      <c r="I48" s="331"/>
      <c r="J48" s="332"/>
      <c r="K48" s="333"/>
      <c r="L48" s="332"/>
      <c r="M48" s="333"/>
      <c r="N48" s="332"/>
      <c r="O48" s="333"/>
      <c r="P48" s="332"/>
      <c r="Q48" s="332"/>
      <c r="R48" s="332"/>
      <c r="S48" s="332"/>
      <c r="T48" s="334"/>
      <c r="U48" s="371"/>
      <c r="V48" s="336"/>
    </row>
    <row r="49">
      <c r="A49" s="337">
        <v>42.0</v>
      </c>
      <c r="B49" s="111" t="s">
        <v>134</v>
      </c>
      <c r="C49" s="112" t="s">
        <v>135</v>
      </c>
      <c r="D49" s="327">
        <v>53.0</v>
      </c>
      <c r="E49" s="346"/>
      <c r="F49" s="328"/>
      <c r="G49" s="329"/>
      <c r="H49" s="330"/>
      <c r="I49" s="331"/>
      <c r="J49" s="332"/>
      <c r="K49" s="333"/>
      <c r="L49" s="332"/>
      <c r="M49" s="333"/>
      <c r="N49" s="332"/>
      <c r="O49" s="333"/>
      <c r="P49" s="332"/>
      <c r="Q49" s="332"/>
      <c r="R49" s="332"/>
      <c r="S49" s="332"/>
      <c r="T49" s="334"/>
      <c r="U49" s="371"/>
      <c r="V49" s="336"/>
    </row>
    <row r="50">
      <c r="A50" s="337">
        <v>23.0</v>
      </c>
      <c r="B50" s="111" t="s">
        <v>96</v>
      </c>
      <c r="C50" s="112" t="s">
        <v>97</v>
      </c>
      <c r="D50" s="327">
        <v>54.0</v>
      </c>
      <c r="E50" s="346"/>
      <c r="F50" s="328"/>
      <c r="G50" s="329"/>
      <c r="H50" s="330"/>
      <c r="I50" s="331"/>
      <c r="J50" s="332"/>
      <c r="K50" s="333"/>
      <c r="L50" s="332"/>
      <c r="M50" s="333"/>
      <c r="N50" s="332"/>
      <c r="O50" s="333"/>
      <c r="P50" s="332"/>
      <c r="Q50" s="332"/>
      <c r="R50" s="332"/>
      <c r="S50" s="332"/>
      <c r="T50" s="334"/>
      <c r="U50" s="371"/>
      <c r="V50" s="336"/>
    </row>
    <row r="51">
      <c r="A51" s="363">
        <v>67.0</v>
      </c>
      <c r="B51" s="111" t="s">
        <v>185</v>
      </c>
      <c r="C51" s="112" t="s">
        <v>186</v>
      </c>
      <c r="D51" s="327">
        <v>54.0</v>
      </c>
      <c r="E51" s="327"/>
      <c r="F51" s="328"/>
      <c r="G51" s="327"/>
      <c r="H51" s="330"/>
      <c r="I51" s="331"/>
      <c r="J51" s="332"/>
      <c r="K51" s="333"/>
      <c r="L51" s="332"/>
      <c r="M51" s="333"/>
      <c r="N51" s="332"/>
      <c r="O51" s="333"/>
      <c r="P51" s="332"/>
      <c r="Q51" s="332"/>
      <c r="R51" s="332"/>
      <c r="S51" s="332"/>
      <c r="T51" s="334"/>
      <c r="U51" s="348"/>
      <c r="V51" s="336"/>
    </row>
    <row r="52">
      <c r="A52" s="337">
        <v>4.0</v>
      </c>
      <c r="B52" s="111" t="s">
        <v>57</v>
      </c>
      <c r="C52" s="112" t="s">
        <v>58</v>
      </c>
      <c r="D52" s="327">
        <v>55.0</v>
      </c>
      <c r="E52" s="327"/>
      <c r="F52" s="328"/>
      <c r="G52" s="329"/>
      <c r="H52" s="330"/>
      <c r="I52" s="331"/>
      <c r="J52" s="332"/>
      <c r="K52" s="333"/>
      <c r="L52" s="332"/>
      <c r="M52" s="333"/>
      <c r="N52" s="332"/>
      <c r="O52" s="333"/>
      <c r="P52" s="332"/>
      <c r="Q52" s="332"/>
      <c r="R52" s="332"/>
      <c r="S52" s="332"/>
      <c r="T52" s="334"/>
      <c r="U52" s="371"/>
      <c r="V52" s="336"/>
    </row>
    <row r="53">
      <c r="A53" s="337">
        <v>32.0</v>
      </c>
      <c r="B53" s="111" t="s">
        <v>114</v>
      </c>
      <c r="C53" s="112" t="s">
        <v>115</v>
      </c>
      <c r="D53" s="327">
        <v>55.0</v>
      </c>
      <c r="E53" s="346"/>
      <c r="F53" s="328"/>
      <c r="G53" s="329"/>
      <c r="H53" s="330"/>
      <c r="I53" s="331"/>
      <c r="J53" s="332"/>
      <c r="K53" s="333"/>
      <c r="L53" s="332"/>
      <c r="M53" s="333"/>
      <c r="N53" s="332"/>
      <c r="O53" s="333"/>
      <c r="P53" s="332"/>
      <c r="Q53" s="332"/>
      <c r="R53" s="332"/>
      <c r="S53" s="332"/>
      <c r="T53" s="334"/>
      <c r="U53" s="371"/>
      <c r="V53" s="336"/>
    </row>
    <row r="54">
      <c r="A54" s="326">
        <v>36.0</v>
      </c>
      <c r="B54" s="111" t="s">
        <v>122</v>
      </c>
      <c r="C54" s="112" t="s">
        <v>123</v>
      </c>
      <c r="D54" s="327">
        <v>55.0</v>
      </c>
      <c r="E54" s="327"/>
      <c r="F54" s="328"/>
      <c r="G54" s="329"/>
      <c r="H54" s="330"/>
      <c r="I54" s="331"/>
      <c r="J54" s="332"/>
      <c r="K54" s="333"/>
      <c r="L54" s="332"/>
      <c r="M54" s="333"/>
      <c r="N54" s="332"/>
      <c r="O54" s="333"/>
      <c r="P54" s="332"/>
      <c r="Q54" s="332"/>
      <c r="R54" s="332"/>
      <c r="S54" s="332"/>
      <c r="T54" s="334"/>
      <c r="U54" s="371"/>
      <c r="V54" s="336"/>
    </row>
    <row r="55">
      <c r="A55" s="337">
        <v>41.0</v>
      </c>
      <c r="B55" s="111" t="s">
        <v>132</v>
      </c>
      <c r="C55" s="112" t="s">
        <v>133</v>
      </c>
      <c r="D55" s="327">
        <v>55.0</v>
      </c>
      <c r="E55" s="346"/>
      <c r="F55" s="328"/>
      <c r="G55" s="329"/>
      <c r="H55" s="330"/>
      <c r="I55" s="331"/>
      <c r="J55" s="332"/>
      <c r="K55" s="333"/>
      <c r="L55" s="332"/>
      <c r="M55" s="333"/>
      <c r="N55" s="332"/>
      <c r="O55" s="333"/>
      <c r="P55" s="332"/>
      <c r="Q55" s="332"/>
      <c r="R55" s="332"/>
      <c r="S55" s="332"/>
      <c r="T55" s="334"/>
      <c r="U55" s="371"/>
      <c r="V55" s="336"/>
    </row>
    <row r="56">
      <c r="A56" s="345">
        <v>46.0</v>
      </c>
      <c r="B56" s="111" t="s">
        <v>143</v>
      </c>
      <c r="C56" s="112" t="s">
        <v>144</v>
      </c>
      <c r="D56" s="327">
        <v>55.0</v>
      </c>
      <c r="E56" s="327"/>
      <c r="F56" s="328"/>
      <c r="G56" s="327"/>
      <c r="H56" s="330"/>
      <c r="I56" s="331"/>
      <c r="J56" s="332"/>
      <c r="K56" s="333"/>
      <c r="L56" s="332"/>
      <c r="M56" s="333"/>
      <c r="N56" s="332"/>
      <c r="O56" s="333"/>
      <c r="P56" s="332"/>
      <c r="Q56" s="332"/>
      <c r="R56" s="332"/>
      <c r="S56" s="332"/>
      <c r="T56" s="334"/>
      <c r="U56" s="348"/>
      <c r="V56" s="336"/>
    </row>
    <row r="57">
      <c r="A57" s="326">
        <v>59.0</v>
      </c>
      <c r="B57" s="111" t="s">
        <v>169</v>
      </c>
      <c r="C57" s="112" t="s">
        <v>170</v>
      </c>
      <c r="D57" s="327">
        <v>55.0</v>
      </c>
      <c r="E57" s="327"/>
      <c r="F57" s="328"/>
      <c r="G57" s="327"/>
      <c r="H57" s="330"/>
      <c r="I57" s="331"/>
      <c r="J57" s="332"/>
      <c r="K57" s="333"/>
      <c r="L57" s="332"/>
      <c r="M57" s="333"/>
      <c r="N57" s="332"/>
      <c r="O57" s="333"/>
      <c r="P57" s="332"/>
      <c r="Q57" s="332"/>
      <c r="R57" s="332"/>
      <c r="S57" s="332"/>
      <c r="T57" s="334"/>
      <c r="U57" s="348"/>
      <c r="V57" s="336"/>
    </row>
    <row r="58">
      <c r="A58" s="337">
        <v>45.0</v>
      </c>
      <c r="B58" s="111" t="s">
        <v>141</v>
      </c>
      <c r="C58" s="112" t="s">
        <v>142</v>
      </c>
      <c r="D58" s="327">
        <v>56.0</v>
      </c>
      <c r="E58" s="327"/>
      <c r="F58" s="328"/>
      <c r="G58" s="327"/>
      <c r="H58" s="330"/>
      <c r="I58" s="331"/>
      <c r="J58" s="332"/>
      <c r="K58" s="333"/>
      <c r="L58" s="332"/>
      <c r="M58" s="333"/>
      <c r="N58" s="332"/>
      <c r="O58" s="333"/>
      <c r="P58" s="332"/>
      <c r="Q58" s="332"/>
      <c r="R58" s="332"/>
      <c r="S58" s="332"/>
      <c r="T58" s="334"/>
      <c r="U58" s="348"/>
      <c r="V58" s="336"/>
    </row>
    <row r="59">
      <c r="A59" s="337">
        <v>60.0</v>
      </c>
      <c r="B59" s="111" t="s">
        <v>171</v>
      </c>
      <c r="C59" s="112" t="s">
        <v>172</v>
      </c>
      <c r="D59" s="327">
        <v>58.0</v>
      </c>
      <c r="E59" s="346"/>
      <c r="F59" s="328"/>
      <c r="G59" s="327"/>
      <c r="H59" s="330"/>
      <c r="I59" s="331"/>
      <c r="J59" s="332"/>
      <c r="K59" s="333"/>
      <c r="L59" s="332"/>
      <c r="M59" s="333"/>
      <c r="N59" s="332"/>
      <c r="O59" s="333"/>
      <c r="P59" s="332"/>
      <c r="Q59" s="332"/>
      <c r="R59" s="332"/>
      <c r="S59" s="332"/>
      <c r="T59" s="334"/>
      <c r="U59" s="348"/>
      <c r="V59" s="336"/>
    </row>
    <row r="60">
      <c r="A60" s="363">
        <v>64.0</v>
      </c>
      <c r="B60" s="111" t="s">
        <v>179</v>
      </c>
      <c r="C60" s="112" t="s">
        <v>180</v>
      </c>
      <c r="D60" s="327">
        <v>58.0</v>
      </c>
      <c r="E60" s="327"/>
      <c r="F60" s="328"/>
      <c r="G60" s="327"/>
      <c r="H60" s="330"/>
      <c r="I60" s="331"/>
      <c r="J60" s="332"/>
      <c r="K60" s="333"/>
      <c r="L60" s="332"/>
      <c r="M60" s="333"/>
      <c r="N60" s="332"/>
      <c r="O60" s="333"/>
      <c r="P60" s="332"/>
      <c r="Q60" s="332"/>
      <c r="R60" s="332"/>
      <c r="S60" s="332"/>
      <c r="T60" s="334"/>
      <c r="U60" s="348"/>
      <c r="V60" s="336"/>
    </row>
    <row r="61">
      <c r="A61" s="337">
        <v>10.0</v>
      </c>
      <c r="B61" s="111" t="s">
        <v>70</v>
      </c>
      <c r="C61" s="112" t="s">
        <v>71</v>
      </c>
      <c r="D61" s="327">
        <v>59.0</v>
      </c>
      <c r="E61" s="327"/>
      <c r="F61" s="328"/>
      <c r="G61" s="329"/>
      <c r="H61" s="330"/>
      <c r="I61" s="331"/>
      <c r="J61" s="332"/>
      <c r="K61" s="333"/>
      <c r="L61" s="332"/>
      <c r="M61" s="333"/>
      <c r="N61" s="332"/>
      <c r="O61" s="333"/>
      <c r="P61" s="332"/>
      <c r="Q61" s="332"/>
      <c r="R61" s="332"/>
      <c r="S61" s="332"/>
      <c r="T61" s="334"/>
      <c r="U61" s="371"/>
      <c r="V61" s="336"/>
    </row>
    <row r="62">
      <c r="A62" s="337">
        <v>19.0</v>
      </c>
      <c r="B62" s="111" t="s">
        <v>88</v>
      </c>
      <c r="C62" s="112" t="s">
        <v>89</v>
      </c>
      <c r="D62" s="327">
        <v>59.0</v>
      </c>
      <c r="E62" s="346"/>
      <c r="F62" s="328"/>
      <c r="G62" s="329"/>
      <c r="H62" s="330"/>
      <c r="I62" s="331"/>
      <c r="J62" s="332"/>
      <c r="K62" s="333"/>
      <c r="L62" s="332"/>
      <c r="M62" s="333"/>
      <c r="N62" s="332"/>
      <c r="O62" s="333"/>
      <c r="P62" s="332"/>
      <c r="Q62" s="332"/>
      <c r="R62" s="332"/>
      <c r="S62" s="332"/>
      <c r="T62" s="334"/>
      <c r="U62" s="371"/>
      <c r="V62" s="336"/>
    </row>
    <row r="63">
      <c r="A63" s="326">
        <v>17.0</v>
      </c>
      <c r="B63" s="111" t="s">
        <v>84</v>
      </c>
      <c r="C63" s="112" t="s">
        <v>85</v>
      </c>
      <c r="D63" s="327">
        <v>60.0</v>
      </c>
      <c r="E63" s="327"/>
      <c r="F63" s="328"/>
      <c r="G63" s="329"/>
      <c r="H63" s="330"/>
      <c r="I63" s="331"/>
      <c r="J63" s="332"/>
      <c r="K63" s="333"/>
      <c r="L63" s="332"/>
      <c r="M63" s="333"/>
      <c r="N63" s="332"/>
      <c r="O63" s="333"/>
      <c r="P63" s="332"/>
      <c r="Q63" s="332"/>
      <c r="R63" s="332"/>
      <c r="S63" s="332"/>
      <c r="T63" s="334"/>
      <c r="U63" s="371"/>
      <c r="V63" s="336"/>
    </row>
    <row r="64">
      <c r="A64" s="337">
        <v>27.0</v>
      </c>
      <c r="B64" s="111" t="s">
        <v>104</v>
      </c>
      <c r="C64" s="112" t="s">
        <v>105</v>
      </c>
      <c r="D64" s="327">
        <v>62.0</v>
      </c>
      <c r="E64" s="327"/>
      <c r="F64" s="328"/>
      <c r="G64" s="329"/>
      <c r="H64" s="330"/>
      <c r="I64" s="331"/>
      <c r="J64" s="332"/>
      <c r="K64" s="333"/>
      <c r="L64" s="332"/>
      <c r="M64" s="333"/>
      <c r="N64" s="332"/>
      <c r="O64" s="333"/>
      <c r="P64" s="332"/>
      <c r="Q64" s="332"/>
      <c r="R64" s="332"/>
      <c r="S64" s="332"/>
      <c r="T64" s="334"/>
      <c r="U64" s="371"/>
      <c r="V64" s="336"/>
    </row>
    <row r="65">
      <c r="A65" s="337">
        <v>35.0</v>
      </c>
      <c r="B65" s="111" t="s">
        <v>120</v>
      </c>
      <c r="C65" s="112" t="s">
        <v>121</v>
      </c>
      <c r="D65" s="327">
        <v>62.0</v>
      </c>
      <c r="E65" s="346"/>
      <c r="F65" s="328"/>
      <c r="G65" s="329"/>
      <c r="H65" s="330"/>
      <c r="I65" s="331"/>
      <c r="J65" s="332"/>
      <c r="K65" s="333"/>
      <c r="L65" s="332"/>
      <c r="M65" s="333"/>
      <c r="N65" s="332"/>
      <c r="O65" s="333"/>
      <c r="P65" s="332"/>
      <c r="Q65" s="332"/>
      <c r="R65" s="332"/>
      <c r="S65" s="332"/>
      <c r="T65" s="334"/>
      <c r="U65" s="371"/>
      <c r="V65" s="336"/>
    </row>
    <row r="66">
      <c r="A66" s="326">
        <v>8.0</v>
      </c>
      <c r="B66" s="111" t="s">
        <v>66</v>
      </c>
      <c r="C66" s="112" t="s">
        <v>67</v>
      </c>
      <c r="D66" s="327">
        <v>63.0</v>
      </c>
      <c r="E66" s="346"/>
      <c r="F66" s="328"/>
      <c r="G66" s="329"/>
      <c r="H66" s="330"/>
      <c r="I66" s="331"/>
      <c r="J66" s="332"/>
      <c r="K66" s="333"/>
      <c r="L66" s="332"/>
      <c r="M66" s="333"/>
      <c r="N66" s="332"/>
      <c r="O66" s="333"/>
      <c r="P66" s="332"/>
      <c r="Q66" s="332"/>
      <c r="R66" s="332"/>
      <c r="S66" s="332"/>
      <c r="T66" s="334"/>
      <c r="U66" s="371"/>
      <c r="V66" s="336"/>
    </row>
    <row r="67">
      <c r="A67" s="337">
        <v>31.0</v>
      </c>
      <c r="B67" s="111" t="s">
        <v>112</v>
      </c>
      <c r="C67" s="112" t="s">
        <v>113</v>
      </c>
      <c r="D67" s="372">
        <v>63.0</v>
      </c>
      <c r="E67" s="327"/>
      <c r="F67" s="328"/>
      <c r="G67" s="329"/>
      <c r="H67" s="330"/>
      <c r="I67" s="331"/>
      <c r="J67" s="332"/>
      <c r="K67" s="333"/>
      <c r="L67" s="332"/>
      <c r="M67" s="333"/>
      <c r="N67" s="332"/>
      <c r="O67" s="333"/>
      <c r="P67" s="332"/>
      <c r="Q67" s="332"/>
      <c r="R67" s="332"/>
      <c r="S67" s="332"/>
      <c r="T67" s="334"/>
      <c r="U67" s="371"/>
      <c r="V67" s="336"/>
    </row>
    <row r="68">
      <c r="A68" s="337">
        <v>47.0</v>
      </c>
      <c r="B68" s="111" t="s">
        <v>145</v>
      </c>
      <c r="C68" s="112" t="s">
        <v>146</v>
      </c>
      <c r="D68" s="327">
        <v>63.0</v>
      </c>
      <c r="E68" s="327"/>
      <c r="F68" s="328"/>
      <c r="G68" s="327"/>
      <c r="H68" s="330"/>
      <c r="I68" s="331"/>
      <c r="J68" s="332"/>
      <c r="K68" s="333"/>
      <c r="L68" s="332"/>
      <c r="M68" s="333"/>
      <c r="N68" s="332"/>
      <c r="O68" s="333"/>
      <c r="P68" s="332"/>
      <c r="Q68" s="332"/>
      <c r="R68" s="332"/>
      <c r="S68" s="332"/>
      <c r="T68" s="334"/>
      <c r="U68" s="348"/>
      <c r="V68" s="336"/>
    </row>
    <row r="69">
      <c r="A69" s="326">
        <v>30.0</v>
      </c>
      <c r="B69" s="161" t="s">
        <v>110</v>
      </c>
      <c r="C69" s="162" t="s">
        <v>111</v>
      </c>
      <c r="D69" s="327">
        <v>64.0</v>
      </c>
      <c r="E69" s="346"/>
      <c r="F69" s="328"/>
      <c r="G69" s="329"/>
      <c r="H69" s="330"/>
      <c r="I69" s="331"/>
      <c r="J69" s="332"/>
      <c r="K69" s="333"/>
      <c r="L69" s="332"/>
      <c r="M69" s="333"/>
      <c r="N69" s="332"/>
      <c r="O69" s="333"/>
      <c r="P69" s="332"/>
      <c r="Q69" s="332"/>
      <c r="R69" s="332"/>
      <c r="S69" s="332"/>
      <c r="T69" s="334"/>
      <c r="U69" s="371"/>
      <c r="V69" s="336"/>
    </row>
    <row r="70">
      <c r="A70" s="337">
        <v>25.0</v>
      </c>
      <c r="B70" s="161" t="s">
        <v>100</v>
      </c>
      <c r="C70" s="162" t="s">
        <v>101</v>
      </c>
      <c r="D70" s="327">
        <v>65.0</v>
      </c>
      <c r="E70" s="338"/>
      <c r="F70" s="328"/>
      <c r="G70" s="329"/>
      <c r="H70" s="330"/>
      <c r="I70" s="331"/>
      <c r="J70" s="332"/>
      <c r="K70" s="333"/>
      <c r="L70" s="332"/>
      <c r="M70" s="333"/>
      <c r="N70" s="332"/>
      <c r="O70" s="333"/>
      <c r="P70" s="332"/>
      <c r="Q70" s="332"/>
      <c r="R70" s="332"/>
      <c r="S70" s="332"/>
      <c r="T70" s="334"/>
      <c r="U70" s="371"/>
      <c r="V70" s="336"/>
    </row>
    <row r="71">
      <c r="A71" s="337">
        <v>56.0</v>
      </c>
      <c r="B71" s="111" t="s">
        <v>163</v>
      </c>
      <c r="C71" s="112" t="s">
        <v>164</v>
      </c>
      <c r="D71" s="327">
        <v>66.0</v>
      </c>
      <c r="E71" s="349"/>
      <c r="F71" s="347"/>
      <c r="G71" s="327"/>
      <c r="H71" s="330"/>
      <c r="I71" s="331"/>
      <c r="J71" s="332"/>
      <c r="K71" s="333"/>
      <c r="L71" s="332"/>
      <c r="M71" s="333"/>
      <c r="N71" s="332"/>
      <c r="O71" s="333"/>
      <c r="P71" s="332"/>
      <c r="Q71" s="332"/>
      <c r="R71" s="332"/>
      <c r="S71" s="332"/>
      <c r="T71" s="334"/>
      <c r="U71" s="348"/>
      <c r="V71" s="336"/>
    </row>
    <row r="72">
      <c r="A72" s="363">
        <v>70.0</v>
      </c>
      <c r="B72" s="111" t="s">
        <v>191</v>
      </c>
      <c r="C72" s="112" t="s">
        <v>192</v>
      </c>
      <c r="D72" s="327">
        <v>66.0</v>
      </c>
      <c r="E72" s="349"/>
      <c r="F72" s="347"/>
      <c r="G72" s="327"/>
      <c r="H72" s="330"/>
      <c r="I72" s="331"/>
      <c r="J72" s="332"/>
      <c r="K72" s="333"/>
      <c r="L72" s="332"/>
      <c r="M72" s="333"/>
      <c r="N72" s="332"/>
      <c r="O72" s="333"/>
      <c r="P72" s="332"/>
      <c r="Q72" s="332"/>
      <c r="R72" s="332"/>
      <c r="S72" s="332"/>
      <c r="T72" s="334"/>
      <c r="U72" s="348"/>
      <c r="V72" s="336"/>
    </row>
    <row r="73">
      <c r="A73" s="337">
        <v>5.0</v>
      </c>
      <c r="B73" s="111" t="s">
        <v>59</v>
      </c>
      <c r="C73" s="112" t="s">
        <v>60</v>
      </c>
      <c r="D73" s="327">
        <v>70.0</v>
      </c>
      <c r="E73" s="346"/>
      <c r="F73" s="347"/>
      <c r="G73" s="329"/>
      <c r="H73" s="330"/>
      <c r="I73" s="331"/>
      <c r="J73" s="332"/>
      <c r="K73" s="333"/>
      <c r="L73" s="332"/>
      <c r="M73" s="333"/>
      <c r="N73" s="332"/>
      <c r="O73" s="333"/>
      <c r="P73" s="332"/>
      <c r="Q73" s="332"/>
      <c r="R73" s="332"/>
      <c r="S73" s="332"/>
      <c r="T73" s="334"/>
      <c r="U73" s="371"/>
      <c r="V73" s="336"/>
    </row>
    <row r="74">
      <c r="A74" s="337">
        <v>11.0</v>
      </c>
      <c r="B74" s="111" t="s">
        <v>72</v>
      </c>
      <c r="C74" s="112" t="s">
        <v>73</v>
      </c>
      <c r="D74" s="327">
        <v>73.0</v>
      </c>
      <c r="E74" s="327"/>
      <c r="F74" s="328"/>
      <c r="G74" s="329"/>
      <c r="H74" s="330"/>
      <c r="I74" s="331"/>
      <c r="J74" s="332"/>
      <c r="K74" s="333"/>
      <c r="L74" s="332"/>
      <c r="M74" s="333"/>
      <c r="N74" s="332"/>
      <c r="O74" s="333"/>
      <c r="P74" s="332"/>
      <c r="Q74" s="332"/>
      <c r="R74" s="332"/>
      <c r="S74" s="332"/>
      <c r="T74" s="334"/>
      <c r="U74" s="371"/>
      <c r="V74" s="336"/>
    </row>
    <row r="75">
      <c r="A75" s="326">
        <v>39.0</v>
      </c>
      <c r="B75" s="111" t="s">
        <v>128</v>
      </c>
      <c r="C75" s="112" t="s">
        <v>129</v>
      </c>
      <c r="D75" s="327">
        <v>73.0</v>
      </c>
      <c r="E75" s="346"/>
      <c r="F75" s="347"/>
      <c r="G75" s="329"/>
      <c r="H75" s="330"/>
      <c r="I75" s="331"/>
      <c r="J75" s="332"/>
      <c r="K75" s="333"/>
      <c r="L75" s="332"/>
      <c r="M75" s="333"/>
      <c r="N75" s="332"/>
      <c r="O75" s="333"/>
      <c r="P75" s="332"/>
      <c r="Q75" s="332"/>
      <c r="R75" s="332"/>
      <c r="S75" s="332"/>
      <c r="T75" s="334"/>
      <c r="U75" s="371"/>
      <c r="V75" s="336"/>
    </row>
    <row r="76">
      <c r="A76" s="337">
        <v>57.0</v>
      </c>
      <c r="B76" s="111" t="s">
        <v>165</v>
      </c>
      <c r="C76" s="112" t="s">
        <v>166</v>
      </c>
      <c r="D76" s="327">
        <v>73.0</v>
      </c>
      <c r="E76" s="327"/>
      <c r="F76" s="328"/>
      <c r="G76" s="327"/>
      <c r="H76" s="330"/>
      <c r="I76" s="331"/>
      <c r="J76" s="332"/>
      <c r="K76" s="333"/>
      <c r="L76" s="332"/>
      <c r="M76" s="333"/>
      <c r="N76" s="332"/>
      <c r="O76" s="333"/>
      <c r="P76" s="332"/>
      <c r="Q76" s="332"/>
      <c r="R76" s="332"/>
      <c r="S76" s="332"/>
      <c r="T76" s="334"/>
      <c r="U76" s="348"/>
      <c r="V76" s="336"/>
    </row>
    <row r="77">
      <c r="A77" s="337">
        <v>71.0</v>
      </c>
      <c r="B77" s="111" t="s">
        <v>193</v>
      </c>
      <c r="C77" s="112" t="s">
        <v>194</v>
      </c>
      <c r="D77" s="327">
        <v>75.0</v>
      </c>
      <c r="E77" s="346"/>
      <c r="F77" s="347"/>
      <c r="G77" s="327"/>
      <c r="H77" s="330"/>
      <c r="I77" s="331"/>
      <c r="J77" s="332"/>
      <c r="K77" s="333"/>
      <c r="L77" s="332"/>
      <c r="M77" s="333"/>
      <c r="N77" s="332"/>
      <c r="O77" s="333"/>
      <c r="P77" s="332"/>
      <c r="Q77" s="332"/>
      <c r="R77" s="332"/>
      <c r="S77" s="332"/>
      <c r="T77" s="334"/>
      <c r="U77" s="348"/>
      <c r="V77" s="336"/>
    </row>
    <row r="78">
      <c r="A78" s="326">
        <v>6.0</v>
      </c>
      <c r="B78" s="126" t="s">
        <v>62</v>
      </c>
      <c r="C78" s="260" t="s">
        <v>63</v>
      </c>
      <c r="D78" s="327">
        <v>76.0</v>
      </c>
      <c r="E78" s="346"/>
      <c r="F78" s="347"/>
      <c r="G78" s="329"/>
      <c r="H78" s="330"/>
      <c r="I78" s="331"/>
      <c r="J78" s="332"/>
      <c r="K78" s="333"/>
      <c r="L78" s="332"/>
      <c r="M78" s="333"/>
      <c r="N78" s="332"/>
      <c r="O78" s="333"/>
      <c r="P78" s="332"/>
      <c r="Q78" s="332"/>
      <c r="R78" s="332"/>
      <c r="S78" s="332"/>
      <c r="T78" s="334"/>
      <c r="U78" s="371"/>
      <c r="V78" s="336"/>
    </row>
    <row r="79">
      <c r="A79" s="337">
        <v>50.0</v>
      </c>
      <c r="B79" s="111" t="s">
        <v>151</v>
      </c>
      <c r="C79" s="112" t="s">
        <v>152</v>
      </c>
      <c r="D79" s="327">
        <v>76.0</v>
      </c>
      <c r="E79" s="327"/>
      <c r="F79" s="328"/>
      <c r="G79" s="327"/>
      <c r="H79" s="330"/>
      <c r="I79" s="331"/>
      <c r="J79" s="332"/>
      <c r="K79" s="333"/>
      <c r="L79" s="332"/>
      <c r="M79" s="333"/>
      <c r="N79" s="332"/>
      <c r="O79" s="333"/>
      <c r="P79" s="332"/>
      <c r="Q79" s="332"/>
      <c r="R79" s="332"/>
      <c r="S79" s="332"/>
      <c r="T79" s="334"/>
      <c r="U79" s="348"/>
      <c r="V79" s="336"/>
    </row>
    <row r="80">
      <c r="A80" s="345">
        <v>58.0</v>
      </c>
      <c r="B80" s="111" t="s">
        <v>167</v>
      </c>
      <c r="C80" s="112" t="s">
        <v>168</v>
      </c>
      <c r="D80" s="327">
        <v>76.0</v>
      </c>
      <c r="E80" s="346"/>
      <c r="F80" s="328"/>
      <c r="G80" s="327"/>
      <c r="H80" s="330"/>
      <c r="I80" s="331"/>
      <c r="J80" s="332"/>
      <c r="K80" s="333"/>
      <c r="L80" s="332"/>
      <c r="M80" s="333"/>
      <c r="N80" s="332"/>
      <c r="O80" s="333"/>
      <c r="P80" s="332"/>
      <c r="Q80" s="332"/>
      <c r="R80" s="332"/>
      <c r="S80" s="332"/>
      <c r="T80" s="334"/>
      <c r="U80" s="348"/>
      <c r="V80" s="336"/>
    </row>
    <row r="81">
      <c r="A81" s="363">
        <v>82.0</v>
      </c>
      <c r="B81" s="111" t="s">
        <v>215</v>
      </c>
      <c r="C81" s="112" t="s">
        <v>216</v>
      </c>
      <c r="D81" s="329">
        <v>83.0</v>
      </c>
      <c r="E81" s="373"/>
      <c r="F81" s="347"/>
      <c r="G81" s="329"/>
      <c r="H81" s="330"/>
      <c r="I81" s="331"/>
      <c r="J81" s="332"/>
      <c r="K81" s="333"/>
      <c r="L81" s="332"/>
      <c r="M81" s="333"/>
      <c r="N81" s="332"/>
      <c r="O81" s="333"/>
      <c r="P81" s="332"/>
      <c r="Q81" s="332"/>
      <c r="R81" s="332"/>
      <c r="S81" s="332"/>
      <c r="T81" s="334"/>
      <c r="U81" s="348"/>
      <c r="V81" s="362"/>
    </row>
    <row r="82">
      <c r="A82" s="337">
        <v>2.0</v>
      </c>
      <c r="B82" s="111" t="s">
        <v>53</v>
      </c>
      <c r="C82" s="112" t="s">
        <v>61</v>
      </c>
      <c r="D82" s="327">
        <v>84.0</v>
      </c>
      <c r="E82" s="346"/>
      <c r="F82" s="347"/>
      <c r="G82" s="329"/>
      <c r="H82" s="330"/>
      <c r="I82" s="331"/>
      <c r="J82" s="332"/>
      <c r="K82" s="333"/>
      <c r="L82" s="332"/>
      <c r="M82" s="333"/>
      <c r="N82" s="332"/>
      <c r="O82" s="333"/>
      <c r="P82" s="332"/>
      <c r="Q82" s="332"/>
      <c r="R82" s="332"/>
      <c r="S82" s="332"/>
      <c r="T82" s="334"/>
      <c r="U82" s="371"/>
      <c r="V82" s="336"/>
    </row>
    <row r="83">
      <c r="A83" s="337">
        <v>81.0</v>
      </c>
      <c r="B83" s="111" t="s">
        <v>213</v>
      </c>
      <c r="C83" s="112" t="s">
        <v>214</v>
      </c>
      <c r="D83" s="338">
        <v>84.0</v>
      </c>
      <c r="E83" s="349"/>
      <c r="F83" s="347"/>
      <c r="G83" s="338"/>
      <c r="H83" s="330"/>
      <c r="I83" s="331"/>
      <c r="J83" s="332"/>
      <c r="K83" s="333"/>
      <c r="L83" s="332"/>
      <c r="M83" s="333"/>
      <c r="N83" s="332"/>
      <c r="O83" s="333"/>
      <c r="P83" s="332"/>
      <c r="Q83" s="332"/>
      <c r="R83" s="332"/>
      <c r="S83" s="332"/>
      <c r="T83" s="334"/>
      <c r="U83" s="348"/>
      <c r="V83" s="374"/>
    </row>
    <row r="84">
      <c r="A84" s="375" t="s">
        <v>136</v>
      </c>
      <c r="B84" s="376"/>
      <c r="C84" s="377"/>
      <c r="D84" s="378" t="s">
        <v>258</v>
      </c>
      <c r="E84" s="378"/>
      <c r="F84" s="379"/>
      <c r="G84" s="378"/>
      <c r="H84" s="380"/>
      <c r="I84" s="323"/>
      <c r="J84" s="324"/>
      <c r="K84" s="323"/>
      <c r="L84" s="324"/>
      <c r="M84" s="323"/>
      <c r="N84" s="324"/>
      <c r="O84" s="323"/>
      <c r="P84" s="324"/>
      <c r="Q84" s="324"/>
      <c r="R84" s="324"/>
      <c r="S84" s="324"/>
      <c r="T84" s="47"/>
      <c r="U84" s="381"/>
      <c r="V84" s="382"/>
    </row>
    <row r="85">
      <c r="A85" s="11"/>
      <c r="B85" s="11"/>
      <c r="C85" s="11"/>
      <c r="D85" s="31"/>
      <c r="E85" s="31"/>
      <c r="F85" s="296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11"/>
      <c r="S85" s="11"/>
      <c r="T85" s="11"/>
      <c r="U85" s="297"/>
      <c r="V85" s="11"/>
    </row>
    <row r="86">
      <c r="A86" s="11"/>
      <c r="B86" s="11"/>
      <c r="C86" s="11"/>
      <c r="D86" s="31"/>
      <c r="E86" s="31"/>
      <c r="F86" s="296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11"/>
      <c r="S86" s="11"/>
      <c r="T86" s="11"/>
      <c r="U86" s="297"/>
      <c r="V86" s="11"/>
    </row>
    <row r="87">
      <c r="A87" s="11"/>
      <c r="B87" s="11"/>
      <c r="C87" s="11"/>
      <c r="D87" s="31"/>
      <c r="E87" s="31"/>
      <c r="F87" s="296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11"/>
      <c r="S87" s="11"/>
      <c r="T87" s="11"/>
      <c r="U87" s="297"/>
      <c r="V87" s="11"/>
    </row>
    <row r="88">
      <c r="A88" s="11"/>
      <c r="B88" s="11"/>
      <c r="C88" s="11"/>
      <c r="D88" s="31"/>
      <c r="E88" s="31"/>
      <c r="F88" s="296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11"/>
      <c r="S88" s="11"/>
      <c r="T88" s="11"/>
      <c r="U88" s="297"/>
      <c r="V88" s="11"/>
    </row>
    <row r="89">
      <c r="A89" s="11"/>
      <c r="B89" s="11"/>
      <c r="C89" s="11"/>
      <c r="D89" s="31"/>
      <c r="E89" s="31"/>
      <c r="F89" s="296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11"/>
      <c r="S89" s="11"/>
      <c r="T89" s="11"/>
      <c r="U89" s="297"/>
      <c r="V89" s="11"/>
    </row>
    <row r="90">
      <c r="A90" s="11"/>
      <c r="B90" s="11"/>
      <c r="C90" s="11"/>
      <c r="D90" s="31"/>
      <c r="E90" s="31"/>
      <c r="F90" s="296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11"/>
      <c r="S90" s="11"/>
      <c r="T90" s="11"/>
      <c r="U90" s="297"/>
      <c r="V90" s="11"/>
    </row>
    <row r="91">
      <c r="A91" s="11"/>
      <c r="B91" s="11"/>
      <c r="C91" s="11"/>
      <c r="D91" s="31"/>
      <c r="E91" s="31"/>
      <c r="F91" s="296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11"/>
      <c r="S91" s="11"/>
      <c r="T91" s="11"/>
      <c r="U91" s="297"/>
      <c r="V91" s="11"/>
    </row>
    <row r="92">
      <c r="A92" s="11"/>
      <c r="B92" s="11"/>
      <c r="C92" s="11"/>
      <c r="D92" s="31"/>
      <c r="E92" s="31"/>
      <c r="F92" s="296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11"/>
      <c r="S92" s="11"/>
      <c r="T92" s="11"/>
      <c r="U92" s="297"/>
      <c r="V92" s="11"/>
    </row>
    <row r="93">
      <c r="A93" s="11"/>
      <c r="B93" s="11"/>
      <c r="C93" s="11"/>
      <c r="D93" s="31"/>
      <c r="E93" s="31"/>
      <c r="F93" s="296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11"/>
      <c r="S93" s="11"/>
      <c r="T93" s="11"/>
      <c r="U93" s="297"/>
      <c r="V93" s="11"/>
    </row>
    <row r="94">
      <c r="A94" s="11"/>
      <c r="B94" s="11"/>
      <c r="C94" s="11"/>
      <c r="D94" s="31"/>
      <c r="E94" s="31"/>
      <c r="F94" s="296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11"/>
      <c r="S94" s="11"/>
      <c r="T94" s="11"/>
      <c r="U94" s="297"/>
      <c r="V94" s="11"/>
    </row>
    <row r="95">
      <c r="A95" s="11"/>
      <c r="B95" s="11"/>
      <c r="C95" s="11"/>
      <c r="D95" s="31"/>
      <c r="E95" s="31"/>
      <c r="F95" s="296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11"/>
      <c r="S95" s="11"/>
      <c r="T95" s="11"/>
      <c r="U95" s="297"/>
      <c r="V95" s="11"/>
    </row>
    <row r="96">
      <c r="A96" s="11"/>
      <c r="B96" s="11"/>
      <c r="C96" s="11"/>
      <c r="D96" s="31"/>
      <c r="E96" s="31"/>
      <c r="F96" s="296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11"/>
      <c r="S96" s="11"/>
      <c r="T96" s="11"/>
      <c r="U96" s="297"/>
      <c r="V96" s="11"/>
    </row>
    <row r="97">
      <c r="A97" s="11"/>
      <c r="B97" s="11"/>
      <c r="C97" s="11"/>
      <c r="D97" s="31"/>
      <c r="E97" s="31"/>
      <c r="F97" s="296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11"/>
      <c r="S97" s="11"/>
      <c r="T97" s="11"/>
      <c r="U97" s="297"/>
      <c r="V97" s="11"/>
    </row>
    <row r="98">
      <c r="A98" s="11"/>
      <c r="B98" s="11"/>
      <c r="C98" s="11"/>
      <c r="D98" s="31"/>
      <c r="E98" s="31"/>
      <c r="F98" s="296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11"/>
      <c r="S98" s="11"/>
      <c r="T98" s="11"/>
      <c r="U98" s="297"/>
      <c r="V98" s="11"/>
    </row>
    <row r="99">
      <c r="A99" s="11"/>
      <c r="B99" s="11"/>
      <c r="C99" s="11"/>
      <c r="D99" s="31"/>
      <c r="E99" s="31"/>
      <c r="F99" s="296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11"/>
      <c r="S99" s="11"/>
      <c r="T99" s="11"/>
      <c r="U99" s="297"/>
      <c r="V99" s="11"/>
    </row>
    <row r="100">
      <c r="A100" s="11"/>
      <c r="B100" s="11"/>
      <c r="C100" s="11"/>
      <c r="D100" s="31"/>
      <c r="E100" s="31"/>
      <c r="F100" s="296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11"/>
      <c r="S100" s="11"/>
      <c r="T100" s="11"/>
      <c r="U100" s="297"/>
      <c r="V100" s="11"/>
    </row>
    <row r="101">
      <c r="A101" s="11"/>
      <c r="B101" s="11"/>
      <c r="C101" s="11"/>
      <c r="D101" s="31"/>
      <c r="E101" s="31"/>
      <c r="F101" s="296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11"/>
      <c r="S101" s="11"/>
      <c r="T101" s="11"/>
      <c r="U101" s="297"/>
      <c r="V101" s="11"/>
    </row>
    <row r="102">
      <c r="A102" s="11"/>
      <c r="B102" s="11"/>
      <c r="C102" s="11"/>
      <c r="D102" s="31"/>
      <c r="E102" s="31"/>
      <c r="F102" s="296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11"/>
      <c r="S102" s="11"/>
      <c r="T102" s="11"/>
      <c r="U102" s="297"/>
      <c r="V102" s="11"/>
    </row>
    <row r="103">
      <c r="A103" s="11"/>
      <c r="B103" s="11"/>
      <c r="C103" s="11"/>
      <c r="D103" s="31"/>
      <c r="E103" s="31"/>
      <c r="F103" s="296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11"/>
      <c r="S103" s="11"/>
      <c r="T103" s="11"/>
      <c r="U103" s="297"/>
      <c r="V103" s="11"/>
    </row>
    <row r="104">
      <c r="A104" s="11"/>
      <c r="B104" s="11"/>
      <c r="C104" s="11"/>
      <c r="D104" s="31"/>
      <c r="E104" s="31"/>
      <c r="F104" s="296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11"/>
      <c r="S104" s="11"/>
      <c r="T104" s="11"/>
      <c r="U104" s="297"/>
      <c r="V104" s="11"/>
    </row>
    <row r="105">
      <c r="A105" s="11"/>
      <c r="B105" s="11"/>
      <c r="C105" s="11"/>
      <c r="D105" s="31"/>
      <c r="E105" s="31"/>
      <c r="F105" s="296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11"/>
      <c r="S105" s="11"/>
      <c r="T105" s="11"/>
      <c r="U105" s="297"/>
      <c r="V105" s="11"/>
    </row>
    <row r="106">
      <c r="A106" s="11"/>
      <c r="B106" s="11"/>
      <c r="C106" s="11"/>
      <c r="D106" s="31"/>
      <c r="E106" s="31"/>
      <c r="F106" s="296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11"/>
      <c r="S106" s="11"/>
      <c r="T106" s="11"/>
      <c r="U106" s="297"/>
      <c r="V106" s="11"/>
    </row>
    <row r="107">
      <c r="A107" s="11"/>
      <c r="B107" s="11"/>
      <c r="C107" s="11"/>
      <c r="D107" s="31"/>
      <c r="E107" s="31"/>
      <c r="F107" s="296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11"/>
      <c r="S107" s="11"/>
      <c r="T107" s="11"/>
      <c r="U107" s="297"/>
      <c r="V107" s="11"/>
    </row>
    <row r="108">
      <c r="A108" s="11"/>
      <c r="B108" s="11"/>
      <c r="C108" s="11"/>
      <c r="D108" s="31"/>
      <c r="E108" s="31"/>
      <c r="F108" s="296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11"/>
      <c r="S108" s="11"/>
      <c r="T108" s="11"/>
      <c r="U108" s="297"/>
      <c r="V108" s="11"/>
    </row>
    <row r="109">
      <c r="A109" s="11"/>
      <c r="B109" s="11"/>
      <c r="C109" s="11"/>
      <c r="D109" s="31"/>
      <c r="E109" s="31"/>
      <c r="F109" s="296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11"/>
      <c r="S109" s="11"/>
      <c r="T109" s="11"/>
      <c r="U109" s="297"/>
      <c r="V109" s="11"/>
    </row>
    <row r="110">
      <c r="A110" s="11"/>
      <c r="B110" s="11"/>
      <c r="C110" s="11"/>
      <c r="D110" s="31"/>
      <c r="E110" s="31"/>
      <c r="F110" s="296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11"/>
      <c r="S110" s="11"/>
      <c r="T110" s="11"/>
      <c r="U110" s="297"/>
      <c r="V110" s="11"/>
    </row>
    <row r="111">
      <c r="A111" s="11"/>
      <c r="B111" s="11"/>
      <c r="C111" s="11"/>
      <c r="D111" s="31"/>
      <c r="E111" s="31"/>
      <c r="F111" s="296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11"/>
      <c r="S111" s="11"/>
      <c r="T111" s="11"/>
      <c r="U111" s="297"/>
      <c r="V111" s="11"/>
    </row>
    <row r="112">
      <c r="A112" s="11"/>
      <c r="B112" s="11"/>
      <c r="C112" s="11"/>
      <c r="D112" s="31"/>
      <c r="E112" s="31"/>
      <c r="F112" s="296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11"/>
      <c r="S112" s="11"/>
      <c r="T112" s="11"/>
      <c r="U112" s="297"/>
      <c r="V112" s="11"/>
    </row>
    <row r="113">
      <c r="A113" s="11"/>
      <c r="B113" s="11"/>
      <c r="C113" s="11"/>
      <c r="D113" s="31"/>
      <c r="E113" s="31"/>
      <c r="F113" s="296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11"/>
      <c r="S113" s="11"/>
      <c r="T113" s="11"/>
      <c r="U113" s="297"/>
      <c r="V113" s="11"/>
    </row>
    <row r="114">
      <c r="A114" s="11"/>
      <c r="B114" s="11"/>
      <c r="C114" s="11"/>
      <c r="D114" s="31"/>
      <c r="E114" s="31"/>
      <c r="F114" s="296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11"/>
      <c r="S114" s="11"/>
      <c r="T114" s="11"/>
      <c r="U114" s="297"/>
      <c r="V114" s="11"/>
    </row>
    <row r="115">
      <c r="A115" s="11"/>
      <c r="B115" s="11"/>
      <c r="C115" s="11"/>
      <c r="D115" s="31"/>
      <c r="E115" s="31"/>
      <c r="F115" s="296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11"/>
      <c r="S115" s="11"/>
      <c r="T115" s="11"/>
      <c r="U115" s="297"/>
      <c r="V115" s="11"/>
    </row>
    <row r="116">
      <c r="A116" s="11"/>
      <c r="B116" s="11"/>
      <c r="C116" s="11"/>
      <c r="D116" s="31"/>
      <c r="E116" s="31"/>
      <c r="F116" s="296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11"/>
      <c r="S116" s="11"/>
      <c r="T116" s="11"/>
      <c r="U116" s="297"/>
      <c r="V116" s="11"/>
    </row>
    <row r="117">
      <c r="A117" s="11"/>
      <c r="B117" s="11"/>
      <c r="C117" s="11"/>
      <c r="D117" s="11"/>
      <c r="E117" s="11"/>
      <c r="F117" s="30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297"/>
      <c r="V117" s="11"/>
    </row>
    <row r="118">
      <c r="A118" s="11"/>
      <c r="B118" s="11"/>
      <c r="C118" s="11"/>
      <c r="D118" s="11"/>
      <c r="E118" s="11"/>
      <c r="F118" s="30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297"/>
      <c r="V118" s="11"/>
    </row>
    <row r="119">
      <c r="A119" s="11"/>
      <c r="B119" s="11"/>
      <c r="C119" s="11"/>
      <c r="D119" s="11"/>
      <c r="E119" s="11"/>
      <c r="F119" s="30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297"/>
      <c r="V119" s="11"/>
    </row>
    <row r="120">
      <c r="A120" s="11"/>
      <c r="B120" s="11"/>
      <c r="C120" s="11"/>
      <c r="D120" s="11"/>
      <c r="E120" s="11"/>
      <c r="F120" s="30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297"/>
      <c r="V120" s="11"/>
    </row>
    <row r="121">
      <c r="A121" s="11"/>
      <c r="B121" s="11"/>
      <c r="C121" s="11"/>
      <c r="D121" s="11"/>
      <c r="E121" s="11"/>
      <c r="F121" s="30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297"/>
      <c r="V121" s="11"/>
    </row>
    <row r="122">
      <c r="A122" s="11"/>
      <c r="B122" s="11"/>
      <c r="C122" s="11"/>
      <c r="D122" s="11"/>
      <c r="E122" s="11"/>
      <c r="F122" s="30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297"/>
      <c r="V122" s="11"/>
    </row>
    <row r="123">
      <c r="A123" s="11"/>
      <c r="B123" s="11"/>
      <c r="C123" s="11"/>
      <c r="D123" s="11"/>
      <c r="E123" s="11"/>
      <c r="F123" s="30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297"/>
      <c r="V123" s="11"/>
    </row>
    <row r="124">
      <c r="A124" s="11"/>
      <c r="B124" s="11"/>
      <c r="C124" s="11"/>
      <c r="D124" s="11"/>
      <c r="E124" s="11"/>
      <c r="F124" s="30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297"/>
      <c r="V124" s="11"/>
    </row>
    <row r="125">
      <c r="A125" s="11"/>
      <c r="B125" s="11"/>
      <c r="C125" s="11"/>
      <c r="D125" s="11"/>
      <c r="E125" s="11"/>
      <c r="F125" s="30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297"/>
      <c r="V125" s="11"/>
    </row>
    <row r="126">
      <c r="A126" s="11"/>
      <c r="B126" s="11"/>
      <c r="C126" s="11"/>
      <c r="D126" s="11"/>
      <c r="E126" s="11"/>
      <c r="F126" s="30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297"/>
      <c r="V126" s="11"/>
    </row>
    <row r="127">
      <c r="A127" s="11"/>
      <c r="B127" s="11"/>
      <c r="C127" s="11"/>
      <c r="D127" s="11"/>
      <c r="E127" s="11"/>
      <c r="F127" s="30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297"/>
      <c r="V127" s="11"/>
    </row>
    <row r="128">
      <c r="A128" s="11"/>
      <c r="B128" s="11"/>
      <c r="C128" s="11"/>
      <c r="D128" s="11"/>
      <c r="E128" s="11"/>
      <c r="F128" s="30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297"/>
      <c r="V128" s="11"/>
    </row>
    <row r="129">
      <c r="A129" s="11"/>
      <c r="B129" s="11"/>
      <c r="C129" s="11"/>
      <c r="D129" s="11"/>
      <c r="E129" s="11"/>
      <c r="F129" s="30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297"/>
      <c r="V129" s="11"/>
    </row>
    <row r="130">
      <c r="A130" s="11"/>
      <c r="B130" s="11"/>
      <c r="C130" s="11"/>
      <c r="D130" s="11"/>
      <c r="E130" s="11"/>
      <c r="F130" s="30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297"/>
      <c r="V130" s="11"/>
    </row>
    <row r="131">
      <c r="A131" s="11"/>
      <c r="B131" s="11"/>
      <c r="C131" s="11"/>
      <c r="D131" s="11"/>
      <c r="E131" s="11"/>
      <c r="F131" s="30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297"/>
      <c r="V131" s="11"/>
    </row>
    <row r="132">
      <c r="A132" s="11"/>
      <c r="B132" s="11"/>
      <c r="C132" s="11"/>
      <c r="D132" s="11"/>
      <c r="E132" s="11"/>
      <c r="F132" s="30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297"/>
      <c r="V132" s="11"/>
    </row>
    <row r="133">
      <c r="A133" s="11"/>
      <c r="B133" s="11"/>
      <c r="C133" s="11"/>
      <c r="D133" s="11"/>
      <c r="E133" s="11"/>
      <c r="F133" s="30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297"/>
      <c r="V133" s="11"/>
    </row>
    <row r="134">
      <c r="A134" s="11"/>
      <c r="B134" s="11"/>
      <c r="C134" s="11"/>
      <c r="D134" s="11"/>
      <c r="E134" s="11"/>
      <c r="F134" s="30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297"/>
      <c r="V134" s="11"/>
    </row>
    <row r="135">
      <c r="A135" s="11"/>
      <c r="B135" s="11"/>
      <c r="C135" s="11"/>
      <c r="D135" s="11"/>
      <c r="E135" s="11"/>
      <c r="F135" s="30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297"/>
      <c r="V135" s="11"/>
    </row>
    <row r="136">
      <c r="A136" s="11"/>
      <c r="B136" s="11"/>
      <c r="C136" s="11"/>
      <c r="D136" s="11"/>
      <c r="E136" s="11"/>
      <c r="F136" s="30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297"/>
      <c r="V136" s="11"/>
    </row>
    <row r="137">
      <c r="A137" s="11"/>
      <c r="B137" s="11"/>
      <c r="C137" s="11"/>
      <c r="D137" s="11"/>
      <c r="E137" s="11"/>
      <c r="F137" s="30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297"/>
      <c r="V137" s="11"/>
    </row>
    <row r="138">
      <c r="A138" s="11"/>
      <c r="B138" s="11"/>
      <c r="C138" s="11"/>
      <c r="D138" s="11"/>
      <c r="E138" s="11"/>
      <c r="F138" s="30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297"/>
      <c r="V138" s="11"/>
    </row>
    <row r="139">
      <c r="A139" s="11"/>
      <c r="B139" s="11"/>
      <c r="C139" s="11"/>
      <c r="D139" s="11"/>
      <c r="E139" s="11"/>
      <c r="F139" s="30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297"/>
      <c r="V139" s="11"/>
    </row>
    <row r="140">
      <c r="A140" s="11"/>
      <c r="B140" s="11"/>
      <c r="C140" s="11"/>
      <c r="D140" s="11"/>
      <c r="E140" s="11"/>
      <c r="F140" s="30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297"/>
      <c r="V140" s="11"/>
    </row>
    <row r="141">
      <c r="A141" s="11"/>
      <c r="B141" s="11"/>
      <c r="C141" s="11"/>
      <c r="D141" s="11"/>
      <c r="E141" s="11"/>
      <c r="F141" s="30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297"/>
      <c r="V141" s="11"/>
    </row>
    <row r="142">
      <c r="A142" s="11"/>
      <c r="B142" s="11"/>
      <c r="C142" s="11"/>
      <c r="D142" s="11"/>
      <c r="E142" s="11"/>
      <c r="F142" s="30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297"/>
      <c r="V142" s="11"/>
    </row>
    <row r="143">
      <c r="A143" s="11"/>
      <c r="B143" s="11"/>
      <c r="C143" s="11"/>
      <c r="D143" s="11"/>
      <c r="E143" s="11"/>
      <c r="F143" s="30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297"/>
      <c r="V143" s="11"/>
    </row>
    <row r="144">
      <c r="A144" s="11"/>
      <c r="B144" s="11"/>
      <c r="C144" s="11"/>
      <c r="D144" s="11"/>
      <c r="E144" s="11"/>
      <c r="F144" s="30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297"/>
      <c r="V144" s="11"/>
    </row>
    <row r="145">
      <c r="A145" s="11"/>
      <c r="B145" s="11"/>
      <c r="C145" s="11"/>
      <c r="D145" s="11"/>
      <c r="E145" s="11"/>
      <c r="F145" s="30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297"/>
      <c r="V145" s="11"/>
    </row>
    <row r="146">
      <c r="A146" s="11"/>
      <c r="B146" s="11"/>
      <c r="C146" s="11"/>
      <c r="D146" s="11"/>
      <c r="E146" s="11"/>
      <c r="F146" s="30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297"/>
      <c r="V146" s="11"/>
    </row>
    <row r="147">
      <c r="A147" s="11"/>
      <c r="B147" s="11"/>
      <c r="C147" s="11"/>
      <c r="D147" s="11"/>
      <c r="E147" s="11"/>
      <c r="F147" s="30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297"/>
      <c r="V147" s="11"/>
    </row>
    <row r="148">
      <c r="A148" s="11"/>
      <c r="B148" s="11"/>
      <c r="C148" s="11"/>
      <c r="D148" s="11"/>
      <c r="E148" s="11"/>
      <c r="F148" s="30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297"/>
      <c r="V148" s="11"/>
    </row>
    <row r="149">
      <c r="A149" s="11"/>
      <c r="B149" s="11"/>
      <c r="C149" s="11"/>
      <c r="D149" s="11"/>
      <c r="E149" s="11"/>
      <c r="F149" s="30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297"/>
      <c r="V149" s="11"/>
    </row>
    <row r="150">
      <c r="A150" s="11"/>
      <c r="B150" s="11"/>
      <c r="C150" s="11"/>
      <c r="D150" s="11"/>
      <c r="E150" s="11"/>
      <c r="F150" s="30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297"/>
      <c r="V150" s="11"/>
    </row>
    <row r="151">
      <c r="A151" s="11"/>
      <c r="B151" s="11"/>
      <c r="C151" s="11"/>
      <c r="D151" s="11"/>
      <c r="E151" s="11"/>
      <c r="F151" s="30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297"/>
      <c r="V151" s="11"/>
    </row>
    <row r="152">
      <c r="A152" s="11"/>
      <c r="B152" s="11"/>
      <c r="C152" s="11"/>
      <c r="D152" s="11"/>
      <c r="E152" s="11"/>
      <c r="F152" s="30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297"/>
      <c r="V152" s="11"/>
    </row>
    <row r="153">
      <c r="A153" s="11"/>
      <c r="B153" s="11"/>
      <c r="C153" s="11"/>
      <c r="D153" s="11"/>
      <c r="E153" s="11"/>
      <c r="F153" s="30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297"/>
      <c r="V153" s="11"/>
    </row>
    <row r="154">
      <c r="A154" s="11"/>
      <c r="B154" s="11"/>
      <c r="C154" s="11"/>
      <c r="D154" s="11"/>
      <c r="E154" s="11"/>
      <c r="F154" s="30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297"/>
      <c r="V154" s="11"/>
    </row>
    <row r="155">
      <c r="A155" s="11"/>
      <c r="B155" s="11"/>
      <c r="C155" s="11"/>
      <c r="D155" s="11"/>
      <c r="E155" s="11"/>
      <c r="F155" s="30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297"/>
      <c r="V155" s="11"/>
    </row>
    <row r="156">
      <c r="A156" s="11"/>
      <c r="B156" s="11"/>
      <c r="C156" s="11"/>
      <c r="D156" s="11"/>
      <c r="E156" s="11"/>
      <c r="F156" s="30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297"/>
      <c r="V156" s="11"/>
    </row>
    <row r="157">
      <c r="A157" s="11"/>
      <c r="B157" s="11"/>
      <c r="C157" s="11"/>
      <c r="D157" s="11"/>
      <c r="E157" s="11"/>
      <c r="F157" s="30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297"/>
      <c r="V157" s="11"/>
    </row>
    <row r="158">
      <c r="A158" s="11"/>
      <c r="B158" s="11"/>
      <c r="C158" s="11"/>
      <c r="D158" s="11"/>
      <c r="E158" s="11"/>
      <c r="F158" s="30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297"/>
      <c r="V158" s="11"/>
    </row>
    <row r="159">
      <c r="A159" s="11"/>
      <c r="B159" s="11"/>
      <c r="C159" s="11"/>
      <c r="D159" s="11"/>
      <c r="E159" s="11"/>
      <c r="F159" s="30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297"/>
      <c r="V159" s="11"/>
    </row>
    <row r="160">
      <c r="A160" s="11"/>
      <c r="B160" s="11"/>
      <c r="C160" s="11"/>
      <c r="D160" s="11"/>
      <c r="E160" s="11"/>
      <c r="F160" s="30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297"/>
      <c r="V160" s="11"/>
    </row>
    <row r="161">
      <c r="A161" s="11"/>
      <c r="B161" s="11"/>
      <c r="C161" s="11"/>
      <c r="D161" s="11"/>
      <c r="E161" s="11"/>
      <c r="F161" s="30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297"/>
      <c r="V161" s="11"/>
    </row>
    <row r="162">
      <c r="A162" s="11"/>
      <c r="B162" s="11"/>
      <c r="C162" s="11"/>
      <c r="D162" s="11"/>
      <c r="E162" s="11"/>
      <c r="F162" s="30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297"/>
      <c r="V162" s="11"/>
    </row>
    <row r="163">
      <c r="A163" s="11"/>
      <c r="B163" s="11"/>
      <c r="C163" s="11"/>
      <c r="D163" s="11"/>
      <c r="E163" s="11"/>
      <c r="F163" s="30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297"/>
      <c r="V163" s="11"/>
    </row>
    <row r="164">
      <c r="A164" s="11"/>
      <c r="B164" s="11"/>
      <c r="C164" s="11"/>
      <c r="D164" s="11"/>
      <c r="E164" s="11"/>
      <c r="F164" s="30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297"/>
      <c r="V164" s="11"/>
    </row>
    <row r="165">
      <c r="A165" s="11"/>
      <c r="B165" s="11"/>
      <c r="C165" s="11"/>
      <c r="D165" s="11"/>
      <c r="E165" s="11"/>
      <c r="F165" s="30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297"/>
      <c r="V165" s="11"/>
    </row>
    <row r="166">
      <c r="A166" s="11"/>
      <c r="B166" s="11"/>
      <c r="C166" s="11"/>
      <c r="D166" s="11"/>
      <c r="E166" s="11"/>
      <c r="F166" s="30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297"/>
      <c r="V166" s="11"/>
    </row>
    <row r="167">
      <c r="A167" s="11"/>
      <c r="B167" s="11"/>
      <c r="C167" s="11"/>
      <c r="D167" s="11"/>
      <c r="E167" s="11"/>
      <c r="F167" s="30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297"/>
      <c r="V167" s="11"/>
    </row>
    <row r="168">
      <c r="A168" s="11"/>
      <c r="B168" s="11"/>
      <c r="C168" s="11"/>
      <c r="D168" s="11"/>
      <c r="E168" s="11"/>
      <c r="F168" s="30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297"/>
      <c r="V168" s="11"/>
    </row>
    <row r="169">
      <c r="A169" s="11"/>
      <c r="B169" s="11"/>
      <c r="C169" s="11"/>
      <c r="D169" s="11"/>
      <c r="E169" s="11"/>
      <c r="F169" s="30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297"/>
      <c r="V169" s="11"/>
    </row>
    <row r="170">
      <c r="A170" s="11"/>
      <c r="B170" s="11"/>
      <c r="C170" s="11"/>
      <c r="D170" s="11"/>
      <c r="E170" s="11"/>
      <c r="F170" s="30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297"/>
      <c r="V170" s="11"/>
    </row>
    <row r="171">
      <c r="A171" s="11"/>
      <c r="B171" s="11"/>
      <c r="C171" s="11"/>
      <c r="D171" s="11"/>
      <c r="E171" s="11"/>
      <c r="F171" s="30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297"/>
      <c r="V171" s="11"/>
    </row>
    <row r="172">
      <c r="A172" s="11"/>
      <c r="B172" s="11"/>
      <c r="C172" s="11"/>
      <c r="D172" s="11"/>
      <c r="E172" s="11"/>
      <c r="F172" s="30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297"/>
      <c r="V172" s="11"/>
    </row>
    <row r="173">
      <c r="A173" s="11"/>
      <c r="B173" s="11"/>
      <c r="C173" s="11"/>
      <c r="D173" s="11"/>
      <c r="E173" s="11"/>
      <c r="F173" s="30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297"/>
      <c r="V173" s="11"/>
    </row>
    <row r="174">
      <c r="A174" s="11"/>
      <c r="B174" s="11"/>
      <c r="C174" s="11"/>
      <c r="D174" s="11"/>
      <c r="E174" s="11"/>
      <c r="F174" s="30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297"/>
      <c r="V174" s="11"/>
    </row>
    <row r="175">
      <c r="A175" s="11"/>
      <c r="B175" s="11"/>
      <c r="C175" s="11"/>
      <c r="D175" s="11"/>
      <c r="E175" s="11"/>
      <c r="F175" s="30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297"/>
      <c r="V175" s="11"/>
    </row>
    <row r="176">
      <c r="A176" s="11"/>
      <c r="B176" s="11"/>
      <c r="C176" s="11"/>
      <c r="D176" s="11"/>
      <c r="E176" s="11"/>
      <c r="F176" s="30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297"/>
      <c r="V176" s="11"/>
    </row>
    <row r="177">
      <c r="A177" s="11"/>
      <c r="B177" s="11"/>
      <c r="C177" s="11"/>
      <c r="D177" s="11"/>
      <c r="E177" s="11"/>
      <c r="F177" s="30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297"/>
      <c r="V177" s="11"/>
    </row>
    <row r="178">
      <c r="A178" s="11"/>
      <c r="B178" s="11"/>
      <c r="C178" s="11"/>
      <c r="D178" s="11"/>
      <c r="E178" s="11"/>
      <c r="F178" s="30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</row>
    <row r="179">
      <c r="A179" s="11"/>
      <c r="B179" s="11"/>
      <c r="C179" s="11"/>
      <c r="D179" s="11"/>
      <c r="E179" s="11"/>
      <c r="F179" s="30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</row>
    <row r="180">
      <c r="A180" s="11"/>
      <c r="B180" s="11"/>
      <c r="C180" s="11"/>
      <c r="D180" s="11"/>
      <c r="E180" s="11"/>
      <c r="F180" s="30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</row>
    <row r="181">
      <c r="A181" s="11"/>
      <c r="B181" s="11"/>
      <c r="C181" s="11"/>
      <c r="D181" s="11"/>
      <c r="E181" s="11"/>
      <c r="F181" s="30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</row>
    <row r="182">
      <c r="A182" s="11"/>
      <c r="B182" s="11"/>
      <c r="C182" s="11"/>
      <c r="D182" s="11"/>
      <c r="E182" s="11"/>
      <c r="F182" s="30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</row>
    <row r="183">
      <c r="A183" s="11"/>
      <c r="B183" s="11"/>
      <c r="C183" s="11"/>
      <c r="D183" s="11"/>
      <c r="E183" s="11"/>
      <c r="F183" s="30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</row>
    <row r="184">
      <c r="A184" s="11"/>
      <c r="B184" s="11"/>
      <c r="C184" s="11"/>
      <c r="D184" s="11"/>
      <c r="E184" s="11"/>
      <c r="F184" s="30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</row>
    <row r="185">
      <c r="A185" s="11"/>
      <c r="B185" s="11"/>
      <c r="C185" s="11"/>
      <c r="D185" s="11"/>
      <c r="E185" s="11"/>
      <c r="F185" s="30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</row>
    <row r="186">
      <c r="A186" s="11"/>
      <c r="B186" s="11"/>
      <c r="C186" s="11"/>
      <c r="D186" s="11"/>
      <c r="E186" s="11"/>
      <c r="F186" s="30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</row>
    <row r="187">
      <c r="A187" s="11"/>
      <c r="B187" s="11"/>
      <c r="C187" s="11"/>
      <c r="D187" s="11"/>
      <c r="E187" s="11"/>
      <c r="F187" s="30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</row>
    <row r="188">
      <c r="A188" s="11"/>
      <c r="B188" s="11"/>
      <c r="C188" s="11"/>
      <c r="D188" s="11"/>
      <c r="E188" s="11"/>
      <c r="F188" s="30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</row>
    <row r="189">
      <c r="A189" s="11"/>
      <c r="B189" s="11"/>
      <c r="C189" s="11"/>
      <c r="D189" s="11"/>
      <c r="E189" s="11"/>
      <c r="F189" s="30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</row>
    <row r="190">
      <c r="A190" s="11"/>
      <c r="B190" s="11"/>
      <c r="C190" s="11"/>
      <c r="D190" s="11"/>
      <c r="E190" s="11"/>
      <c r="F190" s="30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</row>
    <row r="191">
      <c r="A191" s="11"/>
      <c r="B191" s="11"/>
      <c r="C191" s="11"/>
      <c r="D191" s="11"/>
      <c r="E191" s="11"/>
      <c r="F191" s="30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</row>
    <row r="192">
      <c r="A192" s="11"/>
      <c r="B192" s="11"/>
      <c r="C192" s="11"/>
      <c r="D192" s="11"/>
      <c r="E192" s="11"/>
      <c r="F192" s="30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</row>
    <row r="193">
      <c r="A193" s="11"/>
      <c r="B193" s="11"/>
      <c r="C193" s="11"/>
      <c r="D193" s="11"/>
      <c r="E193" s="11"/>
      <c r="F193" s="30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</row>
    <row r="194">
      <c r="A194" s="11"/>
      <c r="B194" s="11"/>
      <c r="C194" s="11"/>
      <c r="D194" s="11"/>
      <c r="E194" s="11"/>
      <c r="F194" s="30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</row>
    <row r="195">
      <c r="A195" s="11"/>
      <c r="B195" s="11"/>
      <c r="C195" s="11"/>
      <c r="D195" s="11"/>
      <c r="E195" s="11"/>
      <c r="F195" s="30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</row>
    <row r="196">
      <c r="A196" s="11"/>
      <c r="B196" s="11"/>
      <c r="C196" s="11"/>
      <c r="D196" s="11"/>
      <c r="E196" s="11"/>
      <c r="F196" s="30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</row>
    <row r="197">
      <c r="A197" s="11"/>
      <c r="B197" s="11"/>
      <c r="C197" s="11"/>
      <c r="D197" s="11"/>
      <c r="E197" s="11"/>
      <c r="F197" s="30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</row>
    <row r="198">
      <c r="A198" s="11"/>
      <c r="B198" s="11"/>
      <c r="C198" s="11"/>
      <c r="D198" s="11"/>
      <c r="E198" s="11"/>
      <c r="F198" s="30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</row>
    <row r="199">
      <c r="A199" s="11"/>
      <c r="B199" s="11"/>
      <c r="C199" s="11"/>
      <c r="D199" s="11"/>
      <c r="E199" s="11"/>
      <c r="F199" s="30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</row>
    <row r="200">
      <c r="A200" s="11"/>
      <c r="B200" s="11"/>
      <c r="C200" s="11"/>
      <c r="D200" s="11"/>
      <c r="E200" s="11"/>
      <c r="F200" s="30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</row>
    <row r="201">
      <c r="A201" s="11"/>
      <c r="B201" s="11"/>
      <c r="C201" s="11"/>
      <c r="D201" s="11"/>
      <c r="E201" s="11"/>
      <c r="F201" s="30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</row>
    <row r="202">
      <c r="A202" s="11"/>
      <c r="B202" s="11"/>
      <c r="C202" s="11"/>
      <c r="D202" s="11"/>
      <c r="E202" s="11"/>
      <c r="F202" s="30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</row>
    <row r="203">
      <c r="A203" s="11"/>
      <c r="B203" s="11"/>
      <c r="C203" s="11"/>
      <c r="D203" s="11"/>
      <c r="E203" s="11"/>
      <c r="F203" s="30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</row>
    <row r="204">
      <c r="A204" s="11"/>
      <c r="B204" s="11"/>
      <c r="C204" s="11"/>
      <c r="D204" s="11"/>
      <c r="E204" s="11"/>
      <c r="F204" s="30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</row>
    <row r="205">
      <c r="A205" s="11"/>
      <c r="B205" s="11"/>
      <c r="C205" s="11"/>
      <c r="D205" s="11"/>
      <c r="E205" s="11"/>
      <c r="F205" s="30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</row>
    <row r="206">
      <c r="A206" s="11"/>
      <c r="B206" s="11"/>
      <c r="C206" s="11"/>
      <c r="D206" s="11"/>
      <c r="E206" s="11"/>
      <c r="F206" s="30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</row>
    <row r="207">
      <c r="A207" s="11"/>
      <c r="B207" s="11"/>
      <c r="C207" s="11"/>
      <c r="D207" s="11"/>
      <c r="E207" s="11"/>
      <c r="F207" s="30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</row>
    <row r="208">
      <c r="A208" s="11"/>
      <c r="B208" s="11"/>
      <c r="C208" s="11"/>
      <c r="D208" s="11"/>
      <c r="E208" s="11"/>
      <c r="F208" s="30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</row>
    <row r="209">
      <c r="A209" s="11"/>
      <c r="B209" s="11"/>
      <c r="C209" s="11"/>
      <c r="D209" s="11"/>
      <c r="E209" s="11"/>
      <c r="F209" s="30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</row>
    <row r="210">
      <c r="A210" s="11"/>
      <c r="B210" s="11"/>
      <c r="C210" s="11"/>
      <c r="D210" s="11"/>
      <c r="E210" s="11"/>
      <c r="F210" s="30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</row>
    <row r="211">
      <c r="A211" s="11"/>
      <c r="B211" s="11"/>
      <c r="C211" s="11"/>
      <c r="D211" s="11"/>
      <c r="E211" s="11"/>
      <c r="F211" s="30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</row>
    <row r="212">
      <c r="A212" s="11"/>
      <c r="B212" s="11"/>
      <c r="C212" s="11"/>
      <c r="D212" s="11"/>
      <c r="E212" s="11"/>
      <c r="F212" s="30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</row>
    <row r="213">
      <c r="A213" s="11"/>
      <c r="B213" s="11"/>
      <c r="C213" s="11"/>
      <c r="D213" s="11"/>
      <c r="E213" s="11"/>
      <c r="F213" s="30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</row>
    <row r="214">
      <c r="A214" s="11"/>
      <c r="B214" s="11"/>
      <c r="C214" s="11"/>
      <c r="D214" s="11"/>
      <c r="E214" s="11"/>
      <c r="F214" s="30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</row>
    <row r="215">
      <c r="A215" s="11"/>
      <c r="B215" s="11"/>
      <c r="C215" s="11"/>
      <c r="D215" s="11"/>
      <c r="E215" s="11"/>
      <c r="F215" s="30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</row>
    <row r="216">
      <c r="A216" s="11"/>
      <c r="B216" s="11"/>
      <c r="C216" s="11"/>
      <c r="D216" s="11"/>
      <c r="E216" s="11"/>
      <c r="F216" s="30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</row>
    <row r="217">
      <c r="A217" s="11"/>
      <c r="B217" s="11"/>
      <c r="C217" s="11"/>
      <c r="D217" s="11"/>
      <c r="E217" s="11"/>
      <c r="F217" s="30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</row>
    <row r="218">
      <c r="A218" s="11"/>
      <c r="B218" s="11"/>
      <c r="C218" s="11"/>
      <c r="D218" s="11"/>
      <c r="E218" s="11"/>
      <c r="F218" s="30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</row>
    <row r="219">
      <c r="A219" s="11"/>
      <c r="B219" s="11"/>
      <c r="C219" s="11"/>
      <c r="D219" s="11"/>
      <c r="E219" s="11"/>
      <c r="F219" s="30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</row>
    <row r="220">
      <c r="A220" s="11"/>
      <c r="B220" s="11"/>
      <c r="C220" s="11"/>
      <c r="D220" s="11"/>
      <c r="E220" s="11"/>
      <c r="F220" s="30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</row>
    <row r="221">
      <c r="A221" s="11"/>
      <c r="B221" s="11"/>
      <c r="C221" s="11"/>
      <c r="D221" s="11"/>
      <c r="E221" s="11"/>
      <c r="F221" s="30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</row>
    <row r="222">
      <c r="A222" s="11"/>
      <c r="B222" s="11"/>
      <c r="C222" s="11"/>
      <c r="D222" s="11"/>
      <c r="E222" s="11"/>
      <c r="F222" s="30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</row>
    <row r="223">
      <c r="A223" s="11"/>
      <c r="B223" s="11"/>
      <c r="C223" s="11"/>
      <c r="D223" s="11"/>
      <c r="E223" s="11"/>
      <c r="F223" s="30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</row>
    <row r="224">
      <c r="A224" s="11"/>
      <c r="B224" s="11"/>
      <c r="C224" s="11"/>
      <c r="D224" s="11"/>
      <c r="E224" s="11"/>
      <c r="F224" s="30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</row>
    <row r="225">
      <c r="A225" s="11"/>
      <c r="B225" s="11"/>
      <c r="C225" s="11"/>
      <c r="D225" s="11"/>
      <c r="E225" s="11"/>
      <c r="F225" s="30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</row>
    <row r="226">
      <c r="A226" s="11"/>
      <c r="B226" s="11"/>
      <c r="C226" s="11"/>
      <c r="D226" s="11"/>
      <c r="E226" s="11"/>
      <c r="F226" s="30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</row>
    <row r="227">
      <c r="A227" s="11"/>
      <c r="B227" s="11"/>
      <c r="C227" s="11"/>
      <c r="D227" s="11"/>
      <c r="E227" s="11"/>
      <c r="F227" s="30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</row>
    <row r="228">
      <c r="A228" s="11"/>
      <c r="B228" s="11"/>
      <c r="C228" s="11"/>
      <c r="D228" s="11"/>
      <c r="E228" s="11"/>
      <c r="F228" s="30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</row>
    <row r="229">
      <c r="A229" s="11"/>
      <c r="B229" s="11"/>
      <c r="C229" s="11"/>
      <c r="D229" s="11"/>
      <c r="E229" s="11"/>
      <c r="F229" s="30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</row>
    <row r="230">
      <c r="A230" s="11"/>
      <c r="B230" s="11"/>
      <c r="C230" s="11"/>
      <c r="D230" s="11"/>
      <c r="E230" s="11"/>
      <c r="F230" s="30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</row>
    <row r="231">
      <c r="A231" s="11"/>
      <c r="B231" s="11"/>
      <c r="C231" s="11"/>
      <c r="D231" s="11"/>
      <c r="E231" s="11"/>
      <c r="F231" s="30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</row>
    <row r="232">
      <c r="A232" s="11"/>
      <c r="B232" s="11"/>
      <c r="C232" s="11"/>
      <c r="D232" s="11"/>
      <c r="E232" s="11"/>
      <c r="F232" s="30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</row>
    <row r="233">
      <c r="A233" s="11"/>
      <c r="B233" s="11"/>
      <c r="C233" s="11"/>
      <c r="D233" s="11"/>
      <c r="E233" s="11"/>
      <c r="F233" s="30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</row>
    <row r="234">
      <c r="A234" s="11"/>
      <c r="B234" s="11"/>
      <c r="C234" s="11"/>
      <c r="D234" s="11"/>
      <c r="E234" s="11"/>
      <c r="F234" s="30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</row>
    <row r="235">
      <c r="A235" s="11"/>
      <c r="B235" s="11"/>
      <c r="C235" s="11"/>
      <c r="D235" s="11"/>
      <c r="E235" s="11"/>
      <c r="F235" s="30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</row>
    <row r="236">
      <c r="A236" s="11"/>
      <c r="B236" s="11"/>
      <c r="C236" s="11"/>
      <c r="D236" s="11"/>
      <c r="E236" s="11"/>
      <c r="F236" s="30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</row>
    <row r="237">
      <c r="A237" s="11"/>
      <c r="B237" s="11"/>
      <c r="C237" s="11"/>
      <c r="D237" s="11"/>
      <c r="E237" s="11"/>
      <c r="F237" s="30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</row>
    <row r="238">
      <c r="A238" s="11"/>
      <c r="B238" s="11"/>
      <c r="C238" s="11"/>
      <c r="D238" s="11"/>
      <c r="E238" s="11"/>
      <c r="F238" s="30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</row>
    <row r="239">
      <c r="A239" s="11"/>
      <c r="B239" s="11"/>
      <c r="C239" s="11"/>
      <c r="D239" s="11"/>
      <c r="E239" s="11"/>
      <c r="F239" s="30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</row>
    <row r="240">
      <c r="A240" s="11"/>
      <c r="B240" s="11"/>
      <c r="C240" s="11"/>
      <c r="D240" s="11"/>
      <c r="E240" s="11"/>
      <c r="F240" s="30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</row>
    <row r="241">
      <c r="A241" s="11"/>
      <c r="B241" s="11"/>
      <c r="C241" s="11"/>
      <c r="D241" s="11"/>
      <c r="E241" s="11"/>
      <c r="F241" s="30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</row>
    <row r="242">
      <c r="A242" s="11"/>
      <c r="B242" s="11"/>
      <c r="C242" s="11"/>
      <c r="D242" s="11"/>
      <c r="E242" s="11"/>
      <c r="F242" s="30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</row>
    <row r="243">
      <c r="A243" s="11"/>
      <c r="B243" s="11"/>
      <c r="C243" s="11"/>
      <c r="D243" s="11"/>
      <c r="E243" s="11"/>
      <c r="F243" s="30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</row>
    <row r="244">
      <c r="A244" s="11"/>
      <c r="B244" s="11"/>
      <c r="C244" s="11"/>
      <c r="D244" s="11"/>
      <c r="E244" s="11"/>
      <c r="F244" s="30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</row>
    <row r="245">
      <c r="A245" s="11"/>
      <c r="B245" s="11"/>
      <c r="C245" s="11"/>
      <c r="D245" s="11"/>
      <c r="E245" s="11"/>
      <c r="F245" s="30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</row>
    <row r="246">
      <c r="A246" s="11"/>
      <c r="B246" s="11"/>
      <c r="C246" s="11"/>
      <c r="D246" s="11"/>
      <c r="E246" s="11"/>
      <c r="F246" s="30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</row>
    <row r="247">
      <c r="A247" s="11"/>
      <c r="B247" s="11"/>
      <c r="C247" s="11"/>
      <c r="D247" s="11"/>
      <c r="E247" s="11"/>
      <c r="F247" s="30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</row>
    <row r="248">
      <c r="A248" s="11"/>
      <c r="B248" s="11"/>
      <c r="C248" s="11"/>
      <c r="D248" s="11"/>
      <c r="E248" s="11"/>
      <c r="F248" s="30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</row>
    <row r="249">
      <c r="A249" s="11"/>
      <c r="B249" s="11"/>
      <c r="C249" s="11"/>
      <c r="D249" s="11"/>
      <c r="E249" s="11"/>
      <c r="F249" s="30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</row>
    <row r="250">
      <c r="A250" s="11"/>
      <c r="B250" s="11"/>
      <c r="C250" s="11"/>
      <c r="D250" s="11"/>
      <c r="E250" s="11"/>
      <c r="F250" s="30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</row>
    <row r="251">
      <c r="A251" s="11"/>
      <c r="B251" s="11"/>
      <c r="C251" s="11"/>
      <c r="D251" s="11"/>
      <c r="E251" s="11"/>
      <c r="F251" s="30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</row>
    <row r="252">
      <c r="A252" s="11"/>
      <c r="B252" s="11"/>
      <c r="C252" s="11"/>
      <c r="D252" s="11"/>
      <c r="E252" s="11"/>
      <c r="F252" s="30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</row>
    <row r="253">
      <c r="A253" s="11"/>
      <c r="B253" s="11"/>
      <c r="C253" s="11"/>
      <c r="D253" s="11"/>
      <c r="E253" s="11"/>
      <c r="F253" s="30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</row>
    <row r="254">
      <c r="A254" s="11"/>
      <c r="B254" s="11"/>
      <c r="C254" s="11"/>
      <c r="D254" s="11"/>
      <c r="E254" s="11"/>
      <c r="F254" s="30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</row>
    <row r="255">
      <c r="A255" s="11"/>
      <c r="B255" s="11"/>
      <c r="C255" s="11"/>
      <c r="D255" s="11"/>
      <c r="E255" s="11"/>
      <c r="F255" s="30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</row>
    <row r="256">
      <c r="A256" s="11"/>
      <c r="B256" s="11"/>
      <c r="C256" s="11"/>
      <c r="D256" s="11"/>
      <c r="E256" s="11"/>
      <c r="F256" s="30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</row>
    <row r="257">
      <c r="A257" s="11"/>
      <c r="B257" s="11"/>
      <c r="C257" s="11"/>
      <c r="D257" s="11"/>
      <c r="E257" s="11"/>
      <c r="F257" s="30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</row>
    <row r="258">
      <c r="A258" s="11"/>
      <c r="B258" s="11"/>
      <c r="C258" s="11"/>
      <c r="D258" s="11"/>
      <c r="E258" s="11"/>
      <c r="F258" s="30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</row>
    <row r="259">
      <c r="A259" s="11"/>
      <c r="B259" s="11"/>
      <c r="C259" s="11"/>
      <c r="D259" s="11"/>
      <c r="E259" s="11"/>
      <c r="F259" s="30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</row>
    <row r="260">
      <c r="A260" s="11"/>
      <c r="B260" s="11"/>
      <c r="C260" s="11"/>
      <c r="D260" s="11"/>
      <c r="E260" s="11"/>
      <c r="F260" s="30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</row>
    <row r="261">
      <c r="A261" s="11"/>
      <c r="B261" s="11"/>
      <c r="C261" s="11"/>
      <c r="D261" s="11"/>
      <c r="E261" s="11"/>
      <c r="F261" s="30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</row>
    <row r="262">
      <c r="A262" s="11"/>
      <c r="B262" s="11"/>
      <c r="C262" s="11"/>
      <c r="D262" s="11"/>
      <c r="E262" s="11"/>
      <c r="F262" s="30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</row>
    <row r="263">
      <c r="A263" s="11"/>
      <c r="B263" s="11"/>
      <c r="C263" s="11"/>
      <c r="D263" s="11"/>
      <c r="E263" s="11"/>
      <c r="F263" s="30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</row>
    <row r="264">
      <c r="A264" s="11"/>
      <c r="B264" s="11"/>
      <c r="C264" s="11"/>
      <c r="D264" s="11"/>
      <c r="E264" s="11"/>
      <c r="F264" s="30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</row>
    <row r="265">
      <c r="A265" s="11"/>
      <c r="B265" s="11"/>
      <c r="C265" s="11"/>
      <c r="D265" s="11"/>
      <c r="E265" s="11"/>
      <c r="F265" s="30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</row>
    <row r="266">
      <c r="A266" s="11"/>
      <c r="B266" s="11"/>
      <c r="C266" s="11"/>
      <c r="D266" s="11"/>
      <c r="E266" s="11"/>
      <c r="F266" s="30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</row>
    <row r="267">
      <c r="A267" s="11"/>
      <c r="B267" s="11"/>
      <c r="C267" s="11"/>
      <c r="D267" s="11"/>
      <c r="E267" s="11"/>
      <c r="F267" s="30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</row>
  </sheetData>
  <mergeCells count="1">
    <mergeCell ref="A84:C84"/>
  </mergeCells>
  <conditionalFormatting sqref="D1:E82 F1:F83 G1:G82 H1:Q84 T1:U84">
    <cfRule type="cellIs" dxfId="1" priority="1" operator="lessThan">
      <formula>1</formula>
    </cfRule>
  </conditionalFormatting>
  <conditionalFormatting sqref="U1:U964">
    <cfRule type="cellIs" dxfId="2" priority="2" operator="lessThan">
      <formula>49.9</formula>
    </cfRule>
  </conditionalFormatting>
  <conditionalFormatting sqref="U1:U964">
    <cfRule type="cellIs" dxfId="3" priority="3" operator="greaterThanOrEqual">
      <formula>50</formula>
    </cfRule>
  </conditionalFormatting>
  <drawing r:id="rId1"/>
</worksheet>
</file>