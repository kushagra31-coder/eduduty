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1" sheetId="1" r:id="rId5"/>
    <sheet state="visible" name="601 L" sheetId="2" r:id="rId6"/>
    <sheet state="visible" name="602" sheetId="3" r:id="rId7"/>
    <sheet state="visible" name="602 L" sheetId="4" r:id="rId8"/>
    <sheet state="visible" name="603" sheetId="5" r:id="rId9"/>
    <sheet state="visible" name="604" sheetId="6" r:id="rId10"/>
    <sheet state="visible" name="605 L" sheetId="7" r:id="rId11"/>
    <sheet state="visible" name="606 L" sheetId="8" r:id="rId12"/>
    <sheet state="visible" name="607-EOI" sheetId="9" r:id="rId13"/>
    <sheet state="visible" name="608-MP" sheetId="10" r:id="rId14"/>
    <sheet state="visible" name="Training" sheetId="11" r:id="rId15"/>
    <sheet state="visible" name="Summary" sheetId="12" r:id="rId16"/>
    <sheet state="visible" name="Summary Copy" sheetId="13" r:id="rId17"/>
  </sheets>
  <definedNames>
    <definedName hidden="1" localSheetId="11" name="_xlnm._FilterDatabase">Summary!$T$1:$T$980</definedName>
  </definedNames>
  <calcPr/>
</workbook>
</file>

<file path=xl/sharedStrings.xml><?xml version="1.0" encoding="utf-8"?>
<sst xmlns="http://schemas.openxmlformats.org/spreadsheetml/2006/main" count="2549" uniqueCount="259">
  <si>
    <t>CSIT-602</t>
  </si>
  <si>
    <t>CSIT-601 L</t>
  </si>
  <si>
    <t>CSIT-601</t>
  </si>
  <si>
    <t xml:space="preserve">    </t>
  </si>
  <si>
    <t xml:space="preserve">Faculty Name: </t>
  </si>
  <si>
    <t>Dr. VANDANA kATE</t>
  </si>
  <si>
    <t>Prof. Amrita Jain</t>
  </si>
  <si>
    <t xml:space="preserve">Subject Name : </t>
  </si>
  <si>
    <t>Machine Learning</t>
  </si>
  <si>
    <t>Software Engineering &amp; Agile</t>
  </si>
  <si>
    <t xml:space="preserve">Subject Code : </t>
  </si>
  <si>
    <t>Start Date</t>
  </si>
  <si>
    <t>End Date</t>
  </si>
  <si>
    <t>Annual Fest -26</t>
  </si>
  <si>
    <t>Training</t>
  </si>
  <si>
    <t xml:space="preserve">Total  Class   </t>
  </si>
  <si>
    <t>OverAll Att.         %</t>
  </si>
  <si>
    <t>Att. 50%</t>
  </si>
  <si>
    <t>Att. 30%</t>
  </si>
  <si>
    <t>FEB CLASS</t>
  </si>
  <si>
    <t>FEB%</t>
  </si>
  <si>
    <t>MAR  CLASS</t>
  </si>
  <si>
    <t>MAR%</t>
  </si>
  <si>
    <t>MAR %</t>
  </si>
  <si>
    <t>APRIL CLASS</t>
  </si>
  <si>
    <t>APRIL  %</t>
  </si>
  <si>
    <t>APRIL  CLASS</t>
  </si>
  <si>
    <t>APRIL %</t>
  </si>
  <si>
    <t>MAY  CLASS</t>
  </si>
  <si>
    <t>MAY %</t>
  </si>
  <si>
    <t>MAY CLASS</t>
  </si>
  <si>
    <t>JUNE CLASS</t>
  </si>
  <si>
    <t>JUNE%</t>
  </si>
  <si>
    <t>SPECIAL LEAVE</t>
  </si>
  <si>
    <t>MAY  %</t>
  </si>
  <si>
    <t>OVER ALL %</t>
  </si>
  <si>
    <t>TOTAL CLASS</t>
  </si>
  <si>
    <t>REMARK</t>
  </si>
  <si>
    <t>DEC  CLASS</t>
  </si>
  <si>
    <t>DEC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</si>
  <si>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</si>
  <si>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</si>
  <si>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</si>
  <si>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</si>
  <si>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t>Student Name</t>
  </si>
  <si>
    <t>Enrollment No.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</si>
  <si>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</si>
  <si>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0827CI231001</t>
  </si>
  <si>
    <t>AADARSH GARHEWAL</t>
  </si>
  <si>
    <t>0827CI231002</t>
  </si>
  <si>
    <t>AYUSH PATEL</t>
  </si>
  <si>
    <t>0827CI231003</t>
  </si>
  <si>
    <t>ABHAY DUGAYA</t>
  </si>
  <si>
    <t>0827CI231004</t>
  </si>
  <si>
    <t>ABHISHEK JAISWAL</t>
  </si>
  <si>
    <t>0827CI231005</t>
  </si>
  <si>
    <t>ABHISHEK VERMA</t>
  </si>
  <si>
    <t>0827CI231006</t>
  </si>
  <si>
    <t>ABINAV KOURAV</t>
  </si>
  <si>
    <t>0827CI231007</t>
  </si>
  <si>
    <t>ADARSH PRATAP SINGH GURJAR</t>
  </si>
  <si>
    <t>0827CI231008</t>
  </si>
  <si>
    <t>ADITI VISHWAKARMA</t>
  </si>
  <si>
    <t>0827CI231009</t>
  </si>
  <si>
    <t>ADITYA TIWARI</t>
  </si>
  <si>
    <t>0827CI231010</t>
  </si>
  <si>
    <t>AKASH BARASKAR</t>
  </si>
  <si>
    <t>0827CI231011</t>
  </si>
  <si>
    <t>AKSHAT KARODE</t>
  </si>
  <si>
    <t>0827CI231012</t>
  </si>
  <si>
    <t>AKSHAY KHANNA</t>
  </si>
  <si>
    <t>0827CI231013</t>
  </si>
  <si>
    <t>AMAY MISHRA</t>
  </si>
  <si>
    <t>0827CI231014</t>
  </si>
  <si>
    <t>AMBAR YADAV</t>
  </si>
  <si>
    <t>0827CI231015</t>
  </si>
  <si>
    <t>AMIT YADAV</t>
  </si>
  <si>
    <t>0827CI231016</t>
  </si>
  <si>
    <t>ANIRUDDH CHATURVEDI</t>
  </si>
  <si>
    <t>0827CI231017</t>
  </si>
  <si>
    <t>ANIRUDDHA SHARMA</t>
  </si>
  <si>
    <t>0827CI231018</t>
  </si>
  <si>
    <t>ANSH RATHORE</t>
  </si>
  <si>
    <t>0827CI231019</t>
  </si>
  <si>
    <t>ANSH VAISHNAV</t>
  </si>
  <si>
    <t>0827CI231020</t>
  </si>
  <si>
    <t>ANSHU BILAWLIYA</t>
  </si>
  <si>
    <t>0827CI231021</t>
  </si>
  <si>
    <t>ANUJ MALVIYA</t>
  </si>
  <si>
    <t>0827CI231022</t>
  </si>
  <si>
    <t>ANVESH TRIVEDI</t>
  </si>
  <si>
    <t>0827CI231023</t>
  </si>
  <si>
    <t>ANYA JAIN</t>
  </si>
  <si>
    <t>0827CI231024</t>
  </si>
  <si>
    <t>ARYAN SINGH BHADORIA</t>
  </si>
  <si>
    <t>0827CI231025</t>
  </si>
  <si>
    <t>ASHWIN CARPENTER</t>
  </si>
  <si>
    <t>0827CI231026</t>
  </si>
  <si>
    <t>AVI KEDARE</t>
  </si>
  <si>
    <t>0827CI231027</t>
  </si>
  <si>
    <t>AYUSH CHOUDHARY</t>
  </si>
  <si>
    <t>0827CI231028</t>
  </si>
  <si>
    <t>AYUSH CHOURASIYA</t>
  </si>
  <si>
    <t>0827CI231029</t>
  </si>
  <si>
    <t>CHIRAG</t>
  </si>
  <si>
    <t>0827CI231030</t>
  </si>
  <si>
    <t>DARSHIL JAIN</t>
  </si>
  <si>
    <t>0827CI231031</t>
  </si>
  <si>
    <t>DARSHIT JAIN</t>
  </si>
  <si>
    <t>0827CI231032</t>
  </si>
  <si>
    <t>DEEVA JAIN</t>
  </si>
  <si>
    <t>0827CI231033</t>
  </si>
  <si>
    <t>DEV AGRAWAL</t>
  </si>
  <si>
    <t>0827CI231034</t>
  </si>
  <si>
    <t>DEVANG SHARMA</t>
  </si>
  <si>
    <t>0827CI231035</t>
  </si>
  <si>
    <t>DHEER PANCHAL</t>
  </si>
  <si>
    <t>0827CI231036</t>
  </si>
  <si>
    <t>DHERYA CHOUHAN</t>
  </si>
  <si>
    <t>0827CI231037</t>
  </si>
  <si>
    <t>DIPENDRA GAMI</t>
  </si>
  <si>
    <t>0827CI231038</t>
  </si>
  <si>
    <t>DIPESH PATIDAR</t>
  </si>
  <si>
    <t>0827CI231039</t>
  </si>
  <si>
    <t>DISHA ASIJA</t>
  </si>
  <si>
    <t>0827CI231040</t>
  </si>
  <si>
    <t>EKLAVYA JANGID</t>
  </si>
  <si>
    <t>0827CI231041</t>
  </si>
  <si>
    <t>GULISHA AGRAWAL</t>
  </si>
  <si>
    <t>0827CI231042</t>
  </si>
  <si>
    <t>GUNJAN UDIWAL</t>
  </si>
  <si>
    <t>0827CI231043</t>
  </si>
  <si>
    <t>HARI SINGH</t>
  </si>
  <si>
    <t>0827CI231044</t>
  </si>
  <si>
    <t>HARIOM PATIDAR</t>
  </si>
  <si>
    <t>0827CI231045</t>
  </si>
  <si>
    <t>HARSH PAREEK</t>
  </si>
  <si>
    <t>0827CI231046</t>
  </si>
  <si>
    <t>HARSHIT JAIN</t>
  </si>
  <si>
    <t>0827CI231047</t>
  </si>
  <si>
    <t>HARSHITA PALIWAL</t>
  </si>
  <si>
    <t>0827CI231048</t>
  </si>
  <si>
    <t>HIMANSHU SHEETLANI</t>
  </si>
  <si>
    <t>0827CI231049</t>
  </si>
  <si>
    <t>HRITIK PATEL</t>
  </si>
  <si>
    <t>0827CI231050</t>
  </si>
  <si>
    <t>IFRAH QURESHI</t>
  </si>
  <si>
    <t>0827CI231051</t>
  </si>
  <si>
    <t>ISHAN SINGH TOMAR</t>
  </si>
  <si>
    <t>0827CI231052</t>
  </si>
  <si>
    <t>ISHIKA RATHOD</t>
  </si>
  <si>
    <t>0827CI231053</t>
  </si>
  <si>
    <t>ISHIKA SETHIYA</t>
  </si>
  <si>
    <t>0827CI231054</t>
  </si>
  <si>
    <t>JAYESH KUSHWAH</t>
  </si>
  <si>
    <t>0827CI231055</t>
  </si>
  <si>
    <t>KALIND BHUSARI</t>
  </si>
  <si>
    <t>0827CI231056</t>
  </si>
  <si>
    <t>KANUGO RAUNAK NITESH</t>
  </si>
  <si>
    <t>0827CI231057</t>
  </si>
  <si>
    <t>KAPIL GOYAL</t>
  </si>
  <si>
    <t>0827CI231058</t>
  </si>
  <si>
    <t>KARAN PATEL</t>
  </si>
  <si>
    <t>0827CI231059</t>
  </si>
  <si>
    <t>KASHISH JHALA</t>
  </si>
  <si>
    <t>0827CI231060</t>
  </si>
  <si>
    <t>KESHAV PATIDAR</t>
  </si>
  <si>
    <t>0827CI231061</t>
  </si>
  <si>
    <t>KESHAV SHARMA</t>
  </si>
  <si>
    <t>0827CI231062</t>
  </si>
  <si>
    <t>KIRTAN SANKHALA</t>
  </si>
  <si>
    <t>0827CI231063</t>
  </si>
  <si>
    <t>KRATI PATIDAR</t>
  </si>
  <si>
    <t>0827CI231064</t>
  </si>
  <si>
    <t>KRIPA RAGHUVANSHI</t>
  </si>
  <si>
    <t>0827CI231065</t>
  </si>
  <si>
    <t>KRISHNA PRADEEP GUPTA</t>
  </si>
  <si>
    <t>0827CI231066</t>
  </si>
  <si>
    <t>KRISHNA RAJESH GUPTA</t>
  </si>
  <si>
    <t>0827CI231067</t>
  </si>
  <si>
    <t>KRISHNA KHIRBADODIYA</t>
  </si>
  <si>
    <t>0827CI231068</t>
  </si>
  <si>
    <t>KRISHNA SONI</t>
  </si>
  <si>
    <t>0827CI231069</t>
  </si>
  <si>
    <t>KRISHNA THAKUR</t>
  </si>
  <si>
    <t>0827CI231070</t>
  </si>
  <si>
    <t>KRUTIKA DAKHRE</t>
  </si>
  <si>
    <t>0827CI231071</t>
  </si>
  <si>
    <t>KULDEEP KELDE</t>
  </si>
  <si>
    <t>0827CI231072</t>
  </si>
  <si>
    <t>LAKSHYA JAIN</t>
  </si>
  <si>
    <t>0827CI231073</t>
  </si>
  <si>
    <t>LAV BHATIA</t>
  </si>
  <si>
    <t>0827CI231074</t>
  </si>
  <si>
    <t>LAVISH DIGHE</t>
  </si>
  <si>
    <t>0827CI231075</t>
  </si>
  <si>
    <t>MANASVI SOHANI</t>
  </si>
  <si>
    <t>0827CI231076</t>
  </si>
  <si>
    <t>MANISH PANWAR</t>
  </si>
  <si>
    <t>0827CI231077</t>
  </si>
  <si>
    <t>MANSI JAIN</t>
  </si>
  <si>
    <t>0827CI231078</t>
  </si>
  <si>
    <t>MANSI WAHANE</t>
  </si>
  <si>
    <t>0827CI243D07</t>
  </si>
  <si>
    <t>RAJVARDHAN RAJPUROHIT</t>
  </si>
  <si>
    <t>0827CI243D08</t>
  </si>
  <si>
    <t>SAKSHI VISHWAKARMA</t>
  </si>
  <si>
    <t>0827CI243D11</t>
  </si>
  <si>
    <t>TANISH GUPTA</t>
  </si>
  <si>
    <t>0827CI243D12</t>
  </si>
  <si>
    <t>TANISHA KARIYA</t>
  </si>
  <si>
    <t>0827RL231001</t>
  </si>
  <si>
    <t>Aditi Kumrawat</t>
  </si>
  <si>
    <t>Usman Patel</t>
  </si>
  <si>
    <t>ADITI KUMRAWAT</t>
  </si>
  <si>
    <t>Prof. Shweta Gupta/ Prof. Arti Jaiswal</t>
  </si>
  <si>
    <t>WMC/CGMM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</si>
  <si>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</si>
  <si>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CSIT-604</t>
  </si>
  <si>
    <t>Ashwinee gadwal</t>
  </si>
  <si>
    <t>CNS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</si>
  <si>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</si>
  <si>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Dr. VANDANA kate</t>
  </si>
  <si>
    <t>Programming in Python</t>
  </si>
  <si>
    <t>Prof. Shruti Lashkari</t>
  </si>
  <si>
    <t>Android Programming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</si>
  <si>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</si>
  <si>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</si>
  <si>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Prof. SATYAM SHRIVASTAVA</t>
  </si>
  <si>
    <t>Evaluation of Internship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</si>
  <si>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</si>
  <si>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Prof. Nisha Rathi/ Prof. Ashish ANJANA</t>
  </si>
  <si>
    <t>Minor Project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</si>
  <si>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</si>
  <si>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</si>
  <si>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Class Name</t>
  </si>
  <si>
    <t>VI Sem</t>
  </si>
  <si>
    <t>Session</t>
  </si>
  <si>
    <t>Jan June 2026</t>
  </si>
  <si>
    <t>Start Att Date</t>
  </si>
  <si>
    <t>End Att Date</t>
  </si>
  <si>
    <t>Extra Attendance</t>
  </si>
  <si>
    <t>Additional</t>
  </si>
  <si>
    <t>Remark</t>
  </si>
  <si>
    <t>601 L</t>
  </si>
  <si>
    <t>602 L</t>
  </si>
  <si>
    <t>605 L</t>
  </si>
  <si>
    <t>606 L</t>
  </si>
  <si>
    <t>607 - EOI</t>
  </si>
  <si>
    <t>608-MP</t>
  </si>
  <si>
    <t>Total (Lecture)</t>
  </si>
  <si>
    <t>Total(Lab)</t>
  </si>
  <si>
    <t>Total(Lecture+Lab+Training+Exttra Att.)</t>
  </si>
  <si>
    <t>Final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</si>
  <si>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</si>
  <si>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t>Atten %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</si>
  <si>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</si>
  <si>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t>4 Hackathon</t>
  </si>
  <si>
    <t>3 Hackathon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</si>
</sst>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;[Red]0.00"/>
  </numFmts>
  <fonts count="3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sz val="9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b/>
      <sz val="12.0"/>
      <color rgb="FF000000"/>
      <name val="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sz val="9.0"/>
      <color rgb="FF000000"/>
      <name val="Calibri"/>
    </font>
    <font>
      <b/>
      <sz val="9.0"/>
      <color rgb="FF000000"/>
      <name val="Times New Roman"/>
    </font>
    <font>
      <sz val="9.0"/>
      <color rgb="FF000000"/>
      <name val="Times New Roman"/>
    </font>
    <font>
      <b/>
      <sz val="11.0"/>
      <color rgb="FF000000"/>
      <name val="Times New Roman"/>
    </font>
    <font>
      <color rgb="FF000000"/>
      <name val="Times New Roman"/>
    </font>
    <font>
      <sz val="9.0"/>
      <color rgb="FF000000"/>
      <name val="Roboto"/>
    </font>
    <font>
      <color theme="1"/>
      <name val="Calibri"/>
    </font>
    <font>
      <sz val="9.0"/>
      <color rgb="FF000000"/>
      <name val="Arial"/>
    </font>
    <font>
      <sz val="11.0"/>
      <color rgb="FF000000"/>
      <name val="Arial"/>
    </font>
    <font>
      <b/>
      <sz val="9.0"/>
      <color theme="1"/>
      <name val="Times New Roman"/>
    </font>
    <font>
      <sz val="9.0"/>
      <color theme="1"/>
      <name val="Times New Roman"/>
    </font>
    <font>
      <b/>
      <sz val="9.0"/>
      <color theme="1"/>
      <name val="Calibri"/>
    </font>
    <font>
      <sz val="9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sz val="8.0"/>
      <color rgb="FF000000"/>
      <name val="Arial"/>
    </font>
    <font>
      <sz val="12.0"/>
      <color theme="1"/>
      <name val="Calibri"/>
    </font>
    <font>
      <color theme="1"/>
      <name val="Calibri"/>
      <scheme val="minor"/>
    </font>
    <font>
      <sz val="9.0"/>
      <color theme="1"/>
      <name val="Arial"/>
    </font>
    <font>
      <sz val="9.0"/>
      <color theme="1"/>
      <name val="Roboto"/>
    </font>
    <font>
      <b/>
      <sz val="11.0"/>
      <color rgb="FF666666"/>
      <name val="Calibri"/>
    </font>
    <font>
      <sz val="8.0"/>
      <color theme="1"/>
      <name val="Verdana"/>
    </font>
    <font>
      <b/>
      <sz val="8.0"/>
      <color theme="1"/>
      <name val="Verdana"/>
    </font>
    <font>
      <b/>
      <sz val="8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4CCCC"/>
        <bgColor rgb="FFF4CCCC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7F7F7"/>
        <bgColor rgb="FFF7F7F7"/>
      </patternFill>
    </fill>
    <fill>
      <patternFill patternType="solid">
        <fgColor rgb="FFFBFBFB"/>
        <bgColor rgb="FFFBFBFB"/>
      </patternFill>
    </fill>
    <fill>
      <patternFill patternType="solid">
        <fgColor rgb="FFD6DCE4"/>
        <bgColor rgb="FFD6DCE4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6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2" numFmtId="0" xfId="0" applyAlignment="1" applyBorder="1" applyFill="1" applyFont="1">
      <alignment horizontal="right" readingOrder="0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ill="1" applyFont="1">
      <alignment horizontal="left"/>
    </xf>
    <xf borderId="5" fillId="2" fontId="4" numFmtId="0" xfId="0" applyAlignment="1" applyBorder="1" applyFill="1" applyFont="1">
      <alignment horizontal="left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8" fillId="2" fontId="1" numFmtId="0" xfId="0" applyAlignment="1" applyBorder="1" applyFill="1" applyFont="1">
      <alignment horizontal="right"/>
    </xf>
    <xf borderId="9" fillId="0" fontId="3" numFmtId="0" xfId="0" applyBorder="1" applyFont="1"/>
    <xf borderId="2" fillId="2" fontId="6" numFmtId="0" xfId="0" applyAlignment="1" applyBorder="1" applyFill="1" applyFont="1">
      <alignment horizontal="left" readingOrder="0"/>
    </xf>
    <xf borderId="10" fillId="0" fontId="3" numFmtId="0" xfId="0" applyBorder="1" applyFont="1"/>
    <xf borderId="0" fillId="3" fontId="5" numFmtId="0" xfId="0" applyAlignment="1" applyFill="1" applyFont="1">
      <alignment horizontal="center"/>
    </xf>
    <xf borderId="2" fillId="2" fontId="4" numFmtId="0" xfId="0" applyAlignment="1" applyBorder="1" applyFill="1" applyFont="1">
      <alignment horizontal="left"/>
    </xf>
    <xf borderId="2" fillId="2" fontId="4" numFmtId="15" xfId="0" applyAlignment="1" applyBorder="1" applyFill="1" applyFont="1" applyNumberFormat="1">
      <alignment horizontal="left" readingOrder="0"/>
    </xf>
    <xf borderId="0" fillId="0" fontId="2" numFmtId="0" xfId="0" applyAlignment="1" applyFont="1">
      <alignment horizontal="center"/>
    </xf>
    <xf borderId="11" fillId="2" fontId="1" numFmtId="0" xfId="0" applyAlignment="1" applyBorder="1" applyFill="1" applyFont="1">
      <alignment horizontal="right"/>
    </xf>
    <xf borderId="12" fillId="0" fontId="3" numFmtId="0" xfId="0" applyBorder="1" applyFont="1"/>
    <xf borderId="13" fillId="2" fontId="4" numFmtId="15" xfId="0" applyAlignment="1" applyBorder="1" applyFill="1" applyFont="1" applyNumberFormat="1">
      <alignment horizontal="left"/>
    </xf>
    <xf borderId="14" fillId="0" fontId="3" numFmtId="0" xfId="0" applyBorder="1" applyFont="1"/>
    <xf borderId="13" fillId="2" fontId="2" numFmtId="15" xfId="0" applyAlignment="1" applyBorder="1" applyFill="1" applyFont="1" applyNumberFormat="1">
      <alignment horizontal="left"/>
    </xf>
    <xf borderId="15" fillId="0" fontId="3" numFmtId="0" xfId="0" applyBorder="1" applyFont="1"/>
    <xf borderId="0" fillId="0" fontId="1" numFmtId="0" xfId="0" applyAlignment="1" applyFont="1">
      <alignment horizontal="center" shrinkToFit="0" wrapText="1"/>
    </xf>
    <xf borderId="0" fillId="0" fontId="7" numFmtId="0" xfId="0" applyFont="1"/>
    <xf borderId="2" fillId="0" fontId="5" numFmtId="0" xfId="0" applyAlignment="1" applyBorder="1" applyFont="1">
      <alignment readingOrder="0"/>
    </xf>
    <xf borderId="16" fillId="0" fontId="5" numFmtId="0" xfId="0" applyBorder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Alignment="1" applyBorder="1" applyFont="1">
      <alignment horizontal="center"/>
    </xf>
    <xf borderId="18" fillId="4" fontId="2" numFmtId="0" xfId="0" applyAlignment="1" applyBorder="1" applyFill="1" applyFont="1">
      <alignment horizontal="center"/>
    </xf>
    <xf borderId="20" fillId="4" fontId="2" numFmtId="0" xfId="0" applyAlignment="1" applyBorder="1" applyFill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Border="1" applyFont="1"/>
    <xf borderId="21" fillId="0" fontId="2" numFmtId="0" xfId="0" applyAlignment="1" applyBorder="1" applyFont="1">
      <alignment horizontal="center" readingOrder="0"/>
    </xf>
    <xf borderId="21" fillId="0" fontId="2" numFmtId="0" xfId="0" applyBorder="1" applyFont="1"/>
    <xf borderId="21" fillId="4" fontId="2" numFmtId="0" xfId="0" applyAlignment="1" applyBorder="1" applyFill="1" applyFont="1">
      <alignment horizontal="center"/>
    </xf>
    <xf borderId="23" fillId="4" fontId="2" numFmtId="0" xfId="0" applyAlignment="1" applyBorder="1" applyFill="1" applyFont="1">
      <alignment horizontal="center"/>
    </xf>
    <xf borderId="21" fillId="0" fontId="2" numFmtId="0" xfId="0" applyAlignment="1" applyBorder="1" applyFont="1">
      <alignment readingOrder="0"/>
    </xf>
    <xf borderId="23" fillId="4" fontId="2" numFmtId="1" xfId="0" applyAlignment="1" applyBorder="1" applyFill="1" applyFont="1" applyNumberFormat="1">
      <alignment horizontal="center"/>
    </xf>
    <xf borderId="21" fillId="4" fontId="2" numFmtId="2" xfId="0" applyAlignment="1" applyBorder="1" applyFill="1" applyFont="1" applyNumberFormat="1">
      <alignment horizontal="center"/>
    </xf>
    <xf borderId="23" fillId="0" fontId="2" numFmtId="0" xfId="0" applyBorder="1" applyFont="1"/>
    <xf borderId="24" fillId="0" fontId="2" numFmtId="0" xfId="0" applyBorder="1" applyFont="1"/>
    <xf borderId="23" fillId="4" fontId="2" numFmtId="164" xfId="0" applyAlignment="1" applyBorder="1" applyFill="1" applyFont="1" applyNumberFormat="1">
      <alignment horizontal="center"/>
    </xf>
    <xf borderId="23" fillId="4" fontId="2" numFmtId="165" xfId="0" applyAlignment="1" applyBorder="1" applyFill="1" applyFont="1" applyNumberFormat="1">
      <alignment horizontal="center"/>
    </xf>
    <xf borderId="23" fillId="4" fontId="2" numFmtId="0" xfId="0" applyBorder="1" applyFill="1" applyFont="1"/>
    <xf borderId="23" fillId="5" fontId="2" numFmtId="0" xfId="0" applyBorder="1" applyFill="1" applyFont="1"/>
    <xf borderId="25" fillId="0" fontId="2" numFmtId="0" xfId="0" applyAlignment="1" applyBorder="1" applyFont="1">
      <alignment horizontal="center"/>
    </xf>
    <xf borderId="26" fillId="6" fontId="2" numFmtId="0" xfId="0" applyBorder="1" applyFill="1" applyFont="1"/>
    <xf borderId="27" fillId="0" fontId="2" numFmtId="0" xfId="0" applyAlignment="1" applyBorder="1" applyFont="1">
      <alignment horizontal="center"/>
    </xf>
    <xf borderId="21" fillId="7" fontId="1" numFmtId="0" xfId="0" applyAlignment="1" applyBorder="1" applyFill="1" applyFont="1">
      <alignment horizontal="center" shrinkToFit="0" vertical="center" wrapText="1"/>
    </xf>
    <xf borderId="23" fillId="0" fontId="4" numFmtId="0" xfId="0" applyBorder="1" applyFont="1"/>
    <xf borderId="28" fillId="7" fontId="1" numFmtId="0" xfId="0" applyAlignment="1" applyBorder="1" applyFill="1" applyFont="1">
      <alignment horizontal="center" shrinkToFit="0" vertical="center" wrapText="1"/>
    </xf>
    <xf borderId="23" fillId="7" fontId="1" numFmtId="0" xfId="0" applyAlignment="1" applyBorder="1" applyFill="1" applyFont="1">
      <alignment horizontal="center" shrinkToFit="0" vertical="center" wrapText="1"/>
    </xf>
    <xf borderId="28" fillId="8" fontId="1" numFmtId="9" xfId="0" applyAlignment="1" applyBorder="1" applyFill="1" applyFont="1" applyNumberFormat="1">
      <alignment horizontal="center" shrinkToFit="0" vertical="center" wrapText="1"/>
    </xf>
    <xf borderId="16" fillId="7" fontId="1" numFmtId="0" xfId="0" applyAlignment="1" applyBorder="1" applyFill="1" applyFont="1">
      <alignment horizontal="center" shrinkToFit="0" vertical="center" wrapText="1"/>
    </xf>
    <xf borderId="16" fillId="8" fontId="1" numFmtId="9" xfId="0" applyAlignment="1" applyBorder="1" applyFill="1" applyFont="1" applyNumberFormat="1">
      <alignment horizontal="center" shrinkToFit="0" vertical="center" wrapText="1"/>
    </xf>
    <xf borderId="28" fillId="9" fontId="8" numFmtId="15" xfId="0" applyAlignment="1" applyBorder="1" applyFill="1" applyFont="1" applyNumberFormat="1">
      <alignment readingOrder="0" textRotation="90"/>
    </xf>
    <xf borderId="16" fillId="9" fontId="8" numFmtId="15" xfId="0" applyAlignment="1" applyBorder="1" applyFill="1" applyFont="1" applyNumberFormat="1">
      <alignment readingOrder="0" textRotation="90"/>
    </xf>
    <xf borderId="16" fillId="4" fontId="9" numFmtId="0" xfId="0" applyAlignment="1" applyBorder="1" applyFill="1" applyFont="1">
      <alignment readingOrder="0" textRotation="90"/>
    </xf>
    <xf borderId="16" fillId="4" fontId="10" numFmtId="0" xfId="0" applyAlignment="1" applyBorder="1" applyFill="1" applyFont="1">
      <alignment horizontal="center" readingOrder="0" textRotation="90" vertical="center"/>
    </xf>
    <xf borderId="16" fillId="4" fontId="9" numFmtId="0" xfId="0" applyAlignment="1" applyBorder="1" applyFill="1" applyFont="1">
      <alignment horizontal="center" readingOrder="0" textRotation="90" vertical="center"/>
    </xf>
    <xf borderId="21" fillId="4" fontId="9" numFmtId="0" xfId="0" applyAlignment="1" applyBorder="1" applyFill="1" applyFont="1">
      <alignment readingOrder="0" textRotation="90"/>
    </xf>
    <xf borderId="21" fillId="4" fontId="9" numFmtId="1" xfId="0" applyAlignment="1" applyBorder="1" applyFill="1" applyFont="1" applyNumberFormat="1">
      <alignment horizontal="center" readingOrder="0" textRotation="90" vertical="center"/>
    </xf>
    <xf borderId="23" fillId="4" fontId="9" numFmtId="0" xfId="0" applyAlignment="1" applyBorder="1" applyFill="1" applyFont="1">
      <alignment readingOrder="0" textRotation="90"/>
    </xf>
    <xf borderId="23" fillId="4" fontId="9" numFmtId="165" xfId="0" applyAlignment="1" applyBorder="1" applyFill="1" applyFont="1" applyNumberFormat="1">
      <alignment horizontal="center" readingOrder="0" textRotation="90" vertical="center"/>
    </xf>
    <xf borderId="23" fillId="4" fontId="9" numFmtId="164" xfId="0" applyAlignment="1" applyBorder="1" applyFill="1" applyFont="1" applyNumberFormat="1">
      <alignment horizontal="center" readingOrder="0" textRotation="90" vertical="center"/>
    </xf>
    <xf borderId="23" fillId="4" fontId="9" numFmtId="0" xfId="0" applyAlignment="1" applyBorder="1" applyFill="1" applyFont="1">
      <alignment horizontal="center" readingOrder="0" textRotation="90" vertical="center"/>
    </xf>
    <xf borderId="23" fillId="4" fontId="11" numFmtId="0" xfId="0" applyAlignment="1" applyBorder="1" applyFill="1" applyFont="1">
      <alignment horizontal="center" readingOrder="0" textRotation="90"/>
    </xf>
    <xf borderId="23" fillId="5" fontId="12" numFmtId="0" xfId="0" applyAlignment="1" applyBorder="1" applyFill="1" applyFont="1">
      <alignment horizontal="center" shrinkToFit="0" textRotation="90" wrapText="1"/>
    </xf>
    <xf borderId="23" fillId="4" fontId="11" numFmtId="0" xfId="0" applyAlignment="1" applyBorder="1" applyFill="1" applyFont="1">
      <alignment horizontal="center" readingOrder="0" textRotation="90" vertical="center"/>
    </xf>
    <xf borderId="23" fillId="0" fontId="12" numFmtId="0" xfId="0" applyAlignment="1" applyBorder="1" applyFont="1">
      <alignment textRotation="90"/>
    </xf>
    <xf borderId="25" fillId="0" fontId="12" numFmtId="0" xfId="0" applyAlignment="1" applyBorder="1" applyFont="1">
      <alignment horizontal="center" textRotation="90"/>
    </xf>
    <xf borderId="26" fillId="6" fontId="12" numFmtId="0" xfId="0" applyAlignment="1" applyBorder="1" applyFill="1" applyFont="1">
      <alignment horizontal="center" vertical="center"/>
    </xf>
    <xf borderId="29" fillId="4" fontId="1" numFmtId="0" xfId="0" applyAlignment="1" applyBorder="1" applyFill="1" applyFont="1">
      <alignment textRotation="90"/>
    </xf>
    <xf borderId="16" fillId="10" fontId="8" numFmtId="15" xfId="0" applyAlignment="1" applyBorder="1" applyFill="1" applyFont="1" applyNumberFormat="1">
      <alignment readingOrder="0" textRotation="90"/>
    </xf>
    <xf borderId="23" fillId="4" fontId="1" numFmtId="0" xfId="0" applyAlignment="1" applyBorder="1" applyFill="1" applyFont="1">
      <alignment textRotation="90" vertical="center"/>
    </xf>
    <xf borderId="23" fillId="4" fontId="9" numFmtId="1" xfId="0" applyAlignment="1" applyBorder="1" applyFill="1" applyFont="1" applyNumberFormat="1">
      <alignment horizontal="center" readingOrder="0" textRotation="90" vertical="center"/>
    </xf>
    <xf borderId="27" fillId="0" fontId="13" numFmtId="0" xfId="0" applyAlignment="1" applyBorder="1" applyFont="1">
      <alignment horizontal="center"/>
    </xf>
    <xf borderId="23" fillId="0" fontId="14" numFmtId="0" xfId="0" applyBorder="1" applyFont="1"/>
    <xf borderId="21" fillId="0" fontId="14" numFmtId="0" xfId="0" applyBorder="1" applyFont="1"/>
    <xf borderId="25" fillId="0" fontId="1" numFmtId="0" xfId="0" applyBorder="1" applyFont="1"/>
    <xf borderId="30" fillId="0" fontId="1" numFmtId="0" xfId="0" applyBorder="1" applyFont="1"/>
    <xf borderId="23" fillId="7" fontId="1" numFmtId="0" xfId="0" applyAlignment="1" applyBorder="1" applyFill="1" applyFont="1">
      <alignment horizontal="center"/>
    </xf>
    <xf borderId="24" fillId="7" fontId="1" numFmtId="0" xfId="0" applyAlignment="1" applyBorder="1" applyFill="1" applyFont="1">
      <alignment horizontal="center"/>
    </xf>
    <xf borderId="31" fillId="7" fontId="1" numFmtId="0" xfId="0" applyAlignment="1" applyBorder="1" applyFill="1" applyFont="1">
      <alignment horizontal="center"/>
    </xf>
    <xf borderId="24" fillId="8" fontId="2" numFmtId="0" xfId="0" applyAlignment="1" applyBorder="1" applyFill="1" applyFont="1">
      <alignment horizontal="center"/>
    </xf>
    <xf borderId="30" fillId="7" fontId="1" numFmtId="0" xfId="0" applyAlignment="1" applyBorder="1" applyFill="1" applyFont="1">
      <alignment horizontal="center"/>
    </xf>
    <xf borderId="32" fillId="11" fontId="2" numFmtId="0" xfId="0" applyAlignment="1" applyBorder="1" applyFill="1" applyFont="1">
      <alignment horizontal="center"/>
    </xf>
    <xf borderId="33" fillId="8" fontId="2" numFmtId="0" xfId="0" applyAlignment="1" applyBorder="1" applyFill="1" applyFont="1">
      <alignment horizontal="center"/>
    </xf>
    <xf borderId="34" fillId="8" fontId="2" numFmtId="0" xfId="0" applyAlignment="1" applyBorder="1" applyFill="1" applyFont="1">
      <alignment horizontal="center"/>
    </xf>
    <xf borderId="35" fillId="11" fontId="2" numFmtId="0" xfId="0" applyBorder="1" applyFill="1" applyFont="1"/>
    <xf borderId="24" fillId="4" fontId="2" numFmtId="0" xfId="0" applyAlignment="1" applyBorder="1" applyFill="1" applyFont="1">
      <alignment horizontal="center"/>
    </xf>
    <xf borderId="32" fillId="11" fontId="2" numFmtId="0" xfId="0" applyBorder="1" applyFill="1" applyFont="1"/>
    <xf borderId="36" fillId="4" fontId="2" numFmtId="0" xfId="0" applyAlignment="1" applyBorder="1" applyFill="1" applyFont="1">
      <alignment horizontal="center"/>
    </xf>
    <xf borderId="34" fillId="4" fontId="2" numFmtId="0" xfId="0" applyAlignment="1" applyBorder="1" applyFill="1" applyFont="1">
      <alignment horizontal="center"/>
    </xf>
    <xf borderId="24" fillId="4" fontId="2" numFmtId="2" xfId="0" applyAlignment="1" applyBorder="1" applyFill="1" applyFont="1" applyNumberFormat="1">
      <alignment horizontal="center"/>
    </xf>
    <xf borderId="27" fillId="11" fontId="2" numFmtId="0" xfId="0" applyBorder="1" applyFill="1" applyFont="1"/>
    <xf borderId="21" fillId="11" fontId="2" numFmtId="0" xfId="0" applyBorder="1" applyFill="1" applyFont="1"/>
    <xf borderId="26" fillId="4" fontId="2" numFmtId="1" xfId="0" applyAlignment="1" applyBorder="1" applyFill="1" applyFont="1" applyNumberFormat="1">
      <alignment horizontal="center"/>
    </xf>
    <xf borderId="37" fillId="11" fontId="2" numFmtId="0" xfId="0" applyBorder="1" applyFill="1" applyFont="1"/>
    <xf borderId="23" fillId="11" fontId="2" numFmtId="0" xfId="0" applyBorder="1" applyFill="1" applyFont="1"/>
    <xf borderId="23" fillId="4" fontId="2" numFmtId="2" xfId="0" applyAlignment="1" applyBorder="1" applyFill="1" applyFont="1" applyNumberFormat="1">
      <alignment horizontal="center"/>
    </xf>
    <xf borderId="29" fillId="11" fontId="2" numFmtId="0" xfId="0" applyBorder="1" applyFill="1" applyFont="1"/>
    <xf borderId="25" fillId="11" fontId="2" numFmtId="0" xfId="0" applyBorder="1" applyFill="1" applyFont="1"/>
    <xf borderId="23" fillId="4" fontId="5" numFmtId="0" xfId="0" applyBorder="1" applyFill="1" applyFont="1"/>
    <xf borderId="23" fillId="4" fontId="5" numFmtId="2" xfId="0" applyBorder="1" applyFill="1" applyFont="1" applyNumberFormat="1"/>
    <xf borderId="38" fillId="5" fontId="5" numFmtId="0" xfId="0" applyBorder="1" applyFill="1" applyFont="1"/>
    <xf borderId="23" fillId="0" fontId="5" numFmtId="0" xfId="0" applyBorder="1" applyFont="1"/>
    <xf borderId="25" fillId="0" fontId="5" numFmtId="0" xfId="0" applyAlignment="1" applyBorder="1" applyFont="1">
      <alignment horizontal="center"/>
    </xf>
    <xf borderId="26" fillId="6" fontId="5" numFmtId="0" xfId="0" applyBorder="1" applyFill="1" applyFont="1"/>
    <xf borderId="39" fillId="0" fontId="2" numFmtId="0" xfId="0" applyAlignment="1" applyBorder="1" applyFont="1">
      <alignment horizontal="center"/>
    </xf>
    <xf borderId="16" fillId="3" fontId="15" numFmtId="0" xfId="0" applyAlignment="1" applyBorder="1" applyFill="1" applyFont="1">
      <alignment horizontal="left" shrinkToFit="0" wrapText="0"/>
    </xf>
    <xf borderId="9" fillId="3" fontId="16" numFmtId="0" xfId="0" applyAlignment="1" applyBorder="1" applyFill="1" applyFont="1">
      <alignment horizontal="left"/>
    </xf>
    <xf borderId="40" fillId="7" fontId="2" numFmtId="0" xfId="0" applyAlignment="1" applyBorder="1" applyFill="1" applyFont="1">
      <alignment horizontal="center"/>
    </xf>
    <xf borderId="23" fillId="4" fontId="5" numFmtId="164" xfId="0" applyBorder="1" applyFill="1" applyFont="1" applyNumberFormat="1"/>
    <xf borderId="41" fillId="7" fontId="2" numFmtId="166" xfId="0" applyAlignment="1" applyBorder="1" applyFill="1" applyFont="1" applyNumberFormat="1">
      <alignment horizontal="center"/>
    </xf>
    <xf borderId="41" fillId="8" fontId="2" numFmtId="166" xfId="0" applyAlignment="1" applyBorder="1" applyFill="1" applyFont="1" applyNumberFormat="1">
      <alignment horizontal="center"/>
    </xf>
    <xf borderId="16" fillId="3" fontId="17" numFmtId="0" xfId="0" applyAlignment="1" applyBorder="1" applyFill="1" applyFont="1">
      <alignment horizontal="left" shrinkToFit="0" wrapText="0"/>
    </xf>
    <xf borderId="5" fillId="8" fontId="2" numFmtId="166" xfId="0" applyAlignment="1" applyBorder="1" applyFill="1" applyFont="1" applyNumberFormat="1">
      <alignment horizontal="center"/>
    </xf>
    <xf borderId="9" fillId="3" fontId="18" numFmtId="0" xfId="0" applyAlignment="1" applyBorder="1" applyFill="1" applyFont="1">
      <alignment horizontal="left"/>
    </xf>
    <xf borderId="16" fillId="0" fontId="19" numFmtId="0" xfId="0" applyAlignment="1" applyBorder="1" applyFont="1">
      <alignment horizontal="center"/>
    </xf>
    <xf borderId="42" fillId="0" fontId="19" numFmtId="0" xfId="0" applyAlignment="1" applyBorder="1" applyFont="1">
      <alignment horizontal="center"/>
    </xf>
    <xf borderId="43" fillId="7" fontId="2" numFmtId="0" xfId="0" applyAlignment="1" applyBorder="1" applyFill="1" applyFont="1">
      <alignment horizontal="center"/>
    </xf>
    <xf borderId="3" fillId="4" fontId="19" numFmtId="0" xfId="0" applyAlignment="1" applyBorder="1" applyFill="1" applyFont="1">
      <alignment horizontal="center"/>
    </xf>
    <xf borderId="44" fillId="7" fontId="2" numFmtId="166" xfId="0" applyAlignment="1" applyBorder="1" applyFill="1" applyFont="1" applyNumberFormat="1">
      <alignment horizontal="center"/>
    </xf>
    <xf borderId="5" fillId="4" fontId="19" numFmtId="2" xfId="0" applyAlignment="1" applyBorder="1" applyFill="1" applyFont="1" applyNumberFormat="1">
      <alignment horizontal="center"/>
    </xf>
    <xf borderId="16" fillId="0" fontId="19" numFmtId="0" xfId="0" applyBorder="1" applyFont="1"/>
    <xf borderId="44" fillId="8" fontId="2" numFmtId="166" xfId="0" applyAlignment="1" applyBorder="1" applyFill="1" applyFont="1" applyNumberFormat="1">
      <alignment horizontal="center"/>
    </xf>
    <xf borderId="16" fillId="3" fontId="19" numFmtId="0" xfId="0" applyBorder="1" applyFill="1" applyFont="1"/>
    <xf borderId="16" fillId="3" fontId="19" numFmtId="0" xfId="0" applyAlignment="1" applyBorder="1" applyFill="1" applyFont="1">
      <alignment horizontal="center"/>
    </xf>
    <xf borderId="42" fillId="0" fontId="19" numFmtId="0" xfId="0" applyBorder="1" applyFont="1"/>
    <xf borderId="42" fillId="0" fontId="19" numFmtId="0" xfId="0" applyAlignment="1" applyBorder="1" applyFont="1">
      <alignment readingOrder="0"/>
    </xf>
    <xf borderId="45" fillId="8" fontId="2" numFmtId="166" xfId="0" applyAlignment="1" applyBorder="1" applyFill="1" applyFont="1" applyNumberFormat="1">
      <alignment horizontal="center"/>
    </xf>
    <xf borderId="44" fillId="0" fontId="19" numFmtId="0" xfId="0" applyBorder="1" applyFont="1"/>
    <xf borderId="46" fillId="0" fontId="19" numFmtId="0" xfId="0" applyBorder="1" applyFont="1"/>
    <xf borderId="47" fillId="4" fontId="19" numFmtId="0" xfId="0" applyAlignment="1" applyBorder="1" applyFill="1" applyFont="1">
      <alignment horizontal="center"/>
    </xf>
    <xf borderId="45" fillId="4" fontId="19" numFmtId="2" xfId="0" applyAlignment="1" applyBorder="1" applyFill="1" applyFont="1" applyNumberFormat="1">
      <alignment horizontal="center"/>
    </xf>
    <xf borderId="5" fillId="4" fontId="19" numFmtId="165" xfId="0" applyAlignment="1" applyBorder="1" applyFill="1" applyFont="1" applyNumberFormat="1">
      <alignment horizontal="center"/>
    </xf>
    <xf borderId="16" fillId="3" fontId="19" numFmtId="0" xfId="0" applyAlignment="1" applyBorder="1" applyFill="1" applyFont="1">
      <alignment readingOrder="0"/>
    </xf>
    <xf borderId="16" fillId="0" fontId="19" numFmtId="0" xfId="0" applyAlignment="1" applyBorder="1" applyFont="1">
      <alignment readingOrder="0"/>
    </xf>
    <xf borderId="16" fillId="0" fontId="2" numFmtId="0" xfId="0" applyBorder="1" applyFont="1"/>
    <xf borderId="41" fillId="0" fontId="2" numFmtId="0" xfId="0" applyBorder="1" applyFont="1"/>
    <xf borderId="3" fillId="0" fontId="2" numFmtId="0" xfId="0" applyBorder="1" applyFont="1"/>
    <xf borderId="45" fillId="4" fontId="19" numFmtId="1" xfId="0" applyAlignment="1" applyBorder="1" applyFill="1" applyFont="1" applyNumberFormat="1">
      <alignment horizontal="center"/>
    </xf>
    <xf borderId="3" fillId="4" fontId="2" numFmtId="0" xfId="0" applyAlignment="1" applyBorder="1" applyFill="1" applyFont="1">
      <alignment horizontal="center"/>
    </xf>
    <xf borderId="3" fillId="0" fontId="19" numFmtId="0" xfId="0" applyBorder="1" applyFont="1"/>
    <xf borderId="41" fillId="0" fontId="19" numFmtId="0" xfId="0" applyBorder="1" applyFont="1"/>
    <xf borderId="48" fillId="4" fontId="2" numFmtId="0" xfId="0" applyAlignment="1" applyBorder="1" applyFill="1" applyFont="1">
      <alignment horizontal="center"/>
    </xf>
    <xf borderId="5" fillId="0" fontId="2" numFmtId="0" xfId="0" applyBorder="1" applyFont="1"/>
    <xf borderId="16" fillId="0" fontId="20" numFmtId="0" xfId="0" applyBorder="1" applyFont="1"/>
    <xf borderId="39" fillId="4" fontId="19" numFmtId="0" xfId="0" applyAlignment="1" applyBorder="1" applyFill="1" applyFont="1">
      <alignment horizontal="center"/>
    </xf>
    <xf borderId="3" fillId="4" fontId="5" numFmtId="0" xfId="0" applyBorder="1" applyFill="1" applyFont="1"/>
    <xf borderId="48" fillId="4" fontId="19" numFmtId="164" xfId="0" applyAlignment="1" applyBorder="1" applyFill="1" applyFont="1" applyNumberFormat="1">
      <alignment horizontal="center"/>
    </xf>
    <xf borderId="48" fillId="4" fontId="5" numFmtId="0" xfId="0" applyBorder="1" applyFill="1" applyFont="1"/>
    <xf borderId="49" fillId="5" fontId="5" numFmtId="0" xfId="0" applyBorder="1" applyFill="1" applyFont="1"/>
    <xf borderId="49" fillId="0" fontId="5" numFmtId="166" xfId="0" applyBorder="1" applyFont="1" applyNumberFormat="1"/>
    <xf borderId="39" fillId="4" fontId="2" numFmtId="0" xfId="0" applyAlignment="1" applyBorder="1" applyFill="1" applyFont="1">
      <alignment horizontal="center"/>
    </xf>
    <xf borderId="7" fillId="0" fontId="5" numFmtId="0" xfId="0" applyAlignment="1" applyBorder="1" applyFont="1">
      <alignment horizontal="center"/>
    </xf>
    <xf borderId="16" fillId="0" fontId="19" numFmtId="0" xfId="0" applyAlignment="1" applyBorder="1" applyFont="1">
      <alignment horizontal="center" readingOrder="0"/>
    </xf>
    <xf borderId="50" fillId="6" fontId="5" numFmtId="0" xfId="0" applyBorder="1" applyFill="1" applyFont="1"/>
    <xf borderId="51" fillId="0" fontId="2" numFmtId="0" xfId="0" applyAlignment="1" applyBorder="1" applyFont="1">
      <alignment horizontal="center"/>
    </xf>
    <xf borderId="44" fillId="3" fontId="15" numFmtId="0" xfId="0" applyAlignment="1" applyBorder="1" applyFill="1" applyFont="1">
      <alignment horizontal="left" shrinkToFit="0" wrapText="0"/>
    </xf>
    <xf borderId="42" fillId="3" fontId="16" numFmtId="0" xfId="0" applyAlignment="1" applyBorder="1" applyFill="1" applyFont="1">
      <alignment horizontal="left" readingOrder="0"/>
    </xf>
    <xf borderId="16" fillId="8" fontId="2" numFmtId="0" xfId="0" applyAlignment="1" applyBorder="1" applyFill="1" applyFont="1">
      <alignment horizontal="center"/>
    </xf>
    <xf borderId="39" fillId="4" fontId="5" numFmtId="0" xfId="0" applyBorder="1" applyFill="1" applyFont="1"/>
    <xf borderId="2" fillId="8" fontId="2" numFmtId="0" xfId="0" applyAlignment="1" applyBorder="1" applyFill="1" applyFont="1">
      <alignment horizontal="center"/>
    </xf>
    <xf borderId="16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/>
    </xf>
    <xf borderId="9" fillId="0" fontId="19" numFmtId="0" xfId="0" applyBorder="1" applyFont="1"/>
    <xf borderId="9" fillId="0" fontId="19" numFmtId="0" xfId="0" applyAlignment="1" applyBorder="1" applyFont="1">
      <alignment readingOrder="0"/>
    </xf>
    <xf borderId="48" fillId="4" fontId="2" numFmtId="1" xfId="0" applyAlignment="1" applyBorder="1" applyFill="1" applyFont="1" applyNumberFormat="1">
      <alignment horizontal="center"/>
    </xf>
    <xf borderId="2" fillId="4" fontId="19" numFmtId="2" xfId="0" applyAlignment="1" applyBorder="1" applyFill="1" applyFont="1" applyNumberFormat="1">
      <alignment horizontal="center"/>
    </xf>
    <xf borderId="2" fillId="0" fontId="19" numFmtId="0" xfId="0" applyBorder="1" applyFont="1"/>
    <xf borderId="42" fillId="0" fontId="19" numFmtId="0" xfId="0" applyAlignment="1" applyBorder="1" applyFont="1">
      <alignment horizontal="center" readingOrder="0"/>
    </xf>
    <xf borderId="2" fillId="4" fontId="19" numFmtId="165" xfId="0" applyAlignment="1" applyBorder="1" applyFill="1" applyFont="1" applyNumberFormat="1">
      <alignment horizontal="center"/>
    </xf>
    <xf borderId="16" fillId="0" fontId="2" numFmtId="0" xfId="0" applyAlignment="1" applyBorder="1" applyFont="1">
      <alignment readingOrder="0"/>
    </xf>
    <xf borderId="44" fillId="3" fontId="17" numFmtId="0" xfId="0" applyAlignment="1" applyBorder="1" applyFill="1" applyFont="1">
      <alignment horizontal="left" shrinkToFit="0" wrapText="0"/>
    </xf>
    <xf borderId="42" fillId="0" fontId="2" numFmtId="0" xfId="0" applyBorder="1" applyFont="1"/>
    <xf borderId="52" fillId="4" fontId="2" numFmtId="0" xfId="0" applyAlignment="1" applyBorder="1" applyFill="1" applyFont="1">
      <alignment horizontal="center"/>
    </xf>
    <xf borderId="9" fillId="0" fontId="21" numFmtId="0" xfId="0" applyAlignment="1" applyBorder="1" applyFont="1">
      <alignment horizontal="center" readingOrder="0"/>
    </xf>
    <xf borderId="2" fillId="0" fontId="2" numFmtId="0" xfId="0" applyBorder="1" applyFont="1"/>
    <xf borderId="52" fillId="8" fontId="2" numFmtId="0" xfId="0" applyAlignment="1" applyBorder="1" applyFill="1" applyFont="1">
      <alignment horizontal="center"/>
    </xf>
    <xf borderId="52" fillId="4" fontId="5" numFmtId="0" xfId="0" applyBorder="1" applyFill="1" applyFont="1"/>
    <xf borderId="16" fillId="0" fontId="21" numFmtId="0" xfId="0" applyBorder="1" applyFont="1"/>
    <xf borderId="53" fillId="5" fontId="5" numFmtId="0" xfId="0" applyBorder="1" applyFill="1" applyFont="1"/>
    <xf borderId="54" fillId="6" fontId="5" numFmtId="0" xfId="0" applyBorder="1" applyFill="1" applyFont="1"/>
    <xf borderId="48" fillId="4" fontId="19" numFmtId="2" xfId="0" applyAlignment="1" applyBorder="1" applyFill="1" applyFont="1" applyNumberFormat="1">
      <alignment horizontal="center"/>
    </xf>
    <xf borderId="42" fillId="3" fontId="16" numFmtId="0" xfId="0" applyAlignment="1" applyBorder="1" applyFill="1" applyFont="1">
      <alignment horizontal="left"/>
    </xf>
    <xf borderId="16" fillId="8" fontId="2" numFmtId="166" xfId="0" applyAlignment="1" applyBorder="1" applyFill="1" applyFont="1" applyNumberFormat="1">
      <alignment horizontal="center"/>
    </xf>
    <xf borderId="9" fillId="0" fontId="19" numFmtId="0" xfId="0" applyAlignment="1" applyBorder="1" applyFont="1">
      <alignment horizontal="center"/>
    </xf>
    <xf borderId="52" fillId="4" fontId="19" numFmtId="1" xfId="0" applyAlignment="1" applyBorder="1" applyFill="1" applyFont="1" applyNumberFormat="1">
      <alignment horizontal="center"/>
    </xf>
    <xf borderId="0" fillId="0" fontId="20" numFmtId="0" xfId="0" applyFont="1"/>
    <xf borderId="52" fillId="4" fontId="19" numFmtId="164" xfId="0" applyAlignment="1" applyBorder="1" applyFill="1" applyFont="1" applyNumberFormat="1">
      <alignment horizontal="center"/>
    </xf>
    <xf borderId="51" fillId="4" fontId="2" numFmtId="0" xfId="0" applyAlignment="1" applyBorder="1" applyFill="1" applyFont="1">
      <alignment horizontal="center"/>
    </xf>
    <xf borderId="9" fillId="0" fontId="2" numFmtId="0" xfId="0" applyBorder="1" applyFont="1"/>
    <xf borderId="2" fillId="8" fontId="2" numFmtId="166" xfId="0" applyAlignment="1" applyBorder="1" applyFill="1" applyFont="1" applyNumberFormat="1">
      <alignment horizontal="center"/>
    </xf>
    <xf borderId="51" fillId="4" fontId="5" numFmtId="0" xfId="0" applyBorder="1" applyFill="1" applyFont="1"/>
    <xf borderId="16" fillId="12" fontId="19" numFmtId="0" xfId="0" applyBorder="1" applyFill="1" applyFont="1"/>
    <xf borderId="9" fillId="12" fontId="19" numFmtId="0" xfId="0" applyBorder="1" applyFill="1" applyFont="1"/>
    <xf borderId="9" fillId="12" fontId="19" numFmtId="0" xfId="0" applyAlignment="1" applyBorder="1" applyFill="1" applyFont="1">
      <alignment readingOrder="0"/>
    </xf>
    <xf borderId="42" fillId="12" fontId="19" numFmtId="0" xfId="0" applyBorder="1" applyFill="1" applyFont="1"/>
    <xf borderId="42" fillId="12" fontId="19" numFmtId="0" xfId="0" applyAlignment="1" applyBorder="1" applyFill="1" applyFont="1">
      <alignment readingOrder="0"/>
    </xf>
    <xf borderId="2" fillId="12" fontId="19" numFmtId="0" xfId="0" applyBorder="1" applyFill="1" applyFont="1"/>
    <xf borderId="52" fillId="4" fontId="2" numFmtId="1" xfId="0" applyAlignment="1" applyBorder="1" applyFill="1" applyFont="1" applyNumberFormat="1">
      <alignment horizontal="center"/>
    </xf>
    <xf borderId="42" fillId="3" fontId="18" numFmtId="0" xfId="0" applyAlignment="1" applyBorder="1" applyFill="1" applyFont="1">
      <alignment horizontal="left"/>
    </xf>
    <xf borderId="16" fillId="12" fontId="2" numFmtId="0" xfId="0" applyBorder="1" applyFill="1" applyFont="1"/>
    <xf borderId="42" fillId="12" fontId="2" numFmtId="0" xfId="0" applyBorder="1" applyFill="1" applyFont="1"/>
    <xf borderId="55" fillId="12" fontId="2" numFmtId="0" xfId="0" applyBorder="1" applyFill="1" applyFont="1"/>
    <xf borderId="52" fillId="8" fontId="2" numFmtId="166" xfId="0" applyAlignment="1" applyBorder="1" applyFill="1" applyFont="1" applyNumberFormat="1">
      <alignment horizontal="center"/>
    </xf>
    <xf borderId="16" fillId="12" fontId="5" numFmtId="0" xfId="0" applyBorder="1" applyFill="1" applyFont="1"/>
    <xf borderId="56" fillId="5" fontId="5" numFmtId="0" xfId="0" applyBorder="1" applyFill="1" applyFont="1"/>
    <xf borderId="16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16" fillId="12" fontId="19" numFmtId="0" xfId="0" applyAlignment="1" applyBorder="1" applyFill="1" applyFont="1">
      <alignment readingOrder="0"/>
    </xf>
    <xf borderId="9" fillId="12" fontId="2" numFmtId="0" xfId="0" applyBorder="1" applyFill="1" applyFont="1"/>
    <xf borderId="42" fillId="12" fontId="2" numFmtId="0" xfId="0" applyAlignment="1" applyBorder="1" applyFill="1" applyFont="1">
      <alignment readingOrder="0"/>
    </xf>
    <xf borderId="2" fillId="12" fontId="2" numFmtId="0" xfId="0" applyBorder="1" applyFill="1" applyFont="1"/>
    <xf borderId="16" fillId="0" fontId="2" numFmtId="0" xfId="0" applyAlignment="1" applyBorder="1" applyFont="1">
      <alignment horizontal="center"/>
    </xf>
    <xf borderId="57" fillId="12" fontId="19" numFmtId="0" xfId="0" applyBorder="1" applyFill="1" applyFont="1"/>
    <xf borderId="9" fillId="0" fontId="2" numFmtId="0" xfId="0" applyAlignment="1" applyBorder="1" applyFont="1">
      <alignment horizontal="center"/>
    </xf>
    <xf borderId="9" fillId="0" fontId="22" numFmtId="0" xfId="0" applyAlignment="1" applyBorder="1" applyFont="1">
      <alignment horizontal="center" readingOrder="0"/>
    </xf>
    <xf borderId="16" fillId="12" fontId="21" numFmtId="0" xfId="0" applyBorder="1" applyFill="1" applyFont="1"/>
    <xf borderId="9" fillId="12" fontId="21" numFmtId="0" xfId="0" applyBorder="1" applyFill="1" applyFont="1"/>
    <xf borderId="16" fillId="12" fontId="2" numFmtId="0" xfId="0" applyAlignment="1" applyBorder="1" applyFill="1" applyFont="1">
      <alignment readingOrder="0"/>
    </xf>
    <xf borderId="9" fillId="12" fontId="21" numFmtId="0" xfId="0" applyAlignment="1" applyBorder="1" applyFill="1" applyFont="1">
      <alignment readingOrder="0"/>
    </xf>
    <xf borderId="57" fillId="12" fontId="2" numFmtId="0" xfId="0" applyBorder="1" applyFill="1" applyFont="1"/>
    <xf borderId="9" fillId="12" fontId="2" numFmtId="0" xfId="0" applyAlignment="1" applyBorder="1" applyFill="1" applyFont="1">
      <alignment readingOrder="0"/>
    </xf>
    <xf borderId="42" fillId="12" fontId="21" numFmtId="0" xfId="0" applyBorder="1" applyFill="1" applyFont="1"/>
    <xf borderId="42" fillId="12" fontId="21" numFmtId="0" xfId="0" applyAlignment="1" applyBorder="1" applyFill="1" applyFont="1">
      <alignment readingOrder="0"/>
    </xf>
    <xf borderId="2" fillId="12" fontId="21" numFmtId="0" xfId="0" applyBorder="1" applyFill="1" applyFont="1"/>
    <xf borderId="9" fillId="0" fontId="21" numFmtId="0" xfId="0" applyBorder="1" applyFont="1"/>
    <xf borderId="16" fillId="0" fontId="22" numFmtId="0" xfId="0" applyBorder="1" applyFont="1"/>
    <xf borderId="16" fillId="12" fontId="21" numFmtId="0" xfId="0" applyAlignment="1" applyBorder="1" applyFill="1" applyFont="1">
      <alignment readingOrder="0"/>
    </xf>
    <xf borderId="9" fillId="0" fontId="19" numFmtId="0" xfId="0" applyAlignment="1" applyBorder="1" applyFont="1">
      <alignment horizontal="center" readingOrder="0"/>
    </xf>
    <xf borderId="57" fillId="12" fontId="21" numFmtId="0" xfId="0" applyBorder="1" applyFill="1" applyFont="1"/>
    <xf borderId="16" fillId="12" fontId="22" numFmtId="0" xfId="0" applyBorder="1" applyFill="1" applyFont="1"/>
    <xf borderId="9" fillId="12" fontId="22" numFmtId="0" xfId="0" applyBorder="1" applyFill="1" applyFont="1"/>
    <xf borderId="42" fillId="12" fontId="22" numFmtId="0" xfId="0" applyBorder="1" applyFill="1" applyFont="1"/>
    <xf borderId="42" fillId="12" fontId="22" numFmtId="0" xfId="0" applyAlignment="1" applyBorder="1" applyFill="1" applyFont="1">
      <alignment readingOrder="0"/>
    </xf>
    <xf borderId="2" fillId="12" fontId="22" numFmtId="0" xfId="0" applyBorder="1" applyFill="1" applyFont="1"/>
    <xf borderId="44" fillId="13" fontId="15" numFmtId="0" xfId="0" applyAlignment="1" applyBorder="1" applyFill="1" applyFont="1">
      <alignment horizontal="left" shrinkToFit="0" wrapText="0"/>
    </xf>
    <xf borderId="42" fillId="13" fontId="16" numFmtId="0" xfId="0" applyAlignment="1" applyBorder="1" applyFill="1" applyFont="1">
      <alignment horizontal="left"/>
    </xf>
    <xf borderId="16" fillId="12" fontId="22" numFmtId="0" xfId="0" applyAlignment="1" applyBorder="1" applyFill="1" applyFont="1">
      <alignment readingOrder="0"/>
    </xf>
    <xf borderId="57" fillId="12" fontId="22" numFmtId="0" xfId="0" applyBorder="1" applyFill="1" applyFont="1"/>
    <xf borderId="9" fillId="12" fontId="22" numFmtId="0" xfId="0" applyAlignment="1" applyBorder="1" applyFill="1" applyFont="1">
      <alignment readingOrder="0"/>
    </xf>
    <xf borderId="9" fillId="0" fontId="2" numFmtId="0" xfId="0" applyAlignment="1" applyBorder="1" applyFont="1">
      <alignment horizontal="center" readingOrder="0"/>
    </xf>
    <xf borderId="16" fillId="12" fontId="19" numFmtId="0" xfId="0" applyAlignment="1" applyBorder="1" applyFill="1" applyFont="1">
      <alignment horizontal="center"/>
    </xf>
    <xf borderId="16" fillId="12" fontId="22" numFmtId="0" xfId="0" applyAlignment="1" applyBorder="1" applyFill="1" applyFont="1">
      <alignment horizontal="center"/>
    </xf>
    <xf borderId="9" fillId="12" fontId="22" numFmtId="0" xfId="0" applyAlignment="1" applyBorder="1" applyFill="1" applyFont="1">
      <alignment horizontal="center"/>
    </xf>
    <xf borderId="16" fillId="12" fontId="2" numFmtId="0" xfId="0" applyAlignment="1" applyBorder="1" applyFill="1" applyFont="1">
      <alignment horizontal="center"/>
    </xf>
    <xf borderId="9" fillId="12" fontId="2" numFmtId="0" xfId="0" applyAlignment="1" applyBorder="1" applyFill="1" applyFont="1">
      <alignment horizontal="center"/>
    </xf>
    <xf borderId="9" fillId="12" fontId="19" numFmtId="0" xfId="0" applyAlignment="1" applyBorder="1" applyFill="1" applyFont="1">
      <alignment horizontal="center"/>
    </xf>
    <xf borderId="16" fillId="0" fontId="21" numFmtId="0" xfId="0" applyAlignment="1" applyBorder="1" applyFont="1">
      <alignment readingOrder="0"/>
    </xf>
    <xf borderId="16" fillId="12" fontId="21" numFmtId="0" xfId="0" applyAlignment="1" applyBorder="1" applyFill="1" applyFont="1">
      <alignment horizontal="center"/>
    </xf>
    <xf borderId="9" fillId="12" fontId="21" numFmtId="0" xfId="0" applyAlignment="1" applyBorder="1" applyFill="1" applyFont="1">
      <alignment horizontal="center"/>
    </xf>
    <xf borderId="9" fillId="12" fontId="22" numFmtId="0" xfId="0" applyAlignment="1" applyBorder="1" applyFill="1" applyFont="1">
      <alignment horizontal="center" readingOrder="0"/>
    </xf>
    <xf borderId="9" fillId="12" fontId="2" numFmtId="0" xfId="0" applyAlignment="1" applyBorder="1" applyFill="1" applyFont="1">
      <alignment horizontal="center" readingOrder="0"/>
    </xf>
    <xf borderId="9" fillId="12" fontId="19" numFmtId="0" xfId="0" applyAlignment="1" applyBorder="1" applyFill="1" applyFont="1">
      <alignment horizontal="center" readingOrder="0"/>
    </xf>
    <xf borderId="9" fillId="12" fontId="21" numFmtId="0" xfId="0" applyAlignment="1" applyBorder="1" applyFill="1" applyFont="1">
      <alignment horizontal="center" readingOrder="0"/>
    </xf>
    <xf borderId="16" fillId="3" fontId="23" numFmtId="0" xfId="0" applyAlignment="1" applyBorder="1" applyFill="1" applyFont="1">
      <alignment vertical="bottom"/>
    </xf>
    <xf borderId="9" fillId="3" fontId="24" numFmtId="0" xfId="0" applyAlignment="1" applyBorder="1" applyFill="1" applyFont="1">
      <alignment vertical="bottom"/>
    </xf>
    <xf borderId="16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44" fillId="3" fontId="23" numFmtId="0" xfId="0" applyAlignment="1" applyBorder="1" applyFill="1" applyFont="1">
      <alignment vertical="bottom"/>
    </xf>
    <xf borderId="42" fillId="3" fontId="24" numFmtId="0" xfId="0" applyAlignment="1" applyBorder="1" applyFill="1" applyFont="1">
      <alignment vertical="bottom"/>
    </xf>
    <xf borderId="44" fillId="13" fontId="23" numFmtId="0" xfId="0" applyAlignment="1" applyBorder="1" applyFill="1" applyFont="1">
      <alignment vertical="bottom"/>
    </xf>
    <xf borderId="42" fillId="13" fontId="24" numFmtId="0" xfId="0" applyAlignment="1" applyBorder="1" applyFill="1" applyFont="1">
      <alignment vertical="bottom"/>
    </xf>
    <xf borderId="42" fillId="0" fontId="5" numFmtId="0" xfId="0" applyBorder="1" applyFont="1"/>
    <xf borderId="16" fillId="4" fontId="19" numFmtId="2" xfId="0" applyAlignment="1" applyBorder="1" applyFill="1" applyFont="1" applyNumberFormat="1">
      <alignment horizontal="center"/>
    </xf>
    <xf borderId="16" fillId="4" fontId="19" numFmtId="165" xfId="0" applyAlignment="1" applyBorder="1" applyFill="1" applyFont="1" applyNumberFormat="1">
      <alignment horizontal="center"/>
    </xf>
    <xf borderId="16" fillId="4" fontId="2" numFmtId="0" xfId="0" applyAlignment="1" applyBorder="1" applyFill="1" applyFont="1">
      <alignment horizontal="center"/>
    </xf>
    <xf borderId="16" fillId="3" fontId="24" numFmtId="0" xfId="0" applyAlignment="1" applyBorder="1" applyFill="1" applyFont="1">
      <alignment vertical="bottom"/>
    </xf>
    <xf borderId="3" fillId="7" fontId="2" numFmtId="0" xfId="0" applyAlignment="1" applyBorder="1" applyFill="1" applyFont="1">
      <alignment horizontal="center"/>
    </xf>
    <xf borderId="0" fillId="0" fontId="4" numFmtId="0" xfId="0" applyFont="1"/>
    <xf borderId="16" fillId="14" fontId="21" numFmtId="0" xfId="0" applyAlignment="1" applyBorder="1" applyFill="1" applyFont="1">
      <alignment vertical="bottom"/>
    </xf>
    <xf borderId="16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6" fillId="3" fontId="5" numFmtId="0" xfId="0" applyBorder="1" applyFill="1" applyFont="1"/>
    <xf borderId="16" fillId="0" fontId="5" numFmtId="0" xfId="0" applyAlignment="1" applyBorder="1" applyFont="1">
      <alignment readingOrder="0"/>
    </xf>
    <xf borderId="42" fillId="0" fontId="5" numFmtId="0" xfId="0" applyAlignment="1" applyBorder="1" applyFont="1">
      <alignment readingOrder="0"/>
    </xf>
    <xf borderId="16" fillId="0" fontId="4" numFmtId="0" xfId="0" applyAlignment="1" applyBorder="1" applyFont="1">
      <alignment vertical="bottom"/>
    </xf>
    <xf borderId="16" fillId="15" fontId="21" numFmtId="0" xfId="0" applyAlignment="1" applyBorder="1" applyFill="1" applyFont="1">
      <alignment vertical="bottom"/>
    </xf>
    <xf borderId="51" fillId="4" fontId="19" numFmtId="0" xfId="0" applyAlignment="1" applyBorder="1" applyFill="1" applyFont="1">
      <alignment horizontal="center"/>
    </xf>
    <xf borderId="16" fillId="0" fontId="25" numFmtId="0" xfId="0" applyAlignment="1" applyBorder="1" applyFont="1">
      <alignment vertical="bottom"/>
    </xf>
    <xf borderId="16" fillId="3" fontId="2" numFmtId="0" xfId="0" applyBorder="1" applyFill="1" applyFont="1"/>
    <xf borderId="16" fillId="0" fontId="26" numFmtId="0" xfId="0" applyAlignment="1" applyBorder="1" applyFont="1">
      <alignment vertical="bottom"/>
    </xf>
    <xf borderId="16" fillId="0" fontId="26" numFmtId="0" xfId="0" applyBorder="1" applyFont="1"/>
    <xf borderId="0" fillId="0" fontId="26" numFmtId="0" xfId="0" applyFont="1"/>
    <xf borderId="16" fillId="3" fontId="21" numFmtId="0" xfId="0" applyBorder="1" applyFill="1" applyFont="1"/>
    <xf borderId="16" fillId="3" fontId="22" numFmtId="0" xfId="0" applyBorder="1" applyFill="1" applyFont="1"/>
    <xf borderId="9" fillId="0" fontId="5" numFmtId="0" xfId="0" applyAlignment="1" applyBorder="1" applyFont="1">
      <alignment readingOrder="0" vertical="bottom"/>
    </xf>
    <xf borderId="16" fillId="3" fontId="5" numFmtId="0" xfId="0" applyAlignment="1" applyBorder="1" applyFill="1" applyFont="1">
      <alignment readingOrder="0"/>
    </xf>
    <xf borderId="9" fillId="0" fontId="5" numFmtId="0" xfId="0" applyAlignment="1" applyBorder="1" applyFont="1">
      <alignment horizontal="center" readingOrder="0"/>
    </xf>
    <xf borderId="16" fillId="3" fontId="27" numFmtId="0" xfId="0" applyAlignment="1" applyBorder="1" applyFill="1" applyFont="1">
      <alignment vertical="bottom"/>
    </xf>
    <xf borderId="9" fillId="3" fontId="28" numFmtId="0" xfId="0" applyAlignment="1" applyBorder="1" applyFill="1" applyFont="1">
      <alignment vertical="bottom"/>
    </xf>
    <xf borderId="44" fillId="3" fontId="27" numFmtId="0" xfId="0" applyAlignment="1" applyBorder="1" applyFill="1" applyFont="1">
      <alignment vertical="bottom"/>
    </xf>
    <xf borderId="42" fillId="3" fontId="28" numFmtId="0" xfId="0" applyAlignment="1" applyBorder="1" applyFill="1" applyFont="1">
      <alignment vertical="bottom"/>
    </xf>
    <xf borderId="16" fillId="4" fontId="2" numFmtId="1" xfId="0" applyAlignment="1" applyBorder="1" applyFill="1" applyFont="1" applyNumberFormat="1">
      <alignment horizontal="center"/>
    </xf>
    <xf borderId="9" fillId="0" fontId="20" numFmtId="0" xfId="0" applyBorder="1" applyFont="1"/>
    <xf borderId="16" fillId="14" fontId="29" numFmtId="0" xfId="0" applyAlignment="1" applyBorder="1" applyFill="1" applyFont="1">
      <alignment vertical="bottom"/>
    </xf>
    <xf borderId="9" fillId="0" fontId="5" numFmtId="0" xfId="0" applyBorder="1" applyFont="1"/>
    <xf borderId="16" fillId="0" fontId="2" numFmtId="0" xfId="0" applyAlignment="1" applyBorder="1" applyFont="1">
      <alignment vertical="bottom"/>
    </xf>
    <xf borderId="16" fillId="15" fontId="29" numFmtId="0" xfId="0" applyAlignment="1" applyBorder="1" applyFill="1" applyFont="1">
      <alignment vertical="bottom"/>
    </xf>
    <xf borderId="16" fillId="0" fontId="12" numFmtId="0" xfId="0" applyAlignment="1" applyBorder="1" applyFont="1">
      <alignment vertical="bottom"/>
    </xf>
    <xf borderId="16" fillId="7" fontId="2" numFmtId="0" xfId="0" applyAlignment="1" applyBorder="1" applyFill="1" applyFont="1">
      <alignment horizontal="center"/>
    </xf>
    <xf borderId="16" fillId="0" fontId="30" numFmtId="0" xfId="0" applyBorder="1" applyFont="1"/>
    <xf borderId="2" fillId="2" fontId="4" numFmtId="0" xfId="0" applyAlignment="1" applyBorder="1" applyFill="1" applyFont="1">
      <alignment horizontal="left" readingOrder="0"/>
    </xf>
    <xf borderId="0" fillId="0" fontId="31" numFmtId="1" xfId="0" applyFont="1" applyNumberFormat="1"/>
    <xf borderId="16" fillId="3" fontId="19" numFmtId="0" xfId="0" applyAlignment="1" applyBorder="1" applyFill="1" applyFont="1">
      <alignment horizontal="center" readingOrder="0"/>
    </xf>
    <xf borderId="32" fillId="11" fontId="2" numFmtId="0" xfId="0" applyAlignment="1" applyBorder="1" applyFill="1" applyFont="1">
      <alignment readingOrder="0"/>
    </xf>
    <xf borderId="2" fillId="12" fontId="19" numFmtId="0" xfId="0" applyAlignment="1" applyBorder="1" applyFill="1" applyFont="1">
      <alignment readingOrder="0"/>
    </xf>
    <xf borderId="2" fillId="12" fontId="2" numFmtId="0" xfId="0" applyAlignment="1" applyBorder="1" applyFill="1" applyFont="1">
      <alignment readingOrder="0"/>
    </xf>
    <xf borderId="2" fillId="12" fontId="21" numFmtId="0" xfId="0" applyAlignment="1" applyBorder="1" applyFill="1" applyFont="1">
      <alignment readingOrder="0"/>
    </xf>
    <xf borderId="16" fillId="0" fontId="21" numFmtId="0" xfId="0" applyAlignment="1" applyBorder="1" applyFont="1">
      <alignment horizontal="center" readingOrder="0"/>
    </xf>
    <xf borderId="16" fillId="0" fontId="32" numFmtId="0" xfId="0" applyAlignment="1" applyBorder="1" applyFont="1">
      <alignment horizontal="center" vertical="bottom"/>
    </xf>
    <xf borderId="16" fillId="0" fontId="33" numFmtId="0" xfId="0" applyAlignment="1" applyBorder="1" applyFont="1">
      <alignment horizontal="center" vertical="bottom"/>
    </xf>
    <xf borderId="16" fillId="0" fontId="31" numFmtId="0" xfId="0" applyBorder="1" applyFont="1"/>
    <xf borderId="16" fillId="3" fontId="5" numFmtId="0" xfId="0" applyAlignment="1" applyBorder="1" applyFill="1" applyFont="1">
      <alignment vertical="bottom"/>
    </xf>
    <xf borderId="16" fillId="12" fontId="19" numFmtId="0" xfId="0" applyAlignment="1" applyBorder="1" applyFill="1" applyFont="1">
      <alignment horizontal="center" readingOrder="0"/>
    </xf>
    <xf borderId="16" fillId="3" fontId="33" numFmtId="0" xfId="0" applyAlignment="1" applyBorder="1" applyFill="1" applyFont="1">
      <alignment horizontal="center" vertical="bottom"/>
    </xf>
    <xf borderId="16" fillId="12" fontId="2" numFmtId="0" xfId="0" applyAlignment="1" applyBorder="1" applyFill="1" applyFont="1">
      <alignment horizontal="center" readingOrder="0"/>
    </xf>
    <xf borderId="16" fillId="3" fontId="5" numFmtId="0" xfId="0" applyAlignment="1" applyBorder="1" applyFill="1" applyFont="1">
      <alignment horizontal="center" vertical="bottom"/>
    </xf>
    <xf borderId="16" fillId="12" fontId="21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left" readingOrder="0"/>
    </xf>
    <xf borderId="5" fillId="8" fontId="2" numFmtId="0" xfId="0" applyAlignment="1" applyBorder="1" applyFill="1" applyFont="1">
      <alignment horizontal="center"/>
    </xf>
    <xf borderId="9" fillId="4" fontId="19" numFmtId="0" xfId="0" applyAlignment="1" applyBorder="1" applyFill="1" applyFont="1">
      <alignment horizontal="center"/>
    </xf>
    <xf borderId="58" fillId="2" fontId="1" numFmtId="0" xfId="0" applyAlignment="1" applyBorder="1" applyFill="1" applyFont="1">
      <alignment horizontal="left"/>
    </xf>
    <xf borderId="48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0" fontId="5" numFmtId="1" xfId="0" applyFont="1" applyNumberFormat="1"/>
    <xf borderId="59" fillId="2" fontId="1" numFmtId="0" xfId="0" applyAlignment="1" applyBorder="1" applyFill="1" applyFont="1">
      <alignment horizontal="left"/>
    </xf>
    <xf borderId="52" fillId="2" fontId="1" numFmtId="0" xfId="0" applyAlignment="1" applyBorder="1" applyFill="1" applyFont="1">
      <alignment horizontal="left" readingOrder="0"/>
    </xf>
    <xf borderId="52" fillId="2" fontId="1" numFmtId="15" xfId="0" applyAlignment="1" applyBorder="1" applyFill="1" applyFont="1" applyNumberFormat="1">
      <alignment horizontal="left" readingOrder="0"/>
    </xf>
    <xf borderId="0" fillId="0" fontId="5" numFmtId="0" xfId="0" applyAlignment="1" applyFont="1">
      <alignment shrinkToFit="0" wrapText="1"/>
    </xf>
    <xf borderId="60" fillId="2" fontId="1" numFmtId="0" xfId="0" applyAlignment="1" applyBorder="1" applyFill="1" applyFont="1">
      <alignment horizontal="left"/>
    </xf>
    <xf borderId="61" fillId="2" fontId="1" numFmtId="15" xfId="0" applyAlignment="1" applyBorder="1" applyFill="1" applyFont="1" applyNumberFormat="1">
      <alignment horizontal="left"/>
    </xf>
    <xf borderId="62" fillId="16" fontId="1" numFmtId="0" xfId="0" applyBorder="1" applyFill="1" applyFont="1"/>
    <xf borderId="63" fillId="16" fontId="1" numFmtId="0" xfId="0" applyAlignment="1" applyBorder="1" applyFill="1" applyFont="1">
      <alignment horizontal="right"/>
    </xf>
    <xf borderId="64" fillId="16" fontId="1" numFmtId="0" xfId="0" applyAlignment="1" applyBorder="1" applyFill="1" applyFont="1">
      <alignment horizontal="center" shrinkToFit="0" wrapText="1"/>
    </xf>
    <xf borderId="64" fillId="16" fontId="1" numFmtId="0" xfId="0" applyAlignment="1" applyBorder="1" applyFill="1" applyFont="1">
      <alignment horizontal="center"/>
    </xf>
    <xf borderId="37" fillId="17" fontId="1" numFmtId="0" xfId="0" applyAlignment="1" applyBorder="1" applyFill="1" applyFont="1">
      <alignment horizontal="center" readingOrder="0"/>
    </xf>
    <xf borderId="37" fillId="13" fontId="1" numFmtId="0" xfId="0" applyAlignment="1" applyBorder="1" applyFill="1" applyFont="1">
      <alignment horizontal="center" readingOrder="0"/>
    </xf>
    <xf borderId="37" fillId="16" fontId="1" numFmtId="0" xfId="0" applyAlignment="1" applyBorder="1" applyFill="1" applyFont="1">
      <alignment horizontal="center" readingOrder="0"/>
    </xf>
    <xf borderId="23" fillId="13" fontId="1" numFmtId="0" xfId="0" applyAlignment="1" applyBorder="1" applyFill="1" applyFont="1">
      <alignment horizontal="center" readingOrder="0"/>
    </xf>
    <xf borderId="23" fillId="16" fontId="1" numFmtId="0" xfId="0" applyAlignment="1" applyBorder="1" applyFill="1" applyFont="1">
      <alignment horizontal="center" readingOrder="0"/>
    </xf>
    <xf borderId="23" fillId="18" fontId="1" numFmtId="0" xfId="0" applyAlignment="1" applyBorder="1" applyFill="1" applyFont="1">
      <alignment horizontal="center" readingOrder="0"/>
    </xf>
    <xf borderId="23" fillId="13" fontId="1" numFmtId="0" xfId="0" applyAlignment="1" applyBorder="1" applyFill="1" applyFont="1">
      <alignment horizontal="center" readingOrder="0" shrinkToFit="0" wrapText="1"/>
    </xf>
    <xf borderId="23" fillId="16" fontId="1" numFmtId="0" xfId="0" applyAlignment="1" applyBorder="1" applyFill="1" applyFont="1">
      <alignment horizontal="center"/>
    </xf>
    <xf borderId="26" fillId="16" fontId="1" numFmtId="0" xfId="0" applyAlignment="1" applyBorder="1" applyFill="1" applyFont="1">
      <alignment horizontal="center" shrinkToFit="0" wrapText="1"/>
    </xf>
    <xf borderId="65" fillId="16" fontId="1" numFmtId="0" xfId="0" applyAlignment="1" applyBorder="1" applyFill="1" applyFont="1">
      <alignment horizontal="center"/>
    </xf>
    <xf borderId="27" fillId="16" fontId="12" numFmtId="0" xfId="0" applyBorder="1" applyFill="1" applyFont="1"/>
    <xf borderId="23" fillId="16" fontId="1" numFmtId="0" xfId="0" applyBorder="1" applyFill="1" applyFont="1"/>
    <xf borderId="25" fillId="16" fontId="1" numFmtId="0" xfId="0" applyBorder="1" applyFill="1" applyFont="1"/>
    <xf borderId="64" fillId="4" fontId="1" numFmtId="0" xfId="0" applyAlignment="1" applyBorder="1" applyFill="1" applyFont="1">
      <alignment horizontal="center"/>
    </xf>
    <xf borderId="64" fillId="4" fontId="1" numFmtId="0" xfId="0" applyAlignment="1" applyBorder="1" applyFill="1" applyFont="1">
      <alignment horizontal="center" shrinkToFit="0" wrapText="1"/>
    </xf>
    <xf borderId="37" fillId="4" fontId="1" numFmtId="0" xfId="0" applyAlignment="1" applyBorder="1" applyFill="1" applyFont="1">
      <alignment horizontal="center"/>
    </xf>
    <xf borderId="23" fillId="4" fontId="1" numFmtId="0" xfId="0" applyAlignment="1" applyBorder="1" applyFill="1" applyFont="1">
      <alignment horizontal="center"/>
    </xf>
    <xf borderId="23" fillId="4" fontId="34" numFmtId="0" xfId="0" applyAlignment="1" applyBorder="1" applyFill="1" applyFont="1">
      <alignment horizontal="center"/>
    </xf>
    <xf borderId="26" fillId="4" fontId="1" numFmtId="0" xfId="0" applyAlignment="1" applyBorder="1" applyFill="1" applyFont="1">
      <alignment horizontal="center"/>
    </xf>
    <xf borderId="64" fillId="12" fontId="35" numFmtId="0" xfId="0" applyAlignment="1" applyBorder="1" applyFill="1" applyFont="1">
      <alignment horizontal="center" shrinkToFit="0" wrapText="1"/>
    </xf>
    <xf borderId="42" fillId="10" fontId="1" numFmtId="0" xfId="0" applyAlignment="1" applyBorder="1" applyFill="1" applyFont="1">
      <alignment horizontal="center"/>
    </xf>
    <xf borderId="42" fillId="10" fontId="1" numFmtId="0" xfId="0" applyAlignment="1" applyBorder="1" applyFill="1" applyFont="1">
      <alignment horizontal="center" shrinkToFit="0" wrapText="1"/>
    </xf>
    <xf borderId="37" fillId="10" fontId="1" numFmtId="0" xfId="0" applyAlignment="1" applyBorder="1" applyFill="1" applyFont="1">
      <alignment horizontal="center"/>
    </xf>
    <xf borderId="23" fillId="10" fontId="1" numFmtId="0" xfId="0" applyAlignment="1" applyBorder="1" applyFill="1" applyFont="1">
      <alignment horizontal="center"/>
    </xf>
    <xf borderId="23" fillId="10" fontId="2" numFmtId="0" xfId="0" applyAlignment="1" applyBorder="1" applyFill="1" applyFont="1">
      <alignment horizontal="center"/>
    </xf>
    <xf borderId="26" fillId="12" fontId="2" numFmtId="0" xfId="0" applyAlignment="1" applyBorder="1" applyFill="1" applyFont="1">
      <alignment horizontal="center"/>
    </xf>
    <xf borderId="42" fillId="3" fontId="1" numFmtId="0" xfId="0" applyAlignment="1" applyBorder="1" applyFill="1" applyFont="1">
      <alignment horizontal="center"/>
    </xf>
    <xf borderId="66" fillId="12" fontId="5" numFmtId="0" xfId="0" applyBorder="1" applyFill="1" applyFont="1"/>
    <xf borderId="67" fillId="12" fontId="35" numFmtId="0" xfId="0" applyAlignment="1" applyBorder="1" applyFill="1" applyFont="1">
      <alignment horizontal="center" shrinkToFit="0" wrapText="1"/>
    </xf>
    <xf borderId="42" fillId="10" fontId="1" numFmtId="0" xfId="0" applyAlignment="1" applyBorder="1" applyFill="1" applyFont="1">
      <alignment horizontal="center" readingOrder="0"/>
    </xf>
    <xf borderId="16" fillId="10" fontId="1" numFmtId="0" xfId="0" applyAlignment="1" applyBorder="1" applyFill="1" applyFont="1">
      <alignment horizontal="center"/>
    </xf>
    <xf borderId="16" fillId="3" fontId="1" numFmtId="0" xfId="0" applyAlignment="1" applyBorder="1" applyFill="1" applyFont="1">
      <alignment horizontal="center"/>
    </xf>
    <xf borderId="44" fillId="13" fontId="17" numFmtId="0" xfId="0" applyAlignment="1" applyBorder="1" applyFill="1" applyFont="1">
      <alignment horizontal="left" shrinkToFit="0" wrapText="0"/>
    </xf>
    <xf borderId="42" fillId="13" fontId="18" numFmtId="0" xfId="0" applyAlignment="1" applyBorder="1" applyFill="1" applyFont="1">
      <alignment horizontal="left"/>
    </xf>
    <xf borderId="16" fillId="10" fontId="20" numFmtId="0" xfId="0" applyBorder="1" applyFill="1" applyFont="1"/>
    <xf borderId="16" fillId="3" fontId="20" numFmtId="0" xfId="0" applyBorder="1" applyFill="1" applyFont="1"/>
    <xf borderId="16" fillId="10" fontId="1" numFmtId="0" xfId="0" applyAlignment="1" applyBorder="1" applyFill="1" applyFont="1">
      <alignment horizontal="center" readingOrder="0"/>
    </xf>
    <xf borderId="48" fillId="12" fontId="2" numFmtId="0" xfId="0" applyAlignment="1" applyBorder="1" applyFill="1" applyFont="1">
      <alignment horizontal="center"/>
    </xf>
    <xf borderId="67" fillId="12" fontId="36" numFmtId="0" xfId="0" applyAlignment="1" applyBorder="1" applyFill="1" applyFont="1">
      <alignment horizontal="center" shrinkToFit="0" wrapText="1"/>
    </xf>
    <xf borderId="66" fillId="4" fontId="5" numFmtId="0" xfId="0" applyBorder="1" applyFill="1" applyFont="1"/>
    <xf borderId="42" fillId="10" fontId="1" numFmtId="0" xfId="0" applyAlignment="1" applyBorder="1" applyFill="1" applyFont="1">
      <alignment horizontal="center" readingOrder="0" shrinkToFit="0" wrapText="1"/>
    </xf>
    <xf borderId="44" fillId="13" fontId="27" numFmtId="0" xfId="0" applyAlignment="1" applyBorder="1" applyFill="1" applyFont="1">
      <alignment vertical="bottom"/>
    </xf>
    <xf borderId="42" fillId="13" fontId="28" numFmtId="0" xfId="0" applyAlignment="1" applyBorder="1" applyFill="1" applyFont="1">
      <alignment vertical="bottom"/>
    </xf>
    <xf borderId="16" fillId="14" fontId="37" numFmtId="0" xfId="0" applyAlignment="1" applyBorder="1" applyFill="1" applyFont="1">
      <alignment vertical="bottom"/>
    </xf>
    <xf borderId="16" fillId="10" fontId="2" numFmtId="0" xfId="0" applyAlignment="1" applyBorder="1" applyFill="1" applyFont="1">
      <alignment horizontal="center"/>
    </xf>
    <xf borderId="16" fillId="3" fontId="2" numFmtId="0" xfId="0" applyAlignment="1" applyBorder="1" applyFill="1" applyFont="1">
      <alignment horizontal="center"/>
    </xf>
    <xf borderId="16" fillId="15" fontId="37" numFmtId="0" xfId="0" applyAlignment="1" applyBorder="1" applyFill="1" applyFont="1">
      <alignment vertical="bottom"/>
    </xf>
    <xf borderId="16" fillId="10" fontId="2" numFmtId="0" xfId="0" applyAlignment="1" applyBorder="1" applyFill="1" applyFont="1">
      <alignment horizontal="center" shrinkToFit="0" wrapText="1"/>
    </xf>
    <xf borderId="16" fillId="10" fontId="2" numFmtId="0" xfId="0" applyAlignment="1" applyBorder="1" applyFill="1" applyFont="1">
      <alignment horizontal="center" readingOrder="0"/>
    </xf>
    <xf borderId="68" fillId="12" fontId="35" numFmtId="0" xfId="0" applyAlignment="1" applyBorder="1" applyFill="1" applyFont="1">
      <alignment horizontal="center" shrinkToFit="0" wrapText="1"/>
    </xf>
    <xf borderId="22" fillId="10" fontId="1" numFmtId="0" xfId="0" applyAlignment="1" applyBorder="1" applyFill="1" applyFont="1">
      <alignment horizontal="center"/>
    </xf>
    <xf borderId="21" fillId="10" fontId="1" numFmtId="0" xfId="0" applyAlignment="1" applyBorder="1" applyFill="1" applyFont="1">
      <alignment horizontal="center"/>
    </xf>
    <xf borderId="21" fillId="10" fontId="2" numFmtId="0" xfId="0" applyAlignment="1" applyBorder="1" applyFill="1" applyFont="1">
      <alignment horizontal="center"/>
    </xf>
    <xf borderId="16" fillId="0" fontId="5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center" shrinkToFit="0" wrapText="1"/>
    </xf>
    <xf borderId="0" fillId="3" fontId="5" numFmtId="0" xfId="0" applyFill="1" applyFont="1"/>
    <xf borderId="16" fillId="10" fontId="20" numFmtId="0" xfId="0" applyAlignment="1" applyBorder="1" applyFill="1" applyFont="1">
      <alignment readingOrder="0"/>
    </xf>
    <xf borderId="64" fillId="12" fontId="35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4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21.29"/>
    <col customWidth="1" min="3" max="3" width="27.14"/>
    <col customWidth="1" min="4" max="4" width="8.14"/>
    <col customWidth="1" min="5" max="5" width="8.0"/>
    <col customWidth="1" min="6" max="6" width="7.43"/>
    <col customWidth="1" min="7" max="7" width="7.0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6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17" t="s">
        <v>9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C4" s="20"/>
      <c r="D4" s="18"/>
      <c r="E4" s="18"/>
      <c r="F4" s="4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41</v>
      </c>
      <c r="B9" s="90" t="s">
        <v>43</v>
      </c>
      <c r="C9" s="91" t="s">
        <v>44</v>
      </c>
      <c r="D9" s="94">
        <f>SUM(R9+AL9+BI9+CF9+CS9)</f>
        <v>27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9</v>
      </c>
      <c r="L9" s="99">
        <f t="shared" si="1"/>
        <v>0</v>
      </c>
      <c r="M9" s="99">
        <f t="shared" si="1"/>
        <v>31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2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0</v>
      </c>
      <c r="Y9" s="104">
        <f t="shared" si="2"/>
        <v>33</v>
      </c>
      <c r="Z9" s="104">
        <f t="shared" si="2"/>
        <v>0</v>
      </c>
      <c r="AA9" s="104">
        <f t="shared" si="2"/>
        <v>12</v>
      </c>
      <c r="AB9" s="104">
        <f t="shared" si="2"/>
        <v>40</v>
      </c>
      <c r="AC9" s="104">
        <f t="shared" si="2"/>
        <v>44</v>
      </c>
      <c r="AD9" s="104">
        <f t="shared" si="2"/>
        <v>17</v>
      </c>
      <c r="AE9" s="104">
        <f t="shared" si="2"/>
        <v>0</v>
      </c>
      <c r="AF9" s="104">
        <f t="shared" si="2"/>
        <v>4</v>
      </c>
      <c r="AG9" s="104">
        <f t="shared" si="2"/>
        <v>0</v>
      </c>
      <c r="AH9" s="104">
        <f t="shared" si="2"/>
        <v>29</v>
      </c>
      <c r="AI9" s="104">
        <f t="shared" si="2"/>
        <v>24</v>
      </c>
      <c r="AJ9" s="104">
        <f t="shared" si="2"/>
        <v>0</v>
      </c>
      <c r="AK9" s="104">
        <f t="shared" si="2"/>
        <v>0</v>
      </c>
      <c r="AL9" s="103">
        <f>COUNTIF(T9:AK9,"&gt;0")</f>
        <v>8</v>
      </c>
      <c r="AM9" s="107">
        <f>SUM(R9+AL9)</f>
        <v>10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43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2</v>
      </c>
      <c r="AX9" s="104">
        <f t="shared" si="3"/>
        <v>0</v>
      </c>
      <c r="AY9" s="104">
        <f t="shared" si="3"/>
        <v>0</v>
      </c>
      <c r="AZ9" s="104">
        <f t="shared" si="3"/>
        <v>3</v>
      </c>
      <c r="BA9" s="104">
        <f t="shared" si="3"/>
        <v>9</v>
      </c>
      <c r="BB9" s="104">
        <f t="shared" si="3"/>
        <v>6</v>
      </c>
      <c r="BC9" s="104">
        <f t="shared" si="3"/>
        <v>0</v>
      </c>
      <c r="BD9" s="104">
        <f t="shared" si="3"/>
        <v>0</v>
      </c>
      <c r="BE9" s="104">
        <f t="shared" si="3"/>
        <v>15</v>
      </c>
      <c r="BF9" s="104">
        <f t="shared" si="3"/>
        <v>44</v>
      </c>
      <c r="BG9" s="104">
        <f t="shared" si="3"/>
        <v>21</v>
      </c>
      <c r="BH9" s="104">
        <f t="shared" si="3"/>
        <v>0</v>
      </c>
      <c r="BI9" s="48">
        <f>COUNTIF(AN9:BH9,"&gt;0")</f>
        <v>8</v>
      </c>
      <c r="BJ9" s="55">
        <f>SUM(AM9+BI9)</f>
        <v>18</v>
      </c>
      <c r="BK9" s="109">
        <f t="shared" ref="BK9:BW9" si="4">SUM(BK10:BK91)</f>
        <v>8</v>
      </c>
      <c r="BL9" s="109">
        <f t="shared" si="4"/>
        <v>25</v>
      </c>
      <c r="BM9" s="109">
        <f t="shared" si="4"/>
        <v>26</v>
      </c>
      <c r="BN9" s="109">
        <f t="shared" si="4"/>
        <v>0</v>
      </c>
      <c r="BO9" s="109">
        <f t="shared" si="4"/>
        <v>0</v>
      </c>
      <c r="BP9" s="109">
        <f t="shared" si="4"/>
        <v>22</v>
      </c>
      <c r="BQ9" s="109">
        <f t="shared" si="4"/>
        <v>25</v>
      </c>
      <c r="BR9" s="109">
        <f t="shared" si="4"/>
        <v>48</v>
      </c>
      <c r="BS9" s="109">
        <f t="shared" si="4"/>
        <v>46</v>
      </c>
      <c r="BT9" s="109">
        <f t="shared" si="4"/>
        <v>0</v>
      </c>
      <c r="BU9" s="109">
        <f t="shared" si="4"/>
        <v>23</v>
      </c>
      <c r="BV9" s="109">
        <f t="shared" si="4"/>
        <v>16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COUNTIF(BK9:CE9,"&gt;0")</f>
        <v>9</v>
      </c>
      <c r="CG9" s="113">
        <f>SUM(BJ9+CF9)</f>
        <v>27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27</v>
      </c>
      <c r="CU9" s="118"/>
      <c r="CV9" s="119">
        <f>SUM(R9+AL9+BI9+CF9+CS9+CU9)</f>
        <v>27</v>
      </c>
      <c r="CW9" s="120">
        <f t="shared" ref="CW9:CW93" si="8">SUM(R9+AL9+BI9+CF9+CS9+CU9)</f>
        <v>27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3</v>
      </c>
      <c r="E10" s="127">
        <f t="shared" ref="E10:E93" si="10">(D10)/D$9*100</f>
        <v>11.11111111</v>
      </c>
      <c r="F10" s="128">
        <f t="shared" ref="F10:F93" si="11">IF(E10&lt;50,E10, "  ")</f>
        <v>11.11111111</v>
      </c>
      <c r="G10" s="130">
        <f t="shared" ref="G10:G93" si="12">IF(E10&lt;30,E10, "  ")</f>
        <v>11.11111111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>
        <f t="shared" ref="S10:S93" si="14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51">
        <v>1.0</v>
      </c>
      <c r="AC10" s="140"/>
      <c r="AD10" s="140"/>
      <c r="AE10" s="141"/>
      <c r="AF10" s="142"/>
      <c r="AG10" s="142"/>
      <c r="AH10" s="143">
        <v>1.0</v>
      </c>
      <c r="AI10" s="145"/>
      <c r="AJ10" s="142"/>
      <c r="AK10" s="142"/>
      <c r="AL10" s="135">
        <f t="shared" ref="AL10:AL93" si="15">SUM(T10:AK10)</f>
        <v>2</v>
      </c>
      <c r="AM10" s="137">
        <f t="shared" ref="AM10:AM93" si="16">AL10/AL$9*100</f>
        <v>25</v>
      </c>
      <c r="AN10" s="146"/>
      <c r="AO10" s="146"/>
      <c r="AP10" s="138"/>
      <c r="AQ10" s="138"/>
      <c r="AR10" s="138"/>
      <c r="AS10" s="158"/>
      <c r="AT10" s="133"/>
      <c r="AU10" s="133"/>
      <c r="AV10" s="133"/>
      <c r="AW10" s="133"/>
      <c r="AX10" s="133"/>
      <c r="AY10" s="133"/>
      <c r="AZ10" s="133"/>
      <c r="BA10" s="133"/>
      <c r="BB10" s="158"/>
      <c r="BC10" s="133"/>
      <c r="BD10" s="133"/>
      <c r="BE10" s="133"/>
      <c r="BF10" s="133"/>
      <c r="BG10" s="142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32"/>
      <c r="BM10" s="138"/>
      <c r="BN10" s="138"/>
      <c r="BO10" s="138"/>
      <c r="BP10" s="138"/>
      <c r="BQ10" s="138"/>
      <c r="BR10" s="150">
        <v>1.0</v>
      </c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1</v>
      </c>
      <c r="CG10" s="159">
        <f t="shared" ref="CG10:CG93" si="20">CF10/CF$9*100</f>
        <v>11.11111111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11.11111111</v>
      </c>
      <c r="CW10" s="169">
        <f t="shared" si="8"/>
        <v>3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19</v>
      </c>
      <c r="E11" s="127">
        <f t="shared" si="10"/>
        <v>70.37037037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79"/>
      <c r="K11" s="179"/>
      <c r="L11" s="179"/>
      <c r="M11" s="191">
        <v>1.0</v>
      </c>
      <c r="N11" s="179"/>
      <c r="O11" s="179"/>
      <c r="P11" s="179"/>
      <c r="Q11" s="179"/>
      <c r="R11" s="135">
        <f t="shared" si="13"/>
        <v>1</v>
      </c>
      <c r="S11" s="137">
        <f t="shared" si="14"/>
        <v>50</v>
      </c>
      <c r="T11" s="138"/>
      <c r="U11" s="138"/>
      <c r="V11" s="138"/>
      <c r="W11" s="132"/>
      <c r="X11" s="132"/>
      <c r="Y11" s="151">
        <v>1.0</v>
      </c>
      <c r="Z11" s="138"/>
      <c r="AA11" s="151">
        <v>1.0</v>
      </c>
      <c r="AB11" s="151">
        <v>1.0</v>
      </c>
      <c r="AC11" s="150">
        <v>1.0</v>
      </c>
      <c r="AD11" s="150">
        <v>1.0</v>
      </c>
      <c r="AE11" s="141"/>
      <c r="AF11" s="180"/>
      <c r="AG11" s="180"/>
      <c r="AH11" s="181">
        <v>1.0</v>
      </c>
      <c r="AI11" s="151">
        <v>1.0</v>
      </c>
      <c r="AJ11" s="142"/>
      <c r="AK11" s="142"/>
      <c r="AL11" s="135">
        <f t="shared" si="15"/>
        <v>7</v>
      </c>
      <c r="AM11" s="183">
        <f t="shared" si="16"/>
        <v>87.5</v>
      </c>
      <c r="AN11" s="184"/>
      <c r="AO11" s="184"/>
      <c r="AP11" s="138"/>
      <c r="AQ11" s="138"/>
      <c r="AR11" s="138"/>
      <c r="AS11" s="151">
        <v>1.0</v>
      </c>
      <c r="AT11" s="133"/>
      <c r="AU11" s="133"/>
      <c r="AV11" s="133"/>
      <c r="AW11" s="133"/>
      <c r="AX11" s="133"/>
      <c r="AY11" s="133"/>
      <c r="AZ11" s="133"/>
      <c r="BA11" s="133"/>
      <c r="BB11" s="138"/>
      <c r="BC11" s="133"/>
      <c r="BD11" s="133"/>
      <c r="BE11" s="185">
        <v>1.0</v>
      </c>
      <c r="BF11" s="185">
        <v>1.0</v>
      </c>
      <c r="BG11" s="181">
        <v>1.0</v>
      </c>
      <c r="BH11" s="133"/>
      <c r="BI11" s="135">
        <f t="shared" si="17"/>
        <v>4</v>
      </c>
      <c r="BJ11" s="186">
        <f t="shared" si="18"/>
        <v>50</v>
      </c>
      <c r="BK11" s="138"/>
      <c r="BL11" s="170">
        <v>1.0</v>
      </c>
      <c r="BM11" s="151">
        <v>1.0</v>
      </c>
      <c r="BN11" s="138"/>
      <c r="BO11" s="138"/>
      <c r="BP11" s="138"/>
      <c r="BQ11" s="151">
        <v>1.0</v>
      </c>
      <c r="BR11" s="150">
        <v>1.0</v>
      </c>
      <c r="BS11" s="187">
        <v>1.0</v>
      </c>
      <c r="BT11" s="152"/>
      <c r="BU11" s="187">
        <v>1.0</v>
      </c>
      <c r="BV11" s="187">
        <v>1.0</v>
      </c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7</v>
      </c>
      <c r="CG11" s="190">
        <f t="shared" si="20"/>
        <v>77.77777778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70.37037037</v>
      </c>
      <c r="CW11" s="169">
        <f t="shared" si="8"/>
        <v>19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6</v>
      </c>
      <c r="E12" s="127">
        <f t="shared" si="10"/>
        <v>22.22222222</v>
      </c>
      <c r="F12" s="200">
        <f t="shared" si="11"/>
        <v>22.22222222</v>
      </c>
      <c r="G12" s="207">
        <f t="shared" si="12"/>
        <v>22.22222222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3"/>
        <v>0</v>
      </c>
      <c r="S12" s="137">
        <f t="shared" si="14"/>
        <v>0</v>
      </c>
      <c r="T12" s="138"/>
      <c r="U12" s="138"/>
      <c r="V12" s="138"/>
      <c r="W12" s="132"/>
      <c r="X12" s="132"/>
      <c r="Y12" s="138"/>
      <c r="Z12" s="138"/>
      <c r="AA12" s="138"/>
      <c r="AB12" s="151">
        <v>1.0</v>
      </c>
      <c r="AC12" s="150">
        <v>1.0</v>
      </c>
      <c r="AD12" s="140"/>
      <c r="AE12" s="141"/>
      <c r="AF12" s="180"/>
      <c r="AG12" s="180"/>
      <c r="AH12" s="181">
        <v>1.0</v>
      </c>
      <c r="AI12" s="138"/>
      <c r="AJ12" s="142"/>
      <c r="AK12" s="142"/>
      <c r="AL12" s="135">
        <f t="shared" si="15"/>
        <v>3</v>
      </c>
      <c r="AM12" s="183">
        <f t="shared" si="16"/>
        <v>37.5</v>
      </c>
      <c r="AN12" s="203"/>
      <c r="AO12" s="203"/>
      <c r="AP12" s="138"/>
      <c r="AQ12" s="138"/>
      <c r="AR12" s="138"/>
      <c r="AS12" s="138"/>
      <c r="AT12" s="133"/>
      <c r="AU12" s="133"/>
      <c r="AV12" s="133"/>
      <c r="AW12" s="133"/>
      <c r="AX12" s="133"/>
      <c r="AY12" s="133"/>
      <c r="AZ12" s="133"/>
      <c r="BA12" s="133"/>
      <c r="BB12" s="138"/>
      <c r="BC12" s="133"/>
      <c r="BD12" s="133"/>
      <c r="BE12" s="133"/>
      <c r="BF12" s="185">
        <v>1.0</v>
      </c>
      <c r="BG12" s="180"/>
      <c r="BH12" s="133"/>
      <c r="BI12" s="135">
        <f t="shared" si="17"/>
        <v>1</v>
      </c>
      <c r="BJ12" s="186">
        <f t="shared" si="18"/>
        <v>12.5</v>
      </c>
      <c r="BK12" s="138"/>
      <c r="BL12" s="132"/>
      <c r="BM12" s="138"/>
      <c r="BN12" s="138"/>
      <c r="BO12" s="138"/>
      <c r="BP12" s="138"/>
      <c r="BQ12" s="138"/>
      <c r="BR12" s="150">
        <v>1.0</v>
      </c>
      <c r="BS12" s="187">
        <v>1.0</v>
      </c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2</v>
      </c>
      <c r="CG12" s="190">
        <f t="shared" si="20"/>
        <v>22.22222222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22.22222222</v>
      </c>
      <c r="CW12" s="169">
        <f t="shared" si="8"/>
        <v>6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13</v>
      </c>
      <c r="E13" s="127">
        <f t="shared" si="10"/>
        <v>48.14814815</v>
      </c>
      <c r="F13" s="200">
        <f t="shared" si="11"/>
        <v>48.14814815</v>
      </c>
      <c r="G13" s="177" t="str">
        <f t="shared" si="12"/>
        <v>  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3"/>
        <v>0</v>
      </c>
      <c r="S13" s="137">
        <f t="shared" si="14"/>
        <v>0</v>
      </c>
      <c r="T13" s="138"/>
      <c r="U13" s="138"/>
      <c r="V13" s="138"/>
      <c r="W13" s="132"/>
      <c r="X13" s="132"/>
      <c r="Y13" s="138"/>
      <c r="Z13" s="138"/>
      <c r="AA13" s="138"/>
      <c r="AB13" s="225">
        <v>1.0</v>
      </c>
      <c r="AC13" s="150">
        <v>1.0</v>
      </c>
      <c r="AD13" s="140"/>
      <c r="AE13" s="141"/>
      <c r="AF13" s="210"/>
      <c r="AG13" s="210"/>
      <c r="AH13" s="211">
        <v>1.0</v>
      </c>
      <c r="AI13" s="225">
        <v>1.0</v>
      </c>
      <c r="AJ13" s="212"/>
      <c r="AK13" s="212"/>
      <c r="AL13" s="135">
        <f t="shared" si="15"/>
        <v>4</v>
      </c>
      <c r="AM13" s="183">
        <f t="shared" si="16"/>
        <v>50</v>
      </c>
      <c r="AN13" s="214"/>
      <c r="AO13" s="214"/>
      <c r="AP13" s="209"/>
      <c r="AQ13" s="138"/>
      <c r="AR13" s="138"/>
      <c r="AS13" s="225">
        <v>1.0</v>
      </c>
      <c r="AT13" s="133"/>
      <c r="AU13" s="133"/>
      <c r="AV13" s="133"/>
      <c r="AW13" s="133"/>
      <c r="AX13" s="133"/>
      <c r="AY13" s="133"/>
      <c r="AZ13" s="133"/>
      <c r="BA13" s="185">
        <v>1.0</v>
      </c>
      <c r="BB13" s="209"/>
      <c r="BC13" s="133"/>
      <c r="BD13" s="133"/>
      <c r="BE13" s="133"/>
      <c r="BF13" s="185">
        <v>1.0</v>
      </c>
      <c r="BG13" s="210"/>
      <c r="BH13" s="133"/>
      <c r="BI13" s="135">
        <f t="shared" si="17"/>
        <v>3</v>
      </c>
      <c r="BJ13" s="186">
        <f t="shared" si="18"/>
        <v>37.5</v>
      </c>
      <c r="BK13" s="138"/>
      <c r="BL13" s="170">
        <v>1.0</v>
      </c>
      <c r="BM13" s="151">
        <v>1.0</v>
      </c>
      <c r="BN13" s="138"/>
      <c r="BO13" s="138"/>
      <c r="BP13" s="138"/>
      <c r="BQ13" s="151">
        <v>1.0</v>
      </c>
      <c r="BR13" s="150">
        <v>1.0</v>
      </c>
      <c r="BS13" s="187">
        <v>1.0</v>
      </c>
      <c r="BT13" s="152"/>
      <c r="BU13" s="187">
        <v>1.0</v>
      </c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6</v>
      </c>
      <c r="CG13" s="190">
        <f t="shared" si="20"/>
        <v>66.66666667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48.14814815</v>
      </c>
      <c r="CW13" s="169">
        <f t="shared" si="8"/>
        <v>13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16</v>
      </c>
      <c r="E14" s="127">
        <f t="shared" si="10"/>
        <v>59.25925926</v>
      </c>
      <c r="F14" s="175" t="str">
        <f t="shared" si="11"/>
        <v>  </v>
      </c>
      <c r="G14" s="177" t="str">
        <f t="shared" si="12"/>
        <v>  </v>
      </c>
      <c r="H14" s="178"/>
      <c r="I14" s="223"/>
      <c r="J14" s="224"/>
      <c r="K14" s="232">
        <v>1.0</v>
      </c>
      <c r="L14" s="224"/>
      <c r="M14" s="232">
        <v>1.0</v>
      </c>
      <c r="N14" s="224"/>
      <c r="O14" s="224"/>
      <c r="P14" s="224"/>
      <c r="Q14" s="224"/>
      <c r="R14" s="135">
        <f t="shared" si="13"/>
        <v>2</v>
      </c>
      <c r="S14" s="137">
        <f t="shared" si="14"/>
        <v>100</v>
      </c>
      <c r="T14" s="138"/>
      <c r="U14" s="138"/>
      <c r="V14" s="138"/>
      <c r="W14" s="132"/>
      <c r="X14" s="132"/>
      <c r="Y14" s="138"/>
      <c r="Z14" s="138"/>
      <c r="AA14" s="138"/>
      <c r="AB14" s="235">
        <v>1.0</v>
      </c>
      <c r="AC14" s="140"/>
      <c r="AD14" s="150">
        <v>1.0</v>
      </c>
      <c r="AE14" s="141"/>
      <c r="AF14" s="238">
        <v>1.0</v>
      </c>
      <c r="AG14" s="226"/>
      <c r="AH14" s="226"/>
      <c r="AI14" s="235">
        <v>1.0</v>
      </c>
      <c r="AJ14" s="218"/>
      <c r="AK14" s="218"/>
      <c r="AL14" s="135">
        <f t="shared" si="15"/>
        <v>4</v>
      </c>
      <c r="AM14" s="183">
        <f t="shared" si="16"/>
        <v>50</v>
      </c>
      <c r="AN14" s="228"/>
      <c r="AO14" s="228"/>
      <c r="AP14" s="217"/>
      <c r="AQ14" s="138"/>
      <c r="AR14" s="138"/>
      <c r="AS14" s="235">
        <v>1.0</v>
      </c>
      <c r="AT14" s="133"/>
      <c r="AU14" s="133"/>
      <c r="AV14" s="133"/>
      <c r="AW14" s="133"/>
      <c r="AX14" s="133"/>
      <c r="AY14" s="133"/>
      <c r="AZ14" s="133"/>
      <c r="BA14" s="133"/>
      <c r="BB14" s="217"/>
      <c r="BC14" s="133"/>
      <c r="BD14" s="133"/>
      <c r="BE14" s="185">
        <v>1.0</v>
      </c>
      <c r="BF14" s="185">
        <v>1.0</v>
      </c>
      <c r="BG14" s="226"/>
      <c r="BH14" s="133"/>
      <c r="BI14" s="135">
        <f t="shared" si="17"/>
        <v>3</v>
      </c>
      <c r="BJ14" s="186">
        <f t="shared" si="18"/>
        <v>37.5</v>
      </c>
      <c r="BK14" s="151">
        <v>1.0</v>
      </c>
      <c r="BL14" s="170">
        <v>1.0</v>
      </c>
      <c r="BM14" s="138"/>
      <c r="BN14" s="138"/>
      <c r="BO14" s="138"/>
      <c r="BP14" s="151">
        <v>1.0</v>
      </c>
      <c r="BQ14" s="151">
        <v>1.0</v>
      </c>
      <c r="BR14" s="150">
        <v>1.0</v>
      </c>
      <c r="BS14" s="187">
        <v>1.0</v>
      </c>
      <c r="BT14" s="152"/>
      <c r="BU14" s="187">
        <v>1.0</v>
      </c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7</v>
      </c>
      <c r="CG14" s="190">
        <f t="shared" si="20"/>
        <v>77.77777778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59.25925926</v>
      </c>
      <c r="CW14" s="169">
        <f t="shared" si="8"/>
        <v>16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3"/>
        <v>0</v>
      </c>
      <c r="S15" s="137">
        <f t="shared" si="14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09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209"/>
      <c r="AT15" s="133"/>
      <c r="AU15" s="133"/>
      <c r="AV15" s="133"/>
      <c r="AW15" s="133"/>
      <c r="AX15" s="133"/>
      <c r="AY15" s="133"/>
      <c r="AZ15" s="133"/>
      <c r="BA15" s="133"/>
      <c r="BB15" s="209"/>
      <c r="BC15" s="133"/>
      <c r="BD15" s="133"/>
      <c r="BE15" s="133"/>
      <c r="BF15" s="133"/>
      <c r="BG15" s="210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>
        <f t="shared" si="20"/>
        <v>0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9</v>
      </c>
      <c r="E16" s="127">
        <f t="shared" si="10"/>
        <v>33.33333333</v>
      </c>
      <c r="F16" s="200">
        <f t="shared" si="11"/>
        <v>33.33333333</v>
      </c>
      <c r="G16" s="177" t="str">
        <f t="shared" si="12"/>
        <v>  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3"/>
        <v>0</v>
      </c>
      <c r="S16" s="137">
        <f t="shared" si="14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6">
        <v>1.0</v>
      </c>
      <c r="AI16" s="233"/>
      <c r="AJ16" s="239"/>
      <c r="AK16" s="239"/>
      <c r="AL16" s="135">
        <f t="shared" si="15"/>
        <v>1</v>
      </c>
      <c r="AM16" s="183">
        <f t="shared" si="16"/>
        <v>12.5</v>
      </c>
      <c r="AN16" s="241"/>
      <c r="AO16" s="241"/>
      <c r="AP16" s="233"/>
      <c r="AQ16" s="138"/>
      <c r="AR16" s="138"/>
      <c r="AS16" s="244">
        <v>1.0</v>
      </c>
      <c r="AT16" s="133"/>
      <c r="AU16" s="133"/>
      <c r="AV16" s="133"/>
      <c r="AW16" s="133"/>
      <c r="AX16" s="133"/>
      <c r="AY16" s="133"/>
      <c r="AZ16" s="133"/>
      <c r="BA16" s="133"/>
      <c r="BB16" s="244">
        <v>1.0</v>
      </c>
      <c r="BC16" s="133"/>
      <c r="BD16" s="133"/>
      <c r="BE16" s="133"/>
      <c r="BF16" s="185">
        <v>1.0</v>
      </c>
      <c r="BG16" s="234"/>
      <c r="BH16" s="133"/>
      <c r="BI16" s="135">
        <f t="shared" si="17"/>
        <v>3</v>
      </c>
      <c r="BJ16" s="186">
        <f t="shared" si="18"/>
        <v>37.5</v>
      </c>
      <c r="BK16" s="138"/>
      <c r="BL16" s="132"/>
      <c r="BM16" s="151">
        <v>1.0</v>
      </c>
      <c r="BN16" s="138"/>
      <c r="BO16" s="138"/>
      <c r="BP16" s="151">
        <v>1.0</v>
      </c>
      <c r="BQ16" s="151">
        <v>1.0</v>
      </c>
      <c r="BR16" s="150">
        <v>1.0</v>
      </c>
      <c r="BS16" s="152"/>
      <c r="BT16" s="152"/>
      <c r="BU16" s="152"/>
      <c r="BV16" s="187">
        <v>1.0</v>
      </c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5</v>
      </c>
      <c r="CG16" s="190">
        <f t="shared" si="20"/>
        <v>55.55555556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33.33333333</v>
      </c>
      <c r="CW16" s="169">
        <f t="shared" si="8"/>
        <v>9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15</v>
      </c>
      <c r="E17" s="127">
        <f t="shared" si="10"/>
        <v>55.55555556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79"/>
      <c r="M17" s="191">
        <v>1.0</v>
      </c>
      <c r="N17" s="179"/>
      <c r="O17" s="179"/>
      <c r="P17" s="179"/>
      <c r="Q17" s="179"/>
      <c r="R17" s="135">
        <f t="shared" si="13"/>
        <v>1</v>
      </c>
      <c r="S17" s="137">
        <f t="shared" si="14"/>
        <v>50</v>
      </c>
      <c r="T17" s="138"/>
      <c r="U17" s="138"/>
      <c r="V17" s="138"/>
      <c r="W17" s="132"/>
      <c r="X17" s="132"/>
      <c r="Y17" s="138"/>
      <c r="Z17" s="138"/>
      <c r="AA17" s="138"/>
      <c r="AB17" s="235">
        <v>1.0</v>
      </c>
      <c r="AC17" s="150">
        <v>1.0</v>
      </c>
      <c r="AD17" s="150">
        <v>1.0</v>
      </c>
      <c r="AE17" s="141"/>
      <c r="AF17" s="238">
        <v>1.0</v>
      </c>
      <c r="AG17" s="226"/>
      <c r="AH17" s="226"/>
      <c r="AI17" s="235">
        <v>1.0</v>
      </c>
      <c r="AJ17" s="218"/>
      <c r="AK17" s="218"/>
      <c r="AL17" s="135">
        <f t="shared" si="15"/>
        <v>5</v>
      </c>
      <c r="AM17" s="183">
        <f t="shared" si="16"/>
        <v>62.5</v>
      </c>
      <c r="AN17" s="228"/>
      <c r="AO17" s="228"/>
      <c r="AP17" s="217"/>
      <c r="AQ17" s="138"/>
      <c r="AR17" s="138"/>
      <c r="AS17" s="235">
        <v>1.0</v>
      </c>
      <c r="AT17" s="133"/>
      <c r="AU17" s="133"/>
      <c r="AV17" s="133"/>
      <c r="AW17" s="133"/>
      <c r="AX17" s="133"/>
      <c r="AY17" s="133"/>
      <c r="AZ17" s="133"/>
      <c r="BA17" s="133"/>
      <c r="BB17" s="217"/>
      <c r="BC17" s="133"/>
      <c r="BD17" s="133"/>
      <c r="BE17" s="185">
        <v>1.0</v>
      </c>
      <c r="BF17" s="185">
        <v>1.0</v>
      </c>
      <c r="BG17" s="226"/>
      <c r="BH17" s="133"/>
      <c r="BI17" s="135">
        <f t="shared" si="17"/>
        <v>3</v>
      </c>
      <c r="BJ17" s="186">
        <f t="shared" si="18"/>
        <v>37.5</v>
      </c>
      <c r="BK17" s="151">
        <v>1.0</v>
      </c>
      <c r="BL17" s="170">
        <v>1.0</v>
      </c>
      <c r="BM17" s="138"/>
      <c r="BN17" s="138"/>
      <c r="BO17" s="138"/>
      <c r="BP17" s="151">
        <v>1.0</v>
      </c>
      <c r="BQ17" s="151">
        <v>1.0</v>
      </c>
      <c r="BR17" s="150">
        <v>1.0</v>
      </c>
      <c r="BS17" s="187">
        <v>1.0</v>
      </c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6</v>
      </c>
      <c r="CG17" s="190">
        <f t="shared" si="20"/>
        <v>66.66666667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55.55555556</v>
      </c>
      <c r="CW17" s="169">
        <f t="shared" si="8"/>
        <v>15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9</v>
      </c>
      <c r="E18" s="127">
        <f t="shared" si="10"/>
        <v>33.33333333</v>
      </c>
      <c r="F18" s="200">
        <f t="shared" si="11"/>
        <v>33.33333333</v>
      </c>
      <c r="G18" s="177" t="str">
        <f t="shared" si="12"/>
        <v>  </v>
      </c>
      <c r="H18" s="132"/>
      <c r="I18" s="132"/>
      <c r="J18" s="201"/>
      <c r="K18" s="201"/>
      <c r="L18" s="201"/>
      <c r="M18" s="245">
        <v>1.0</v>
      </c>
      <c r="N18" s="201"/>
      <c r="O18" s="201"/>
      <c r="P18" s="201"/>
      <c r="Q18" s="201"/>
      <c r="R18" s="135">
        <f t="shared" si="13"/>
        <v>1</v>
      </c>
      <c r="S18" s="137">
        <f t="shared" si="14"/>
        <v>50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1">
        <v>1.0</v>
      </c>
      <c r="AI18" s="225">
        <v>1.0</v>
      </c>
      <c r="AJ18" s="212"/>
      <c r="AK18" s="212"/>
      <c r="AL18" s="135">
        <f t="shared" si="15"/>
        <v>2</v>
      </c>
      <c r="AM18" s="183">
        <f t="shared" si="16"/>
        <v>25</v>
      </c>
      <c r="AN18" s="214"/>
      <c r="AO18" s="214"/>
      <c r="AP18" s="209"/>
      <c r="AQ18" s="138"/>
      <c r="AR18" s="138"/>
      <c r="AS18" s="225">
        <v>1.0</v>
      </c>
      <c r="AT18" s="133"/>
      <c r="AU18" s="133"/>
      <c r="AV18" s="133"/>
      <c r="AW18" s="133"/>
      <c r="AX18" s="133"/>
      <c r="AY18" s="133"/>
      <c r="AZ18" s="133"/>
      <c r="BA18" s="133"/>
      <c r="BB18" s="209"/>
      <c r="BC18" s="133"/>
      <c r="BD18" s="133"/>
      <c r="BE18" s="133"/>
      <c r="BF18" s="185">
        <v>1.0</v>
      </c>
      <c r="BG18" s="211">
        <v>1.0</v>
      </c>
      <c r="BH18" s="133"/>
      <c r="BI18" s="135">
        <f t="shared" si="17"/>
        <v>3</v>
      </c>
      <c r="BJ18" s="186">
        <f t="shared" si="18"/>
        <v>37.5</v>
      </c>
      <c r="BK18" s="138"/>
      <c r="BL18" s="132"/>
      <c r="BM18" s="151">
        <v>1.0</v>
      </c>
      <c r="BN18" s="138"/>
      <c r="BO18" s="138"/>
      <c r="BP18" s="138"/>
      <c r="BQ18" s="138"/>
      <c r="BR18" s="150">
        <v>1.0</v>
      </c>
      <c r="BS18" s="187">
        <v>1.0</v>
      </c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3</v>
      </c>
      <c r="CG18" s="190">
        <f t="shared" si="20"/>
        <v>33.33333333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33.33333333</v>
      </c>
      <c r="CW18" s="169">
        <f t="shared" si="8"/>
        <v>9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10</v>
      </c>
      <c r="E19" s="127">
        <f t="shared" si="10"/>
        <v>37.03703704</v>
      </c>
      <c r="F19" s="200">
        <f t="shared" si="11"/>
        <v>37.03703704</v>
      </c>
      <c r="G19" s="177" t="str">
        <f t="shared" si="12"/>
        <v>  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3"/>
        <v>0</v>
      </c>
      <c r="S19" s="137">
        <f t="shared" si="14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50">
        <v>1.0</v>
      </c>
      <c r="AD19" s="150">
        <v>1.0</v>
      </c>
      <c r="AE19" s="141"/>
      <c r="AF19" s="226"/>
      <c r="AG19" s="226"/>
      <c r="AH19" s="226"/>
      <c r="AI19" s="217"/>
      <c r="AJ19" s="218"/>
      <c r="AK19" s="218"/>
      <c r="AL19" s="135">
        <f t="shared" si="15"/>
        <v>2</v>
      </c>
      <c r="AM19" s="183">
        <f t="shared" si="16"/>
        <v>25</v>
      </c>
      <c r="AN19" s="228"/>
      <c r="AO19" s="228"/>
      <c r="AP19" s="217"/>
      <c r="AQ19" s="138"/>
      <c r="AR19" s="138"/>
      <c r="AS19" s="217"/>
      <c r="AT19" s="133"/>
      <c r="AU19" s="133"/>
      <c r="AV19" s="133"/>
      <c r="AW19" s="133"/>
      <c r="AX19" s="133"/>
      <c r="AY19" s="133"/>
      <c r="AZ19" s="185">
        <v>1.0</v>
      </c>
      <c r="BA19" s="185">
        <v>1.0</v>
      </c>
      <c r="BB19" s="235">
        <v>1.0</v>
      </c>
      <c r="BC19" s="133"/>
      <c r="BD19" s="133"/>
      <c r="BE19" s="185">
        <v>1.0</v>
      </c>
      <c r="BF19" s="185">
        <v>1.0</v>
      </c>
      <c r="BG19" s="226"/>
      <c r="BH19" s="133"/>
      <c r="BI19" s="135">
        <f t="shared" si="17"/>
        <v>5</v>
      </c>
      <c r="BJ19" s="186">
        <f t="shared" si="18"/>
        <v>62.5</v>
      </c>
      <c r="BK19" s="138"/>
      <c r="BL19" s="132"/>
      <c r="BM19" s="138"/>
      <c r="BN19" s="138"/>
      <c r="BO19" s="138"/>
      <c r="BP19" s="138"/>
      <c r="BQ19" s="138"/>
      <c r="BR19" s="140"/>
      <c r="BS19" s="187">
        <v>1.0</v>
      </c>
      <c r="BT19" s="152"/>
      <c r="BU19" s="187">
        <v>1.0</v>
      </c>
      <c r="BV19" s="187">
        <v>1.0</v>
      </c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3</v>
      </c>
      <c r="CG19" s="190">
        <f t="shared" si="20"/>
        <v>33.33333333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37.03703704</v>
      </c>
      <c r="CW19" s="169">
        <f t="shared" si="8"/>
        <v>10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8</v>
      </c>
      <c r="E20" s="127">
        <f t="shared" si="10"/>
        <v>29.62962963</v>
      </c>
      <c r="F20" s="200">
        <f t="shared" si="11"/>
        <v>29.62962963</v>
      </c>
      <c r="G20" s="207">
        <f t="shared" si="12"/>
        <v>29.62962963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135">
        <f t="shared" si="13"/>
        <v>0</v>
      </c>
      <c r="S20" s="137">
        <f t="shared" si="14"/>
        <v>0</v>
      </c>
      <c r="T20" s="138"/>
      <c r="U20" s="138"/>
      <c r="V20" s="138"/>
      <c r="W20" s="132"/>
      <c r="X20" s="132"/>
      <c r="Y20" s="138"/>
      <c r="Z20" s="138"/>
      <c r="AA20" s="138"/>
      <c r="AB20" s="225">
        <v>1.0</v>
      </c>
      <c r="AC20" s="150">
        <v>1.0</v>
      </c>
      <c r="AD20" s="140"/>
      <c r="AE20" s="141"/>
      <c r="AF20" s="210"/>
      <c r="AG20" s="210"/>
      <c r="AH20" s="210"/>
      <c r="AI20" s="225">
        <v>1.0</v>
      </c>
      <c r="AJ20" s="212"/>
      <c r="AK20" s="212"/>
      <c r="AL20" s="135">
        <f t="shared" si="15"/>
        <v>3</v>
      </c>
      <c r="AM20" s="183">
        <f t="shared" si="16"/>
        <v>37.5</v>
      </c>
      <c r="AN20" s="214"/>
      <c r="AO20" s="214"/>
      <c r="AP20" s="209"/>
      <c r="AQ20" s="138"/>
      <c r="AR20" s="138"/>
      <c r="AS20" s="225">
        <v>1.0</v>
      </c>
      <c r="AT20" s="133"/>
      <c r="AU20" s="133"/>
      <c r="AV20" s="133"/>
      <c r="AW20" s="133"/>
      <c r="AX20" s="133"/>
      <c r="AY20" s="133"/>
      <c r="AZ20" s="133"/>
      <c r="BA20" s="133"/>
      <c r="BB20" s="209"/>
      <c r="BC20" s="133"/>
      <c r="BD20" s="133"/>
      <c r="BE20" s="133"/>
      <c r="BF20" s="185">
        <v>1.0</v>
      </c>
      <c r="BG20" s="210"/>
      <c r="BH20" s="133"/>
      <c r="BI20" s="135">
        <f t="shared" si="17"/>
        <v>2</v>
      </c>
      <c r="BJ20" s="186">
        <f t="shared" si="18"/>
        <v>25</v>
      </c>
      <c r="BK20" s="138"/>
      <c r="BL20" s="132"/>
      <c r="BM20" s="138"/>
      <c r="BN20" s="138"/>
      <c r="BO20" s="138"/>
      <c r="BP20" s="151">
        <v>1.0</v>
      </c>
      <c r="BQ20" s="138"/>
      <c r="BR20" s="150">
        <v>1.0</v>
      </c>
      <c r="BS20" s="187">
        <v>1.0</v>
      </c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3</v>
      </c>
      <c r="CG20" s="190">
        <f t="shared" si="20"/>
        <v>33.33333333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29.62962963</v>
      </c>
      <c r="CW20" s="169">
        <f t="shared" si="8"/>
        <v>8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10</v>
      </c>
      <c r="E21" s="127">
        <f t="shared" si="10"/>
        <v>37.03703704</v>
      </c>
      <c r="F21" s="200">
        <f t="shared" si="11"/>
        <v>37.03703704</v>
      </c>
      <c r="G21" s="177" t="str">
        <f t="shared" si="12"/>
        <v>  </v>
      </c>
      <c r="H21" s="178"/>
      <c r="I21" s="132"/>
      <c r="J21" s="201"/>
      <c r="K21" s="201"/>
      <c r="L21" s="201"/>
      <c r="M21" s="245">
        <v>1.0</v>
      </c>
      <c r="N21" s="201"/>
      <c r="O21" s="201"/>
      <c r="P21" s="201"/>
      <c r="Q21" s="201"/>
      <c r="R21" s="135">
        <f t="shared" si="13"/>
        <v>1</v>
      </c>
      <c r="S21" s="137">
        <f t="shared" si="14"/>
        <v>50</v>
      </c>
      <c r="T21" s="138"/>
      <c r="U21" s="138"/>
      <c r="V21" s="138"/>
      <c r="W21" s="132"/>
      <c r="X21" s="132"/>
      <c r="Y21" s="138"/>
      <c r="Z21" s="138"/>
      <c r="AA21" s="138"/>
      <c r="AB21" s="225">
        <v>1.0</v>
      </c>
      <c r="AC21" s="140"/>
      <c r="AD21" s="140"/>
      <c r="AE21" s="141"/>
      <c r="AF21" s="210"/>
      <c r="AG21" s="210"/>
      <c r="AH21" s="210"/>
      <c r="AI21" s="209"/>
      <c r="AJ21" s="212"/>
      <c r="AK21" s="212"/>
      <c r="AL21" s="135">
        <f t="shared" si="15"/>
        <v>1</v>
      </c>
      <c r="AM21" s="183">
        <f t="shared" si="16"/>
        <v>12.5</v>
      </c>
      <c r="AN21" s="214"/>
      <c r="AO21" s="214"/>
      <c r="AP21" s="209"/>
      <c r="AQ21" s="138"/>
      <c r="AR21" s="138"/>
      <c r="AS21" s="225">
        <v>1.0</v>
      </c>
      <c r="AT21" s="133"/>
      <c r="AU21" s="133"/>
      <c r="AV21" s="133"/>
      <c r="AW21" s="133"/>
      <c r="AX21" s="133"/>
      <c r="AY21" s="133"/>
      <c r="AZ21" s="133"/>
      <c r="BA21" s="185">
        <v>1.0</v>
      </c>
      <c r="BB21" s="209"/>
      <c r="BC21" s="133"/>
      <c r="BD21" s="133"/>
      <c r="BE21" s="133"/>
      <c r="BF21" s="185">
        <v>1.0</v>
      </c>
      <c r="BG21" s="211">
        <v>1.0</v>
      </c>
      <c r="BH21" s="133"/>
      <c r="BI21" s="135">
        <f t="shared" si="17"/>
        <v>4</v>
      </c>
      <c r="BJ21" s="186">
        <f t="shared" si="18"/>
        <v>50</v>
      </c>
      <c r="BK21" s="138"/>
      <c r="BL21" s="132"/>
      <c r="BM21" s="151">
        <v>1.0</v>
      </c>
      <c r="BN21" s="138"/>
      <c r="BO21" s="138"/>
      <c r="BP21" s="138"/>
      <c r="BQ21" s="151">
        <v>1.0</v>
      </c>
      <c r="BR21" s="150">
        <v>1.0</v>
      </c>
      <c r="BS21" s="187">
        <v>1.0</v>
      </c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4</v>
      </c>
      <c r="CG21" s="190">
        <f t="shared" si="20"/>
        <v>44.44444444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37.03703704</v>
      </c>
      <c r="CW21" s="169">
        <f t="shared" si="8"/>
        <v>10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10</v>
      </c>
      <c r="E22" s="127">
        <f t="shared" si="10"/>
        <v>37.03703704</v>
      </c>
      <c r="F22" s="200">
        <f t="shared" si="11"/>
        <v>37.03703704</v>
      </c>
      <c r="G22" s="177" t="str">
        <f t="shared" si="12"/>
        <v>  </v>
      </c>
      <c r="H22" s="132"/>
      <c r="I22" s="178"/>
      <c r="J22" s="179"/>
      <c r="K22" s="179"/>
      <c r="L22" s="179"/>
      <c r="M22" s="179"/>
      <c r="N22" s="179"/>
      <c r="O22" s="179"/>
      <c r="P22" s="179"/>
      <c r="Q22" s="179"/>
      <c r="R22" s="135">
        <f t="shared" si="13"/>
        <v>0</v>
      </c>
      <c r="S22" s="137">
        <f t="shared" si="14"/>
        <v>0</v>
      </c>
      <c r="T22" s="138"/>
      <c r="U22" s="138"/>
      <c r="V22" s="138"/>
      <c r="W22" s="132"/>
      <c r="X22" s="132"/>
      <c r="Y22" s="151">
        <v>1.0</v>
      </c>
      <c r="Z22" s="138"/>
      <c r="AA22" s="138"/>
      <c r="AB22" s="225">
        <v>1.0</v>
      </c>
      <c r="AC22" s="140"/>
      <c r="AD22" s="140"/>
      <c r="AE22" s="141"/>
      <c r="AF22" s="210"/>
      <c r="AG22" s="210"/>
      <c r="AH22" s="210"/>
      <c r="AI22" s="225">
        <v>1.0</v>
      </c>
      <c r="AJ22" s="212"/>
      <c r="AK22" s="212"/>
      <c r="AL22" s="135">
        <f t="shared" si="15"/>
        <v>3</v>
      </c>
      <c r="AM22" s="183">
        <f t="shared" si="16"/>
        <v>37.5</v>
      </c>
      <c r="AN22" s="214"/>
      <c r="AO22" s="214"/>
      <c r="AP22" s="209"/>
      <c r="AQ22" s="138"/>
      <c r="AR22" s="138"/>
      <c r="AS22" s="225">
        <v>1.0</v>
      </c>
      <c r="AT22" s="133"/>
      <c r="AU22" s="133"/>
      <c r="AV22" s="133"/>
      <c r="AW22" s="133"/>
      <c r="AX22" s="133"/>
      <c r="AY22" s="133"/>
      <c r="AZ22" s="133"/>
      <c r="BA22" s="133"/>
      <c r="BB22" s="209"/>
      <c r="BC22" s="133"/>
      <c r="BD22" s="133"/>
      <c r="BE22" s="185">
        <v>1.0</v>
      </c>
      <c r="BF22" s="185">
        <v>1.0</v>
      </c>
      <c r="BG22" s="211">
        <v>1.0</v>
      </c>
      <c r="BH22" s="133"/>
      <c r="BI22" s="135">
        <f t="shared" si="17"/>
        <v>4</v>
      </c>
      <c r="BJ22" s="186">
        <f t="shared" si="18"/>
        <v>50</v>
      </c>
      <c r="BK22" s="138"/>
      <c r="BL22" s="132"/>
      <c r="BM22" s="138"/>
      <c r="BN22" s="138"/>
      <c r="BO22" s="138"/>
      <c r="BP22" s="151">
        <v>1.0</v>
      </c>
      <c r="BQ22" s="151">
        <v>1.0</v>
      </c>
      <c r="BR22" s="150">
        <v>1.0</v>
      </c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3</v>
      </c>
      <c r="CG22" s="190">
        <f t="shared" si="20"/>
        <v>33.33333333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37.03703704</v>
      </c>
      <c r="CW22" s="169">
        <f t="shared" si="8"/>
        <v>10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5</v>
      </c>
      <c r="E23" s="127">
        <f t="shared" si="10"/>
        <v>18.51851852</v>
      </c>
      <c r="F23" s="200">
        <f t="shared" si="11"/>
        <v>18.51851852</v>
      </c>
      <c r="G23" s="207">
        <f t="shared" si="12"/>
        <v>18.51851852</v>
      </c>
      <c r="H23" s="132"/>
      <c r="I23" s="132"/>
      <c r="J23" s="201"/>
      <c r="K23" s="201"/>
      <c r="L23" s="201"/>
      <c r="M23" s="201"/>
      <c r="N23" s="201"/>
      <c r="O23" s="201"/>
      <c r="P23" s="201"/>
      <c r="Q23" s="201"/>
      <c r="R23" s="135">
        <f t="shared" si="13"/>
        <v>0</v>
      </c>
      <c r="S23" s="137">
        <f t="shared" si="14"/>
        <v>0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25">
        <v>1.0</v>
      </c>
      <c r="AJ23" s="212"/>
      <c r="AK23" s="212"/>
      <c r="AL23" s="135">
        <f t="shared" si="15"/>
        <v>1</v>
      </c>
      <c r="AM23" s="183">
        <f t="shared" si="16"/>
        <v>12.5</v>
      </c>
      <c r="AN23" s="214"/>
      <c r="AO23" s="214"/>
      <c r="AP23" s="209"/>
      <c r="AQ23" s="138"/>
      <c r="AR23" s="138"/>
      <c r="AS23" s="225">
        <v>1.0</v>
      </c>
      <c r="AT23" s="133"/>
      <c r="AU23" s="133"/>
      <c r="AV23" s="133"/>
      <c r="AW23" s="133"/>
      <c r="AX23" s="133"/>
      <c r="AY23" s="133"/>
      <c r="AZ23" s="133"/>
      <c r="BA23" s="133"/>
      <c r="BB23" s="209"/>
      <c r="BC23" s="133"/>
      <c r="BD23" s="133"/>
      <c r="BE23" s="133"/>
      <c r="BF23" s="133"/>
      <c r="BG23" s="210"/>
      <c r="BH23" s="133"/>
      <c r="BI23" s="135">
        <f t="shared" si="17"/>
        <v>1</v>
      </c>
      <c r="BJ23" s="186">
        <f t="shared" si="18"/>
        <v>12.5</v>
      </c>
      <c r="BK23" s="138"/>
      <c r="BL23" s="132"/>
      <c r="BM23" s="138"/>
      <c r="BN23" s="138"/>
      <c r="BO23" s="138"/>
      <c r="BP23" s="151">
        <v>1.0</v>
      </c>
      <c r="BQ23" s="151">
        <v>1.0</v>
      </c>
      <c r="BR23" s="150">
        <v>1.0</v>
      </c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3</v>
      </c>
      <c r="CG23" s="190">
        <f t="shared" si="20"/>
        <v>33.33333333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18.51851852</v>
      </c>
      <c r="CW23" s="169">
        <f t="shared" si="8"/>
        <v>5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6</v>
      </c>
      <c r="E24" s="127">
        <f t="shared" si="10"/>
        <v>22.22222222</v>
      </c>
      <c r="F24" s="200">
        <f t="shared" si="11"/>
        <v>22.22222222</v>
      </c>
      <c r="G24" s="207">
        <f t="shared" si="12"/>
        <v>22.22222222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3"/>
        <v>0</v>
      </c>
      <c r="S24" s="137">
        <f t="shared" si="14"/>
        <v>0</v>
      </c>
      <c r="T24" s="138"/>
      <c r="U24" s="138"/>
      <c r="V24" s="138"/>
      <c r="W24" s="132"/>
      <c r="X24" s="132"/>
      <c r="Y24" s="151">
        <v>1.0</v>
      </c>
      <c r="Z24" s="138"/>
      <c r="AA24" s="138"/>
      <c r="AB24" s="225">
        <v>1.0</v>
      </c>
      <c r="AC24" s="150">
        <v>1.0</v>
      </c>
      <c r="AD24" s="140"/>
      <c r="AE24" s="141"/>
      <c r="AF24" s="210"/>
      <c r="AG24" s="210"/>
      <c r="AH24" s="210"/>
      <c r="AI24" s="209"/>
      <c r="AJ24" s="212"/>
      <c r="AK24" s="212"/>
      <c r="AL24" s="135">
        <f t="shared" si="15"/>
        <v>3</v>
      </c>
      <c r="AM24" s="183">
        <f t="shared" si="16"/>
        <v>37.5</v>
      </c>
      <c r="AN24" s="214"/>
      <c r="AO24" s="214"/>
      <c r="AP24" s="209"/>
      <c r="AQ24" s="138"/>
      <c r="AR24" s="138"/>
      <c r="AS24" s="209"/>
      <c r="AT24" s="133"/>
      <c r="AU24" s="133"/>
      <c r="AV24" s="133"/>
      <c r="AW24" s="133"/>
      <c r="AX24" s="133"/>
      <c r="AY24" s="133"/>
      <c r="AZ24" s="133"/>
      <c r="BA24" s="133"/>
      <c r="BB24" s="209"/>
      <c r="BC24" s="133"/>
      <c r="BD24" s="133"/>
      <c r="BE24" s="133"/>
      <c r="BF24" s="185">
        <v>1.0</v>
      </c>
      <c r="BG24" s="210"/>
      <c r="BH24" s="133"/>
      <c r="BI24" s="135">
        <f t="shared" si="17"/>
        <v>1</v>
      </c>
      <c r="BJ24" s="186">
        <f t="shared" si="18"/>
        <v>12.5</v>
      </c>
      <c r="BK24" s="138"/>
      <c r="BL24" s="132"/>
      <c r="BM24" s="138"/>
      <c r="BN24" s="138"/>
      <c r="BO24" s="138"/>
      <c r="BP24" s="138"/>
      <c r="BQ24" s="138"/>
      <c r="BR24" s="150">
        <v>1.0</v>
      </c>
      <c r="BS24" s="187">
        <v>1.0</v>
      </c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2</v>
      </c>
      <c r="CG24" s="190">
        <f t="shared" si="20"/>
        <v>22.22222222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22.22222222</v>
      </c>
      <c r="CW24" s="169">
        <f t="shared" si="8"/>
        <v>6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7</v>
      </c>
      <c r="E25" s="127">
        <f t="shared" si="10"/>
        <v>25.92592593</v>
      </c>
      <c r="F25" s="200">
        <f t="shared" si="11"/>
        <v>25.92592593</v>
      </c>
      <c r="G25" s="207">
        <f t="shared" si="12"/>
        <v>25.92592593</v>
      </c>
      <c r="H25" s="132"/>
      <c r="I25" s="178"/>
      <c r="J25" s="179"/>
      <c r="K25" s="179"/>
      <c r="L25" s="179"/>
      <c r="M25" s="191">
        <v>1.0</v>
      </c>
      <c r="N25" s="179"/>
      <c r="O25" s="179"/>
      <c r="P25" s="179"/>
      <c r="Q25" s="179"/>
      <c r="R25" s="135">
        <f t="shared" si="13"/>
        <v>1</v>
      </c>
      <c r="S25" s="137">
        <f t="shared" si="14"/>
        <v>50</v>
      </c>
      <c r="T25" s="138"/>
      <c r="U25" s="138"/>
      <c r="V25" s="138"/>
      <c r="W25" s="132"/>
      <c r="X25" s="132"/>
      <c r="Y25" s="151">
        <v>1.0</v>
      </c>
      <c r="Z25" s="138"/>
      <c r="AA25" s="138"/>
      <c r="AB25" s="254">
        <v>1.0</v>
      </c>
      <c r="AC25" s="140"/>
      <c r="AD25" s="150">
        <v>1.0</v>
      </c>
      <c r="AE25" s="141"/>
      <c r="AF25" s="248"/>
      <c r="AG25" s="248"/>
      <c r="AH25" s="248"/>
      <c r="AI25" s="247"/>
      <c r="AJ25" s="249"/>
      <c r="AK25" s="249"/>
      <c r="AL25" s="135">
        <f t="shared" si="15"/>
        <v>3</v>
      </c>
      <c r="AM25" s="183">
        <f t="shared" si="16"/>
        <v>37.5</v>
      </c>
      <c r="AN25" s="251"/>
      <c r="AO25" s="251"/>
      <c r="AP25" s="247"/>
      <c r="AQ25" s="138"/>
      <c r="AR25" s="138"/>
      <c r="AS25" s="247"/>
      <c r="AT25" s="133"/>
      <c r="AU25" s="133"/>
      <c r="AV25" s="133"/>
      <c r="AW25" s="133"/>
      <c r="AX25" s="133"/>
      <c r="AY25" s="133"/>
      <c r="AZ25" s="133"/>
      <c r="BA25" s="133"/>
      <c r="BB25" s="247"/>
      <c r="BC25" s="133"/>
      <c r="BD25" s="133"/>
      <c r="BE25" s="133"/>
      <c r="BF25" s="133"/>
      <c r="BG25" s="248"/>
      <c r="BH25" s="133"/>
      <c r="BI25" s="135">
        <f t="shared" si="17"/>
        <v>0</v>
      </c>
      <c r="BJ25" s="186">
        <f t="shared" si="18"/>
        <v>0</v>
      </c>
      <c r="BK25" s="151">
        <v>1.0</v>
      </c>
      <c r="BL25" s="132"/>
      <c r="BM25" s="138"/>
      <c r="BN25" s="138"/>
      <c r="BO25" s="138"/>
      <c r="BP25" s="138"/>
      <c r="BQ25" s="138"/>
      <c r="BR25" s="140"/>
      <c r="BS25" s="187">
        <v>1.0</v>
      </c>
      <c r="BT25" s="152"/>
      <c r="BU25" s="187">
        <v>1.0</v>
      </c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3</v>
      </c>
      <c r="CG25" s="190">
        <f t="shared" si="20"/>
        <v>33.33333333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25.92592593</v>
      </c>
      <c r="CW25" s="169">
        <f t="shared" si="8"/>
        <v>7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3</v>
      </c>
      <c r="E26" s="127">
        <f t="shared" si="10"/>
        <v>11.11111111</v>
      </c>
      <c r="F26" s="200">
        <f t="shared" si="11"/>
        <v>11.11111111</v>
      </c>
      <c r="G26" s="207">
        <f t="shared" si="12"/>
        <v>11.11111111</v>
      </c>
      <c r="H26" s="132"/>
      <c r="I26" s="132"/>
      <c r="J26" s="201"/>
      <c r="K26" s="201"/>
      <c r="L26" s="201"/>
      <c r="M26" s="245">
        <v>1.0</v>
      </c>
      <c r="N26" s="201"/>
      <c r="O26" s="201"/>
      <c r="P26" s="201"/>
      <c r="Q26" s="201"/>
      <c r="R26" s="135">
        <f t="shared" si="13"/>
        <v>1</v>
      </c>
      <c r="S26" s="137">
        <f t="shared" si="14"/>
        <v>50</v>
      </c>
      <c r="T26" s="138"/>
      <c r="U26" s="138"/>
      <c r="V26" s="138"/>
      <c r="W26" s="132"/>
      <c r="X26" s="132"/>
      <c r="Y26" s="138"/>
      <c r="Z26" s="138"/>
      <c r="AA26" s="151">
        <v>1.0</v>
      </c>
      <c r="AB26" s="209"/>
      <c r="AC26" s="140"/>
      <c r="AD26" s="140"/>
      <c r="AE26" s="141"/>
      <c r="AF26" s="210"/>
      <c r="AG26" s="210"/>
      <c r="AH26" s="210"/>
      <c r="AI26" s="209"/>
      <c r="AJ26" s="212"/>
      <c r="AK26" s="212"/>
      <c r="AL26" s="135">
        <f t="shared" si="15"/>
        <v>1</v>
      </c>
      <c r="AM26" s="183">
        <f t="shared" si="16"/>
        <v>12.5</v>
      </c>
      <c r="AN26" s="214"/>
      <c r="AO26" s="214"/>
      <c r="AP26" s="209"/>
      <c r="AQ26" s="138"/>
      <c r="AR26" s="138"/>
      <c r="AS26" s="209"/>
      <c r="AT26" s="133"/>
      <c r="AU26" s="133"/>
      <c r="AV26" s="133"/>
      <c r="AW26" s="133"/>
      <c r="AX26" s="133"/>
      <c r="AY26" s="133"/>
      <c r="AZ26" s="133"/>
      <c r="BA26" s="133"/>
      <c r="BB26" s="209"/>
      <c r="BC26" s="133"/>
      <c r="BD26" s="133"/>
      <c r="BE26" s="133"/>
      <c r="BF26" s="133"/>
      <c r="BG26" s="210"/>
      <c r="BH26" s="133"/>
      <c r="BI26" s="135">
        <f t="shared" si="17"/>
        <v>0</v>
      </c>
      <c r="BJ26" s="186">
        <f t="shared" si="18"/>
        <v>0</v>
      </c>
      <c r="BK26" s="138"/>
      <c r="BL26" s="132"/>
      <c r="BM26" s="138"/>
      <c r="BN26" s="138"/>
      <c r="BO26" s="138"/>
      <c r="BP26" s="138"/>
      <c r="BQ26" s="138"/>
      <c r="BR26" s="140"/>
      <c r="BS26" s="187">
        <v>1.0</v>
      </c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1</v>
      </c>
      <c r="CG26" s="190">
        <f t="shared" si="20"/>
        <v>11.11111111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11.11111111</v>
      </c>
      <c r="CW26" s="169">
        <f t="shared" si="8"/>
        <v>3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6</v>
      </c>
      <c r="E27" s="127">
        <f t="shared" si="10"/>
        <v>22.22222222</v>
      </c>
      <c r="F27" s="200">
        <f t="shared" si="11"/>
        <v>22.22222222</v>
      </c>
      <c r="G27" s="207">
        <f t="shared" si="12"/>
        <v>22.22222222</v>
      </c>
      <c r="H27" s="132"/>
      <c r="I27" s="132"/>
      <c r="J27" s="201"/>
      <c r="K27" s="201"/>
      <c r="L27" s="201"/>
      <c r="M27" s="245">
        <v>1.0</v>
      </c>
      <c r="N27" s="201"/>
      <c r="O27" s="201"/>
      <c r="P27" s="201"/>
      <c r="Q27" s="201"/>
      <c r="R27" s="135">
        <f t="shared" si="13"/>
        <v>1</v>
      </c>
      <c r="S27" s="137">
        <f t="shared" si="14"/>
        <v>50</v>
      </c>
      <c r="T27" s="138"/>
      <c r="U27" s="138"/>
      <c r="V27" s="138"/>
      <c r="W27" s="132"/>
      <c r="X27" s="132"/>
      <c r="Y27" s="151">
        <v>1.0</v>
      </c>
      <c r="Z27" s="138"/>
      <c r="AA27" s="138"/>
      <c r="AB27" s="209"/>
      <c r="AC27" s="140"/>
      <c r="AD27" s="140"/>
      <c r="AE27" s="141"/>
      <c r="AF27" s="210"/>
      <c r="AG27" s="210"/>
      <c r="AH27" s="211">
        <v>1.0</v>
      </c>
      <c r="AI27" s="225">
        <v>1.0</v>
      </c>
      <c r="AJ27" s="212"/>
      <c r="AK27" s="212"/>
      <c r="AL27" s="135">
        <f t="shared" si="15"/>
        <v>3</v>
      </c>
      <c r="AM27" s="183">
        <f t="shared" si="16"/>
        <v>37.5</v>
      </c>
      <c r="AN27" s="214"/>
      <c r="AO27" s="214"/>
      <c r="AP27" s="209"/>
      <c r="AQ27" s="138"/>
      <c r="AR27" s="138"/>
      <c r="AS27" s="225">
        <v>1.0</v>
      </c>
      <c r="AT27" s="133"/>
      <c r="AU27" s="133"/>
      <c r="AV27" s="133"/>
      <c r="AW27" s="133"/>
      <c r="AX27" s="133"/>
      <c r="AY27" s="133"/>
      <c r="AZ27" s="133"/>
      <c r="BA27" s="133"/>
      <c r="BB27" s="209"/>
      <c r="BC27" s="133"/>
      <c r="BD27" s="133"/>
      <c r="BE27" s="133"/>
      <c r="BF27" s="185">
        <v>1.0</v>
      </c>
      <c r="BG27" s="210"/>
      <c r="BH27" s="133"/>
      <c r="BI27" s="135">
        <f t="shared" si="17"/>
        <v>2</v>
      </c>
      <c r="BJ27" s="186">
        <f t="shared" si="18"/>
        <v>25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0</v>
      </c>
      <c r="CG27" s="190">
        <f t="shared" si="20"/>
        <v>0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22.22222222</v>
      </c>
      <c r="CW27" s="169">
        <f t="shared" si="8"/>
        <v>6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5</v>
      </c>
      <c r="E28" s="127">
        <f t="shared" si="10"/>
        <v>18.51851852</v>
      </c>
      <c r="F28" s="200">
        <f t="shared" si="11"/>
        <v>18.51851852</v>
      </c>
      <c r="G28" s="207">
        <f t="shared" si="12"/>
        <v>18.51851852</v>
      </c>
      <c r="H28" s="132"/>
      <c r="I28" s="132"/>
      <c r="J28" s="201"/>
      <c r="K28" s="201"/>
      <c r="L28" s="201"/>
      <c r="M28" s="245">
        <v>1.0</v>
      </c>
      <c r="N28" s="201"/>
      <c r="O28" s="201"/>
      <c r="P28" s="201"/>
      <c r="Q28" s="201"/>
      <c r="R28" s="135">
        <f t="shared" si="13"/>
        <v>1</v>
      </c>
      <c r="S28" s="137">
        <f t="shared" si="14"/>
        <v>50</v>
      </c>
      <c r="T28" s="138"/>
      <c r="U28" s="138"/>
      <c r="V28" s="138"/>
      <c r="W28" s="132"/>
      <c r="X28" s="132"/>
      <c r="Y28" s="151">
        <v>1.0</v>
      </c>
      <c r="Z28" s="138"/>
      <c r="AA28" s="138"/>
      <c r="AB28" s="209"/>
      <c r="AC28" s="150">
        <v>1.0</v>
      </c>
      <c r="AD28" s="140"/>
      <c r="AE28" s="141"/>
      <c r="AF28" s="210"/>
      <c r="AG28" s="210"/>
      <c r="AH28" s="210"/>
      <c r="AI28" s="209"/>
      <c r="AJ28" s="212"/>
      <c r="AK28" s="212"/>
      <c r="AL28" s="135">
        <f t="shared" si="15"/>
        <v>2</v>
      </c>
      <c r="AM28" s="183">
        <f t="shared" si="16"/>
        <v>25</v>
      </c>
      <c r="AN28" s="214"/>
      <c r="AO28" s="214"/>
      <c r="AP28" s="209"/>
      <c r="AQ28" s="138"/>
      <c r="AR28" s="138"/>
      <c r="AS28" s="209"/>
      <c r="AT28" s="133"/>
      <c r="AU28" s="133"/>
      <c r="AV28" s="133"/>
      <c r="AW28" s="133"/>
      <c r="AX28" s="133"/>
      <c r="AY28" s="133"/>
      <c r="AZ28" s="133"/>
      <c r="BA28" s="133"/>
      <c r="BB28" s="209"/>
      <c r="BC28" s="133"/>
      <c r="BD28" s="133"/>
      <c r="BE28" s="133"/>
      <c r="BF28" s="133"/>
      <c r="BG28" s="210"/>
      <c r="BH28" s="133"/>
      <c r="BI28" s="135">
        <f t="shared" si="17"/>
        <v>0</v>
      </c>
      <c r="BJ28" s="186">
        <f t="shared" si="18"/>
        <v>0</v>
      </c>
      <c r="BK28" s="138"/>
      <c r="BL28" s="132"/>
      <c r="BM28" s="138"/>
      <c r="BN28" s="138"/>
      <c r="BO28" s="138"/>
      <c r="BP28" s="138"/>
      <c r="BQ28" s="138"/>
      <c r="BR28" s="150">
        <v>1.0</v>
      </c>
      <c r="BS28" s="187">
        <v>1.0</v>
      </c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2</v>
      </c>
      <c r="CG28" s="190">
        <f t="shared" si="20"/>
        <v>22.22222222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18.51851852</v>
      </c>
      <c r="CW28" s="169">
        <f t="shared" si="8"/>
        <v>5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23</v>
      </c>
      <c r="E29" s="127">
        <f t="shared" si="10"/>
        <v>85.18518519</v>
      </c>
      <c r="F29" s="175" t="str">
        <f t="shared" si="11"/>
        <v>  </v>
      </c>
      <c r="G29" s="177" t="str">
        <f t="shared" si="12"/>
        <v>  </v>
      </c>
      <c r="H29" s="132"/>
      <c r="I29" s="132"/>
      <c r="J29" s="201"/>
      <c r="K29" s="245">
        <v>1.0</v>
      </c>
      <c r="L29" s="201"/>
      <c r="M29" s="245">
        <v>1.0</v>
      </c>
      <c r="N29" s="201"/>
      <c r="O29" s="201"/>
      <c r="P29" s="201"/>
      <c r="Q29" s="201"/>
      <c r="R29" s="135">
        <f t="shared" si="13"/>
        <v>2</v>
      </c>
      <c r="S29" s="137">
        <f t="shared" si="14"/>
        <v>100</v>
      </c>
      <c r="T29" s="138"/>
      <c r="U29" s="138"/>
      <c r="V29" s="138"/>
      <c r="W29" s="132"/>
      <c r="X29" s="132"/>
      <c r="Y29" s="151">
        <v>1.0</v>
      </c>
      <c r="Z29" s="138"/>
      <c r="AA29" s="151">
        <v>1.0</v>
      </c>
      <c r="AB29" s="225">
        <v>1.0</v>
      </c>
      <c r="AC29" s="150">
        <v>1.0</v>
      </c>
      <c r="AD29" s="150">
        <v>1.0</v>
      </c>
      <c r="AE29" s="141"/>
      <c r="AF29" s="210"/>
      <c r="AG29" s="210"/>
      <c r="AH29" s="211">
        <v>1.0</v>
      </c>
      <c r="AI29" s="225">
        <v>1.0</v>
      </c>
      <c r="AJ29" s="212"/>
      <c r="AK29" s="212"/>
      <c r="AL29" s="135">
        <f t="shared" si="15"/>
        <v>7</v>
      </c>
      <c r="AM29" s="183">
        <f t="shared" si="16"/>
        <v>87.5</v>
      </c>
      <c r="AN29" s="214"/>
      <c r="AO29" s="214"/>
      <c r="AP29" s="209"/>
      <c r="AQ29" s="138"/>
      <c r="AR29" s="138"/>
      <c r="AS29" s="225">
        <v>1.0</v>
      </c>
      <c r="AT29" s="133"/>
      <c r="AU29" s="133"/>
      <c r="AV29" s="133"/>
      <c r="AW29" s="133"/>
      <c r="AX29" s="133"/>
      <c r="AY29" s="133"/>
      <c r="AZ29" s="185">
        <v>1.0</v>
      </c>
      <c r="BA29" s="185">
        <v>1.0</v>
      </c>
      <c r="BB29" s="225">
        <v>1.0</v>
      </c>
      <c r="BC29" s="133"/>
      <c r="BD29" s="133"/>
      <c r="BE29" s="185">
        <v>1.0</v>
      </c>
      <c r="BF29" s="185">
        <v>1.0</v>
      </c>
      <c r="BG29" s="211">
        <v>1.0</v>
      </c>
      <c r="BH29" s="133"/>
      <c r="BI29" s="135">
        <f t="shared" si="17"/>
        <v>7</v>
      </c>
      <c r="BJ29" s="186">
        <f t="shared" si="18"/>
        <v>87.5</v>
      </c>
      <c r="BK29" s="138"/>
      <c r="BL29" s="170">
        <v>1.0</v>
      </c>
      <c r="BM29" s="151">
        <v>1.0</v>
      </c>
      <c r="BN29" s="138"/>
      <c r="BO29" s="138"/>
      <c r="BP29" s="138"/>
      <c r="BQ29" s="151">
        <v>1.0</v>
      </c>
      <c r="BR29" s="150">
        <v>1.0</v>
      </c>
      <c r="BS29" s="187">
        <v>1.0</v>
      </c>
      <c r="BT29" s="152"/>
      <c r="BU29" s="187">
        <v>1.0</v>
      </c>
      <c r="BV29" s="187">
        <v>1.0</v>
      </c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7</v>
      </c>
      <c r="CG29" s="190">
        <f t="shared" si="20"/>
        <v>77.77777778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85.18518519</v>
      </c>
      <c r="CW29" s="169">
        <f t="shared" si="8"/>
        <v>23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6</v>
      </c>
      <c r="E30" s="127">
        <f t="shared" si="10"/>
        <v>22.22222222</v>
      </c>
      <c r="F30" s="200">
        <f t="shared" si="11"/>
        <v>22.22222222</v>
      </c>
      <c r="G30" s="207">
        <f t="shared" si="12"/>
        <v>22.22222222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135">
        <f t="shared" si="13"/>
        <v>0</v>
      </c>
      <c r="S30" s="137">
        <f t="shared" si="14"/>
        <v>0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09"/>
      <c r="AJ30" s="212"/>
      <c r="AK30" s="212"/>
      <c r="AL30" s="135">
        <f t="shared" si="15"/>
        <v>0</v>
      </c>
      <c r="AM30" s="183">
        <f t="shared" si="16"/>
        <v>0</v>
      </c>
      <c r="AN30" s="214"/>
      <c r="AO30" s="214"/>
      <c r="AP30" s="209"/>
      <c r="AQ30" s="138"/>
      <c r="AR30" s="138"/>
      <c r="AS30" s="225">
        <v>1.0</v>
      </c>
      <c r="AT30" s="133"/>
      <c r="AU30" s="133"/>
      <c r="AV30" s="133"/>
      <c r="AW30" s="133"/>
      <c r="AX30" s="133"/>
      <c r="AY30" s="133"/>
      <c r="AZ30" s="133"/>
      <c r="BA30" s="133"/>
      <c r="BB30" s="209"/>
      <c r="BC30" s="133"/>
      <c r="BD30" s="133"/>
      <c r="BE30" s="133"/>
      <c r="BF30" s="185">
        <v>1.0</v>
      </c>
      <c r="BG30" s="211">
        <v>1.0</v>
      </c>
      <c r="BH30" s="133"/>
      <c r="BI30" s="135">
        <f t="shared" si="17"/>
        <v>3</v>
      </c>
      <c r="BJ30" s="186">
        <f t="shared" si="18"/>
        <v>37.5</v>
      </c>
      <c r="BK30" s="138"/>
      <c r="BL30" s="132"/>
      <c r="BM30" s="138"/>
      <c r="BN30" s="138"/>
      <c r="BO30" s="138"/>
      <c r="BP30" s="151">
        <v>1.0</v>
      </c>
      <c r="BQ30" s="138"/>
      <c r="BR30" s="150">
        <v>1.0</v>
      </c>
      <c r="BS30" s="187">
        <v>1.0</v>
      </c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3</v>
      </c>
      <c r="CG30" s="190">
        <f t="shared" si="20"/>
        <v>33.33333333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22.22222222</v>
      </c>
      <c r="CW30" s="169">
        <f t="shared" si="8"/>
        <v>6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12</v>
      </c>
      <c r="E31" s="127">
        <f t="shared" si="10"/>
        <v>44.44444444</v>
      </c>
      <c r="F31" s="200">
        <f t="shared" si="11"/>
        <v>44.44444444</v>
      </c>
      <c r="G31" s="177" t="str">
        <f t="shared" si="12"/>
        <v>  </v>
      </c>
      <c r="H31" s="132"/>
      <c r="I31" s="178"/>
      <c r="J31" s="179"/>
      <c r="K31" s="179"/>
      <c r="L31" s="179"/>
      <c r="M31" s="191">
        <v>1.0</v>
      </c>
      <c r="N31" s="179"/>
      <c r="O31" s="179"/>
      <c r="P31" s="179"/>
      <c r="Q31" s="179"/>
      <c r="R31" s="135">
        <f t="shared" si="13"/>
        <v>1</v>
      </c>
      <c r="S31" s="137">
        <f t="shared" si="14"/>
        <v>50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50">
        <v>1.0</v>
      </c>
      <c r="AD31" s="140"/>
      <c r="AE31" s="141"/>
      <c r="AF31" s="210"/>
      <c r="AG31" s="210"/>
      <c r="AH31" s="211">
        <v>1.0</v>
      </c>
      <c r="AI31" s="225">
        <v>1.0</v>
      </c>
      <c r="AJ31" s="212"/>
      <c r="AK31" s="212"/>
      <c r="AL31" s="135">
        <f t="shared" si="15"/>
        <v>3</v>
      </c>
      <c r="AM31" s="183">
        <f t="shared" si="16"/>
        <v>37.5</v>
      </c>
      <c r="AN31" s="214"/>
      <c r="AO31" s="214"/>
      <c r="AP31" s="209"/>
      <c r="AQ31" s="138"/>
      <c r="AR31" s="138"/>
      <c r="AS31" s="225">
        <v>1.0</v>
      </c>
      <c r="AT31" s="133"/>
      <c r="AU31" s="133"/>
      <c r="AV31" s="133"/>
      <c r="AW31" s="133"/>
      <c r="AX31" s="133"/>
      <c r="AY31" s="133"/>
      <c r="AZ31" s="133"/>
      <c r="BA31" s="185">
        <v>1.0</v>
      </c>
      <c r="BB31" s="209"/>
      <c r="BC31" s="133"/>
      <c r="BD31" s="133"/>
      <c r="BE31" s="133"/>
      <c r="BF31" s="185">
        <v>1.0</v>
      </c>
      <c r="BG31" s="211">
        <v>1.0</v>
      </c>
      <c r="BH31" s="133"/>
      <c r="BI31" s="135">
        <f t="shared" si="17"/>
        <v>4</v>
      </c>
      <c r="BJ31" s="186">
        <f t="shared" si="18"/>
        <v>50</v>
      </c>
      <c r="BK31" s="138"/>
      <c r="BL31" s="132"/>
      <c r="BM31" s="151">
        <v>1.0</v>
      </c>
      <c r="BN31" s="138"/>
      <c r="BO31" s="138"/>
      <c r="BP31" s="138"/>
      <c r="BQ31" s="151">
        <v>1.0</v>
      </c>
      <c r="BR31" s="150">
        <v>1.0</v>
      </c>
      <c r="BS31" s="187">
        <v>1.0</v>
      </c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4</v>
      </c>
      <c r="CG31" s="190">
        <f t="shared" si="20"/>
        <v>44.44444444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44.44444444</v>
      </c>
      <c r="CW31" s="169">
        <f t="shared" si="8"/>
        <v>12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14</v>
      </c>
      <c r="E32" s="127">
        <f t="shared" si="10"/>
        <v>51.85185185</v>
      </c>
      <c r="F32" s="175" t="str">
        <f t="shared" si="11"/>
        <v>  </v>
      </c>
      <c r="G32" s="177" t="str">
        <f t="shared" si="12"/>
        <v>  </v>
      </c>
      <c r="H32" s="132"/>
      <c r="I32" s="178"/>
      <c r="J32" s="179"/>
      <c r="K32" s="191">
        <v>1.0</v>
      </c>
      <c r="L32" s="179"/>
      <c r="M32" s="179"/>
      <c r="N32" s="179"/>
      <c r="O32" s="179"/>
      <c r="P32" s="179"/>
      <c r="Q32" s="179"/>
      <c r="R32" s="135">
        <f t="shared" si="13"/>
        <v>1</v>
      </c>
      <c r="S32" s="137">
        <f t="shared" si="14"/>
        <v>50</v>
      </c>
      <c r="T32" s="138"/>
      <c r="U32" s="138"/>
      <c r="V32" s="138"/>
      <c r="W32" s="132"/>
      <c r="X32" s="132"/>
      <c r="Y32" s="138"/>
      <c r="Z32" s="138"/>
      <c r="AA32" s="138"/>
      <c r="AB32" s="244">
        <v>1.0</v>
      </c>
      <c r="AC32" s="150">
        <v>1.0</v>
      </c>
      <c r="AD32" s="150">
        <v>1.0</v>
      </c>
      <c r="AE32" s="141"/>
      <c r="AF32" s="234"/>
      <c r="AG32" s="234"/>
      <c r="AH32" s="236">
        <v>1.0</v>
      </c>
      <c r="AI32" s="233"/>
      <c r="AJ32" s="239"/>
      <c r="AK32" s="239"/>
      <c r="AL32" s="135">
        <f t="shared" si="15"/>
        <v>4</v>
      </c>
      <c r="AM32" s="183">
        <f t="shared" si="16"/>
        <v>50</v>
      </c>
      <c r="AN32" s="241"/>
      <c r="AO32" s="241"/>
      <c r="AP32" s="233"/>
      <c r="AQ32" s="138"/>
      <c r="AR32" s="138"/>
      <c r="AS32" s="244">
        <v>1.0</v>
      </c>
      <c r="AT32" s="133"/>
      <c r="AU32" s="133"/>
      <c r="AV32" s="133"/>
      <c r="AW32" s="133"/>
      <c r="AX32" s="133"/>
      <c r="AY32" s="133"/>
      <c r="AZ32" s="133"/>
      <c r="BA32" s="185">
        <v>1.0</v>
      </c>
      <c r="BB32" s="233"/>
      <c r="BC32" s="133"/>
      <c r="BD32" s="133"/>
      <c r="BE32" s="185">
        <v>1.0</v>
      </c>
      <c r="BF32" s="185">
        <v>1.0</v>
      </c>
      <c r="BG32" s="234"/>
      <c r="BH32" s="133"/>
      <c r="BI32" s="135">
        <f t="shared" si="17"/>
        <v>4</v>
      </c>
      <c r="BJ32" s="186">
        <f t="shared" si="18"/>
        <v>50</v>
      </c>
      <c r="BK32" s="138"/>
      <c r="BL32" s="132"/>
      <c r="BM32" s="151">
        <v>1.0</v>
      </c>
      <c r="BN32" s="138"/>
      <c r="BO32" s="138"/>
      <c r="BP32" s="138"/>
      <c r="BQ32" s="151">
        <v>1.0</v>
      </c>
      <c r="BR32" s="150">
        <v>1.0</v>
      </c>
      <c r="BS32" s="187">
        <v>1.0</v>
      </c>
      <c r="BT32" s="152"/>
      <c r="BU32" s="187">
        <v>1.0</v>
      </c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5</v>
      </c>
      <c r="CG32" s="190">
        <f t="shared" si="20"/>
        <v>55.55555556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51.85185185</v>
      </c>
      <c r="CW32" s="169">
        <f t="shared" si="8"/>
        <v>14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13</v>
      </c>
      <c r="E33" s="127">
        <f t="shared" si="10"/>
        <v>48.14814815</v>
      </c>
      <c r="F33" s="200">
        <f t="shared" si="11"/>
        <v>48.14814815</v>
      </c>
      <c r="G33" s="177" t="str">
        <f t="shared" si="12"/>
        <v>  </v>
      </c>
      <c r="H33" s="132"/>
      <c r="I33" s="229"/>
      <c r="J33" s="231"/>
      <c r="K33" s="231"/>
      <c r="L33" s="231"/>
      <c r="M33" s="257">
        <v>1.0</v>
      </c>
      <c r="N33" s="231"/>
      <c r="O33" s="231"/>
      <c r="P33" s="231"/>
      <c r="Q33" s="231"/>
      <c r="R33" s="135">
        <f t="shared" si="13"/>
        <v>1</v>
      </c>
      <c r="S33" s="137">
        <f t="shared" si="14"/>
        <v>50</v>
      </c>
      <c r="T33" s="138"/>
      <c r="U33" s="138"/>
      <c r="V33" s="138"/>
      <c r="W33" s="132"/>
      <c r="X33" s="132"/>
      <c r="Y33" s="138"/>
      <c r="Z33" s="138"/>
      <c r="AA33" s="138"/>
      <c r="AB33" s="244">
        <v>1.0</v>
      </c>
      <c r="AC33" s="150">
        <v>1.0</v>
      </c>
      <c r="AD33" s="140"/>
      <c r="AE33" s="141"/>
      <c r="AF33" s="234"/>
      <c r="AG33" s="234"/>
      <c r="AH33" s="236">
        <v>1.0</v>
      </c>
      <c r="AI33" s="244">
        <v>1.0</v>
      </c>
      <c r="AJ33" s="239"/>
      <c r="AK33" s="239"/>
      <c r="AL33" s="135">
        <f t="shared" si="15"/>
        <v>4</v>
      </c>
      <c r="AM33" s="183">
        <f t="shared" si="16"/>
        <v>50</v>
      </c>
      <c r="AN33" s="241"/>
      <c r="AO33" s="241"/>
      <c r="AP33" s="233"/>
      <c r="AQ33" s="138"/>
      <c r="AR33" s="138"/>
      <c r="AS33" s="244">
        <v>1.0</v>
      </c>
      <c r="AT33" s="133"/>
      <c r="AU33" s="133"/>
      <c r="AV33" s="133"/>
      <c r="AW33" s="133"/>
      <c r="AX33" s="133"/>
      <c r="AY33" s="133"/>
      <c r="AZ33" s="133"/>
      <c r="BA33" s="185">
        <v>1.0</v>
      </c>
      <c r="BB33" s="233"/>
      <c r="BC33" s="133"/>
      <c r="BD33" s="133"/>
      <c r="BE33" s="133"/>
      <c r="BF33" s="185">
        <v>1.0</v>
      </c>
      <c r="BG33" s="236">
        <v>1.0</v>
      </c>
      <c r="BH33" s="133"/>
      <c r="BI33" s="135">
        <f t="shared" si="17"/>
        <v>4</v>
      </c>
      <c r="BJ33" s="186">
        <f t="shared" si="18"/>
        <v>50</v>
      </c>
      <c r="BK33" s="138"/>
      <c r="BL33" s="132"/>
      <c r="BM33" s="151">
        <v>1.0</v>
      </c>
      <c r="BN33" s="138"/>
      <c r="BO33" s="138"/>
      <c r="BP33" s="138"/>
      <c r="BQ33" s="151">
        <v>1.0</v>
      </c>
      <c r="BR33" s="150">
        <v>1.0</v>
      </c>
      <c r="BS33" s="187">
        <v>1.0</v>
      </c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4</v>
      </c>
      <c r="CG33" s="190">
        <f t="shared" si="20"/>
        <v>44.44444444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48.14814815</v>
      </c>
      <c r="CW33" s="169">
        <f t="shared" si="8"/>
        <v>13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5</v>
      </c>
      <c r="E34" s="127">
        <f t="shared" si="10"/>
        <v>18.51851852</v>
      </c>
      <c r="F34" s="200">
        <f t="shared" si="11"/>
        <v>18.51851852</v>
      </c>
      <c r="G34" s="207">
        <f t="shared" si="12"/>
        <v>18.51851852</v>
      </c>
      <c r="H34" s="178"/>
      <c r="I34" s="132"/>
      <c r="J34" s="201"/>
      <c r="K34" s="201"/>
      <c r="L34" s="201"/>
      <c r="M34" s="201"/>
      <c r="N34" s="201"/>
      <c r="O34" s="201"/>
      <c r="P34" s="201"/>
      <c r="Q34" s="201"/>
      <c r="R34" s="135">
        <f t="shared" si="13"/>
        <v>0</v>
      </c>
      <c r="S34" s="137">
        <f t="shared" si="14"/>
        <v>0</v>
      </c>
      <c r="T34" s="138"/>
      <c r="U34" s="138"/>
      <c r="V34" s="138"/>
      <c r="W34" s="132"/>
      <c r="X34" s="132"/>
      <c r="Y34" s="151">
        <v>1.0</v>
      </c>
      <c r="Z34" s="138"/>
      <c r="AA34" s="138"/>
      <c r="AB34" s="209"/>
      <c r="AC34" s="150">
        <v>1.0</v>
      </c>
      <c r="AD34" s="140"/>
      <c r="AE34" s="141"/>
      <c r="AF34" s="210"/>
      <c r="AG34" s="210"/>
      <c r="AH34" s="210"/>
      <c r="AI34" s="209"/>
      <c r="AJ34" s="212"/>
      <c r="AK34" s="212"/>
      <c r="AL34" s="135">
        <f t="shared" si="15"/>
        <v>2</v>
      </c>
      <c r="AM34" s="183">
        <f t="shared" si="16"/>
        <v>25</v>
      </c>
      <c r="AN34" s="214"/>
      <c r="AO34" s="214"/>
      <c r="AP34" s="209"/>
      <c r="AQ34" s="138"/>
      <c r="AR34" s="138"/>
      <c r="AS34" s="225">
        <v>1.0</v>
      </c>
      <c r="AT34" s="133"/>
      <c r="AU34" s="133"/>
      <c r="AV34" s="133"/>
      <c r="AW34" s="133"/>
      <c r="AX34" s="133"/>
      <c r="AY34" s="133"/>
      <c r="AZ34" s="133"/>
      <c r="BA34" s="133"/>
      <c r="BB34" s="209"/>
      <c r="BC34" s="133"/>
      <c r="BD34" s="133"/>
      <c r="BE34" s="133"/>
      <c r="BF34" s="133"/>
      <c r="BG34" s="210"/>
      <c r="BH34" s="133"/>
      <c r="BI34" s="135">
        <f t="shared" si="17"/>
        <v>1</v>
      </c>
      <c r="BJ34" s="186">
        <f t="shared" si="18"/>
        <v>12.5</v>
      </c>
      <c r="BK34" s="138"/>
      <c r="BL34" s="170">
        <v>1.0</v>
      </c>
      <c r="BM34" s="138"/>
      <c r="BN34" s="138"/>
      <c r="BO34" s="138"/>
      <c r="BP34" s="138"/>
      <c r="BQ34" s="138"/>
      <c r="BR34" s="140"/>
      <c r="BS34" s="152"/>
      <c r="BT34" s="152"/>
      <c r="BU34" s="152"/>
      <c r="BV34" s="187">
        <v>1.0</v>
      </c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2</v>
      </c>
      <c r="CG34" s="190">
        <f t="shared" si="20"/>
        <v>22.22222222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18.51851852</v>
      </c>
      <c r="CW34" s="169">
        <f t="shared" si="8"/>
        <v>5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17</v>
      </c>
      <c r="E35" s="127">
        <f t="shared" si="10"/>
        <v>62.96296296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01"/>
      <c r="K35" s="245">
        <v>1.0</v>
      </c>
      <c r="L35" s="201"/>
      <c r="M35" s="245">
        <v>1.0</v>
      </c>
      <c r="N35" s="201"/>
      <c r="O35" s="201"/>
      <c r="P35" s="201"/>
      <c r="Q35" s="201"/>
      <c r="R35" s="135">
        <f t="shared" si="13"/>
        <v>2</v>
      </c>
      <c r="S35" s="137">
        <f t="shared" si="14"/>
        <v>100</v>
      </c>
      <c r="T35" s="138"/>
      <c r="U35" s="138"/>
      <c r="V35" s="138"/>
      <c r="W35" s="132"/>
      <c r="X35" s="132"/>
      <c r="Y35" s="151">
        <v>1.0</v>
      </c>
      <c r="Z35" s="138"/>
      <c r="AA35" s="151">
        <v>1.0</v>
      </c>
      <c r="AB35" s="225">
        <v>1.0</v>
      </c>
      <c r="AC35" s="150">
        <v>1.0</v>
      </c>
      <c r="AD35" s="150">
        <v>1.0</v>
      </c>
      <c r="AE35" s="141"/>
      <c r="AF35" s="210"/>
      <c r="AG35" s="210"/>
      <c r="AH35" s="210"/>
      <c r="AI35" s="209"/>
      <c r="AJ35" s="212"/>
      <c r="AK35" s="212"/>
      <c r="AL35" s="135">
        <f t="shared" si="15"/>
        <v>5</v>
      </c>
      <c r="AM35" s="183">
        <f t="shared" si="16"/>
        <v>62.5</v>
      </c>
      <c r="AN35" s="214"/>
      <c r="AO35" s="214"/>
      <c r="AP35" s="209"/>
      <c r="AQ35" s="138"/>
      <c r="AR35" s="138"/>
      <c r="AS35" s="225">
        <v>1.0</v>
      </c>
      <c r="AT35" s="133"/>
      <c r="AU35" s="133"/>
      <c r="AV35" s="133"/>
      <c r="AW35" s="133"/>
      <c r="AX35" s="133"/>
      <c r="AY35" s="133"/>
      <c r="AZ35" s="133"/>
      <c r="BA35" s="133"/>
      <c r="BB35" s="209"/>
      <c r="BC35" s="133"/>
      <c r="BD35" s="133"/>
      <c r="BE35" s="185">
        <v>1.0</v>
      </c>
      <c r="BF35" s="185">
        <v>1.0</v>
      </c>
      <c r="BG35" s="211">
        <v>1.0</v>
      </c>
      <c r="BH35" s="133"/>
      <c r="BI35" s="135">
        <f t="shared" si="17"/>
        <v>4</v>
      </c>
      <c r="BJ35" s="186">
        <f t="shared" si="18"/>
        <v>50</v>
      </c>
      <c r="BK35" s="138"/>
      <c r="BL35" s="170">
        <v>1.0</v>
      </c>
      <c r="BM35" s="138"/>
      <c r="BN35" s="138"/>
      <c r="BO35" s="138"/>
      <c r="BP35" s="138"/>
      <c r="BQ35" s="151">
        <v>1.0</v>
      </c>
      <c r="BR35" s="150">
        <v>1.0</v>
      </c>
      <c r="BS35" s="187">
        <v>1.0</v>
      </c>
      <c r="BT35" s="152"/>
      <c r="BU35" s="187">
        <v>1.0</v>
      </c>
      <c r="BV35" s="187">
        <v>1.0</v>
      </c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6</v>
      </c>
      <c r="CG35" s="190">
        <f t="shared" si="20"/>
        <v>66.66666667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62.96296296</v>
      </c>
      <c r="CW35" s="169">
        <f t="shared" si="8"/>
        <v>17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3"/>
        <v>0</v>
      </c>
      <c r="S36" s="137">
        <f t="shared" si="14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09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209"/>
      <c r="AT36" s="133"/>
      <c r="AU36" s="133"/>
      <c r="AV36" s="133"/>
      <c r="AW36" s="133"/>
      <c r="AX36" s="133"/>
      <c r="AY36" s="133"/>
      <c r="AZ36" s="133"/>
      <c r="BA36" s="133"/>
      <c r="BB36" s="209"/>
      <c r="BC36" s="133"/>
      <c r="BD36" s="133"/>
      <c r="BE36" s="133"/>
      <c r="BF36" s="133"/>
      <c r="BG36" s="210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>
        <f t="shared" si="20"/>
        <v>0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7</v>
      </c>
      <c r="E37" s="127">
        <f t="shared" si="10"/>
        <v>25.92592593</v>
      </c>
      <c r="F37" s="200">
        <f t="shared" si="11"/>
        <v>25.92592593</v>
      </c>
      <c r="G37" s="207">
        <f t="shared" si="12"/>
        <v>25.92592593</v>
      </c>
      <c r="H37" s="132"/>
      <c r="I37" s="178"/>
      <c r="J37" s="179"/>
      <c r="K37" s="191">
        <v>1.0</v>
      </c>
      <c r="L37" s="179"/>
      <c r="M37" s="179"/>
      <c r="N37" s="179"/>
      <c r="O37" s="179"/>
      <c r="P37" s="179"/>
      <c r="Q37" s="179"/>
      <c r="R37" s="135">
        <f t="shared" si="13"/>
        <v>1</v>
      </c>
      <c r="S37" s="137">
        <f t="shared" si="14"/>
        <v>50</v>
      </c>
      <c r="T37" s="138"/>
      <c r="U37" s="138"/>
      <c r="V37" s="138"/>
      <c r="W37" s="132"/>
      <c r="X37" s="132"/>
      <c r="Y37" s="151">
        <v>1.0</v>
      </c>
      <c r="Z37" s="138"/>
      <c r="AA37" s="138"/>
      <c r="AB37" s="225">
        <v>1.0</v>
      </c>
      <c r="AC37" s="150">
        <v>1.0</v>
      </c>
      <c r="AD37" s="150">
        <v>1.0</v>
      </c>
      <c r="AE37" s="141"/>
      <c r="AF37" s="210"/>
      <c r="AG37" s="210"/>
      <c r="AH37" s="210"/>
      <c r="AI37" s="209"/>
      <c r="AJ37" s="212"/>
      <c r="AK37" s="212"/>
      <c r="AL37" s="135">
        <f t="shared" si="15"/>
        <v>4</v>
      </c>
      <c r="AM37" s="183">
        <f t="shared" si="16"/>
        <v>50</v>
      </c>
      <c r="AN37" s="214"/>
      <c r="AO37" s="214"/>
      <c r="AP37" s="209"/>
      <c r="AQ37" s="138"/>
      <c r="AR37" s="138"/>
      <c r="AS37" s="209"/>
      <c r="AT37" s="133"/>
      <c r="AU37" s="133"/>
      <c r="AV37" s="133"/>
      <c r="AW37" s="133"/>
      <c r="AX37" s="133"/>
      <c r="AY37" s="133"/>
      <c r="AZ37" s="133"/>
      <c r="BA37" s="185">
        <v>1.0</v>
      </c>
      <c r="BB37" s="209"/>
      <c r="BC37" s="133"/>
      <c r="BD37" s="133"/>
      <c r="BE37" s="185">
        <v>1.0</v>
      </c>
      <c r="BF37" s="133"/>
      <c r="BG37" s="210"/>
      <c r="BH37" s="133"/>
      <c r="BI37" s="135">
        <f t="shared" si="17"/>
        <v>2</v>
      </c>
      <c r="BJ37" s="186">
        <f t="shared" si="18"/>
        <v>25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>
        <f t="shared" si="20"/>
        <v>0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25.92592593</v>
      </c>
      <c r="CW37" s="169">
        <f t="shared" si="8"/>
        <v>7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4</v>
      </c>
      <c r="E38" s="127">
        <f t="shared" si="10"/>
        <v>14.81481481</v>
      </c>
      <c r="F38" s="200">
        <f t="shared" si="11"/>
        <v>14.81481481</v>
      </c>
      <c r="G38" s="207">
        <f t="shared" si="12"/>
        <v>14.81481481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3"/>
        <v>0</v>
      </c>
      <c r="S38" s="137">
        <f t="shared" si="14"/>
        <v>0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40"/>
      <c r="AE38" s="141"/>
      <c r="AF38" s="210"/>
      <c r="AG38" s="210"/>
      <c r="AH38" s="211">
        <v>1.0</v>
      </c>
      <c r="AI38" s="209"/>
      <c r="AJ38" s="212"/>
      <c r="AK38" s="212"/>
      <c r="AL38" s="135">
        <f t="shared" si="15"/>
        <v>1</v>
      </c>
      <c r="AM38" s="183">
        <f t="shared" si="16"/>
        <v>12.5</v>
      </c>
      <c r="AN38" s="214"/>
      <c r="AO38" s="214"/>
      <c r="AP38" s="209"/>
      <c r="AQ38" s="138"/>
      <c r="AR38" s="138"/>
      <c r="AS38" s="209"/>
      <c r="AT38" s="133"/>
      <c r="AU38" s="133"/>
      <c r="AV38" s="133"/>
      <c r="AW38" s="133"/>
      <c r="AX38" s="133"/>
      <c r="AY38" s="133"/>
      <c r="AZ38" s="133"/>
      <c r="BA38" s="133"/>
      <c r="BB38" s="209"/>
      <c r="BC38" s="133"/>
      <c r="BD38" s="133"/>
      <c r="BE38" s="133"/>
      <c r="BF38" s="185">
        <v>1.0</v>
      </c>
      <c r="BG38" s="210"/>
      <c r="BH38" s="133"/>
      <c r="BI38" s="135">
        <f t="shared" si="17"/>
        <v>1</v>
      </c>
      <c r="BJ38" s="186">
        <f t="shared" si="18"/>
        <v>12.5</v>
      </c>
      <c r="BK38" s="138"/>
      <c r="BL38" s="132"/>
      <c r="BM38" s="138"/>
      <c r="BN38" s="138"/>
      <c r="BO38" s="138"/>
      <c r="BP38" s="138"/>
      <c r="BQ38" s="138"/>
      <c r="BR38" s="150">
        <v>1.0</v>
      </c>
      <c r="BS38" s="187">
        <v>1.0</v>
      </c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2</v>
      </c>
      <c r="CG38" s="190">
        <f t="shared" si="20"/>
        <v>22.22222222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14.81481481</v>
      </c>
      <c r="CW38" s="169">
        <f t="shared" si="8"/>
        <v>4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3</v>
      </c>
      <c r="E39" s="127">
        <f t="shared" si="10"/>
        <v>11.11111111</v>
      </c>
      <c r="F39" s="200">
        <f t="shared" si="11"/>
        <v>11.11111111</v>
      </c>
      <c r="G39" s="207">
        <f t="shared" si="12"/>
        <v>11.11111111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3"/>
        <v>0</v>
      </c>
      <c r="S39" s="137">
        <f t="shared" si="14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3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233"/>
      <c r="AT39" s="133"/>
      <c r="AU39" s="133"/>
      <c r="AV39" s="133"/>
      <c r="AW39" s="133"/>
      <c r="AX39" s="133"/>
      <c r="AY39" s="133"/>
      <c r="AZ39" s="133"/>
      <c r="BA39" s="133"/>
      <c r="BB39" s="233"/>
      <c r="BC39" s="133"/>
      <c r="BD39" s="133"/>
      <c r="BE39" s="133"/>
      <c r="BF39" s="133"/>
      <c r="BG39" s="234"/>
      <c r="BH39" s="133"/>
      <c r="BI39" s="135">
        <f t="shared" si="17"/>
        <v>0</v>
      </c>
      <c r="BJ39" s="186">
        <f t="shared" si="18"/>
        <v>0</v>
      </c>
      <c r="BK39" s="138"/>
      <c r="BL39" s="132"/>
      <c r="BM39" s="151">
        <v>1.0</v>
      </c>
      <c r="BN39" s="138"/>
      <c r="BO39" s="138"/>
      <c r="BP39" s="138"/>
      <c r="BQ39" s="138"/>
      <c r="BR39" s="150">
        <v>1.0</v>
      </c>
      <c r="BS39" s="187">
        <v>1.0</v>
      </c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3</v>
      </c>
      <c r="CG39" s="190">
        <f t="shared" si="20"/>
        <v>33.33333333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11.11111111</v>
      </c>
      <c r="CW39" s="169">
        <f t="shared" si="8"/>
        <v>3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8</v>
      </c>
      <c r="E40" s="127">
        <f t="shared" si="10"/>
        <v>29.62962963</v>
      </c>
      <c r="F40" s="200">
        <f t="shared" si="11"/>
        <v>29.62962963</v>
      </c>
      <c r="G40" s="207">
        <f t="shared" si="12"/>
        <v>29.62962963</v>
      </c>
      <c r="H40" s="132"/>
      <c r="I40" s="132"/>
      <c r="J40" s="201"/>
      <c r="K40" s="201"/>
      <c r="L40" s="201"/>
      <c r="M40" s="245">
        <v>1.0</v>
      </c>
      <c r="N40" s="201"/>
      <c r="O40" s="201"/>
      <c r="P40" s="201"/>
      <c r="Q40" s="201"/>
      <c r="R40" s="135">
        <f t="shared" si="13"/>
        <v>1</v>
      </c>
      <c r="S40" s="137">
        <f t="shared" si="14"/>
        <v>50</v>
      </c>
      <c r="T40" s="138"/>
      <c r="U40" s="138"/>
      <c r="V40" s="138"/>
      <c r="W40" s="132"/>
      <c r="X40" s="132"/>
      <c r="Y40" s="151">
        <v>1.0</v>
      </c>
      <c r="Z40" s="138"/>
      <c r="AA40" s="138"/>
      <c r="AB40" s="209"/>
      <c r="AC40" s="150">
        <v>1.0</v>
      </c>
      <c r="AD40" s="140"/>
      <c r="AE40" s="141"/>
      <c r="AF40" s="210"/>
      <c r="AG40" s="210"/>
      <c r="AH40" s="210"/>
      <c r="AI40" s="209"/>
      <c r="AJ40" s="212"/>
      <c r="AK40" s="212"/>
      <c r="AL40" s="135">
        <f t="shared" si="15"/>
        <v>2</v>
      </c>
      <c r="AM40" s="183">
        <f t="shared" si="16"/>
        <v>25</v>
      </c>
      <c r="AN40" s="214"/>
      <c r="AO40" s="214"/>
      <c r="AP40" s="209"/>
      <c r="AQ40" s="138"/>
      <c r="AR40" s="138"/>
      <c r="AS40" s="225">
        <v>1.0</v>
      </c>
      <c r="AT40" s="133"/>
      <c r="AU40" s="133"/>
      <c r="AV40" s="133"/>
      <c r="AW40" s="133"/>
      <c r="AX40" s="133"/>
      <c r="AY40" s="133"/>
      <c r="AZ40" s="133"/>
      <c r="BA40" s="133"/>
      <c r="BB40" s="209"/>
      <c r="BC40" s="133"/>
      <c r="BD40" s="133"/>
      <c r="BE40" s="133"/>
      <c r="BF40" s="185">
        <v>1.0</v>
      </c>
      <c r="BG40" s="210"/>
      <c r="BH40" s="133"/>
      <c r="BI40" s="135">
        <f t="shared" si="17"/>
        <v>2</v>
      </c>
      <c r="BJ40" s="186">
        <f t="shared" si="18"/>
        <v>25</v>
      </c>
      <c r="BK40" s="138"/>
      <c r="BL40" s="132"/>
      <c r="BM40" s="151">
        <v>1.0</v>
      </c>
      <c r="BN40" s="138"/>
      <c r="BO40" s="138"/>
      <c r="BP40" s="138"/>
      <c r="BQ40" s="151">
        <v>1.0</v>
      </c>
      <c r="BR40" s="140"/>
      <c r="BS40" s="187">
        <v>1.0</v>
      </c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3</v>
      </c>
      <c r="CG40" s="190">
        <f t="shared" si="20"/>
        <v>33.33333333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29.62962963</v>
      </c>
      <c r="CW40" s="169">
        <f t="shared" si="8"/>
        <v>8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8</v>
      </c>
      <c r="E41" s="127">
        <f t="shared" si="10"/>
        <v>29.62962963</v>
      </c>
      <c r="F41" s="200">
        <f t="shared" si="11"/>
        <v>29.62962963</v>
      </c>
      <c r="G41" s="207">
        <f t="shared" si="12"/>
        <v>29.62962963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3"/>
        <v>0</v>
      </c>
      <c r="S41" s="137">
        <f t="shared" si="14"/>
        <v>0</v>
      </c>
      <c r="T41" s="138"/>
      <c r="U41" s="138"/>
      <c r="V41" s="138"/>
      <c r="W41" s="132"/>
      <c r="X41" s="132"/>
      <c r="Y41" s="138"/>
      <c r="Z41" s="138"/>
      <c r="AA41" s="138"/>
      <c r="AB41" s="225">
        <v>1.0</v>
      </c>
      <c r="AC41" s="150">
        <v>1.0</v>
      </c>
      <c r="AD41" s="140"/>
      <c r="AE41" s="141"/>
      <c r="AF41" s="210"/>
      <c r="AG41" s="210"/>
      <c r="AH41" s="211">
        <v>1.0</v>
      </c>
      <c r="AI41" s="209"/>
      <c r="AJ41" s="212"/>
      <c r="AK41" s="212"/>
      <c r="AL41" s="135">
        <f t="shared" si="15"/>
        <v>3</v>
      </c>
      <c r="AM41" s="183">
        <f t="shared" si="16"/>
        <v>37.5</v>
      </c>
      <c r="AN41" s="214"/>
      <c r="AO41" s="214"/>
      <c r="AP41" s="209"/>
      <c r="AQ41" s="138"/>
      <c r="AR41" s="138"/>
      <c r="AS41" s="225">
        <v>1.0</v>
      </c>
      <c r="AT41" s="133"/>
      <c r="AU41" s="133"/>
      <c r="AV41" s="133"/>
      <c r="AW41" s="133"/>
      <c r="AX41" s="133"/>
      <c r="AY41" s="133"/>
      <c r="AZ41" s="133"/>
      <c r="BA41" s="133"/>
      <c r="BB41" s="209"/>
      <c r="BC41" s="133"/>
      <c r="BD41" s="133"/>
      <c r="BE41" s="133"/>
      <c r="BF41" s="185">
        <v>1.0</v>
      </c>
      <c r="BG41" s="210"/>
      <c r="BH41" s="133"/>
      <c r="BI41" s="135">
        <f t="shared" si="17"/>
        <v>2</v>
      </c>
      <c r="BJ41" s="186">
        <f t="shared" si="18"/>
        <v>25</v>
      </c>
      <c r="BK41" s="138"/>
      <c r="BL41" s="170">
        <v>1.0</v>
      </c>
      <c r="BM41" s="138"/>
      <c r="BN41" s="138"/>
      <c r="BO41" s="138"/>
      <c r="BP41" s="138"/>
      <c r="BQ41" s="138"/>
      <c r="BR41" s="150">
        <v>1.0</v>
      </c>
      <c r="BS41" s="152"/>
      <c r="BT41" s="152"/>
      <c r="BU41" s="187">
        <v>1.0</v>
      </c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3</v>
      </c>
      <c r="CG41" s="190">
        <f t="shared" si="20"/>
        <v>33.33333333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29.62962963</v>
      </c>
      <c r="CW41" s="169">
        <f t="shared" si="8"/>
        <v>8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4</v>
      </c>
      <c r="E42" s="127">
        <f t="shared" si="10"/>
        <v>14.81481481</v>
      </c>
      <c r="F42" s="200">
        <f t="shared" si="11"/>
        <v>14.81481481</v>
      </c>
      <c r="G42" s="207">
        <f t="shared" si="12"/>
        <v>14.81481481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3"/>
        <v>0</v>
      </c>
      <c r="S42" s="137">
        <f t="shared" si="14"/>
        <v>0</v>
      </c>
      <c r="T42" s="138"/>
      <c r="U42" s="138"/>
      <c r="V42" s="138"/>
      <c r="W42" s="132"/>
      <c r="X42" s="132"/>
      <c r="Y42" s="151">
        <v>1.0</v>
      </c>
      <c r="Z42" s="138"/>
      <c r="AA42" s="138"/>
      <c r="AB42" s="209"/>
      <c r="AC42" s="140"/>
      <c r="AD42" s="140"/>
      <c r="AE42" s="141"/>
      <c r="AF42" s="210"/>
      <c r="AG42" s="210"/>
      <c r="AH42" s="210"/>
      <c r="AI42" s="209"/>
      <c r="AJ42" s="212"/>
      <c r="AK42" s="212"/>
      <c r="AL42" s="135">
        <f t="shared" si="15"/>
        <v>1</v>
      </c>
      <c r="AM42" s="183">
        <f t="shared" si="16"/>
        <v>12.5</v>
      </c>
      <c r="AN42" s="214"/>
      <c r="AO42" s="214"/>
      <c r="AP42" s="209"/>
      <c r="AQ42" s="138"/>
      <c r="AR42" s="138"/>
      <c r="AS42" s="225">
        <v>1.0</v>
      </c>
      <c r="AT42" s="133"/>
      <c r="AU42" s="133"/>
      <c r="AV42" s="133"/>
      <c r="AW42" s="133"/>
      <c r="AX42" s="133"/>
      <c r="AY42" s="133"/>
      <c r="AZ42" s="133"/>
      <c r="BA42" s="133"/>
      <c r="BB42" s="209"/>
      <c r="BC42" s="133"/>
      <c r="BD42" s="133"/>
      <c r="BE42" s="133"/>
      <c r="BF42" s="133"/>
      <c r="BG42" s="210"/>
      <c r="BH42" s="133"/>
      <c r="BI42" s="135">
        <f t="shared" si="17"/>
        <v>1</v>
      </c>
      <c r="BJ42" s="186">
        <f t="shared" si="18"/>
        <v>12.5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87">
        <v>1.0</v>
      </c>
      <c r="BV42" s="187">
        <v>1.0</v>
      </c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2</v>
      </c>
      <c r="CG42" s="190">
        <f t="shared" si="20"/>
        <v>22.22222222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14.81481481</v>
      </c>
      <c r="CW42" s="169">
        <f t="shared" si="8"/>
        <v>4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8</v>
      </c>
      <c r="E43" s="127">
        <f t="shared" si="10"/>
        <v>29.62962963</v>
      </c>
      <c r="F43" s="200">
        <f t="shared" si="11"/>
        <v>29.62962963</v>
      </c>
      <c r="G43" s="207">
        <f t="shared" si="12"/>
        <v>29.62962963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3"/>
        <v>0</v>
      </c>
      <c r="S43" s="137">
        <f t="shared" si="14"/>
        <v>0</v>
      </c>
      <c r="T43" s="138"/>
      <c r="U43" s="138"/>
      <c r="V43" s="138"/>
      <c r="W43" s="132"/>
      <c r="X43" s="132"/>
      <c r="Y43" s="138"/>
      <c r="Z43" s="138"/>
      <c r="AA43" s="138"/>
      <c r="AB43" s="235">
        <v>1.0</v>
      </c>
      <c r="AC43" s="140"/>
      <c r="AD43" s="140"/>
      <c r="AE43" s="141"/>
      <c r="AF43" s="226"/>
      <c r="AG43" s="226"/>
      <c r="AH43" s="226"/>
      <c r="AI43" s="217"/>
      <c r="AJ43" s="218"/>
      <c r="AK43" s="218"/>
      <c r="AL43" s="135">
        <f t="shared" si="15"/>
        <v>1</v>
      </c>
      <c r="AM43" s="183">
        <f t="shared" si="16"/>
        <v>12.5</v>
      </c>
      <c r="AN43" s="228"/>
      <c r="AO43" s="228"/>
      <c r="AP43" s="217"/>
      <c r="AQ43" s="138"/>
      <c r="AR43" s="138"/>
      <c r="AS43" s="235">
        <v>1.0</v>
      </c>
      <c r="AT43" s="133"/>
      <c r="AU43" s="133"/>
      <c r="AV43" s="133"/>
      <c r="AW43" s="133"/>
      <c r="AX43" s="133"/>
      <c r="AY43" s="133"/>
      <c r="AZ43" s="133"/>
      <c r="BA43" s="133"/>
      <c r="BB43" s="217"/>
      <c r="BC43" s="133"/>
      <c r="BD43" s="133"/>
      <c r="BE43" s="133"/>
      <c r="BF43" s="185">
        <v>1.0</v>
      </c>
      <c r="BG43" s="238">
        <v>1.0</v>
      </c>
      <c r="BH43" s="133"/>
      <c r="BI43" s="135">
        <f t="shared" si="17"/>
        <v>3</v>
      </c>
      <c r="BJ43" s="186">
        <f t="shared" si="18"/>
        <v>37.5</v>
      </c>
      <c r="BK43" s="138"/>
      <c r="BL43" s="170">
        <v>1.0</v>
      </c>
      <c r="BM43" s="138"/>
      <c r="BN43" s="138"/>
      <c r="BO43" s="138"/>
      <c r="BP43" s="138"/>
      <c r="BQ43" s="138"/>
      <c r="BR43" s="150">
        <v>1.0</v>
      </c>
      <c r="BS43" s="187">
        <v>1.0</v>
      </c>
      <c r="BT43" s="152"/>
      <c r="BU43" s="187">
        <v>1.0</v>
      </c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4</v>
      </c>
      <c r="CG43" s="190">
        <f t="shared" si="20"/>
        <v>44.44444444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29.62962963</v>
      </c>
      <c r="CW43" s="169">
        <f t="shared" si="8"/>
        <v>8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8</v>
      </c>
      <c r="E44" s="127">
        <f t="shared" si="10"/>
        <v>29.62962963</v>
      </c>
      <c r="F44" s="200">
        <f t="shared" si="11"/>
        <v>29.62962963</v>
      </c>
      <c r="G44" s="207">
        <f t="shared" si="12"/>
        <v>29.62962963</v>
      </c>
      <c r="H44" s="132"/>
      <c r="I44" s="132"/>
      <c r="J44" s="201"/>
      <c r="K44" s="201"/>
      <c r="L44" s="201"/>
      <c r="M44" s="245">
        <v>1.0</v>
      </c>
      <c r="N44" s="201"/>
      <c r="O44" s="201"/>
      <c r="P44" s="201"/>
      <c r="Q44" s="201"/>
      <c r="R44" s="135">
        <f t="shared" si="13"/>
        <v>1</v>
      </c>
      <c r="S44" s="137">
        <f t="shared" si="14"/>
        <v>50</v>
      </c>
      <c r="T44" s="138"/>
      <c r="U44" s="138"/>
      <c r="V44" s="138"/>
      <c r="W44" s="132"/>
      <c r="X44" s="132"/>
      <c r="Y44" s="151">
        <v>1.0</v>
      </c>
      <c r="Z44" s="138"/>
      <c r="AA44" s="138"/>
      <c r="AB44" s="235">
        <v>1.0</v>
      </c>
      <c r="AC44" s="150">
        <v>1.0</v>
      </c>
      <c r="AD44" s="140"/>
      <c r="AE44" s="141"/>
      <c r="AF44" s="226"/>
      <c r="AG44" s="226"/>
      <c r="AH44" s="226"/>
      <c r="AI44" s="217"/>
      <c r="AJ44" s="218"/>
      <c r="AK44" s="218"/>
      <c r="AL44" s="135">
        <f t="shared" si="15"/>
        <v>3</v>
      </c>
      <c r="AM44" s="183">
        <f t="shared" si="16"/>
        <v>37.5</v>
      </c>
      <c r="AN44" s="228"/>
      <c r="AO44" s="228"/>
      <c r="AP44" s="217"/>
      <c r="AQ44" s="138"/>
      <c r="AR44" s="138"/>
      <c r="AS44" s="217"/>
      <c r="AT44" s="133"/>
      <c r="AU44" s="133"/>
      <c r="AV44" s="133"/>
      <c r="AW44" s="133"/>
      <c r="AX44" s="133"/>
      <c r="AY44" s="133"/>
      <c r="AZ44" s="133"/>
      <c r="BA44" s="133"/>
      <c r="BB44" s="217"/>
      <c r="BC44" s="133"/>
      <c r="BD44" s="133"/>
      <c r="BE44" s="133"/>
      <c r="BF44" s="185">
        <v>1.0</v>
      </c>
      <c r="BG44" s="238">
        <v>1.0</v>
      </c>
      <c r="BH44" s="133"/>
      <c r="BI44" s="135">
        <f t="shared" si="17"/>
        <v>2</v>
      </c>
      <c r="BJ44" s="186">
        <f t="shared" si="18"/>
        <v>25</v>
      </c>
      <c r="BK44" s="138"/>
      <c r="BL44" s="132"/>
      <c r="BM44" s="138"/>
      <c r="BN44" s="138"/>
      <c r="BO44" s="138"/>
      <c r="BP44" s="138"/>
      <c r="BQ44" s="138"/>
      <c r="BR44" s="150">
        <v>1.0</v>
      </c>
      <c r="BS44" s="187">
        <v>1.0</v>
      </c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2</v>
      </c>
      <c r="CG44" s="190">
        <f t="shared" si="20"/>
        <v>22.22222222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29.62962963</v>
      </c>
      <c r="CW44" s="169">
        <f t="shared" si="8"/>
        <v>8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3"/>
        <v>0</v>
      </c>
      <c r="S45" s="137">
        <f t="shared" si="14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09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209"/>
      <c r="AT45" s="133"/>
      <c r="AU45" s="133"/>
      <c r="AV45" s="133"/>
      <c r="AW45" s="133"/>
      <c r="AX45" s="133"/>
      <c r="AY45" s="133"/>
      <c r="AZ45" s="133"/>
      <c r="BA45" s="133"/>
      <c r="BB45" s="209"/>
      <c r="BC45" s="133"/>
      <c r="BD45" s="133"/>
      <c r="BE45" s="133"/>
      <c r="BF45" s="133"/>
      <c r="BG45" s="210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>
        <f t="shared" si="20"/>
        <v>0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7</v>
      </c>
      <c r="E46" s="127">
        <f t="shared" si="10"/>
        <v>25.92592593</v>
      </c>
      <c r="F46" s="200">
        <f t="shared" si="11"/>
        <v>25.92592593</v>
      </c>
      <c r="G46" s="207">
        <f t="shared" si="12"/>
        <v>25.92592593</v>
      </c>
      <c r="H46" s="132"/>
      <c r="I46" s="132"/>
      <c r="J46" s="201"/>
      <c r="K46" s="201"/>
      <c r="L46" s="201"/>
      <c r="M46" s="245">
        <v>1.0</v>
      </c>
      <c r="N46" s="201"/>
      <c r="O46" s="201"/>
      <c r="P46" s="201"/>
      <c r="Q46" s="201"/>
      <c r="R46" s="135">
        <f t="shared" si="13"/>
        <v>1</v>
      </c>
      <c r="S46" s="137">
        <f t="shared" si="14"/>
        <v>50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50">
        <v>1.0</v>
      </c>
      <c r="AD46" s="140"/>
      <c r="AE46" s="141"/>
      <c r="AF46" s="210"/>
      <c r="AG46" s="210"/>
      <c r="AH46" s="210"/>
      <c r="AI46" s="209"/>
      <c r="AJ46" s="212"/>
      <c r="AK46" s="212"/>
      <c r="AL46" s="135">
        <f t="shared" si="15"/>
        <v>1</v>
      </c>
      <c r="AM46" s="183">
        <f t="shared" si="16"/>
        <v>12.5</v>
      </c>
      <c r="AN46" s="214"/>
      <c r="AO46" s="214"/>
      <c r="AP46" s="209"/>
      <c r="AQ46" s="138"/>
      <c r="AR46" s="138"/>
      <c r="AS46" s="225">
        <v>1.0</v>
      </c>
      <c r="AT46" s="133"/>
      <c r="AU46" s="133"/>
      <c r="AV46" s="133"/>
      <c r="AW46" s="133"/>
      <c r="AX46" s="133"/>
      <c r="AY46" s="133"/>
      <c r="AZ46" s="133"/>
      <c r="BA46" s="133"/>
      <c r="BB46" s="209"/>
      <c r="BC46" s="133"/>
      <c r="BD46" s="133"/>
      <c r="BE46" s="133"/>
      <c r="BF46" s="185">
        <v>1.0</v>
      </c>
      <c r="BG46" s="210"/>
      <c r="BH46" s="133"/>
      <c r="BI46" s="135">
        <f t="shared" si="17"/>
        <v>2</v>
      </c>
      <c r="BJ46" s="186">
        <f t="shared" si="18"/>
        <v>25</v>
      </c>
      <c r="BK46" s="138"/>
      <c r="BL46" s="132"/>
      <c r="BM46" s="151">
        <v>1.0</v>
      </c>
      <c r="BN46" s="138"/>
      <c r="BO46" s="138"/>
      <c r="BP46" s="138"/>
      <c r="BQ46" s="138"/>
      <c r="BR46" s="150">
        <v>1.0</v>
      </c>
      <c r="BS46" s="187">
        <v>1.0</v>
      </c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3</v>
      </c>
      <c r="CG46" s="190">
        <f t="shared" si="20"/>
        <v>33.33333333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25.92592593</v>
      </c>
      <c r="CW46" s="169">
        <f t="shared" si="8"/>
        <v>7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16</v>
      </c>
      <c r="E47" s="127">
        <f t="shared" si="10"/>
        <v>59.25925926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3"/>
        <v>0</v>
      </c>
      <c r="S47" s="137">
        <f t="shared" si="14"/>
        <v>0</v>
      </c>
      <c r="T47" s="138"/>
      <c r="U47" s="138"/>
      <c r="V47" s="138"/>
      <c r="W47" s="132"/>
      <c r="X47" s="132"/>
      <c r="Y47" s="151">
        <v>1.0</v>
      </c>
      <c r="Z47" s="138"/>
      <c r="AA47" s="151">
        <v>1.0</v>
      </c>
      <c r="AB47" s="225">
        <v>1.0</v>
      </c>
      <c r="AC47" s="150">
        <v>1.0</v>
      </c>
      <c r="AD47" s="150">
        <v>1.0</v>
      </c>
      <c r="AE47" s="141"/>
      <c r="AF47" s="210"/>
      <c r="AG47" s="210"/>
      <c r="AH47" s="211">
        <v>1.0</v>
      </c>
      <c r="AI47" s="225">
        <v>1.0</v>
      </c>
      <c r="AJ47" s="212"/>
      <c r="AK47" s="212"/>
      <c r="AL47" s="135">
        <f t="shared" si="15"/>
        <v>7</v>
      </c>
      <c r="AM47" s="183">
        <f t="shared" si="16"/>
        <v>87.5</v>
      </c>
      <c r="AN47" s="214"/>
      <c r="AO47" s="214"/>
      <c r="AP47" s="209"/>
      <c r="AQ47" s="138"/>
      <c r="AR47" s="138"/>
      <c r="AS47" s="225">
        <v>1.0</v>
      </c>
      <c r="AT47" s="133"/>
      <c r="AU47" s="133"/>
      <c r="AV47" s="133"/>
      <c r="AW47" s="133"/>
      <c r="AX47" s="133"/>
      <c r="AY47" s="133"/>
      <c r="AZ47" s="133"/>
      <c r="BA47" s="133"/>
      <c r="BB47" s="209"/>
      <c r="BC47" s="133"/>
      <c r="BD47" s="133"/>
      <c r="BE47" s="133"/>
      <c r="BF47" s="133"/>
      <c r="BG47" s="211">
        <v>1.0</v>
      </c>
      <c r="BH47" s="133"/>
      <c r="BI47" s="135">
        <f t="shared" si="17"/>
        <v>2</v>
      </c>
      <c r="BJ47" s="186">
        <f t="shared" si="18"/>
        <v>25</v>
      </c>
      <c r="BK47" s="138"/>
      <c r="BL47" s="170">
        <v>1.0</v>
      </c>
      <c r="BM47" s="151">
        <v>1.0</v>
      </c>
      <c r="BN47" s="138"/>
      <c r="BO47" s="138"/>
      <c r="BP47" s="138"/>
      <c r="BQ47" s="151">
        <v>1.0</v>
      </c>
      <c r="BR47" s="150">
        <v>1.0</v>
      </c>
      <c r="BS47" s="187">
        <v>1.0</v>
      </c>
      <c r="BT47" s="152"/>
      <c r="BU47" s="187">
        <v>1.0</v>
      </c>
      <c r="BV47" s="187">
        <v>1.0</v>
      </c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7</v>
      </c>
      <c r="CG47" s="190">
        <f t="shared" si="20"/>
        <v>77.77777778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59.25925926</v>
      </c>
      <c r="CW47" s="169">
        <f t="shared" si="8"/>
        <v>16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6</v>
      </c>
      <c r="E48" s="127">
        <f t="shared" si="10"/>
        <v>22.22222222</v>
      </c>
      <c r="F48" s="200">
        <f t="shared" si="11"/>
        <v>22.22222222</v>
      </c>
      <c r="G48" s="207">
        <f t="shared" si="12"/>
        <v>22.22222222</v>
      </c>
      <c r="H48" s="258"/>
      <c r="I48" s="259"/>
      <c r="J48" s="260"/>
      <c r="K48" s="260"/>
      <c r="L48" s="260"/>
      <c r="M48" s="267">
        <v>1.0</v>
      </c>
      <c r="N48" s="260"/>
      <c r="O48" s="260"/>
      <c r="P48" s="260"/>
      <c r="Q48" s="260"/>
      <c r="R48" s="135">
        <f t="shared" si="13"/>
        <v>1</v>
      </c>
      <c r="S48" s="137">
        <f t="shared" si="14"/>
        <v>50</v>
      </c>
      <c r="T48" s="138"/>
      <c r="U48" s="138"/>
      <c r="V48" s="138"/>
      <c r="W48" s="132"/>
      <c r="X48" s="132"/>
      <c r="Y48" s="151">
        <v>1.0</v>
      </c>
      <c r="Z48" s="138"/>
      <c r="AA48" s="138"/>
      <c r="AB48" s="209"/>
      <c r="AC48" s="140"/>
      <c r="AD48" s="140"/>
      <c r="AE48" s="141"/>
      <c r="AF48" s="210"/>
      <c r="AG48" s="210"/>
      <c r="AH48" s="211">
        <v>1.0</v>
      </c>
      <c r="AI48" s="225">
        <v>1.0</v>
      </c>
      <c r="AJ48" s="212"/>
      <c r="AK48" s="212"/>
      <c r="AL48" s="135">
        <f t="shared" si="15"/>
        <v>3</v>
      </c>
      <c r="AM48" s="183">
        <f t="shared" si="16"/>
        <v>37.5</v>
      </c>
      <c r="AN48" s="214"/>
      <c r="AO48" s="214"/>
      <c r="AP48" s="209"/>
      <c r="AQ48" s="138"/>
      <c r="AR48" s="138"/>
      <c r="AS48" s="225">
        <v>1.0</v>
      </c>
      <c r="AT48" s="133"/>
      <c r="AU48" s="133"/>
      <c r="AV48" s="133"/>
      <c r="AW48" s="133"/>
      <c r="AX48" s="133"/>
      <c r="AY48" s="133"/>
      <c r="AZ48" s="133"/>
      <c r="BA48" s="133"/>
      <c r="BB48" s="209"/>
      <c r="BC48" s="133"/>
      <c r="BD48" s="133"/>
      <c r="BE48" s="133"/>
      <c r="BF48" s="133"/>
      <c r="BG48" s="210"/>
      <c r="BH48" s="133"/>
      <c r="BI48" s="135">
        <f t="shared" si="17"/>
        <v>1</v>
      </c>
      <c r="BJ48" s="186">
        <f t="shared" si="18"/>
        <v>12.5</v>
      </c>
      <c r="BK48" s="138"/>
      <c r="BL48" s="132"/>
      <c r="BM48" s="138"/>
      <c r="BN48" s="138"/>
      <c r="BO48" s="138"/>
      <c r="BP48" s="138"/>
      <c r="BQ48" s="138"/>
      <c r="BR48" s="150">
        <v>1.0</v>
      </c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1</v>
      </c>
      <c r="CG48" s="190">
        <f t="shared" si="20"/>
        <v>11.11111111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22.22222222</v>
      </c>
      <c r="CW48" s="169">
        <f t="shared" si="8"/>
        <v>6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6</v>
      </c>
      <c r="E49" s="127">
        <f t="shared" si="10"/>
        <v>22.22222222</v>
      </c>
      <c r="F49" s="200">
        <f t="shared" si="11"/>
        <v>22.22222222</v>
      </c>
      <c r="G49" s="207">
        <f t="shared" si="12"/>
        <v>22.22222222</v>
      </c>
      <c r="H49" s="258"/>
      <c r="I49" s="261"/>
      <c r="J49" s="262"/>
      <c r="K49" s="262"/>
      <c r="L49" s="262"/>
      <c r="M49" s="268">
        <v>1.0</v>
      </c>
      <c r="N49" s="262"/>
      <c r="O49" s="262"/>
      <c r="P49" s="262"/>
      <c r="Q49" s="262"/>
      <c r="R49" s="135">
        <f t="shared" si="13"/>
        <v>1</v>
      </c>
      <c r="S49" s="137">
        <f t="shared" si="14"/>
        <v>50</v>
      </c>
      <c r="T49" s="138"/>
      <c r="U49" s="138"/>
      <c r="V49" s="138"/>
      <c r="W49" s="132"/>
      <c r="X49" s="132"/>
      <c r="Y49" s="151">
        <v>1.0</v>
      </c>
      <c r="Z49" s="138"/>
      <c r="AA49" s="138"/>
      <c r="AB49" s="217"/>
      <c r="AC49" s="140"/>
      <c r="AD49" s="140"/>
      <c r="AE49" s="141"/>
      <c r="AF49" s="226"/>
      <c r="AG49" s="226"/>
      <c r="AH49" s="238">
        <v>1.0</v>
      </c>
      <c r="AI49" s="225">
        <v>1.0</v>
      </c>
      <c r="AJ49" s="218"/>
      <c r="AK49" s="218"/>
      <c r="AL49" s="135">
        <f t="shared" si="15"/>
        <v>3</v>
      </c>
      <c r="AM49" s="183">
        <f t="shared" si="16"/>
        <v>37.5</v>
      </c>
      <c r="AN49" s="228"/>
      <c r="AO49" s="228"/>
      <c r="AP49" s="217"/>
      <c r="AQ49" s="138"/>
      <c r="AR49" s="138"/>
      <c r="AS49" s="225">
        <v>1.0</v>
      </c>
      <c r="AT49" s="133"/>
      <c r="AU49" s="133"/>
      <c r="AV49" s="133"/>
      <c r="AW49" s="133"/>
      <c r="AX49" s="133"/>
      <c r="AY49" s="133"/>
      <c r="AZ49" s="133"/>
      <c r="BA49" s="133"/>
      <c r="BB49" s="209"/>
      <c r="BC49" s="133"/>
      <c r="BD49" s="133"/>
      <c r="BE49" s="133"/>
      <c r="BF49" s="133"/>
      <c r="BG49" s="209"/>
      <c r="BH49" s="133"/>
      <c r="BI49" s="135">
        <f t="shared" si="17"/>
        <v>1</v>
      </c>
      <c r="BJ49" s="186">
        <f t="shared" si="18"/>
        <v>12.5</v>
      </c>
      <c r="BK49" s="138"/>
      <c r="BL49" s="132"/>
      <c r="BM49" s="138"/>
      <c r="BN49" s="138"/>
      <c r="BO49" s="138"/>
      <c r="BP49" s="138"/>
      <c r="BQ49" s="138"/>
      <c r="BR49" s="150">
        <v>1.0</v>
      </c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1</v>
      </c>
      <c r="CG49" s="190">
        <f t="shared" si="20"/>
        <v>11.11111111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22.22222222</v>
      </c>
      <c r="CW49" s="169">
        <f t="shared" si="8"/>
        <v>6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6</v>
      </c>
      <c r="E50" s="127">
        <f t="shared" si="10"/>
        <v>22.22222222</v>
      </c>
      <c r="F50" s="200">
        <f t="shared" si="11"/>
        <v>22.22222222</v>
      </c>
      <c r="G50" s="207">
        <f t="shared" si="12"/>
        <v>22.22222222</v>
      </c>
      <c r="H50" s="258"/>
      <c r="I50" s="258"/>
      <c r="J50" s="263"/>
      <c r="K50" s="263"/>
      <c r="L50" s="263"/>
      <c r="M50" s="269">
        <v>1.0</v>
      </c>
      <c r="N50" s="263"/>
      <c r="O50" s="263"/>
      <c r="P50" s="263"/>
      <c r="Q50" s="263"/>
      <c r="R50" s="135">
        <f t="shared" si="13"/>
        <v>1</v>
      </c>
      <c r="S50" s="137">
        <f t="shared" si="14"/>
        <v>50</v>
      </c>
      <c r="T50" s="138"/>
      <c r="U50" s="138"/>
      <c r="V50" s="138"/>
      <c r="W50" s="132"/>
      <c r="X50" s="132"/>
      <c r="Y50" s="151">
        <v>1.0</v>
      </c>
      <c r="Z50" s="138"/>
      <c r="AA50" s="138"/>
      <c r="AB50" s="233"/>
      <c r="AC50" s="140"/>
      <c r="AD50" s="140"/>
      <c r="AE50" s="141"/>
      <c r="AF50" s="234"/>
      <c r="AG50" s="234"/>
      <c r="AH50" s="236">
        <v>1.0</v>
      </c>
      <c r="AI50" s="209"/>
      <c r="AJ50" s="239"/>
      <c r="AK50" s="239"/>
      <c r="AL50" s="135">
        <f t="shared" si="15"/>
        <v>2</v>
      </c>
      <c r="AM50" s="183">
        <f t="shared" si="16"/>
        <v>25</v>
      </c>
      <c r="AN50" s="241"/>
      <c r="AO50" s="241"/>
      <c r="AP50" s="233"/>
      <c r="AQ50" s="138"/>
      <c r="AR50" s="138"/>
      <c r="AS50" s="209"/>
      <c r="AT50" s="133"/>
      <c r="AU50" s="133"/>
      <c r="AV50" s="133"/>
      <c r="AW50" s="133"/>
      <c r="AX50" s="133"/>
      <c r="AY50" s="133"/>
      <c r="AZ50" s="133"/>
      <c r="BA50" s="133"/>
      <c r="BB50" s="209"/>
      <c r="BC50" s="133"/>
      <c r="BD50" s="133"/>
      <c r="BE50" s="185">
        <v>1.0</v>
      </c>
      <c r="BF50" s="133"/>
      <c r="BG50" s="209"/>
      <c r="BH50" s="133"/>
      <c r="BI50" s="135">
        <f t="shared" si="17"/>
        <v>1</v>
      </c>
      <c r="BJ50" s="186">
        <f t="shared" si="18"/>
        <v>12.5</v>
      </c>
      <c r="BK50" s="138"/>
      <c r="BL50" s="132"/>
      <c r="BM50" s="138"/>
      <c r="BN50" s="138"/>
      <c r="BO50" s="138"/>
      <c r="BP50" s="138"/>
      <c r="BQ50" s="151">
        <v>1.0</v>
      </c>
      <c r="BR50" s="150">
        <v>1.0</v>
      </c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2</v>
      </c>
      <c r="CG50" s="190">
        <f t="shared" si="20"/>
        <v>22.22222222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22.22222222</v>
      </c>
      <c r="CW50" s="169">
        <f t="shared" si="8"/>
        <v>6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11</v>
      </c>
      <c r="E51" s="127">
        <f t="shared" si="10"/>
        <v>40.74074074</v>
      </c>
      <c r="F51" s="200">
        <f t="shared" si="11"/>
        <v>40.74074074</v>
      </c>
      <c r="G51" s="177" t="str">
        <f t="shared" si="12"/>
        <v>  </v>
      </c>
      <c r="H51" s="258"/>
      <c r="I51" s="265"/>
      <c r="J51" s="266"/>
      <c r="K51" s="266"/>
      <c r="L51" s="266"/>
      <c r="M51" s="270">
        <v>1.0</v>
      </c>
      <c r="N51" s="266"/>
      <c r="O51" s="266"/>
      <c r="P51" s="266"/>
      <c r="Q51" s="266"/>
      <c r="R51" s="135">
        <f t="shared" si="13"/>
        <v>1</v>
      </c>
      <c r="S51" s="137">
        <f t="shared" si="14"/>
        <v>50</v>
      </c>
      <c r="T51" s="138"/>
      <c r="U51" s="138"/>
      <c r="V51" s="138"/>
      <c r="W51" s="132"/>
      <c r="X51" s="132"/>
      <c r="Y51" s="138"/>
      <c r="Z51" s="138"/>
      <c r="AA51" s="151">
        <v>1.0</v>
      </c>
      <c r="AB51" s="254">
        <v>1.0</v>
      </c>
      <c r="AC51" s="150">
        <v>1.0</v>
      </c>
      <c r="AD51" s="140"/>
      <c r="AE51" s="141"/>
      <c r="AF51" s="248"/>
      <c r="AG51" s="248"/>
      <c r="AH51" s="248"/>
      <c r="AI51" s="235">
        <v>1.0</v>
      </c>
      <c r="AJ51" s="249"/>
      <c r="AK51" s="249"/>
      <c r="AL51" s="135">
        <f t="shared" si="15"/>
        <v>4</v>
      </c>
      <c r="AM51" s="183">
        <f t="shared" si="16"/>
        <v>50</v>
      </c>
      <c r="AN51" s="251"/>
      <c r="AO51" s="251"/>
      <c r="AP51" s="247"/>
      <c r="AQ51" s="138"/>
      <c r="AR51" s="138"/>
      <c r="AS51" s="235">
        <v>1.0</v>
      </c>
      <c r="AT51" s="133"/>
      <c r="AU51" s="133"/>
      <c r="AV51" s="133"/>
      <c r="AW51" s="133"/>
      <c r="AX51" s="133"/>
      <c r="AY51" s="133"/>
      <c r="AZ51" s="133"/>
      <c r="BA51" s="133"/>
      <c r="BB51" s="217"/>
      <c r="BC51" s="133"/>
      <c r="BD51" s="133"/>
      <c r="BE51" s="133"/>
      <c r="BF51" s="185">
        <v>1.0</v>
      </c>
      <c r="BG51" s="235">
        <v>1.0</v>
      </c>
      <c r="BH51" s="133"/>
      <c r="BI51" s="135">
        <f t="shared" si="17"/>
        <v>3</v>
      </c>
      <c r="BJ51" s="186">
        <f t="shared" si="18"/>
        <v>37.5</v>
      </c>
      <c r="BK51" s="138"/>
      <c r="BL51" s="170">
        <v>1.0</v>
      </c>
      <c r="BM51" s="138"/>
      <c r="BN51" s="138"/>
      <c r="BO51" s="138"/>
      <c r="BP51" s="151">
        <v>1.0</v>
      </c>
      <c r="BQ51" s="138"/>
      <c r="BR51" s="140"/>
      <c r="BS51" s="152"/>
      <c r="BT51" s="152"/>
      <c r="BU51" s="187">
        <v>1.0</v>
      </c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3</v>
      </c>
      <c r="CG51" s="190">
        <f t="shared" si="20"/>
        <v>33.33333333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40.74074074</v>
      </c>
      <c r="CW51" s="169">
        <f t="shared" si="8"/>
        <v>11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6</v>
      </c>
      <c r="E52" s="127">
        <f t="shared" si="10"/>
        <v>22.22222222</v>
      </c>
      <c r="F52" s="200">
        <f t="shared" si="11"/>
        <v>22.22222222</v>
      </c>
      <c r="G52" s="207">
        <f t="shared" si="12"/>
        <v>22.22222222</v>
      </c>
      <c r="H52" s="258"/>
      <c r="I52" s="258"/>
      <c r="J52" s="263"/>
      <c r="K52" s="269">
        <v>1.0</v>
      </c>
      <c r="L52" s="263"/>
      <c r="M52" s="269">
        <v>1.0</v>
      </c>
      <c r="N52" s="263"/>
      <c r="O52" s="263"/>
      <c r="P52" s="263"/>
      <c r="Q52" s="263"/>
      <c r="R52" s="135">
        <f t="shared" si="13"/>
        <v>2</v>
      </c>
      <c r="S52" s="137">
        <f t="shared" si="14"/>
        <v>100</v>
      </c>
      <c r="T52" s="138"/>
      <c r="U52" s="138"/>
      <c r="V52" s="138"/>
      <c r="W52" s="132"/>
      <c r="X52" s="132"/>
      <c r="Y52" s="138"/>
      <c r="Z52" s="138"/>
      <c r="AA52" s="151">
        <v>1.0</v>
      </c>
      <c r="AB52" s="209"/>
      <c r="AC52" s="150">
        <v>1.0</v>
      </c>
      <c r="AD52" s="140"/>
      <c r="AE52" s="141"/>
      <c r="AF52" s="210"/>
      <c r="AG52" s="210"/>
      <c r="AH52" s="211">
        <v>1.0</v>
      </c>
      <c r="AI52" s="233"/>
      <c r="AJ52" s="212"/>
      <c r="AK52" s="212"/>
      <c r="AL52" s="135">
        <f t="shared" si="15"/>
        <v>3</v>
      </c>
      <c r="AM52" s="183">
        <f t="shared" si="16"/>
        <v>37.5</v>
      </c>
      <c r="AN52" s="214"/>
      <c r="AO52" s="214"/>
      <c r="AP52" s="209"/>
      <c r="AQ52" s="138"/>
      <c r="AR52" s="138"/>
      <c r="AS52" s="233"/>
      <c r="AT52" s="133"/>
      <c r="AU52" s="133"/>
      <c r="AV52" s="133"/>
      <c r="AW52" s="133"/>
      <c r="AX52" s="133"/>
      <c r="AY52" s="133"/>
      <c r="AZ52" s="133"/>
      <c r="BA52" s="133"/>
      <c r="BB52" s="233"/>
      <c r="BC52" s="133"/>
      <c r="BD52" s="133"/>
      <c r="BE52" s="133"/>
      <c r="BF52" s="185">
        <v>1.0</v>
      </c>
      <c r="BG52" s="233"/>
      <c r="BH52" s="133"/>
      <c r="BI52" s="135">
        <f t="shared" si="17"/>
        <v>1</v>
      </c>
      <c r="BJ52" s="186">
        <f t="shared" si="18"/>
        <v>12.5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>
        <f t="shared" si="20"/>
        <v>0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22.22222222</v>
      </c>
      <c r="CW52" s="169">
        <f t="shared" si="8"/>
        <v>6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10</v>
      </c>
      <c r="E53" s="127">
        <f t="shared" si="10"/>
        <v>37.03703704</v>
      </c>
      <c r="F53" s="200">
        <f t="shared" si="11"/>
        <v>37.03703704</v>
      </c>
      <c r="G53" s="177" t="str">
        <f t="shared" si="12"/>
        <v>  </v>
      </c>
      <c r="H53" s="258"/>
      <c r="I53" s="258"/>
      <c r="J53" s="263"/>
      <c r="K53" s="263"/>
      <c r="L53" s="263"/>
      <c r="M53" s="269">
        <v>1.0</v>
      </c>
      <c r="N53" s="263"/>
      <c r="O53" s="263"/>
      <c r="P53" s="263"/>
      <c r="Q53" s="263"/>
      <c r="R53" s="135">
        <f t="shared" si="13"/>
        <v>1</v>
      </c>
      <c r="S53" s="137">
        <f t="shared" si="14"/>
        <v>50</v>
      </c>
      <c r="T53" s="138"/>
      <c r="U53" s="138"/>
      <c r="V53" s="138"/>
      <c r="W53" s="132"/>
      <c r="X53" s="132"/>
      <c r="Y53" s="138"/>
      <c r="Z53" s="138"/>
      <c r="AA53" s="138"/>
      <c r="AB53" s="225">
        <v>1.0</v>
      </c>
      <c r="AC53" s="150">
        <v>1.0</v>
      </c>
      <c r="AD53" s="140"/>
      <c r="AE53" s="141"/>
      <c r="AF53" s="210"/>
      <c r="AG53" s="210"/>
      <c r="AH53" s="210"/>
      <c r="AI53" s="247"/>
      <c r="AJ53" s="212"/>
      <c r="AK53" s="212"/>
      <c r="AL53" s="135">
        <f t="shared" si="15"/>
        <v>2</v>
      </c>
      <c r="AM53" s="183">
        <f t="shared" si="16"/>
        <v>25</v>
      </c>
      <c r="AN53" s="214"/>
      <c r="AO53" s="214"/>
      <c r="AP53" s="209"/>
      <c r="AQ53" s="138"/>
      <c r="AR53" s="138"/>
      <c r="AS53" s="254">
        <v>1.0</v>
      </c>
      <c r="AT53" s="133"/>
      <c r="AU53" s="133"/>
      <c r="AV53" s="133"/>
      <c r="AW53" s="133"/>
      <c r="AX53" s="133"/>
      <c r="AY53" s="133"/>
      <c r="AZ53" s="133"/>
      <c r="BA53" s="133"/>
      <c r="BB53" s="247"/>
      <c r="BC53" s="133"/>
      <c r="BD53" s="133"/>
      <c r="BE53" s="133"/>
      <c r="BF53" s="185">
        <v>1.0</v>
      </c>
      <c r="BG53" s="254">
        <v>1.0</v>
      </c>
      <c r="BH53" s="133"/>
      <c r="BI53" s="135">
        <f t="shared" si="17"/>
        <v>3</v>
      </c>
      <c r="BJ53" s="186">
        <f t="shared" si="18"/>
        <v>37.5</v>
      </c>
      <c r="BK53" s="138"/>
      <c r="BL53" s="170">
        <v>1.0</v>
      </c>
      <c r="BM53" s="151">
        <v>1.0</v>
      </c>
      <c r="BN53" s="138"/>
      <c r="BO53" s="138"/>
      <c r="BP53" s="151">
        <v>1.0</v>
      </c>
      <c r="BQ53" s="138"/>
      <c r="BR53" s="140"/>
      <c r="BS53" s="152"/>
      <c r="BT53" s="152"/>
      <c r="BU53" s="152"/>
      <c r="BV53" s="187">
        <v>1.0</v>
      </c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4</v>
      </c>
      <c r="CG53" s="190">
        <f t="shared" si="20"/>
        <v>44.44444444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37.03703704</v>
      </c>
      <c r="CW53" s="169">
        <f t="shared" si="8"/>
        <v>10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6</v>
      </c>
      <c r="E54" s="127">
        <f t="shared" si="10"/>
        <v>22.22222222</v>
      </c>
      <c r="F54" s="200">
        <f t="shared" si="11"/>
        <v>22.22222222</v>
      </c>
      <c r="G54" s="207">
        <f t="shared" si="12"/>
        <v>22.22222222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3"/>
        <v>0</v>
      </c>
      <c r="S54" s="137">
        <f t="shared" si="14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09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225">
        <v>1.0</v>
      </c>
      <c r="AT54" s="133"/>
      <c r="AU54" s="133"/>
      <c r="AV54" s="133"/>
      <c r="AW54" s="133"/>
      <c r="AX54" s="133"/>
      <c r="AY54" s="133"/>
      <c r="AZ54" s="133"/>
      <c r="BA54" s="133"/>
      <c r="BB54" s="209"/>
      <c r="BC54" s="133"/>
      <c r="BD54" s="133"/>
      <c r="BE54" s="133"/>
      <c r="BF54" s="133"/>
      <c r="BG54" s="209"/>
      <c r="BH54" s="133"/>
      <c r="BI54" s="135">
        <f t="shared" si="17"/>
        <v>1</v>
      </c>
      <c r="BJ54" s="186">
        <f t="shared" si="18"/>
        <v>12.5</v>
      </c>
      <c r="BK54" s="138"/>
      <c r="BL54" s="132"/>
      <c r="BM54" s="151">
        <v>1.0</v>
      </c>
      <c r="BN54" s="138"/>
      <c r="BO54" s="138"/>
      <c r="BP54" s="151">
        <v>1.0</v>
      </c>
      <c r="BQ54" s="151">
        <v>1.0</v>
      </c>
      <c r="BR54" s="140"/>
      <c r="BS54" s="187">
        <v>1.0</v>
      </c>
      <c r="BT54" s="152"/>
      <c r="BU54" s="152"/>
      <c r="BV54" s="187">
        <v>1.0</v>
      </c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5</v>
      </c>
      <c r="CG54" s="190">
        <f t="shared" si="20"/>
        <v>55.55555556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22.22222222</v>
      </c>
      <c r="CW54" s="169">
        <f t="shared" si="8"/>
        <v>6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4</v>
      </c>
      <c r="E55" s="127">
        <f t="shared" si="10"/>
        <v>14.81481481</v>
      </c>
      <c r="F55" s="200">
        <f t="shared" si="11"/>
        <v>14.81481481</v>
      </c>
      <c r="G55" s="207">
        <f t="shared" si="12"/>
        <v>14.81481481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3"/>
        <v>0</v>
      </c>
      <c r="S55" s="137">
        <f t="shared" si="14"/>
        <v>0</v>
      </c>
      <c r="T55" s="138"/>
      <c r="U55" s="138"/>
      <c r="V55" s="138"/>
      <c r="W55" s="132"/>
      <c r="X55" s="132"/>
      <c r="Y55" s="151">
        <v>1.0</v>
      </c>
      <c r="Z55" s="138"/>
      <c r="AA55" s="138"/>
      <c r="AB55" s="225">
        <v>1.0</v>
      </c>
      <c r="AC55" s="150">
        <v>1.0</v>
      </c>
      <c r="AD55" s="140"/>
      <c r="AE55" s="141"/>
      <c r="AF55" s="210"/>
      <c r="AG55" s="210"/>
      <c r="AH55" s="210"/>
      <c r="AI55" s="209"/>
      <c r="AJ55" s="212"/>
      <c r="AK55" s="212"/>
      <c r="AL55" s="135">
        <f t="shared" si="15"/>
        <v>3</v>
      </c>
      <c r="AM55" s="183">
        <f t="shared" si="16"/>
        <v>37.5</v>
      </c>
      <c r="AN55" s="214"/>
      <c r="AO55" s="214"/>
      <c r="AP55" s="209"/>
      <c r="AQ55" s="138"/>
      <c r="AR55" s="138"/>
      <c r="AS55" s="209"/>
      <c r="AT55" s="133"/>
      <c r="AU55" s="133"/>
      <c r="AV55" s="133"/>
      <c r="AW55" s="133"/>
      <c r="AX55" s="133"/>
      <c r="AY55" s="133"/>
      <c r="AZ55" s="133"/>
      <c r="BA55" s="133"/>
      <c r="BB55" s="209"/>
      <c r="BC55" s="133"/>
      <c r="BD55" s="133"/>
      <c r="BE55" s="133"/>
      <c r="BF55" s="133"/>
      <c r="BG55" s="209"/>
      <c r="BH55" s="133"/>
      <c r="BI55" s="135">
        <f t="shared" si="17"/>
        <v>0</v>
      </c>
      <c r="BJ55" s="186">
        <f t="shared" si="18"/>
        <v>0</v>
      </c>
      <c r="BK55" s="138"/>
      <c r="BL55" s="132"/>
      <c r="BM55" s="138"/>
      <c r="BN55" s="138"/>
      <c r="BO55" s="138"/>
      <c r="BP55" s="138"/>
      <c r="BQ55" s="138"/>
      <c r="BR55" s="150">
        <v>1.0</v>
      </c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1</v>
      </c>
      <c r="CG55" s="190">
        <f t="shared" si="20"/>
        <v>11.11111111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14.81481481</v>
      </c>
      <c r="CW55" s="169">
        <f t="shared" si="8"/>
        <v>4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5</v>
      </c>
      <c r="E56" s="127">
        <f t="shared" si="10"/>
        <v>18.51851852</v>
      </c>
      <c r="F56" s="200">
        <f t="shared" si="11"/>
        <v>18.51851852</v>
      </c>
      <c r="G56" s="207">
        <f t="shared" si="12"/>
        <v>18.51851852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3"/>
        <v>0</v>
      </c>
      <c r="S56" s="137">
        <f t="shared" si="14"/>
        <v>0</v>
      </c>
      <c r="T56" s="138"/>
      <c r="U56" s="138"/>
      <c r="V56" s="138"/>
      <c r="W56" s="132"/>
      <c r="X56" s="132"/>
      <c r="Y56" s="151">
        <v>1.0</v>
      </c>
      <c r="Z56" s="138"/>
      <c r="AA56" s="138"/>
      <c r="AB56" s="209"/>
      <c r="AC56" s="150">
        <v>1.0</v>
      </c>
      <c r="AD56" s="140"/>
      <c r="AE56" s="141"/>
      <c r="AF56" s="210"/>
      <c r="AG56" s="210"/>
      <c r="AH56" s="211">
        <v>1.0</v>
      </c>
      <c r="AI56" s="209"/>
      <c r="AJ56" s="212"/>
      <c r="AK56" s="212"/>
      <c r="AL56" s="135">
        <f t="shared" si="15"/>
        <v>3</v>
      </c>
      <c r="AM56" s="183">
        <f t="shared" si="16"/>
        <v>37.5</v>
      </c>
      <c r="AN56" s="214"/>
      <c r="AO56" s="214"/>
      <c r="AP56" s="209"/>
      <c r="AQ56" s="138"/>
      <c r="AR56" s="138"/>
      <c r="AS56" s="209"/>
      <c r="AT56" s="133"/>
      <c r="AU56" s="133"/>
      <c r="AV56" s="133"/>
      <c r="AW56" s="133"/>
      <c r="AX56" s="133"/>
      <c r="AY56" s="133"/>
      <c r="AZ56" s="133"/>
      <c r="BA56" s="133"/>
      <c r="BB56" s="209"/>
      <c r="BC56" s="133"/>
      <c r="BD56" s="133"/>
      <c r="BE56" s="133"/>
      <c r="BF56" s="133"/>
      <c r="BG56" s="209"/>
      <c r="BH56" s="133"/>
      <c r="BI56" s="135">
        <f t="shared" si="17"/>
        <v>0</v>
      </c>
      <c r="BJ56" s="186">
        <f t="shared" si="18"/>
        <v>0</v>
      </c>
      <c r="BK56" s="151">
        <v>1.0</v>
      </c>
      <c r="BL56" s="132"/>
      <c r="BM56" s="138"/>
      <c r="BN56" s="138"/>
      <c r="BO56" s="138"/>
      <c r="BP56" s="138"/>
      <c r="BQ56" s="138"/>
      <c r="BR56" s="140"/>
      <c r="BS56" s="152"/>
      <c r="BT56" s="152"/>
      <c r="BU56" s="187">
        <v>1.0</v>
      </c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2</v>
      </c>
      <c r="CG56" s="190">
        <f t="shared" si="20"/>
        <v>22.22222222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18.51851852</v>
      </c>
      <c r="CW56" s="169">
        <f t="shared" si="8"/>
        <v>5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7</v>
      </c>
      <c r="E57" s="127">
        <f t="shared" si="10"/>
        <v>25.92592593</v>
      </c>
      <c r="F57" s="200">
        <f t="shared" si="11"/>
        <v>25.92592593</v>
      </c>
      <c r="G57" s="207">
        <f t="shared" si="12"/>
        <v>25.92592593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3"/>
        <v>0</v>
      </c>
      <c r="S57" s="137">
        <f t="shared" si="14"/>
        <v>0</v>
      </c>
      <c r="T57" s="138"/>
      <c r="U57" s="138"/>
      <c r="V57" s="138"/>
      <c r="W57" s="132"/>
      <c r="X57" s="132"/>
      <c r="Y57" s="151">
        <v>1.0</v>
      </c>
      <c r="Z57" s="138"/>
      <c r="AA57" s="138"/>
      <c r="AB57" s="225">
        <v>1.0</v>
      </c>
      <c r="AC57" s="150">
        <v>1.0</v>
      </c>
      <c r="AD57" s="140"/>
      <c r="AE57" s="141"/>
      <c r="AF57" s="210"/>
      <c r="AG57" s="210"/>
      <c r="AH57" s="211">
        <v>1.0</v>
      </c>
      <c r="AI57" s="225">
        <v>1.0</v>
      </c>
      <c r="AJ57" s="212"/>
      <c r="AK57" s="212"/>
      <c r="AL57" s="135">
        <f t="shared" si="15"/>
        <v>5</v>
      </c>
      <c r="AM57" s="183">
        <f t="shared" si="16"/>
        <v>62.5</v>
      </c>
      <c r="AN57" s="214"/>
      <c r="AO57" s="214"/>
      <c r="AP57" s="209"/>
      <c r="AQ57" s="138"/>
      <c r="AR57" s="138"/>
      <c r="AS57" s="209"/>
      <c r="AT57" s="133"/>
      <c r="AU57" s="133"/>
      <c r="AV57" s="133"/>
      <c r="AW57" s="133"/>
      <c r="AX57" s="133"/>
      <c r="AY57" s="133"/>
      <c r="AZ57" s="133"/>
      <c r="BA57" s="133"/>
      <c r="BB57" s="209"/>
      <c r="BC57" s="133"/>
      <c r="BD57" s="133"/>
      <c r="BE57" s="133"/>
      <c r="BF57" s="185">
        <v>1.0</v>
      </c>
      <c r="BG57" s="209"/>
      <c r="BH57" s="133"/>
      <c r="BI57" s="135">
        <f t="shared" si="17"/>
        <v>1</v>
      </c>
      <c r="BJ57" s="186">
        <f t="shared" si="18"/>
        <v>12.5</v>
      </c>
      <c r="BK57" s="138"/>
      <c r="BL57" s="132"/>
      <c r="BM57" s="138"/>
      <c r="BN57" s="138"/>
      <c r="BO57" s="138"/>
      <c r="BP57" s="138"/>
      <c r="BQ57" s="138"/>
      <c r="BR57" s="150">
        <v>1.0</v>
      </c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1</v>
      </c>
      <c r="CG57" s="190">
        <f t="shared" si="20"/>
        <v>11.11111111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25.92592593</v>
      </c>
      <c r="CW57" s="169">
        <f t="shared" si="8"/>
        <v>7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13</v>
      </c>
      <c r="E58" s="127">
        <f t="shared" si="10"/>
        <v>48.14814815</v>
      </c>
      <c r="F58" s="200">
        <f t="shared" si="11"/>
        <v>48.14814815</v>
      </c>
      <c r="G58" s="177" t="str">
        <f t="shared" si="12"/>
        <v>  </v>
      </c>
      <c r="H58" s="258"/>
      <c r="I58" s="261"/>
      <c r="J58" s="262"/>
      <c r="K58" s="268">
        <v>1.0</v>
      </c>
      <c r="L58" s="262"/>
      <c r="M58" s="262"/>
      <c r="N58" s="262"/>
      <c r="O58" s="262"/>
      <c r="P58" s="262"/>
      <c r="Q58" s="262"/>
      <c r="R58" s="135">
        <f t="shared" si="13"/>
        <v>1</v>
      </c>
      <c r="S58" s="137">
        <f t="shared" si="14"/>
        <v>50</v>
      </c>
      <c r="T58" s="138"/>
      <c r="U58" s="138"/>
      <c r="V58" s="138"/>
      <c r="W58" s="132"/>
      <c r="X58" s="132"/>
      <c r="Y58" s="138"/>
      <c r="Z58" s="138"/>
      <c r="AA58" s="138"/>
      <c r="AB58" s="235">
        <v>1.0</v>
      </c>
      <c r="AC58" s="150">
        <v>1.0</v>
      </c>
      <c r="AD58" s="150">
        <v>1.0</v>
      </c>
      <c r="AE58" s="141"/>
      <c r="AF58" s="226"/>
      <c r="AG58" s="226"/>
      <c r="AH58" s="226"/>
      <c r="AI58" s="209"/>
      <c r="AJ58" s="218"/>
      <c r="AK58" s="218"/>
      <c r="AL58" s="135">
        <f t="shared" si="15"/>
        <v>3</v>
      </c>
      <c r="AM58" s="183">
        <f t="shared" si="16"/>
        <v>37.5</v>
      </c>
      <c r="AN58" s="228"/>
      <c r="AO58" s="228"/>
      <c r="AP58" s="217"/>
      <c r="AQ58" s="138"/>
      <c r="AR58" s="138"/>
      <c r="AS58" s="225">
        <v>1.0</v>
      </c>
      <c r="AT58" s="133"/>
      <c r="AU58" s="133"/>
      <c r="AV58" s="133"/>
      <c r="AW58" s="133"/>
      <c r="AX58" s="133"/>
      <c r="AY58" s="133"/>
      <c r="AZ58" s="133"/>
      <c r="BA58" s="133"/>
      <c r="BB58" s="209"/>
      <c r="BC58" s="133"/>
      <c r="BD58" s="133"/>
      <c r="BE58" s="133"/>
      <c r="BF58" s="185">
        <v>1.0</v>
      </c>
      <c r="BG58" s="225">
        <v>1.0</v>
      </c>
      <c r="BH58" s="133"/>
      <c r="BI58" s="135">
        <f t="shared" si="17"/>
        <v>3</v>
      </c>
      <c r="BJ58" s="186">
        <f t="shared" si="18"/>
        <v>37.5</v>
      </c>
      <c r="BK58" s="138"/>
      <c r="BL58" s="170">
        <v>1.0</v>
      </c>
      <c r="BM58" s="151">
        <v>1.0</v>
      </c>
      <c r="BN58" s="138"/>
      <c r="BO58" s="138"/>
      <c r="BP58" s="138"/>
      <c r="BQ58" s="151">
        <v>1.0</v>
      </c>
      <c r="BR58" s="150">
        <v>1.0</v>
      </c>
      <c r="BS58" s="152"/>
      <c r="BT58" s="152"/>
      <c r="BU58" s="187">
        <v>1.0</v>
      </c>
      <c r="BV58" s="187">
        <v>1.0</v>
      </c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6</v>
      </c>
      <c r="CG58" s="190">
        <f t="shared" si="20"/>
        <v>66.66666667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48.14814815</v>
      </c>
      <c r="CW58" s="169">
        <f t="shared" si="8"/>
        <v>13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7</v>
      </c>
      <c r="E59" s="127">
        <f t="shared" si="10"/>
        <v>25.92592593</v>
      </c>
      <c r="F59" s="200">
        <f t="shared" si="11"/>
        <v>25.92592593</v>
      </c>
      <c r="G59" s="207">
        <f t="shared" si="12"/>
        <v>25.92592593</v>
      </c>
      <c r="H59" s="258"/>
      <c r="I59" s="261"/>
      <c r="J59" s="262"/>
      <c r="K59" s="262"/>
      <c r="L59" s="262"/>
      <c r="M59" s="268">
        <v>1.0</v>
      </c>
      <c r="N59" s="262"/>
      <c r="O59" s="262"/>
      <c r="P59" s="262"/>
      <c r="Q59" s="262"/>
      <c r="R59" s="135">
        <f t="shared" si="13"/>
        <v>1</v>
      </c>
      <c r="S59" s="137">
        <f t="shared" si="14"/>
        <v>50</v>
      </c>
      <c r="T59" s="138"/>
      <c r="U59" s="138"/>
      <c r="V59" s="138"/>
      <c r="W59" s="132"/>
      <c r="X59" s="132"/>
      <c r="Y59" s="151">
        <v>1.0</v>
      </c>
      <c r="Z59" s="138"/>
      <c r="AA59" s="138"/>
      <c r="AB59" s="217"/>
      <c r="AC59" s="140"/>
      <c r="AD59" s="140"/>
      <c r="AE59" s="141"/>
      <c r="AF59" s="226"/>
      <c r="AG59" s="226"/>
      <c r="AH59" s="238">
        <v>1.0</v>
      </c>
      <c r="AI59" s="225">
        <v>1.0</v>
      </c>
      <c r="AJ59" s="218"/>
      <c r="AK59" s="218"/>
      <c r="AL59" s="135">
        <f t="shared" si="15"/>
        <v>3</v>
      </c>
      <c r="AM59" s="183">
        <f t="shared" si="16"/>
        <v>37.5</v>
      </c>
      <c r="AN59" s="228"/>
      <c r="AO59" s="228"/>
      <c r="AP59" s="217"/>
      <c r="AQ59" s="138"/>
      <c r="AR59" s="138"/>
      <c r="AS59" s="225">
        <v>1.0</v>
      </c>
      <c r="AT59" s="133"/>
      <c r="AU59" s="133"/>
      <c r="AV59" s="133"/>
      <c r="AW59" s="133"/>
      <c r="AX59" s="133"/>
      <c r="AY59" s="133"/>
      <c r="AZ59" s="133"/>
      <c r="BA59" s="133"/>
      <c r="BB59" s="209"/>
      <c r="BC59" s="133"/>
      <c r="BD59" s="133"/>
      <c r="BE59" s="133"/>
      <c r="BF59" s="185">
        <v>1.0</v>
      </c>
      <c r="BG59" s="209"/>
      <c r="BH59" s="133"/>
      <c r="BI59" s="135">
        <f t="shared" si="17"/>
        <v>2</v>
      </c>
      <c r="BJ59" s="186">
        <f t="shared" si="18"/>
        <v>25</v>
      </c>
      <c r="BK59" s="138"/>
      <c r="BL59" s="132"/>
      <c r="BM59" s="138"/>
      <c r="BN59" s="138"/>
      <c r="BO59" s="138"/>
      <c r="BP59" s="138"/>
      <c r="BQ59" s="138"/>
      <c r="BR59" s="150">
        <v>1.0</v>
      </c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1</v>
      </c>
      <c r="CG59" s="190">
        <f t="shared" si="20"/>
        <v>11.11111111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25.92592593</v>
      </c>
      <c r="CW59" s="169">
        <f t="shared" si="8"/>
        <v>7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5</v>
      </c>
      <c r="E60" s="127">
        <f t="shared" si="10"/>
        <v>18.51851852</v>
      </c>
      <c r="F60" s="200">
        <f t="shared" si="11"/>
        <v>18.51851852</v>
      </c>
      <c r="G60" s="207">
        <f t="shared" si="12"/>
        <v>18.51851852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3"/>
        <v>0</v>
      </c>
      <c r="S60" s="137">
        <f t="shared" si="14"/>
        <v>0</v>
      </c>
      <c r="T60" s="138"/>
      <c r="U60" s="138"/>
      <c r="V60" s="138"/>
      <c r="W60" s="132"/>
      <c r="X60" s="132"/>
      <c r="Y60" s="151">
        <v>1.0</v>
      </c>
      <c r="Z60" s="138"/>
      <c r="AA60" s="138"/>
      <c r="AB60" s="209"/>
      <c r="AC60" s="140"/>
      <c r="AD60" s="140"/>
      <c r="AE60" s="141"/>
      <c r="AF60" s="210"/>
      <c r="AG60" s="210"/>
      <c r="AH60" s="210"/>
      <c r="AI60" s="217"/>
      <c r="AJ60" s="212"/>
      <c r="AK60" s="212"/>
      <c r="AL60" s="135">
        <f t="shared" si="15"/>
        <v>1</v>
      </c>
      <c r="AM60" s="183">
        <f t="shared" si="16"/>
        <v>12.5</v>
      </c>
      <c r="AN60" s="214"/>
      <c r="AO60" s="214"/>
      <c r="AP60" s="209"/>
      <c r="AQ60" s="138"/>
      <c r="AR60" s="138"/>
      <c r="AS60" s="235">
        <v>1.0</v>
      </c>
      <c r="AT60" s="133"/>
      <c r="AU60" s="133"/>
      <c r="AV60" s="133"/>
      <c r="AW60" s="133"/>
      <c r="AX60" s="133"/>
      <c r="AY60" s="133"/>
      <c r="AZ60" s="133"/>
      <c r="BA60" s="133"/>
      <c r="BB60" s="217"/>
      <c r="BC60" s="133"/>
      <c r="BD60" s="133"/>
      <c r="BE60" s="133"/>
      <c r="BF60" s="185">
        <v>1.0</v>
      </c>
      <c r="BG60" s="235">
        <v>1.0</v>
      </c>
      <c r="BH60" s="133"/>
      <c r="BI60" s="135">
        <f t="shared" si="17"/>
        <v>3</v>
      </c>
      <c r="BJ60" s="186">
        <f t="shared" si="18"/>
        <v>37.5</v>
      </c>
      <c r="BK60" s="138"/>
      <c r="BL60" s="132"/>
      <c r="BM60" s="138"/>
      <c r="BN60" s="138"/>
      <c r="BO60" s="138"/>
      <c r="BP60" s="151">
        <v>1.0</v>
      </c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1</v>
      </c>
      <c r="CG60" s="190">
        <f t="shared" si="20"/>
        <v>11.11111111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18.51851852</v>
      </c>
      <c r="CW60" s="169">
        <f t="shared" si="8"/>
        <v>5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16</v>
      </c>
      <c r="E61" s="127">
        <f t="shared" si="10"/>
        <v>59.25925926</v>
      </c>
      <c r="F61" s="200" t="str">
        <f t="shared" si="11"/>
        <v>  </v>
      </c>
      <c r="G61" s="177" t="str">
        <f t="shared" si="12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3"/>
        <v>0</v>
      </c>
      <c r="S61" s="137">
        <f t="shared" si="14"/>
        <v>0</v>
      </c>
      <c r="T61" s="138"/>
      <c r="U61" s="138"/>
      <c r="V61" s="138"/>
      <c r="W61" s="132"/>
      <c r="X61" s="132"/>
      <c r="Y61" s="151">
        <v>1.0</v>
      </c>
      <c r="Z61" s="138"/>
      <c r="AA61" s="151">
        <v>1.0</v>
      </c>
      <c r="AB61" s="225">
        <v>1.0</v>
      </c>
      <c r="AC61" s="150">
        <v>1.0</v>
      </c>
      <c r="AD61" s="150">
        <v>1.0</v>
      </c>
      <c r="AE61" s="141"/>
      <c r="AF61" s="210"/>
      <c r="AG61" s="210"/>
      <c r="AH61" s="210"/>
      <c r="AI61" s="217"/>
      <c r="AJ61" s="212"/>
      <c r="AK61" s="212"/>
      <c r="AL61" s="135">
        <f t="shared" si="15"/>
        <v>5</v>
      </c>
      <c r="AM61" s="183">
        <f t="shared" si="16"/>
        <v>62.5</v>
      </c>
      <c r="AN61" s="214"/>
      <c r="AO61" s="214"/>
      <c r="AP61" s="209"/>
      <c r="AQ61" s="138"/>
      <c r="AR61" s="138"/>
      <c r="AS61" s="235">
        <v>1.0</v>
      </c>
      <c r="AT61" s="133"/>
      <c r="AU61" s="133"/>
      <c r="AV61" s="133"/>
      <c r="AW61" s="185">
        <v>1.0</v>
      </c>
      <c r="AX61" s="133"/>
      <c r="AY61" s="133"/>
      <c r="AZ61" s="133"/>
      <c r="BA61" s="133"/>
      <c r="BB61" s="235">
        <v>1.0</v>
      </c>
      <c r="BC61" s="133"/>
      <c r="BD61" s="133"/>
      <c r="BE61" s="185">
        <v>1.0</v>
      </c>
      <c r="BF61" s="185">
        <v>1.0</v>
      </c>
      <c r="BG61" s="217"/>
      <c r="BH61" s="133"/>
      <c r="BI61" s="135">
        <f t="shared" si="17"/>
        <v>5</v>
      </c>
      <c r="BJ61" s="186">
        <f t="shared" si="18"/>
        <v>62.5</v>
      </c>
      <c r="BK61" s="151">
        <v>1.0</v>
      </c>
      <c r="BL61" s="170">
        <v>1.0</v>
      </c>
      <c r="BM61" s="151">
        <v>1.0</v>
      </c>
      <c r="BN61" s="138"/>
      <c r="BO61" s="138"/>
      <c r="BP61" s="151">
        <v>1.0</v>
      </c>
      <c r="BQ61" s="138"/>
      <c r="BR61" s="140"/>
      <c r="BS61" s="187">
        <v>1.0</v>
      </c>
      <c r="BT61" s="152"/>
      <c r="BU61" s="187">
        <v>1.0</v>
      </c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6</v>
      </c>
      <c r="CG61" s="190">
        <f t="shared" si="20"/>
        <v>66.66666667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59.25925926</v>
      </c>
      <c r="CW61" s="169">
        <f t="shared" si="8"/>
        <v>16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5</v>
      </c>
      <c r="E62" s="127">
        <f t="shared" si="10"/>
        <v>18.51851852</v>
      </c>
      <c r="F62" s="200">
        <f t="shared" si="11"/>
        <v>18.51851852</v>
      </c>
      <c r="G62" s="207">
        <f t="shared" si="12"/>
        <v>18.51851852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3"/>
        <v>0</v>
      </c>
      <c r="S62" s="137">
        <f t="shared" si="14"/>
        <v>0</v>
      </c>
      <c r="T62" s="138"/>
      <c r="U62" s="138"/>
      <c r="V62" s="138"/>
      <c r="W62" s="132"/>
      <c r="X62" s="132"/>
      <c r="Y62" s="151">
        <v>1.0</v>
      </c>
      <c r="Z62" s="138"/>
      <c r="AA62" s="151">
        <v>1.0</v>
      </c>
      <c r="AB62" s="244">
        <v>1.0</v>
      </c>
      <c r="AC62" s="140"/>
      <c r="AD62" s="140"/>
      <c r="AE62" s="141"/>
      <c r="AF62" s="234"/>
      <c r="AG62" s="234"/>
      <c r="AH62" s="234"/>
      <c r="AI62" s="209"/>
      <c r="AJ62" s="239"/>
      <c r="AK62" s="239"/>
      <c r="AL62" s="135">
        <f t="shared" si="15"/>
        <v>3</v>
      </c>
      <c r="AM62" s="183">
        <f t="shared" si="16"/>
        <v>37.5</v>
      </c>
      <c r="AN62" s="241"/>
      <c r="AO62" s="241"/>
      <c r="AP62" s="233"/>
      <c r="AQ62" s="138"/>
      <c r="AR62" s="138"/>
      <c r="AS62" s="209"/>
      <c r="AT62" s="133"/>
      <c r="AU62" s="133"/>
      <c r="AV62" s="133"/>
      <c r="AW62" s="133"/>
      <c r="AX62" s="133"/>
      <c r="AY62" s="133"/>
      <c r="AZ62" s="133"/>
      <c r="BA62" s="133"/>
      <c r="BB62" s="209"/>
      <c r="BC62" s="133"/>
      <c r="BD62" s="133"/>
      <c r="BE62" s="133"/>
      <c r="BF62" s="133"/>
      <c r="BG62" s="225">
        <v>1.0</v>
      </c>
      <c r="BH62" s="133"/>
      <c r="BI62" s="135">
        <f t="shared" si="17"/>
        <v>1</v>
      </c>
      <c r="BJ62" s="186">
        <f t="shared" si="18"/>
        <v>12.5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87">
        <v>1.0</v>
      </c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1</v>
      </c>
      <c r="CG62" s="190">
        <f t="shared" si="20"/>
        <v>11.11111111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18.51851852</v>
      </c>
      <c r="CW62" s="169">
        <f t="shared" si="8"/>
        <v>5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6</v>
      </c>
      <c r="E63" s="127">
        <f t="shared" si="10"/>
        <v>22.22222222</v>
      </c>
      <c r="F63" s="200">
        <f t="shared" si="11"/>
        <v>22.22222222</v>
      </c>
      <c r="G63" s="207">
        <f t="shared" si="12"/>
        <v>22.22222222</v>
      </c>
      <c r="H63" s="258"/>
      <c r="I63" s="258"/>
      <c r="J63" s="263"/>
      <c r="K63" s="263"/>
      <c r="L63" s="263"/>
      <c r="M63" s="269">
        <v>1.0</v>
      </c>
      <c r="N63" s="263"/>
      <c r="O63" s="263"/>
      <c r="P63" s="263"/>
      <c r="Q63" s="263"/>
      <c r="R63" s="135">
        <f t="shared" si="13"/>
        <v>1</v>
      </c>
      <c r="S63" s="137">
        <f t="shared" si="14"/>
        <v>50</v>
      </c>
      <c r="T63" s="138"/>
      <c r="U63" s="138"/>
      <c r="V63" s="138"/>
      <c r="W63" s="132"/>
      <c r="X63" s="132"/>
      <c r="Y63" s="138"/>
      <c r="Z63" s="138"/>
      <c r="AA63" s="138"/>
      <c r="AB63" s="225">
        <v>1.0</v>
      </c>
      <c r="AC63" s="150">
        <v>1.0</v>
      </c>
      <c r="AD63" s="140"/>
      <c r="AE63" s="141"/>
      <c r="AF63" s="210"/>
      <c r="AG63" s="210"/>
      <c r="AH63" s="210"/>
      <c r="AI63" s="225">
        <v>1.0</v>
      </c>
      <c r="AJ63" s="212"/>
      <c r="AK63" s="212"/>
      <c r="AL63" s="135">
        <f t="shared" si="15"/>
        <v>3</v>
      </c>
      <c r="AM63" s="183">
        <f t="shared" si="16"/>
        <v>37.5</v>
      </c>
      <c r="AN63" s="214"/>
      <c r="AO63" s="214"/>
      <c r="AP63" s="209"/>
      <c r="AQ63" s="138"/>
      <c r="AR63" s="138"/>
      <c r="AS63" s="209"/>
      <c r="AT63" s="133"/>
      <c r="AU63" s="133"/>
      <c r="AV63" s="133"/>
      <c r="AW63" s="133"/>
      <c r="AX63" s="133"/>
      <c r="AY63" s="133"/>
      <c r="AZ63" s="133"/>
      <c r="BA63" s="133"/>
      <c r="BB63" s="209"/>
      <c r="BC63" s="133"/>
      <c r="BD63" s="133"/>
      <c r="BE63" s="133"/>
      <c r="BF63" s="133"/>
      <c r="BG63" s="209"/>
      <c r="BH63" s="133"/>
      <c r="BI63" s="135">
        <f t="shared" si="17"/>
        <v>0</v>
      </c>
      <c r="BJ63" s="186">
        <f t="shared" si="18"/>
        <v>0</v>
      </c>
      <c r="BK63" s="138"/>
      <c r="BL63" s="132"/>
      <c r="BM63" s="151">
        <v>1.0</v>
      </c>
      <c r="BN63" s="138"/>
      <c r="BO63" s="138"/>
      <c r="BP63" s="151">
        <v>1.0</v>
      </c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2</v>
      </c>
      <c r="CG63" s="190">
        <f t="shared" si="20"/>
        <v>22.22222222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22.22222222</v>
      </c>
      <c r="CW63" s="169">
        <f t="shared" si="8"/>
        <v>6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7</v>
      </c>
      <c r="E64" s="127">
        <f t="shared" si="10"/>
        <v>25.92592593</v>
      </c>
      <c r="F64" s="200">
        <f t="shared" si="11"/>
        <v>25.92592593</v>
      </c>
      <c r="G64" s="207">
        <f t="shared" si="12"/>
        <v>25.92592593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3"/>
        <v>0</v>
      </c>
      <c r="S64" s="137">
        <f t="shared" si="14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33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244">
        <v>1.0</v>
      </c>
      <c r="AT64" s="133"/>
      <c r="AU64" s="133"/>
      <c r="AV64" s="133"/>
      <c r="AW64" s="133"/>
      <c r="AX64" s="133"/>
      <c r="AY64" s="133"/>
      <c r="AZ64" s="133"/>
      <c r="BA64" s="133"/>
      <c r="BB64" s="233"/>
      <c r="BC64" s="133"/>
      <c r="BD64" s="133"/>
      <c r="BE64" s="133"/>
      <c r="BF64" s="133"/>
      <c r="BG64" s="233"/>
      <c r="BH64" s="133"/>
      <c r="BI64" s="135">
        <f t="shared" si="17"/>
        <v>1</v>
      </c>
      <c r="BJ64" s="186">
        <f t="shared" si="18"/>
        <v>12.5</v>
      </c>
      <c r="BK64" s="138"/>
      <c r="BL64" s="170">
        <v>1.0</v>
      </c>
      <c r="BM64" s="151">
        <v>1.0</v>
      </c>
      <c r="BN64" s="138"/>
      <c r="BO64" s="138"/>
      <c r="BP64" s="151">
        <v>1.0</v>
      </c>
      <c r="BQ64" s="151">
        <v>1.0</v>
      </c>
      <c r="BR64" s="140"/>
      <c r="BS64" s="187">
        <v>1.0</v>
      </c>
      <c r="BT64" s="152"/>
      <c r="BU64" s="152"/>
      <c r="BV64" s="187">
        <v>1.0</v>
      </c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6</v>
      </c>
      <c r="CG64" s="190">
        <f t="shared" si="20"/>
        <v>66.66666667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25.92592593</v>
      </c>
      <c r="CW64" s="169">
        <f t="shared" si="8"/>
        <v>7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3"/>
        <v>0</v>
      </c>
      <c r="S65" s="137">
        <f t="shared" si="14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09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209"/>
      <c r="AT65" s="133"/>
      <c r="AU65" s="133"/>
      <c r="AV65" s="133"/>
      <c r="AW65" s="133"/>
      <c r="AX65" s="133"/>
      <c r="AY65" s="133"/>
      <c r="AZ65" s="133"/>
      <c r="BA65" s="133"/>
      <c r="BB65" s="209"/>
      <c r="BC65" s="133"/>
      <c r="BD65" s="133"/>
      <c r="BE65" s="133"/>
      <c r="BF65" s="133"/>
      <c r="BG65" s="209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>
        <f t="shared" si="20"/>
        <v>0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16</v>
      </c>
      <c r="E66" s="127">
        <f t="shared" si="10"/>
        <v>59.25925926</v>
      </c>
      <c r="F66" s="175" t="str">
        <f t="shared" si="11"/>
        <v>  </v>
      </c>
      <c r="G66" s="177" t="str">
        <f t="shared" si="12"/>
        <v>  </v>
      </c>
      <c r="H66" s="258"/>
      <c r="I66" s="258"/>
      <c r="J66" s="263"/>
      <c r="K66" s="263"/>
      <c r="L66" s="263"/>
      <c r="M66" s="269">
        <v>1.0</v>
      </c>
      <c r="N66" s="263"/>
      <c r="O66" s="263"/>
      <c r="P66" s="263"/>
      <c r="Q66" s="263"/>
      <c r="R66" s="135">
        <f t="shared" si="13"/>
        <v>1</v>
      </c>
      <c r="S66" s="137">
        <f t="shared" si="14"/>
        <v>50</v>
      </c>
      <c r="T66" s="138"/>
      <c r="U66" s="138"/>
      <c r="V66" s="138"/>
      <c r="W66" s="132"/>
      <c r="X66" s="132"/>
      <c r="Y66" s="138"/>
      <c r="Z66" s="138"/>
      <c r="AA66" s="138"/>
      <c r="AB66" s="225">
        <v>1.0</v>
      </c>
      <c r="AC66" s="150">
        <v>1.0</v>
      </c>
      <c r="AD66" s="150">
        <v>1.0</v>
      </c>
      <c r="AE66" s="141"/>
      <c r="AF66" s="211">
        <v>1.0</v>
      </c>
      <c r="AG66" s="210"/>
      <c r="AH66" s="210"/>
      <c r="AI66" s="225">
        <v>1.0</v>
      </c>
      <c r="AJ66" s="212"/>
      <c r="AK66" s="212"/>
      <c r="AL66" s="135">
        <f t="shared" si="15"/>
        <v>5</v>
      </c>
      <c r="AM66" s="183">
        <f t="shared" si="16"/>
        <v>62.5</v>
      </c>
      <c r="AN66" s="214"/>
      <c r="AO66" s="214"/>
      <c r="AP66" s="209"/>
      <c r="AQ66" s="138"/>
      <c r="AR66" s="138"/>
      <c r="AS66" s="225">
        <v>1.0</v>
      </c>
      <c r="AT66" s="133"/>
      <c r="AU66" s="133"/>
      <c r="AV66" s="133"/>
      <c r="AW66" s="133"/>
      <c r="AX66" s="133"/>
      <c r="AY66" s="133"/>
      <c r="AZ66" s="133"/>
      <c r="BA66" s="133"/>
      <c r="BB66" s="209"/>
      <c r="BC66" s="133"/>
      <c r="BD66" s="133"/>
      <c r="BE66" s="185">
        <v>1.0</v>
      </c>
      <c r="BF66" s="185">
        <v>1.0</v>
      </c>
      <c r="BG66" s="209"/>
      <c r="BH66" s="133"/>
      <c r="BI66" s="135">
        <f t="shared" si="17"/>
        <v>3</v>
      </c>
      <c r="BJ66" s="186">
        <f t="shared" si="18"/>
        <v>37.5</v>
      </c>
      <c r="BK66" s="151">
        <v>1.0</v>
      </c>
      <c r="BL66" s="170">
        <v>1.0</v>
      </c>
      <c r="BM66" s="138"/>
      <c r="BN66" s="138"/>
      <c r="BO66" s="138"/>
      <c r="BP66" s="151">
        <v>1.0</v>
      </c>
      <c r="BQ66" s="151">
        <v>1.0</v>
      </c>
      <c r="BR66" s="150">
        <v>1.0</v>
      </c>
      <c r="BS66" s="187">
        <v>1.0</v>
      </c>
      <c r="BT66" s="152"/>
      <c r="BU66" s="187">
        <v>1.0</v>
      </c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7</v>
      </c>
      <c r="CG66" s="190">
        <f t="shared" si="20"/>
        <v>77.77777778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59.25925926</v>
      </c>
      <c r="CW66" s="169">
        <f t="shared" si="8"/>
        <v>16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4</v>
      </c>
      <c r="E67" s="127">
        <f t="shared" si="10"/>
        <v>14.81481481</v>
      </c>
      <c r="F67" s="200">
        <f t="shared" si="11"/>
        <v>14.81481481</v>
      </c>
      <c r="G67" s="207">
        <f t="shared" si="12"/>
        <v>14.81481481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3"/>
        <v>0</v>
      </c>
      <c r="S67" s="137">
        <f t="shared" si="14"/>
        <v>0</v>
      </c>
      <c r="T67" s="138"/>
      <c r="U67" s="138"/>
      <c r="V67" s="138"/>
      <c r="W67" s="132"/>
      <c r="X67" s="132"/>
      <c r="Y67" s="138"/>
      <c r="Z67" s="138"/>
      <c r="AA67" s="138"/>
      <c r="AB67" s="244">
        <v>1.0</v>
      </c>
      <c r="AC67" s="150">
        <v>1.0</v>
      </c>
      <c r="AD67" s="140"/>
      <c r="AE67" s="141"/>
      <c r="AF67" s="234"/>
      <c r="AG67" s="234"/>
      <c r="AH67" s="234"/>
      <c r="AI67" s="209"/>
      <c r="AJ67" s="239"/>
      <c r="AK67" s="239"/>
      <c r="AL67" s="135">
        <f t="shared" si="15"/>
        <v>2</v>
      </c>
      <c r="AM67" s="183">
        <f t="shared" si="16"/>
        <v>25</v>
      </c>
      <c r="AN67" s="241"/>
      <c r="AO67" s="241"/>
      <c r="AP67" s="233"/>
      <c r="AQ67" s="138"/>
      <c r="AR67" s="138"/>
      <c r="AS67" s="209"/>
      <c r="AT67" s="133"/>
      <c r="AU67" s="133"/>
      <c r="AV67" s="133"/>
      <c r="AW67" s="133"/>
      <c r="AX67" s="133"/>
      <c r="AY67" s="133"/>
      <c r="AZ67" s="133"/>
      <c r="BA67" s="133"/>
      <c r="BB67" s="209"/>
      <c r="BC67" s="133"/>
      <c r="BD67" s="133"/>
      <c r="BE67" s="133"/>
      <c r="BF67" s="133"/>
      <c r="BG67" s="209"/>
      <c r="BH67" s="133"/>
      <c r="BI67" s="135">
        <f t="shared" si="17"/>
        <v>0</v>
      </c>
      <c r="BJ67" s="186">
        <f t="shared" si="18"/>
        <v>0</v>
      </c>
      <c r="BK67" s="138"/>
      <c r="BL67" s="132"/>
      <c r="BM67" s="138"/>
      <c r="BN67" s="138"/>
      <c r="BO67" s="138"/>
      <c r="BP67" s="138"/>
      <c r="BQ67" s="138"/>
      <c r="BR67" s="140"/>
      <c r="BS67" s="187">
        <v>1.0</v>
      </c>
      <c r="BT67" s="152"/>
      <c r="BU67" s="187">
        <v>1.0</v>
      </c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2</v>
      </c>
      <c r="CG67" s="190">
        <f t="shared" si="20"/>
        <v>22.22222222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14.81481481</v>
      </c>
      <c r="CW67" s="169">
        <f t="shared" si="8"/>
        <v>4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9</v>
      </c>
      <c r="E68" s="127">
        <f t="shared" si="10"/>
        <v>33.33333333</v>
      </c>
      <c r="F68" s="200">
        <f t="shared" si="11"/>
        <v>33.33333333</v>
      </c>
      <c r="G68" s="177" t="str">
        <f t="shared" si="12"/>
        <v>  </v>
      </c>
      <c r="H68" s="258"/>
      <c r="I68" s="258"/>
      <c r="J68" s="263"/>
      <c r="K68" s="263"/>
      <c r="L68" s="263"/>
      <c r="M68" s="269">
        <v>1.0</v>
      </c>
      <c r="N68" s="263"/>
      <c r="O68" s="263"/>
      <c r="P68" s="263"/>
      <c r="Q68" s="263"/>
      <c r="R68" s="135">
        <f t="shared" si="13"/>
        <v>1</v>
      </c>
      <c r="S68" s="137">
        <f t="shared" si="14"/>
        <v>50</v>
      </c>
      <c r="T68" s="138"/>
      <c r="U68" s="138"/>
      <c r="V68" s="138"/>
      <c r="W68" s="132"/>
      <c r="X68" s="132"/>
      <c r="Y68" s="151">
        <v>1.0</v>
      </c>
      <c r="Z68" s="138"/>
      <c r="AA68" s="138"/>
      <c r="AB68" s="209"/>
      <c r="AC68" s="150">
        <v>1.0</v>
      </c>
      <c r="AD68" s="140"/>
      <c r="AE68" s="141"/>
      <c r="AF68" s="210"/>
      <c r="AG68" s="210"/>
      <c r="AH68" s="211">
        <v>1.0</v>
      </c>
      <c r="AI68" s="209"/>
      <c r="AJ68" s="212"/>
      <c r="AK68" s="212"/>
      <c r="AL68" s="135">
        <f t="shared" si="15"/>
        <v>3</v>
      </c>
      <c r="AM68" s="183">
        <f t="shared" si="16"/>
        <v>37.5</v>
      </c>
      <c r="AN68" s="214"/>
      <c r="AO68" s="214"/>
      <c r="AP68" s="209"/>
      <c r="AQ68" s="138"/>
      <c r="AR68" s="138"/>
      <c r="AS68" s="209"/>
      <c r="AT68" s="133"/>
      <c r="AU68" s="133"/>
      <c r="AV68" s="133"/>
      <c r="AW68" s="133"/>
      <c r="AX68" s="133"/>
      <c r="AY68" s="133"/>
      <c r="AZ68" s="133"/>
      <c r="BA68" s="133"/>
      <c r="BB68" s="209"/>
      <c r="BC68" s="133"/>
      <c r="BD68" s="133"/>
      <c r="BE68" s="133"/>
      <c r="BF68" s="133"/>
      <c r="BG68" s="209"/>
      <c r="BH68" s="133"/>
      <c r="BI68" s="135">
        <f t="shared" si="17"/>
        <v>0</v>
      </c>
      <c r="BJ68" s="186">
        <f t="shared" si="18"/>
        <v>0</v>
      </c>
      <c r="BK68" s="138"/>
      <c r="BL68" s="132"/>
      <c r="BM68" s="138"/>
      <c r="BN68" s="138"/>
      <c r="BO68" s="138"/>
      <c r="BP68" s="138"/>
      <c r="BQ68" s="151">
        <v>1.0</v>
      </c>
      <c r="BR68" s="150">
        <v>1.0</v>
      </c>
      <c r="BS68" s="187">
        <v>1.0</v>
      </c>
      <c r="BT68" s="152"/>
      <c r="BU68" s="187">
        <v>1.0</v>
      </c>
      <c r="BV68" s="187">
        <v>1.0</v>
      </c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5</v>
      </c>
      <c r="CG68" s="190">
        <f t="shared" si="20"/>
        <v>55.55555556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33.33333333</v>
      </c>
      <c r="CW68" s="169">
        <f t="shared" si="8"/>
        <v>9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16</v>
      </c>
      <c r="E69" s="127">
        <f t="shared" si="10"/>
        <v>59.25925926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>
        <f t="shared" si="14"/>
        <v>0</v>
      </c>
      <c r="T69" s="138"/>
      <c r="U69" s="138"/>
      <c r="V69" s="138"/>
      <c r="W69" s="132"/>
      <c r="X69" s="132"/>
      <c r="Y69" s="151">
        <v>1.0</v>
      </c>
      <c r="Z69" s="138"/>
      <c r="AA69" s="138"/>
      <c r="AB69" s="225">
        <v>1.0</v>
      </c>
      <c r="AC69" s="150">
        <v>1.0</v>
      </c>
      <c r="AD69" s="140"/>
      <c r="AE69" s="141"/>
      <c r="AF69" s="210"/>
      <c r="AG69" s="210"/>
      <c r="AH69" s="211">
        <v>1.0</v>
      </c>
      <c r="AI69" s="244">
        <v>1.0</v>
      </c>
      <c r="AJ69" s="212"/>
      <c r="AK69" s="212"/>
      <c r="AL69" s="135">
        <f t="shared" si="15"/>
        <v>5</v>
      </c>
      <c r="AM69" s="183">
        <f t="shared" si="16"/>
        <v>62.5</v>
      </c>
      <c r="AN69" s="214"/>
      <c r="AO69" s="214"/>
      <c r="AP69" s="209"/>
      <c r="AQ69" s="138"/>
      <c r="AR69" s="138"/>
      <c r="AS69" s="244">
        <v>1.0</v>
      </c>
      <c r="AT69" s="133"/>
      <c r="AU69" s="133"/>
      <c r="AV69" s="133"/>
      <c r="AW69" s="133"/>
      <c r="AX69" s="133"/>
      <c r="AY69" s="133"/>
      <c r="AZ69" s="185">
        <v>1.0</v>
      </c>
      <c r="BA69" s="185">
        <v>1.0</v>
      </c>
      <c r="BB69" s="244">
        <v>1.0</v>
      </c>
      <c r="BC69" s="133"/>
      <c r="BD69" s="133"/>
      <c r="BE69" s="133"/>
      <c r="BF69" s="185">
        <v>1.0</v>
      </c>
      <c r="BG69" s="244">
        <v>1.0</v>
      </c>
      <c r="BH69" s="133"/>
      <c r="BI69" s="135">
        <f t="shared" si="17"/>
        <v>6</v>
      </c>
      <c r="BJ69" s="186">
        <f t="shared" si="18"/>
        <v>75</v>
      </c>
      <c r="BK69" s="138"/>
      <c r="BL69" s="170">
        <v>1.0</v>
      </c>
      <c r="BM69" s="138"/>
      <c r="BN69" s="138"/>
      <c r="BO69" s="138"/>
      <c r="BP69" s="151">
        <v>1.0</v>
      </c>
      <c r="BQ69" s="151">
        <v>1.0</v>
      </c>
      <c r="BR69" s="150">
        <v>1.0</v>
      </c>
      <c r="BS69" s="152"/>
      <c r="BT69" s="152"/>
      <c r="BU69" s="152"/>
      <c r="BV69" s="187">
        <v>1.0</v>
      </c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5</v>
      </c>
      <c r="CG69" s="190">
        <f t="shared" si="20"/>
        <v>55.55555556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59.25925926</v>
      </c>
      <c r="CW69" s="169">
        <f t="shared" si="8"/>
        <v>16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1</v>
      </c>
      <c r="E70" s="127">
        <f t="shared" si="10"/>
        <v>3.703703704</v>
      </c>
      <c r="F70" s="200">
        <f t="shared" si="11"/>
        <v>3.703703704</v>
      </c>
      <c r="G70" s="207">
        <f t="shared" si="12"/>
        <v>3.703703704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>
        <f t="shared" si="14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50">
        <v>1.0</v>
      </c>
      <c r="AD70" s="140"/>
      <c r="AE70" s="141"/>
      <c r="AF70" s="210"/>
      <c r="AG70" s="210"/>
      <c r="AH70" s="210"/>
      <c r="AI70" s="209"/>
      <c r="AJ70" s="212"/>
      <c r="AK70" s="212"/>
      <c r="AL70" s="135">
        <f t="shared" si="15"/>
        <v>1</v>
      </c>
      <c r="AM70" s="183">
        <f t="shared" si="16"/>
        <v>12.5</v>
      </c>
      <c r="AN70" s="214"/>
      <c r="AO70" s="214"/>
      <c r="AP70" s="209"/>
      <c r="AQ70" s="138"/>
      <c r="AR70" s="138"/>
      <c r="AS70" s="209"/>
      <c r="AT70" s="133"/>
      <c r="AU70" s="133"/>
      <c r="AV70" s="133"/>
      <c r="AW70" s="133"/>
      <c r="AX70" s="133"/>
      <c r="AY70" s="133"/>
      <c r="AZ70" s="133"/>
      <c r="BA70" s="133"/>
      <c r="BB70" s="209"/>
      <c r="BC70" s="133"/>
      <c r="BD70" s="133"/>
      <c r="BE70" s="133"/>
      <c r="BF70" s="133"/>
      <c r="BG70" s="209"/>
      <c r="BH70" s="133"/>
      <c r="BI70" s="135">
        <f t="shared" si="17"/>
        <v>0</v>
      </c>
      <c r="BJ70" s="186">
        <f t="shared" si="18"/>
        <v>0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>
        <f t="shared" si="20"/>
        <v>0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3.703703704</v>
      </c>
      <c r="CW70" s="169">
        <f t="shared" si="8"/>
        <v>1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>
        <f t="shared" si="14"/>
        <v>0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09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209"/>
      <c r="AT71" s="133"/>
      <c r="AU71" s="133"/>
      <c r="AV71" s="133"/>
      <c r="AW71" s="133"/>
      <c r="AX71" s="133"/>
      <c r="AY71" s="133"/>
      <c r="AZ71" s="133"/>
      <c r="BA71" s="133"/>
      <c r="BB71" s="209"/>
      <c r="BC71" s="133"/>
      <c r="BD71" s="133"/>
      <c r="BE71" s="133"/>
      <c r="BF71" s="133"/>
      <c r="BG71" s="209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>
        <f t="shared" si="20"/>
        <v>0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16</v>
      </c>
      <c r="E72" s="127">
        <f t="shared" si="10"/>
        <v>59.25925926</v>
      </c>
      <c r="F72" s="200" t="str">
        <f t="shared" si="11"/>
        <v>  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>
        <f t="shared" si="14"/>
        <v>0</v>
      </c>
      <c r="T72" s="138"/>
      <c r="U72" s="138"/>
      <c r="V72" s="138"/>
      <c r="W72" s="132"/>
      <c r="X72" s="132"/>
      <c r="Y72" s="151">
        <v>1.0</v>
      </c>
      <c r="Z72" s="138"/>
      <c r="AA72" s="151">
        <v>1.0</v>
      </c>
      <c r="AB72" s="225">
        <v>1.0</v>
      </c>
      <c r="AC72" s="150">
        <v>1.0</v>
      </c>
      <c r="AD72" s="150">
        <v>1.0</v>
      </c>
      <c r="AE72" s="141"/>
      <c r="AF72" s="210"/>
      <c r="AG72" s="210"/>
      <c r="AH72" s="210"/>
      <c r="AI72" s="209"/>
      <c r="AJ72" s="212"/>
      <c r="AK72" s="212"/>
      <c r="AL72" s="135">
        <f t="shared" si="15"/>
        <v>5</v>
      </c>
      <c r="AM72" s="183">
        <f t="shared" si="16"/>
        <v>62.5</v>
      </c>
      <c r="AN72" s="214"/>
      <c r="AO72" s="214"/>
      <c r="AP72" s="209"/>
      <c r="AQ72" s="138"/>
      <c r="AR72" s="138"/>
      <c r="AS72" s="225">
        <v>1.0</v>
      </c>
      <c r="AT72" s="133"/>
      <c r="AU72" s="133"/>
      <c r="AV72" s="133"/>
      <c r="AW72" s="185">
        <v>1.0</v>
      </c>
      <c r="AX72" s="185"/>
      <c r="AY72" s="133"/>
      <c r="AZ72" s="133"/>
      <c r="BA72" s="133"/>
      <c r="BB72" s="225">
        <v>1.0</v>
      </c>
      <c r="BC72" s="133"/>
      <c r="BD72" s="133"/>
      <c r="BE72" s="185">
        <v>1.0</v>
      </c>
      <c r="BF72" s="185">
        <v>1.0</v>
      </c>
      <c r="BG72" s="209"/>
      <c r="BH72" s="133"/>
      <c r="BI72" s="135">
        <f t="shared" si="17"/>
        <v>5</v>
      </c>
      <c r="BJ72" s="186">
        <f t="shared" si="18"/>
        <v>62.5</v>
      </c>
      <c r="BK72" s="151">
        <v>1.0</v>
      </c>
      <c r="BL72" s="170">
        <v>1.0</v>
      </c>
      <c r="BM72" s="151">
        <v>1.0</v>
      </c>
      <c r="BN72" s="138"/>
      <c r="BO72" s="138"/>
      <c r="BP72" s="151">
        <v>1.0</v>
      </c>
      <c r="BQ72" s="138"/>
      <c r="BR72" s="140"/>
      <c r="BS72" s="187">
        <v>1.0</v>
      </c>
      <c r="BT72" s="152"/>
      <c r="BU72" s="187">
        <v>1.0</v>
      </c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6</v>
      </c>
      <c r="CG72" s="190">
        <f t="shared" si="20"/>
        <v>66.66666667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59.25925926</v>
      </c>
      <c r="CW72" s="169">
        <f t="shared" si="8"/>
        <v>16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10</v>
      </c>
      <c r="E73" s="127">
        <f t="shared" si="10"/>
        <v>37.03703704</v>
      </c>
      <c r="F73" s="200">
        <f t="shared" si="11"/>
        <v>37.03703704</v>
      </c>
      <c r="G73" s="177" t="str">
        <f t="shared" si="12"/>
        <v>  </v>
      </c>
      <c r="H73" s="258"/>
      <c r="I73" s="258"/>
      <c r="J73" s="263"/>
      <c r="K73" s="269">
        <v>1.0</v>
      </c>
      <c r="L73" s="263"/>
      <c r="M73" s="269">
        <v>1.0</v>
      </c>
      <c r="N73" s="263"/>
      <c r="O73" s="263"/>
      <c r="P73" s="263"/>
      <c r="Q73" s="263"/>
      <c r="R73" s="135">
        <f t="shared" si="13"/>
        <v>2</v>
      </c>
      <c r="S73" s="137">
        <f t="shared" si="14"/>
        <v>100</v>
      </c>
      <c r="T73" s="138"/>
      <c r="U73" s="138"/>
      <c r="V73" s="138"/>
      <c r="W73" s="132"/>
      <c r="X73" s="132"/>
      <c r="Y73" s="138"/>
      <c r="Z73" s="138"/>
      <c r="AA73" s="151">
        <v>1.0</v>
      </c>
      <c r="AB73" s="225">
        <v>1.0</v>
      </c>
      <c r="AC73" s="150">
        <v>1.0</v>
      </c>
      <c r="AD73" s="140"/>
      <c r="AE73" s="141"/>
      <c r="AF73" s="210"/>
      <c r="AG73" s="210"/>
      <c r="AH73" s="211">
        <v>1.0</v>
      </c>
      <c r="AI73" s="209"/>
      <c r="AJ73" s="212"/>
      <c r="AK73" s="212"/>
      <c r="AL73" s="135">
        <f t="shared" si="15"/>
        <v>4</v>
      </c>
      <c r="AM73" s="183">
        <f t="shared" si="16"/>
        <v>50</v>
      </c>
      <c r="AN73" s="214"/>
      <c r="AO73" s="214"/>
      <c r="AP73" s="209"/>
      <c r="AQ73" s="138"/>
      <c r="AR73" s="138"/>
      <c r="AS73" s="225">
        <v>1.0</v>
      </c>
      <c r="AT73" s="133"/>
      <c r="AU73" s="133"/>
      <c r="AV73" s="133"/>
      <c r="AW73" s="133"/>
      <c r="AX73" s="133"/>
      <c r="AY73" s="133"/>
      <c r="AZ73" s="133"/>
      <c r="BA73" s="133"/>
      <c r="BB73" s="209"/>
      <c r="BC73" s="133"/>
      <c r="BD73" s="133"/>
      <c r="BE73" s="133"/>
      <c r="BF73" s="185">
        <v>1.0</v>
      </c>
      <c r="BG73" s="209"/>
      <c r="BH73" s="133"/>
      <c r="BI73" s="135">
        <f t="shared" si="17"/>
        <v>2</v>
      </c>
      <c r="BJ73" s="186">
        <f t="shared" si="18"/>
        <v>25</v>
      </c>
      <c r="BK73" s="138"/>
      <c r="BL73" s="170">
        <v>1.0</v>
      </c>
      <c r="BM73" s="138"/>
      <c r="BN73" s="138"/>
      <c r="BO73" s="138"/>
      <c r="BP73" s="138"/>
      <c r="BQ73" s="138"/>
      <c r="BR73" s="140"/>
      <c r="BS73" s="152"/>
      <c r="BT73" s="152"/>
      <c r="BU73" s="152"/>
      <c r="BV73" s="187">
        <v>1.0</v>
      </c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2</v>
      </c>
      <c r="CG73" s="190">
        <f t="shared" si="20"/>
        <v>22.22222222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37.03703704</v>
      </c>
      <c r="CW73" s="169">
        <f t="shared" si="8"/>
        <v>10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5</v>
      </c>
      <c r="E74" s="127">
        <f t="shared" si="10"/>
        <v>18.51851852</v>
      </c>
      <c r="F74" s="200">
        <f t="shared" si="11"/>
        <v>18.51851852</v>
      </c>
      <c r="G74" s="207">
        <f t="shared" si="12"/>
        <v>18.51851852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>
        <f t="shared" si="14"/>
        <v>0</v>
      </c>
      <c r="T74" s="138"/>
      <c r="U74" s="138"/>
      <c r="V74" s="138"/>
      <c r="W74" s="132"/>
      <c r="X74" s="132"/>
      <c r="Y74" s="151">
        <v>1.0</v>
      </c>
      <c r="Z74" s="138"/>
      <c r="AA74" s="138"/>
      <c r="AB74" s="209"/>
      <c r="AC74" s="150">
        <v>1.0</v>
      </c>
      <c r="AD74" s="140"/>
      <c r="AE74" s="141"/>
      <c r="AF74" s="210"/>
      <c r="AG74" s="210"/>
      <c r="AH74" s="211">
        <v>1.0</v>
      </c>
      <c r="AI74" s="225">
        <v>1.0</v>
      </c>
      <c r="AJ74" s="212"/>
      <c r="AK74" s="212"/>
      <c r="AL74" s="135">
        <f t="shared" si="15"/>
        <v>4</v>
      </c>
      <c r="AM74" s="183">
        <f t="shared" si="16"/>
        <v>50</v>
      </c>
      <c r="AN74" s="214"/>
      <c r="AO74" s="214"/>
      <c r="AP74" s="209"/>
      <c r="AQ74" s="138"/>
      <c r="AR74" s="138"/>
      <c r="AS74" s="209"/>
      <c r="AT74" s="133"/>
      <c r="AU74" s="133"/>
      <c r="AV74" s="133"/>
      <c r="AW74" s="133"/>
      <c r="AX74" s="133"/>
      <c r="AY74" s="133"/>
      <c r="AZ74" s="133"/>
      <c r="BA74" s="133"/>
      <c r="BB74" s="209"/>
      <c r="BC74" s="133"/>
      <c r="BD74" s="133"/>
      <c r="BE74" s="133"/>
      <c r="BF74" s="133"/>
      <c r="BG74" s="209"/>
      <c r="BH74" s="133"/>
      <c r="BI74" s="135">
        <f t="shared" si="17"/>
        <v>0</v>
      </c>
      <c r="BJ74" s="186">
        <f t="shared" si="18"/>
        <v>0</v>
      </c>
      <c r="BK74" s="138"/>
      <c r="BL74" s="132"/>
      <c r="BM74" s="138"/>
      <c r="BN74" s="138"/>
      <c r="BO74" s="138"/>
      <c r="BP74" s="138"/>
      <c r="BQ74" s="138"/>
      <c r="BR74" s="150">
        <v>1.0</v>
      </c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1</v>
      </c>
      <c r="CG74" s="190">
        <f t="shared" si="20"/>
        <v>11.11111111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18.51851852</v>
      </c>
      <c r="CW74" s="169">
        <f t="shared" si="8"/>
        <v>5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8</v>
      </c>
      <c r="E75" s="127">
        <f t="shared" si="10"/>
        <v>29.62962963</v>
      </c>
      <c r="F75" s="200">
        <f t="shared" si="11"/>
        <v>29.62962963</v>
      </c>
      <c r="G75" s="207">
        <f t="shared" si="12"/>
        <v>29.62962963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>
        <f t="shared" si="14"/>
        <v>0</v>
      </c>
      <c r="T75" s="138"/>
      <c r="U75" s="138"/>
      <c r="V75" s="138"/>
      <c r="W75" s="132"/>
      <c r="X75" s="132"/>
      <c r="Y75" s="138"/>
      <c r="Z75" s="138"/>
      <c r="AA75" s="138"/>
      <c r="AB75" s="225">
        <v>1.0</v>
      </c>
      <c r="AC75" s="140"/>
      <c r="AD75" s="140"/>
      <c r="AE75" s="141"/>
      <c r="AF75" s="210"/>
      <c r="AG75" s="210"/>
      <c r="AH75" s="211">
        <v>1.0</v>
      </c>
      <c r="AI75" s="209"/>
      <c r="AJ75" s="212"/>
      <c r="AK75" s="212"/>
      <c r="AL75" s="135">
        <f t="shared" si="15"/>
        <v>2</v>
      </c>
      <c r="AM75" s="183">
        <f t="shared" si="16"/>
        <v>25</v>
      </c>
      <c r="AN75" s="214"/>
      <c r="AO75" s="214"/>
      <c r="AP75" s="209"/>
      <c r="AQ75" s="138"/>
      <c r="AR75" s="138"/>
      <c r="AS75" s="225">
        <v>1.0</v>
      </c>
      <c r="AT75" s="133"/>
      <c r="AU75" s="133"/>
      <c r="AV75" s="133"/>
      <c r="AW75" s="133"/>
      <c r="AX75" s="133"/>
      <c r="AY75" s="133"/>
      <c r="AZ75" s="133"/>
      <c r="BA75" s="133"/>
      <c r="BB75" s="209"/>
      <c r="BC75" s="133"/>
      <c r="BD75" s="133"/>
      <c r="BE75" s="133"/>
      <c r="BF75" s="185">
        <v>1.0</v>
      </c>
      <c r="BG75" s="225">
        <v>1.0</v>
      </c>
      <c r="BH75" s="133"/>
      <c r="BI75" s="135">
        <f t="shared" si="17"/>
        <v>3</v>
      </c>
      <c r="BJ75" s="186">
        <f t="shared" si="18"/>
        <v>37.5</v>
      </c>
      <c r="BK75" s="138"/>
      <c r="BL75" s="132"/>
      <c r="BM75" s="138"/>
      <c r="BN75" s="138"/>
      <c r="BO75" s="138"/>
      <c r="BP75" s="138"/>
      <c r="BQ75" s="138"/>
      <c r="BR75" s="150">
        <v>1.0</v>
      </c>
      <c r="BS75" s="187">
        <v>1.0</v>
      </c>
      <c r="BT75" s="152"/>
      <c r="BU75" s="187">
        <v>1.0</v>
      </c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3</v>
      </c>
      <c r="CG75" s="190">
        <f t="shared" si="20"/>
        <v>33.33333333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29.62962963</v>
      </c>
      <c r="CW75" s="169">
        <f t="shared" si="8"/>
        <v>8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4</v>
      </c>
      <c r="E76" s="127">
        <f t="shared" si="10"/>
        <v>14.81481481</v>
      </c>
      <c r="F76" s="200">
        <f t="shared" si="11"/>
        <v>14.81481481</v>
      </c>
      <c r="G76" s="207">
        <f t="shared" si="12"/>
        <v>14.81481481</v>
      </c>
      <c r="H76" s="273"/>
      <c r="I76" s="273"/>
      <c r="J76" s="274"/>
      <c r="K76" s="274"/>
      <c r="L76" s="274"/>
      <c r="M76" s="302">
        <v>1.0</v>
      </c>
      <c r="N76" s="274"/>
      <c r="O76" s="274"/>
      <c r="P76" s="274"/>
      <c r="Q76" s="274"/>
      <c r="R76" s="135">
        <f t="shared" si="13"/>
        <v>1</v>
      </c>
      <c r="S76" s="137">
        <f t="shared" si="14"/>
        <v>50</v>
      </c>
      <c r="T76" s="138"/>
      <c r="U76" s="138"/>
      <c r="V76" s="138"/>
      <c r="W76" s="132"/>
      <c r="X76" s="132"/>
      <c r="Y76" s="138"/>
      <c r="Z76" s="138"/>
      <c r="AA76" s="151">
        <v>1.0</v>
      </c>
      <c r="AB76" s="209"/>
      <c r="AC76" s="140"/>
      <c r="AD76" s="150">
        <v>1.0</v>
      </c>
      <c r="AE76" s="141"/>
      <c r="AF76" s="210"/>
      <c r="AG76" s="210"/>
      <c r="AH76" s="210"/>
      <c r="AI76" s="209"/>
      <c r="AJ76" s="212"/>
      <c r="AK76" s="212"/>
      <c r="AL76" s="135">
        <f t="shared" si="15"/>
        <v>2</v>
      </c>
      <c r="AM76" s="183">
        <f t="shared" si="16"/>
        <v>25</v>
      </c>
      <c r="AN76" s="214"/>
      <c r="AO76" s="214"/>
      <c r="AP76" s="209"/>
      <c r="AQ76" s="138"/>
      <c r="AR76" s="138"/>
      <c r="AS76" s="209"/>
      <c r="AT76" s="133"/>
      <c r="AU76" s="133"/>
      <c r="AV76" s="133"/>
      <c r="AW76" s="133"/>
      <c r="AX76" s="133"/>
      <c r="AY76" s="133"/>
      <c r="AZ76" s="133"/>
      <c r="BA76" s="133"/>
      <c r="BB76" s="209"/>
      <c r="BC76" s="133"/>
      <c r="BD76" s="133"/>
      <c r="BE76" s="133"/>
      <c r="BF76" s="133"/>
      <c r="BG76" s="209"/>
      <c r="BH76" s="133"/>
      <c r="BI76" s="135">
        <f t="shared" si="17"/>
        <v>0</v>
      </c>
      <c r="BJ76" s="186">
        <f t="shared" si="18"/>
        <v>0</v>
      </c>
      <c r="BK76" s="138"/>
      <c r="BL76" s="132"/>
      <c r="BM76" s="138"/>
      <c r="BN76" s="138"/>
      <c r="BO76" s="138"/>
      <c r="BP76" s="138"/>
      <c r="BQ76" s="138"/>
      <c r="BR76" s="140"/>
      <c r="BS76" s="187">
        <v>1.0</v>
      </c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1</v>
      </c>
      <c r="CG76" s="190">
        <f t="shared" si="20"/>
        <v>11.11111111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14.81481481</v>
      </c>
      <c r="CW76" s="169">
        <f t="shared" si="8"/>
        <v>4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4</v>
      </c>
      <c r="E77" s="127">
        <f t="shared" si="10"/>
        <v>14.81481481</v>
      </c>
      <c r="F77" s="200">
        <f t="shared" si="11"/>
        <v>14.81481481</v>
      </c>
      <c r="G77" s="207">
        <f t="shared" si="12"/>
        <v>14.81481481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>
        <f t="shared" si="14"/>
        <v>0</v>
      </c>
      <c r="T77" s="138"/>
      <c r="U77" s="138"/>
      <c r="V77" s="138"/>
      <c r="W77" s="132"/>
      <c r="X77" s="132"/>
      <c r="Y77" s="151">
        <v>1.0</v>
      </c>
      <c r="Z77" s="138"/>
      <c r="AA77" s="138"/>
      <c r="AB77" s="209"/>
      <c r="AC77" s="150">
        <v>1.0</v>
      </c>
      <c r="AD77" s="140"/>
      <c r="AE77" s="141"/>
      <c r="AF77" s="210"/>
      <c r="AG77" s="210"/>
      <c r="AH77" s="210"/>
      <c r="AI77" s="209"/>
      <c r="AJ77" s="212"/>
      <c r="AK77" s="212"/>
      <c r="AL77" s="135">
        <f t="shared" si="15"/>
        <v>2</v>
      </c>
      <c r="AM77" s="183">
        <f t="shared" si="16"/>
        <v>25</v>
      </c>
      <c r="AN77" s="214"/>
      <c r="AO77" s="214"/>
      <c r="AP77" s="209"/>
      <c r="AQ77" s="138"/>
      <c r="AR77" s="138"/>
      <c r="AS77" s="209"/>
      <c r="AT77" s="133"/>
      <c r="AU77" s="133"/>
      <c r="AV77" s="133"/>
      <c r="AW77" s="133"/>
      <c r="AX77" s="133"/>
      <c r="AY77" s="133"/>
      <c r="AZ77" s="133"/>
      <c r="BA77" s="133"/>
      <c r="BB77" s="209"/>
      <c r="BC77" s="133"/>
      <c r="BD77" s="133"/>
      <c r="BE77" s="133"/>
      <c r="BF77" s="133"/>
      <c r="BG77" s="209"/>
      <c r="BH77" s="133"/>
      <c r="BI77" s="135">
        <f t="shared" si="17"/>
        <v>0</v>
      </c>
      <c r="BJ77" s="186">
        <f t="shared" si="18"/>
        <v>0</v>
      </c>
      <c r="BK77" s="138"/>
      <c r="BL77" s="132"/>
      <c r="BM77" s="138"/>
      <c r="BN77" s="138"/>
      <c r="BO77" s="138"/>
      <c r="BP77" s="151">
        <v>1.0</v>
      </c>
      <c r="BQ77" s="138"/>
      <c r="BR77" s="150">
        <v>1.0</v>
      </c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2</v>
      </c>
      <c r="CG77" s="190">
        <f t="shared" si="20"/>
        <v>22.22222222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14.81481481</v>
      </c>
      <c r="CW77" s="169">
        <f t="shared" si="8"/>
        <v>4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9</v>
      </c>
      <c r="E78" s="127">
        <f t="shared" si="10"/>
        <v>33.33333333</v>
      </c>
      <c r="F78" s="200">
        <f t="shared" si="11"/>
        <v>33.33333333</v>
      </c>
      <c r="G78" s="177" t="str">
        <f t="shared" si="12"/>
        <v>  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3"/>
        <v>0</v>
      </c>
      <c r="S78" s="137">
        <f t="shared" si="14"/>
        <v>0</v>
      </c>
      <c r="T78" s="138"/>
      <c r="U78" s="138"/>
      <c r="V78" s="138"/>
      <c r="W78" s="132"/>
      <c r="X78" s="132"/>
      <c r="Y78" s="138"/>
      <c r="Z78" s="138"/>
      <c r="AA78" s="138"/>
      <c r="AB78" s="225">
        <v>1.0</v>
      </c>
      <c r="AC78" s="150">
        <v>1.0</v>
      </c>
      <c r="AD78" s="150">
        <v>1.0</v>
      </c>
      <c r="AE78" s="141"/>
      <c r="AF78" s="210"/>
      <c r="AG78" s="210"/>
      <c r="AH78" s="210"/>
      <c r="AI78" s="209"/>
      <c r="AJ78" s="212"/>
      <c r="AK78" s="212"/>
      <c r="AL78" s="135">
        <f t="shared" si="15"/>
        <v>3</v>
      </c>
      <c r="AM78" s="183">
        <f t="shared" si="16"/>
        <v>37.5</v>
      </c>
      <c r="AN78" s="214"/>
      <c r="AO78" s="214"/>
      <c r="AP78" s="209"/>
      <c r="AQ78" s="138"/>
      <c r="AR78" s="138"/>
      <c r="AS78" s="225">
        <v>1.0</v>
      </c>
      <c r="AT78" s="133"/>
      <c r="AU78" s="133"/>
      <c r="AV78" s="133"/>
      <c r="AW78" s="133"/>
      <c r="AX78" s="133"/>
      <c r="AY78" s="133"/>
      <c r="AZ78" s="133"/>
      <c r="BA78" s="133"/>
      <c r="BB78" s="209"/>
      <c r="BC78" s="133"/>
      <c r="BD78" s="133"/>
      <c r="BE78" s="133"/>
      <c r="BF78" s="133"/>
      <c r="BG78" s="209"/>
      <c r="BH78" s="133"/>
      <c r="BI78" s="135">
        <f t="shared" si="17"/>
        <v>1</v>
      </c>
      <c r="BJ78" s="186">
        <f t="shared" si="18"/>
        <v>12.5</v>
      </c>
      <c r="BK78" s="138"/>
      <c r="BL78" s="170">
        <v>1.0</v>
      </c>
      <c r="BM78" s="151">
        <v>1.0</v>
      </c>
      <c r="BN78" s="138"/>
      <c r="BO78" s="138"/>
      <c r="BP78" s="151">
        <v>1.0</v>
      </c>
      <c r="BQ78" s="138"/>
      <c r="BR78" s="150">
        <v>1.0</v>
      </c>
      <c r="BS78" s="187">
        <v>1.0</v>
      </c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5</v>
      </c>
      <c r="CG78" s="190">
        <f t="shared" si="20"/>
        <v>55.55555556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33.33333333</v>
      </c>
      <c r="CW78" s="169">
        <f t="shared" si="8"/>
        <v>9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8</v>
      </c>
      <c r="E79" s="127">
        <f t="shared" si="10"/>
        <v>29.62962963</v>
      </c>
      <c r="F79" s="200">
        <f t="shared" si="11"/>
        <v>29.62962963</v>
      </c>
      <c r="G79" s="207">
        <f t="shared" si="12"/>
        <v>29.62962963</v>
      </c>
      <c r="H79" s="273"/>
      <c r="I79" s="273"/>
      <c r="J79" s="274"/>
      <c r="K79" s="274"/>
      <c r="L79" s="274"/>
      <c r="M79" s="302">
        <v>1.0</v>
      </c>
      <c r="N79" s="274"/>
      <c r="O79" s="274"/>
      <c r="P79" s="274"/>
      <c r="Q79" s="274"/>
      <c r="R79" s="135">
        <f t="shared" si="13"/>
        <v>1</v>
      </c>
      <c r="S79" s="137">
        <f t="shared" si="14"/>
        <v>50</v>
      </c>
      <c r="T79" s="138"/>
      <c r="U79" s="138"/>
      <c r="V79" s="138"/>
      <c r="W79" s="132"/>
      <c r="X79" s="132"/>
      <c r="Y79" s="151">
        <v>1.0</v>
      </c>
      <c r="Z79" s="138"/>
      <c r="AA79" s="138"/>
      <c r="AB79" s="209"/>
      <c r="AC79" s="140"/>
      <c r="AD79" s="140"/>
      <c r="AE79" s="141"/>
      <c r="AF79" s="210"/>
      <c r="AG79" s="210"/>
      <c r="AH79" s="210"/>
      <c r="AI79" s="209"/>
      <c r="AJ79" s="212"/>
      <c r="AK79" s="212"/>
      <c r="AL79" s="135">
        <f t="shared" si="15"/>
        <v>1</v>
      </c>
      <c r="AM79" s="183">
        <f t="shared" si="16"/>
        <v>12.5</v>
      </c>
      <c r="AN79" s="214"/>
      <c r="AO79" s="214"/>
      <c r="AP79" s="209"/>
      <c r="AQ79" s="138"/>
      <c r="AR79" s="138"/>
      <c r="AS79" s="209"/>
      <c r="AT79" s="133"/>
      <c r="AU79" s="133"/>
      <c r="AV79" s="133"/>
      <c r="AW79" s="133"/>
      <c r="AX79" s="133"/>
      <c r="AY79" s="133"/>
      <c r="AZ79" s="133"/>
      <c r="BA79" s="133"/>
      <c r="BB79" s="209"/>
      <c r="BC79" s="133"/>
      <c r="BD79" s="133"/>
      <c r="BE79" s="133"/>
      <c r="BF79" s="185">
        <v>1.0</v>
      </c>
      <c r="BG79" s="209"/>
      <c r="BH79" s="133"/>
      <c r="BI79" s="135">
        <f t="shared" si="17"/>
        <v>1</v>
      </c>
      <c r="BJ79" s="186">
        <f t="shared" si="18"/>
        <v>12.5</v>
      </c>
      <c r="BK79" s="138"/>
      <c r="BL79" s="170">
        <v>1.0</v>
      </c>
      <c r="BM79" s="151">
        <v>1.0</v>
      </c>
      <c r="BN79" s="138"/>
      <c r="BO79" s="138"/>
      <c r="BP79" s="151">
        <v>1.0</v>
      </c>
      <c r="BQ79" s="138"/>
      <c r="BR79" s="150">
        <v>1.0</v>
      </c>
      <c r="BS79" s="187">
        <v>1.0</v>
      </c>
      <c r="BT79" s="152"/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5</v>
      </c>
      <c r="CG79" s="190">
        <f t="shared" si="20"/>
        <v>55.55555556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29.62962963</v>
      </c>
      <c r="CW79" s="169">
        <f t="shared" si="8"/>
        <v>8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7</v>
      </c>
      <c r="E80" s="127">
        <f t="shared" si="10"/>
        <v>25.92592593</v>
      </c>
      <c r="F80" s="200">
        <f t="shared" si="11"/>
        <v>25.92592593</v>
      </c>
      <c r="G80" s="207">
        <f t="shared" si="12"/>
        <v>25.92592593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>
        <f t="shared" si="14"/>
        <v>0</v>
      </c>
      <c r="T80" s="138"/>
      <c r="U80" s="138"/>
      <c r="V80" s="138"/>
      <c r="W80" s="132"/>
      <c r="X80" s="132"/>
      <c r="Y80" s="138"/>
      <c r="Z80" s="138"/>
      <c r="AA80" s="138"/>
      <c r="AB80" s="209"/>
      <c r="AC80" s="150">
        <v>1.0</v>
      </c>
      <c r="AD80" s="140"/>
      <c r="AE80" s="141"/>
      <c r="AF80" s="210"/>
      <c r="AG80" s="210"/>
      <c r="AH80" s="210"/>
      <c r="AI80" s="209"/>
      <c r="AJ80" s="212"/>
      <c r="AK80" s="212"/>
      <c r="AL80" s="135">
        <f t="shared" si="15"/>
        <v>1</v>
      </c>
      <c r="AM80" s="183">
        <f t="shared" si="16"/>
        <v>12.5</v>
      </c>
      <c r="AN80" s="214"/>
      <c r="AO80" s="214"/>
      <c r="AP80" s="209"/>
      <c r="AQ80" s="138"/>
      <c r="AR80" s="138"/>
      <c r="AS80" s="209"/>
      <c r="AT80" s="133"/>
      <c r="AU80" s="133"/>
      <c r="AV80" s="133"/>
      <c r="AW80" s="133"/>
      <c r="AX80" s="133"/>
      <c r="AY80" s="133"/>
      <c r="AZ80" s="133"/>
      <c r="BA80" s="133"/>
      <c r="BB80" s="209"/>
      <c r="BC80" s="133"/>
      <c r="BD80" s="133"/>
      <c r="BE80" s="133"/>
      <c r="BF80" s="133"/>
      <c r="BG80" s="209"/>
      <c r="BH80" s="133"/>
      <c r="BI80" s="135">
        <f t="shared" si="17"/>
        <v>0</v>
      </c>
      <c r="BJ80" s="186">
        <f t="shared" si="18"/>
        <v>0</v>
      </c>
      <c r="BK80" s="138"/>
      <c r="BL80" s="170">
        <v>1.0</v>
      </c>
      <c r="BM80" s="151">
        <v>1.0</v>
      </c>
      <c r="BN80" s="138"/>
      <c r="BO80" s="138"/>
      <c r="BP80" s="138"/>
      <c r="BQ80" s="151">
        <v>1.0</v>
      </c>
      <c r="BR80" s="150">
        <v>1.0</v>
      </c>
      <c r="BS80" s="187">
        <v>1.0</v>
      </c>
      <c r="BT80" s="152"/>
      <c r="BU80" s="152"/>
      <c r="BV80" s="187">
        <v>1.0</v>
      </c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6</v>
      </c>
      <c r="CG80" s="190">
        <f t="shared" si="20"/>
        <v>66.66666667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25.92592593</v>
      </c>
      <c r="CW80" s="169">
        <f t="shared" si="8"/>
        <v>7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3</v>
      </c>
      <c r="E81" s="127">
        <f t="shared" si="10"/>
        <v>11.11111111</v>
      </c>
      <c r="F81" s="200">
        <f t="shared" si="11"/>
        <v>11.11111111</v>
      </c>
      <c r="G81" s="207">
        <f t="shared" si="12"/>
        <v>11.11111111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>
        <f t="shared" si="14"/>
        <v>0</v>
      </c>
      <c r="T81" s="138"/>
      <c r="U81" s="138"/>
      <c r="V81" s="138"/>
      <c r="W81" s="132"/>
      <c r="X81" s="132"/>
      <c r="Y81" s="138"/>
      <c r="Z81" s="138"/>
      <c r="AA81" s="138"/>
      <c r="AB81" s="209"/>
      <c r="AC81" s="140"/>
      <c r="AD81" s="140"/>
      <c r="AE81" s="141"/>
      <c r="AF81" s="210"/>
      <c r="AG81" s="210"/>
      <c r="AH81" s="211">
        <v>1.0</v>
      </c>
      <c r="AI81" s="209"/>
      <c r="AJ81" s="212"/>
      <c r="AK81" s="212"/>
      <c r="AL81" s="135">
        <f t="shared" si="15"/>
        <v>1</v>
      </c>
      <c r="AM81" s="183">
        <f t="shared" si="16"/>
        <v>12.5</v>
      </c>
      <c r="AN81" s="214"/>
      <c r="AO81" s="214"/>
      <c r="AP81" s="209"/>
      <c r="AQ81" s="138"/>
      <c r="AR81" s="138"/>
      <c r="AS81" s="209"/>
      <c r="AT81" s="133"/>
      <c r="AU81" s="133"/>
      <c r="AV81" s="133"/>
      <c r="AW81" s="133"/>
      <c r="AX81" s="133"/>
      <c r="AY81" s="133"/>
      <c r="AZ81" s="133"/>
      <c r="BA81" s="133"/>
      <c r="BB81" s="209"/>
      <c r="BC81" s="133"/>
      <c r="BD81" s="133"/>
      <c r="BE81" s="133"/>
      <c r="BF81" s="133"/>
      <c r="BG81" s="209"/>
      <c r="BH81" s="133"/>
      <c r="BI81" s="135">
        <f t="shared" si="17"/>
        <v>0</v>
      </c>
      <c r="BJ81" s="186">
        <f t="shared" si="18"/>
        <v>0</v>
      </c>
      <c r="BK81" s="138"/>
      <c r="BL81" s="132"/>
      <c r="BM81" s="138"/>
      <c r="BN81" s="138"/>
      <c r="BO81" s="138"/>
      <c r="BP81" s="138"/>
      <c r="BQ81" s="138"/>
      <c r="BR81" s="150">
        <v>1.0</v>
      </c>
      <c r="BS81" s="187">
        <v>1.0</v>
      </c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2</v>
      </c>
      <c r="CG81" s="190">
        <f t="shared" si="20"/>
        <v>22.22222222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11.11111111</v>
      </c>
      <c r="CW81" s="169">
        <f t="shared" si="8"/>
        <v>3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11</v>
      </c>
      <c r="E82" s="127">
        <f t="shared" si="10"/>
        <v>40.74074074</v>
      </c>
      <c r="F82" s="200">
        <f t="shared" si="11"/>
        <v>40.74074074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>
        <f t="shared" si="14"/>
        <v>0</v>
      </c>
      <c r="T82" s="138"/>
      <c r="U82" s="138"/>
      <c r="V82" s="138"/>
      <c r="W82" s="132"/>
      <c r="X82" s="132"/>
      <c r="Y82" s="151">
        <v>1.0</v>
      </c>
      <c r="Z82" s="138"/>
      <c r="AA82" s="138"/>
      <c r="AB82" s="225">
        <v>1.0</v>
      </c>
      <c r="AC82" s="150">
        <v>1.0</v>
      </c>
      <c r="AD82" s="140"/>
      <c r="AE82" s="141"/>
      <c r="AF82" s="210"/>
      <c r="AG82" s="210"/>
      <c r="AH82" s="210"/>
      <c r="AI82" s="209"/>
      <c r="AJ82" s="212"/>
      <c r="AK82" s="212"/>
      <c r="AL82" s="135">
        <f t="shared" si="15"/>
        <v>3</v>
      </c>
      <c r="AM82" s="183">
        <f t="shared" si="16"/>
        <v>37.5</v>
      </c>
      <c r="AN82" s="214"/>
      <c r="AO82" s="214"/>
      <c r="AP82" s="209"/>
      <c r="AQ82" s="138"/>
      <c r="AR82" s="138"/>
      <c r="AS82" s="225">
        <v>1.0</v>
      </c>
      <c r="AT82" s="133"/>
      <c r="AU82" s="133"/>
      <c r="AV82" s="133"/>
      <c r="AW82" s="133"/>
      <c r="AX82" s="133"/>
      <c r="AY82" s="133"/>
      <c r="AZ82" s="133"/>
      <c r="BA82" s="133"/>
      <c r="BB82" s="209"/>
      <c r="BC82" s="133"/>
      <c r="BD82" s="133"/>
      <c r="BE82" s="185">
        <v>1.0</v>
      </c>
      <c r="BF82" s="185">
        <v>1.0</v>
      </c>
      <c r="BG82" s="209"/>
      <c r="BH82" s="133"/>
      <c r="BI82" s="135">
        <f t="shared" si="17"/>
        <v>3</v>
      </c>
      <c r="BJ82" s="186">
        <f t="shared" si="18"/>
        <v>37.5</v>
      </c>
      <c r="BK82" s="138"/>
      <c r="BL82" s="170">
        <v>1.0</v>
      </c>
      <c r="BM82" s="151">
        <v>1.0</v>
      </c>
      <c r="BN82" s="138"/>
      <c r="BO82" s="138"/>
      <c r="BP82" s="151">
        <v>1.0</v>
      </c>
      <c r="BQ82" s="138"/>
      <c r="BR82" s="150">
        <v>1.0</v>
      </c>
      <c r="BS82" s="187">
        <v>1.0</v>
      </c>
      <c r="BT82" s="152"/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5</v>
      </c>
      <c r="CG82" s="190">
        <f t="shared" si="20"/>
        <v>55.55555556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40.74074074</v>
      </c>
      <c r="CW82" s="169">
        <f t="shared" si="8"/>
        <v>11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>
        <f t="shared" si="14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209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209"/>
      <c r="AT83" s="133"/>
      <c r="AU83" s="133"/>
      <c r="AV83" s="133"/>
      <c r="AW83" s="133"/>
      <c r="AX83" s="133"/>
      <c r="AY83" s="133"/>
      <c r="AZ83" s="133"/>
      <c r="BA83" s="133"/>
      <c r="BB83" s="209"/>
      <c r="BC83" s="133"/>
      <c r="BD83" s="133"/>
      <c r="BE83" s="133"/>
      <c r="BF83" s="133"/>
      <c r="BG83" s="209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>
        <f t="shared" si="20"/>
        <v>0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8</v>
      </c>
      <c r="E84" s="127">
        <f t="shared" si="10"/>
        <v>29.62962963</v>
      </c>
      <c r="F84" s="200">
        <f t="shared" si="11"/>
        <v>29.62962963</v>
      </c>
      <c r="G84" s="207">
        <f t="shared" si="12"/>
        <v>29.62962963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>
        <f t="shared" si="14"/>
        <v>0</v>
      </c>
      <c r="T84" s="138"/>
      <c r="U84" s="138"/>
      <c r="V84" s="138"/>
      <c r="W84" s="132"/>
      <c r="X84" s="132"/>
      <c r="Y84" s="138"/>
      <c r="Z84" s="138"/>
      <c r="AA84" s="138"/>
      <c r="AB84" s="290">
        <v>1.0</v>
      </c>
      <c r="AC84" s="150">
        <v>1.0</v>
      </c>
      <c r="AD84" s="140"/>
      <c r="AE84" s="141"/>
      <c r="AF84" s="32"/>
      <c r="AG84" s="32"/>
      <c r="AH84" s="32"/>
      <c r="AI84" s="209"/>
      <c r="AJ84" s="279"/>
      <c r="AK84" s="279"/>
      <c r="AL84" s="135">
        <f t="shared" si="15"/>
        <v>2</v>
      </c>
      <c r="AM84" s="280">
        <f t="shared" si="16"/>
        <v>25</v>
      </c>
      <c r="AN84" s="32"/>
      <c r="AO84" s="32"/>
      <c r="AP84" s="209"/>
      <c r="AQ84" s="138"/>
      <c r="AR84" s="138"/>
      <c r="AS84" s="225">
        <v>1.0</v>
      </c>
      <c r="AT84" s="133"/>
      <c r="AU84" s="133"/>
      <c r="AV84" s="133"/>
      <c r="AW84" s="133"/>
      <c r="AX84" s="133"/>
      <c r="AY84" s="133"/>
      <c r="AZ84" s="133"/>
      <c r="BA84" s="133"/>
      <c r="BB84" s="209"/>
      <c r="BC84" s="133"/>
      <c r="BD84" s="133"/>
      <c r="BE84" s="133"/>
      <c r="BF84" s="185">
        <v>1.0</v>
      </c>
      <c r="BG84" s="209"/>
      <c r="BH84" s="133"/>
      <c r="BI84" s="135">
        <f t="shared" si="17"/>
        <v>2</v>
      </c>
      <c r="BJ84" s="281">
        <f t="shared" si="18"/>
        <v>25</v>
      </c>
      <c r="BK84" s="138"/>
      <c r="BL84" s="132"/>
      <c r="BM84" s="151">
        <v>1.0</v>
      </c>
      <c r="BN84" s="138"/>
      <c r="BO84" s="138"/>
      <c r="BP84" s="138"/>
      <c r="BQ84" s="151">
        <v>1.0</v>
      </c>
      <c r="BR84" s="150">
        <v>1.0</v>
      </c>
      <c r="BS84" s="187">
        <v>1.0</v>
      </c>
      <c r="BT84" s="152"/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4</v>
      </c>
      <c r="CG84" s="282">
        <f t="shared" si="20"/>
        <v>44.44444444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29.62962963</v>
      </c>
      <c r="CW84" s="169">
        <f t="shared" si="8"/>
        <v>8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2</v>
      </c>
      <c r="E85" s="127">
        <f t="shared" si="10"/>
        <v>7.407407407</v>
      </c>
      <c r="F85" s="200">
        <f t="shared" si="11"/>
        <v>7.407407407</v>
      </c>
      <c r="G85" s="207">
        <f t="shared" si="12"/>
        <v>7.407407407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>
        <f t="shared" si="14"/>
        <v>0</v>
      </c>
      <c r="T85" s="138"/>
      <c r="U85" s="138"/>
      <c r="V85" s="138"/>
      <c r="W85" s="132"/>
      <c r="X85" s="132"/>
      <c r="Y85" s="151">
        <v>1.0</v>
      </c>
      <c r="Z85" s="138"/>
      <c r="AA85" s="138"/>
      <c r="AB85" s="32"/>
      <c r="AC85" s="140"/>
      <c r="AD85" s="140"/>
      <c r="AE85" s="141"/>
      <c r="AF85" s="32"/>
      <c r="AG85" s="32"/>
      <c r="AH85" s="32"/>
      <c r="AI85" s="209"/>
      <c r="AJ85" s="279"/>
      <c r="AK85" s="279"/>
      <c r="AL85" s="135">
        <f t="shared" si="15"/>
        <v>1</v>
      </c>
      <c r="AM85" s="280">
        <f t="shared" si="16"/>
        <v>12.5</v>
      </c>
      <c r="AN85" s="32"/>
      <c r="AO85" s="32"/>
      <c r="AP85" s="32"/>
      <c r="AQ85" s="138"/>
      <c r="AR85" s="138"/>
      <c r="AS85" s="209"/>
      <c r="AT85" s="133"/>
      <c r="AU85" s="133"/>
      <c r="AV85" s="133"/>
      <c r="AW85" s="133"/>
      <c r="AX85" s="133"/>
      <c r="AY85" s="133"/>
      <c r="AZ85" s="133"/>
      <c r="BA85" s="133"/>
      <c r="BB85" s="209"/>
      <c r="BC85" s="133"/>
      <c r="BD85" s="133"/>
      <c r="BE85" s="133"/>
      <c r="BF85" s="133"/>
      <c r="BG85" s="209"/>
      <c r="BH85" s="133"/>
      <c r="BI85" s="135">
        <f t="shared" si="17"/>
        <v>0</v>
      </c>
      <c r="BJ85" s="281">
        <f t="shared" si="18"/>
        <v>0</v>
      </c>
      <c r="BK85" s="138"/>
      <c r="BL85" s="132"/>
      <c r="BM85" s="138"/>
      <c r="BN85" s="138"/>
      <c r="BO85" s="138"/>
      <c r="BP85" s="138"/>
      <c r="BQ85" s="138"/>
      <c r="BR85" s="140"/>
      <c r="BS85" s="187">
        <v>1.0</v>
      </c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1</v>
      </c>
      <c r="CG85" s="282">
        <f t="shared" si="20"/>
        <v>11.11111111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7.407407407</v>
      </c>
      <c r="CW85" s="169">
        <f t="shared" si="8"/>
        <v>2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10</v>
      </c>
      <c r="E86" s="127">
        <f t="shared" si="10"/>
        <v>37.03703704</v>
      </c>
      <c r="F86" s="200">
        <f t="shared" si="11"/>
        <v>37.03703704</v>
      </c>
      <c r="G86" s="175" t="str">
        <f t="shared" si="12"/>
        <v>  </v>
      </c>
      <c r="H86" s="273"/>
      <c r="I86" s="273"/>
      <c r="J86" s="274"/>
      <c r="K86" s="302">
        <v>1.0</v>
      </c>
      <c r="L86" s="274"/>
      <c r="M86" s="302">
        <v>1.0</v>
      </c>
      <c r="N86" s="274"/>
      <c r="O86" s="274"/>
      <c r="P86" s="274"/>
      <c r="Q86" s="274"/>
      <c r="R86" s="135">
        <f t="shared" si="13"/>
        <v>2</v>
      </c>
      <c r="S86" s="137">
        <f t="shared" si="14"/>
        <v>100</v>
      </c>
      <c r="T86" s="138"/>
      <c r="U86" s="138"/>
      <c r="V86" s="138"/>
      <c r="W86" s="132"/>
      <c r="X86" s="132"/>
      <c r="Y86" s="151">
        <v>1.0</v>
      </c>
      <c r="Z86" s="138"/>
      <c r="AA86" s="138"/>
      <c r="AB86" s="32"/>
      <c r="AC86" s="140"/>
      <c r="AD86" s="150">
        <v>1.0</v>
      </c>
      <c r="AE86" s="141"/>
      <c r="AF86" s="32"/>
      <c r="AG86" s="32"/>
      <c r="AH86" s="32"/>
      <c r="AI86" s="209"/>
      <c r="AJ86" s="279"/>
      <c r="AK86" s="279"/>
      <c r="AL86" s="135">
        <f t="shared" si="15"/>
        <v>2</v>
      </c>
      <c r="AM86" s="280">
        <f t="shared" si="16"/>
        <v>25</v>
      </c>
      <c r="AN86" s="32"/>
      <c r="AO86" s="32"/>
      <c r="AP86" s="32"/>
      <c r="AQ86" s="138"/>
      <c r="AR86" s="138"/>
      <c r="AS86" s="209"/>
      <c r="AT86" s="133"/>
      <c r="AU86" s="133"/>
      <c r="AV86" s="133"/>
      <c r="AW86" s="133"/>
      <c r="AX86" s="133"/>
      <c r="AY86" s="133"/>
      <c r="AZ86" s="133"/>
      <c r="BA86" s="133"/>
      <c r="BB86" s="209"/>
      <c r="BC86" s="133"/>
      <c r="BD86" s="133"/>
      <c r="BE86" s="185">
        <v>1.0</v>
      </c>
      <c r="BF86" s="185">
        <v>1.0</v>
      </c>
      <c r="BG86" s="209"/>
      <c r="BH86" s="133"/>
      <c r="BI86" s="135">
        <f t="shared" si="17"/>
        <v>2</v>
      </c>
      <c r="BJ86" s="281">
        <f t="shared" si="18"/>
        <v>25</v>
      </c>
      <c r="BK86" s="138"/>
      <c r="BL86" s="170">
        <v>1.0</v>
      </c>
      <c r="BM86" s="151">
        <v>1.0</v>
      </c>
      <c r="BN86" s="138"/>
      <c r="BO86" s="138"/>
      <c r="BP86" s="138"/>
      <c r="BQ86" s="138"/>
      <c r="BR86" s="150">
        <v>1.0</v>
      </c>
      <c r="BS86" s="187">
        <v>1.0</v>
      </c>
      <c r="BT86" s="152"/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4</v>
      </c>
      <c r="CG86" s="282">
        <f t="shared" si="20"/>
        <v>44.44444444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37.03703704</v>
      </c>
      <c r="CW86" s="169">
        <f t="shared" si="8"/>
        <v>10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1</v>
      </c>
      <c r="E87" s="127">
        <f t="shared" si="10"/>
        <v>3.703703704</v>
      </c>
      <c r="F87" s="200">
        <f t="shared" si="11"/>
        <v>3.703703704</v>
      </c>
      <c r="G87" s="200">
        <f t="shared" si="12"/>
        <v>3.703703704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135">
        <f t="shared" si="13"/>
        <v>0</v>
      </c>
      <c r="S87" s="137">
        <f t="shared" si="14"/>
        <v>0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209"/>
      <c r="AJ87" s="279"/>
      <c r="AK87" s="279"/>
      <c r="AL87" s="135">
        <f t="shared" si="15"/>
        <v>0</v>
      </c>
      <c r="AM87" s="280">
        <f t="shared" si="16"/>
        <v>0</v>
      </c>
      <c r="AN87" s="32"/>
      <c r="AO87" s="32"/>
      <c r="AP87" s="32"/>
      <c r="AQ87" s="138"/>
      <c r="AR87" s="138"/>
      <c r="AS87" s="209"/>
      <c r="AT87" s="133"/>
      <c r="AU87" s="133"/>
      <c r="AV87" s="133"/>
      <c r="AW87" s="133"/>
      <c r="AX87" s="133"/>
      <c r="AY87" s="133"/>
      <c r="AZ87" s="133"/>
      <c r="BA87" s="133"/>
      <c r="BB87" s="209"/>
      <c r="BC87" s="133"/>
      <c r="BD87" s="133"/>
      <c r="BE87" s="133"/>
      <c r="BF87" s="133"/>
      <c r="BG87" s="209"/>
      <c r="BH87" s="133"/>
      <c r="BI87" s="135">
        <f t="shared" si="17"/>
        <v>0</v>
      </c>
      <c r="BJ87" s="281">
        <f t="shared" si="18"/>
        <v>0</v>
      </c>
      <c r="BK87" s="138"/>
      <c r="BL87" s="132"/>
      <c r="BM87" s="138"/>
      <c r="BN87" s="138"/>
      <c r="BO87" s="138"/>
      <c r="BP87" s="138"/>
      <c r="BQ87" s="138"/>
      <c r="BR87" s="140"/>
      <c r="BS87" s="187">
        <v>1.0</v>
      </c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1</v>
      </c>
      <c r="CG87" s="282">
        <f t="shared" si="20"/>
        <v>11.11111111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3.703703704</v>
      </c>
      <c r="CW87" s="169">
        <f t="shared" si="8"/>
        <v>1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5</v>
      </c>
      <c r="E88" s="127">
        <f t="shared" si="10"/>
        <v>18.51851852</v>
      </c>
      <c r="F88" s="200">
        <f t="shared" si="11"/>
        <v>18.51851852</v>
      </c>
      <c r="G88" s="200">
        <f t="shared" si="12"/>
        <v>18.51851852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>
        <f t="shared" si="14"/>
        <v>0</v>
      </c>
      <c r="T88" s="32"/>
      <c r="U88" s="32"/>
      <c r="V88" s="32"/>
      <c r="W88" s="132"/>
      <c r="X88" s="132"/>
      <c r="Y88" s="138"/>
      <c r="Z88" s="138"/>
      <c r="AA88" s="138"/>
      <c r="AB88" s="290">
        <v>1.0</v>
      </c>
      <c r="AC88" s="303">
        <v>1.0</v>
      </c>
      <c r="AD88" s="289"/>
      <c r="AE88" s="141"/>
      <c r="AF88" s="32"/>
      <c r="AG88" s="32"/>
      <c r="AH88" s="290">
        <v>1.0</v>
      </c>
      <c r="AI88" s="32"/>
      <c r="AJ88" s="279"/>
      <c r="AK88" s="279"/>
      <c r="AL88" s="135">
        <f t="shared" si="15"/>
        <v>3</v>
      </c>
      <c r="AM88" s="280">
        <f t="shared" si="16"/>
        <v>37.5</v>
      </c>
      <c r="AN88" s="32"/>
      <c r="AO88" s="32"/>
      <c r="AP88" s="32"/>
      <c r="AQ88" s="138"/>
      <c r="AR88" s="138"/>
      <c r="AS88" s="32"/>
      <c r="AT88" s="133"/>
      <c r="AU88" s="133"/>
      <c r="AV88" s="133"/>
      <c r="AW88" s="133"/>
      <c r="AX88" s="133"/>
      <c r="AY88" s="133"/>
      <c r="AZ88" s="133"/>
      <c r="BA88" s="133"/>
      <c r="BB88" s="32"/>
      <c r="BC88" s="133"/>
      <c r="BD88" s="133"/>
      <c r="BE88" s="133"/>
      <c r="BF88" s="185">
        <v>1.0</v>
      </c>
      <c r="BG88" s="290">
        <v>1.0</v>
      </c>
      <c r="BH88" s="133"/>
      <c r="BI88" s="135">
        <f t="shared" si="17"/>
        <v>2</v>
      </c>
      <c r="BJ88" s="281">
        <f t="shared" si="18"/>
        <v>25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>
        <f t="shared" si="20"/>
        <v>0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18.51851852</v>
      </c>
      <c r="CW88" s="169">
        <f t="shared" si="8"/>
        <v>5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>
        <f t="shared" si="14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32"/>
      <c r="AT89" s="133"/>
      <c r="AU89" s="133"/>
      <c r="AV89" s="133"/>
      <c r="AW89" s="133"/>
      <c r="AX89" s="133"/>
      <c r="AY89" s="133"/>
      <c r="AZ89" s="133"/>
      <c r="BA89" s="133"/>
      <c r="BB89" s="32"/>
      <c r="BC89" s="133"/>
      <c r="BD89" s="133"/>
      <c r="BE89" s="133"/>
      <c r="BF89" s="133"/>
      <c r="BG89" s="32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>
        <f t="shared" si="20"/>
        <v>0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12</v>
      </c>
      <c r="E90" s="127">
        <f t="shared" si="10"/>
        <v>44.44444444</v>
      </c>
      <c r="F90" s="200">
        <f t="shared" si="11"/>
        <v>44.44444444</v>
      </c>
      <c r="G90" s="175" t="str">
        <f t="shared" si="12"/>
        <v>  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3"/>
        <v>0</v>
      </c>
      <c r="S90" s="137">
        <f t="shared" si="14"/>
        <v>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290">
        <v>1.0</v>
      </c>
      <c r="AG90" s="32"/>
      <c r="AH90" s="290">
        <v>1.0</v>
      </c>
      <c r="AI90" s="290">
        <v>1.0</v>
      </c>
      <c r="AJ90" s="279"/>
      <c r="AK90" s="279"/>
      <c r="AL90" s="135">
        <f t="shared" si="15"/>
        <v>3</v>
      </c>
      <c r="AM90" s="280">
        <f t="shared" si="16"/>
        <v>37.5</v>
      </c>
      <c r="AN90" s="32"/>
      <c r="AO90" s="32"/>
      <c r="AP90" s="32"/>
      <c r="AQ90" s="138"/>
      <c r="AR90" s="138"/>
      <c r="AS90" s="290">
        <v>1.0</v>
      </c>
      <c r="AT90" s="133"/>
      <c r="AU90" s="133"/>
      <c r="AV90" s="133"/>
      <c r="AW90" s="133"/>
      <c r="AX90" s="133"/>
      <c r="AY90" s="133"/>
      <c r="AZ90" s="133"/>
      <c r="BA90" s="133"/>
      <c r="BB90" s="32"/>
      <c r="BC90" s="133"/>
      <c r="BD90" s="133"/>
      <c r="BE90" s="133"/>
      <c r="BF90" s="185">
        <v>1.0</v>
      </c>
      <c r="BG90" s="32"/>
      <c r="BH90" s="133"/>
      <c r="BI90" s="135">
        <f t="shared" si="17"/>
        <v>2</v>
      </c>
      <c r="BJ90" s="281">
        <f t="shared" si="18"/>
        <v>25</v>
      </c>
      <c r="BK90" s="151">
        <v>1.0</v>
      </c>
      <c r="BL90" s="170">
        <v>1.0</v>
      </c>
      <c r="BM90" s="138"/>
      <c r="BN90" s="138"/>
      <c r="BO90" s="138"/>
      <c r="BP90" s="151">
        <v>1.0</v>
      </c>
      <c r="BQ90" s="151">
        <v>1.0</v>
      </c>
      <c r="BR90" s="150">
        <v>1.0</v>
      </c>
      <c r="BS90" s="187">
        <v>1.0</v>
      </c>
      <c r="BT90" s="152"/>
      <c r="BU90" s="187">
        <v>1.0</v>
      </c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7</v>
      </c>
      <c r="CG90" s="282">
        <f t="shared" si="20"/>
        <v>77.77777778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44.44444444</v>
      </c>
      <c r="CW90" s="169">
        <f t="shared" si="8"/>
        <v>12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5</v>
      </c>
      <c r="E91" s="127">
        <f t="shared" si="10"/>
        <v>18.51851852</v>
      </c>
      <c r="F91" s="200">
        <f t="shared" si="11"/>
        <v>18.51851852</v>
      </c>
      <c r="G91" s="200">
        <f t="shared" si="12"/>
        <v>18.51851852</v>
      </c>
      <c r="H91" s="287"/>
      <c r="I91" s="287"/>
      <c r="J91" s="288"/>
      <c r="K91" s="288"/>
      <c r="L91" s="288"/>
      <c r="M91" s="304">
        <v>1.0</v>
      </c>
      <c r="N91" s="288"/>
      <c r="O91" s="288"/>
      <c r="P91" s="288"/>
      <c r="Q91" s="288"/>
      <c r="R91" s="135">
        <f t="shared" si="13"/>
        <v>1</v>
      </c>
      <c r="S91" s="137">
        <f t="shared" si="14"/>
        <v>50</v>
      </c>
      <c r="T91" s="32"/>
      <c r="U91" s="32"/>
      <c r="V91" s="32"/>
      <c r="W91" s="132"/>
      <c r="X91" s="132"/>
      <c r="Y91" s="138"/>
      <c r="Z91" s="138"/>
      <c r="AA91" s="138"/>
      <c r="AB91" s="290">
        <v>1.0</v>
      </c>
      <c r="AC91" s="303">
        <v>1.0</v>
      </c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2</v>
      </c>
      <c r="AM91" s="280">
        <f t="shared" si="16"/>
        <v>25</v>
      </c>
      <c r="AN91" s="32"/>
      <c r="AO91" s="32"/>
      <c r="AP91" s="32"/>
      <c r="AQ91" s="138"/>
      <c r="AR91" s="138"/>
      <c r="AS91" s="32"/>
      <c r="AT91" s="133"/>
      <c r="AU91" s="133"/>
      <c r="AV91" s="133"/>
      <c r="AW91" s="133"/>
      <c r="AX91" s="133"/>
      <c r="AY91" s="133"/>
      <c r="AZ91" s="133"/>
      <c r="BA91" s="133"/>
      <c r="BB91" s="32"/>
      <c r="BC91" s="133"/>
      <c r="BD91" s="133"/>
      <c r="BE91" s="133"/>
      <c r="BF91" s="133"/>
      <c r="BG91" s="290">
        <v>1.0</v>
      </c>
      <c r="BH91" s="133"/>
      <c r="BI91" s="135">
        <f t="shared" si="17"/>
        <v>1</v>
      </c>
      <c r="BJ91" s="281">
        <f t="shared" si="18"/>
        <v>12.5</v>
      </c>
      <c r="BK91" s="138"/>
      <c r="BL91" s="132"/>
      <c r="BM91" s="138"/>
      <c r="BN91" s="138"/>
      <c r="BO91" s="138"/>
      <c r="BP91" s="138"/>
      <c r="BQ91" s="138"/>
      <c r="BR91" s="140"/>
      <c r="BS91" s="187">
        <v>1.0</v>
      </c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1</v>
      </c>
      <c r="CG91" s="282">
        <f t="shared" si="20"/>
        <v>11.11111111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18.51851852</v>
      </c>
      <c r="CW91" s="169">
        <f t="shared" si="8"/>
        <v>5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9</v>
      </c>
      <c r="E92" s="127">
        <f t="shared" si="10"/>
        <v>33.33333333</v>
      </c>
      <c r="F92" s="200">
        <f t="shared" si="11"/>
        <v>33.33333333</v>
      </c>
      <c r="G92" s="200" t="str">
        <f t="shared" si="12"/>
        <v>  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3"/>
        <v>0</v>
      </c>
      <c r="S92" s="137">
        <f t="shared" si="14"/>
        <v>0</v>
      </c>
      <c r="T92" s="32"/>
      <c r="U92" s="32"/>
      <c r="V92" s="32"/>
      <c r="W92" s="32"/>
      <c r="X92" s="32"/>
      <c r="Y92" s="32"/>
      <c r="Z92" s="32"/>
      <c r="AA92" s="32"/>
      <c r="AB92" s="290">
        <v>1.0</v>
      </c>
      <c r="AC92" s="32"/>
      <c r="AD92" s="32"/>
      <c r="AE92" s="32"/>
      <c r="AF92" s="32"/>
      <c r="AG92" s="32"/>
      <c r="AH92" s="32"/>
      <c r="AI92" s="290">
        <v>1.0</v>
      </c>
      <c r="AJ92" s="279"/>
      <c r="AK92" s="279"/>
      <c r="AL92" s="135">
        <f t="shared" si="15"/>
        <v>2</v>
      </c>
      <c r="AM92" s="280">
        <f t="shared" si="16"/>
        <v>25</v>
      </c>
      <c r="AN92" s="32"/>
      <c r="AO92" s="32"/>
      <c r="AP92" s="32"/>
      <c r="AQ92" s="32"/>
      <c r="AR92" s="138"/>
      <c r="AS92" s="290">
        <v>1.0</v>
      </c>
      <c r="AT92" s="133"/>
      <c r="AU92" s="133"/>
      <c r="AV92" s="133"/>
      <c r="AW92" s="133"/>
      <c r="AX92" s="133"/>
      <c r="AY92" s="133"/>
      <c r="AZ92" s="133"/>
      <c r="BA92" s="133"/>
      <c r="BB92" s="32"/>
      <c r="BC92" s="133"/>
      <c r="BD92" s="133"/>
      <c r="BE92" s="185">
        <v>1.0</v>
      </c>
      <c r="BF92" s="185">
        <v>1.0</v>
      </c>
      <c r="BG92" s="290">
        <v>1.0</v>
      </c>
      <c r="BH92" s="133"/>
      <c r="BI92" s="135">
        <f t="shared" si="17"/>
        <v>4</v>
      </c>
      <c r="BJ92" s="281">
        <f t="shared" si="18"/>
        <v>50</v>
      </c>
      <c r="BK92" s="138"/>
      <c r="BL92" s="132"/>
      <c r="BM92" s="138"/>
      <c r="BN92" s="138"/>
      <c r="BO92" s="138"/>
      <c r="BP92" s="151">
        <v>1.0</v>
      </c>
      <c r="BQ92" s="151">
        <v>1.0</v>
      </c>
      <c r="BR92" s="150">
        <v>1.0</v>
      </c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3</v>
      </c>
      <c r="CG92" s="282">
        <f t="shared" si="20"/>
        <v>33.33333333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33.33333333</v>
      </c>
      <c r="CW92" s="169">
        <f t="shared" si="8"/>
        <v>9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>
        <f t="shared" si="1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>
        <f t="shared" si="20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71" width="3.71"/>
    <col customWidth="1" min="72" max="72" width="3.29"/>
    <col customWidth="1" min="73" max="83" width="3.71"/>
    <col customWidth="1" min="84" max="84" width="4.0"/>
    <col customWidth="1" min="85" max="85" width="5.57"/>
    <col customWidth="1" min="86" max="97" width="3.71"/>
    <col customWidth="1" min="98" max="98" width="5.29"/>
    <col customWidth="1" min="99" max="99" width="6.29"/>
    <col customWidth="1" min="100" max="100" width="5.86"/>
    <col customWidth="1" min="101" max="102" width="6.86"/>
    <col customWidth="1" min="103" max="103" width="25.86"/>
  </cols>
  <sheetData>
    <row r="1">
      <c r="A1" s="2" t="s">
        <v>1</v>
      </c>
      <c r="B1" s="4"/>
      <c r="C1" s="5"/>
      <c r="D1" s="7"/>
      <c r="E1" s="7"/>
      <c r="F1" s="8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9"/>
      <c r="CY1" s="10"/>
    </row>
    <row r="2">
      <c r="A2" s="15" t="s">
        <v>4</v>
      </c>
      <c r="B2" s="16"/>
      <c r="C2" s="17" t="s">
        <v>6</v>
      </c>
      <c r="D2" s="18"/>
      <c r="E2" s="18"/>
      <c r="F2" s="4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9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9"/>
      <c r="CY2" s="10"/>
    </row>
    <row r="3">
      <c r="A3" s="15" t="s">
        <v>7</v>
      </c>
      <c r="B3" s="16"/>
      <c r="C3" s="17" t="s">
        <v>9</v>
      </c>
      <c r="D3" s="18"/>
      <c r="E3" s="18"/>
      <c r="F3" s="4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9"/>
      <c r="CY3" s="10"/>
    </row>
    <row r="4">
      <c r="A4" s="15" t="s">
        <v>10</v>
      </c>
      <c r="B4" s="16"/>
      <c r="C4" s="20"/>
      <c r="D4" s="18"/>
      <c r="E4" s="18"/>
      <c r="F4" s="4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9"/>
      <c r="CY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9"/>
      <c r="CY5" s="10"/>
    </row>
    <row r="6">
      <c r="A6" s="23" t="s">
        <v>12</v>
      </c>
      <c r="B6" s="24"/>
      <c r="C6" s="27"/>
      <c r="D6" s="26"/>
      <c r="E6" s="26"/>
      <c r="F6" s="28"/>
      <c r="G6" s="29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9"/>
      <c r="CY6" s="10"/>
    </row>
    <row r="7">
      <c r="A7" s="22"/>
      <c r="B7" s="33"/>
      <c r="C7" s="34"/>
      <c r="D7" s="22"/>
      <c r="E7" s="22"/>
      <c r="F7" s="36"/>
      <c r="G7" s="29"/>
      <c r="H7" s="38"/>
      <c r="I7" s="39"/>
      <c r="J7" s="39"/>
      <c r="K7" s="39"/>
      <c r="L7" s="39"/>
      <c r="M7" s="39"/>
      <c r="N7" s="39"/>
      <c r="O7" s="39"/>
      <c r="P7" s="39"/>
      <c r="Q7" s="39"/>
      <c r="R7" s="41"/>
      <c r="S7" s="42"/>
      <c r="T7" s="44"/>
      <c r="U7" s="46"/>
      <c r="V7" s="46"/>
      <c r="W7" s="44"/>
      <c r="X7" s="46"/>
      <c r="Y7" s="46"/>
      <c r="Z7" s="44"/>
      <c r="AA7" s="46"/>
      <c r="AB7" s="46"/>
      <c r="AC7" s="44"/>
      <c r="AD7" s="46"/>
      <c r="AE7" s="46"/>
      <c r="AF7" s="44"/>
      <c r="AG7" s="46"/>
      <c r="AH7" s="46"/>
      <c r="AI7" s="44"/>
      <c r="AJ7" s="46"/>
      <c r="AK7" s="46"/>
      <c r="AL7" s="48"/>
      <c r="AM7" s="50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4"/>
      <c r="BK7" s="52">
        <v>1.0</v>
      </c>
      <c r="BL7" s="52">
        <v>2.0</v>
      </c>
      <c r="BM7" s="52">
        <v>3.0</v>
      </c>
      <c r="BN7" s="52">
        <v>4.0</v>
      </c>
      <c r="BO7" s="52">
        <v>5.0</v>
      </c>
      <c r="BP7" s="52">
        <v>6.0</v>
      </c>
      <c r="BQ7" s="52">
        <v>7.0</v>
      </c>
      <c r="BR7" s="52">
        <v>8.0</v>
      </c>
      <c r="BS7" s="52">
        <v>9.0</v>
      </c>
      <c r="BT7" s="52">
        <v>10.0</v>
      </c>
      <c r="BU7" s="52">
        <v>11.0</v>
      </c>
      <c r="BV7" s="52">
        <v>12.0</v>
      </c>
      <c r="BW7" s="52">
        <v>13.0</v>
      </c>
      <c r="BX7" s="52">
        <v>14.0</v>
      </c>
      <c r="BY7" s="52">
        <v>15.0</v>
      </c>
      <c r="BZ7" s="52">
        <v>16.0</v>
      </c>
      <c r="CA7" s="52">
        <v>17.0</v>
      </c>
      <c r="CB7" s="52">
        <v>18.0</v>
      </c>
      <c r="CC7" s="52">
        <v>19.0</v>
      </c>
      <c r="CD7" s="52">
        <v>20.0</v>
      </c>
      <c r="CE7" s="52">
        <v>21.0</v>
      </c>
      <c r="CF7" s="48"/>
      <c r="CG7" s="48"/>
      <c r="CH7" s="52">
        <v>1.0</v>
      </c>
      <c r="CI7" s="52">
        <v>2.0</v>
      </c>
      <c r="CJ7" s="52">
        <v>3.0</v>
      </c>
      <c r="CK7" s="52">
        <v>4.0</v>
      </c>
      <c r="CL7" s="52">
        <v>5.0</v>
      </c>
      <c r="CM7" s="52">
        <v>6.0</v>
      </c>
      <c r="CN7" s="52">
        <v>7.0</v>
      </c>
      <c r="CO7" s="52">
        <v>8.0</v>
      </c>
      <c r="CP7" s="52">
        <v>9.0</v>
      </c>
      <c r="CQ7" s="52">
        <v>10.0</v>
      </c>
      <c r="CR7" s="52">
        <v>11.0</v>
      </c>
      <c r="CS7" s="52">
        <v>12.0</v>
      </c>
      <c r="CT7" s="56"/>
      <c r="CU7" s="56"/>
      <c r="CV7" s="57"/>
      <c r="CW7" s="52"/>
      <c r="CX7" s="58"/>
      <c r="CY7" s="59"/>
    </row>
    <row r="8" ht="78.75" customHeight="1">
      <c r="A8" s="60"/>
      <c r="B8" s="52"/>
      <c r="C8" s="46"/>
      <c r="D8" s="61" t="s">
        <v>15</v>
      </c>
      <c r="E8" s="63" t="s">
        <v>16</v>
      </c>
      <c r="F8" s="65" t="s">
        <v>17</v>
      </c>
      <c r="G8" s="67" t="s">
        <v>18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70" t="s">
        <v>19</v>
      </c>
      <c r="S8" s="71" t="s">
        <v>20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73" t="s">
        <v>21</v>
      </c>
      <c r="AM8" s="74" t="s">
        <v>23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26</v>
      </c>
      <c r="BJ8" s="77" t="s">
        <v>27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9" t="s">
        <v>30</v>
      </c>
      <c r="CG8" s="81" t="s">
        <v>34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69">
        <v>46188.0</v>
      </c>
      <c r="CT8" s="85" t="s">
        <v>38</v>
      </c>
      <c r="CU8" s="87" t="s">
        <v>39</v>
      </c>
      <c r="CV8" s="80" t="s">
        <v>33</v>
      </c>
      <c r="CW8" s="82" t="s">
        <v>35</v>
      </c>
      <c r="CX8" s="83" t="s">
        <v>36</v>
      </c>
      <c r="CY8" s="84" t="s">
        <v>37</v>
      </c>
    </row>
    <row r="9">
      <c r="A9" s="89" t="s">
        <v>42</v>
      </c>
      <c r="B9" s="92" t="s">
        <v>45</v>
      </c>
      <c r="C9" s="93" t="s">
        <v>44</v>
      </c>
      <c r="D9" s="96">
        <f>SUM(R9+AL9+BI9+CF9+CT9)</f>
        <v>14</v>
      </c>
      <c r="E9" s="98"/>
      <c r="F9" s="100"/>
      <c r="G9" s="101"/>
      <c r="H9" s="102">
        <f t="shared" ref="H9:Q9" si="1">SUM(H10:H93)</f>
        <v>0</v>
      </c>
      <c r="I9" s="102">
        <f t="shared" si="1"/>
        <v>5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30</v>
      </c>
      <c r="N9" s="102">
        <f t="shared" si="1"/>
        <v>0</v>
      </c>
      <c r="O9" s="102">
        <f t="shared" si="1"/>
        <v>0</v>
      </c>
      <c r="P9" s="102">
        <f t="shared" si="1"/>
        <v>0</v>
      </c>
      <c r="Q9" s="102">
        <f t="shared" si="1"/>
        <v>0</v>
      </c>
      <c r="R9" s="105">
        <f>COUNTIF(H9:Q9,"&gt;0")</f>
        <v>2</v>
      </c>
      <c r="S9" s="106">
        <f>COUNTIF(H9:K9,"&gt;0")</f>
        <v>1</v>
      </c>
      <c r="T9" s="108">
        <f t="shared" ref="T9:AK9" si="2">SUM(T10:T93)</f>
        <v>0</v>
      </c>
      <c r="U9" s="108">
        <f t="shared" si="2"/>
        <v>0</v>
      </c>
      <c r="V9" s="108">
        <f t="shared" si="2"/>
        <v>0</v>
      </c>
      <c r="W9" s="108">
        <f t="shared" si="2"/>
        <v>0</v>
      </c>
      <c r="X9" s="108">
        <f t="shared" si="2"/>
        <v>0</v>
      </c>
      <c r="Y9" s="108">
        <f t="shared" si="2"/>
        <v>36</v>
      </c>
      <c r="Z9" s="108">
        <f t="shared" si="2"/>
        <v>37</v>
      </c>
      <c r="AA9" s="108">
        <f t="shared" si="2"/>
        <v>0</v>
      </c>
      <c r="AB9" s="108">
        <f t="shared" si="2"/>
        <v>0</v>
      </c>
      <c r="AC9" s="108">
        <f t="shared" si="2"/>
        <v>0</v>
      </c>
      <c r="AD9" s="108">
        <f t="shared" si="2"/>
        <v>22</v>
      </c>
      <c r="AE9" s="108">
        <f t="shared" si="2"/>
        <v>13</v>
      </c>
      <c r="AF9" s="108">
        <f t="shared" si="2"/>
        <v>0</v>
      </c>
      <c r="AG9" s="108">
        <f t="shared" si="2"/>
        <v>0</v>
      </c>
      <c r="AH9" s="108">
        <f t="shared" si="2"/>
        <v>0</v>
      </c>
      <c r="AI9" s="108">
        <f t="shared" si="2"/>
        <v>24</v>
      </c>
      <c r="AJ9" s="108">
        <f t="shared" si="2"/>
        <v>0</v>
      </c>
      <c r="AK9" s="108">
        <f t="shared" si="2"/>
        <v>0</v>
      </c>
      <c r="AL9" s="48">
        <f>COUNTIF(T9:AK9,"&gt;0")</f>
        <v>5</v>
      </c>
      <c r="AM9" s="110">
        <f>SUM(R9+AL9)</f>
        <v>7</v>
      </c>
      <c r="AN9" s="111">
        <f t="shared" ref="AN9:BH9" si="3">SUM(AN10:AN48)</f>
        <v>0</v>
      </c>
      <c r="AO9" s="112">
        <f t="shared" si="3"/>
        <v>0</v>
      </c>
      <c r="AP9" s="112">
        <f t="shared" si="3"/>
        <v>0</v>
      </c>
      <c r="AQ9" s="112">
        <f t="shared" si="3"/>
        <v>0</v>
      </c>
      <c r="AR9" s="112">
        <f t="shared" si="3"/>
        <v>0</v>
      </c>
      <c r="AS9" s="112">
        <f t="shared" si="3"/>
        <v>0</v>
      </c>
      <c r="AT9" s="112">
        <f t="shared" si="3"/>
        <v>0</v>
      </c>
      <c r="AU9" s="112">
        <f t="shared" si="3"/>
        <v>0</v>
      </c>
      <c r="AV9" s="112">
        <f t="shared" si="3"/>
        <v>0</v>
      </c>
      <c r="AW9" s="112">
        <f t="shared" si="3"/>
        <v>0</v>
      </c>
      <c r="AX9" s="112">
        <f t="shared" si="3"/>
        <v>5</v>
      </c>
      <c r="AY9" s="112">
        <f t="shared" si="3"/>
        <v>0</v>
      </c>
      <c r="AZ9" s="112">
        <f t="shared" si="3"/>
        <v>0</v>
      </c>
      <c r="BA9" s="112">
        <f t="shared" si="3"/>
        <v>0</v>
      </c>
      <c r="BB9" s="112">
        <f t="shared" si="3"/>
        <v>3</v>
      </c>
      <c r="BC9" s="112">
        <f t="shared" si="3"/>
        <v>0</v>
      </c>
      <c r="BD9" s="112">
        <f t="shared" si="3"/>
        <v>0</v>
      </c>
      <c r="BE9" s="112">
        <f t="shared" si="3"/>
        <v>0</v>
      </c>
      <c r="BF9" s="112">
        <f t="shared" si="3"/>
        <v>0</v>
      </c>
      <c r="BG9" s="112">
        <f t="shared" si="3"/>
        <v>12</v>
      </c>
      <c r="BH9" s="112">
        <f t="shared" si="3"/>
        <v>11</v>
      </c>
      <c r="BI9" s="48">
        <f>COUNTIF(AN9:BH9,"&gt;0")</f>
        <v>4</v>
      </c>
      <c r="BJ9" s="54">
        <f>SUM(AM9+BI9)</f>
        <v>11</v>
      </c>
      <c r="BK9" s="112">
        <f t="shared" ref="BK9:CE9" si="4">SUM(BK10:BK48)</f>
        <v>0</v>
      </c>
      <c r="BL9" s="112">
        <f t="shared" si="4"/>
        <v>0</v>
      </c>
      <c r="BM9" s="112">
        <f t="shared" si="4"/>
        <v>0</v>
      </c>
      <c r="BN9" s="112">
        <f t="shared" si="4"/>
        <v>21</v>
      </c>
      <c r="BO9" s="112">
        <f t="shared" si="4"/>
        <v>0</v>
      </c>
      <c r="BP9" s="112">
        <f t="shared" si="4"/>
        <v>25</v>
      </c>
      <c r="BQ9" s="112">
        <f t="shared" si="4"/>
        <v>0</v>
      </c>
      <c r="BR9" s="112">
        <f t="shared" si="4"/>
        <v>0</v>
      </c>
      <c r="BS9" s="112">
        <f t="shared" si="4"/>
        <v>0</v>
      </c>
      <c r="BT9" s="112">
        <f t="shared" si="4"/>
        <v>11</v>
      </c>
      <c r="BU9" s="112">
        <f t="shared" si="4"/>
        <v>0</v>
      </c>
      <c r="BV9" s="112">
        <f t="shared" si="4"/>
        <v>0</v>
      </c>
      <c r="BW9" s="112">
        <f t="shared" si="4"/>
        <v>0</v>
      </c>
      <c r="BX9" s="112">
        <f t="shared" si="4"/>
        <v>0</v>
      </c>
      <c r="BY9" s="112">
        <f t="shared" si="4"/>
        <v>0</v>
      </c>
      <c r="BZ9" s="112">
        <f t="shared" si="4"/>
        <v>0</v>
      </c>
      <c r="CA9" s="112">
        <f t="shared" si="4"/>
        <v>0</v>
      </c>
      <c r="CB9" s="112">
        <f t="shared" si="4"/>
        <v>0</v>
      </c>
      <c r="CC9" s="112">
        <f t="shared" si="4"/>
        <v>0</v>
      </c>
      <c r="CD9" s="112">
        <f t="shared" si="4"/>
        <v>0</v>
      </c>
      <c r="CE9" s="112">
        <f t="shared" si="4"/>
        <v>0</v>
      </c>
      <c r="CF9" s="48">
        <f>COUNTIF(BK9:CE9,"&gt;0")</f>
        <v>3</v>
      </c>
      <c r="CG9" s="54">
        <f>SUM(BJ9+CF9)</f>
        <v>14</v>
      </c>
      <c r="CH9" s="112">
        <f t="shared" ref="CH9:CS9" si="5">SUM(CH10:CH48)</f>
        <v>0</v>
      </c>
      <c r="CI9" s="112">
        <f t="shared" si="5"/>
        <v>0</v>
      </c>
      <c r="CJ9" s="112">
        <f t="shared" si="5"/>
        <v>0</v>
      </c>
      <c r="CK9" s="112">
        <f t="shared" si="5"/>
        <v>0</v>
      </c>
      <c r="CL9" s="112">
        <f t="shared" si="5"/>
        <v>0</v>
      </c>
      <c r="CM9" s="112">
        <f t="shared" si="5"/>
        <v>0</v>
      </c>
      <c r="CN9" s="112">
        <f t="shared" si="5"/>
        <v>0</v>
      </c>
      <c r="CO9" s="112">
        <f t="shared" si="5"/>
        <v>0</v>
      </c>
      <c r="CP9" s="112">
        <f t="shared" si="5"/>
        <v>0</v>
      </c>
      <c r="CQ9" s="112">
        <f t="shared" si="5"/>
        <v>0</v>
      </c>
      <c r="CR9" s="112">
        <f t="shared" si="5"/>
        <v>0</v>
      </c>
      <c r="CS9" s="112">
        <f t="shared" si="5"/>
        <v>0</v>
      </c>
      <c r="CT9" s="116">
        <f>COUNTIF(CH9:CS9,"&gt;0")</f>
        <v>0</v>
      </c>
      <c r="CU9" s="126">
        <f>SUM(CG9+CT9)</f>
        <v>14</v>
      </c>
      <c r="CV9" s="118"/>
      <c r="CW9" s="119">
        <f>SUM(R9+AL9+BI9+CF9+CT9+CV9)</f>
        <v>14</v>
      </c>
      <c r="CX9" s="120">
        <f t="shared" ref="CX9:CX44" si="6">SUM(R9+AL9+BI9+CF9+CT9+CV9)</f>
        <v>14</v>
      </c>
      <c r="CY9" s="121"/>
    </row>
    <row r="10">
      <c r="A10" s="122">
        <v>1.0</v>
      </c>
      <c r="B10" s="129" t="s">
        <v>47</v>
      </c>
      <c r="C10" s="131" t="s">
        <v>48</v>
      </c>
      <c r="D10" s="134">
        <f t="shared" ref="D10:D93" si="7">SUM(R10+AL10+BI10+CF10+CT10+CV10)</f>
        <v>0</v>
      </c>
      <c r="E10" s="136">
        <f t="shared" ref="E10:E93" si="8">(D10)/D$9*100</f>
        <v>0</v>
      </c>
      <c r="F10" s="139">
        <f t="shared" ref="F10:F93" si="9">IF(E10&lt;50,E10, "  ")</f>
        <v>0</v>
      </c>
      <c r="G10" s="144">
        <f t="shared" ref="G10:G93" si="10">IF(E10&lt;30,E10, "  ")</f>
        <v>0</v>
      </c>
      <c r="H10" s="142"/>
      <c r="I10" s="145"/>
      <c r="J10" s="145"/>
      <c r="K10" s="145"/>
      <c r="L10" s="142"/>
      <c r="M10" s="133"/>
      <c r="N10" s="142"/>
      <c r="O10" s="142"/>
      <c r="P10" s="142"/>
      <c r="Q10" s="142"/>
      <c r="R10" s="147">
        <f t="shared" ref="R10:R93" si="11">SUM(H10:Q10)</f>
        <v>0</v>
      </c>
      <c r="S10" s="148">
        <f t="shared" ref="S10:S47" si="12">R10/R$9*100</f>
        <v>0</v>
      </c>
      <c r="T10" s="142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2"/>
      <c r="AL10" s="147">
        <f t="shared" ref="AL10:AL93" si="13">SUM(T10:AK10)</f>
        <v>0</v>
      </c>
      <c r="AM10" s="155">
        <f t="shared" ref="AM10:AM93" si="14">AL10/AL$9*100</f>
        <v>0</v>
      </c>
      <c r="AN10" s="157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42"/>
      <c r="BF10" s="142"/>
      <c r="BG10" s="142"/>
      <c r="BH10" s="142"/>
      <c r="BI10" s="162">
        <f t="shared" ref="BI10:BI93" si="15">SUM(AN10:BH10)</f>
        <v>0</v>
      </c>
      <c r="BJ10" s="164">
        <f t="shared" ref="BJ10:BJ93" si="16">BI10/BI$9*100</f>
        <v>0</v>
      </c>
      <c r="BK10" s="157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3"/>
      <c r="BZ10" s="153"/>
      <c r="CA10" s="153"/>
      <c r="CB10" s="153"/>
      <c r="CC10" s="153"/>
      <c r="CD10" s="153"/>
      <c r="CE10" s="153"/>
      <c r="CF10" s="168">
        <f t="shared" ref="CF10:CF93" si="17">SUM(BK10:CE10)</f>
        <v>0</v>
      </c>
      <c r="CG10" s="159">
        <f t="shared" ref="CG10:CG93" si="18">CF10/CF$9*100</f>
        <v>0</v>
      </c>
      <c r="CH10" s="154"/>
      <c r="CI10" s="161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76">
        <f t="shared" ref="CT10:CT93" si="19">SUM(CH10:CS10)</f>
        <v>0</v>
      </c>
      <c r="CU10" s="165" t="str">
        <f t="shared" ref="CU10:CU93" si="20">CT10/CT$9*100</f>
        <v>#DIV/0!</v>
      </c>
      <c r="CV10" s="166"/>
      <c r="CW10" s="167">
        <f t="shared" ref="CW10:CW44" si="21">(D10)/D$9*100</f>
        <v>0</v>
      </c>
      <c r="CX10" s="169">
        <f t="shared" si="6"/>
        <v>0</v>
      </c>
      <c r="CY10" s="171"/>
    </row>
    <row r="11" ht="18.0" customHeight="1">
      <c r="A11" s="172">
        <v>2.0</v>
      </c>
      <c r="B11" s="188" t="s">
        <v>49</v>
      </c>
      <c r="C11" s="174" t="s">
        <v>50</v>
      </c>
      <c r="D11" s="125">
        <f t="shared" si="7"/>
        <v>12</v>
      </c>
      <c r="E11" s="127">
        <f t="shared" si="8"/>
        <v>85.71428571</v>
      </c>
      <c r="F11" s="175" t="str">
        <f t="shared" si="9"/>
        <v>  </v>
      </c>
      <c r="G11" s="193" t="str">
        <f t="shared" si="10"/>
        <v>  </v>
      </c>
      <c r="H11" s="180"/>
      <c r="I11" s="195"/>
      <c r="J11" s="138"/>
      <c r="K11" s="138"/>
      <c r="L11" s="180"/>
      <c r="M11" s="191">
        <v>1.0</v>
      </c>
      <c r="N11" s="180"/>
      <c r="O11" s="180"/>
      <c r="P11" s="180"/>
      <c r="Q11" s="180"/>
      <c r="R11" s="147">
        <f t="shared" si="11"/>
        <v>1</v>
      </c>
      <c r="S11" s="198">
        <f t="shared" si="12"/>
        <v>50</v>
      </c>
      <c r="T11" s="180"/>
      <c r="U11" s="138"/>
      <c r="V11" s="138"/>
      <c r="W11" s="138"/>
      <c r="X11" s="138"/>
      <c r="Y11" s="151">
        <v>1.0</v>
      </c>
      <c r="Z11" s="151">
        <v>1.0</v>
      </c>
      <c r="AA11" s="138"/>
      <c r="AB11" s="138"/>
      <c r="AC11" s="138"/>
      <c r="AD11" s="151">
        <v>1.0</v>
      </c>
      <c r="AE11" s="151">
        <v>1.0</v>
      </c>
      <c r="AF11" s="138"/>
      <c r="AG11" s="138"/>
      <c r="AH11" s="138"/>
      <c r="AI11" s="151">
        <v>1.0</v>
      </c>
      <c r="AJ11" s="138"/>
      <c r="AK11" s="180"/>
      <c r="AL11" s="147">
        <f t="shared" si="13"/>
        <v>5</v>
      </c>
      <c r="AM11" s="202">
        <f t="shared" si="14"/>
        <v>100</v>
      </c>
      <c r="AN11" s="180"/>
      <c r="AO11" s="138"/>
      <c r="AP11" s="138"/>
      <c r="AQ11" s="138"/>
      <c r="AR11" s="138"/>
      <c r="AS11" s="138"/>
      <c r="AT11" s="138"/>
      <c r="AU11" s="138"/>
      <c r="AV11" s="138"/>
      <c r="AW11" s="138"/>
      <c r="AX11" s="151">
        <v>1.0</v>
      </c>
      <c r="AY11" s="138"/>
      <c r="AZ11" s="138"/>
      <c r="BA11" s="138"/>
      <c r="BB11" s="138"/>
      <c r="BC11" s="138"/>
      <c r="BD11" s="138"/>
      <c r="BE11" s="180"/>
      <c r="BF11" s="180"/>
      <c r="BG11" s="181">
        <v>1.0</v>
      </c>
      <c r="BH11" s="181">
        <v>1.0</v>
      </c>
      <c r="BI11" s="162">
        <f t="shared" si="15"/>
        <v>3</v>
      </c>
      <c r="BJ11" s="204">
        <f t="shared" si="16"/>
        <v>75</v>
      </c>
      <c r="BK11" s="180"/>
      <c r="BL11" s="138"/>
      <c r="BM11" s="138"/>
      <c r="BN11" s="151">
        <v>1.0</v>
      </c>
      <c r="BO11" s="138"/>
      <c r="BP11" s="151">
        <v>1.0</v>
      </c>
      <c r="BQ11" s="138"/>
      <c r="BR11" s="138"/>
      <c r="BS11" s="138"/>
      <c r="BT11" s="151">
        <v>1.0</v>
      </c>
      <c r="BU11" s="138"/>
      <c r="BV11" s="138"/>
      <c r="BW11" s="138"/>
      <c r="BX11" s="138"/>
      <c r="BY11" s="152"/>
      <c r="BZ11" s="152"/>
      <c r="CA11" s="152"/>
      <c r="CB11" s="152"/>
      <c r="CC11" s="152"/>
      <c r="CD11" s="152"/>
      <c r="CE11" s="152"/>
      <c r="CF11" s="205">
        <f t="shared" si="17"/>
        <v>3</v>
      </c>
      <c r="CG11" s="190">
        <f t="shared" si="18"/>
        <v>100</v>
      </c>
      <c r="CH11" s="206"/>
      <c r="CI11" s="161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208">
        <f t="shared" si="19"/>
        <v>0</v>
      </c>
      <c r="CU11" s="194" t="str">
        <f t="shared" si="20"/>
        <v>#DIV/0!</v>
      </c>
      <c r="CV11" s="196"/>
      <c r="CW11" s="167">
        <f t="shared" si="21"/>
        <v>85.71428571</v>
      </c>
      <c r="CX11" s="169">
        <f t="shared" si="6"/>
        <v>12</v>
      </c>
      <c r="CY11" s="197"/>
    </row>
    <row r="12">
      <c r="A12" s="122">
        <v>3.0</v>
      </c>
      <c r="B12" s="188" t="s">
        <v>51</v>
      </c>
      <c r="C12" s="216" t="s">
        <v>52</v>
      </c>
      <c r="D12" s="125">
        <f t="shared" si="7"/>
        <v>2</v>
      </c>
      <c r="E12" s="127">
        <f t="shared" si="8"/>
        <v>14.28571429</v>
      </c>
      <c r="F12" s="200">
        <f t="shared" si="9"/>
        <v>14.28571429</v>
      </c>
      <c r="G12" s="220">
        <f t="shared" si="10"/>
        <v>14.28571429</v>
      </c>
      <c r="H12" s="180"/>
      <c r="I12" s="138"/>
      <c r="J12" s="138"/>
      <c r="K12" s="138"/>
      <c r="L12" s="180"/>
      <c r="M12" s="201"/>
      <c r="N12" s="180"/>
      <c r="O12" s="180"/>
      <c r="P12" s="180"/>
      <c r="Q12" s="180"/>
      <c r="R12" s="147">
        <f t="shared" si="11"/>
        <v>0</v>
      </c>
      <c r="S12" s="198">
        <f t="shared" si="12"/>
        <v>0</v>
      </c>
      <c r="T12" s="180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80"/>
      <c r="AL12" s="147">
        <f t="shared" si="13"/>
        <v>0</v>
      </c>
      <c r="AM12" s="202">
        <f t="shared" si="14"/>
        <v>0</v>
      </c>
      <c r="AN12" s="180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80"/>
      <c r="BF12" s="180"/>
      <c r="BG12" s="180"/>
      <c r="BH12" s="180"/>
      <c r="BI12" s="162">
        <f t="shared" si="15"/>
        <v>0</v>
      </c>
      <c r="BJ12" s="204">
        <f t="shared" si="16"/>
        <v>0</v>
      </c>
      <c r="BK12" s="180"/>
      <c r="BL12" s="138"/>
      <c r="BM12" s="138"/>
      <c r="BN12" s="151">
        <v>1.0</v>
      </c>
      <c r="BO12" s="138"/>
      <c r="BP12" s="138"/>
      <c r="BQ12" s="138"/>
      <c r="BR12" s="138"/>
      <c r="BS12" s="138"/>
      <c r="BT12" s="151">
        <v>1.0</v>
      </c>
      <c r="BU12" s="138"/>
      <c r="BV12" s="138"/>
      <c r="BW12" s="138"/>
      <c r="BX12" s="138"/>
      <c r="BY12" s="152"/>
      <c r="BZ12" s="152"/>
      <c r="CA12" s="152"/>
      <c r="CB12" s="152"/>
      <c r="CC12" s="152"/>
      <c r="CD12" s="152"/>
      <c r="CE12" s="152"/>
      <c r="CF12" s="205">
        <f t="shared" si="17"/>
        <v>2</v>
      </c>
      <c r="CG12" s="190">
        <f t="shared" si="18"/>
        <v>66.66666667</v>
      </c>
      <c r="CH12" s="206"/>
      <c r="CI12" s="161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208">
        <f t="shared" si="19"/>
        <v>0</v>
      </c>
      <c r="CU12" s="194" t="str">
        <f t="shared" si="20"/>
        <v>#DIV/0!</v>
      </c>
      <c r="CV12" s="196"/>
      <c r="CW12" s="167">
        <f t="shared" si="21"/>
        <v>14.28571429</v>
      </c>
      <c r="CX12" s="169">
        <f t="shared" si="6"/>
        <v>2</v>
      </c>
      <c r="CY12" s="197"/>
    </row>
    <row r="13">
      <c r="A13" s="172">
        <v>4.0</v>
      </c>
      <c r="B13" s="188" t="s">
        <v>53</v>
      </c>
      <c r="C13" s="216" t="s">
        <v>54</v>
      </c>
      <c r="D13" s="125">
        <f t="shared" si="7"/>
        <v>5</v>
      </c>
      <c r="E13" s="127">
        <f t="shared" si="8"/>
        <v>35.71428571</v>
      </c>
      <c r="F13" s="200">
        <f t="shared" si="9"/>
        <v>35.71428571</v>
      </c>
      <c r="G13" s="193" t="str">
        <f t="shared" si="10"/>
        <v>  </v>
      </c>
      <c r="H13" s="180"/>
      <c r="I13" s="138"/>
      <c r="J13" s="152"/>
      <c r="K13" s="138"/>
      <c r="L13" s="180"/>
      <c r="M13" s="201"/>
      <c r="N13" s="180"/>
      <c r="O13" s="180"/>
      <c r="P13" s="180"/>
      <c r="Q13" s="180"/>
      <c r="R13" s="147">
        <f t="shared" si="11"/>
        <v>0</v>
      </c>
      <c r="S13" s="198">
        <f t="shared" si="12"/>
        <v>0</v>
      </c>
      <c r="T13" s="230"/>
      <c r="U13" s="209"/>
      <c r="V13" s="209"/>
      <c r="W13" s="209"/>
      <c r="X13" s="209"/>
      <c r="Y13" s="209"/>
      <c r="Z13" s="209"/>
      <c r="AA13" s="209"/>
      <c r="AB13" s="209"/>
      <c r="AC13" s="138"/>
      <c r="AD13" s="209"/>
      <c r="AE13" s="209"/>
      <c r="AF13" s="209"/>
      <c r="AG13" s="209"/>
      <c r="AH13" s="209"/>
      <c r="AI13" s="225">
        <v>1.0</v>
      </c>
      <c r="AJ13" s="209"/>
      <c r="AK13" s="210"/>
      <c r="AL13" s="147">
        <f t="shared" si="13"/>
        <v>1</v>
      </c>
      <c r="AM13" s="202">
        <f t="shared" si="14"/>
        <v>20</v>
      </c>
      <c r="AN13" s="230"/>
      <c r="AO13" s="209"/>
      <c r="AP13" s="209"/>
      <c r="AQ13" s="209"/>
      <c r="AR13" s="209"/>
      <c r="AS13" s="209"/>
      <c r="AT13" s="209"/>
      <c r="AU13" s="209"/>
      <c r="AV13" s="209"/>
      <c r="AW13" s="209"/>
      <c r="AX13" s="225">
        <v>1.0</v>
      </c>
      <c r="AY13" s="209"/>
      <c r="AZ13" s="209"/>
      <c r="BA13" s="209"/>
      <c r="BB13" s="209"/>
      <c r="BC13" s="209"/>
      <c r="BD13" s="209"/>
      <c r="BE13" s="210"/>
      <c r="BF13" s="210"/>
      <c r="BG13" s="210"/>
      <c r="BH13" s="211">
        <v>1.0</v>
      </c>
      <c r="BI13" s="162">
        <f t="shared" si="15"/>
        <v>2</v>
      </c>
      <c r="BJ13" s="204">
        <f t="shared" si="16"/>
        <v>50</v>
      </c>
      <c r="BK13" s="230"/>
      <c r="BL13" s="209"/>
      <c r="BM13" s="209"/>
      <c r="BN13" s="209"/>
      <c r="BO13" s="209"/>
      <c r="BP13" s="225">
        <v>1.0</v>
      </c>
      <c r="BQ13" s="209"/>
      <c r="BR13" s="209"/>
      <c r="BS13" s="209"/>
      <c r="BT13" s="225">
        <v>1.0</v>
      </c>
      <c r="BU13" s="209"/>
      <c r="BV13" s="209"/>
      <c r="BW13" s="209"/>
      <c r="BX13" s="209"/>
      <c r="BY13" s="217"/>
      <c r="BZ13" s="217"/>
      <c r="CA13" s="217"/>
      <c r="CB13" s="217"/>
      <c r="CC13" s="217"/>
      <c r="CD13" s="217"/>
      <c r="CE13" s="217"/>
      <c r="CF13" s="205">
        <f t="shared" si="17"/>
        <v>2</v>
      </c>
      <c r="CG13" s="190">
        <f t="shared" si="18"/>
        <v>66.66666667</v>
      </c>
      <c r="CH13" s="237"/>
      <c r="CI13" s="161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08">
        <f t="shared" si="19"/>
        <v>0</v>
      </c>
      <c r="CU13" s="194" t="str">
        <f t="shared" si="20"/>
        <v>#DIV/0!</v>
      </c>
      <c r="CV13" s="222"/>
      <c r="CW13" s="167">
        <f t="shared" si="21"/>
        <v>35.71428571</v>
      </c>
      <c r="CX13" s="169">
        <f t="shared" si="6"/>
        <v>5</v>
      </c>
      <c r="CY13" s="197"/>
    </row>
    <row r="14">
      <c r="A14" s="122">
        <v>5.0</v>
      </c>
      <c r="B14" s="188" t="s">
        <v>55</v>
      </c>
      <c r="C14" s="216" t="s">
        <v>56</v>
      </c>
      <c r="D14" s="125">
        <f t="shared" si="7"/>
        <v>6</v>
      </c>
      <c r="E14" s="127">
        <f t="shared" si="8"/>
        <v>42.85714286</v>
      </c>
      <c r="F14" s="200">
        <f t="shared" si="9"/>
        <v>42.85714286</v>
      </c>
      <c r="G14" s="193" t="str">
        <f t="shared" si="10"/>
        <v>  </v>
      </c>
      <c r="H14" s="242"/>
      <c r="I14" s="243"/>
      <c r="J14" s="138"/>
      <c r="K14" s="138"/>
      <c r="L14" s="180"/>
      <c r="M14" s="232">
        <v>1.0</v>
      </c>
      <c r="N14" s="180"/>
      <c r="O14" s="180"/>
      <c r="P14" s="180"/>
      <c r="Q14" s="180"/>
      <c r="R14" s="147">
        <f t="shared" si="11"/>
        <v>1</v>
      </c>
      <c r="S14" s="198">
        <f t="shared" si="12"/>
        <v>50</v>
      </c>
      <c r="T14" s="237"/>
      <c r="U14" s="217"/>
      <c r="V14" s="217"/>
      <c r="W14" s="217"/>
      <c r="X14" s="217"/>
      <c r="Y14" s="235">
        <v>1.0</v>
      </c>
      <c r="Z14" s="217"/>
      <c r="AA14" s="217"/>
      <c r="AB14" s="217"/>
      <c r="AC14" s="138"/>
      <c r="AD14" s="235">
        <v>1.0</v>
      </c>
      <c r="AE14" s="217"/>
      <c r="AF14" s="217"/>
      <c r="AG14" s="217"/>
      <c r="AH14" s="217"/>
      <c r="AI14" s="235">
        <v>1.0</v>
      </c>
      <c r="AJ14" s="217"/>
      <c r="AK14" s="226"/>
      <c r="AL14" s="147">
        <f t="shared" si="13"/>
        <v>3</v>
      </c>
      <c r="AM14" s="202">
        <f t="shared" si="14"/>
        <v>60</v>
      </c>
      <c r="AN14" s="23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26"/>
      <c r="BF14" s="226"/>
      <c r="BG14" s="226"/>
      <c r="BH14" s="226"/>
      <c r="BI14" s="162">
        <f t="shared" si="15"/>
        <v>0</v>
      </c>
      <c r="BJ14" s="204">
        <f t="shared" si="16"/>
        <v>0</v>
      </c>
      <c r="BK14" s="237"/>
      <c r="BL14" s="217"/>
      <c r="BM14" s="217"/>
      <c r="BN14" s="235">
        <v>1.0</v>
      </c>
      <c r="BO14" s="217"/>
      <c r="BP14" s="235">
        <v>1.0</v>
      </c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05">
        <f t="shared" si="17"/>
        <v>2</v>
      </c>
      <c r="CG14" s="190">
        <f t="shared" si="18"/>
        <v>66.66666667</v>
      </c>
      <c r="CH14" s="237"/>
      <c r="CI14" s="161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08">
        <f t="shared" si="19"/>
        <v>0</v>
      </c>
      <c r="CU14" s="194" t="str">
        <f t="shared" si="20"/>
        <v>#DIV/0!</v>
      </c>
      <c r="CV14" s="196"/>
      <c r="CW14" s="167">
        <f t="shared" si="21"/>
        <v>42.85714286</v>
      </c>
      <c r="CX14" s="169">
        <f t="shared" si="6"/>
        <v>6</v>
      </c>
      <c r="CY14" s="197"/>
    </row>
    <row r="15">
      <c r="A15" s="172">
        <v>6.0</v>
      </c>
      <c r="B15" s="188" t="s">
        <v>57</v>
      </c>
      <c r="C15" s="216" t="s">
        <v>58</v>
      </c>
      <c r="D15" s="125">
        <f t="shared" si="7"/>
        <v>0</v>
      </c>
      <c r="E15" s="127">
        <f t="shared" si="8"/>
        <v>0</v>
      </c>
      <c r="F15" s="200">
        <f t="shared" si="9"/>
        <v>0</v>
      </c>
      <c r="G15" s="220">
        <f t="shared" si="10"/>
        <v>0</v>
      </c>
      <c r="H15" s="180"/>
      <c r="I15" s="152"/>
      <c r="J15" s="195"/>
      <c r="K15" s="138"/>
      <c r="L15" s="180"/>
      <c r="M15" s="231"/>
      <c r="N15" s="180"/>
      <c r="O15" s="180"/>
      <c r="P15" s="180"/>
      <c r="Q15" s="180"/>
      <c r="R15" s="147">
        <f t="shared" si="11"/>
        <v>0</v>
      </c>
      <c r="S15" s="198">
        <f t="shared" si="12"/>
        <v>0</v>
      </c>
      <c r="T15" s="230"/>
      <c r="U15" s="209"/>
      <c r="V15" s="209"/>
      <c r="W15" s="209"/>
      <c r="X15" s="209"/>
      <c r="Y15" s="209"/>
      <c r="Z15" s="209"/>
      <c r="AA15" s="209"/>
      <c r="AB15" s="209"/>
      <c r="AC15" s="138"/>
      <c r="AD15" s="209"/>
      <c r="AE15" s="209"/>
      <c r="AF15" s="209"/>
      <c r="AG15" s="209"/>
      <c r="AH15" s="209"/>
      <c r="AI15" s="209"/>
      <c r="AJ15" s="209"/>
      <c r="AK15" s="210"/>
      <c r="AL15" s="147">
        <f t="shared" si="13"/>
        <v>0</v>
      </c>
      <c r="AM15" s="202">
        <f t="shared" si="14"/>
        <v>0</v>
      </c>
      <c r="AN15" s="230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10"/>
      <c r="BF15" s="210"/>
      <c r="BG15" s="210"/>
      <c r="BH15" s="210"/>
      <c r="BI15" s="162">
        <f t="shared" si="15"/>
        <v>0</v>
      </c>
      <c r="BJ15" s="204">
        <f t="shared" si="16"/>
        <v>0</v>
      </c>
      <c r="BK15" s="230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17"/>
      <c r="BZ15" s="217"/>
      <c r="CA15" s="217"/>
      <c r="CB15" s="217"/>
      <c r="CC15" s="217"/>
      <c r="CD15" s="217"/>
      <c r="CE15" s="217"/>
      <c r="CF15" s="205">
        <f t="shared" si="17"/>
        <v>0</v>
      </c>
      <c r="CG15" s="190">
        <f t="shared" si="18"/>
        <v>0</v>
      </c>
      <c r="CH15" s="237"/>
      <c r="CI15" s="161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08">
        <f t="shared" si="19"/>
        <v>0</v>
      </c>
      <c r="CU15" s="194" t="str">
        <f t="shared" si="20"/>
        <v>#DIV/0!</v>
      </c>
      <c r="CV15" s="196"/>
      <c r="CW15" s="167">
        <f t="shared" si="21"/>
        <v>0</v>
      </c>
      <c r="CX15" s="169">
        <f t="shared" si="6"/>
        <v>0</v>
      </c>
      <c r="CY15" s="197"/>
    </row>
    <row r="16">
      <c r="A16" s="122">
        <v>7.0</v>
      </c>
      <c r="B16" s="188" t="s">
        <v>59</v>
      </c>
      <c r="C16" s="216" t="s">
        <v>60</v>
      </c>
      <c r="D16" s="125">
        <f t="shared" si="7"/>
        <v>4</v>
      </c>
      <c r="E16" s="127">
        <f t="shared" si="8"/>
        <v>28.57142857</v>
      </c>
      <c r="F16" s="200">
        <f t="shared" si="9"/>
        <v>28.57142857</v>
      </c>
      <c r="G16" s="220">
        <f t="shared" si="10"/>
        <v>28.57142857</v>
      </c>
      <c r="H16" s="180"/>
      <c r="I16" s="195"/>
      <c r="J16" s="195"/>
      <c r="K16" s="138"/>
      <c r="L16" s="180"/>
      <c r="M16" s="179"/>
      <c r="N16" s="180"/>
      <c r="O16" s="180"/>
      <c r="P16" s="180"/>
      <c r="Q16" s="180"/>
      <c r="R16" s="147">
        <f t="shared" si="11"/>
        <v>0</v>
      </c>
      <c r="S16" s="198">
        <f t="shared" si="12"/>
        <v>0</v>
      </c>
      <c r="T16" s="246"/>
      <c r="U16" s="233"/>
      <c r="V16" s="233"/>
      <c r="W16" s="233"/>
      <c r="X16" s="233"/>
      <c r="Y16" s="233"/>
      <c r="Z16" s="233"/>
      <c r="AA16" s="233"/>
      <c r="AB16" s="233"/>
      <c r="AC16" s="138"/>
      <c r="AD16" s="233"/>
      <c r="AE16" s="233"/>
      <c r="AF16" s="233"/>
      <c r="AG16" s="233"/>
      <c r="AH16" s="233"/>
      <c r="AI16" s="233"/>
      <c r="AJ16" s="233"/>
      <c r="AK16" s="234"/>
      <c r="AL16" s="147">
        <f t="shared" si="13"/>
        <v>0</v>
      </c>
      <c r="AM16" s="202">
        <f t="shared" si="14"/>
        <v>0</v>
      </c>
      <c r="AN16" s="246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44">
        <v>1.0</v>
      </c>
      <c r="BC16" s="233"/>
      <c r="BD16" s="233"/>
      <c r="BE16" s="234"/>
      <c r="BF16" s="234"/>
      <c r="BG16" s="234"/>
      <c r="BH16" s="236">
        <v>1.0</v>
      </c>
      <c r="BI16" s="162">
        <f t="shared" si="15"/>
        <v>2</v>
      </c>
      <c r="BJ16" s="204">
        <f t="shared" si="16"/>
        <v>50</v>
      </c>
      <c r="BK16" s="246"/>
      <c r="BL16" s="233"/>
      <c r="BM16" s="233"/>
      <c r="BN16" s="233"/>
      <c r="BO16" s="233"/>
      <c r="BP16" s="244">
        <v>1.0</v>
      </c>
      <c r="BQ16" s="233"/>
      <c r="BR16" s="233"/>
      <c r="BS16" s="233"/>
      <c r="BT16" s="244">
        <v>1.0</v>
      </c>
      <c r="BU16" s="233"/>
      <c r="BV16" s="233"/>
      <c r="BW16" s="233"/>
      <c r="BX16" s="233"/>
      <c r="BY16" s="217"/>
      <c r="BZ16" s="217"/>
      <c r="CA16" s="217"/>
      <c r="CB16" s="217"/>
      <c r="CC16" s="217"/>
      <c r="CD16" s="217"/>
      <c r="CE16" s="217"/>
      <c r="CF16" s="205">
        <f t="shared" si="17"/>
        <v>2</v>
      </c>
      <c r="CG16" s="190">
        <f t="shared" si="18"/>
        <v>66.66666667</v>
      </c>
      <c r="CH16" s="237"/>
      <c r="CI16" s="161"/>
      <c r="CJ16" s="217"/>
      <c r="CK16" s="217"/>
      <c r="CL16" s="217"/>
      <c r="CM16" s="217"/>
      <c r="CN16" s="217"/>
      <c r="CO16" s="217"/>
      <c r="CP16" s="217"/>
      <c r="CQ16" s="217"/>
      <c r="CR16" s="217"/>
      <c r="CS16" s="217"/>
      <c r="CT16" s="208">
        <f t="shared" si="19"/>
        <v>0</v>
      </c>
      <c r="CU16" s="194" t="str">
        <f t="shared" si="20"/>
        <v>#DIV/0!</v>
      </c>
      <c r="CV16" s="196"/>
      <c r="CW16" s="167">
        <f t="shared" si="21"/>
        <v>28.57142857</v>
      </c>
      <c r="CX16" s="169">
        <f t="shared" si="6"/>
        <v>4</v>
      </c>
      <c r="CY16" s="197"/>
    </row>
    <row r="17" ht="15.0" customHeight="1">
      <c r="A17" s="172">
        <v>8.0</v>
      </c>
      <c r="B17" s="188" t="s">
        <v>61</v>
      </c>
      <c r="C17" s="216" t="s">
        <v>62</v>
      </c>
      <c r="D17" s="125">
        <f t="shared" si="7"/>
        <v>5</v>
      </c>
      <c r="E17" s="127">
        <f t="shared" si="8"/>
        <v>35.71428571</v>
      </c>
      <c r="F17" s="200">
        <f t="shared" si="9"/>
        <v>35.71428571</v>
      </c>
      <c r="G17" s="193" t="str">
        <f t="shared" si="10"/>
        <v>  </v>
      </c>
      <c r="H17" s="180"/>
      <c r="I17" s="195"/>
      <c r="J17" s="138"/>
      <c r="K17" s="138"/>
      <c r="L17" s="180"/>
      <c r="M17" s="191">
        <v>1.0</v>
      </c>
      <c r="N17" s="180"/>
      <c r="O17" s="180"/>
      <c r="P17" s="180"/>
      <c r="Q17" s="180"/>
      <c r="R17" s="147">
        <f t="shared" si="11"/>
        <v>1</v>
      </c>
      <c r="S17" s="198">
        <f t="shared" si="12"/>
        <v>50</v>
      </c>
      <c r="T17" s="237"/>
      <c r="U17" s="217"/>
      <c r="V17" s="217"/>
      <c r="W17" s="217"/>
      <c r="X17" s="217"/>
      <c r="Y17" s="235">
        <v>1.0</v>
      </c>
      <c r="Z17" s="217"/>
      <c r="AA17" s="217"/>
      <c r="AB17" s="217"/>
      <c r="AC17" s="138"/>
      <c r="AD17" s="235">
        <v>1.0</v>
      </c>
      <c r="AE17" s="217"/>
      <c r="AF17" s="217"/>
      <c r="AG17" s="217"/>
      <c r="AH17" s="217"/>
      <c r="AI17" s="235">
        <v>1.0</v>
      </c>
      <c r="AJ17" s="217"/>
      <c r="AK17" s="226"/>
      <c r="AL17" s="147">
        <f t="shared" si="13"/>
        <v>3</v>
      </c>
      <c r="AM17" s="202">
        <f t="shared" si="14"/>
        <v>60</v>
      </c>
      <c r="AN17" s="23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26"/>
      <c r="BF17" s="226"/>
      <c r="BG17" s="226"/>
      <c r="BH17" s="226"/>
      <c r="BI17" s="162">
        <f t="shared" si="15"/>
        <v>0</v>
      </c>
      <c r="BJ17" s="204">
        <f t="shared" si="16"/>
        <v>0</v>
      </c>
      <c r="BK17" s="237"/>
      <c r="BL17" s="217"/>
      <c r="BM17" s="217"/>
      <c r="BN17" s="217"/>
      <c r="BO17" s="217"/>
      <c r="BP17" s="235">
        <v>1.0</v>
      </c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05">
        <f t="shared" si="17"/>
        <v>1</v>
      </c>
      <c r="CG17" s="190">
        <f t="shared" si="18"/>
        <v>33.33333333</v>
      </c>
      <c r="CH17" s="237"/>
      <c r="CI17" s="161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08">
        <f t="shared" si="19"/>
        <v>0</v>
      </c>
      <c r="CU17" s="194" t="str">
        <f t="shared" si="20"/>
        <v>#DIV/0!</v>
      </c>
      <c r="CV17" s="196"/>
      <c r="CW17" s="167">
        <f t="shared" si="21"/>
        <v>35.71428571</v>
      </c>
      <c r="CX17" s="169">
        <f t="shared" si="6"/>
        <v>5</v>
      </c>
      <c r="CY17" s="197"/>
    </row>
    <row r="18">
      <c r="A18" s="122">
        <v>9.0</v>
      </c>
      <c r="B18" s="188" t="s">
        <v>63</v>
      </c>
      <c r="C18" s="216" t="s">
        <v>64</v>
      </c>
      <c r="D18" s="125">
        <f t="shared" si="7"/>
        <v>5</v>
      </c>
      <c r="E18" s="127">
        <f t="shared" si="8"/>
        <v>35.71428571</v>
      </c>
      <c r="F18" s="200">
        <f t="shared" si="9"/>
        <v>35.71428571</v>
      </c>
      <c r="G18" s="220" t="str">
        <f t="shared" si="10"/>
        <v>  </v>
      </c>
      <c r="H18" s="180"/>
      <c r="I18" s="138"/>
      <c r="J18" s="138"/>
      <c r="K18" s="138"/>
      <c r="L18" s="180"/>
      <c r="M18" s="245">
        <v>1.0</v>
      </c>
      <c r="N18" s="180"/>
      <c r="O18" s="180"/>
      <c r="P18" s="180"/>
      <c r="Q18" s="180"/>
      <c r="R18" s="147">
        <f t="shared" si="11"/>
        <v>1</v>
      </c>
      <c r="S18" s="198">
        <f t="shared" si="12"/>
        <v>50</v>
      </c>
      <c r="T18" s="230"/>
      <c r="U18" s="209"/>
      <c r="V18" s="209"/>
      <c r="W18" s="209"/>
      <c r="X18" s="209"/>
      <c r="Y18" s="209"/>
      <c r="Z18" s="209"/>
      <c r="AA18" s="209"/>
      <c r="AB18" s="209"/>
      <c r="AC18" s="138"/>
      <c r="AD18" s="209"/>
      <c r="AE18" s="209"/>
      <c r="AF18" s="209"/>
      <c r="AG18" s="209"/>
      <c r="AH18" s="209"/>
      <c r="AI18" s="225">
        <v>1.0</v>
      </c>
      <c r="AJ18" s="209"/>
      <c r="AK18" s="210"/>
      <c r="AL18" s="147">
        <f t="shared" si="13"/>
        <v>1</v>
      </c>
      <c r="AM18" s="202">
        <f t="shared" si="14"/>
        <v>20</v>
      </c>
      <c r="AN18" s="230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10"/>
      <c r="BF18" s="210"/>
      <c r="BG18" s="211">
        <v>1.0</v>
      </c>
      <c r="BH18" s="210"/>
      <c r="BI18" s="162">
        <f t="shared" si="15"/>
        <v>1</v>
      </c>
      <c r="BJ18" s="204">
        <f t="shared" si="16"/>
        <v>25</v>
      </c>
      <c r="BK18" s="230"/>
      <c r="BL18" s="209"/>
      <c r="BM18" s="209"/>
      <c r="BN18" s="225">
        <v>1.0</v>
      </c>
      <c r="BO18" s="209"/>
      <c r="BP18" s="225">
        <v>1.0</v>
      </c>
      <c r="BQ18" s="209"/>
      <c r="BR18" s="209"/>
      <c r="BS18" s="209"/>
      <c r="BT18" s="209"/>
      <c r="BU18" s="209"/>
      <c r="BV18" s="209"/>
      <c r="BW18" s="209"/>
      <c r="BX18" s="209"/>
      <c r="BY18" s="217"/>
      <c r="BZ18" s="217"/>
      <c r="CA18" s="217"/>
      <c r="CB18" s="217"/>
      <c r="CC18" s="217"/>
      <c r="CD18" s="217"/>
      <c r="CE18" s="217"/>
      <c r="CF18" s="205">
        <f t="shared" si="17"/>
        <v>2</v>
      </c>
      <c r="CG18" s="190">
        <f t="shared" si="18"/>
        <v>66.66666667</v>
      </c>
      <c r="CH18" s="237"/>
      <c r="CI18" s="161"/>
      <c r="CJ18" s="217"/>
      <c r="CK18" s="217"/>
      <c r="CL18" s="217"/>
      <c r="CM18" s="217"/>
      <c r="CN18" s="217"/>
      <c r="CO18" s="217"/>
      <c r="CP18" s="217"/>
      <c r="CQ18" s="217"/>
      <c r="CR18" s="217"/>
      <c r="CS18" s="217"/>
      <c r="CT18" s="208">
        <f t="shared" si="19"/>
        <v>0</v>
      </c>
      <c r="CU18" s="194" t="str">
        <f t="shared" si="20"/>
        <v>#DIV/0!</v>
      </c>
      <c r="CV18" s="196"/>
      <c r="CW18" s="167">
        <f t="shared" si="21"/>
        <v>35.71428571</v>
      </c>
      <c r="CX18" s="169">
        <f t="shared" si="6"/>
        <v>5</v>
      </c>
      <c r="CY18" s="197"/>
    </row>
    <row r="19">
      <c r="A19" s="172">
        <v>10.0</v>
      </c>
      <c r="B19" s="188" t="s">
        <v>65</v>
      </c>
      <c r="C19" s="216" t="s">
        <v>66</v>
      </c>
      <c r="D19" s="125">
        <f t="shared" si="7"/>
        <v>3</v>
      </c>
      <c r="E19" s="127">
        <f t="shared" si="8"/>
        <v>21.42857143</v>
      </c>
      <c r="F19" s="200">
        <f t="shared" si="9"/>
        <v>21.42857143</v>
      </c>
      <c r="G19" s="220">
        <f t="shared" si="10"/>
        <v>21.42857143</v>
      </c>
      <c r="H19" s="180"/>
      <c r="I19" s="138"/>
      <c r="J19" s="152"/>
      <c r="K19" s="138"/>
      <c r="L19" s="180"/>
      <c r="M19" s="201"/>
      <c r="N19" s="180"/>
      <c r="O19" s="180"/>
      <c r="P19" s="180"/>
      <c r="Q19" s="180"/>
      <c r="R19" s="147">
        <f t="shared" si="11"/>
        <v>0</v>
      </c>
      <c r="S19" s="198">
        <f t="shared" si="12"/>
        <v>0</v>
      </c>
      <c r="T19" s="237"/>
      <c r="U19" s="217"/>
      <c r="V19" s="217"/>
      <c r="W19" s="217"/>
      <c r="X19" s="217"/>
      <c r="Y19" s="217"/>
      <c r="Z19" s="217"/>
      <c r="AA19" s="217"/>
      <c r="AB19" s="217"/>
      <c r="AC19" s="138"/>
      <c r="AD19" s="235">
        <v>1.0</v>
      </c>
      <c r="AE19" s="235">
        <v>1.0</v>
      </c>
      <c r="AF19" s="217"/>
      <c r="AG19" s="217"/>
      <c r="AH19" s="217"/>
      <c r="AI19" s="217"/>
      <c r="AJ19" s="217"/>
      <c r="AK19" s="226"/>
      <c r="AL19" s="147">
        <f t="shared" si="13"/>
        <v>2</v>
      </c>
      <c r="AM19" s="202">
        <f t="shared" si="14"/>
        <v>40</v>
      </c>
      <c r="AN19" s="23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35">
        <v>1.0</v>
      </c>
      <c r="BC19" s="217"/>
      <c r="BD19" s="217"/>
      <c r="BE19" s="226"/>
      <c r="BF19" s="226"/>
      <c r="BG19" s="226"/>
      <c r="BH19" s="226"/>
      <c r="BI19" s="162">
        <f t="shared" si="15"/>
        <v>1</v>
      </c>
      <c r="BJ19" s="204">
        <f t="shared" si="16"/>
        <v>25</v>
      </c>
      <c r="BK19" s="23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05">
        <f t="shared" si="17"/>
        <v>0</v>
      </c>
      <c r="CG19" s="190">
        <f t="shared" si="18"/>
        <v>0</v>
      </c>
      <c r="CH19" s="237"/>
      <c r="CI19" s="161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08">
        <f t="shared" si="19"/>
        <v>0</v>
      </c>
      <c r="CU19" s="194" t="str">
        <f t="shared" si="20"/>
        <v>#DIV/0!</v>
      </c>
      <c r="CV19" s="196"/>
      <c r="CW19" s="167">
        <f t="shared" si="21"/>
        <v>21.42857143</v>
      </c>
      <c r="CX19" s="169">
        <f t="shared" si="6"/>
        <v>3</v>
      </c>
      <c r="CY19" s="197"/>
    </row>
    <row r="20">
      <c r="A20" s="122">
        <v>11.0</v>
      </c>
      <c r="B20" s="188" t="s">
        <v>67</v>
      </c>
      <c r="C20" s="216" t="s">
        <v>68</v>
      </c>
      <c r="D20" s="125">
        <f t="shared" si="7"/>
        <v>4</v>
      </c>
      <c r="E20" s="127">
        <f t="shared" si="8"/>
        <v>28.57142857</v>
      </c>
      <c r="F20" s="200">
        <f t="shared" si="9"/>
        <v>28.57142857</v>
      </c>
      <c r="G20" s="220">
        <f t="shared" si="10"/>
        <v>28.57142857</v>
      </c>
      <c r="H20" s="180"/>
      <c r="I20" s="138"/>
      <c r="J20" s="138"/>
      <c r="K20" s="195"/>
      <c r="L20" s="242"/>
      <c r="M20" s="201"/>
      <c r="N20" s="242"/>
      <c r="O20" s="242"/>
      <c r="P20" s="242"/>
      <c r="Q20" s="242"/>
      <c r="R20" s="147">
        <f t="shared" si="11"/>
        <v>0</v>
      </c>
      <c r="S20" s="198">
        <f t="shared" si="12"/>
        <v>0</v>
      </c>
      <c r="T20" s="230"/>
      <c r="U20" s="209"/>
      <c r="V20" s="209"/>
      <c r="W20" s="209"/>
      <c r="X20" s="209"/>
      <c r="Y20" s="209"/>
      <c r="Z20" s="209"/>
      <c r="AA20" s="209"/>
      <c r="AB20" s="209"/>
      <c r="AC20" s="138"/>
      <c r="AD20" s="209"/>
      <c r="AE20" s="209"/>
      <c r="AF20" s="209"/>
      <c r="AG20" s="209"/>
      <c r="AH20" s="209"/>
      <c r="AI20" s="225">
        <v>1.0</v>
      </c>
      <c r="AJ20" s="209"/>
      <c r="AK20" s="210"/>
      <c r="AL20" s="147">
        <f t="shared" si="13"/>
        <v>1</v>
      </c>
      <c r="AM20" s="202">
        <f t="shared" si="14"/>
        <v>20</v>
      </c>
      <c r="AN20" s="230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10"/>
      <c r="BF20" s="210"/>
      <c r="BG20" s="210"/>
      <c r="BH20" s="211">
        <v>1.0</v>
      </c>
      <c r="BI20" s="162">
        <f t="shared" si="15"/>
        <v>1</v>
      </c>
      <c r="BJ20" s="204">
        <f t="shared" si="16"/>
        <v>25</v>
      </c>
      <c r="BK20" s="230"/>
      <c r="BL20" s="209"/>
      <c r="BM20" s="209"/>
      <c r="BN20" s="225">
        <v>1.0</v>
      </c>
      <c r="BO20" s="209"/>
      <c r="BP20" s="225">
        <v>1.0</v>
      </c>
      <c r="BQ20" s="209"/>
      <c r="BR20" s="209"/>
      <c r="BS20" s="209"/>
      <c r="BT20" s="209"/>
      <c r="BU20" s="209"/>
      <c r="BV20" s="209"/>
      <c r="BW20" s="209"/>
      <c r="BX20" s="209"/>
      <c r="BY20" s="217"/>
      <c r="BZ20" s="217"/>
      <c r="CA20" s="217"/>
      <c r="CB20" s="217"/>
      <c r="CC20" s="217"/>
      <c r="CD20" s="217"/>
      <c r="CE20" s="217"/>
      <c r="CF20" s="205">
        <f t="shared" si="17"/>
        <v>2</v>
      </c>
      <c r="CG20" s="190">
        <f t="shared" si="18"/>
        <v>66.66666667</v>
      </c>
      <c r="CH20" s="237"/>
      <c r="CI20" s="161"/>
      <c r="CJ20" s="217"/>
      <c r="CK20" s="217"/>
      <c r="CL20" s="217"/>
      <c r="CM20" s="217"/>
      <c r="CN20" s="217"/>
      <c r="CO20" s="217"/>
      <c r="CP20" s="217"/>
      <c r="CQ20" s="217"/>
      <c r="CR20" s="217"/>
      <c r="CS20" s="217"/>
      <c r="CT20" s="208">
        <f t="shared" si="19"/>
        <v>0</v>
      </c>
      <c r="CU20" s="194" t="str">
        <f t="shared" si="20"/>
        <v>#DIV/0!</v>
      </c>
      <c r="CV20" s="196"/>
      <c r="CW20" s="167">
        <f t="shared" si="21"/>
        <v>28.57142857</v>
      </c>
      <c r="CX20" s="169">
        <f t="shared" si="6"/>
        <v>4</v>
      </c>
      <c r="CY20" s="197"/>
    </row>
    <row r="21" ht="15.75" customHeight="1">
      <c r="A21" s="172">
        <v>12.0</v>
      </c>
      <c r="B21" s="188" t="s">
        <v>69</v>
      </c>
      <c r="C21" s="216" t="s">
        <v>70</v>
      </c>
      <c r="D21" s="125">
        <f t="shared" si="7"/>
        <v>4</v>
      </c>
      <c r="E21" s="127">
        <f t="shared" si="8"/>
        <v>28.57142857</v>
      </c>
      <c r="F21" s="200">
        <f t="shared" si="9"/>
        <v>28.57142857</v>
      </c>
      <c r="G21" s="220">
        <f t="shared" si="10"/>
        <v>28.57142857</v>
      </c>
      <c r="H21" s="242"/>
      <c r="I21" s="138"/>
      <c r="J21" s="138"/>
      <c r="K21" s="138"/>
      <c r="L21" s="180"/>
      <c r="M21" s="245">
        <v>1.0</v>
      </c>
      <c r="N21" s="180"/>
      <c r="O21" s="180"/>
      <c r="P21" s="180"/>
      <c r="Q21" s="180"/>
      <c r="R21" s="147">
        <f t="shared" si="11"/>
        <v>1</v>
      </c>
      <c r="S21" s="198">
        <f t="shared" si="12"/>
        <v>50</v>
      </c>
      <c r="T21" s="230"/>
      <c r="U21" s="209"/>
      <c r="V21" s="209"/>
      <c r="W21" s="209"/>
      <c r="X21" s="209"/>
      <c r="Y21" s="209"/>
      <c r="Z21" s="209"/>
      <c r="AA21" s="209"/>
      <c r="AB21" s="209"/>
      <c r="AC21" s="138"/>
      <c r="AD21" s="209"/>
      <c r="AE21" s="209"/>
      <c r="AF21" s="209"/>
      <c r="AG21" s="209"/>
      <c r="AH21" s="209"/>
      <c r="AI21" s="209"/>
      <c r="AJ21" s="209"/>
      <c r="AK21" s="210"/>
      <c r="AL21" s="147">
        <f t="shared" si="13"/>
        <v>0</v>
      </c>
      <c r="AM21" s="202">
        <f t="shared" si="14"/>
        <v>0</v>
      </c>
      <c r="AN21" s="230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10"/>
      <c r="BF21" s="210"/>
      <c r="BG21" s="211">
        <v>1.0</v>
      </c>
      <c r="BH21" s="210"/>
      <c r="BI21" s="162">
        <f t="shared" si="15"/>
        <v>1</v>
      </c>
      <c r="BJ21" s="204">
        <f t="shared" si="16"/>
        <v>25</v>
      </c>
      <c r="BK21" s="230"/>
      <c r="BL21" s="209"/>
      <c r="BM21" s="209"/>
      <c r="BN21" s="225">
        <v>1.0</v>
      </c>
      <c r="BO21" s="209"/>
      <c r="BP21" s="225">
        <v>1.0</v>
      </c>
      <c r="BQ21" s="209"/>
      <c r="BR21" s="209"/>
      <c r="BS21" s="209"/>
      <c r="BT21" s="209"/>
      <c r="BU21" s="209"/>
      <c r="BV21" s="209"/>
      <c r="BW21" s="209"/>
      <c r="BX21" s="209"/>
      <c r="BY21" s="217"/>
      <c r="BZ21" s="217"/>
      <c r="CA21" s="217"/>
      <c r="CB21" s="217"/>
      <c r="CC21" s="217"/>
      <c r="CD21" s="217"/>
      <c r="CE21" s="217"/>
      <c r="CF21" s="205">
        <f t="shared" si="17"/>
        <v>2</v>
      </c>
      <c r="CG21" s="190">
        <f t="shared" si="18"/>
        <v>66.66666667</v>
      </c>
      <c r="CH21" s="237"/>
      <c r="CI21" s="161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08">
        <f t="shared" si="19"/>
        <v>0</v>
      </c>
      <c r="CU21" s="194" t="str">
        <f t="shared" si="20"/>
        <v>#DIV/0!</v>
      </c>
      <c r="CV21" s="196"/>
      <c r="CW21" s="167">
        <f t="shared" si="21"/>
        <v>28.57142857</v>
      </c>
      <c r="CX21" s="169">
        <f t="shared" si="6"/>
        <v>4</v>
      </c>
      <c r="CY21" s="197"/>
    </row>
    <row r="22" ht="15.75" customHeight="1">
      <c r="A22" s="122">
        <v>13.0</v>
      </c>
      <c r="B22" s="188" t="s">
        <v>71</v>
      </c>
      <c r="C22" s="216" t="s">
        <v>72</v>
      </c>
      <c r="D22" s="125">
        <f t="shared" si="7"/>
        <v>6</v>
      </c>
      <c r="E22" s="127">
        <f t="shared" si="8"/>
        <v>42.85714286</v>
      </c>
      <c r="F22" s="200">
        <f t="shared" si="9"/>
        <v>42.85714286</v>
      </c>
      <c r="G22" s="220" t="str">
        <f t="shared" si="10"/>
        <v>  </v>
      </c>
      <c r="H22" s="180"/>
      <c r="I22" s="195"/>
      <c r="J22" s="138"/>
      <c r="K22" s="138"/>
      <c r="L22" s="180"/>
      <c r="M22" s="179"/>
      <c r="N22" s="180"/>
      <c r="O22" s="180"/>
      <c r="P22" s="180"/>
      <c r="Q22" s="180"/>
      <c r="R22" s="147">
        <f t="shared" si="11"/>
        <v>0</v>
      </c>
      <c r="S22" s="198">
        <f t="shared" si="12"/>
        <v>0</v>
      </c>
      <c r="T22" s="230"/>
      <c r="U22" s="209"/>
      <c r="V22" s="209"/>
      <c r="W22" s="209"/>
      <c r="X22" s="209"/>
      <c r="Y22" s="225">
        <v>1.0</v>
      </c>
      <c r="Z22" s="225">
        <v>1.0</v>
      </c>
      <c r="AA22" s="209"/>
      <c r="AB22" s="209"/>
      <c r="AC22" s="138"/>
      <c r="AD22" s="209"/>
      <c r="AE22" s="209"/>
      <c r="AF22" s="209"/>
      <c r="AG22" s="209"/>
      <c r="AH22" s="209"/>
      <c r="AI22" s="225">
        <v>1.0</v>
      </c>
      <c r="AJ22" s="209"/>
      <c r="AK22" s="210"/>
      <c r="AL22" s="147">
        <f t="shared" si="13"/>
        <v>3</v>
      </c>
      <c r="AM22" s="202">
        <f t="shared" si="14"/>
        <v>60</v>
      </c>
      <c r="AN22" s="230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10"/>
      <c r="BF22" s="210"/>
      <c r="BG22" s="211">
        <v>1.0</v>
      </c>
      <c r="BH22" s="210"/>
      <c r="BI22" s="162">
        <f t="shared" si="15"/>
        <v>1</v>
      </c>
      <c r="BJ22" s="204">
        <f t="shared" si="16"/>
        <v>25</v>
      </c>
      <c r="BK22" s="230"/>
      <c r="BL22" s="209"/>
      <c r="BM22" s="209"/>
      <c r="BN22" s="225">
        <v>1.0</v>
      </c>
      <c r="BO22" s="209"/>
      <c r="BP22" s="225">
        <v>1.0</v>
      </c>
      <c r="BQ22" s="209"/>
      <c r="BR22" s="209"/>
      <c r="BS22" s="209"/>
      <c r="BT22" s="209"/>
      <c r="BU22" s="209"/>
      <c r="BV22" s="209"/>
      <c r="BW22" s="209"/>
      <c r="BX22" s="209"/>
      <c r="BY22" s="217"/>
      <c r="BZ22" s="217"/>
      <c r="CA22" s="217"/>
      <c r="CB22" s="217"/>
      <c r="CC22" s="217"/>
      <c r="CD22" s="217"/>
      <c r="CE22" s="217"/>
      <c r="CF22" s="205">
        <f t="shared" si="17"/>
        <v>2</v>
      </c>
      <c r="CG22" s="190">
        <f t="shared" si="18"/>
        <v>66.66666667</v>
      </c>
      <c r="CH22" s="237"/>
      <c r="CI22" s="161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08">
        <f t="shared" si="19"/>
        <v>0</v>
      </c>
      <c r="CU22" s="194" t="str">
        <f t="shared" si="20"/>
        <v>#DIV/0!</v>
      </c>
      <c r="CV22" s="196"/>
      <c r="CW22" s="167">
        <f t="shared" si="21"/>
        <v>42.85714286</v>
      </c>
      <c r="CX22" s="169">
        <f t="shared" si="6"/>
        <v>6</v>
      </c>
      <c r="CY22" s="197"/>
    </row>
    <row r="23" ht="15.75" customHeight="1">
      <c r="A23" s="172">
        <v>14.0</v>
      </c>
      <c r="B23" s="188" t="s">
        <v>73</v>
      </c>
      <c r="C23" s="216" t="s">
        <v>74</v>
      </c>
      <c r="D23" s="125">
        <f t="shared" si="7"/>
        <v>3</v>
      </c>
      <c r="E23" s="127">
        <f t="shared" si="8"/>
        <v>21.42857143</v>
      </c>
      <c r="F23" s="200">
        <f t="shared" si="9"/>
        <v>21.42857143</v>
      </c>
      <c r="G23" s="220">
        <f t="shared" si="10"/>
        <v>21.42857143</v>
      </c>
      <c r="H23" s="180"/>
      <c r="I23" s="151">
        <v>1.0</v>
      </c>
      <c r="J23" s="138"/>
      <c r="K23" s="195"/>
      <c r="L23" s="242"/>
      <c r="M23" s="201"/>
      <c r="N23" s="242"/>
      <c r="O23" s="242"/>
      <c r="P23" s="242"/>
      <c r="Q23" s="242"/>
      <c r="R23" s="147">
        <f t="shared" si="11"/>
        <v>1</v>
      </c>
      <c r="S23" s="198">
        <f t="shared" si="12"/>
        <v>50</v>
      </c>
      <c r="T23" s="230"/>
      <c r="U23" s="209"/>
      <c r="V23" s="209"/>
      <c r="W23" s="209"/>
      <c r="X23" s="209"/>
      <c r="Y23" s="209"/>
      <c r="Z23" s="209"/>
      <c r="AA23" s="209"/>
      <c r="AB23" s="209"/>
      <c r="AC23" s="138"/>
      <c r="AD23" s="209"/>
      <c r="AE23" s="209"/>
      <c r="AF23" s="209"/>
      <c r="AG23" s="209"/>
      <c r="AH23" s="209"/>
      <c r="AI23" s="225">
        <v>1.0</v>
      </c>
      <c r="AJ23" s="209"/>
      <c r="AK23" s="210"/>
      <c r="AL23" s="147">
        <f t="shared" si="13"/>
        <v>1</v>
      </c>
      <c r="AM23" s="202">
        <f t="shared" si="14"/>
        <v>20</v>
      </c>
      <c r="AN23" s="230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10"/>
      <c r="BF23" s="210"/>
      <c r="BG23" s="210"/>
      <c r="BH23" s="210"/>
      <c r="BI23" s="162">
        <f t="shared" si="15"/>
        <v>0</v>
      </c>
      <c r="BJ23" s="204">
        <f t="shared" si="16"/>
        <v>0</v>
      </c>
      <c r="BK23" s="230"/>
      <c r="BL23" s="209"/>
      <c r="BM23" s="209"/>
      <c r="BN23" s="209"/>
      <c r="BO23" s="209"/>
      <c r="BP23" s="225">
        <v>1.0</v>
      </c>
      <c r="BQ23" s="209"/>
      <c r="BR23" s="209"/>
      <c r="BS23" s="209"/>
      <c r="BT23" s="209"/>
      <c r="BU23" s="209"/>
      <c r="BV23" s="209"/>
      <c r="BW23" s="209"/>
      <c r="BX23" s="209"/>
      <c r="BY23" s="217"/>
      <c r="BZ23" s="217"/>
      <c r="CA23" s="217"/>
      <c r="CB23" s="217"/>
      <c r="CC23" s="217"/>
      <c r="CD23" s="217"/>
      <c r="CE23" s="217"/>
      <c r="CF23" s="205">
        <f t="shared" si="17"/>
        <v>1</v>
      </c>
      <c r="CG23" s="190">
        <f t="shared" si="18"/>
        <v>33.33333333</v>
      </c>
      <c r="CH23" s="237"/>
      <c r="CI23" s="161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08">
        <f t="shared" si="19"/>
        <v>0</v>
      </c>
      <c r="CU23" s="194" t="str">
        <f t="shared" si="20"/>
        <v>#DIV/0!</v>
      </c>
      <c r="CV23" s="196"/>
      <c r="CW23" s="167">
        <f t="shared" si="21"/>
        <v>21.42857143</v>
      </c>
      <c r="CX23" s="169">
        <f t="shared" si="6"/>
        <v>3</v>
      </c>
      <c r="CY23" s="197"/>
    </row>
    <row r="24" ht="15.75" customHeight="1">
      <c r="A24" s="122">
        <v>15.0</v>
      </c>
      <c r="B24" s="188" t="s">
        <v>75</v>
      </c>
      <c r="C24" s="216" t="s">
        <v>76</v>
      </c>
      <c r="D24" s="125">
        <f t="shared" si="7"/>
        <v>2</v>
      </c>
      <c r="E24" s="127">
        <f t="shared" si="8"/>
        <v>14.28571429</v>
      </c>
      <c r="F24" s="200">
        <f t="shared" si="9"/>
        <v>14.28571429</v>
      </c>
      <c r="G24" s="220">
        <f t="shared" si="10"/>
        <v>14.28571429</v>
      </c>
      <c r="H24" s="180"/>
      <c r="I24" s="195"/>
      <c r="J24" s="195"/>
      <c r="K24" s="138"/>
      <c r="L24" s="180"/>
      <c r="M24" s="179"/>
      <c r="N24" s="180"/>
      <c r="O24" s="180"/>
      <c r="P24" s="180"/>
      <c r="Q24" s="180"/>
      <c r="R24" s="147">
        <f t="shared" si="11"/>
        <v>0</v>
      </c>
      <c r="S24" s="198">
        <f t="shared" si="12"/>
        <v>0</v>
      </c>
      <c r="T24" s="230"/>
      <c r="U24" s="209"/>
      <c r="V24" s="209"/>
      <c r="W24" s="209"/>
      <c r="X24" s="209"/>
      <c r="Y24" s="209"/>
      <c r="Z24" s="225">
        <v>1.0</v>
      </c>
      <c r="AA24" s="209"/>
      <c r="AB24" s="209"/>
      <c r="AC24" s="138"/>
      <c r="AD24" s="209"/>
      <c r="AE24" s="209"/>
      <c r="AF24" s="209"/>
      <c r="AG24" s="209"/>
      <c r="AH24" s="209"/>
      <c r="AI24" s="209"/>
      <c r="AJ24" s="209"/>
      <c r="AK24" s="210"/>
      <c r="AL24" s="147">
        <f t="shared" si="13"/>
        <v>1</v>
      </c>
      <c r="AM24" s="202">
        <f t="shared" si="14"/>
        <v>20</v>
      </c>
      <c r="AN24" s="230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10"/>
      <c r="BF24" s="210"/>
      <c r="BG24" s="210"/>
      <c r="BH24" s="210"/>
      <c r="BI24" s="162">
        <f t="shared" si="15"/>
        <v>0</v>
      </c>
      <c r="BJ24" s="204">
        <f t="shared" si="16"/>
        <v>0</v>
      </c>
      <c r="BK24" s="230"/>
      <c r="BL24" s="209"/>
      <c r="BM24" s="209"/>
      <c r="BN24" s="209"/>
      <c r="BO24" s="209"/>
      <c r="BP24" s="209"/>
      <c r="BQ24" s="209"/>
      <c r="BR24" s="209"/>
      <c r="BS24" s="209"/>
      <c r="BT24" s="225">
        <v>1.0</v>
      </c>
      <c r="BU24" s="209"/>
      <c r="BV24" s="209"/>
      <c r="BW24" s="209"/>
      <c r="BX24" s="209"/>
      <c r="BY24" s="217"/>
      <c r="BZ24" s="217"/>
      <c r="CA24" s="217"/>
      <c r="CB24" s="217"/>
      <c r="CC24" s="217"/>
      <c r="CD24" s="217"/>
      <c r="CE24" s="217"/>
      <c r="CF24" s="205">
        <f t="shared" si="17"/>
        <v>1</v>
      </c>
      <c r="CG24" s="190">
        <f t="shared" si="18"/>
        <v>33.33333333</v>
      </c>
      <c r="CH24" s="237"/>
      <c r="CI24" s="161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08">
        <f t="shared" si="19"/>
        <v>0</v>
      </c>
      <c r="CU24" s="194" t="str">
        <f t="shared" si="20"/>
        <v>#DIV/0!</v>
      </c>
      <c r="CV24" s="196"/>
      <c r="CW24" s="167">
        <f t="shared" si="21"/>
        <v>14.28571429</v>
      </c>
      <c r="CX24" s="169">
        <f t="shared" si="6"/>
        <v>2</v>
      </c>
      <c r="CY24" s="197"/>
    </row>
    <row r="25" ht="15.75" customHeight="1">
      <c r="A25" s="172">
        <v>16.0</v>
      </c>
      <c r="B25" s="188" t="s">
        <v>77</v>
      </c>
      <c r="C25" s="216" t="s">
        <v>78</v>
      </c>
      <c r="D25" s="125">
        <f t="shared" si="7"/>
        <v>7</v>
      </c>
      <c r="E25" s="127">
        <f t="shared" si="8"/>
        <v>50</v>
      </c>
      <c r="F25" s="175" t="str">
        <f t="shared" si="9"/>
        <v>  </v>
      </c>
      <c r="G25" s="193" t="str">
        <f t="shared" si="10"/>
        <v>  </v>
      </c>
      <c r="H25" s="180"/>
      <c r="I25" s="195"/>
      <c r="J25" s="138"/>
      <c r="K25" s="138"/>
      <c r="L25" s="180"/>
      <c r="M25" s="191">
        <v>1.0</v>
      </c>
      <c r="N25" s="180"/>
      <c r="O25" s="180"/>
      <c r="P25" s="180"/>
      <c r="Q25" s="180"/>
      <c r="R25" s="147">
        <f t="shared" si="11"/>
        <v>1</v>
      </c>
      <c r="S25" s="198">
        <f t="shared" si="12"/>
        <v>50</v>
      </c>
      <c r="T25" s="255"/>
      <c r="U25" s="247"/>
      <c r="V25" s="247"/>
      <c r="W25" s="247"/>
      <c r="X25" s="247"/>
      <c r="Y25" s="254">
        <v>1.0</v>
      </c>
      <c r="Z25" s="254">
        <v>1.0</v>
      </c>
      <c r="AA25" s="247"/>
      <c r="AB25" s="247"/>
      <c r="AC25" s="138"/>
      <c r="AD25" s="254">
        <v>1.0</v>
      </c>
      <c r="AE25" s="254">
        <v>1.0</v>
      </c>
      <c r="AF25" s="247"/>
      <c r="AG25" s="247"/>
      <c r="AH25" s="247"/>
      <c r="AI25" s="247"/>
      <c r="AJ25" s="247"/>
      <c r="AK25" s="248"/>
      <c r="AL25" s="147">
        <f t="shared" si="13"/>
        <v>4</v>
      </c>
      <c r="AM25" s="202">
        <f t="shared" si="14"/>
        <v>80</v>
      </c>
      <c r="AN25" s="255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47"/>
      <c r="BE25" s="248"/>
      <c r="BF25" s="248"/>
      <c r="BG25" s="248"/>
      <c r="BH25" s="248"/>
      <c r="BI25" s="162">
        <f t="shared" si="15"/>
        <v>0</v>
      </c>
      <c r="BJ25" s="204">
        <f t="shared" si="16"/>
        <v>0</v>
      </c>
      <c r="BK25" s="255"/>
      <c r="BL25" s="247"/>
      <c r="BM25" s="247"/>
      <c r="BN25" s="254">
        <v>1.0</v>
      </c>
      <c r="BO25" s="247"/>
      <c r="BP25" s="247"/>
      <c r="BQ25" s="247"/>
      <c r="BR25" s="247"/>
      <c r="BS25" s="247"/>
      <c r="BT25" s="254">
        <v>1.0</v>
      </c>
      <c r="BU25" s="247"/>
      <c r="BV25" s="247"/>
      <c r="BW25" s="247"/>
      <c r="BX25" s="247"/>
      <c r="BY25" s="217"/>
      <c r="BZ25" s="217"/>
      <c r="CA25" s="217"/>
      <c r="CB25" s="217"/>
      <c r="CC25" s="217"/>
      <c r="CD25" s="217"/>
      <c r="CE25" s="217"/>
      <c r="CF25" s="205">
        <f t="shared" si="17"/>
        <v>2</v>
      </c>
      <c r="CG25" s="190">
        <f t="shared" si="18"/>
        <v>66.66666667</v>
      </c>
      <c r="CH25" s="237"/>
      <c r="CI25" s="161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08">
        <f t="shared" si="19"/>
        <v>0</v>
      </c>
      <c r="CU25" s="194" t="str">
        <f t="shared" si="20"/>
        <v>#DIV/0!</v>
      </c>
      <c r="CV25" s="196"/>
      <c r="CW25" s="167">
        <f t="shared" si="21"/>
        <v>50</v>
      </c>
      <c r="CX25" s="169">
        <f t="shared" si="6"/>
        <v>7</v>
      </c>
      <c r="CY25" s="197"/>
    </row>
    <row r="26" ht="15.75" customHeight="1">
      <c r="A26" s="122">
        <v>17.0</v>
      </c>
      <c r="B26" s="188" t="s">
        <v>79</v>
      </c>
      <c r="C26" s="216" t="s">
        <v>80</v>
      </c>
      <c r="D26" s="125">
        <f t="shared" si="7"/>
        <v>3</v>
      </c>
      <c r="E26" s="127">
        <f t="shared" si="8"/>
        <v>21.42857143</v>
      </c>
      <c r="F26" s="200">
        <f t="shared" si="9"/>
        <v>21.42857143</v>
      </c>
      <c r="G26" s="220">
        <f t="shared" si="10"/>
        <v>21.42857143</v>
      </c>
      <c r="H26" s="180"/>
      <c r="I26" s="138"/>
      <c r="J26" s="195"/>
      <c r="K26" s="138"/>
      <c r="L26" s="180"/>
      <c r="M26" s="245">
        <v>1.0</v>
      </c>
      <c r="N26" s="180"/>
      <c r="O26" s="180"/>
      <c r="P26" s="180"/>
      <c r="Q26" s="180"/>
      <c r="R26" s="147">
        <f t="shared" si="11"/>
        <v>1</v>
      </c>
      <c r="S26" s="198">
        <f t="shared" si="12"/>
        <v>50</v>
      </c>
      <c r="T26" s="230"/>
      <c r="U26" s="209"/>
      <c r="V26" s="209"/>
      <c r="W26" s="209"/>
      <c r="X26" s="209"/>
      <c r="Y26" s="209"/>
      <c r="Z26" s="225">
        <v>1.0</v>
      </c>
      <c r="AA26" s="209"/>
      <c r="AB26" s="209"/>
      <c r="AC26" s="138"/>
      <c r="AD26" s="209"/>
      <c r="AE26" s="209"/>
      <c r="AF26" s="209"/>
      <c r="AG26" s="209"/>
      <c r="AH26" s="209"/>
      <c r="AI26" s="209"/>
      <c r="AJ26" s="209"/>
      <c r="AK26" s="210"/>
      <c r="AL26" s="147">
        <f t="shared" si="13"/>
        <v>1</v>
      </c>
      <c r="AM26" s="202">
        <f t="shared" si="14"/>
        <v>20</v>
      </c>
      <c r="AN26" s="230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10"/>
      <c r="BF26" s="210"/>
      <c r="BG26" s="210"/>
      <c r="BH26" s="210"/>
      <c r="BI26" s="162">
        <f t="shared" si="15"/>
        <v>0</v>
      </c>
      <c r="BJ26" s="204">
        <f t="shared" si="16"/>
        <v>0</v>
      </c>
      <c r="BK26" s="230"/>
      <c r="BL26" s="209"/>
      <c r="BM26" s="209"/>
      <c r="BN26" s="209"/>
      <c r="BO26" s="209"/>
      <c r="BP26" s="209"/>
      <c r="BQ26" s="209"/>
      <c r="BR26" s="209"/>
      <c r="BS26" s="209"/>
      <c r="BT26" s="225">
        <v>1.0</v>
      </c>
      <c r="BU26" s="209"/>
      <c r="BV26" s="209"/>
      <c r="BW26" s="209"/>
      <c r="BX26" s="209"/>
      <c r="BY26" s="217"/>
      <c r="BZ26" s="217"/>
      <c r="CA26" s="217"/>
      <c r="CB26" s="217"/>
      <c r="CC26" s="217"/>
      <c r="CD26" s="217"/>
      <c r="CE26" s="217"/>
      <c r="CF26" s="205">
        <f t="shared" si="17"/>
        <v>1</v>
      </c>
      <c r="CG26" s="190">
        <f t="shared" si="18"/>
        <v>33.33333333</v>
      </c>
      <c r="CH26" s="237"/>
      <c r="CI26" s="161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08">
        <f t="shared" si="19"/>
        <v>0</v>
      </c>
      <c r="CU26" s="194" t="str">
        <f t="shared" si="20"/>
        <v>#DIV/0!</v>
      </c>
      <c r="CV26" s="196"/>
      <c r="CW26" s="167">
        <f t="shared" si="21"/>
        <v>21.42857143</v>
      </c>
      <c r="CX26" s="169">
        <f t="shared" si="6"/>
        <v>3</v>
      </c>
      <c r="CY26" s="197"/>
    </row>
    <row r="27" ht="15.75" customHeight="1">
      <c r="A27" s="172">
        <v>18.0</v>
      </c>
      <c r="B27" s="188" t="s">
        <v>81</v>
      </c>
      <c r="C27" s="216" t="s">
        <v>82</v>
      </c>
      <c r="D27" s="125">
        <f t="shared" si="7"/>
        <v>6</v>
      </c>
      <c r="E27" s="127">
        <f t="shared" si="8"/>
        <v>42.85714286</v>
      </c>
      <c r="F27" s="200">
        <f t="shared" si="9"/>
        <v>42.85714286</v>
      </c>
      <c r="G27" s="220" t="str">
        <f t="shared" si="10"/>
        <v>  </v>
      </c>
      <c r="H27" s="180"/>
      <c r="I27" s="138"/>
      <c r="J27" s="138"/>
      <c r="K27" s="138"/>
      <c r="L27" s="180"/>
      <c r="M27" s="245">
        <v>1.0</v>
      </c>
      <c r="N27" s="180"/>
      <c r="O27" s="180"/>
      <c r="P27" s="180"/>
      <c r="Q27" s="180"/>
      <c r="R27" s="147">
        <f t="shared" si="11"/>
        <v>1</v>
      </c>
      <c r="S27" s="198">
        <f t="shared" si="12"/>
        <v>50</v>
      </c>
      <c r="T27" s="230"/>
      <c r="U27" s="209"/>
      <c r="V27" s="209"/>
      <c r="W27" s="209"/>
      <c r="X27" s="209"/>
      <c r="Y27" s="225">
        <v>1.0</v>
      </c>
      <c r="Z27" s="225">
        <v>1.0</v>
      </c>
      <c r="AA27" s="209"/>
      <c r="AB27" s="209"/>
      <c r="AC27" s="138"/>
      <c r="AD27" s="209"/>
      <c r="AE27" s="209"/>
      <c r="AF27" s="209"/>
      <c r="AG27" s="209"/>
      <c r="AH27" s="209"/>
      <c r="AI27" s="225">
        <v>1.0</v>
      </c>
      <c r="AJ27" s="209"/>
      <c r="AK27" s="210"/>
      <c r="AL27" s="147">
        <f t="shared" si="13"/>
        <v>3</v>
      </c>
      <c r="AM27" s="202">
        <f t="shared" si="14"/>
        <v>60</v>
      </c>
      <c r="AN27" s="230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10"/>
      <c r="BF27" s="210"/>
      <c r="BG27" s="210"/>
      <c r="BH27" s="210"/>
      <c r="BI27" s="162">
        <f t="shared" si="15"/>
        <v>0</v>
      </c>
      <c r="BJ27" s="204">
        <f t="shared" si="16"/>
        <v>0</v>
      </c>
      <c r="BK27" s="230"/>
      <c r="BL27" s="209"/>
      <c r="BM27" s="209"/>
      <c r="BN27" s="225">
        <v>1.0</v>
      </c>
      <c r="BO27" s="209"/>
      <c r="BP27" s="225">
        <v>1.0</v>
      </c>
      <c r="BQ27" s="209"/>
      <c r="BR27" s="209"/>
      <c r="BS27" s="209"/>
      <c r="BT27" s="209"/>
      <c r="BU27" s="209"/>
      <c r="BV27" s="209"/>
      <c r="BW27" s="209"/>
      <c r="BX27" s="209"/>
      <c r="BY27" s="217"/>
      <c r="BZ27" s="217"/>
      <c r="CA27" s="217"/>
      <c r="CB27" s="217"/>
      <c r="CC27" s="217"/>
      <c r="CD27" s="217"/>
      <c r="CE27" s="217"/>
      <c r="CF27" s="205">
        <f t="shared" si="17"/>
        <v>2</v>
      </c>
      <c r="CG27" s="190">
        <f t="shared" si="18"/>
        <v>66.66666667</v>
      </c>
      <c r="CH27" s="237"/>
      <c r="CI27" s="161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08">
        <f t="shared" si="19"/>
        <v>0</v>
      </c>
      <c r="CU27" s="194" t="str">
        <f t="shared" si="20"/>
        <v>#DIV/0!</v>
      </c>
      <c r="CV27" s="196"/>
      <c r="CW27" s="167">
        <f t="shared" si="21"/>
        <v>42.85714286</v>
      </c>
      <c r="CX27" s="169">
        <f t="shared" si="6"/>
        <v>6</v>
      </c>
      <c r="CY27" s="197"/>
    </row>
    <row r="28" ht="15.75" customHeight="1">
      <c r="A28" s="122">
        <v>19.0</v>
      </c>
      <c r="B28" s="188" t="s">
        <v>83</v>
      </c>
      <c r="C28" s="216" t="s">
        <v>84</v>
      </c>
      <c r="D28" s="125">
        <f t="shared" si="7"/>
        <v>3</v>
      </c>
      <c r="E28" s="127">
        <f t="shared" si="8"/>
        <v>21.42857143</v>
      </c>
      <c r="F28" s="200">
        <f t="shared" si="9"/>
        <v>21.42857143</v>
      </c>
      <c r="G28" s="220">
        <f t="shared" si="10"/>
        <v>21.42857143</v>
      </c>
      <c r="H28" s="180"/>
      <c r="I28" s="138"/>
      <c r="J28" s="138"/>
      <c r="K28" s="138"/>
      <c r="L28" s="180"/>
      <c r="M28" s="245">
        <v>1.0</v>
      </c>
      <c r="N28" s="180"/>
      <c r="O28" s="180"/>
      <c r="P28" s="180"/>
      <c r="Q28" s="180"/>
      <c r="R28" s="147">
        <f t="shared" si="11"/>
        <v>1</v>
      </c>
      <c r="S28" s="198">
        <f t="shared" si="12"/>
        <v>50</v>
      </c>
      <c r="T28" s="230"/>
      <c r="U28" s="209"/>
      <c r="V28" s="209"/>
      <c r="W28" s="209"/>
      <c r="X28" s="209"/>
      <c r="Y28" s="209"/>
      <c r="Z28" s="225">
        <v>1.0</v>
      </c>
      <c r="AA28" s="209"/>
      <c r="AB28" s="209"/>
      <c r="AC28" s="138"/>
      <c r="AD28" s="209"/>
      <c r="AE28" s="209"/>
      <c r="AF28" s="209"/>
      <c r="AG28" s="209"/>
      <c r="AH28" s="209"/>
      <c r="AI28" s="209"/>
      <c r="AJ28" s="209"/>
      <c r="AK28" s="210"/>
      <c r="AL28" s="147">
        <f t="shared" si="13"/>
        <v>1</v>
      </c>
      <c r="AM28" s="202">
        <f t="shared" si="14"/>
        <v>20</v>
      </c>
      <c r="AN28" s="230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10"/>
      <c r="BF28" s="210"/>
      <c r="BG28" s="210"/>
      <c r="BH28" s="211">
        <v>1.0</v>
      </c>
      <c r="BI28" s="162">
        <f t="shared" si="15"/>
        <v>1</v>
      </c>
      <c r="BJ28" s="204">
        <f t="shared" si="16"/>
        <v>25</v>
      </c>
      <c r="BK28" s="230"/>
      <c r="BL28" s="209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17"/>
      <c r="BZ28" s="217"/>
      <c r="CA28" s="217"/>
      <c r="CB28" s="217"/>
      <c r="CC28" s="217"/>
      <c r="CD28" s="217"/>
      <c r="CE28" s="217"/>
      <c r="CF28" s="205">
        <f t="shared" si="17"/>
        <v>0</v>
      </c>
      <c r="CG28" s="190">
        <f t="shared" si="18"/>
        <v>0</v>
      </c>
      <c r="CH28" s="237"/>
      <c r="CI28" s="161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08">
        <f t="shared" si="19"/>
        <v>0</v>
      </c>
      <c r="CU28" s="194" t="str">
        <f t="shared" si="20"/>
        <v>#DIV/0!</v>
      </c>
      <c r="CV28" s="196"/>
      <c r="CW28" s="167">
        <f t="shared" si="21"/>
        <v>21.42857143</v>
      </c>
      <c r="CX28" s="169">
        <f t="shared" si="6"/>
        <v>3</v>
      </c>
      <c r="CY28" s="197"/>
    </row>
    <row r="29" ht="15.75" customHeight="1">
      <c r="A29" s="172">
        <v>20.0</v>
      </c>
      <c r="B29" s="188" t="s">
        <v>85</v>
      </c>
      <c r="C29" s="216" t="s">
        <v>86</v>
      </c>
      <c r="D29" s="125">
        <f t="shared" si="7"/>
        <v>12</v>
      </c>
      <c r="E29" s="127">
        <f t="shared" si="8"/>
        <v>85.71428571</v>
      </c>
      <c r="F29" s="200" t="str">
        <f t="shared" si="9"/>
        <v>  </v>
      </c>
      <c r="G29" s="193" t="str">
        <f t="shared" si="10"/>
        <v>  </v>
      </c>
      <c r="H29" s="180"/>
      <c r="I29" s="138"/>
      <c r="J29" s="138"/>
      <c r="K29" s="138"/>
      <c r="L29" s="180"/>
      <c r="M29" s="245">
        <v>1.0</v>
      </c>
      <c r="N29" s="180"/>
      <c r="O29" s="180"/>
      <c r="P29" s="180"/>
      <c r="Q29" s="180"/>
      <c r="R29" s="147">
        <f t="shared" si="11"/>
        <v>1</v>
      </c>
      <c r="S29" s="198">
        <f t="shared" si="12"/>
        <v>50</v>
      </c>
      <c r="T29" s="230"/>
      <c r="U29" s="209"/>
      <c r="V29" s="209"/>
      <c r="W29" s="209"/>
      <c r="X29" s="209"/>
      <c r="Y29" s="225">
        <v>1.0</v>
      </c>
      <c r="Z29" s="225">
        <v>1.0</v>
      </c>
      <c r="AA29" s="209"/>
      <c r="AB29" s="209"/>
      <c r="AC29" s="138"/>
      <c r="AD29" s="225">
        <v>1.0</v>
      </c>
      <c r="AE29" s="225">
        <v>1.0</v>
      </c>
      <c r="AF29" s="209"/>
      <c r="AG29" s="209"/>
      <c r="AH29" s="209"/>
      <c r="AI29" s="225">
        <v>1.0</v>
      </c>
      <c r="AJ29" s="209"/>
      <c r="AK29" s="210"/>
      <c r="AL29" s="147">
        <f t="shared" si="13"/>
        <v>5</v>
      </c>
      <c r="AM29" s="202">
        <f t="shared" si="14"/>
        <v>100</v>
      </c>
      <c r="AN29" s="230"/>
      <c r="AO29" s="209"/>
      <c r="AP29" s="209"/>
      <c r="AQ29" s="209"/>
      <c r="AR29" s="209"/>
      <c r="AS29" s="209"/>
      <c r="AT29" s="209"/>
      <c r="AU29" s="209"/>
      <c r="AV29" s="209"/>
      <c r="AW29" s="209"/>
      <c r="AX29" s="225">
        <v>1.0</v>
      </c>
      <c r="AY29" s="209"/>
      <c r="AZ29" s="209"/>
      <c r="BA29" s="209"/>
      <c r="BB29" s="225">
        <v>1.0</v>
      </c>
      <c r="BC29" s="209"/>
      <c r="BD29" s="209"/>
      <c r="BE29" s="210"/>
      <c r="BF29" s="210"/>
      <c r="BG29" s="211">
        <v>1.0</v>
      </c>
      <c r="BH29" s="210"/>
      <c r="BI29" s="162">
        <f t="shared" si="15"/>
        <v>3</v>
      </c>
      <c r="BJ29" s="204">
        <f t="shared" si="16"/>
        <v>75</v>
      </c>
      <c r="BK29" s="230"/>
      <c r="BL29" s="209"/>
      <c r="BM29" s="209"/>
      <c r="BN29" s="225">
        <v>1.0</v>
      </c>
      <c r="BO29" s="209"/>
      <c r="BP29" s="225">
        <v>1.0</v>
      </c>
      <c r="BQ29" s="209"/>
      <c r="BR29" s="209"/>
      <c r="BS29" s="209"/>
      <c r="BT29" s="225">
        <v>1.0</v>
      </c>
      <c r="BU29" s="209"/>
      <c r="BV29" s="209"/>
      <c r="BW29" s="209"/>
      <c r="BX29" s="209"/>
      <c r="BY29" s="217"/>
      <c r="BZ29" s="217"/>
      <c r="CA29" s="217"/>
      <c r="CB29" s="217"/>
      <c r="CC29" s="217"/>
      <c r="CD29" s="217"/>
      <c r="CE29" s="217"/>
      <c r="CF29" s="205">
        <f t="shared" si="17"/>
        <v>3</v>
      </c>
      <c r="CG29" s="190">
        <f t="shared" si="18"/>
        <v>100</v>
      </c>
      <c r="CH29" s="237"/>
      <c r="CI29" s="161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08">
        <f t="shared" si="19"/>
        <v>0</v>
      </c>
      <c r="CU29" s="194" t="str">
        <f t="shared" si="20"/>
        <v>#DIV/0!</v>
      </c>
      <c r="CV29" s="196"/>
      <c r="CW29" s="167">
        <f t="shared" si="21"/>
        <v>85.71428571</v>
      </c>
      <c r="CX29" s="169">
        <f t="shared" si="6"/>
        <v>12</v>
      </c>
      <c r="CY29" s="197"/>
    </row>
    <row r="30" ht="15.75" customHeight="1">
      <c r="A30" s="122">
        <v>21.0</v>
      </c>
      <c r="B30" s="188" t="s">
        <v>87</v>
      </c>
      <c r="C30" s="216" t="s">
        <v>88</v>
      </c>
      <c r="D30" s="125">
        <f t="shared" si="7"/>
        <v>3</v>
      </c>
      <c r="E30" s="127">
        <f t="shared" si="8"/>
        <v>21.42857143</v>
      </c>
      <c r="F30" s="200">
        <f t="shared" si="9"/>
        <v>21.42857143</v>
      </c>
      <c r="G30" s="220">
        <f t="shared" si="10"/>
        <v>21.42857143</v>
      </c>
      <c r="H30" s="180"/>
      <c r="I30" s="264">
        <v>1.0</v>
      </c>
      <c r="J30" s="195"/>
      <c r="K30" s="138"/>
      <c r="L30" s="180"/>
      <c r="M30" s="179"/>
      <c r="N30" s="180"/>
      <c r="O30" s="180"/>
      <c r="P30" s="180"/>
      <c r="Q30" s="180"/>
      <c r="R30" s="147">
        <f t="shared" si="11"/>
        <v>1</v>
      </c>
      <c r="S30" s="198">
        <f t="shared" si="12"/>
        <v>50</v>
      </c>
      <c r="T30" s="230"/>
      <c r="U30" s="209"/>
      <c r="V30" s="209"/>
      <c r="W30" s="209"/>
      <c r="X30" s="209"/>
      <c r="Y30" s="209"/>
      <c r="Z30" s="209"/>
      <c r="AA30" s="209"/>
      <c r="AB30" s="209"/>
      <c r="AC30" s="138"/>
      <c r="AD30" s="209"/>
      <c r="AE30" s="209"/>
      <c r="AF30" s="209"/>
      <c r="AG30" s="209"/>
      <c r="AH30" s="209"/>
      <c r="AI30" s="209"/>
      <c r="AJ30" s="209"/>
      <c r="AK30" s="210"/>
      <c r="AL30" s="147">
        <f t="shared" si="13"/>
        <v>0</v>
      </c>
      <c r="AM30" s="202">
        <f t="shared" si="14"/>
        <v>0</v>
      </c>
      <c r="AN30" s="230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10"/>
      <c r="BF30" s="210"/>
      <c r="BG30" s="211">
        <v>1.0</v>
      </c>
      <c r="BH30" s="210"/>
      <c r="BI30" s="162">
        <f t="shared" si="15"/>
        <v>1</v>
      </c>
      <c r="BJ30" s="204">
        <f t="shared" si="16"/>
        <v>25</v>
      </c>
      <c r="BK30" s="230"/>
      <c r="BL30" s="209"/>
      <c r="BM30" s="209"/>
      <c r="BN30" s="209"/>
      <c r="BO30" s="209"/>
      <c r="BP30" s="225">
        <v>1.0</v>
      </c>
      <c r="BQ30" s="209"/>
      <c r="BR30" s="209"/>
      <c r="BS30" s="209"/>
      <c r="BT30" s="209"/>
      <c r="BU30" s="209"/>
      <c r="BV30" s="209"/>
      <c r="BW30" s="209"/>
      <c r="BX30" s="209"/>
      <c r="BY30" s="217"/>
      <c r="BZ30" s="217"/>
      <c r="CA30" s="217"/>
      <c r="CB30" s="217"/>
      <c r="CC30" s="217"/>
      <c r="CD30" s="217"/>
      <c r="CE30" s="217"/>
      <c r="CF30" s="205">
        <f t="shared" si="17"/>
        <v>1</v>
      </c>
      <c r="CG30" s="190">
        <f t="shared" si="18"/>
        <v>33.33333333</v>
      </c>
      <c r="CH30" s="237"/>
      <c r="CI30" s="161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08">
        <f t="shared" si="19"/>
        <v>0</v>
      </c>
      <c r="CU30" s="194" t="str">
        <f t="shared" si="20"/>
        <v>#DIV/0!</v>
      </c>
      <c r="CV30" s="196"/>
      <c r="CW30" s="167">
        <f t="shared" si="21"/>
        <v>21.42857143</v>
      </c>
      <c r="CX30" s="169">
        <f t="shared" si="6"/>
        <v>3</v>
      </c>
      <c r="CY30" s="197"/>
    </row>
    <row r="31" ht="15.75" customHeight="1">
      <c r="A31" s="172">
        <v>22.0</v>
      </c>
      <c r="B31" s="188" t="s">
        <v>89</v>
      </c>
      <c r="C31" s="216" t="s">
        <v>90</v>
      </c>
      <c r="D31" s="125">
        <f t="shared" si="7"/>
        <v>6</v>
      </c>
      <c r="E31" s="127">
        <f t="shared" si="8"/>
        <v>42.85714286</v>
      </c>
      <c r="F31" s="200">
        <f t="shared" si="9"/>
        <v>42.85714286</v>
      </c>
      <c r="G31" s="220" t="str">
        <f t="shared" si="10"/>
        <v>  </v>
      </c>
      <c r="H31" s="180"/>
      <c r="I31" s="195"/>
      <c r="J31" s="138"/>
      <c r="K31" s="138"/>
      <c r="L31" s="180"/>
      <c r="M31" s="191">
        <v>1.0</v>
      </c>
      <c r="N31" s="180"/>
      <c r="O31" s="180"/>
      <c r="P31" s="180"/>
      <c r="Q31" s="180"/>
      <c r="R31" s="147">
        <f t="shared" si="11"/>
        <v>1</v>
      </c>
      <c r="S31" s="198">
        <f t="shared" si="12"/>
        <v>50</v>
      </c>
      <c r="T31" s="230"/>
      <c r="U31" s="209"/>
      <c r="V31" s="209"/>
      <c r="W31" s="209"/>
      <c r="X31" s="209"/>
      <c r="Y31" s="209"/>
      <c r="Z31" s="209"/>
      <c r="AA31" s="209"/>
      <c r="AB31" s="209"/>
      <c r="AC31" s="138"/>
      <c r="AD31" s="225">
        <v>1.0</v>
      </c>
      <c r="AE31" s="209"/>
      <c r="AF31" s="209"/>
      <c r="AG31" s="209"/>
      <c r="AH31" s="209"/>
      <c r="AI31" s="225">
        <v>1.0</v>
      </c>
      <c r="AJ31" s="209"/>
      <c r="AK31" s="210"/>
      <c r="AL31" s="147">
        <f t="shared" si="13"/>
        <v>2</v>
      </c>
      <c r="AM31" s="202">
        <f t="shared" si="14"/>
        <v>40</v>
      </c>
      <c r="AN31" s="230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10"/>
      <c r="BF31" s="210"/>
      <c r="BG31" s="211">
        <v>1.0</v>
      </c>
      <c r="BH31" s="210"/>
      <c r="BI31" s="162">
        <f t="shared" si="15"/>
        <v>1</v>
      </c>
      <c r="BJ31" s="204">
        <f t="shared" si="16"/>
        <v>25</v>
      </c>
      <c r="BK31" s="230"/>
      <c r="BL31" s="209"/>
      <c r="BM31" s="209"/>
      <c r="BN31" s="225">
        <v>1.0</v>
      </c>
      <c r="BO31" s="209"/>
      <c r="BP31" s="225">
        <v>1.0</v>
      </c>
      <c r="BQ31" s="209"/>
      <c r="BR31" s="209"/>
      <c r="BS31" s="209"/>
      <c r="BT31" s="209"/>
      <c r="BU31" s="209"/>
      <c r="BV31" s="209"/>
      <c r="BW31" s="209"/>
      <c r="BX31" s="209"/>
      <c r="BY31" s="217"/>
      <c r="BZ31" s="217"/>
      <c r="CA31" s="217"/>
      <c r="CB31" s="217"/>
      <c r="CC31" s="217"/>
      <c r="CD31" s="217"/>
      <c r="CE31" s="217"/>
      <c r="CF31" s="205">
        <f t="shared" si="17"/>
        <v>2</v>
      </c>
      <c r="CG31" s="190">
        <f t="shared" si="18"/>
        <v>66.66666667</v>
      </c>
      <c r="CH31" s="237"/>
      <c r="CI31" s="161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08">
        <f t="shared" si="19"/>
        <v>0</v>
      </c>
      <c r="CU31" s="194" t="str">
        <f t="shared" si="20"/>
        <v>#DIV/0!</v>
      </c>
      <c r="CV31" s="196"/>
      <c r="CW31" s="167">
        <f t="shared" si="21"/>
        <v>42.85714286</v>
      </c>
      <c r="CX31" s="169">
        <f t="shared" si="6"/>
        <v>6</v>
      </c>
      <c r="CY31" s="197"/>
    </row>
    <row r="32" ht="15.75" customHeight="1">
      <c r="A32" s="122">
        <v>23.0</v>
      </c>
      <c r="B32" s="188" t="s">
        <v>91</v>
      </c>
      <c r="C32" s="216" t="s">
        <v>92</v>
      </c>
      <c r="D32" s="125">
        <f t="shared" si="7"/>
        <v>4</v>
      </c>
      <c r="E32" s="127">
        <f t="shared" si="8"/>
        <v>28.57142857</v>
      </c>
      <c r="F32" s="200">
        <f t="shared" si="9"/>
        <v>28.57142857</v>
      </c>
      <c r="G32" s="220">
        <f t="shared" si="10"/>
        <v>28.57142857</v>
      </c>
      <c r="H32" s="180"/>
      <c r="I32" s="195"/>
      <c r="J32" s="138"/>
      <c r="K32" s="138"/>
      <c r="L32" s="180"/>
      <c r="M32" s="179"/>
      <c r="N32" s="180"/>
      <c r="O32" s="180"/>
      <c r="P32" s="180"/>
      <c r="Q32" s="180"/>
      <c r="R32" s="147">
        <f t="shared" si="11"/>
        <v>0</v>
      </c>
      <c r="S32" s="198">
        <f t="shared" si="12"/>
        <v>0</v>
      </c>
      <c r="T32" s="246"/>
      <c r="U32" s="233"/>
      <c r="V32" s="233"/>
      <c r="W32" s="233"/>
      <c r="X32" s="233"/>
      <c r="Y32" s="244">
        <v>1.0</v>
      </c>
      <c r="Z32" s="233"/>
      <c r="AA32" s="233"/>
      <c r="AB32" s="233"/>
      <c r="AC32" s="138"/>
      <c r="AD32" s="244">
        <v>1.0</v>
      </c>
      <c r="AE32" s="233"/>
      <c r="AF32" s="233"/>
      <c r="AG32" s="233"/>
      <c r="AH32" s="233"/>
      <c r="AI32" s="233"/>
      <c r="AJ32" s="233"/>
      <c r="AK32" s="234"/>
      <c r="AL32" s="147">
        <f t="shared" si="13"/>
        <v>2</v>
      </c>
      <c r="AM32" s="202">
        <f t="shared" si="14"/>
        <v>40</v>
      </c>
      <c r="AN32" s="246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4"/>
      <c r="BF32" s="234"/>
      <c r="BG32" s="234"/>
      <c r="BH32" s="234"/>
      <c r="BI32" s="162">
        <f t="shared" si="15"/>
        <v>0</v>
      </c>
      <c r="BJ32" s="204">
        <f t="shared" si="16"/>
        <v>0</v>
      </c>
      <c r="BK32" s="246"/>
      <c r="BL32" s="233"/>
      <c r="BM32" s="233"/>
      <c r="BN32" s="244">
        <v>1.0</v>
      </c>
      <c r="BO32" s="233"/>
      <c r="BP32" s="244">
        <v>1.0</v>
      </c>
      <c r="BQ32" s="233"/>
      <c r="BR32" s="233"/>
      <c r="BS32" s="233"/>
      <c r="BT32" s="233"/>
      <c r="BU32" s="233"/>
      <c r="BV32" s="233"/>
      <c r="BW32" s="233"/>
      <c r="BX32" s="233"/>
      <c r="BY32" s="217"/>
      <c r="BZ32" s="217"/>
      <c r="CA32" s="217"/>
      <c r="CB32" s="217"/>
      <c r="CC32" s="217"/>
      <c r="CD32" s="217"/>
      <c r="CE32" s="217"/>
      <c r="CF32" s="205">
        <f t="shared" si="17"/>
        <v>2</v>
      </c>
      <c r="CG32" s="190">
        <f t="shared" si="18"/>
        <v>66.66666667</v>
      </c>
      <c r="CH32" s="237"/>
      <c r="CI32" s="161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08">
        <f t="shared" si="19"/>
        <v>0</v>
      </c>
      <c r="CU32" s="194" t="str">
        <f t="shared" si="20"/>
        <v>#DIV/0!</v>
      </c>
      <c r="CV32" s="196"/>
      <c r="CW32" s="167">
        <f t="shared" si="21"/>
        <v>28.57142857</v>
      </c>
      <c r="CX32" s="169">
        <f t="shared" si="6"/>
        <v>4</v>
      </c>
      <c r="CY32" s="197"/>
    </row>
    <row r="33" ht="15.75" customHeight="1">
      <c r="A33" s="172">
        <v>24.0</v>
      </c>
      <c r="B33" s="188" t="s">
        <v>93</v>
      </c>
      <c r="C33" s="216" t="s">
        <v>94</v>
      </c>
      <c r="D33" s="125">
        <f t="shared" si="7"/>
        <v>6</v>
      </c>
      <c r="E33" s="127">
        <f t="shared" si="8"/>
        <v>42.85714286</v>
      </c>
      <c r="F33" s="200">
        <f t="shared" si="9"/>
        <v>42.85714286</v>
      </c>
      <c r="G33" s="220" t="str">
        <f t="shared" si="10"/>
        <v>  </v>
      </c>
      <c r="H33" s="180"/>
      <c r="I33" s="152"/>
      <c r="J33" s="152"/>
      <c r="K33" s="138"/>
      <c r="L33" s="180"/>
      <c r="M33" s="257">
        <v>1.0</v>
      </c>
      <c r="N33" s="180"/>
      <c r="O33" s="180"/>
      <c r="P33" s="180"/>
      <c r="Q33" s="180"/>
      <c r="R33" s="147">
        <f t="shared" si="11"/>
        <v>1</v>
      </c>
      <c r="S33" s="198">
        <f t="shared" si="12"/>
        <v>50</v>
      </c>
      <c r="T33" s="246"/>
      <c r="U33" s="233"/>
      <c r="V33" s="233"/>
      <c r="W33" s="233"/>
      <c r="X33" s="233"/>
      <c r="Y33" s="233"/>
      <c r="Z33" s="233"/>
      <c r="AA33" s="233"/>
      <c r="AB33" s="233"/>
      <c r="AC33" s="138"/>
      <c r="AD33" s="244">
        <v>1.0</v>
      </c>
      <c r="AE33" s="233"/>
      <c r="AF33" s="233"/>
      <c r="AG33" s="233"/>
      <c r="AH33" s="233"/>
      <c r="AI33" s="244">
        <v>1.0</v>
      </c>
      <c r="AJ33" s="233"/>
      <c r="AK33" s="234"/>
      <c r="AL33" s="147">
        <f t="shared" si="13"/>
        <v>2</v>
      </c>
      <c r="AM33" s="202">
        <f t="shared" si="14"/>
        <v>40</v>
      </c>
      <c r="AN33" s="246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4"/>
      <c r="BF33" s="234"/>
      <c r="BG33" s="236">
        <v>1.0</v>
      </c>
      <c r="BH33" s="234"/>
      <c r="BI33" s="162">
        <f t="shared" si="15"/>
        <v>1</v>
      </c>
      <c r="BJ33" s="204">
        <f t="shared" si="16"/>
        <v>25</v>
      </c>
      <c r="BK33" s="246"/>
      <c r="BL33" s="233"/>
      <c r="BM33" s="233"/>
      <c r="BN33" s="244">
        <v>1.0</v>
      </c>
      <c r="BO33" s="233"/>
      <c r="BP33" s="244">
        <v>1.0</v>
      </c>
      <c r="BQ33" s="233"/>
      <c r="BR33" s="233"/>
      <c r="BS33" s="233"/>
      <c r="BT33" s="233"/>
      <c r="BU33" s="233"/>
      <c r="BV33" s="233"/>
      <c r="BW33" s="233"/>
      <c r="BX33" s="233"/>
      <c r="BY33" s="217"/>
      <c r="BZ33" s="217"/>
      <c r="CA33" s="217"/>
      <c r="CB33" s="217"/>
      <c r="CC33" s="217"/>
      <c r="CD33" s="217"/>
      <c r="CE33" s="217"/>
      <c r="CF33" s="205">
        <f t="shared" si="17"/>
        <v>2</v>
      </c>
      <c r="CG33" s="190">
        <f t="shared" si="18"/>
        <v>66.66666667</v>
      </c>
      <c r="CH33" s="237"/>
      <c r="CI33" s="161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08">
        <f t="shared" si="19"/>
        <v>0</v>
      </c>
      <c r="CU33" s="194" t="str">
        <f t="shared" si="20"/>
        <v>#DIV/0!</v>
      </c>
      <c r="CV33" s="196"/>
      <c r="CW33" s="167">
        <f t="shared" si="21"/>
        <v>42.85714286</v>
      </c>
      <c r="CX33" s="169">
        <f t="shared" si="6"/>
        <v>6</v>
      </c>
      <c r="CY33" s="197"/>
    </row>
    <row r="34" ht="15.75" customHeight="1">
      <c r="A34" s="122">
        <v>25.0</v>
      </c>
      <c r="B34" s="188" t="s">
        <v>95</v>
      </c>
      <c r="C34" s="216" t="s">
        <v>96</v>
      </c>
      <c r="D34" s="125">
        <f t="shared" si="7"/>
        <v>2</v>
      </c>
      <c r="E34" s="127">
        <f t="shared" si="8"/>
        <v>14.28571429</v>
      </c>
      <c r="F34" s="200">
        <f t="shared" si="9"/>
        <v>14.28571429</v>
      </c>
      <c r="G34" s="220">
        <f t="shared" si="10"/>
        <v>14.28571429</v>
      </c>
      <c r="H34" s="242"/>
      <c r="I34" s="138"/>
      <c r="J34" s="138"/>
      <c r="K34" s="138"/>
      <c r="L34" s="180"/>
      <c r="M34" s="201"/>
      <c r="N34" s="180"/>
      <c r="O34" s="180"/>
      <c r="P34" s="180"/>
      <c r="Q34" s="180"/>
      <c r="R34" s="147">
        <f t="shared" si="11"/>
        <v>0</v>
      </c>
      <c r="S34" s="198">
        <f t="shared" si="12"/>
        <v>0</v>
      </c>
      <c r="T34" s="230"/>
      <c r="U34" s="209"/>
      <c r="V34" s="209"/>
      <c r="W34" s="209"/>
      <c r="X34" s="209"/>
      <c r="Y34" s="209"/>
      <c r="Z34" s="225">
        <v>1.0</v>
      </c>
      <c r="AA34" s="209"/>
      <c r="AB34" s="209"/>
      <c r="AC34" s="138"/>
      <c r="AD34" s="209"/>
      <c r="AE34" s="209"/>
      <c r="AF34" s="209"/>
      <c r="AG34" s="209"/>
      <c r="AH34" s="209"/>
      <c r="AI34" s="209"/>
      <c r="AJ34" s="209"/>
      <c r="AK34" s="210"/>
      <c r="AL34" s="147">
        <f t="shared" si="13"/>
        <v>1</v>
      </c>
      <c r="AM34" s="202">
        <f t="shared" si="14"/>
        <v>20</v>
      </c>
      <c r="AN34" s="230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10"/>
      <c r="BF34" s="210"/>
      <c r="BG34" s="210"/>
      <c r="BH34" s="210"/>
      <c r="BI34" s="162">
        <f t="shared" si="15"/>
        <v>0</v>
      </c>
      <c r="BJ34" s="204">
        <f t="shared" si="16"/>
        <v>0</v>
      </c>
      <c r="BK34" s="230"/>
      <c r="BL34" s="209"/>
      <c r="BM34" s="209"/>
      <c r="BN34" s="209"/>
      <c r="BO34" s="209"/>
      <c r="BP34" s="225">
        <v>1.0</v>
      </c>
      <c r="BQ34" s="209"/>
      <c r="BR34" s="209"/>
      <c r="BS34" s="209"/>
      <c r="BT34" s="209"/>
      <c r="BU34" s="209"/>
      <c r="BV34" s="209"/>
      <c r="BW34" s="209"/>
      <c r="BX34" s="209"/>
      <c r="BY34" s="217"/>
      <c r="BZ34" s="217"/>
      <c r="CA34" s="217"/>
      <c r="CB34" s="217"/>
      <c r="CC34" s="217"/>
      <c r="CD34" s="217"/>
      <c r="CE34" s="217"/>
      <c r="CF34" s="205">
        <f t="shared" si="17"/>
        <v>1</v>
      </c>
      <c r="CG34" s="190">
        <f t="shared" si="18"/>
        <v>33.33333333</v>
      </c>
      <c r="CH34" s="237"/>
      <c r="CI34" s="161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08">
        <f t="shared" si="19"/>
        <v>0</v>
      </c>
      <c r="CU34" s="194" t="str">
        <f t="shared" si="20"/>
        <v>#DIV/0!</v>
      </c>
      <c r="CV34" s="196"/>
      <c r="CW34" s="167">
        <f t="shared" si="21"/>
        <v>14.28571429</v>
      </c>
      <c r="CX34" s="169">
        <f t="shared" si="6"/>
        <v>2</v>
      </c>
      <c r="CY34" s="197"/>
    </row>
    <row r="35" ht="15.75" customHeight="1">
      <c r="A35" s="172">
        <v>26.0</v>
      </c>
      <c r="B35" s="188" t="s">
        <v>97</v>
      </c>
      <c r="C35" s="216" t="s">
        <v>98</v>
      </c>
      <c r="D35" s="125">
        <f t="shared" si="7"/>
        <v>11</v>
      </c>
      <c r="E35" s="127">
        <f t="shared" si="8"/>
        <v>78.57142857</v>
      </c>
      <c r="F35" s="200" t="str">
        <f t="shared" si="9"/>
        <v>  </v>
      </c>
      <c r="G35" s="193" t="str">
        <f t="shared" si="10"/>
        <v>  </v>
      </c>
      <c r="H35" s="180"/>
      <c r="I35" s="138"/>
      <c r="J35" s="138"/>
      <c r="K35" s="138"/>
      <c r="L35" s="180"/>
      <c r="M35" s="245">
        <v>1.0</v>
      </c>
      <c r="N35" s="180"/>
      <c r="O35" s="180"/>
      <c r="P35" s="180"/>
      <c r="Q35" s="180"/>
      <c r="R35" s="147">
        <f t="shared" si="11"/>
        <v>1</v>
      </c>
      <c r="S35" s="198">
        <f t="shared" si="12"/>
        <v>50</v>
      </c>
      <c r="T35" s="230"/>
      <c r="U35" s="209"/>
      <c r="V35" s="209"/>
      <c r="W35" s="209"/>
      <c r="X35" s="209"/>
      <c r="Y35" s="225">
        <v>1.0</v>
      </c>
      <c r="Z35" s="225">
        <v>1.0</v>
      </c>
      <c r="AA35" s="209"/>
      <c r="AB35" s="209"/>
      <c r="AC35" s="138"/>
      <c r="AD35" s="225">
        <v>1.0</v>
      </c>
      <c r="AE35" s="225">
        <v>1.0</v>
      </c>
      <c r="AF35" s="209"/>
      <c r="AG35" s="209"/>
      <c r="AH35" s="209"/>
      <c r="AI35" s="209"/>
      <c r="AJ35" s="209"/>
      <c r="AK35" s="210"/>
      <c r="AL35" s="147">
        <f t="shared" si="13"/>
        <v>4</v>
      </c>
      <c r="AM35" s="202">
        <f t="shared" si="14"/>
        <v>80</v>
      </c>
      <c r="AN35" s="230"/>
      <c r="AO35" s="209"/>
      <c r="AP35" s="209"/>
      <c r="AQ35" s="209"/>
      <c r="AR35" s="209"/>
      <c r="AS35" s="209"/>
      <c r="AT35" s="209"/>
      <c r="AU35" s="209"/>
      <c r="AV35" s="209"/>
      <c r="AW35" s="209"/>
      <c r="AX35" s="225">
        <v>1.0</v>
      </c>
      <c r="AY35" s="209"/>
      <c r="AZ35" s="209"/>
      <c r="BA35" s="209"/>
      <c r="BB35" s="209"/>
      <c r="BC35" s="209"/>
      <c r="BD35" s="209"/>
      <c r="BE35" s="210"/>
      <c r="BF35" s="210"/>
      <c r="BG35" s="211">
        <v>1.0</v>
      </c>
      <c r="BH35" s="211">
        <v>1.0</v>
      </c>
      <c r="BI35" s="162">
        <f t="shared" si="15"/>
        <v>3</v>
      </c>
      <c r="BJ35" s="204">
        <f t="shared" si="16"/>
        <v>75</v>
      </c>
      <c r="BK35" s="230"/>
      <c r="BL35" s="209"/>
      <c r="BM35" s="209"/>
      <c r="BN35" s="225">
        <v>1.0</v>
      </c>
      <c r="BO35" s="209"/>
      <c r="BP35" s="225">
        <v>1.0</v>
      </c>
      <c r="BQ35" s="209"/>
      <c r="BR35" s="209"/>
      <c r="BS35" s="209"/>
      <c r="BT35" s="225">
        <v>1.0</v>
      </c>
      <c r="BU35" s="209"/>
      <c r="BV35" s="209"/>
      <c r="BW35" s="209"/>
      <c r="BX35" s="209"/>
      <c r="BY35" s="217"/>
      <c r="BZ35" s="217"/>
      <c r="CA35" s="217"/>
      <c r="CB35" s="217"/>
      <c r="CC35" s="217"/>
      <c r="CD35" s="217"/>
      <c r="CE35" s="217"/>
      <c r="CF35" s="205">
        <f t="shared" si="17"/>
        <v>3</v>
      </c>
      <c r="CG35" s="190">
        <f t="shared" si="18"/>
        <v>100</v>
      </c>
      <c r="CH35" s="237"/>
      <c r="CI35" s="161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08">
        <f t="shared" si="19"/>
        <v>0</v>
      </c>
      <c r="CU35" s="194" t="str">
        <f t="shared" si="20"/>
        <v>#DIV/0!</v>
      </c>
      <c r="CV35" s="196"/>
      <c r="CW35" s="167">
        <f t="shared" si="21"/>
        <v>78.57142857</v>
      </c>
      <c r="CX35" s="169">
        <f t="shared" si="6"/>
        <v>11</v>
      </c>
      <c r="CY35" s="197"/>
    </row>
    <row r="36" ht="15.75" customHeight="1">
      <c r="A36" s="122">
        <v>27.0</v>
      </c>
      <c r="B36" s="188" t="s">
        <v>99</v>
      </c>
      <c r="C36" s="216" t="s">
        <v>100</v>
      </c>
      <c r="D36" s="125">
        <f t="shared" si="7"/>
        <v>0</v>
      </c>
      <c r="E36" s="127">
        <f t="shared" si="8"/>
        <v>0</v>
      </c>
      <c r="F36" s="200">
        <f t="shared" si="9"/>
        <v>0</v>
      </c>
      <c r="G36" s="220">
        <f t="shared" si="10"/>
        <v>0</v>
      </c>
      <c r="H36" s="180"/>
      <c r="I36" s="195"/>
      <c r="J36" s="195"/>
      <c r="K36" s="195"/>
      <c r="L36" s="242"/>
      <c r="M36" s="179"/>
      <c r="N36" s="242"/>
      <c r="O36" s="242"/>
      <c r="P36" s="242"/>
      <c r="Q36" s="242"/>
      <c r="R36" s="147">
        <f t="shared" si="11"/>
        <v>0</v>
      </c>
      <c r="S36" s="198">
        <f t="shared" si="12"/>
        <v>0</v>
      </c>
      <c r="T36" s="230"/>
      <c r="U36" s="209"/>
      <c r="V36" s="209"/>
      <c r="W36" s="209"/>
      <c r="X36" s="209"/>
      <c r="Y36" s="209"/>
      <c r="Z36" s="209"/>
      <c r="AA36" s="209"/>
      <c r="AB36" s="209"/>
      <c r="AC36" s="138"/>
      <c r="AD36" s="209"/>
      <c r="AE36" s="209"/>
      <c r="AF36" s="209"/>
      <c r="AG36" s="209"/>
      <c r="AH36" s="209"/>
      <c r="AI36" s="209"/>
      <c r="AJ36" s="209"/>
      <c r="AK36" s="210"/>
      <c r="AL36" s="147">
        <f t="shared" si="13"/>
        <v>0</v>
      </c>
      <c r="AM36" s="202">
        <f t="shared" si="14"/>
        <v>0</v>
      </c>
      <c r="AN36" s="230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10"/>
      <c r="BF36" s="210"/>
      <c r="BG36" s="210"/>
      <c r="BH36" s="210"/>
      <c r="BI36" s="162">
        <f t="shared" si="15"/>
        <v>0</v>
      </c>
      <c r="BJ36" s="204">
        <f t="shared" si="16"/>
        <v>0</v>
      </c>
      <c r="BK36" s="230"/>
      <c r="BL36" s="209"/>
      <c r="BM36" s="209"/>
      <c r="BN36" s="209"/>
      <c r="BO36" s="209"/>
      <c r="BP36" s="209"/>
      <c r="BQ36" s="209"/>
      <c r="BR36" s="209"/>
      <c r="BS36" s="209"/>
      <c r="BT36" s="209"/>
      <c r="BU36" s="209"/>
      <c r="BV36" s="209"/>
      <c r="BW36" s="209"/>
      <c r="BX36" s="209"/>
      <c r="BY36" s="217"/>
      <c r="BZ36" s="217"/>
      <c r="CA36" s="217"/>
      <c r="CB36" s="217"/>
      <c r="CC36" s="217"/>
      <c r="CD36" s="217"/>
      <c r="CE36" s="217"/>
      <c r="CF36" s="205">
        <f t="shared" si="17"/>
        <v>0</v>
      </c>
      <c r="CG36" s="190">
        <f t="shared" si="18"/>
        <v>0</v>
      </c>
      <c r="CH36" s="237"/>
      <c r="CI36" s="161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08">
        <f t="shared" si="19"/>
        <v>0</v>
      </c>
      <c r="CU36" s="194" t="str">
        <f t="shared" si="20"/>
        <v>#DIV/0!</v>
      </c>
      <c r="CV36" s="196"/>
      <c r="CW36" s="167">
        <f t="shared" si="21"/>
        <v>0</v>
      </c>
      <c r="CX36" s="169">
        <f t="shared" si="6"/>
        <v>0</v>
      </c>
      <c r="CY36" s="197"/>
    </row>
    <row r="37" ht="15.75" customHeight="1">
      <c r="A37" s="172">
        <v>28.0</v>
      </c>
      <c r="B37" s="188" t="s">
        <v>101</v>
      </c>
      <c r="C37" s="216" t="s">
        <v>102</v>
      </c>
      <c r="D37" s="125">
        <f t="shared" si="7"/>
        <v>4</v>
      </c>
      <c r="E37" s="127">
        <f t="shared" si="8"/>
        <v>28.57142857</v>
      </c>
      <c r="F37" s="200">
        <f t="shared" si="9"/>
        <v>28.57142857</v>
      </c>
      <c r="G37" s="220">
        <f t="shared" si="10"/>
        <v>28.57142857</v>
      </c>
      <c r="H37" s="180"/>
      <c r="I37" s="195"/>
      <c r="J37" s="195"/>
      <c r="K37" s="195"/>
      <c r="L37" s="242"/>
      <c r="M37" s="179"/>
      <c r="N37" s="242"/>
      <c r="O37" s="242"/>
      <c r="P37" s="242"/>
      <c r="Q37" s="242"/>
      <c r="R37" s="147">
        <f t="shared" si="11"/>
        <v>0</v>
      </c>
      <c r="S37" s="198">
        <f t="shared" si="12"/>
        <v>0</v>
      </c>
      <c r="T37" s="230"/>
      <c r="U37" s="209"/>
      <c r="V37" s="209"/>
      <c r="W37" s="209"/>
      <c r="X37" s="209"/>
      <c r="Y37" s="225">
        <v>1.0</v>
      </c>
      <c r="Z37" s="209"/>
      <c r="AA37" s="209"/>
      <c r="AB37" s="209"/>
      <c r="AC37" s="138"/>
      <c r="AD37" s="225">
        <v>1.0</v>
      </c>
      <c r="AE37" s="209"/>
      <c r="AF37" s="209"/>
      <c r="AG37" s="209"/>
      <c r="AH37" s="209"/>
      <c r="AI37" s="209"/>
      <c r="AJ37" s="209"/>
      <c r="AK37" s="210"/>
      <c r="AL37" s="147">
        <f t="shared" si="13"/>
        <v>2</v>
      </c>
      <c r="AM37" s="202">
        <f t="shared" si="14"/>
        <v>40</v>
      </c>
      <c r="AN37" s="230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10"/>
      <c r="BF37" s="210"/>
      <c r="BG37" s="210"/>
      <c r="BH37" s="211">
        <v>1.0</v>
      </c>
      <c r="BI37" s="162">
        <f t="shared" si="15"/>
        <v>1</v>
      </c>
      <c r="BJ37" s="204">
        <f t="shared" si="16"/>
        <v>25</v>
      </c>
      <c r="BK37" s="230"/>
      <c r="BL37" s="209"/>
      <c r="BM37" s="209"/>
      <c r="BN37" s="225">
        <v>1.0</v>
      </c>
      <c r="BO37" s="209"/>
      <c r="BP37" s="209"/>
      <c r="BQ37" s="209"/>
      <c r="BR37" s="209"/>
      <c r="BS37" s="209"/>
      <c r="BT37" s="209"/>
      <c r="BU37" s="209"/>
      <c r="BV37" s="209"/>
      <c r="BW37" s="209"/>
      <c r="BX37" s="209"/>
      <c r="BY37" s="217"/>
      <c r="BZ37" s="217"/>
      <c r="CA37" s="217"/>
      <c r="CB37" s="217"/>
      <c r="CC37" s="217"/>
      <c r="CD37" s="217"/>
      <c r="CE37" s="217"/>
      <c r="CF37" s="205">
        <f t="shared" si="17"/>
        <v>1</v>
      </c>
      <c r="CG37" s="190">
        <f t="shared" si="18"/>
        <v>33.33333333</v>
      </c>
      <c r="CH37" s="237"/>
      <c r="CI37" s="161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08">
        <f t="shared" si="19"/>
        <v>0</v>
      </c>
      <c r="CU37" s="194" t="str">
        <f t="shared" si="20"/>
        <v>#DIV/0!</v>
      </c>
      <c r="CV37" s="196"/>
      <c r="CW37" s="167">
        <f t="shared" si="21"/>
        <v>28.57142857</v>
      </c>
      <c r="CX37" s="169">
        <f t="shared" si="6"/>
        <v>4</v>
      </c>
      <c r="CY37" s="197"/>
    </row>
    <row r="38" ht="15.75" customHeight="1">
      <c r="A38" s="122">
        <v>29.0</v>
      </c>
      <c r="B38" s="188" t="s">
        <v>103</v>
      </c>
      <c r="C38" s="216" t="s">
        <v>104</v>
      </c>
      <c r="D38" s="125">
        <f t="shared" si="7"/>
        <v>1</v>
      </c>
      <c r="E38" s="127">
        <f t="shared" si="8"/>
        <v>7.142857143</v>
      </c>
      <c r="F38" s="200">
        <f t="shared" si="9"/>
        <v>7.142857143</v>
      </c>
      <c r="G38" s="220">
        <f t="shared" si="10"/>
        <v>7.142857143</v>
      </c>
      <c r="H38" s="180"/>
      <c r="I38" s="195"/>
      <c r="J38" s="195"/>
      <c r="K38" s="195"/>
      <c r="L38" s="242"/>
      <c r="M38" s="179"/>
      <c r="N38" s="242"/>
      <c r="O38" s="242"/>
      <c r="P38" s="242"/>
      <c r="Q38" s="242"/>
      <c r="R38" s="147">
        <f t="shared" si="11"/>
        <v>0</v>
      </c>
      <c r="S38" s="198">
        <f t="shared" si="12"/>
        <v>0</v>
      </c>
      <c r="T38" s="230"/>
      <c r="U38" s="209"/>
      <c r="V38" s="209"/>
      <c r="W38" s="209"/>
      <c r="X38" s="209"/>
      <c r="Y38" s="209"/>
      <c r="Z38" s="209"/>
      <c r="AA38" s="209"/>
      <c r="AB38" s="209"/>
      <c r="AC38" s="138"/>
      <c r="AD38" s="209"/>
      <c r="AE38" s="209"/>
      <c r="AF38" s="209"/>
      <c r="AG38" s="209"/>
      <c r="AH38" s="209"/>
      <c r="AI38" s="209"/>
      <c r="AJ38" s="209"/>
      <c r="AK38" s="210"/>
      <c r="AL38" s="147">
        <f t="shared" si="13"/>
        <v>0</v>
      </c>
      <c r="AM38" s="202">
        <f t="shared" si="14"/>
        <v>0</v>
      </c>
      <c r="AN38" s="230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10"/>
      <c r="BF38" s="210"/>
      <c r="BG38" s="210"/>
      <c r="BH38" s="210"/>
      <c r="BI38" s="162">
        <f t="shared" si="15"/>
        <v>0</v>
      </c>
      <c r="BJ38" s="204">
        <f t="shared" si="16"/>
        <v>0</v>
      </c>
      <c r="BK38" s="230"/>
      <c r="BL38" s="209"/>
      <c r="BM38" s="209"/>
      <c r="BN38" s="209"/>
      <c r="BO38" s="209"/>
      <c r="BP38" s="209"/>
      <c r="BQ38" s="209"/>
      <c r="BR38" s="209"/>
      <c r="BS38" s="209"/>
      <c r="BT38" s="225">
        <v>1.0</v>
      </c>
      <c r="BU38" s="209"/>
      <c r="BV38" s="209"/>
      <c r="BW38" s="209"/>
      <c r="BX38" s="209"/>
      <c r="BY38" s="217"/>
      <c r="BZ38" s="217"/>
      <c r="CA38" s="217"/>
      <c r="CB38" s="217"/>
      <c r="CC38" s="217"/>
      <c r="CD38" s="217"/>
      <c r="CE38" s="217"/>
      <c r="CF38" s="205">
        <f t="shared" si="17"/>
        <v>1</v>
      </c>
      <c r="CG38" s="190">
        <f t="shared" si="18"/>
        <v>33.33333333</v>
      </c>
      <c r="CH38" s="237"/>
      <c r="CI38" s="161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08">
        <f t="shared" si="19"/>
        <v>0</v>
      </c>
      <c r="CU38" s="194" t="str">
        <f t="shared" si="20"/>
        <v>#DIV/0!</v>
      </c>
      <c r="CV38" s="196"/>
      <c r="CW38" s="167">
        <f t="shared" si="21"/>
        <v>7.142857143</v>
      </c>
      <c r="CX38" s="169">
        <f t="shared" si="6"/>
        <v>1</v>
      </c>
      <c r="CY38" s="197"/>
    </row>
    <row r="39" ht="15.75" customHeight="1">
      <c r="A39" s="172">
        <v>30.0</v>
      </c>
      <c r="B39" s="188" t="s">
        <v>105</v>
      </c>
      <c r="C39" s="216" t="s">
        <v>106</v>
      </c>
      <c r="D39" s="125">
        <f t="shared" si="7"/>
        <v>1</v>
      </c>
      <c r="E39" s="127">
        <f t="shared" si="8"/>
        <v>7.142857143</v>
      </c>
      <c r="F39" s="200">
        <f t="shared" si="9"/>
        <v>7.142857143</v>
      </c>
      <c r="G39" s="220">
        <f t="shared" si="10"/>
        <v>7.142857143</v>
      </c>
      <c r="H39" s="180"/>
      <c r="I39" s="138"/>
      <c r="J39" s="138"/>
      <c r="K39" s="138"/>
      <c r="L39" s="180"/>
      <c r="M39" s="201"/>
      <c r="N39" s="180"/>
      <c r="O39" s="180"/>
      <c r="P39" s="180"/>
      <c r="Q39" s="180"/>
      <c r="R39" s="147">
        <f t="shared" si="11"/>
        <v>0</v>
      </c>
      <c r="S39" s="198">
        <f t="shared" si="12"/>
        <v>0</v>
      </c>
      <c r="T39" s="246"/>
      <c r="U39" s="233"/>
      <c r="V39" s="233"/>
      <c r="W39" s="233"/>
      <c r="X39" s="233"/>
      <c r="Y39" s="233"/>
      <c r="Z39" s="233"/>
      <c r="AA39" s="233"/>
      <c r="AB39" s="233"/>
      <c r="AC39" s="138"/>
      <c r="AD39" s="233"/>
      <c r="AE39" s="233"/>
      <c r="AF39" s="233"/>
      <c r="AG39" s="233"/>
      <c r="AH39" s="233"/>
      <c r="AI39" s="233"/>
      <c r="AJ39" s="233"/>
      <c r="AK39" s="234"/>
      <c r="AL39" s="147">
        <f t="shared" si="13"/>
        <v>0</v>
      </c>
      <c r="AM39" s="202">
        <f t="shared" si="14"/>
        <v>0</v>
      </c>
      <c r="AN39" s="246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4"/>
      <c r="BF39" s="234"/>
      <c r="BG39" s="234"/>
      <c r="BH39" s="234"/>
      <c r="BI39" s="162">
        <f t="shared" si="15"/>
        <v>0</v>
      </c>
      <c r="BJ39" s="204">
        <f t="shared" si="16"/>
        <v>0</v>
      </c>
      <c r="BK39" s="246"/>
      <c r="BL39" s="233"/>
      <c r="BM39" s="233"/>
      <c r="BN39" s="244">
        <v>1.0</v>
      </c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17"/>
      <c r="BZ39" s="217"/>
      <c r="CA39" s="217"/>
      <c r="CB39" s="217"/>
      <c r="CC39" s="217"/>
      <c r="CD39" s="217"/>
      <c r="CE39" s="217"/>
      <c r="CF39" s="205">
        <f t="shared" si="17"/>
        <v>1</v>
      </c>
      <c r="CG39" s="190">
        <f t="shared" si="18"/>
        <v>33.33333333</v>
      </c>
      <c r="CH39" s="237"/>
      <c r="CI39" s="161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08">
        <f t="shared" si="19"/>
        <v>0</v>
      </c>
      <c r="CU39" s="194" t="str">
        <f t="shared" si="20"/>
        <v>#DIV/0!</v>
      </c>
      <c r="CV39" s="196"/>
      <c r="CW39" s="167">
        <f t="shared" si="21"/>
        <v>7.142857143</v>
      </c>
      <c r="CX39" s="169">
        <f t="shared" si="6"/>
        <v>1</v>
      </c>
      <c r="CY39" s="197"/>
    </row>
    <row r="40" ht="15.75" customHeight="1">
      <c r="A40" s="122">
        <v>31.0</v>
      </c>
      <c r="B40" s="188" t="s">
        <v>107</v>
      </c>
      <c r="C40" s="216" t="s">
        <v>108</v>
      </c>
      <c r="D40" s="125">
        <f t="shared" si="7"/>
        <v>4</v>
      </c>
      <c r="E40" s="127">
        <f t="shared" si="8"/>
        <v>28.57142857</v>
      </c>
      <c r="F40" s="200">
        <f t="shared" si="9"/>
        <v>28.57142857</v>
      </c>
      <c r="G40" s="220">
        <f t="shared" si="10"/>
        <v>28.57142857</v>
      </c>
      <c r="H40" s="180"/>
      <c r="I40" s="138"/>
      <c r="J40" s="138"/>
      <c r="K40" s="138"/>
      <c r="L40" s="180"/>
      <c r="M40" s="245">
        <v>1.0</v>
      </c>
      <c r="N40" s="180"/>
      <c r="O40" s="180"/>
      <c r="P40" s="180"/>
      <c r="Q40" s="180"/>
      <c r="R40" s="147">
        <f t="shared" si="11"/>
        <v>1</v>
      </c>
      <c r="S40" s="198">
        <f t="shared" si="12"/>
        <v>50</v>
      </c>
      <c r="T40" s="230"/>
      <c r="U40" s="209"/>
      <c r="V40" s="209"/>
      <c r="W40" s="209"/>
      <c r="X40" s="209"/>
      <c r="Y40" s="209"/>
      <c r="Z40" s="209"/>
      <c r="AA40" s="209"/>
      <c r="AB40" s="209"/>
      <c r="AC40" s="138"/>
      <c r="AD40" s="209"/>
      <c r="AE40" s="225">
        <v>1.0</v>
      </c>
      <c r="AF40" s="209"/>
      <c r="AG40" s="209"/>
      <c r="AH40" s="209"/>
      <c r="AI40" s="209"/>
      <c r="AJ40" s="209"/>
      <c r="AK40" s="210"/>
      <c r="AL40" s="147">
        <f t="shared" si="13"/>
        <v>1</v>
      </c>
      <c r="AM40" s="202">
        <f t="shared" si="14"/>
        <v>20</v>
      </c>
      <c r="AN40" s="230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10"/>
      <c r="BF40" s="210"/>
      <c r="BG40" s="210"/>
      <c r="BH40" s="211">
        <v>1.0</v>
      </c>
      <c r="BI40" s="162">
        <f t="shared" si="15"/>
        <v>1</v>
      </c>
      <c r="BJ40" s="204">
        <f t="shared" si="16"/>
        <v>25</v>
      </c>
      <c r="BK40" s="230"/>
      <c r="BL40" s="209"/>
      <c r="BM40" s="209"/>
      <c r="BN40" s="209"/>
      <c r="BO40" s="209"/>
      <c r="BP40" s="225">
        <v>1.0</v>
      </c>
      <c r="BQ40" s="209"/>
      <c r="BR40" s="209"/>
      <c r="BS40" s="209"/>
      <c r="BT40" s="209"/>
      <c r="BU40" s="209"/>
      <c r="BV40" s="209"/>
      <c r="BW40" s="209"/>
      <c r="BX40" s="209"/>
      <c r="BY40" s="217"/>
      <c r="BZ40" s="217"/>
      <c r="CA40" s="217"/>
      <c r="CB40" s="217"/>
      <c r="CC40" s="217"/>
      <c r="CD40" s="217"/>
      <c r="CE40" s="217"/>
      <c r="CF40" s="205">
        <f t="shared" si="17"/>
        <v>1</v>
      </c>
      <c r="CG40" s="190">
        <f t="shared" si="18"/>
        <v>33.33333333</v>
      </c>
      <c r="CH40" s="237"/>
      <c r="CI40" s="161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08">
        <f t="shared" si="19"/>
        <v>0</v>
      </c>
      <c r="CU40" s="194" t="str">
        <f t="shared" si="20"/>
        <v>#DIV/0!</v>
      </c>
      <c r="CV40" s="196"/>
      <c r="CW40" s="167">
        <f t="shared" si="21"/>
        <v>28.57142857</v>
      </c>
      <c r="CX40" s="169">
        <f t="shared" si="6"/>
        <v>4</v>
      </c>
      <c r="CY40" s="197"/>
    </row>
    <row r="41" ht="15.75" customHeight="1">
      <c r="A41" s="172">
        <v>32.0</v>
      </c>
      <c r="B41" s="188" t="s">
        <v>109</v>
      </c>
      <c r="C41" s="216" t="s">
        <v>110</v>
      </c>
      <c r="D41" s="125">
        <f t="shared" si="7"/>
        <v>2</v>
      </c>
      <c r="E41" s="127">
        <f t="shared" si="8"/>
        <v>14.28571429</v>
      </c>
      <c r="F41" s="200">
        <f t="shared" si="9"/>
        <v>14.28571429</v>
      </c>
      <c r="G41" s="220">
        <f t="shared" si="10"/>
        <v>14.28571429</v>
      </c>
      <c r="H41" s="242"/>
      <c r="I41" s="195"/>
      <c r="J41" s="195"/>
      <c r="K41" s="138"/>
      <c r="L41" s="180"/>
      <c r="M41" s="179"/>
      <c r="N41" s="180"/>
      <c r="O41" s="180"/>
      <c r="P41" s="180"/>
      <c r="Q41" s="180"/>
      <c r="R41" s="147">
        <f t="shared" si="11"/>
        <v>0</v>
      </c>
      <c r="S41" s="198">
        <f t="shared" si="12"/>
        <v>0</v>
      </c>
      <c r="T41" s="230"/>
      <c r="U41" s="209"/>
      <c r="V41" s="209"/>
      <c r="W41" s="209"/>
      <c r="X41" s="209"/>
      <c r="Y41" s="209"/>
      <c r="Z41" s="225">
        <v>1.0</v>
      </c>
      <c r="AA41" s="209"/>
      <c r="AB41" s="209"/>
      <c r="AC41" s="138"/>
      <c r="AD41" s="209"/>
      <c r="AE41" s="209"/>
      <c r="AF41" s="209"/>
      <c r="AG41" s="209"/>
      <c r="AH41" s="209"/>
      <c r="AI41" s="209"/>
      <c r="AJ41" s="209"/>
      <c r="AK41" s="210"/>
      <c r="AL41" s="147">
        <f t="shared" si="13"/>
        <v>1</v>
      </c>
      <c r="AM41" s="202">
        <f t="shared" si="14"/>
        <v>20</v>
      </c>
      <c r="AN41" s="230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10"/>
      <c r="BF41" s="210"/>
      <c r="BG41" s="210"/>
      <c r="BH41" s="210"/>
      <c r="BI41" s="162">
        <f t="shared" si="15"/>
        <v>0</v>
      </c>
      <c r="BJ41" s="204">
        <f t="shared" si="16"/>
        <v>0</v>
      </c>
      <c r="BK41" s="230"/>
      <c r="BL41" s="209"/>
      <c r="BM41" s="209"/>
      <c r="BN41" s="209"/>
      <c r="BO41" s="209"/>
      <c r="BP41" s="225">
        <v>1.0</v>
      </c>
      <c r="BQ41" s="209"/>
      <c r="BR41" s="209"/>
      <c r="BS41" s="209"/>
      <c r="BT41" s="209"/>
      <c r="BU41" s="209"/>
      <c r="BV41" s="209"/>
      <c r="BW41" s="209"/>
      <c r="BX41" s="209"/>
      <c r="BY41" s="217"/>
      <c r="BZ41" s="217"/>
      <c r="CA41" s="217"/>
      <c r="CB41" s="217"/>
      <c r="CC41" s="217"/>
      <c r="CD41" s="217"/>
      <c r="CE41" s="217"/>
      <c r="CF41" s="205">
        <f t="shared" si="17"/>
        <v>1</v>
      </c>
      <c r="CG41" s="190">
        <f t="shared" si="18"/>
        <v>33.33333333</v>
      </c>
      <c r="CH41" s="237"/>
      <c r="CI41" s="161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08">
        <f t="shared" si="19"/>
        <v>0</v>
      </c>
      <c r="CU41" s="194" t="str">
        <f t="shared" si="20"/>
        <v>#DIV/0!</v>
      </c>
      <c r="CV41" s="196"/>
      <c r="CW41" s="167">
        <f t="shared" si="21"/>
        <v>14.28571429</v>
      </c>
      <c r="CX41" s="169">
        <f t="shared" si="6"/>
        <v>2</v>
      </c>
      <c r="CY41" s="197"/>
    </row>
    <row r="42" ht="15.75" customHeight="1">
      <c r="A42" s="122">
        <v>33.0</v>
      </c>
      <c r="B42" s="188" t="s">
        <v>111</v>
      </c>
      <c r="C42" s="216" t="s">
        <v>112</v>
      </c>
      <c r="D42" s="125">
        <f t="shared" si="7"/>
        <v>3</v>
      </c>
      <c r="E42" s="127">
        <f t="shared" si="8"/>
        <v>21.42857143</v>
      </c>
      <c r="F42" s="200">
        <f t="shared" si="9"/>
        <v>21.42857143</v>
      </c>
      <c r="G42" s="220">
        <f t="shared" si="10"/>
        <v>21.42857143</v>
      </c>
      <c r="H42" s="180"/>
      <c r="I42" s="138"/>
      <c r="J42" s="138"/>
      <c r="K42" s="195"/>
      <c r="L42" s="242"/>
      <c r="M42" s="201"/>
      <c r="N42" s="242"/>
      <c r="O42" s="242"/>
      <c r="P42" s="242"/>
      <c r="Q42" s="242"/>
      <c r="R42" s="147">
        <f t="shared" si="11"/>
        <v>0</v>
      </c>
      <c r="S42" s="198">
        <f t="shared" si="12"/>
        <v>0</v>
      </c>
      <c r="T42" s="230"/>
      <c r="U42" s="209"/>
      <c r="V42" s="209"/>
      <c r="W42" s="209"/>
      <c r="X42" s="209"/>
      <c r="Y42" s="225">
        <v>1.0</v>
      </c>
      <c r="Z42" s="209"/>
      <c r="AA42" s="209"/>
      <c r="AB42" s="209"/>
      <c r="AC42" s="138"/>
      <c r="AD42" s="209"/>
      <c r="AE42" s="209"/>
      <c r="AF42" s="209"/>
      <c r="AG42" s="209"/>
      <c r="AH42" s="209"/>
      <c r="AI42" s="209"/>
      <c r="AJ42" s="209"/>
      <c r="AK42" s="210"/>
      <c r="AL42" s="147">
        <f t="shared" si="13"/>
        <v>1</v>
      </c>
      <c r="AM42" s="202">
        <f t="shared" si="14"/>
        <v>20</v>
      </c>
      <c r="AN42" s="230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10"/>
      <c r="BF42" s="210"/>
      <c r="BG42" s="210"/>
      <c r="BH42" s="210"/>
      <c r="BI42" s="162">
        <f t="shared" si="15"/>
        <v>0</v>
      </c>
      <c r="BJ42" s="204">
        <f t="shared" si="16"/>
        <v>0</v>
      </c>
      <c r="BK42" s="230"/>
      <c r="BL42" s="209"/>
      <c r="BM42" s="209"/>
      <c r="BN42" s="225">
        <v>1.0</v>
      </c>
      <c r="BO42" s="209"/>
      <c r="BP42" s="225">
        <v>1.0</v>
      </c>
      <c r="BQ42" s="209"/>
      <c r="BR42" s="209"/>
      <c r="BS42" s="209"/>
      <c r="BT42" s="209"/>
      <c r="BU42" s="209"/>
      <c r="BV42" s="209"/>
      <c r="BW42" s="209"/>
      <c r="BX42" s="209"/>
      <c r="BY42" s="217"/>
      <c r="BZ42" s="217"/>
      <c r="CA42" s="217"/>
      <c r="CB42" s="217"/>
      <c r="CC42" s="217"/>
      <c r="CD42" s="217"/>
      <c r="CE42" s="217"/>
      <c r="CF42" s="205">
        <f t="shared" si="17"/>
        <v>2</v>
      </c>
      <c r="CG42" s="190">
        <f t="shared" si="18"/>
        <v>66.66666667</v>
      </c>
      <c r="CH42" s="237"/>
      <c r="CI42" s="161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08">
        <f t="shared" si="19"/>
        <v>0</v>
      </c>
      <c r="CU42" s="194" t="str">
        <f t="shared" si="20"/>
        <v>#DIV/0!</v>
      </c>
      <c r="CV42" s="196"/>
      <c r="CW42" s="167">
        <f t="shared" si="21"/>
        <v>21.42857143</v>
      </c>
      <c r="CX42" s="169">
        <f t="shared" si="6"/>
        <v>3</v>
      </c>
      <c r="CY42" s="197"/>
    </row>
    <row r="43" ht="15.75" customHeight="1">
      <c r="A43" s="172">
        <v>34.0</v>
      </c>
      <c r="B43" s="188" t="s">
        <v>113</v>
      </c>
      <c r="C43" s="216" t="s">
        <v>114</v>
      </c>
      <c r="D43" s="125">
        <f t="shared" si="7"/>
        <v>4</v>
      </c>
      <c r="E43" s="127">
        <f t="shared" si="8"/>
        <v>28.57142857</v>
      </c>
      <c r="F43" s="200">
        <f t="shared" si="9"/>
        <v>28.57142857</v>
      </c>
      <c r="G43" s="220">
        <f t="shared" si="10"/>
        <v>28.57142857</v>
      </c>
      <c r="H43" s="180"/>
      <c r="I43" s="138"/>
      <c r="J43" s="152"/>
      <c r="K43" s="138"/>
      <c r="L43" s="180"/>
      <c r="M43" s="201"/>
      <c r="N43" s="180"/>
      <c r="O43" s="180"/>
      <c r="P43" s="180"/>
      <c r="Q43" s="180"/>
      <c r="R43" s="147">
        <f t="shared" si="11"/>
        <v>0</v>
      </c>
      <c r="S43" s="198">
        <f t="shared" si="12"/>
        <v>0</v>
      </c>
      <c r="T43" s="237"/>
      <c r="U43" s="217"/>
      <c r="V43" s="217"/>
      <c r="W43" s="217"/>
      <c r="X43" s="217"/>
      <c r="Y43" s="235">
        <v>1.0</v>
      </c>
      <c r="Z43" s="217"/>
      <c r="AA43" s="217"/>
      <c r="AB43" s="217"/>
      <c r="AC43" s="138"/>
      <c r="AD43" s="217"/>
      <c r="AE43" s="217"/>
      <c r="AF43" s="217"/>
      <c r="AG43" s="217"/>
      <c r="AH43" s="217"/>
      <c r="AI43" s="217"/>
      <c r="AJ43" s="217"/>
      <c r="AK43" s="226"/>
      <c r="AL43" s="147">
        <f t="shared" si="13"/>
        <v>1</v>
      </c>
      <c r="AM43" s="202">
        <f t="shared" si="14"/>
        <v>20</v>
      </c>
      <c r="AN43" s="23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26"/>
      <c r="BF43" s="226"/>
      <c r="BG43" s="238">
        <v>1.0</v>
      </c>
      <c r="BH43" s="226"/>
      <c r="BI43" s="162">
        <f t="shared" si="15"/>
        <v>1</v>
      </c>
      <c r="BJ43" s="204">
        <f t="shared" si="16"/>
        <v>25</v>
      </c>
      <c r="BK43" s="237"/>
      <c r="BL43" s="217"/>
      <c r="BM43" s="217"/>
      <c r="BN43" s="235">
        <v>1.0</v>
      </c>
      <c r="BO43" s="217"/>
      <c r="BP43" s="235">
        <v>1.0</v>
      </c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05">
        <f t="shared" si="17"/>
        <v>2</v>
      </c>
      <c r="CG43" s="190">
        <f t="shared" si="18"/>
        <v>66.66666667</v>
      </c>
      <c r="CH43" s="237"/>
      <c r="CI43" s="161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08">
        <f t="shared" si="19"/>
        <v>0</v>
      </c>
      <c r="CU43" s="194" t="str">
        <f t="shared" si="20"/>
        <v>#DIV/0!</v>
      </c>
      <c r="CV43" s="196"/>
      <c r="CW43" s="167">
        <f t="shared" si="21"/>
        <v>28.57142857</v>
      </c>
      <c r="CX43" s="169">
        <f t="shared" si="6"/>
        <v>4</v>
      </c>
      <c r="CY43" s="197"/>
    </row>
    <row r="44" ht="15.75" customHeight="1">
      <c r="A44" s="122">
        <v>35.0</v>
      </c>
      <c r="B44" s="188" t="s">
        <v>115</v>
      </c>
      <c r="C44" s="216" t="s">
        <v>116</v>
      </c>
      <c r="D44" s="125">
        <f t="shared" si="7"/>
        <v>5</v>
      </c>
      <c r="E44" s="127">
        <f t="shared" si="8"/>
        <v>35.71428571</v>
      </c>
      <c r="F44" s="200">
        <f t="shared" si="9"/>
        <v>35.71428571</v>
      </c>
      <c r="G44" s="193" t="str">
        <f t="shared" si="10"/>
        <v>  </v>
      </c>
      <c r="H44" s="180"/>
      <c r="I44" s="138"/>
      <c r="J44" s="138"/>
      <c r="K44" s="138"/>
      <c r="L44" s="180"/>
      <c r="M44" s="245">
        <v>1.0</v>
      </c>
      <c r="N44" s="180"/>
      <c r="O44" s="180"/>
      <c r="P44" s="180"/>
      <c r="Q44" s="180"/>
      <c r="R44" s="147">
        <f t="shared" si="11"/>
        <v>1</v>
      </c>
      <c r="S44" s="198">
        <f t="shared" si="12"/>
        <v>50</v>
      </c>
      <c r="T44" s="237"/>
      <c r="U44" s="217"/>
      <c r="V44" s="217"/>
      <c r="W44" s="217"/>
      <c r="X44" s="217"/>
      <c r="Y44" s="235">
        <v>1.0</v>
      </c>
      <c r="Z44" s="217"/>
      <c r="AA44" s="217"/>
      <c r="AB44" s="217"/>
      <c r="AC44" s="138"/>
      <c r="AD44" s="235">
        <v>1.0</v>
      </c>
      <c r="AE44" s="217"/>
      <c r="AF44" s="217"/>
      <c r="AG44" s="217"/>
      <c r="AH44" s="217"/>
      <c r="AI44" s="217"/>
      <c r="AJ44" s="217"/>
      <c r="AK44" s="226"/>
      <c r="AL44" s="147">
        <f t="shared" si="13"/>
        <v>2</v>
      </c>
      <c r="AM44" s="202">
        <f t="shared" si="14"/>
        <v>40</v>
      </c>
      <c r="AN44" s="23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26"/>
      <c r="BF44" s="226"/>
      <c r="BG44" s="238">
        <v>1.0</v>
      </c>
      <c r="BH44" s="238">
        <v>1.0</v>
      </c>
      <c r="BI44" s="162">
        <f t="shared" si="15"/>
        <v>2</v>
      </c>
      <c r="BJ44" s="204">
        <f t="shared" si="16"/>
        <v>50</v>
      </c>
      <c r="BK44" s="23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05">
        <f t="shared" si="17"/>
        <v>0</v>
      </c>
      <c r="CG44" s="190">
        <f t="shared" si="18"/>
        <v>0</v>
      </c>
      <c r="CH44" s="237"/>
      <c r="CI44" s="161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08">
        <f t="shared" si="19"/>
        <v>0</v>
      </c>
      <c r="CU44" s="194" t="str">
        <f t="shared" si="20"/>
        <v>#DIV/0!</v>
      </c>
      <c r="CV44" s="196"/>
      <c r="CW44" s="167">
        <f t="shared" si="21"/>
        <v>35.71428571</v>
      </c>
      <c r="CX44" s="169">
        <f t="shared" si="6"/>
        <v>5</v>
      </c>
      <c r="CY44" s="197"/>
    </row>
    <row r="45" ht="15.75" customHeight="1">
      <c r="A45" s="122">
        <v>36.0</v>
      </c>
      <c r="B45" s="188" t="s">
        <v>117</v>
      </c>
      <c r="C45" s="216" t="s">
        <v>118</v>
      </c>
      <c r="D45" s="125">
        <f t="shared" si="7"/>
        <v>0</v>
      </c>
      <c r="E45" s="127">
        <f t="shared" si="8"/>
        <v>0</v>
      </c>
      <c r="F45" s="200">
        <f t="shared" si="9"/>
        <v>0</v>
      </c>
      <c r="G45" s="220">
        <f t="shared" si="10"/>
        <v>0</v>
      </c>
      <c r="H45" s="180"/>
      <c r="I45" s="138"/>
      <c r="J45" s="152"/>
      <c r="K45" s="138"/>
      <c r="L45" s="180"/>
      <c r="M45" s="201"/>
      <c r="N45" s="180"/>
      <c r="O45" s="180"/>
      <c r="P45" s="180"/>
      <c r="Q45" s="180"/>
      <c r="R45" s="147">
        <f t="shared" si="11"/>
        <v>0</v>
      </c>
      <c r="S45" s="198">
        <f t="shared" si="12"/>
        <v>0</v>
      </c>
      <c r="T45" s="230"/>
      <c r="U45" s="209"/>
      <c r="V45" s="209"/>
      <c r="W45" s="209"/>
      <c r="X45" s="209"/>
      <c r="Y45" s="209"/>
      <c r="Z45" s="209"/>
      <c r="AA45" s="209"/>
      <c r="AB45" s="209"/>
      <c r="AC45" s="138"/>
      <c r="AD45" s="209"/>
      <c r="AE45" s="209"/>
      <c r="AF45" s="209"/>
      <c r="AG45" s="209"/>
      <c r="AH45" s="209"/>
      <c r="AI45" s="209"/>
      <c r="AJ45" s="209"/>
      <c r="AK45" s="210"/>
      <c r="AL45" s="147">
        <f t="shared" si="13"/>
        <v>0</v>
      </c>
      <c r="AM45" s="202">
        <f t="shared" si="14"/>
        <v>0</v>
      </c>
      <c r="AN45" s="230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  <c r="BA45" s="209"/>
      <c r="BB45" s="209"/>
      <c r="BC45" s="209"/>
      <c r="BD45" s="209"/>
      <c r="BE45" s="210"/>
      <c r="BF45" s="210"/>
      <c r="BG45" s="210"/>
      <c r="BH45" s="210"/>
      <c r="BI45" s="162">
        <f t="shared" si="15"/>
        <v>0</v>
      </c>
      <c r="BJ45" s="204">
        <f t="shared" si="16"/>
        <v>0</v>
      </c>
      <c r="BK45" s="230"/>
      <c r="BL45" s="209"/>
      <c r="BM45" s="209"/>
      <c r="BN45" s="209"/>
      <c r="BO45" s="209"/>
      <c r="BP45" s="209"/>
      <c r="BQ45" s="209"/>
      <c r="BR45" s="209"/>
      <c r="BS45" s="209"/>
      <c r="BT45" s="209"/>
      <c r="BU45" s="209"/>
      <c r="BV45" s="209"/>
      <c r="BW45" s="209"/>
      <c r="BX45" s="209"/>
      <c r="BY45" s="217"/>
      <c r="BZ45" s="217"/>
      <c r="CA45" s="217"/>
      <c r="CB45" s="217"/>
      <c r="CC45" s="217"/>
      <c r="CD45" s="217"/>
      <c r="CE45" s="217"/>
      <c r="CF45" s="205">
        <f t="shared" si="17"/>
        <v>0</v>
      </c>
      <c r="CG45" s="190">
        <f t="shared" si="18"/>
        <v>0</v>
      </c>
      <c r="CH45" s="237"/>
      <c r="CI45" s="161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08">
        <f t="shared" si="19"/>
        <v>0</v>
      </c>
      <c r="CU45" s="194" t="str">
        <f t="shared" si="20"/>
        <v>#DIV/0!</v>
      </c>
      <c r="CV45" s="196"/>
      <c r="CW45" s="167"/>
      <c r="CX45" s="169"/>
      <c r="CY45" s="197"/>
    </row>
    <row r="46" ht="15.75" customHeight="1">
      <c r="A46" s="172">
        <v>37.0</v>
      </c>
      <c r="B46" s="188" t="s">
        <v>119</v>
      </c>
      <c r="C46" s="216" t="s">
        <v>120</v>
      </c>
      <c r="D46" s="125">
        <f t="shared" si="7"/>
        <v>5</v>
      </c>
      <c r="E46" s="127">
        <f t="shared" si="8"/>
        <v>35.71428571</v>
      </c>
      <c r="F46" s="200">
        <f t="shared" si="9"/>
        <v>35.71428571</v>
      </c>
      <c r="G46" s="220" t="str">
        <f t="shared" si="10"/>
        <v>  </v>
      </c>
      <c r="H46" s="180"/>
      <c r="I46" s="138"/>
      <c r="J46" s="152"/>
      <c r="K46" s="138"/>
      <c r="L46" s="180"/>
      <c r="M46" s="245">
        <v>1.0</v>
      </c>
      <c r="N46" s="180"/>
      <c r="O46" s="180"/>
      <c r="P46" s="180"/>
      <c r="Q46" s="180"/>
      <c r="R46" s="147">
        <f t="shared" si="11"/>
        <v>1</v>
      </c>
      <c r="S46" s="198">
        <f t="shared" si="12"/>
        <v>50</v>
      </c>
      <c r="T46" s="230"/>
      <c r="U46" s="209"/>
      <c r="V46" s="209"/>
      <c r="W46" s="209"/>
      <c r="X46" s="209"/>
      <c r="Y46" s="209"/>
      <c r="Z46" s="209"/>
      <c r="AA46" s="209"/>
      <c r="AB46" s="209"/>
      <c r="AC46" s="138"/>
      <c r="AD46" s="209"/>
      <c r="AE46" s="225">
        <v>1.0</v>
      </c>
      <c r="AF46" s="209"/>
      <c r="AG46" s="209"/>
      <c r="AH46" s="209"/>
      <c r="AI46" s="209"/>
      <c r="AJ46" s="209"/>
      <c r="AK46" s="210"/>
      <c r="AL46" s="147">
        <f t="shared" si="13"/>
        <v>1</v>
      </c>
      <c r="AM46" s="202">
        <f t="shared" si="14"/>
        <v>20</v>
      </c>
      <c r="AN46" s="230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10"/>
      <c r="BF46" s="210"/>
      <c r="BG46" s="210"/>
      <c r="BH46" s="211">
        <v>1.0</v>
      </c>
      <c r="BI46" s="162">
        <f t="shared" si="15"/>
        <v>1</v>
      </c>
      <c r="BJ46" s="204">
        <f t="shared" si="16"/>
        <v>25</v>
      </c>
      <c r="BK46" s="230"/>
      <c r="BL46" s="209"/>
      <c r="BM46" s="209"/>
      <c r="BN46" s="225">
        <v>1.0</v>
      </c>
      <c r="BO46" s="209"/>
      <c r="BP46" s="225">
        <v>1.0</v>
      </c>
      <c r="BQ46" s="209"/>
      <c r="BR46" s="209"/>
      <c r="BS46" s="209"/>
      <c r="BT46" s="209"/>
      <c r="BU46" s="209"/>
      <c r="BV46" s="209"/>
      <c r="BW46" s="209"/>
      <c r="BX46" s="209"/>
      <c r="BY46" s="217"/>
      <c r="BZ46" s="217"/>
      <c r="CA46" s="217"/>
      <c r="CB46" s="217"/>
      <c r="CC46" s="217"/>
      <c r="CD46" s="217"/>
      <c r="CE46" s="217"/>
      <c r="CF46" s="205">
        <f t="shared" si="17"/>
        <v>2</v>
      </c>
      <c r="CG46" s="190">
        <f t="shared" si="18"/>
        <v>66.66666667</v>
      </c>
      <c r="CH46" s="237"/>
      <c r="CI46" s="161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08">
        <f t="shared" si="19"/>
        <v>0</v>
      </c>
      <c r="CU46" s="194" t="str">
        <f t="shared" si="20"/>
        <v>#DIV/0!</v>
      </c>
      <c r="CV46" s="196"/>
      <c r="CW46" s="167"/>
      <c r="CX46" s="169"/>
      <c r="CY46" s="197"/>
    </row>
    <row r="47" ht="15.75" customHeight="1">
      <c r="A47" s="122">
        <v>38.0</v>
      </c>
      <c r="B47" s="188" t="s">
        <v>121</v>
      </c>
      <c r="C47" s="216" t="s">
        <v>122</v>
      </c>
      <c r="D47" s="125">
        <f t="shared" si="7"/>
        <v>10</v>
      </c>
      <c r="E47" s="127">
        <f t="shared" si="8"/>
        <v>71.42857143</v>
      </c>
      <c r="F47" s="175" t="str">
        <f t="shared" si="9"/>
        <v>  </v>
      </c>
      <c r="G47" s="193" t="str">
        <f t="shared" si="10"/>
        <v>  </v>
      </c>
      <c r="H47" s="180"/>
      <c r="I47" s="138"/>
      <c r="J47" s="152"/>
      <c r="K47" s="138"/>
      <c r="L47" s="180"/>
      <c r="M47" s="231"/>
      <c r="N47" s="180"/>
      <c r="O47" s="180"/>
      <c r="P47" s="180"/>
      <c r="Q47" s="180"/>
      <c r="R47" s="147">
        <f t="shared" si="11"/>
        <v>0</v>
      </c>
      <c r="S47" s="198">
        <f t="shared" si="12"/>
        <v>0</v>
      </c>
      <c r="T47" s="230"/>
      <c r="U47" s="209"/>
      <c r="V47" s="209"/>
      <c r="W47" s="209"/>
      <c r="X47" s="209"/>
      <c r="Y47" s="225">
        <v>1.0</v>
      </c>
      <c r="Z47" s="225">
        <v>1.0</v>
      </c>
      <c r="AA47" s="209"/>
      <c r="AB47" s="209"/>
      <c r="AC47" s="138"/>
      <c r="AD47" s="225">
        <v>1.0</v>
      </c>
      <c r="AE47" s="209"/>
      <c r="AF47" s="209"/>
      <c r="AG47" s="209"/>
      <c r="AH47" s="209"/>
      <c r="AI47" s="225">
        <v>1.0</v>
      </c>
      <c r="AJ47" s="209"/>
      <c r="AK47" s="210"/>
      <c r="AL47" s="147">
        <f t="shared" si="13"/>
        <v>4</v>
      </c>
      <c r="AM47" s="202">
        <f t="shared" si="14"/>
        <v>80</v>
      </c>
      <c r="AN47" s="230"/>
      <c r="AO47" s="209"/>
      <c r="AP47" s="209"/>
      <c r="AQ47" s="209"/>
      <c r="AR47" s="209"/>
      <c r="AS47" s="209"/>
      <c r="AT47" s="209"/>
      <c r="AU47" s="209"/>
      <c r="AV47" s="209"/>
      <c r="AW47" s="209"/>
      <c r="AX47" s="225">
        <v>1.0</v>
      </c>
      <c r="AY47" s="209"/>
      <c r="AZ47" s="209"/>
      <c r="BA47" s="209"/>
      <c r="BB47" s="209"/>
      <c r="BC47" s="209"/>
      <c r="BD47" s="209"/>
      <c r="BE47" s="210"/>
      <c r="BF47" s="210"/>
      <c r="BG47" s="211">
        <v>1.0</v>
      </c>
      <c r="BH47" s="211">
        <v>1.0</v>
      </c>
      <c r="BI47" s="162">
        <f t="shared" si="15"/>
        <v>3</v>
      </c>
      <c r="BJ47" s="204">
        <f t="shared" si="16"/>
        <v>75</v>
      </c>
      <c r="BK47" s="230"/>
      <c r="BL47" s="209"/>
      <c r="BM47" s="209"/>
      <c r="BN47" s="225">
        <v>1.0</v>
      </c>
      <c r="BO47" s="209"/>
      <c r="BP47" s="225">
        <v>1.0</v>
      </c>
      <c r="BQ47" s="209"/>
      <c r="BR47" s="209"/>
      <c r="BS47" s="209"/>
      <c r="BT47" s="225">
        <v>1.0</v>
      </c>
      <c r="BU47" s="209"/>
      <c r="BV47" s="209"/>
      <c r="BW47" s="209"/>
      <c r="BX47" s="209"/>
      <c r="BY47" s="217"/>
      <c r="BZ47" s="217"/>
      <c r="CA47" s="217"/>
      <c r="CB47" s="217"/>
      <c r="CC47" s="217"/>
      <c r="CD47" s="217"/>
      <c r="CE47" s="217"/>
      <c r="CF47" s="205">
        <f t="shared" si="17"/>
        <v>3</v>
      </c>
      <c r="CG47" s="190">
        <f t="shared" si="18"/>
        <v>100</v>
      </c>
      <c r="CH47" s="237"/>
      <c r="CI47" s="161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08">
        <f t="shared" si="19"/>
        <v>0</v>
      </c>
      <c r="CU47" s="194" t="str">
        <f t="shared" si="20"/>
        <v>#DIV/0!</v>
      </c>
      <c r="CV47" s="196"/>
      <c r="CW47" s="167">
        <f t="shared" ref="CW47:CW93" si="22">(D47)/D$9*100</f>
        <v>71.42857143</v>
      </c>
      <c r="CX47" s="169">
        <f t="shared" ref="CX47:CX93" si="23">SUM(R47+AL47+BI47+CF47+CT47+CV47)</f>
        <v>10</v>
      </c>
      <c r="CY47" s="197"/>
    </row>
    <row r="48" ht="15.75" customHeight="1">
      <c r="A48" s="122">
        <v>39.0</v>
      </c>
      <c r="B48" s="188" t="s">
        <v>123</v>
      </c>
      <c r="C48" s="216" t="s">
        <v>124</v>
      </c>
      <c r="D48" s="125">
        <f t="shared" si="7"/>
        <v>6</v>
      </c>
      <c r="E48" s="127">
        <f t="shared" si="8"/>
        <v>42.85714286</v>
      </c>
      <c r="F48" s="200">
        <f t="shared" si="9"/>
        <v>42.85714286</v>
      </c>
      <c r="G48" s="220" t="str">
        <f t="shared" si="10"/>
        <v>  </v>
      </c>
      <c r="H48" s="180"/>
      <c r="I48" s="138"/>
      <c r="J48" s="138"/>
      <c r="K48" s="138"/>
      <c r="L48" s="180"/>
      <c r="M48" s="267">
        <v>1.0</v>
      </c>
      <c r="N48" s="180"/>
      <c r="O48" s="180"/>
      <c r="P48" s="180"/>
      <c r="Q48" s="180"/>
      <c r="R48" s="147">
        <f t="shared" si="11"/>
        <v>1</v>
      </c>
      <c r="S48" s="198">
        <f t="shared" ref="S48:S93" si="24">R48/R$48*100</f>
        <v>100</v>
      </c>
      <c r="T48" s="230"/>
      <c r="U48" s="209"/>
      <c r="V48" s="209"/>
      <c r="W48" s="209"/>
      <c r="X48" s="209"/>
      <c r="Y48" s="225">
        <v>1.0</v>
      </c>
      <c r="Z48" s="225">
        <v>1.0</v>
      </c>
      <c r="AA48" s="209"/>
      <c r="AB48" s="209"/>
      <c r="AC48" s="138"/>
      <c r="AD48" s="209"/>
      <c r="AE48" s="209"/>
      <c r="AF48" s="209"/>
      <c r="AG48" s="209"/>
      <c r="AH48" s="209"/>
      <c r="AI48" s="225">
        <v>1.0</v>
      </c>
      <c r="AJ48" s="209"/>
      <c r="AK48" s="210"/>
      <c r="AL48" s="147">
        <f t="shared" si="13"/>
        <v>3</v>
      </c>
      <c r="AM48" s="202">
        <f t="shared" si="14"/>
        <v>60</v>
      </c>
      <c r="AN48" s="230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10"/>
      <c r="BF48" s="210"/>
      <c r="BG48" s="210"/>
      <c r="BH48" s="210"/>
      <c r="BI48" s="162">
        <f t="shared" si="15"/>
        <v>0</v>
      </c>
      <c r="BJ48" s="204">
        <f t="shared" si="16"/>
        <v>0</v>
      </c>
      <c r="BK48" s="230"/>
      <c r="BL48" s="209"/>
      <c r="BM48" s="209"/>
      <c r="BN48" s="225">
        <v>1.0</v>
      </c>
      <c r="BO48" s="209"/>
      <c r="BP48" s="225">
        <v>1.0</v>
      </c>
      <c r="BQ48" s="209"/>
      <c r="BR48" s="209"/>
      <c r="BS48" s="209"/>
      <c r="BT48" s="209"/>
      <c r="BU48" s="209"/>
      <c r="BV48" s="209"/>
      <c r="BW48" s="209"/>
      <c r="BX48" s="209"/>
      <c r="BY48" s="217"/>
      <c r="BZ48" s="217"/>
      <c r="CA48" s="217"/>
      <c r="CB48" s="217"/>
      <c r="CC48" s="217"/>
      <c r="CD48" s="217"/>
      <c r="CE48" s="217"/>
      <c r="CF48" s="205">
        <f t="shared" si="17"/>
        <v>2</v>
      </c>
      <c r="CG48" s="190">
        <f t="shared" si="18"/>
        <v>66.66666667</v>
      </c>
      <c r="CH48" s="237"/>
      <c r="CI48" s="161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08">
        <f t="shared" si="19"/>
        <v>0</v>
      </c>
      <c r="CU48" s="194" t="str">
        <f t="shared" si="20"/>
        <v>#DIV/0!</v>
      </c>
      <c r="CV48" s="196"/>
      <c r="CW48" s="167">
        <f t="shared" si="22"/>
        <v>42.85714286</v>
      </c>
      <c r="CX48" s="169">
        <f t="shared" si="23"/>
        <v>6</v>
      </c>
      <c r="CY48" s="197"/>
    </row>
    <row r="49" ht="15.75" customHeight="1">
      <c r="A49" s="172">
        <v>40.0</v>
      </c>
      <c r="B49" s="188" t="s">
        <v>125</v>
      </c>
      <c r="C49" s="216" t="s">
        <v>126</v>
      </c>
      <c r="D49" s="125">
        <f t="shared" si="7"/>
        <v>6</v>
      </c>
      <c r="E49" s="127">
        <f t="shared" si="8"/>
        <v>42.85714286</v>
      </c>
      <c r="F49" s="200">
        <f t="shared" si="9"/>
        <v>42.85714286</v>
      </c>
      <c r="G49" s="220" t="str">
        <f t="shared" si="10"/>
        <v>  </v>
      </c>
      <c r="H49" s="242"/>
      <c r="I49" s="152"/>
      <c r="J49" s="152"/>
      <c r="K49" s="138"/>
      <c r="L49" s="180"/>
      <c r="M49" s="269">
        <v>1.0</v>
      </c>
      <c r="N49" s="180"/>
      <c r="O49" s="180"/>
      <c r="P49" s="180"/>
      <c r="Q49" s="180"/>
      <c r="R49" s="147">
        <f t="shared" si="11"/>
        <v>1</v>
      </c>
      <c r="S49" s="198">
        <f t="shared" si="24"/>
        <v>100</v>
      </c>
      <c r="T49" s="230"/>
      <c r="U49" s="209"/>
      <c r="V49" s="209"/>
      <c r="W49" s="209"/>
      <c r="X49" s="209"/>
      <c r="Y49" s="225">
        <v>1.0</v>
      </c>
      <c r="Z49" s="225">
        <v>1.0</v>
      </c>
      <c r="AA49" s="209"/>
      <c r="AB49" s="209"/>
      <c r="AC49" s="138"/>
      <c r="AD49" s="209"/>
      <c r="AE49" s="209"/>
      <c r="AF49" s="209"/>
      <c r="AG49" s="209"/>
      <c r="AH49" s="209"/>
      <c r="AI49" s="225">
        <v>1.0</v>
      </c>
      <c r="AJ49" s="209"/>
      <c r="AK49" s="210"/>
      <c r="AL49" s="294">
        <f t="shared" si="13"/>
        <v>3</v>
      </c>
      <c r="AM49" s="202">
        <f t="shared" si="14"/>
        <v>60</v>
      </c>
      <c r="AN49" s="230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94">
        <f t="shared" si="15"/>
        <v>0</v>
      </c>
      <c r="BJ49" s="204">
        <f t="shared" si="16"/>
        <v>0</v>
      </c>
      <c r="BK49" s="230"/>
      <c r="BL49" s="209"/>
      <c r="BM49" s="209"/>
      <c r="BN49" s="225">
        <v>1.0</v>
      </c>
      <c r="BO49" s="209"/>
      <c r="BP49" s="225">
        <v>1.0</v>
      </c>
      <c r="BQ49" s="209"/>
      <c r="BR49" s="209"/>
      <c r="BS49" s="209"/>
      <c r="BT49" s="209"/>
      <c r="BU49" s="209"/>
      <c r="BV49" s="209"/>
      <c r="BW49" s="140"/>
      <c r="BX49" s="209"/>
      <c r="BY49" s="217"/>
      <c r="BZ49" s="217"/>
      <c r="CA49" s="217"/>
      <c r="CB49" s="217"/>
      <c r="CC49" s="217"/>
      <c r="CD49" s="217"/>
      <c r="CE49" s="217"/>
      <c r="CF49" s="205">
        <f t="shared" si="17"/>
        <v>2</v>
      </c>
      <c r="CG49" s="190">
        <f t="shared" si="18"/>
        <v>66.66666667</v>
      </c>
      <c r="CH49" s="237"/>
      <c r="CI49" s="161"/>
      <c r="CJ49" s="217"/>
      <c r="CK49" s="217"/>
      <c r="CL49" s="217"/>
      <c r="CM49" s="217"/>
      <c r="CN49" s="217"/>
      <c r="CO49" s="217"/>
      <c r="CP49" s="217"/>
      <c r="CQ49" s="217"/>
      <c r="CR49" s="217"/>
      <c r="CS49" s="217"/>
      <c r="CT49" s="208">
        <f t="shared" si="19"/>
        <v>0</v>
      </c>
      <c r="CU49" s="194" t="str">
        <f t="shared" si="20"/>
        <v>#DIV/0!</v>
      </c>
      <c r="CV49" s="196"/>
      <c r="CW49" s="167">
        <f t="shared" si="22"/>
        <v>42.85714286</v>
      </c>
      <c r="CX49" s="169">
        <f t="shared" si="23"/>
        <v>6</v>
      </c>
      <c r="CY49" s="197"/>
    </row>
    <row r="50" ht="15.75" customHeight="1">
      <c r="A50" s="122">
        <v>41.0</v>
      </c>
      <c r="B50" s="188" t="s">
        <v>127</v>
      </c>
      <c r="C50" s="216" t="s">
        <v>128</v>
      </c>
      <c r="D50" s="125">
        <f t="shared" si="7"/>
        <v>3</v>
      </c>
      <c r="E50" s="127">
        <f t="shared" si="8"/>
        <v>21.42857143</v>
      </c>
      <c r="F50" s="200">
        <f t="shared" si="9"/>
        <v>21.42857143</v>
      </c>
      <c r="G50" s="220">
        <f t="shared" si="10"/>
        <v>21.42857143</v>
      </c>
      <c r="H50" s="230"/>
      <c r="I50" s="247"/>
      <c r="J50" s="233"/>
      <c r="K50" s="209"/>
      <c r="L50" s="210"/>
      <c r="M50" s="270">
        <v>1.0</v>
      </c>
      <c r="N50" s="210"/>
      <c r="O50" s="210"/>
      <c r="P50" s="210"/>
      <c r="Q50" s="210"/>
      <c r="R50" s="147">
        <f t="shared" si="11"/>
        <v>1</v>
      </c>
      <c r="S50" s="198">
        <f t="shared" si="24"/>
        <v>100</v>
      </c>
      <c r="T50" s="230"/>
      <c r="U50" s="209"/>
      <c r="V50" s="209"/>
      <c r="W50" s="209"/>
      <c r="X50" s="209"/>
      <c r="Y50" s="225">
        <v>1.0</v>
      </c>
      <c r="Z50" s="209"/>
      <c r="AA50" s="209"/>
      <c r="AB50" s="209"/>
      <c r="AC50" s="138"/>
      <c r="AD50" s="209"/>
      <c r="AE50" s="209"/>
      <c r="AF50" s="209"/>
      <c r="AG50" s="209"/>
      <c r="AH50" s="209"/>
      <c r="AI50" s="209"/>
      <c r="AJ50" s="209"/>
      <c r="AK50" s="210"/>
      <c r="AL50" s="294">
        <f t="shared" si="13"/>
        <v>1</v>
      </c>
      <c r="AM50" s="202">
        <f t="shared" si="14"/>
        <v>20</v>
      </c>
      <c r="AN50" s="230"/>
      <c r="AO50" s="209"/>
      <c r="AP50" s="209"/>
      <c r="AQ50" s="209"/>
      <c r="AR50" s="217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94">
        <f t="shared" si="15"/>
        <v>0</v>
      </c>
      <c r="BJ50" s="204">
        <f t="shared" si="16"/>
        <v>0</v>
      </c>
      <c r="BK50" s="230"/>
      <c r="BL50" s="209"/>
      <c r="BM50" s="209"/>
      <c r="BN50" s="209"/>
      <c r="BO50" s="209"/>
      <c r="BP50" s="209"/>
      <c r="BQ50" s="209"/>
      <c r="BR50" s="209"/>
      <c r="BS50" s="209"/>
      <c r="BT50" s="225">
        <v>1.0</v>
      </c>
      <c r="BU50" s="209"/>
      <c r="BV50" s="209"/>
      <c r="BW50" s="296"/>
      <c r="BX50" s="209"/>
      <c r="BY50" s="217"/>
      <c r="BZ50" s="217"/>
      <c r="CA50" s="217"/>
      <c r="CB50" s="217"/>
      <c r="CC50" s="217"/>
      <c r="CD50" s="217"/>
      <c r="CE50" s="217"/>
      <c r="CF50" s="205">
        <f t="shared" si="17"/>
        <v>1</v>
      </c>
      <c r="CG50" s="190">
        <f t="shared" si="18"/>
        <v>33.33333333</v>
      </c>
      <c r="CH50" s="237"/>
      <c r="CI50" s="161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08">
        <f t="shared" si="19"/>
        <v>0</v>
      </c>
      <c r="CU50" s="194" t="str">
        <f t="shared" si="20"/>
        <v>#DIV/0!</v>
      </c>
      <c r="CV50" s="196"/>
      <c r="CW50" s="167">
        <f t="shared" si="22"/>
        <v>21.42857143</v>
      </c>
      <c r="CX50" s="169">
        <f t="shared" si="23"/>
        <v>3</v>
      </c>
      <c r="CY50" s="197"/>
    </row>
    <row r="51" ht="15.75" customHeight="1">
      <c r="A51" s="172">
        <v>42.0</v>
      </c>
      <c r="B51" s="188" t="s">
        <v>129</v>
      </c>
      <c r="C51" s="216" t="s">
        <v>130</v>
      </c>
      <c r="D51" s="125">
        <f t="shared" si="7"/>
        <v>7</v>
      </c>
      <c r="E51" s="127">
        <f t="shared" si="8"/>
        <v>50</v>
      </c>
      <c r="F51" s="200" t="str">
        <f t="shared" si="9"/>
        <v>  </v>
      </c>
      <c r="G51" s="193" t="str">
        <f t="shared" si="10"/>
        <v>  </v>
      </c>
      <c r="H51" s="230"/>
      <c r="I51" s="217"/>
      <c r="J51" s="209"/>
      <c r="K51" s="209"/>
      <c r="L51" s="210"/>
      <c r="M51" s="269">
        <v>1.0</v>
      </c>
      <c r="N51" s="210"/>
      <c r="O51" s="210"/>
      <c r="P51" s="210"/>
      <c r="Q51" s="210"/>
      <c r="R51" s="147">
        <f t="shared" si="11"/>
        <v>1</v>
      </c>
      <c r="S51" s="198">
        <f t="shared" si="24"/>
        <v>100</v>
      </c>
      <c r="T51" s="237"/>
      <c r="U51" s="217"/>
      <c r="V51" s="217"/>
      <c r="W51" s="217"/>
      <c r="X51" s="217"/>
      <c r="Y51" s="217"/>
      <c r="Z51" s="235">
        <v>1.0</v>
      </c>
      <c r="AA51" s="217"/>
      <c r="AB51" s="217"/>
      <c r="AC51" s="138"/>
      <c r="AD51" s="217"/>
      <c r="AE51" s="217"/>
      <c r="AF51" s="217"/>
      <c r="AG51" s="217"/>
      <c r="AH51" s="217"/>
      <c r="AI51" s="235">
        <v>1.0</v>
      </c>
      <c r="AJ51" s="217"/>
      <c r="AK51" s="226"/>
      <c r="AL51" s="294">
        <f t="shared" si="13"/>
        <v>2</v>
      </c>
      <c r="AM51" s="202">
        <f t="shared" si="14"/>
        <v>40</v>
      </c>
      <c r="AN51" s="237"/>
      <c r="AO51" s="217"/>
      <c r="AP51" s="217"/>
      <c r="AQ51" s="217"/>
      <c r="AR51" s="233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35">
        <v>1.0</v>
      </c>
      <c r="BH51" s="235">
        <v>1.0</v>
      </c>
      <c r="BI51" s="294">
        <f t="shared" si="15"/>
        <v>2</v>
      </c>
      <c r="BJ51" s="204">
        <f t="shared" si="16"/>
        <v>50</v>
      </c>
      <c r="BK51" s="237"/>
      <c r="BL51" s="217"/>
      <c r="BM51" s="217"/>
      <c r="BN51" s="217"/>
      <c r="BO51" s="217"/>
      <c r="BP51" s="235">
        <v>1.0</v>
      </c>
      <c r="BQ51" s="217"/>
      <c r="BR51" s="217"/>
      <c r="BS51" s="217"/>
      <c r="BT51" s="235">
        <v>1.0</v>
      </c>
      <c r="BU51" s="217"/>
      <c r="BV51" s="217"/>
      <c r="BW51" s="300"/>
      <c r="BX51" s="217"/>
      <c r="BY51" s="217"/>
      <c r="BZ51" s="217"/>
      <c r="CA51" s="217"/>
      <c r="CB51" s="217"/>
      <c r="CC51" s="217"/>
      <c r="CD51" s="217"/>
      <c r="CE51" s="217"/>
      <c r="CF51" s="205">
        <f t="shared" si="17"/>
        <v>2</v>
      </c>
      <c r="CG51" s="190">
        <f t="shared" si="18"/>
        <v>66.66666667</v>
      </c>
      <c r="CH51" s="237"/>
      <c r="CI51" s="161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08">
        <f t="shared" si="19"/>
        <v>0</v>
      </c>
      <c r="CU51" s="194" t="str">
        <f t="shared" si="20"/>
        <v>#DIV/0!</v>
      </c>
      <c r="CV51" s="196"/>
      <c r="CW51" s="167">
        <f t="shared" si="22"/>
        <v>50</v>
      </c>
      <c r="CX51" s="169">
        <f t="shared" si="23"/>
        <v>7</v>
      </c>
      <c r="CY51" s="197"/>
    </row>
    <row r="52" ht="15.75" customHeight="1">
      <c r="A52" s="172">
        <v>43.0</v>
      </c>
      <c r="B52" s="188" t="s">
        <v>131</v>
      </c>
      <c r="C52" s="216" t="s">
        <v>132</v>
      </c>
      <c r="D52" s="125">
        <f t="shared" si="7"/>
        <v>2</v>
      </c>
      <c r="E52" s="127">
        <f t="shared" si="8"/>
        <v>14.28571429</v>
      </c>
      <c r="F52" s="200">
        <f t="shared" si="9"/>
        <v>14.28571429</v>
      </c>
      <c r="G52" s="220">
        <f t="shared" si="10"/>
        <v>14.28571429</v>
      </c>
      <c r="H52" s="230"/>
      <c r="I52" s="209"/>
      <c r="J52" s="209"/>
      <c r="K52" s="233"/>
      <c r="L52" s="234"/>
      <c r="M52" s="269">
        <v>1.0</v>
      </c>
      <c r="N52" s="234"/>
      <c r="O52" s="234"/>
      <c r="P52" s="234"/>
      <c r="Q52" s="234"/>
      <c r="R52" s="147">
        <f t="shared" si="11"/>
        <v>1</v>
      </c>
      <c r="S52" s="198">
        <f t="shared" si="24"/>
        <v>100</v>
      </c>
      <c r="T52" s="246"/>
      <c r="U52" s="233"/>
      <c r="V52" s="233"/>
      <c r="W52" s="233"/>
      <c r="X52" s="233"/>
      <c r="Y52" s="233"/>
      <c r="Z52" s="244">
        <v>1.0</v>
      </c>
      <c r="AA52" s="233"/>
      <c r="AB52" s="233"/>
      <c r="AC52" s="138"/>
      <c r="AD52" s="233"/>
      <c r="AE52" s="233"/>
      <c r="AF52" s="233"/>
      <c r="AG52" s="233"/>
      <c r="AH52" s="233"/>
      <c r="AI52" s="233"/>
      <c r="AJ52" s="233"/>
      <c r="AK52" s="234"/>
      <c r="AL52" s="294">
        <f t="shared" si="13"/>
        <v>1</v>
      </c>
      <c r="AM52" s="202">
        <f t="shared" si="14"/>
        <v>20</v>
      </c>
      <c r="AN52" s="246"/>
      <c r="AO52" s="233"/>
      <c r="AP52" s="233"/>
      <c r="AQ52" s="233"/>
      <c r="AR52" s="247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94">
        <f t="shared" si="15"/>
        <v>0</v>
      </c>
      <c r="BJ52" s="204">
        <f t="shared" si="16"/>
        <v>0</v>
      </c>
      <c r="BK52" s="246"/>
      <c r="BL52" s="233"/>
      <c r="BM52" s="233"/>
      <c r="BN52" s="233"/>
      <c r="BO52" s="233"/>
      <c r="BP52" s="233"/>
      <c r="BQ52" s="233"/>
      <c r="BR52" s="233"/>
      <c r="BS52" s="233"/>
      <c r="BT52" s="233"/>
      <c r="BU52" s="233"/>
      <c r="BV52" s="233"/>
      <c r="BW52" s="301"/>
      <c r="BX52" s="233"/>
      <c r="BY52" s="217"/>
      <c r="BZ52" s="217"/>
      <c r="CA52" s="217"/>
      <c r="CB52" s="217"/>
      <c r="CC52" s="217"/>
      <c r="CD52" s="217"/>
      <c r="CE52" s="217"/>
      <c r="CF52" s="205">
        <f t="shared" si="17"/>
        <v>0</v>
      </c>
      <c r="CG52" s="190">
        <f t="shared" si="18"/>
        <v>0</v>
      </c>
      <c r="CH52" s="237"/>
      <c r="CI52" s="161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08">
        <f t="shared" si="19"/>
        <v>0</v>
      </c>
      <c r="CU52" s="194" t="str">
        <f t="shared" si="20"/>
        <v>#DIV/0!</v>
      </c>
      <c r="CV52" s="196"/>
      <c r="CW52" s="167">
        <f t="shared" si="22"/>
        <v>14.28571429</v>
      </c>
      <c r="CX52" s="169">
        <f t="shared" si="23"/>
        <v>2</v>
      </c>
      <c r="CY52" s="197"/>
    </row>
    <row r="53" ht="15.75" customHeight="1">
      <c r="A53" s="122">
        <v>44.0</v>
      </c>
      <c r="B53" s="188" t="s">
        <v>133</v>
      </c>
      <c r="C53" s="216" t="s">
        <v>134</v>
      </c>
      <c r="D53" s="125">
        <f t="shared" si="7"/>
        <v>5</v>
      </c>
      <c r="E53" s="127">
        <f t="shared" si="8"/>
        <v>35.71428571</v>
      </c>
      <c r="F53" s="200">
        <f t="shared" si="9"/>
        <v>35.71428571</v>
      </c>
      <c r="G53" s="193" t="str">
        <f t="shared" si="10"/>
        <v>  </v>
      </c>
      <c r="H53" s="230"/>
      <c r="I53" s="233"/>
      <c r="J53" s="209"/>
      <c r="K53" s="209"/>
      <c r="L53" s="210"/>
      <c r="M53" s="263"/>
      <c r="N53" s="210"/>
      <c r="O53" s="210"/>
      <c r="P53" s="210"/>
      <c r="Q53" s="210"/>
      <c r="R53" s="147">
        <f t="shared" si="11"/>
        <v>0</v>
      </c>
      <c r="S53" s="198">
        <f t="shared" si="24"/>
        <v>0</v>
      </c>
      <c r="T53" s="255"/>
      <c r="U53" s="247"/>
      <c r="V53" s="247"/>
      <c r="W53" s="247"/>
      <c r="X53" s="247"/>
      <c r="Y53" s="247"/>
      <c r="Z53" s="254">
        <v>1.0</v>
      </c>
      <c r="AA53" s="247"/>
      <c r="AB53" s="247"/>
      <c r="AC53" s="138"/>
      <c r="AD53" s="247"/>
      <c r="AE53" s="254">
        <v>1.0</v>
      </c>
      <c r="AF53" s="247"/>
      <c r="AG53" s="247"/>
      <c r="AH53" s="247"/>
      <c r="AI53" s="247"/>
      <c r="AJ53" s="247"/>
      <c r="AK53" s="248"/>
      <c r="AL53" s="294">
        <f t="shared" si="13"/>
        <v>2</v>
      </c>
      <c r="AM53" s="202">
        <f t="shared" si="14"/>
        <v>40</v>
      </c>
      <c r="AN53" s="255"/>
      <c r="AO53" s="247"/>
      <c r="AP53" s="247"/>
      <c r="AQ53" s="247"/>
      <c r="AR53" s="209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54">
        <v>1.0</v>
      </c>
      <c r="BH53" s="254">
        <v>1.0</v>
      </c>
      <c r="BI53" s="294">
        <f t="shared" si="15"/>
        <v>2</v>
      </c>
      <c r="BJ53" s="204">
        <f t="shared" si="16"/>
        <v>50</v>
      </c>
      <c r="BK53" s="255"/>
      <c r="BL53" s="247"/>
      <c r="BM53" s="247"/>
      <c r="BN53" s="247"/>
      <c r="BO53" s="247"/>
      <c r="BP53" s="254">
        <v>1.0</v>
      </c>
      <c r="BQ53" s="247"/>
      <c r="BR53" s="247"/>
      <c r="BS53" s="247"/>
      <c r="BT53" s="247"/>
      <c r="BU53" s="247"/>
      <c r="BV53" s="247"/>
      <c r="BW53" s="140"/>
      <c r="BX53" s="247"/>
      <c r="BY53" s="217"/>
      <c r="BZ53" s="217"/>
      <c r="CA53" s="217"/>
      <c r="CB53" s="217"/>
      <c r="CC53" s="217"/>
      <c r="CD53" s="217"/>
      <c r="CE53" s="217"/>
      <c r="CF53" s="205">
        <f t="shared" si="17"/>
        <v>1</v>
      </c>
      <c r="CG53" s="190">
        <f t="shared" si="18"/>
        <v>33.33333333</v>
      </c>
      <c r="CH53" s="237"/>
      <c r="CI53" s="161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08">
        <f t="shared" si="19"/>
        <v>0</v>
      </c>
      <c r="CU53" s="194" t="str">
        <f t="shared" si="20"/>
        <v>#DIV/0!</v>
      </c>
      <c r="CV53" s="196"/>
      <c r="CW53" s="167">
        <f t="shared" si="22"/>
        <v>35.71428571</v>
      </c>
      <c r="CX53" s="169">
        <f t="shared" si="23"/>
        <v>5</v>
      </c>
      <c r="CY53" s="197"/>
    </row>
    <row r="54" ht="15.75" customHeight="1">
      <c r="A54" s="172">
        <v>45.0</v>
      </c>
      <c r="B54" s="188" t="s">
        <v>135</v>
      </c>
      <c r="C54" s="216" t="s">
        <v>136</v>
      </c>
      <c r="D54" s="125">
        <f t="shared" si="7"/>
        <v>2</v>
      </c>
      <c r="E54" s="127">
        <f t="shared" si="8"/>
        <v>14.28571429</v>
      </c>
      <c r="F54" s="200">
        <f t="shared" si="9"/>
        <v>14.28571429</v>
      </c>
      <c r="G54" s="220">
        <f t="shared" si="10"/>
        <v>14.28571429</v>
      </c>
      <c r="H54" s="230"/>
      <c r="I54" s="209"/>
      <c r="J54" s="209"/>
      <c r="K54" s="209"/>
      <c r="L54" s="210"/>
      <c r="M54" s="260"/>
      <c r="N54" s="210"/>
      <c r="O54" s="210"/>
      <c r="P54" s="210"/>
      <c r="Q54" s="210"/>
      <c r="R54" s="147">
        <f t="shared" si="11"/>
        <v>0</v>
      </c>
      <c r="S54" s="198">
        <f t="shared" si="24"/>
        <v>0</v>
      </c>
      <c r="T54" s="230"/>
      <c r="U54" s="209"/>
      <c r="V54" s="209"/>
      <c r="W54" s="209"/>
      <c r="X54" s="209"/>
      <c r="Y54" s="209"/>
      <c r="Z54" s="209"/>
      <c r="AA54" s="209"/>
      <c r="AB54" s="209"/>
      <c r="AC54" s="138"/>
      <c r="AD54" s="209"/>
      <c r="AE54" s="209"/>
      <c r="AF54" s="209"/>
      <c r="AG54" s="209"/>
      <c r="AH54" s="209"/>
      <c r="AI54" s="209"/>
      <c r="AJ54" s="209"/>
      <c r="AK54" s="210"/>
      <c r="AL54" s="294">
        <f t="shared" si="13"/>
        <v>0</v>
      </c>
      <c r="AM54" s="202">
        <f t="shared" si="14"/>
        <v>0</v>
      </c>
      <c r="AN54" s="230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94">
        <f t="shared" si="15"/>
        <v>0</v>
      </c>
      <c r="BJ54" s="204">
        <f t="shared" si="16"/>
        <v>0</v>
      </c>
      <c r="BK54" s="230"/>
      <c r="BL54" s="209"/>
      <c r="BM54" s="209"/>
      <c r="BN54" s="225">
        <v>1.0</v>
      </c>
      <c r="BO54" s="209"/>
      <c r="BP54" s="225">
        <v>1.0</v>
      </c>
      <c r="BQ54" s="209"/>
      <c r="BR54" s="209"/>
      <c r="BS54" s="209"/>
      <c r="BT54" s="209"/>
      <c r="BU54" s="209"/>
      <c r="BV54" s="209"/>
      <c r="BW54" s="140"/>
      <c r="BX54" s="209"/>
      <c r="BY54" s="217"/>
      <c r="BZ54" s="217"/>
      <c r="CA54" s="217"/>
      <c r="CB54" s="217"/>
      <c r="CC54" s="217"/>
      <c r="CD54" s="217"/>
      <c r="CE54" s="217"/>
      <c r="CF54" s="205">
        <f t="shared" si="17"/>
        <v>2</v>
      </c>
      <c r="CG54" s="190">
        <f t="shared" si="18"/>
        <v>66.66666667</v>
      </c>
      <c r="CH54" s="237"/>
      <c r="CI54" s="161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08">
        <f t="shared" si="19"/>
        <v>0</v>
      </c>
      <c r="CU54" s="194" t="str">
        <f t="shared" si="20"/>
        <v>#DIV/0!</v>
      </c>
      <c r="CV54" s="196"/>
      <c r="CW54" s="167">
        <f t="shared" si="22"/>
        <v>14.28571429</v>
      </c>
      <c r="CX54" s="169">
        <f t="shared" si="23"/>
        <v>2</v>
      </c>
      <c r="CY54" s="197"/>
    </row>
    <row r="55" ht="15.75" customHeight="1">
      <c r="A55" s="172">
        <v>46.0</v>
      </c>
      <c r="B55" s="188" t="s">
        <v>137</v>
      </c>
      <c r="C55" s="216" t="s">
        <v>138</v>
      </c>
      <c r="D55" s="125">
        <f t="shared" si="7"/>
        <v>2</v>
      </c>
      <c r="E55" s="127">
        <f t="shared" si="8"/>
        <v>14.28571429</v>
      </c>
      <c r="F55" s="200">
        <f t="shared" si="9"/>
        <v>14.28571429</v>
      </c>
      <c r="G55" s="220">
        <f t="shared" si="10"/>
        <v>14.28571429</v>
      </c>
      <c r="H55" s="230"/>
      <c r="I55" s="209"/>
      <c r="J55" s="209"/>
      <c r="K55" s="209"/>
      <c r="L55" s="210"/>
      <c r="M55" s="266"/>
      <c r="N55" s="210"/>
      <c r="O55" s="210"/>
      <c r="P55" s="210"/>
      <c r="Q55" s="210"/>
      <c r="R55" s="147">
        <f t="shared" si="11"/>
        <v>0</v>
      </c>
      <c r="S55" s="198">
        <f t="shared" si="24"/>
        <v>0</v>
      </c>
      <c r="T55" s="230"/>
      <c r="U55" s="209"/>
      <c r="V55" s="209"/>
      <c r="W55" s="209"/>
      <c r="X55" s="209"/>
      <c r="Y55" s="225">
        <v>1.0</v>
      </c>
      <c r="Z55" s="225">
        <v>1.0</v>
      </c>
      <c r="AA55" s="209"/>
      <c r="AB55" s="209"/>
      <c r="AC55" s="138"/>
      <c r="AD55" s="209"/>
      <c r="AE55" s="209"/>
      <c r="AF55" s="209"/>
      <c r="AG55" s="209"/>
      <c r="AH55" s="209"/>
      <c r="AI55" s="209"/>
      <c r="AJ55" s="209"/>
      <c r="AK55" s="210"/>
      <c r="AL55" s="294">
        <f t="shared" si="13"/>
        <v>2</v>
      </c>
      <c r="AM55" s="202">
        <f t="shared" si="14"/>
        <v>40</v>
      </c>
      <c r="AN55" s="230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94">
        <f t="shared" si="15"/>
        <v>0</v>
      </c>
      <c r="BJ55" s="204">
        <f t="shared" si="16"/>
        <v>0</v>
      </c>
      <c r="BK55" s="230"/>
      <c r="BL55" s="209"/>
      <c r="BM55" s="209"/>
      <c r="BN55" s="209"/>
      <c r="BO55" s="209"/>
      <c r="BP55" s="209"/>
      <c r="BQ55" s="209"/>
      <c r="BR55" s="209"/>
      <c r="BS55" s="209"/>
      <c r="BT55" s="209"/>
      <c r="BU55" s="209"/>
      <c r="BV55" s="209"/>
      <c r="BW55" s="140"/>
      <c r="BX55" s="209"/>
      <c r="BY55" s="217"/>
      <c r="BZ55" s="217"/>
      <c r="CA55" s="217"/>
      <c r="CB55" s="217"/>
      <c r="CC55" s="217"/>
      <c r="CD55" s="217"/>
      <c r="CE55" s="217"/>
      <c r="CF55" s="205">
        <f t="shared" si="17"/>
        <v>0</v>
      </c>
      <c r="CG55" s="190">
        <f t="shared" si="18"/>
        <v>0</v>
      </c>
      <c r="CH55" s="237"/>
      <c r="CI55" s="161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08">
        <f t="shared" si="19"/>
        <v>0</v>
      </c>
      <c r="CU55" s="194" t="str">
        <f t="shared" si="20"/>
        <v>#DIV/0!</v>
      </c>
      <c r="CV55" s="196"/>
      <c r="CW55" s="167">
        <f t="shared" si="22"/>
        <v>14.28571429</v>
      </c>
      <c r="CX55" s="169">
        <f t="shared" si="23"/>
        <v>2</v>
      </c>
      <c r="CY55" s="197"/>
    </row>
    <row r="56" ht="15.75" customHeight="1">
      <c r="A56" s="122">
        <v>47.0</v>
      </c>
      <c r="B56" s="188" t="s">
        <v>139</v>
      </c>
      <c r="C56" s="216" t="s">
        <v>140</v>
      </c>
      <c r="D56" s="125">
        <f t="shared" si="7"/>
        <v>4</v>
      </c>
      <c r="E56" s="127">
        <f t="shared" si="8"/>
        <v>28.57142857</v>
      </c>
      <c r="F56" s="200">
        <f t="shared" si="9"/>
        <v>28.57142857</v>
      </c>
      <c r="G56" s="220">
        <f t="shared" si="10"/>
        <v>28.57142857</v>
      </c>
      <c r="H56" s="246"/>
      <c r="I56" s="209"/>
      <c r="J56" s="233"/>
      <c r="K56" s="209"/>
      <c r="L56" s="210"/>
      <c r="M56" s="263"/>
      <c r="N56" s="210"/>
      <c r="O56" s="210"/>
      <c r="P56" s="210"/>
      <c r="Q56" s="210"/>
      <c r="R56" s="147">
        <f t="shared" si="11"/>
        <v>0</v>
      </c>
      <c r="S56" s="198">
        <f t="shared" si="24"/>
        <v>0</v>
      </c>
      <c r="T56" s="230"/>
      <c r="U56" s="209"/>
      <c r="V56" s="209"/>
      <c r="W56" s="209"/>
      <c r="X56" s="209"/>
      <c r="Y56" s="225">
        <v>1.0</v>
      </c>
      <c r="Z56" s="209"/>
      <c r="AA56" s="209"/>
      <c r="AB56" s="209"/>
      <c r="AC56" s="138"/>
      <c r="AD56" s="225">
        <v>1.0</v>
      </c>
      <c r="AE56" s="209"/>
      <c r="AF56" s="209"/>
      <c r="AG56" s="209"/>
      <c r="AH56" s="209"/>
      <c r="AI56" s="209"/>
      <c r="AJ56" s="209"/>
      <c r="AK56" s="210"/>
      <c r="AL56" s="294">
        <f t="shared" si="13"/>
        <v>2</v>
      </c>
      <c r="AM56" s="202">
        <f t="shared" si="14"/>
        <v>40</v>
      </c>
      <c r="AN56" s="230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209"/>
      <c r="BG56" s="209"/>
      <c r="BH56" s="209"/>
      <c r="BI56" s="294">
        <f t="shared" si="15"/>
        <v>0</v>
      </c>
      <c r="BJ56" s="204">
        <f t="shared" si="16"/>
        <v>0</v>
      </c>
      <c r="BK56" s="230"/>
      <c r="BL56" s="209"/>
      <c r="BM56" s="209"/>
      <c r="BN56" s="225">
        <v>1.0</v>
      </c>
      <c r="BO56" s="209"/>
      <c r="BP56" s="209"/>
      <c r="BQ56" s="209"/>
      <c r="BR56" s="209"/>
      <c r="BS56" s="209"/>
      <c r="BT56" s="225">
        <v>1.0</v>
      </c>
      <c r="BU56" s="209"/>
      <c r="BV56" s="209"/>
      <c r="BW56" s="140"/>
      <c r="BX56" s="209"/>
      <c r="BY56" s="217"/>
      <c r="BZ56" s="217"/>
      <c r="CA56" s="217"/>
      <c r="CB56" s="217"/>
      <c r="CC56" s="217"/>
      <c r="CD56" s="217"/>
      <c r="CE56" s="217"/>
      <c r="CF56" s="205">
        <f t="shared" si="17"/>
        <v>2</v>
      </c>
      <c r="CG56" s="190">
        <f t="shared" si="18"/>
        <v>66.66666667</v>
      </c>
      <c r="CH56" s="237"/>
      <c r="CI56" s="161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08">
        <f t="shared" si="19"/>
        <v>0</v>
      </c>
      <c r="CU56" s="194" t="str">
        <f t="shared" si="20"/>
        <v>#DIV/0!</v>
      </c>
      <c r="CV56" s="196"/>
      <c r="CW56" s="167">
        <f t="shared" si="22"/>
        <v>28.57142857</v>
      </c>
      <c r="CX56" s="169">
        <f t="shared" si="23"/>
        <v>4</v>
      </c>
      <c r="CY56" s="197"/>
    </row>
    <row r="57" ht="15.75" customHeight="1">
      <c r="A57" s="172">
        <v>48.0</v>
      </c>
      <c r="B57" s="188" t="s">
        <v>141</v>
      </c>
      <c r="C57" s="216" t="s">
        <v>142</v>
      </c>
      <c r="D57" s="125">
        <f t="shared" si="7"/>
        <v>5</v>
      </c>
      <c r="E57" s="127">
        <f t="shared" si="8"/>
        <v>35.71428571</v>
      </c>
      <c r="F57" s="200">
        <f t="shared" si="9"/>
        <v>35.71428571</v>
      </c>
      <c r="G57" s="220" t="str">
        <f t="shared" si="10"/>
        <v>  </v>
      </c>
      <c r="H57" s="230"/>
      <c r="I57" s="247"/>
      <c r="J57" s="209"/>
      <c r="K57" s="209"/>
      <c r="L57" s="210"/>
      <c r="M57" s="262"/>
      <c r="N57" s="210"/>
      <c r="O57" s="210"/>
      <c r="P57" s="210"/>
      <c r="Q57" s="210"/>
      <c r="R57" s="147">
        <f t="shared" si="11"/>
        <v>0</v>
      </c>
      <c r="S57" s="198">
        <f t="shared" si="24"/>
        <v>0</v>
      </c>
      <c r="T57" s="230"/>
      <c r="U57" s="209"/>
      <c r="V57" s="209"/>
      <c r="W57" s="209"/>
      <c r="X57" s="209"/>
      <c r="Y57" s="225">
        <v>1.0</v>
      </c>
      <c r="Z57" s="225">
        <v>1.0</v>
      </c>
      <c r="AA57" s="209"/>
      <c r="AB57" s="209"/>
      <c r="AC57" s="138"/>
      <c r="AD57" s="225">
        <v>1.0</v>
      </c>
      <c r="AE57" s="209"/>
      <c r="AF57" s="209"/>
      <c r="AG57" s="209"/>
      <c r="AH57" s="209"/>
      <c r="AI57" s="225">
        <v>1.0</v>
      </c>
      <c r="AJ57" s="209"/>
      <c r="AK57" s="210"/>
      <c r="AL57" s="294">
        <f t="shared" si="13"/>
        <v>4</v>
      </c>
      <c r="AM57" s="202">
        <f t="shared" si="14"/>
        <v>80</v>
      </c>
      <c r="AN57" s="230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94">
        <f t="shared" si="15"/>
        <v>0</v>
      </c>
      <c r="BJ57" s="204">
        <f t="shared" si="16"/>
        <v>0</v>
      </c>
      <c r="BK57" s="230"/>
      <c r="BL57" s="209"/>
      <c r="BM57" s="209"/>
      <c r="BN57" s="225">
        <v>1.0</v>
      </c>
      <c r="BO57" s="209"/>
      <c r="BP57" s="209"/>
      <c r="BQ57" s="209"/>
      <c r="BR57" s="209"/>
      <c r="BS57" s="209"/>
      <c r="BT57" s="209"/>
      <c r="BU57" s="209"/>
      <c r="BV57" s="209"/>
      <c r="BW57" s="140"/>
      <c r="BX57" s="209"/>
      <c r="BY57" s="217"/>
      <c r="BZ57" s="217"/>
      <c r="CA57" s="217"/>
      <c r="CB57" s="217"/>
      <c r="CC57" s="217"/>
      <c r="CD57" s="217"/>
      <c r="CE57" s="217"/>
      <c r="CF57" s="205">
        <f t="shared" si="17"/>
        <v>1</v>
      </c>
      <c r="CG57" s="190">
        <f t="shared" si="18"/>
        <v>33.33333333</v>
      </c>
      <c r="CH57" s="237"/>
      <c r="CI57" s="161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08">
        <f t="shared" si="19"/>
        <v>0</v>
      </c>
      <c r="CU57" s="194" t="str">
        <f t="shared" si="20"/>
        <v>#DIV/0!</v>
      </c>
      <c r="CV57" s="196"/>
      <c r="CW57" s="167">
        <f t="shared" si="22"/>
        <v>35.71428571</v>
      </c>
      <c r="CX57" s="169">
        <f t="shared" si="23"/>
        <v>5</v>
      </c>
      <c r="CY57" s="197"/>
    </row>
    <row r="58" ht="15.75" customHeight="1">
      <c r="A58" s="172">
        <v>49.0</v>
      </c>
      <c r="B58" s="188" t="s">
        <v>143</v>
      </c>
      <c r="C58" s="216" t="s">
        <v>144</v>
      </c>
      <c r="D58" s="125">
        <f t="shared" si="7"/>
        <v>9</v>
      </c>
      <c r="E58" s="127">
        <f t="shared" si="8"/>
        <v>64.28571429</v>
      </c>
      <c r="F58" s="200" t="str">
        <f t="shared" si="9"/>
        <v>  </v>
      </c>
      <c r="G58" s="220" t="str">
        <f t="shared" si="10"/>
        <v>  </v>
      </c>
      <c r="H58" s="230"/>
      <c r="I58" s="244">
        <v>1.0</v>
      </c>
      <c r="J58" s="233"/>
      <c r="K58" s="209"/>
      <c r="L58" s="210"/>
      <c r="M58" s="268">
        <v>1.0</v>
      </c>
      <c r="N58" s="210"/>
      <c r="O58" s="210"/>
      <c r="P58" s="210"/>
      <c r="Q58" s="210"/>
      <c r="R58" s="147">
        <f t="shared" si="11"/>
        <v>2</v>
      </c>
      <c r="S58" s="198">
        <f t="shared" si="24"/>
        <v>200</v>
      </c>
      <c r="T58" s="230"/>
      <c r="U58" s="209"/>
      <c r="V58" s="209"/>
      <c r="W58" s="209"/>
      <c r="X58" s="209"/>
      <c r="Y58" s="209"/>
      <c r="Z58" s="209"/>
      <c r="AA58" s="209"/>
      <c r="AB58" s="209"/>
      <c r="AC58" s="138"/>
      <c r="AD58" s="225">
        <v>1.0</v>
      </c>
      <c r="AE58" s="225">
        <v>1.0</v>
      </c>
      <c r="AF58" s="209"/>
      <c r="AG58" s="209"/>
      <c r="AH58" s="209"/>
      <c r="AI58" s="209"/>
      <c r="AJ58" s="209"/>
      <c r="AK58" s="210"/>
      <c r="AL58" s="294">
        <f t="shared" si="13"/>
        <v>2</v>
      </c>
      <c r="AM58" s="202">
        <f t="shared" si="14"/>
        <v>40</v>
      </c>
      <c r="AN58" s="230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209"/>
      <c r="BG58" s="225">
        <v>1.0</v>
      </c>
      <c r="BH58" s="225">
        <v>1.0</v>
      </c>
      <c r="BI58" s="294">
        <f t="shared" si="15"/>
        <v>2</v>
      </c>
      <c r="BJ58" s="204">
        <f t="shared" si="16"/>
        <v>50</v>
      </c>
      <c r="BK58" s="230"/>
      <c r="BL58" s="209"/>
      <c r="BM58" s="209"/>
      <c r="BN58" s="225">
        <v>1.0</v>
      </c>
      <c r="BO58" s="209"/>
      <c r="BP58" s="225">
        <v>1.0</v>
      </c>
      <c r="BQ58" s="209"/>
      <c r="BR58" s="209"/>
      <c r="BS58" s="209"/>
      <c r="BT58" s="225">
        <v>1.0</v>
      </c>
      <c r="BU58" s="209"/>
      <c r="BV58" s="209"/>
      <c r="BW58" s="140"/>
      <c r="BX58" s="209"/>
      <c r="BY58" s="217"/>
      <c r="BZ58" s="217"/>
      <c r="CA58" s="217"/>
      <c r="CB58" s="217"/>
      <c r="CC58" s="217"/>
      <c r="CD58" s="217"/>
      <c r="CE58" s="217"/>
      <c r="CF58" s="205">
        <f t="shared" si="17"/>
        <v>3</v>
      </c>
      <c r="CG58" s="190">
        <f t="shared" si="18"/>
        <v>100</v>
      </c>
      <c r="CH58" s="237"/>
      <c r="CI58" s="161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08">
        <f t="shared" si="19"/>
        <v>0</v>
      </c>
      <c r="CU58" s="194" t="str">
        <f t="shared" si="20"/>
        <v>#DIV/0!</v>
      </c>
      <c r="CV58" s="196"/>
      <c r="CW58" s="167">
        <f t="shared" si="22"/>
        <v>64.28571429</v>
      </c>
      <c r="CX58" s="169">
        <f t="shared" si="23"/>
        <v>9</v>
      </c>
      <c r="CY58" s="197"/>
    </row>
    <row r="59" ht="15.75" customHeight="1">
      <c r="A59" s="122">
        <v>50.0</v>
      </c>
      <c r="B59" s="188" t="s">
        <v>145</v>
      </c>
      <c r="C59" s="216" t="s">
        <v>146</v>
      </c>
      <c r="D59" s="125">
        <f t="shared" si="7"/>
        <v>5</v>
      </c>
      <c r="E59" s="127">
        <f t="shared" si="8"/>
        <v>35.71428571</v>
      </c>
      <c r="F59" s="200">
        <f t="shared" si="9"/>
        <v>35.71428571</v>
      </c>
      <c r="G59" s="193" t="str">
        <f t="shared" si="10"/>
        <v>  </v>
      </c>
      <c r="H59" s="230"/>
      <c r="I59" s="209"/>
      <c r="J59" s="209"/>
      <c r="K59" s="209"/>
      <c r="L59" s="210"/>
      <c r="M59" s="266"/>
      <c r="N59" s="210"/>
      <c r="O59" s="210"/>
      <c r="P59" s="210"/>
      <c r="Q59" s="210"/>
      <c r="R59" s="147">
        <f t="shared" si="11"/>
        <v>0</v>
      </c>
      <c r="S59" s="198">
        <f t="shared" si="24"/>
        <v>0</v>
      </c>
      <c r="T59" s="230"/>
      <c r="U59" s="209"/>
      <c r="V59" s="209"/>
      <c r="W59" s="209"/>
      <c r="X59" s="209"/>
      <c r="Y59" s="225">
        <v>1.0</v>
      </c>
      <c r="Z59" s="225">
        <v>1.0</v>
      </c>
      <c r="AA59" s="209"/>
      <c r="AB59" s="209"/>
      <c r="AC59" s="138"/>
      <c r="AD59" s="209"/>
      <c r="AE59" s="209"/>
      <c r="AF59" s="209"/>
      <c r="AG59" s="209"/>
      <c r="AH59" s="209"/>
      <c r="AI59" s="225">
        <v>1.0</v>
      </c>
      <c r="AJ59" s="209"/>
      <c r="AK59" s="210"/>
      <c r="AL59" s="294">
        <f t="shared" si="13"/>
        <v>3</v>
      </c>
      <c r="AM59" s="202">
        <f t="shared" si="14"/>
        <v>60</v>
      </c>
      <c r="AN59" s="230"/>
      <c r="AO59" s="209"/>
      <c r="AP59" s="209"/>
      <c r="AQ59" s="209"/>
      <c r="AR59" s="217"/>
      <c r="AS59" s="209"/>
      <c r="AT59" s="209"/>
      <c r="AU59" s="209"/>
      <c r="AV59" s="209"/>
      <c r="AW59" s="209"/>
      <c r="AX59" s="209"/>
      <c r="AY59" s="209"/>
      <c r="AZ59" s="209"/>
      <c r="BA59" s="209"/>
      <c r="BB59" s="209"/>
      <c r="BC59" s="209"/>
      <c r="BD59" s="209"/>
      <c r="BE59" s="209"/>
      <c r="BF59" s="209"/>
      <c r="BG59" s="209"/>
      <c r="BH59" s="209"/>
      <c r="BI59" s="294">
        <f t="shared" si="15"/>
        <v>0</v>
      </c>
      <c r="BJ59" s="204">
        <f t="shared" si="16"/>
        <v>0</v>
      </c>
      <c r="BK59" s="230"/>
      <c r="BL59" s="209"/>
      <c r="BM59" s="209"/>
      <c r="BN59" s="225">
        <v>1.0</v>
      </c>
      <c r="BO59" s="209"/>
      <c r="BP59" s="225">
        <v>1.0</v>
      </c>
      <c r="BQ59" s="209"/>
      <c r="BR59" s="209"/>
      <c r="BS59" s="209"/>
      <c r="BT59" s="209"/>
      <c r="BU59" s="209"/>
      <c r="BV59" s="209"/>
      <c r="BW59" s="296"/>
      <c r="BX59" s="209"/>
      <c r="BY59" s="217"/>
      <c r="BZ59" s="217"/>
      <c r="CA59" s="217"/>
      <c r="CB59" s="217"/>
      <c r="CC59" s="217"/>
      <c r="CD59" s="217"/>
      <c r="CE59" s="217"/>
      <c r="CF59" s="205">
        <f t="shared" si="17"/>
        <v>2</v>
      </c>
      <c r="CG59" s="190">
        <f t="shared" si="18"/>
        <v>66.66666667</v>
      </c>
      <c r="CH59" s="237"/>
      <c r="CI59" s="161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08">
        <f t="shared" si="19"/>
        <v>0</v>
      </c>
      <c r="CU59" s="194" t="str">
        <f t="shared" si="20"/>
        <v>#DIV/0!</v>
      </c>
      <c r="CV59" s="196"/>
      <c r="CW59" s="167">
        <f t="shared" si="22"/>
        <v>35.71428571</v>
      </c>
      <c r="CX59" s="169">
        <f t="shared" si="23"/>
        <v>5</v>
      </c>
      <c r="CY59" s="197"/>
    </row>
    <row r="60" ht="15.75" customHeight="1">
      <c r="A60" s="172">
        <v>51.0</v>
      </c>
      <c r="B60" s="188" t="s">
        <v>147</v>
      </c>
      <c r="C60" s="216" t="s">
        <v>148</v>
      </c>
      <c r="D60" s="125">
        <f t="shared" si="7"/>
        <v>6</v>
      </c>
      <c r="E60" s="127">
        <f t="shared" si="8"/>
        <v>42.85714286</v>
      </c>
      <c r="F60" s="200">
        <f t="shared" si="9"/>
        <v>42.85714286</v>
      </c>
      <c r="G60" s="193" t="str">
        <f t="shared" si="10"/>
        <v>  </v>
      </c>
      <c r="H60" s="230"/>
      <c r="I60" s="235">
        <v>1.0</v>
      </c>
      <c r="J60" s="233"/>
      <c r="K60" s="209"/>
      <c r="L60" s="210"/>
      <c r="M60" s="263"/>
      <c r="N60" s="210"/>
      <c r="O60" s="210"/>
      <c r="P60" s="210"/>
      <c r="Q60" s="210"/>
      <c r="R60" s="147">
        <f t="shared" si="11"/>
        <v>1</v>
      </c>
      <c r="S60" s="198">
        <f t="shared" si="24"/>
        <v>100</v>
      </c>
      <c r="T60" s="237"/>
      <c r="U60" s="217"/>
      <c r="V60" s="217"/>
      <c r="W60" s="217"/>
      <c r="X60" s="217"/>
      <c r="Y60" s="235">
        <v>1.0</v>
      </c>
      <c r="Z60" s="217"/>
      <c r="AA60" s="217"/>
      <c r="AB60" s="217"/>
      <c r="AC60" s="138"/>
      <c r="AD60" s="217"/>
      <c r="AE60" s="217"/>
      <c r="AF60" s="217"/>
      <c r="AG60" s="217"/>
      <c r="AH60" s="217"/>
      <c r="AI60" s="217"/>
      <c r="AJ60" s="217"/>
      <c r="AK60" s="226"/>
      <c r="AL60" s="294">
        <f t="shared" si="13"/>
        <v>1</v>
      </c>
      <c r="AM60" s="202">
        <f t="shared" si="14"/>
        <v>20</v>
      </c>
      <c r="AN60" s="23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35">
        <v>1.0</v>
      </c>
      <c r="BH60" s="235">
        <v>1.0</v>
      </c>
      <c r="BI60" s="294">
        <f t="shared" si="15"/>
        <v>2</v>
      </c>
      <c r="BJ60" s="204">
        <f t="shared" si="16"/>
        <v>50</v>
      </c>
      <c r="BK60" s="237"/>
      <c r="BL60" s="217"/>
      <c r="BM60" s="217"/>
      <c r="BN60" s="235">
        <v>1.0</v>
      </c>
      <c r="BO60" s="217"/>
      <c r="BP60" s="235">
        <v>1.0</v>
      </c>
      <c r="BQ60" s="217"/>
      <c r="BR60" s="217"/>
      <c r="BS60" s="217"/>
      <c r="BT60" s="217"/>
      <c r="BU60" s="217"/>
      <c r="BV60" s="217"/>
      <c r="BW60" s="296"/>
      <c r="BX60" s="217"/>
      <c r="BY60" s="217"/>
      <c r="BZ60" s="217"/>
      <c r="CA60" s="217"/>
      <c r="CB60" s="217"/>
      <c r="CC60" s="217"/>
      <c r="CD60" s="217"/>
      <c r="CE60" s="217"/>
      <c r="CF60" s="205">
        <f t="shared" si="17"/>
        <v>2</v>
      </c>
      <c r="CG60" s="190">
        <f t="shared" si="18"/>
        <v>66.66666667</v>
      </c>
      <c r="CH60" s="237"/>
      <c r="CI60" s="161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08">
        <f t="shared" si="19"/>
        <v>0</v>
      </c>
      <c r="CU60" s="194" t="str">
        <f t="shared" si="20"/>
        <v>#DIV/0!</v>
      </c>
      <c r="CV60" s="196"/>
      <c r="CW60" s="167">
        <f t="shared" si="22"/>
        <v>42.85714286</v>
      </c>
      <c r="CX60" s="169">
        <f t="shared" si="23"/>
        <v>6</v>
      </c>
      <c r="CY60" s="197"/>
    </row>
    <row r="61" ht="15.75" customHeight="1">
      <c r="A61" s="172">
        <v>52.0</v>
      </c>
      <c r="B61" s="188" t="s">
        <v>149</v>
      </c>
      <c r="C61" s="216" t="s">
        <v>150</v>
      </c>
      <c r="D61" s="125">
        <f t="shared" si="7"/>
        <v>8</v>
      </c>
      <c r="E61" s="127">
        <f t="shared" si="8"/>
        <v>57.14285714</v>
      </c>
      <c r="F61" s="200" t="str">
        <f t="shared" si="9"/>
        <v>  </v>
      </c>
      <c r="G61" s="193" t="str">
        <f t="shared" si="10"/>
        <v>  </v>
      </c>
      <c r="H61" s="230"/>
      <c r="I61" s="217"/>
      <c r="J61" s="217"/>
      <c r="K61" s="209"/>
      <c r="L61" s="210"/>
      <c r="M61" s="263"/>
      <c r="N61" s="210"/>
      <c r="O61" s="210"/>
      <c r="P61" s="210"/>
      <c r="Q61" s="210"/>
      <c r="R61" s="147">
        <f t="shared" si="11"/>
        <v>0</v>
      </c>
      <c r="S61" s="198">
        <f t="shared" si="24"/>
        <v>0</v>
      </c>
      <c r="T61" s="237"/>
      <c r="U61" s="217"/>
      <c r="V61" s="217"/>
      <c r="W61" s="217"/>
      <c r="X61" s="217"/>
      <c r="Y61" s="235">
        <v>1.0</v>
      </c>
      <c r="Z61" s="235">
        <v>1.0</v>
      </c>
      <c r="AA61" s="217"/>
      <c r="AB61" s="217"/>
      <c r="AC61" s="138"/>
      <c r="AD61" s="235">
        <v>1.0</v>
      </c>
      <c r="AE61" s="217"/>
      <c r="AF61" s="217"/>
      <c r="AG61" s="217"/>
      <c r="AH61" s="217"/>
      <c r="AI61" s="217"/>
      <c r="AJ61" s="217"/>
      <c r="AK61" s="226"/>
      <c r="AL61" s="294">
        <f t="shared" si="13"/>
        <v>3</v>
      </c>
      <c r="AM61" s="202">
        <f t="shared" si="14"/>
        <v>60</v>
      </c>
      <c r="AN61" s="237"/>
      <c r="AO61" s="217"/>
      <c r="AP61" s="217"/>
      <c r="AQ61" s="217"/>
      <c r="AR61" s="209"/>
      <c r="AS61" s="217"/>
      <c r="AT61" s="217"/>
      <c r="AU61" s="217"/>
      <c r="AV61" s="217"/>
      <c r="AW61" s="217"/>
      <c r="AX61" s="217"/>
      <c r="AY61" s="217"/>
      <c r="AZ61" s="217"/>
      <c r="BA61" s="217"/>
      <c r="BB61" s="235">
        <v>1.0</v>
      </c>
      <c r="BC61" s="217"/>
      <c r="BD61" s="217"/>
      <c r="BE61" s="217"/>
      <c r="BF61" s="217"/>
      <c r="BG61" s="217"/>
      <c r="BH61" s="235">
        <v>1.0</v>
      </c>
      <c r="BI61" s="294">
        <f t="shared" si="15"/>
        <v>2</v>
      </c>
      <c r="BJ61" s="204">
        <f t="shared" si="16"/>
        <v>50</v>
      </c>
      <c r="BK61" s="237"/>
      <c r="BL61" s="217"/>
      <c r="BM61" s="217"/>
      <c r="BN61" s="235">
        <v>1.0</v>
      </c>
      <c r="BO61" s="217"/>
      <c r="BP61" s="235">
        <v>1.0</v>
      </c>
      <c r="BQ61" s="217"/>
      <c r="BR61" s="217"/>
      <c r="BS61" s="217"/>
      <c r="BT61" s="235">
        <v>1.0</v>
      </c>
      <c r="BU61" s="217"/>
      <c r="BV61" s="217"/>
      <c r="BW61" s="140"/>
      <c r="BX61" s="217"/>
      <c r="BY61" s="217"/>
      <c r="BZ61" s="217"/>
      <c r="CA61" s="217"/>
      <c r="CB61" s="217"/>
      <c r="CC61" s="217"/>
      <c r="CD61" s="217"/>
      <c r="CE61" s="217"/>
      <c r="CF61" s="205">
        <f t="shared" si="17"/>
        <v>3</v>
      </c>
      <c r="CG61" s="190">
        <f t="shared" si="18"/>
        <v>100</v>
      </c>
      <c r="CH61" s="237"/>
      <c r="CI61" s="161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08">
        <f t="shared" si="19"/>
        <v>0</v>
      </c>
      <c r="CU61" s="194" t="str">
        <f t="shared" si="20"/>
        <v>#DIV/0!</v>
      </c>
      <c r="CV61" s="196"/>
      <c r="CW61" s="167">
        <f t="shared" si="22"/>
        <v>57.14285714</v>
      </c>
      <c r="CX61" s="169">
        <f t="shared" si="23"/>
        <v>8</v>
      </c>
      <c r="CY61" s="197"/>
    </row>
    <row r="62" ht="15.75" customHeight="1">
      <c r="A62" s="122">
        <v>53.0</v>
      </c>
      <c r="B62" s="188" t="s">
        <v>151</v>
      </c>
      <c r="C62" s="216" t="s">
        <v>152</v>
      </c>
      <c r="D62" s="125">
        <f t="shared" si="7"/>
        <v>6</v>
      </c>
      <c r="E62" s="127">
        <f t="shared" si="8"/>
        <v>42.85714286</v>
      </c>
      <c r="F62" s="200">
        <f t="shared" si="9"/>
        <v>42.85714286</v>
      </c>
      <c r="G62" s="193" t="str">
        <f t="shared" si="10"/>
        <v>  </v>
      </c>
      <c r="H62" s="230"/>
      <c r="I62" s="233"/>
      <c r="J62" s="233"/>
      <c r="K62" s="209"/>
      <c r="L62" s="210"/>
      <c r="M62" s="269">
        <v>1.0</v>
      </c>
      <c r="N62" s="210"/>
      <c r="O62" s="210"/>
      <c r="P62" s="210"/>
      <c r="Q62" s="210"/>
      <c r="R62" s="147">
        <f t="shared" si="11"/>
        <v>1</v>
      </c>
      <c r="S62" s="198">
        <f t="shared" si="24"/>
        <v>100</v>
      </c>
      <c r="T62" s="230"/>
      <c r="U62" s="209"/>
      <c r="V62" s="209"/>
      <c r="W62" s="209"/>
      <c r="X62" s="209"/>
      <c r="Y62" s="225">
        <v>1.0</v>
      </c>
      <c r="Z62" s="225">
        <v>1.0</v>
      </c>
      <c r="AA62" s="209"/>
      <c r="AB62" s="209"/>
      <c r="AC62" s="138"/>
      <c r="AD62" s="209"/>
      <c r="AE62" s="209"/>
      <c r="AF62" s="209"/>
      <c r="AG62" s="209"/>
      <c r="AH62" s="209"/>
      <c r="AI62" s="209"/>
      <c r="AJ62" s="209"/>
      <c r="AK62" s="210"/>
      <c r="AL62" s="294">
        <f t="shared" si="13"/>
        <v>2</v>
      </c>
      <c r="AM62" s="202">
        <f t="shared" si="14"/>
        <v>40</v>
      </c>
      <c r="AN62" s="230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  <c r="BA62" s="209"/>
      <c r="BB62" s="209"/>
      <c r="BC62" s="209"/>
      <c r="BD62" s="209"/>
      <c r="BE62" s="209"/>
      <c r="BF62" s="209"/>
      <c r="BG62" s="225">
        <v>1.0</v>
      </c>
      <c r="BH62" s="225">
        <v>1.0</v>
      </c>
      <c r="BI62" s="294">
        <f t="shared" si="15"/>
        <v>2</v>
      </c>
      <c r="BJ62" s="204">
        <f t="shared" si="16"/>
        <v>50</v>
      </c>
      <c r="BK62" s="230"/>
      <c r="BL62" s="209"/>
      <c r="BM62" s="209"/>
      <c r="BN62" s="225">
        <v>1.0</v>
      </c>
      <c r="BO62" s="209"/>
      <c r="BP62" s="209"/>
      <c r="BQ62" s="209"/>
      <c r="BR62" s="209"/>
      <c r="BS62" s="209"/>
      <c r="BT62" s="209"/>
      <c r="BU62" s="209"/>
      <c r="BV62" s="209"/>
      <c r="BW62" s="300"/>
      <c r="BX62" s="209"/>
      <c r="BY62" s="217"/>
      <c r="BZ62" s="217"/>
      <c r="CA62" s="217"/>
      <c r="CB62" s="217"/>
      <c r="CC62" s="217"/>
      <c r="CD62" s="217"/>
      <c r="CE62" s="217"/>
      <c r="CF62" s="205">
        <f t="shared" si="17"/>
        <v>1</v>
      </c>
      <c r="CG62" s="190">
        <f t="shared" si="18"/>
        <v>33.33333333</v>
      </c>
      <c r="CH62" s="237"/>
      <c r="CI62" s="161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08">
        <f t="shared" si="19"/>
        <v>0</v>
      </c>
      <c r="CU62" s="194" t="str">
        <f t="shared" si="20"/>
        <v>#DIV/0!</v>
      </c>
      <c r="CV62" s="196"/>
      <c r="CW62" s="167">
        <f t="shared" si="22"/>
        <v>42.85714286</v>
      </c>
      <c r="CX62" s="169">
        <f t="shared" si="23"/>
        <v>6</v>
      </c>
      <c r="CY62" s="197"/>
    </row>
    <row r="63" ht="15.75" customHeight="1">
      <c r="A63" s="172">
        <v>54.0</v>
      </c>
      <c r="B63" s="188" t="s">
        <v>153</v>
      </c>
      <c r="C63" s="216" t="s">
        <v>154</v>
      </c>
      <c r="D63" s="125">
        <f t="shared" si="7"/>
        <v>3</v>
      </c>
      <c r="E63" s="127">
        <f t="shared" si="8"/>
        <v>21.42857143</v>
      </c>
      <c r="F63" s="200">
        <f t="shared" si="9"/>
        <v>21.42857143</v>
      </c>
      <c r="G63" s="220">
        <f t="shared" si="10"/>
        <v>21.42857143</v>
      </c>
      <c r="H63" s="246"/>
      <c r="I63" s="209"/>
      <c r="J63" s="209"/>
      <c r="K63" s="209"/>
      <c r="L63" s="210"/>
      <c r="M63" s="263"/>
      <c r="N63" s="210"/>
      <c r="O63" s="210"/>
      <c r="P63" s="210"/>
      <c r="Q63" s="210"/>
      <c r="R63" s="147">
        <f t="shared" si="11"/>
        <v>0</v>
      </c>
      <c r="S63" s="198">
        <f t="shared" si="24"/>
        <v>0</v>
      </c>
      <c r="T63" s="230"/>
      <c r="U63" s="209"/>
      <c r="V63" s="209"/>
      <c r="W63" s="209"/>
      <c r="X63" s="209"/>
      <c r="Y63" s="209"/>
      <c r="Z63" s="209"/>
      <c r="AA63" s="209"/>
      <c r="AB63" s="209"/>
      <c r="AC63" s="138"/>
      <c r="AD63" s="209"/>
      <c r="AE63" s="209"/>
      <c r="AF63" s="209"/>
      <c r="AG63" s="209"/>
      <c r="AH63" s="209"/>
      <c r="AI63" s="225">
        <v>1.0</v>
      </c>
      <c r="AJ63" s="209"/>
      <c r="AK63" s="210"/>
      <c r="AL63" s="294">
        <f t="shared" si="13"/>
        <v>1</v>
      </c>
      <c r="AM63" s="202">
        <f t="shared" si="14"/>
        <v>20</v>
      </c>
      <c r="AN63" s="230"/>
      <c r="AO63" s="209"/>
      <c r="AP63" s="209"/>
      <c r="AQ63" s="209"/>
      <c r="AR63" s="233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209"/>
      <c r="BG63" s="209"/>
      <c r="BH63" s="225">
        <v>1.0</v>
      </c>
      <c r="BI63" s="294">
        <f t="shared" si="15"/>
        <v>1</v>
      </c>
      <c r="BJ63" s="204">
        <f t="shared" si="16"/>
        <v>25</v>
      </c>
      <c r="BK63" s="230"/>
      <c r="BL63" s="209"/>
      <c r="BM63" s="209"/>
      <c r="BN63" s="225">
        <v>1.0</v>
      </c>
      <c r="BO63" s="209"/>
      <c r="BP63" s="209"/>
      <c r="BQ63" s="209"/>
      <c r="BR63" s="209"/>
      <c r="BS63" s="209"/>
      <c r="BT63" s="209"/>
      <c r="BU63" s="209"/>
      <c r="BV63" s="209"/>
      <c r="BW63" s="140"/>
      <c r="BX63" s="209"/>
      <c r="BY63" s="217"/>
      <c r="BZ63" s="217"/>
      <c r="CA63" s="217"/>
      <c r="CB63" s="217"/>
      <c r="CC63" s="217"/>
      <c r="CD63" s="217"/>
      <c r="CE63" s="217"/>
      <c r="CF63" s="205">
        <f t="shared" si="17"/>
        <v>1</v>
      </c>
      <c r="CG63" s="190">
        <f t="shared" si="18"/>
        <v>33.33333333</v>
      </c>
      <c r="CH63" s="237"/>
      <c r="CI63" s="161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08">
        <f t="shared" si="19"/>
        <v>0</v>
      </c>
      <c r="CU63" s="194" t="str">
        <f t="shared" si="20"/>
        <v>#DIV/0!</v>
      </c>
      <c r="CV63" s="196"/>
      <c r="CW63" s="167">
        <f t="shared" si="22"/>
        <v>21.42857143</v>
      </c>
      <c r="CX63" s="169">
        <f t="shared" si="23"/>
        <v>3</v>
      </c>
      <c r="CY63" s="197"/>
    </row>
    <row r="64" ht="15.75" customHeight="1">
      <c r="A64" s="172">
        <v>55.0</v>
      </c>
      <c r="B64" s="188" t="s">
        <v>155</v>
      </c>
      <c r="C64" s="216" t="s">
        <v>156</v>
      </c>
      <c r="D64" s="125">
        <f t="shared" si="7"/>
        <v>3</v>
      </c>
      <c r="E64" s="127">
        <f t="shared" si="8"/>
        <v>21.42857143</v>
      </c>
      <c r="F64" s="200">
        <f t="shared" si="9"/>
        <v>21.42857143</v>
      </c>
      <c r="G64" s="220">
        <f t="shared" si="10"/>
        <v>21.42857143</v>
      </c>
      <c r="H64" s="230"/>
      <c r="I64" s="209"/>
      <c r="J64" s="209"/>
      <c r="K64" s="209"/>
      <c r="L64" s="210"/>
      <c r="M64" s="263"/>
      <c r="N64" s="210"/>
      <c r="O64" s="210"/>
      <c r="P64" s="210"/>
      <c r="Q64" s="210"/>
      <c r="R64" s="147">
        <f t="shared" si="11"/>
        <v>0</v>
      </c>
      <c r="S64" s="198">
        <f t="shared" si="24"/>
        <v>0</v>
      </c>
      <c r="T64" s="246"/>
      <c r="U64" s="233"/>
      <c r="V64" s="233"/>
      <c r="W64" s="233"/>
      <c r="X64" s="233"/>
      <c r="Y64" s="233"/>
      <c r="Z64" s="233"/>
      <c r="AA64" s="233"/>
      <c r="AB64" s="233"/>
      <c r="AC64" s="138"/>
      <c r="AD64" s="233"/>
      <c r="AE64" s="233"/>
      <c r="AF64" s="233"/>
      <c r="AG64" s="233"/>
      <c r="AH64" s="233"/>
      <c r="AI64" s="233"/>
      <c r="AJ64" s="233"/>
      <c r="AK64" s="234"/>
      <c r="AL64" s="294">
        <f t="shared" si="13"/>
        <v>0</v>
      </c>
      <c r="AM64" s="202">
        <f t="shared" si="14"/>
        <v>0</v>
      </c>
      <c r="AN64" s="246"/>
      <c r="AO64" s="233"/>
      <c r="AP64" s="233"/>
      <c r="AQ64" s="233"/>
      <c r="AR64" s="209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94">
        <f t="shared" si="15"/>
        <v>0</v>
      </c>
      <c r="BJ64" s="204">
        <f t="shared" si="16"/>
        <v>0</v>
      </c>
      <c r="BK64" s="246"/>
      <c r="BL64" s="233"/>
      <c r="BM64" s="233"/>
      <c r="BN64" s="244">
        <v>1.0</v>
      </c>
      <c r="BO64" s="233"/>
      <c r="BP64" s="244">
        <v>1.0</v>
      </c>
      <c r="BQ64" s="233"/>
      <c r="BR64" s="233"/>
      <c r="BS64" s="233"/>
      <c r="BT64" s="244">
        <v>1.0</v>
      </c>
      <c r="BU64" s="233"/>
      <c r="BV64" s="233"/>
      <c r="BW64" s="140"/>
      <c r="BX64" s="233"/>
      <c r="BY64" s="217"/>
      <c r="BZ64" s="217"/>
      <c r="CA64" s="217"/>
      <c r="CB64" s="217"/>
      <c r="CC64" s="217"/>
      <c r="CD64" s="217"/>
      <c r="CE64" s="217"/>
      <c r="CF64" s="205">
        <f t="shared" si="17"/>
        <v>3</v>
      </c>
      <c r="CG64" s="190">
        <f t="shared" si="18"/>
        <v>100</v>
      </c>
      <c r="CH64" s="237"/>
      <c r="CI64" s="161"/>
      <c r="CJ64" s="217"/>
      <c r="CK64" s="217"/>
      <c r="CL64" s="217"/>
      <c r="CM64" s="217"/>
      <c r="CN64" s="152"/>
      <c r="CO64" s="217"/>
      <c r="CP64" s="217"/>
      <c r="CQ64" s="217"/>
      <c r="CR64" s="217"/>
      <c r="CS64" s="217"/>
      <c r="CT64" s="208">
        <f t="shared" si="19"/>
        <v>0</v>
      </c>
      <c r="CU64" s="194" t="str">
        <f t="shared" si="20"/>
        <v>#DIV/0!</v>
      </c>
      <c r="CV64" s="196"/>
      <c r="CW64" s="167">
        <f t="shared" si="22"/>
        <v>21.42857143</v>
      </c>
      <c r="CX64" s="169">
        <f t="shared" si="23"/>
        <v>3</v>
      </c>
      <c r="CY64" s="197"/>
    </row>
    <row r="65" ht="15.75" customHeight="1">
      <c r="A65" s="122">
        <v>56.0</v>
      </c>
      <c r="B65" s="188" t="s">
        <v>157</v>
      </c>
      <c r="C65" s="216" t="s">
        <v>158</v>
      </c>
      <c r="D65" s="125">
        <f t="shared" si="7"/>
        <v>1</v>
      </c>
      <c r="E65" s="127">
        <f t="shared" si="8"/>
        <v>7.142857143</v>
      </c>
      <c r="F65" s="200">
        <f t="shared" si="9"/>
        <v>7.142857143</v>
      </c>
      <c r="G65" s="220">
        <f t="shared" si="10"/>
        <v>7.142857143</v>
      </c>
      <c r="H65" s="230"/>
      <c r="I65" s="209"/>
      <c r="J65" s="209"/>
      <c r="K65" s="209"/>
      <c r="L65" s="210"/>
      <c r="M65" s="269">
        <v>1.0</v>
      </c>
      <c r="N65" s="210"/>
      <c r="O65" s="210"/>
      <c r="P65" s="210"/>
      <c r="Q65" s="210"/>
      <c r="R65" s="147">
        <f t="shared" si="11"/>
        <v>1</v>
      </c>
      <c r="S65" s="198">
        <f t="shared" si="24"/>
        <v>100</v>
      </c>
      <c r="T65" s="230"/>
      <c r="U65" s="209"/>
      <c r="V65" s="209"/>
      <c r="W65" s="209"/>
      <c r="X65" s="209"/>
      <c r="Y65" s="209"/>
      <c r="Z65" s="209"/>
      <c r="AA65" s="209"/>
      <c r="AB65" s="209"/>
      <c r="AC65" s="138"/>
      <c r="AD65" s="209"/>
      <c r="AE65" s="209"/>
      <c r="AF65" s="209"/>
      <c r="AG65" s="209"/>
      <c r="AH65" s="209"/>
      <c r="AI65" s="209"/>
      <c r="AJ65" s="209"/>
      <c r="AK65" s="210"/>
      <c r="AL65" s="294">
        <f t="shared" si="13"/>
        <v>0</v>
      </c>
      <c r="AM65" s="202">
        <f t="shared" si="14"/>
        <v>0</v>
      </c>
      <c r="AN65" s="230"/>
      <c r="AO65" s="209"/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94">
        <f t="shared" si="15"/>
        <v>0</v>
      </c>
      <c r="BJ65" s="204">
        <f t="shared" si="16"/>
        <v>0</v>
      </c>
      <c r="BK65" s="230"/>
      <c r="BL65" s="209"/>
      <c r="BM65" s="209"/>
      <c r="BN65" s="209"/>
      <c r="BO65" s="209"/>
      <c r="BP65" s="209"/>
      <c r="BQ65" s="209"/>
      <c r="BR65" s="209"/>
      <c r="BS65" s="209"/>
      <c r="BT65" s="209"/>
      <c r="BU65" s="209"/>
      <c r="BV65" s="209"/>
      <c r="BW65" s="140"/>
      <c r="BX65" s="209"/>
      <c r="BY65" s="217"/>
      <c r="BZ65" s="217"/>
      <c r="CA65" s="217"/>
      <c r="CB65" s="217"/>
      <c r="CC65" s="217"/>
      <c r="CD65" s="217"/>
      <c r="CE65" s="217"/>
      <c r="CF65" s="205">
        <f t="shared" si="17"/>
        <v>0</v>
      </c>
      <c r="CG65" s="190">
        <f t="shared" si="18"/>
        <v>0</v>
      </c>
      <c r="CH65" s="237"/>
      <c r="CI65" s="161"/>
      <c r="CJ65" s="217"/>
      <c r="CK65" s="217"/>
      <c r="CL65" s="217"/>
      <c r="CM65" s="217"/>
      <c r="CN65" s="217"/>
      <c r="CO65" s="217"/>
      <c r="CP65" s="217"/>
      <c r="CQ65" s="217"/>
      <c r="CR65" s="217"/>
      <c r="CS65" s="217"/>
      <c r="CT65" s="208">
        <f t="shared" si="19"/>
        <v>0</v>
      </c>
      <c r="CU65" s="194" t="str">
        <f t="shared" si="20"/>
        <v>#DIV/0!</v>
      </c>
      <c r="CV65" s="196"/>
      <c r="CW65" s="167">
        <f t="shared" si="22"/>
        <v>7.142857143</v>
      </c>
      <c r="CX65" s="169">
        <f t="shared" si="23"/>
        <v>1</v>
      </c>
      <c r="CY65" s="197"/>
    </row>
    <row r="66" ht="15.75" customHeight="1">
      <c r="A66" s="172">
        <v>57.0</v>
      </c>
      <c r="B66" s="188" t="s">
        <v>159</v>
      </c>
      <c r="C66" s="216" t="s">
        <v>160</v>
      </c>
      <c r="D66" s="125">
        <f t="shared" si="7"/>
        <v>4</v>
      </c>
      <c r="E66" s="127">
        <f t="shared" si="8"/>
        <v>28.57142857</v>
      </c>
      <c r="F66" s="200">
        <f t="shared" si="9"/>
        <v>28.57142857</v>
      </c>
      <c r="G66" s="220">
        <f t="shared" si="10"/>
        <v>28.57142857</v>
      </c>
      <c r="H66" s="230"/>
      <c r="I66" s="209"/>
      <c r="J66" s="217"/>
      <c r="K66" s="209"/>
      <c r="L66" s="210"/>
      <c r="M66" s="266"/>
      <c r="N66" s="210"/>
      <c r="O66" s="210"/>
      <c r="P66" s="210"/>
      <c r="Q66" s="210"/>
      <c r="R66" s="147">
        <f t="shared" si="11"/>
        <v>0</v>
      </c>
      <c r="S66" s="198">
        <f t="shared" si="24"/>
        <v>0</v>
      </c>
      <c r="T66" s="230"/>
      <c r="U66" s="209"/>
      <c r="V66" s="209"/>
      <c r="W66" s="209"/>
      <c r="X66" s="209"/>
      <c r="Y66" s="209"/>
      <c r="Z66" s="209"/>
      <c r="AA66" s="209"/>
      <c r="AB66" s="209"/>
      <c r="AC66" s="138"/>
      <c r="AD66" s="225">
        <v>1.0</v>
      </c>
      <c r="AE66" s="209"/>
      <c r="AF66" s="209"/>
      <c r="AG66" s="209"/>
      <c r="AH66" s="209"/>
      <c r="AI66" s="225">
        <v>1.0</v>
      </c>
      <c r="AJ66" s="209"/>
      <c r="AK66" s="210"/>
      <c r="AL66" s="294">
        <f t="shared" si="13"/>
        <v>2</v>
      </c>
      <c r="AM66" s="202">
        <f t="shared" si="14"/>
        <v>40</v>
      </c>
      <c r="AN66" s="230"/>
      <c r="AO66" s="209"/>
      <c r="AP66" s="209"/>
      <c r="AQ66" s="209"/>
      <c r="AR66" s="209"/>
      <c r="AS66" s="209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209"/>
      <c r="BG66" s="209"/>
      <c r="BH66" s="209"/>
      <c r="BI66" s="294">
        <f t="shared" si="15"/>
        <v>0</v>
      </c>
      <c r="BJ66" s="204">
        <f t="shared" si="16"/>
        <v>0</v>
      </c>
      <c r="BK66" s="230"/>
      <c r="BL66" s="209"/>
      <c r="BM66" s="209"/>
      <c r="BN66" s="225">
        <v>1.0</v>
      </c>
      <c r="BO66" s="209"/>
      <c r="BP66" s="225">
        <v>1.0</v>
      </c>
      <c r="BQ66" s="209"/>
      <c r="BR66" s="209"/>
      <c r="BS66" s="209"/>
      <c r="BT66" s="209"/>
      <c r="BU66" s="209"/>
      <c r="BV66" s="209"/>
      <c r="BW66" s="140"/>
      <c r="BX66" s="209"/>
      <c r="BY66" s="217"/>
      <c r="BZ66" s="217"/>
      <c r="CA66" s="217"/>
      <c r="CB66" s="217"/>
      <c r="CC66" s="217"/>
      <c r="CD66" s="217"/>
      <c r="CE66" s="217"/>
      <c r="CF66" s="205">
        <f t="shared" si="17"/>
        <v>2</v>
      </c>
      <c r="CG66" s="190">
        <f t="shared" si="18"/>
        <v>66.66666667</v>
      </c>
      <c r="CH66" s="237"/>
      <c r="CI66" s="161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08">
        <f t="shared" si="19"/>
        <v>0</v>
      </c>
      <c r="CU66" s="194" t="str">
        <f t="shared" si="20"/>
        <v>#DIV/0!</v>
      </c>
      <c r="CV66" s="196"/>
      <c r="CW66" s="167">
        <f t="shared" si="22"/>
        <v>28.57142857</v>
      </c>
      <c r="CX66" s="169">
        <f t="shared" si="23"/>
        <v>4</v>
      </c>
      <c r="CY66" s="197"/>
    </row>
    <row r="67" ht="15.75" customHeight="1">
      <c r="A67" s="172">
        <v>58.0</v>
      </c>
      <c r="B67" s="188" t="s">
        <v>161</v>
      </c>
      <c r="C67" s="216" t="s">
        <v>162</v>
      </c>
      <c r="D67" s="125">
        <f t="shared" si="7"/>
        <v>4</v>
      </c>
      <c r="E67" s="127">
        <f t="shared" si="8"/>
        <v>28.57142857</v>
      </c>
      <c r="F67" s="200">
        <f t="shared" si="9"/>
        <v>28.57142857</v>
      </c>
      <c r="G67" s="220">
        <f t="shared" si="10"/>
        <v>28.57142857</v>
      </c>
      <c r="H67" s="230"/>
      <c r="I67" s="209"/>
      <c r="J67" s="209"/>
      <c r="K67" s="209"/>
      <c r="L67" s="210"/>
      <c r="M67" s="269">
        <v>1.0</v>
      </c>
      <c r="N67" s="210"/>
      <c r="O67" s="210"/>
      <c r="P67" s="210"/>
      <c r="Q67" s="210"/>
      <c r="R67" s="147">
        <f t="shared" si="11"/>
        <v>1</v>
      </c>
      <c r="S67" s="198">
        <f t="shared" si="24"/>
        <v>100</v>
      </c>
      <c r="T67" s="230"/>
      <c r="U67" s="209"/>
      <c r="V67" s="209"/>
      <c r="W67" s="209"/>
      <c r="X67" s="209"/>
      <c r="Y67" s="225">
        <v>1.0</v>
      </c>
      <c r="Z67" s="225">
        <v>1.0</v>
      </c>
      <c r="AA67" s="209"/>
      <c r="AB67" s="209"/>
      <c r="AC67" s="138"/>
      <c r="AD67" s="209"/>
      <c r="AE67" s="209"/>
      <c r="AF67" s="209"/>
      <c r="AG67" s="209"/>
      <c r="AH67" s="209"/>
      <c r="AI67" s="209"/>
      <c r="AJ67" s="209"/>
      <c r="AK67" s="210"/>
      <c r="AL67" s="294">
        <f t="shared" si="13"/>
        <v>2</v>
      </c>
      <c r="AM67" s="202">
        <f t="shared" si="14"/>
        <v>40</v>
      </c>
      <c r="AN67" s="230"/>
      <c r="AO67" s="209"/>
      <c r="AP67" s="209"/>
      <c r="AQ67" s="209"/>
      <c r="AR67" s="209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94">
        <f t="shared" si="15"/>
        <v>0</v>
      </c>
      <c r="BJ67" s="204">
        <f t="shared" si="16"/>
        <v>0</v>
      </c>
      <c r="BK67" s="230"/>
      <c r="BL67" s="209"/>
      <c r="BM67" s="209"/>
      <c r="BN67" s="225">
        <v>1.0</v>
      </c>
      <c r="BO67" s="209"/>
      <c r="BP67" s="209"/>
      <c r="BQ67" s="209"/>
      <c r="BR67" s="209"/>
      <c r="BS67" s="209"/>
      <c r="BT67" s="209"/>
      <c r="BU67" s="209"/>
      <c r="BV67" s="209"/>
      <c r="BW67" s="300"/>
      <c r="BX67" s="209"/>
      <c r="BY67" s="217"/>
      <c r="BZ67" s="217"/>
      <c r="CA67" s="217"/>
      <c r="CB67" s="217"/>
      <c r="CC67" s="217"/>
      <c r="CD67" s="217"/>
      <c r="CE67" s="217"/>
      <c r="CF67" s="205">
        <f t="shared" si="17"/>
        <v>1</v>
      </c>
      <c r="CG67" s="190">
        <f t="shared" si="18"/>
        <v>33.33333333</v>
      </c>
      <c r="CH67" s="237"/>
      <c r="CI67" s="161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08">
        <f t="shared" si="19"/>
        <v>0</v>
      </c>
      <c r="CU67" s="194" t="str">
        <f t="shared" si="20"/>
        <v>#DIV/0!</v>
      </c>
      <c r="CV67" s="196"/>
      <c r="CW67" s="167">
        <f t="shared" si="22"/>
        <v>28.57142857</v>
      </c>
      <c r="CX67" s="169">
        <f t="shared" si="23"/>
        <v>4</v>
      </c>
      <c r="CY67" s="197"/>
    </row>
    <row r="68" ht="15.75" customHeight="1">
      <c r="A68" s="122">
        <v>59.0</v>
      </c>
      <c r="B68" s="188" t="s">
        <v>163</v>
      </c>
      <c r="C68" s="216" t="s">
        <v>164</v>
      </c>
      <c r="D68" s="125">
        <f t="shared" si="7"/>
        <v>4</v>
      </c>
      <c r="E68" s="127">
        <f t="shared" si="8"/>
        <v>28.57142857</v>
      </c>
      <c r="F68" s="200">
        <f t="shared" si="9"/>
        <v>28.57142857</v>
      </c>
      <c r="G68" s="220">
        <f t="shared" si="10"/>
        <v>28.57142857</v>
      </c>
      <c r="H68" s="230"/>
      <c r="I68" s="225">
        <v>1.0</v>
      </c>
      <c r="J68" s="209"/>
      <c r="K68" s="209"/>
      <c r="L68" s="210"/>
      <c r="M68" s="263"/>
      <c r="N68" s="210"/>
      <c r="O68" s="210"/>
      <c r="P68" s="210"/>
      <c r="Q68" s="210"/>
      <c r="R68" s="147">
        <f t="shared" si="11"/>
        <v>1</v>
      </c>
      <c r="S68" s="198">
        <f t="shared" si="24"/>
        <v>100</v>
      </c>
      <c r="T68" s="230"/>
      <c r="U68" s="209"/>
      <c r="V68" s="209"/>
      <c r="W68" s="209"/>
      <c r="X68" s="209"/>
      <c r="Y68" s="225">
        <v>1.0</v>
      </c>
      <c r="Z68" s="225">
        <v>1.0</v>
      </c>
      <c r="AA68" s="209"/>
      <c r="AB68" s="209"/>
      <c r="AC68" s="138"/>
      <c r="AD68" s="209"/>
      <c r="AE68" s="209"/>
      <c r="AF68" s="209"/>
      <c r="AG68" s="209"/>
      <c r="AH68" s="209"/>
      <c r="AI68" s="209"/>
      <c r="AJ68" s="209"/>
      <c r="AK68" s="210"/>
      <c r="AL68" s="294">
        <f t="shared" si="13"/>
        <v>2</v>
      </c>
      <c r="AM68" s="202">
        <f t="shared" si="14"/>
        <v>40</v>
      </c>
      <c r="AN68" s="230"/>
      <c r="AO68" s="209"/>
      <c r="AP68" s="209"/>
      <c r="AQ68" s="209"/>
      <c r="AR68" s="233"/>
      <c r="AS68" s="209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209"/>
      <c r="BG68" s="209"/>
      <c r="BH68" s="209"/>
      <c r="BI68" s="294">
        <f t="shared" si="15"/>
        <v>0</v>
      </c>
      <c r="BJ68" s="204">
        <f t="shared" si="16"/>
        <v>0</v>
      </c>
      <c r="BK68" s="230"/>
      <c r="BL68" s="209"/>
      <c r="BM68" s="209"/>
      <c r="BN68" s="209"/>
      <c r="BO68" s="209"/>
      <c r="BP68" s="209"/>
      <c r="BQ68" s="209"/>
      <c r="BR68" s="209"/>
      <c r="BS68" s="209"/>
      <c r="BT68" s="225">
        <v>1.0</v>
      </c>
      <c r="BU68" s="209"/>
      <c r="BV68" s="209"/>
      <c r="BW68" s="140"/>
      <c r="BX68" s="209"/>
      <c r="BY68" s="217"/>
      <c r="BZ68" s="217"/>
      <c r="CA68" s="217"/>
      <c r="CB68" s="217"/>
      <c r="CC68" s="217"/>
      <c r="CD68" s="217"/>
      <c r="CE68" s="217"/>
      <c r="CF68" s="205">
        <f t="shared" si="17"/>
        <v>1</v>
      </c>
      <c r="CG68" s="190">
        <f t="shared" si="18"/>
        <v>33.33333333</v>
      </c>
      <c r="CH68" s="237"/>
      <c r="CI68" s="161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08">
        <f t="shared" si="19"/>
        <v>0</v>
      </c>
      <c r="CU68" s="194" t="str">
        <f t="shared" si="20"/>
        <v>#DIV/0!</v>
      </c>
      <c r="CV68" s="196"/>
      <c r="CW68" s="167">
        <f t="shared" si="22"/>
        <v>28.57142857</v>
      </c>
      <c r="CX68" s="169">
        <f t="shared" si="23"/>
        <v>4</v>
      </c>
      <c r="CY68" s="197"/>
    </row>
    <row r="69" ht="15.75" customHeight="1">
      <c r="A69" s="172">
        <v>60.0</v>
      </c>
      <c r="B69" s="188" t="s">
        <v>165</v>
      </c>
      <c r="C69" s="216" t="s">
        <v>166</v>
      </c>
      <c r="D69" s="125">
        <f t="shared" si="7"/>
        <v>8</v>
      </c>
      <c r="E69" s="127">
        <f t="shared" si="8"/>
        <v>57.14285714</v>
      </c>
      <c r="F69" s="200" t="str">
        <f t="shared" si="9"/>
        <v>  </v>
      </c>
      <c r="G69" s="220" t="str">
        <f t="shared" si="10"/>
        <v>  </v>
      </c>
      <c r="H69" s="246"/>
      <c r="I69" s="233"/>
      <c r="J69" s="233"/>
      <c r="K69" s="233"/>
      <c r="L69" s="234"/>
      <c r="M69" s="263"/>
      <c r="N69" s="234"/>
      <c r="O69" s="234"/>
      <c r="P69" s="234"/>
      <c r="Q69" s="234"/>
      <c r="R69" s="147">
        <f t="shared" si="11"/>
        <v>0</v>
      </c>
      <c r="S69" s="198">
        <f t="shared" si="24"/>
        <v>0</v>
      </c>
      <c r="T69" s="246"/>
      <c r="U69" s="233"/>
      <c r="V69" s="233"/>
      <c r="W69" s="233"/>
      <c r="X69" s="233"/>
      <c r="Y69" s="244">
        <v>1.0</v>
      </c>
      <c r="Z69" s="244">
        <v>1.0</v>
      </c>
      <c r="AA69" s="233"/>
      <c r="AB69" s="233"/>
      <c r="AC69" s="138"/>
      <c r="AD69" s="233"/>
      <c r="AE69" s="244">
        <v>1.0</v>
      </c>
      <c r="AF69" s="233"/>
      <c r="AG69" s="233"/>
      <c r="AH69" s="233"/>
      <c r="AI69" s="244">
        <v>1.0</v>
      </c>
      <c r="AJ69" s="233"/>
      <c r="AK69" s="234"/>
      <c r="AL69" s="294">
        <f t="shared" si="13"/>
        <v>4</v>
      </c>
      <c r="AM69" s="202">
        <f t="shared" si="14"/>
        <v>80</v>
      </c>
      <c r="AN69" s="246"/>
      <c r="AO69" s="233"/>
      <c r="AP69" s="233"/>
      <c r="AQ69" s="233"/>
      <c r="AR69" s="209"/>
      <c r="AS69" s="233"/>
      <c r="AT69" s="233"/>
      <c r="AU69" s="233"/>
      <c r="AV69" s="233"/>
      <c r="AW69" s="233"/>
      <c r="AX69" s="233"/>
      <c r="AY69" s="233"/>
      <c r="AZ69" s="233"/>
      <c r="BA69" s="233"/>
      <c r="BB69" s="244">
        <v>1.0</v>
      </c>
      <c r="BC69" s="233"/>
      <c r="BD69" s="233"/>
      <c r="BE69" s="233"/>
      <c r="BF69" s="233"/>
      <c r="BG69" s="244">
        <v>1.0</v>
      </c>
      <c r="BH69" s="244">
        <v>1.0</v>
      </c>
      <c r="BI69" s="294">
        <f t="shared" si="15"/>
        <v>3</v>
      </c>
      <c r="BJ69" s="204">
        <f t="shared" si="16"/>
        <v>75</v>
      </c>
      <c r="BK69" s="246"/>
      <c r="BL69" s="233"/>
      <c r="BM69" s="233"/>
      <c r="BN69" s="233"/>
      <c r="BO69" s="233"/>
      <c r="BP69" s="244">
        <v>1.0</v>
      </c>
      <c r="BQ69" s="233"/>
      <c r="BR69" s="233"/>
      <c r="BS69" s="233"/>
      <c r="BT69" s="233"/>
      <c r="BU69" s="233"/>
      <c r="BV69" s="233"/>
      <c r="BW69" s="140"/>
      <c r="BX69" s="233"/>
      <c r="BY69" s="217"/>
      <c r="BZ69" s="217"/>
      <c r="CA69" s="217"/>
      <c r="CB69" s="217"/>
      <c r="CC69" s="217"/>
      <c r="CD69" s="217"/>
      <c r="CE69" s="217"/>
      <c r="CF69" s="205">
        <f t="shared" si="17"/>
        <v>1</v>
      </c>
      <c r="CG69" s="190">
        <f t="shared" si="18"/>
        <v>33.33333333</v>
      </c>
      <c r="CH69" s="237"/>
      <c r="CI69" s="161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08">
        <f t="shared" si="19"/>
        <v>0</v>
      </c>
      <c r="CU69" s="194" t="str">
        <f t="shared" si="20"/>
        <v>#DIV/0!</v>
      </c>
      <c r="CV69" s="196"/>
      <c r="CW69" s="167">
        <f t="shared" si="22"/>
        <v>57.14285714</v>
      </c>
      <c r="CX69" s="169">
        <f t="shared" si="23"/>
        <v>8</v>
      </c>
      <c r="CY69" s="197"/>
    </row>
    <row r="70" ht="15.75" customHeight="1">
      <c r="A70" s="172">
        <v>61.0</v>
      </c>
      <c r="B70" s="188" t="s">
        <v>167</v>
      </c>
      <c r="C70" s="216" t="s">
        <v>168</v>
      </c>
      <c r="D70" s="125">
        <f t="shared" si="7"/>
        <v>1</v>
      </c>
      <c r="E70" s="127">
        <f t="shared" si="8"/>
        <v>7.142857143</v>
      </c>
      <c r="F70" s="200">
        <f t="shared" si="9"/>
        <v>7.142857143</v>
      </c>
      <c r="G70" s="220">
        <f t="shared" si="10"/>
        <v>7.142857143</v>
      </c>
      <c r="H70" s="230"/>
      <c r="I70" s="209"/>
      <c r="J70" s="209"/>
      <c r="K70" s="209"/>
      <c r="L70" s="210"/>
      <c r="M70" s="263"/>
      <c r="N70" s="210"/>
      <c r="O70" s="210"/>
      <c r="P70" s="210"/>
      <c r="Q70" s="210"/>
      <c r="R70" s="147">
        <f t="shared" si="11"/>
        <v>0</v>
      </c>
      <c r="S70" s="198">
        <f t="shared" si="24"/>
        <v>0</v>
      </c>
      <c r="T70" s="230"/>
      <c r="U70" s="209"/>
      <c r="V70" s="209"/>
      <c r="W70" s="209"/>
      <c r="X70" s="209"/>
      <c r="Y70" s="209"/>
      <c r="Z70" s="209"/>
      <c r="AA70" s="209"/>
      <c r="AB70" s="209"/>
      <c r="AC70" s="138"/>
      <c r="AD70" s="209"/>
      <c r="AE70" s="209"/>
      <c r="AF70" s="209"/>
      <c r="AG70" s="209"/>
      <c r="AH70" s="209"/>
      <c r="AI70" s="209"/>
      <c r="AJ70" s="209"/>
      <c r="AK70" s="210"/>
      <c r="AL70" s="294">
        <f t="shared" si="13"/>
        <v>0</v>
      </c>
      <c r="AM70" s="202">
        <f t="shared" si="14"/>
        <v>0</v>
      </c>
      <c r="AN70" s="230"/>
      <c r="AO70" s="209"/>
      <c r="AP70" s="209"/>
      <c r="AQ70" s="209"/>
      <c r="AR70" s="209"/>
      <c r="AS70" s="209"/>
      <c r="AT70" s="209"/>
      <c r="AU70" s="209"/>
      <c r="AV70" s="209"/>
      <c r="AW70" s="209"/>
      <c r="AX70" s="209"/>
      <c r="AY70" s="209"/>
      <c r="AZ70" s="209"/>
      <c r="BA70" s="209"/>
      <c r="BB70" s="209"/>
      <c r="BC70" s="209"/>
      <c r="BD70" s="209"/>
      <c r="BE70" s="209"/>
      <c r="BF70" s="209"/>
      <c r="BG70" s="209"/>
      <c r="BH70" s="225">
        <v>1.0</v>
      </c>
      <c r="BI70" s="294">
        <f t="shared" si="15"/>
        <v>1</v>
      </c>
      <c r="BJ70" s="204">
        <f t="shared" si="16"/>
        <v>25</v>
      </c>
      <c r="BK70" s="230"/>
      <c r="BL70" s="209"/>
      <c r="BM70" s="209"/>
      <c r="BN70" s="209"/>
      <c r="BO70" s="209"/>
      <c r="BP70" s="209"/>
      <c r="BQ70" s="209"/>
      <c r="BR70" s="209"/>
      <c r="BS70" s="209"/>
      <c r="BT70" s="209"/>
      <c r="BU70" s="209"/>
      <c r="BV70" s="209"/>
      <c r="BW70" s="140"/>
      <c r="BX70" s="209"/>
      <c r="BY70" s="217"/>
      <c r="BZ70" s="217"/>
      <c r="CA70" s="217"/>
      <c r="CB70" s="217"/>
      <c r="CC70" s="217"/>
      <c r="CD70" s="217"/>
      <c r="CE70" s="217"/>
      <c r="CF70" s="205">
        <f t="shared" si="17"/>
        <v>0</v>
      </c>
      <c r="CG70" s="190">
        <f t="shared" si="18"/>
        <v>0</v>
      </c>
      <c r="CH70" s="237"/>
      <c r="CI70" s="161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08">
        <f t="shared" si="19"/>
        <v>0</v>
      </c>
      <c r="CU70" s="194" t="str">
        <f t="shared" si="20"/>
        <v>#DIV/0!</v>
      </c>
      <c r="CV70" s="196"/>
      <c r="CW70" s="167">
        <f t="shared" si="22"/>
        <v>7.142857143</v>
      </c>
      <c r="CX70" s="169">
        <f t="shared" si="23"/>
        <v>1</v>
      </c>
      <c r="CY70" s="197"/>
    </row>
    <row r="71" ht="15.75" customHeight="1">
      <c r="A71" s="122">
        <v>62.0</v>
      </c>
      <c r="B71" s="188" t="s">
        <v>169</v>
      </c>
      <c r="C71" s="216" t="s">
        <v>170</v>
      </c>
      <c r="D71" s="125">
        <f t="shared" si="7"/>
        <v>0</v>
      </c>
      <c r="E71" s="127">
        <f t="shared" si="8"/>
        <v>0</v>
      </c>
      <c r="F71" s="200">
        <f t="shared" si="9"/>
        <v>0</v>
      </c>
      <c r="G71" s="220">
        <f t="shared" si="10"/>
        <v>0</v>
      </c>
      <c r="H71" s="230"/>
      <c r="I71" s="209"/>
      <c r="J71" s="209"/>
      <c r="K71" s="209"/>
      <c r="L71" s="210"/>
      <c r="M71" s="263"/>
      <c r="N71" s="210"/>
      <c r="O71" s="210"/>
      <c r="P71" s="210"/>
      <c r="Q71" s="210"/>
      <c r="R71" s="147">
        <f t="shared" si="11"/>
        <v>0</v>
      </c>
      <c r="S71" s="198">
        <f t="shared" si="24"/>
        <v>0</v>
      </c>
      <c r="T71" s="230"/>
      <c r="U71" s="209"/>
      <c r="V71" s="209"/>
      <c r="W71" s="209"/>
      <c r="X71" s="209"/>
      <c r="Y71" s="209"/>
      <c r="Z71" s="209"/>
      <c r="AA71" s="209"/>
      <c r="AB71" s="209"/>
      <c r="AC71" s="138"/>
      <c r="AD71" s="209"/>
      <c r="AE71" s="209"/>
      <c r="AF71" s="209"/>
      <c r="AG71" s="209"/>
      <c r="AH71" s="209"/>
      <c r="AI71" s="209"/>
      <c r="AJ71" s="209"/>
      <c r="AK71" s="210"/>
      <c r="AL71" s="294">
        <f t="shared" si="13"/>
        <v>0</v>
      </c>
      <c r="AM71" s="202">
        <f t="shared" si="14"/>
        <v>0</v>
      </c>
      <c r="AN71" s="230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94">
        <f t="shared" si="15"/>
        <v>0</v>
      </c>
      <c r="BJ71" s="204">
        <f t="shared" si="16"/>
        <v>0</v>
      </c>
      <c r="BK71" s="230"/>
      <c r="BL71" s="209"/>
      <c r="BM71" s="209"/>
      <c r="BN71" s="209"/>
      <c r="BO71" s="209"/>
      <c r="BP71" s="209"/>
      <c r="BQ71" s="209"/>
      <c r="BR71" s="209"/>
      <c r="BS71" s="209"/>
      <c r="BT71" s="209"/>
      <c r="BU71" s="209"/>
      <c r="BV71" s="209"/>
      <c r="BW71" s="140"/>
      <c r="BX71" s="209"/>
      <c r="BY71" s="217"/>
      <c r="BZ71" s="217"/>
      <c r="CA71" s="217"/>
      <c r="CB71" s="217"/>
      <c r="CC71" s="217"/>
      <c r="CD71" s="217"/>
      <c r="CE71" s="217"/>
      <c r="CF71" s="205">
        <f t="shared" si="17"/>
        <v>0</v>
      </c>
      <c r="CG71" s="190">
        <f t="shared" si="18"/>
        <v>0</v>
      </c>
      <c r="CH71" s="237"/>
      <c r="CI71" s="161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08">
        <f t="shared" si="19"/>
        <v>0</v>
      </c>
      <c r="CU71" s="194" t="str">
        <f t="shared" si="20"/>
        <v>#DIV/0!</v>
      </c>
      <c r="CV71" s="196"/>
      <c r="CW71" s="167">
        <f t="shared" si="22"/>
        <v>0</v>
      </c>
      <c r="CX71" s="169">
        <f t="shared" si="23"/>
        <v>0</v>
      </c>
      <c r="CY71" s="197"/>
    </row>
    <row r="72" ht="15.75" customHeight="1">
      <c r="A72" s="172">
        <v>63.0</v>
      </c>
      <c r="B72" s="188" t="s">
        <v>171</v>
      </c>
      <c r="C72" s="216" t="s">
        <v>172</v>
      </c>
      <c r="D72" s="125">
        <f t="shared" si="7"/>
        <v>9</v>
      </c>
      <c r="E72" s="127">
        <f t="shared" si="8"/>
        <v>64.28571429</v>
      </c>
      <c r="F72" s="200" t="str">
        <f t="shared" si="9"/>
        <v>  </v>
      </c>
      <c r="G72" s="193" t="str">
        <f t="shared" si="10"/>
        <v>  </v>
      </c>
      <c r="H72" s="230"/>
      <c r="I72" s="209"/>
      <c r="J72" s="209"/>
      <c r="K72" s="209"/>
      <c r="L72" s="210"/>
      <c r="M72" s="269">
        <v>1.0</v>
      </c>
      <c r="N72" s="210"/>
      <c r="O72" s="210"/>
      <c r="P72" s="210"/>
      <c r="Q72" s="210"/>
      <c r="R72" s="147">
        <f t="shared" si="11"/>
        <v>1</v>
      </c>
      <c r="S72" s="198">
        <f t="shared" si="24"/>
        <v>100</v>
      </c>
      <c r="T72" s="230"/>
      <c r="U72" s="209"/>
      <c r="V72" s="209"/>
      <c r="W72" s="209"/>
      <c r="X72" s="209"/>
      <c r="Y72" s="225">
        <v>1.0</v>
      </c>
      <c r="Z72" s="225">
        <v>1.0</v>
      </c>
      <c r="AA72" s="209"/>
      <c r="AB72" s="209"/>
      <c r="AC72" s="138"/>
      <c r="AD72" s="225">
        <v>1.0</v>
      </c>
      <c r="AE72" s="209"/>
      <c r="AF72" s="209"/>
      <c r="AG72" s="209"/>
      <c r="AH72" s="209"/>
      <c r="AI72" s="209"/>
      <c r="AJ72" s="209"/>
      <c r="AK72" s="210"/>
      <c r="AL72" s="294">
        <f t="shared" si="13"/>
        <v>3</v>
      </c>
      <c r="AM72" s="202">
        <f t="shared" si="14"/>
        <v>60</v>
      </c>
      <c r="AN72" s="230"/>
      <c r="AO72" s="209"/>
      <c r="AP72" s="209"/>
      <c r="AQ72" s="209"/>
      <c r="AR72" s="209"/>
      <c r="AS72" s="209"/>
      <c r="AT72" s="209"/>
      <c r="AU72" s="209"/>
      <c r="AV72" s="209"/>
      <c r="AW72" s="209"/>
      <c r="AX72" s="209"/>
      <c r="AY72" s="209"/>
      <c r="AZ72" s="209"/>
      <c r="BA72" s="209"/>
      <c r="BB72" s="225">
        <v>1.0</v>
      </c>
      <c r="BC72" s="209"/>
      <c r="BD72" s="209"/>
      <c r="BE72" s="209"/>
      <c r="BF72" s="209"/>
      <c r="BG72" s="209"/>
      <c r="BH72" s="225">
        <v>1.0</v>
      </c>
      <c r="BI72" s="294">
        <f t="shared" si="15"/>
        <v>2</v>
      </c>
      <c r="BJ72" s="204">
        <f t="shared" si="16"/>
        <v>50</v>
      </c>
      <c r="BK72" s="230"/>
      <c r="BL72" s="209"/>
      <c r="BM72" s="209"/>
      <c r="BN72" s="225">
        <v>1.0</v>
      </c>
      <c r="BO72" s="209"/>
      <c r="BP72" s="225">
        <v>1.0</v>
      </c>
      <c r="BQ72" s="209"/>
      <c r="BR72" s="209"/>
      <c r="BS72" s="209"/>
      <c r="BT72" s="225">
        <v>1.0</v>
      </c>
      <c r="BU72" s="209"/>
      <c r="BV72" s="209"/>
      <c r="BW72" s="140"/>
      <c r="BX72" s="209"/>
      <c r="BY72" s="217"/>
      <c r="BZ72" s="217"/>
      <c r="CA72" s="217"/>
      <c r="CB72" s="217"/>
      <c r="CC72" s="217"/>
      <c r="CD72" s="217"/>
      <c r="CE72" s="217"/>
      <c r="CF72" s="205">
        <f t="shared" si="17"/>
        <v>3</v>
      </c>
      <c r="CG72" s="190">
        <f t="shared" si="18"/>
        <v>100</v>
      </c>
      <c r="CH72" s="237"/>
      <c r="CI72" s="161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08">
        <f t="shared" si="19"/>
        <v>0</v>
      </c>
      <c r="CU72" s="194" t="str">
        <f t="shared" si="20"/>
        <v>#DIV/0!</v>
      </c>
      <c r="CV72" s="196"/>
      <c r="CW72" s="167">
        <f t="shared" si="22"/>
        <v>64.28571429</v>
      </c>
      <c r="CX72" s="169">
        <f t="shared" si="23"/>
        <v>9</v>
      </c>
      <c r="CY72" s="197"/>
    </row>
    <row r="73" ht="15.75" customHeight="1">
      <c r="A73" s="172">
        <v>64.0</v>
      </c>
      <c r="B73" s="188" t="s">
        <v>173</v>
      </c>
      <c r="C73" s="216" t="s">
        <v>174</v>
      </c>
      <c r="D73" s="125">
        <f t="shared" si="7"/>
        <v>3</v>
      </c>
      <c r="E73" s="127">
        <f t="shared" si="8"/>
        <v>21.42857143</v>
      </c>
      <c r="F73" s="200">
        <f t="shared" si="9"/>
        <v>21.42857143</v>
      </c>
      <c r="G73" s="220">
        <f t="shared" si="10"/>
        <v>21.42857143</v>
      </c>
      <c r="H73" s="230"/>
      <c r="I73" s="209"/>
      <c r="J73" s="209"/>
      <c r="K73" s="209"/>
      <c r="L73" s="210"/>
      <c r="M73" s="263"/>
      <c r="N73" s="210"/>
      <c r="O73" s="210"/>
      <c r="P73" s="210"/>
      <c r="Q73" s="210"/>
      <c r="R73" s="147">
        <f t="shared" si="11"/>
        <v>0</v>
      </c>
      <c r="S73" s="198">
        <f t="shared" si="24"/>
        <v>0</v>
      </c>
      <c r="T73" s="230"/>
      <c r="U73" s="209"/>
      <c r="V73" s="209"/>
      <c r="W73" s="209"/>
      <c r="X73" s="209"/>
      <c r="Y73" s="209"/>
      <c r="Z73" s="225">
        <v>1.0</v>
      </c>
      <c r="AA73" s="209"/>
      <c r="AB73" s="209"/>
      <c r="AC73" s="138"/>
      <c r="AD73" s="209"/>
      <c r="AE73" s="209"/>
      <c r="AF73" s="209"/>
      <c r="AG73" s="209"/>
      <c r="AH73" s="209"/>
      <c r="AI73" s="209"/>
      <c r="AJ73" s="209"/>
      <c r="AK73" s="210"/>
      <c r="AL73" s="294">
        <f t="shared" si="13"/>
        <v>1</v>
      </c>
      <c r="AM73" s="202">
        <f t="shared" si="14"/>
        <v>20</v>
      </c>
      <c r="AN73" s="230"/>
      <c r="AO73" s="209"/>
      <c r="AP73" s="209"/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  <c r="BE73" s="209"/>
      <c r="BF73" s="209"/>
      <c r="BG73" s="209"/>
      <c r="BH73" s="209"/>
      <c r="BI73" s="294">
        <f t="shared" si="15"/>
        <v>0</v>
      </c>
      <c r="BJ73" s="204">
        <f t="shared" si="16"/>
        <v>0</v>
      </c>
      <c r="BK73" s="230"/>
      <c r="BL73" s="209"/>
      <c r="BM73" s="209"/>
      <c r="BN73" s="225">
        <v>1.0</v>
      </c>
      <c r="BO73" s="209"/>
      <c r="BP73" s="225">
        <v>1.0</v>
      </c>
      <c r="BQ73" s="209"/>
      <c r="BR73" s="209"/>
      <c r="BS73" s="209"/>
      <c r="BT73" s="209"/>
      <c r="BU73" s="209"/>
      <c r="BV73" s="209"/>
      <c r="BW73" s="140"/>
      <c r="BX73" s="209"/>
      <c r="BY73" s="217"/>
      <c r="BZ73" s="217"/>
      <c r="CA73" s="217"/>
      <c r="CB73" s="217"/>
      <c r="CC73" s="217"/>
      <c r="CD73" s="217"/>
      <c r="CE73" s="217"/>
      <c r="CF73" s="205">
        <f t="shared" si="17"/>
        <v>2</v>
      </c>
      <c r="CG73" s="190">
        <f t="shared" si="18"/>
        <v>66.66666667</v>
      </c>
      <c r="CH73" s="237"/>
      <c r="CI73" s="161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08">
        <f t="shared" si="19"/>
        <v>0</v>
      </c>
      <c r="CU73" s="194" t="str">
        <f t="shared" si="20"/>
        <v>#DIV/0!</v>
      </c>
      <c r="CV73" s="196"/>
      <c r="CW73" s="167">
        <f t="shared" si="22"/>
        <v>21.42857143</v>
      </c>
      <c r="CX73" s="169">
        <f t="shared" si="23"/>
        <v>3</v>
      </c>
      <c r="CY73" s="197"/>
    </row>
    <row r="74" ht="15.75" customHeight="1">
      <c r="A74" s="122">
        <v>65.0</v>
      </c>
      <c r="B74" s="188" t="s">
        <v>175</v>
      </c>
      <c r="C74" s="216" t="s">
        <v>176</v>
      </c>
      <c r="D74" s="125">
        <f t="shared" si="7"/>
        <v>3</v>
      </c>
      <c r="E74" s="127">
        <f t="shared" si="8"/>
        <v>21.42857143</v>
      </c>
      <c r="F74" s="200">
        <f t="shared" si="9"/>
        <v>21.42857143</v>
      </c>
      <c r="G74" s="220">
        <f t="shared" si="10"/>
        <v>21.42857143</v>
      </c>
      <c r="H74" s="230"/>
      <c r="I74" s="209"/>
      <c r="J74" s="209"/>
      <c r="K74" s="209"/>
      <c r="L74" s="210"/>
      <c r="M74" s="274"/>
      <c r="N74" s="210"/>
      <c r="O74" s="210"/>
      <c r="P74" s="210"/>
      <c r="Q74" s="210"/>
      <c r="R74" s="147">
        <f t="shared" si="11"/>
        <v>0</v>
      </c>
      <c r="S74" s="198">
        <f t="shared" si="24"/>
        <v>0</v>
      </c>
      <c r="T74" s="230"/>
      <c r="U74" s="209"/>
      <c r="V74" s="209"/>
      <c r="W74" s="209"/>
      <c r="X74" s="209"/>
      <c r="Y74" s="225">
        <v>1.0</v>
      </c>
      <c r="Z74" s="225">
        <v>1.0</v>
      </c>
      <c r="AA74" s="209"/>
      <c r="AB74" s="209"/>
      <c r="AC74" s="138"/>
      <c r="AD74" s="209"/>
      <c r="AE74" s="209"/>
      <c r="AF74" s="209"/>
      <c r="AG74" s="209"/>
      <c r="AH74" s="209"/>
      <c r="AI74" s="225">
        <v>1.0</v>
      </c>
      <c r="AJ74" s="209"/>
      <c r="AK74" s="210"/>
      <c r="AL74" s="294">
        <f t="shared" si="13"/>
        <v>3</v>
      </c>
      <c r="AM74" s="202">
        <f t="shared" si="14"/>
        <v>60</v>
      </c>
      <c r="AN74" s="230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94">
        <f t="shared" si="15"/>
        <v>0</v>
      </c>
      <c r="BJ74" s="204">
        <f t="shared" si="16"/>
        <v>0</v>
      </c>
      <c r="BK74" s="230"/>
      <c r="BL74" s="209"/>
      <c r="BM74" s="209"/>
      <c r="BN74" s="209"/>
      <c r="BO74" s="209"/>
      <c r="BP74" s="209"/>
      <c r="BQ74" s="209"/>
      <c r="BR74" s="209"/>
      <c r="BS74" s="209"/>
      <c r="BT74" s="209"/>
      <c r="BU74" s="209"/>
      <c r="BV74" s="209"/>
      <c r="BW74" s="140"/>
      <c r="BX74" s="209"/>
      <c r="BY74" s="217"/>
      <c r="BZ74" s="217"/>
      <c r="CA74" s="217"/>
      <c r="CB74" s="217"/>
      <c r="CC74" s="217"/>
      <c r="CD74" s="217"/>
      <c r="CE74" s="217"/>
      <c r="CF74" s="205">
        <f t="shared" si="17"/>
        <v>0</v>
      </c>
      <c r="CG74" s="190">
        <f t="shared" si="18"/>
        <v>0</v>
      </c>
      <c r="CH74" s="237"/>
      <c r="CI74" s="161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08">
        <f t="shared" si="19"/>
        <v>0</v>
      </c>
      <c r="CU74" s="194" t="str">
        <f t="shared" si="20"/>
        <v>#DIV/0!</v>
      </c>
      <c r="CV74" s="196"/>
      <c r="CW74" s="167">
        <f t="shared" si="22"/>
        <v>21.42857143</v>
      </c>
      <c r="CX74" s="169">
        <f t="shared" si="23"/>
        <v>3</v>
      </c>
      <c r="CY74" s="197"/>
    </row>
    <row r="75" ht="15.75" customHeight="1">
      <c r="A75" s="172">
        <v>66.0</v>
      </c>
      <c r="B75" s="305" t="s">
        <v>177</v>
      </c>
      <c r="C75" s="306" t="s">
        <v>178</v>
      </c>
      <c r="D75" s="125">
        <f t="shared" si="7"/>
        <v>6</v>
      </c>
      <c r="E75" s="127">
        <f t="shared" si="8"/>
        <v>42.85714286</v>
      </c>
      <c r="F75" s="200">
        <f t="shared" si="9"/>
        <v>42.85714286</v>
      </c>
      <c r="G75" s="220" t="str">
        <f t="shared" si="10"/>
        <v>  </v>
      </c>
      <c r="H75" s="230"/>
      <c r="I75" s="209"/>
      <c r="J75" s="209"/>
      <c r="K75" s="209"/>
      <c r="L75" s="210"/>
      <c r="M75" s="302">
        <v>1.0</v>
      </c>
      <c r="N75" s="210"/>
      <c r="O75" s="210"/>
      <c r="P75" s="210"/>
      <c r="Q75" s="210"/>
      <c r="R75" s="147">
        <f t="shared" si="11"/>
        <v>1</v>
      </c>
      <c r="S75" s="198">
        <f t="shared" si="24"/>
        <v>100</v>
      </c>
      <c r="T75" s="230"/>
      <c r="U75" s="209"/>
      <c r="V75" s="209"/>
      <c r="W75" s="209"/>
      <c r="X75" s="209"/>
      <c r="Y75" s="225">
        <v>1.0</v>
      </c>
      <c r="Z75" s="209"/>
      <c r="AA75" s="209"/>
      <c r="AB75" s="209"/>
      <c r="AC75" s="138"/>
      <c r="AD75" s="209"/>
      <c r="AE75" s="209"/>
      <c r="AF75" s="209"/>
      <c r="AG75" s="209"/>
      <c r="AH75" s="209"/>
      <c r="AI75" s="209"/>
      <c r="AJ75" s="209"/>
      <c r="AK75" s="210"/>
      <c r="AL75" s="294">
        <f t="shared" si="13"/>
        <v>1</v>
      </c>
      <c r="AM75" s="202">
        <f t="shared" si="14"/>
        <v>20</v>
      </c>
      <c r="AN75" s="230"/>
      <c r="AO75" s="209"/>
      <c r="AP75" s="209"/>
      <c r="AQ75" s="209"/>
      <c r="AR75" s="209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209"/>
      <c r="BG75" s="225">
        <v>1.0</v>
      </c>
      <c r="BH75" s="225">
        <v>1.0</v>
      </c>
      <c r="BI75" s="294">
        <f t="shared" si="15"/>
        <v>2</v>
      </c>
      <c r="BJ75" s="204">
        <f t="shared" si="16"/>
        <v>50</v>
      </c>
      <c r="BK75" s="230"/>
      <c r="BL75" s="209"/>
      <c r="BM75" s="209"/>
      <c r="BN75" s="225">
        <v>1.0</v>
      </c>
      <c r="BO75" s="209"/>
      <c r="BP75" s="225">
        <v>1.0</v>
      </c>
      <c r="BQ75" s="209"/>
      <c r="BR75" s="209"/>
      <c r="BS75" s="209"/>
      <c r="BT75" s="209"/>
      <c r="BU75" s="209"/>
      <c r="BV75" s="209"/>
      <c r="BW75" s="140"/>
      <c r="BX75" s="209"/>
      <c r="BY75" s="217"/>
      <c r="BZ75" s="217"/>
      <c r="CA75" s="217"/>
      <c r="CB75" s="217"/>
      <c r="CC75" s="217"/>
      <c r="CD75" s="217"/>
      <c r="CE75" s="217"/>
      <c r="CF75" s="205">
        <f t="shared" si="17"/>
        <v>2</v>
      </c>
      <c r="CG75" s="190">
        <f t="shared" si="18"/>
        <v>66.66666667</v>
      </c>
      <c r="CH75" s="237"/>
      <c r="CI75" s="161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08">
        <f t="shared" si="19"/>
        <v>0</v>
      </c>
      <c r="CU75" s="194" t="str">
        <f t="shared" si="20"/>
        <v>#DIV/0!</v>
      </c>
      <c r="CV75" s="196"/>
      <c r="CW75" s="167">
        <f t="shared" si="22"/>
        <v>42.85714286</v>
      </c>
      <c r="CX75" s="169">
        <f t="shared" si="23"/>
        <v>6</v>
      </c>
      <c r="CY75" s="197"/>
    </row>
    <row r="76" ht="15.75" customHeight="1">
      <c r="A76" s="172">
        <v>67.0</v>
      </c>
      <c r="B76" s="307" t="s">
        <v>179</v>
      </c>
      <c r="C76" s="308" t="s">
        <v>180</v>
      </c>
      <c r="D76" s="125">
        <f t="shared" si="7"/>
        <v>3</v>
      </c>
      <c r="E76" s="127">
        <f t="shared" si="8"/>
        <v>21.42857143</v>
      </c>
      <c r="F76" s="200">
        <f t="shared" si="9"/>
        <v>21.42857143</v>
      </c>
      <c r="G76" s="220">
        <f t="shared" si="10"/>
        <v>21.42857143</v>
      </c>
      <c r="H76" s="230"/>
      <c r="I76" s="209"/>
      <c r="J76" s="209"/>
      <c r="K76" s="209"/>
      <c r="L76" s="210"/>
      <c r="M76" s="274"/>
      <c r="N76" s="210"/>
      <c r="O76" s="210"/>
      <c r="P76" s="210"/>
      <c r="Q76" s="210"/>
      <c r="R76" s="147">
        <f t="shared" si="11"/>
        <v>0</v>
      </c>
      <c r="S76" s="198">
        <f t="shared" si="24"/>
        <v>0</v>
      </c>
      <c r="T76" s="230"/>
      <c r="U76" s="209"/>
      <c r="V76" s="209"/>
      <c r="W76" s="209"/>
      <c r="X76" s="209"/>
      <c r="Y76" s="209"/>
      <c r="Z76" s="225">
        <v>1.0</v>
      </c>
      <c r="AA76" s="209"/>
      <c r="AB76" s="209"/>
      <c r="AC76" s="138"/>
      <c r="AD76" s="225">
        <v>1.0</v>
      </c>
      <c r="AE76" s="209"/>
      <c r="AF76" s="209"/>
      <c r="AG76" s="209"/>
      <c r="AH76" s="209"/>
      <c r="AI76" s="209"/>
      <c r="AJ76" s="209"/>
      <c r="AK76" s="210"/>
      <c r="AL76" s="294">
        <f t="shared" si="13"/>
        <v>2</v>
      </c>
      <c r="AM76" s="202">
        <f t="shared" si="14"/>
        <v>40</v>
      </c>
      <c r="AN76" s="230"/>
      <c r="AO76" s="209"/>
      <c r="AP76" s="209"/>
      <c r="AQ76" s="209"/>
      <c r="AR76" s="209"/>
      <c r="AS76" s="209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94">
        <f t="shared" si="15"/>
        <v>0</v>
      </c>
      <c r="BJ76" s="204">
        <f t="shared" si="16"/>
        <v>0</v>
      </c>
      <c r="BK76" s="230"/>
      <c r="BL76" s="209"/>
      <c r="BM76" s="209"/>
      <c r="BN76" s="209"/>
      <c r="BO76" s="209"/>
      <c r="BP76" s="209"/>
      <c r="BQ76" s="209"/>
      <c r="BR76" s="209"/>
      <c r="BS76" s="209"/>
      <c r="BT76" s="225">
        <v>1.0</v>
      </c>
      <c r="BU76" s="209"/>
      <c r="BV76" s="209"/>
      <c r="BW76" s="140"/>
      <c r="BX76" s="209"/>
      <c r="BY76" s="217"/>
      <c r="BZ76" s="217"/>
      <c r="CA76" s="217"/>
      <c r="CB76" s="217"/>
      <c r="CC76" s="217"/>
      <c r="CD76" s="217"/>
      <c r="CE76" s="217"/>
      <c r="CF76" s="205">
        <f t="shared" si="17"/>
        <v>1</v>
      </c>
      <c r="CG76" s="190">
        <f t="shared" si="18"/>
        <v>33.33333333</v>
      </c>
      <c r="CH76" s="237"/>
      <c r="CI76" s="161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08">
        <f t="shared" si="19"/>
        <v>0</v>
      </c>
      <c r="CU76" s="194" t="str">
        <f t="shared" si="20"/>
        <v>#DIV/0!</v>
      </c>
      <c r="CV76" s="196"/>
      <c r="CW76" s="167">
        <f t="shared" si="22"/>
        <v>21.42857143</v>
      </c>
      <c r="CX76" s="169">
        <f t="shared" si="23"/>
        <v>3</v>
      </c>
      <c r="CY76" s="197"/>
    </row>
    <row r="77" ht="15.75" customHeight="1">
      <c r="A77" s="122">
        <v>68.0</v>
      </c>
      <c r="B77" s="307" t="s">
        <v>181</v>
      </c>
      <c r="C77" s="308" t="s">
        <v>182</v>
      </c>
      <c r="D77" s="125">
        <f t="shared" si="7"/>
        <v>3</v>
      </c>
      <c r="E77" s="127">
        <f t="shared" si="8"/>
        <v>21.42857143</v>
      </c>
      <c r="F77" s="200">
        <f t="shared" si="9"/>
        <v>21.42857143</v>
      </c>
      <c r="G77" s="220">
        <f t="shared" si="10"/>
        <v>21.42857143</v>
      </c>
      <c r="H77" s="230"/>
      <c r="I77" s="209"/>
      <c r="J77" s="209"/>
      <c r="K77" s="209"/>
      <c r="L77" s="210"/>
      <c r="M77" s="274"/>
      <c r="N77" s="210"/>
      <c r="O77" s="210"/>
      <c r="P77" s="210"/>
      <c r="Q77" s="210"/>
      <c r="R77" s="147">
        <f t="shared" si="11"/>
        <v>0</v>
      </c>
      <c r="S77" s="198">
        <f t="shared" si="24"/>
        <v>0</v>
      </c>
      <c r="T77" s="230"/>
      <c r="U77" s="209"/>
      <c r="V77" s="209"/>
      <c r="W77" s="209"/>
      <c r="X77" s="209"/>
      <c r="Y77" s="225">
        <v>1.0</v>
      </c>
      <c r="Z77" s="209"/>
      <c r="AA77" s="209"/>
      <c r="AB77" s="209"/>
      <c r="AC77" s="138"/>
      <c r="AD77" s="209"/>
      <c r="AE77" s="209"/>
      <c r="AF77" s="209"/>
      <c r="AG77" s="209"/>
      <c r="AH77" s="209"/>
      <c r="AI77" s="209"/>
      <c r="AJ77" s="209"/>
      <c r="AK77" s="210"/>
      <c r="AL77" s="294">
        <f t="shared" si="13"/>
        <v>1</v>
      </c>
      <c r="AM77" s="202">
        <f t="shared" si="14"/>
        <v>20</v>
      </c>
      <c r="AN77" s="230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25">
        <v>1.0</v>
      </c>
      <c r="BD77" s="209"/>
      <c r="BE77" s="209"/>
      <c r="BF77" s="209"/>
      <c r="BG77" s="209"/>
      <c r="BH77" s="209"/>
      <c r="BI77" s="294">
        <f t="shared" si="15"/>
        <v>1</v>
      </c>
      <c r="BJ77" s="204">
        <f t="shared" si="16"/>
        <v>25</v>
      </c>
      <c r="BK77" s="230"/>
      <c r="BL77" s="209"/>
      <c r="BM77" s="209"/>
      <c r="BN77" s="209"/>
      <c r="BO77" s="209"/>
      <c r="BP77" s="209"/>
      <c r="BQ77" s="209"/>
      <c r="BR77" s="209"/>
      <c r="BS77" s="209"/>
      <c r="BT77" s="225">
        <v>1.0</v>
      </c>
      <c r="BU77" s="209"/>
      <c r="BV77" s="209"/>
      <c r="BW77" s="140"/>
      <c r="BX77" s="209"/>
      <c r="BY77" s="217"/>
      <c r="BZ77" s="217"/>
      <c r="CA77" s="217"/>
      <c r="CB77" s="217"/>
      <c r="CC77" s="217"/>
      <c r="CD77" s="217"/>
      <c r="CE77" s="217"/>
      <c r="CF77" s="205">
        <f t="shared" si="17"/>
        <v>1</v>
      </c>
      <c r="CG77" s="190">
        <f t="shared" si="18"/>
        <v>33.33333333</v>
      </c>
      <c r="CH77" s="237"/>
      <c r="CI77" s="161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08">
        <f t="shared" si="19"/>
        <v>0</v>
      </c>
      <c r="CU77" s="194" t="str">
        <f t="shared" si="20"/>
        <v>#DIV/0!</v>
      </c>
      <c r="CV77" s="196"/>
      <c r="CW77" s="167">
        <f t="shared" si="22"/>
        <v>21.42857143</v>
      </c>
      <c r="CX77" s="169">
        <f t="shared" si="23"/>
        <v>3</v>
      </c>
      <c r="CY77" s="197"/>
    </row>
    <row r="78" ht="15.75" customHeight="1">
      <c r="A78" s="172">
        <v>69.0</v>
      </c>
      <c r="B78" s="307" t="s">
        <v>183</v>
      </c>
      <c r="C78" s="308" t="s">
        <v>184</v>
      </c>
      <c r="D78" s="125">
        <f t="shared" si="7"/>
        <v>8</v>
      </c>
      <c r="E78" s="127">
        <f t="shared" si="8"/>
        <v>57.14285714</v>
      </c>
      <c r="F78" s="200" t="str">
        <f t="shared" si="9"/>
        <v>  </v>
      </c>
      <c r="G78" s="193" t="str">
        <f t="shared" si="10"/>
        <v>  </v>
      </c>
      <c r="H78" s="230"/>
      <c r="I78" s="209"/>
      <c r="J78" s="209"/>
      <c r="K78" s="209"/>
      <c r="L78" s="210"/>
      <c r="M78" s="302">
        <v>1.0</v>
      </c>
      <c r="N78" s="210"/>
      <c r="O78" s="210"/>
      <c r="P78" s="210"/>
      <c r="Q78" s="210"/>
      <c r="R78" s="147">
        <f t="shared" si="11"/>
        <v>1</v>
      </c>
      <c r="S78" s="198">
        <f t="shared" si="24"/>
        <v>100</v>
      </c>
      <c r="T78" s="230"/>
      <c r="U78" s="209"/>
      <c r="V78" s="209"/>
      <c r="W78" s="209"/>
      <c r="X78" s="209"/>
      <c r="Y78" s="225"/>
      <c r="Z78" s="225">
        <v>1.0</v>
      </c>
      <c r="AA78" s="209"/>
      <c r="AB78" s="209"/>
      <c r="AC78" s="138"/>
      <c r="AD78" s="225">
        <v>1.0</v>
      </c>
      <c r="AE78" s="225">
        <v>1.0</v>
      </c>
      <c r="AF78" s="209"/>
      <c r="AG78" s="209"/>
      <c r="AH78" s="209"/>
      <c r="AI78" s="209"/>
      <c r="AJ78" s="209"/>
      <c r="AK78" s="210"/>
      <c r="AL78" s="294">
        <f t="shared" si="13"/>
        <v>3</v>
      </c>
      <c r="AM78" s="202">
        <f t="shared" si="14"/>
        <v>60</v>
      </c>
      <c r="AN78" s="230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25">
        <v>1.0</v>
      </c>
      <c r="BD78" s="209"/>
      <c r="BE78" s="209"/>
      <c r="BF78" s="209"/>
      <c r="BG78" s="209"/>
      <c r="BH78" s="225">
        <v>1.0</v>
      </c>
      <c r="BI78" s="294">
        <f t="shared" si="15"/>
        <v>2</v>
      </c>
      <c r="BJ78" s="204">
        <f t="shared" si="16"/>
        <v>50</v>
      </c>
      <c r="BK78" s="230"/>
      <c r="BL78" s="209"/>
      <c r="BM78" s="209"/>
      <c r="BN78" s="209"/>
      <c r="BO78" s="209"/>
      <c r="BP78" s="225">
        <v>1.0</v>
      </c>
      <c r="BQ78" s="209"/>
      <c r="BR78" s="209"/>
      <c r="BS78" s="209"/>
      <c r="BT78" s="225">
        <v>1.0</v>
      </c>
      <c r="BU78" s="209"/>
      <c r="BV78" s="209"/>
      <c r="BW78" s="140"/>
      <c r="BX78" s="209"/>
      <c r="BY78" s="217"/>
      <c r="BZ78" s="217"/>
      <c r="CA78" s="217"/>
      <c r="CB78" s="217"/>
      <c r="CC78" s="217"/>
      <c r="CD78" s="217"/>
      <c r="CE78" s="217"/>
      <c r="CF78" s="205">
        <f t="shared" si="17"/>
        <v>2</v>
      </c>
      <c r="CG78" s="190">
        <f t="shared" si="18"/>
        <v>66.66666667</v>
      </c>
      <c r="CH78" s="237"/>
      <c r="CI78" s="161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08">
        <f t="shared" si="19"/>
        <v>0</v>
      </c>
      <c r="CU78" s="194" t="str">
        <f t="shared" si="20"/>
        <v>#DIV/0!</v>
      </c>
      <c r="CV78" s="196"/>
      <c r="CW78" s="167">
        <f t="shared" si="22"/>
        <v>57.14285714</v>
      </c>
      <c r="CX78" s="169">
        <f t="shared" si="23"/>
        <v>8</v>
      </c>
      <c r="CY78" s="197"/>
    </row>
    <row r="79" ht="15.75" customHeight="1">
      <c r="A79" s="172">
        <v>70.0</v>
      </c>
      <c r="B79" s="307" t="s">
        <v>185</v>
      </c>
      <c r="C79" s="308" t="s">
        <v>186</v>
      </c>
      <c r="D79" s="125">
        <f t="shared" si="7"/>
        <v>3</v>
      </c>
      <c r="E79" s="127">
        <f t="shared" si="8"/>
        <v>21.42857143</v>
      </c>
      <c r="F79" s="200">
        <f t="shared" si="9"/>
        <v>21.42857143</v>
      </c>
      <c r="G79" s="220">
        <f t="shared" si="10"/>
        <v>21.42857143</v>
      </c>
      <c r="H79" s="230"/>
      <c r="I79" s="209"/>
      <c r="J79" s="209"/>
      <c r="K79" s="209"/>
      <c r="L79" s="210"/>
      <c r="M79" s="274"/>
      <c r="N79" s="210"/>
      <c r="O79" s="210"/>
      <c r="P79" s="210"/>
      <c r="Q79" s="210"/>
      <c r="R79" s="147">
        <f t="shared" si="11"/>
        <v>0</v>
      </c>
      <c r="S79" s="198">
        <f t="shared" si="24"/>
        <v>0</v>
      </c>
      <c r="T79" s="230"/>
      <c r="U79" s="209"/>
      <c r="V79" s="209"/>
      <c r="W79" s="209"/>
      <c r="X79" s="209"/>
      <c r="Y79" s="225">
        <v>1.0</v>
      </c>
      <c r="Z79" s="225">
        <v>1.0</v>
      </c>
      <c r="AA79" s="209"/>
      <c r="AB79" s="209"/>
      <c r="AC79" s="138"/>
      <c r="AD79" s="209"/>
      <c r="AE79" s="209"/>
      <c r="AF79" s="209"/>
      <c r="AG79" s="209"/>
      <c r="AH79" s="209"/>
      <c r="AI79" s="209"/>
      <c r="AJ79" s="209"/>
      <c r="AK79" s="210"/>
      <c r="AL79" s="294">
        <f t="shared" si="13"/>
        <v>2</v>
      </c>
      <c r="AM79" s="202">
        <f t="shared" si="14"/>
        <v>40</v>
      </c>
      <c r="AN79" s="230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94">
        <f t="shared" si="15"/>
        <v>0</v>
      </c>
      <c r="BJ79" s="204">
        <f t="shared" si="16"/>
        <v>0</v>
      </c>
      <c r="BK79" s="230"/>
      <c r="BL79" s="209"/>
      <c r="BM79" s="209"/>
      <c r="BN79" s="209"/>
      <c r="BO79" s="209"/>
      <c r="BP79" s="209"/>
      <c r="BQ79" s="209"/>
      <c r="BR79" s="209"/>
      <c r="BS79" s="209"/>
      <c r="BT79" s="225">
        <v>1.0</v>
      </c>
      <c r="BU79" s="209"/>
      <c r="BV79" s="209"/>
      <c r="BW79" s="140"/>
      <c r="BX79" s="209"/>
      <c r="BY79" s="217"/>
      <c r="BZ79" s="217"/>
      <c r="CA79" s="217"/>
      <c r="CB79" s="217"/>
      <c r="CC79" s="217"/>
      <c r="CD79" s="217"/>
      <c r="CE79" s="217"/>
      <c r="CF79" s="205">
        <f t="shared" si="17"/>
        <v>1</v>
      </c>
      <c r="CG79" s="190">
        <f t="shared" si="18"/>
        <v>33.33333333</v>
      </c>
      <c r="CH79" s="237"/>
      <c r="CI79" s="161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08">
        <f t="shared" si="19"/>
        <v>0</v>
      </c>
      <c r="CU79" s="194" t="str">
        <f t="shared" si="20"/>
        <v>#DIV/0!</v>
      </c>
      <c r="CV79" s="196"/>
      <c r="CW79" s="167">
        <f t="shared" si="22"/>
        <v>21.42857143</v>
      </c>
      <c r="CX79" s="169">
        <f t="shared" si="23"/>
        <v>3</v>
      </c>
      <c r="CY79" s="197"/>
    </row>
    <row r="80" ht="15.75" customHeight="1">
      <c r="A80" s="122">
        <v>71.0</v>
      </c>
      <c r="B80" s="307" t="s">
        <v>187</v>
      </c>
      <c r="C80" s="308" t="s">
        <v>188</v>
      </c>
      <c r="D80" s="125">
        <f t="shared" si="7"/>
        <v>1</v>
      </c>
      <c r="E80" s="127">
        <f t="shared" si="8"/>
        <v>7.142857143</v>
      </c>
      <c r="F80" s="200">
        <f t="shared" si="9"/>
        <v>7.142857143</v>
      </c>
      <c r="G80" s="220">
        <f t="shared" si="10"/>
        <v>7.142857143</v>
      </c>
      <c r="H80" s="230"/>
      <c r="I80" s="209"/>
      <c r="J80" s="209"/>
      <c r="K80" s="209"/>
      <c r="L80" s="210"/>
      <c r="M80" s="274"/>
      <c r="N80" s="210"/>
      <c r="O80" s="210"/>
      <c r="P80" s="210"/>
      <c r="Q80" s="210"/>
      <c r="R80" s="147">
        <f t="shared" si="11"/>
        <v>0</v>
      </c>
      <c r="S80" s="198">
        <f t="shared" si="24"/>
        <v>0</v>
      </c>
      <c r="T80" s="230"/>
      <c r="U80" s="209"/>
      <c r="V80" s="209"/>
      <c r="W80" s="209"/>
      <c r="X80" s="209"/>
      <c r="Y80" s="209"/>
      <c r="Z80" s="209"/>
      <c r="AA80" s="209"/>
      <c r="AB80" s="209"/>
      <c r="AC80" s="138"/>
      <c r="AD80" s="209"/>
      <c r="AE80" s="209"/>
      <c r="AF80" s="209"/>
      <c r="AG80" s="209"/>
      <c r="AH80" s="209"/>
      <c r="AI80" s="209"/>
      <c r="AJ80" s="209"/>
      <c r="AK80" s="210"/>
      <c r="AL80" s="294">
        <f t="shared" si="13"/>
        <v>0</v>
      </c>
      <c r="AM80" s="202">
        <f t="shared" si="14"/>
        <v>0</v>
      </c>
      <c r="AN80" s="230"/>
      <c r="AO80" s="209"/>
      <c r="AP80" s="209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94">
        <f t="shared" si="15"/>
        <v>0</v>
      </c>
      <c r="BJ80" s="204">
        <f t="shared" si="16"/>
        <v>0</v>
      </c>
      <c r="BK80" s="230"/>
      <c r="BL80" s="209"/>
      <c r="BM80" s="209"/>
      <c r="BN80" s="209"/>
      <c r="BO80" s="209"/>
      <c r="BP80" s="209"/>
      <c r="BQ80" s="209"/>
      <c r="BR80" s="209"/>
      <c r="BS80" s="209"/>
      <c r="BT80" s="225">
        <v>1.0</v>
      </c>
      <c r="BU80" s="209"/>
      <c r="BV80" s="209"/>
      <c r="BW80" s="140"/>
      <c r="BX80" s="209"/>
      <c r="BY80" s="217"/>
      <c r="BZ80" s="217"/>
      <c r="CA80" s="217"/>
      <c r="CB80" s="217"/>
      <c r="CC80" s="217"/>
      <c r="CD80" s="217"/>
      <c r="CE80" s="217"/>
      <c r="CF80" s="205">
        <f t="shared" si="17"/>
        <v>1</v>
      </c>
      <c r="CG80" s="190">
        <f t="shared" si="18"/>
        <v>33.33333333</v>
      </c>
      <c r="CH80" s="237"/>
      <c r="CI80" s="161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08">
        <f t="shared" si="19"/>
        <v>0</v>
      </c>
      <c r="CU80" s="194" t="str">
        <f t="shared" si="20"/>
        <v>#DIV/0!</v>
      </c>
      <c r="CV80" s="196"/>
      <c r="CW80" s="167">
        <f t="shared" si="22"/>
        <v>7.142857143</v>
      </c>
      <c r="CX80" s="169">
        <f t="shared" si="23"/>
        <v>1</v>
      </c>
      <c r="CY80" s="197"/>
    </row>
    <row r="81" ht="15.75" customHeight="1">
      <c r="A81" s="172">
        <v>72.0</v>
      </c>
      <c r="B81" s="307" t="s">
        <v>189</v>
      </c>
      <c r="C81" s="308" t="s">
        <v>190</v>
      </c>
      <c r="D81" s="125">
        <f t="shared" si="7"/>
        <v>1</v>
      </c>
      <c r="E81" s="127">
        <f t="shared" si="8"/>
        <v>7.142857143</v>
      </c>
      <c r="F81" s="200">
        <f t="shared" si="9"/>
        <v>7.142857143</v>
      </c>
      <c r="G81" s="220">
        <f t="shared" si="10"/>
        <v>7.142857143</v>
      </c>
      <c r="H81" s="230"/>
      <c r="I81" s="209"/>
      <c r="J81" s="209"/>
      <c r="K81" s="209"/>
      <c r="L81" s="210"/>
      <c r="M81" s="274"/>
      <c r="N81" s="210"/>
      <c r="O81" s="210"/>
      <c r="P81" s="210"/>
      <c r="Q81" s="210"/>
      <c r="R81" s="147">
        <f t="shared" si="11"/>
        <v>0</v>
      </c>
      <c r="S81" s="198">
        <f t="shared" si="24"/>
        <v>0</v>
      </c>
      <c r="T81" s="230"/>
      <c r="U81" s="209"/>
      <c r="V81" s="209"/>
      <c r="W81" s="209"/>
      <c r="X81" s="209"/>
      <c r="Y81" s="209"/>
      <c r="Z81" s="225">
        <v>1.0</v>
      </c>
      <c r="AA81" s="209"/>
      <c r="AB81" s="209"/>
      <c r="AC81" s="138"/>
      <c r="AD81" s="209"/>
      <c r="AE81" s="209"/>
      <c r="AF81" s="209"/>
      <c r="AG81" s="209"/>
      <c r="AH81" s="209"/>
      <c r="AI81" s="209"/>
      <c r="AJ81" s="209"/>
      <c r="AK81" s="210"/>
      <c r="AL81" s="294">
        <f t="shared" si="13"/>
        <v>1</v>
      </c>
      <c r="AM81" s="202">
        <f t="shared" si="14"/>
        <v>20</v>
      </c>
      <c r="AN81" s="230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  <c r="BI81" s="294">
        <f t="shared" si="15"/>
        <v>0</v>
      </c>
      <c r="BJ81" s="204">
        <f t="shared" si="16"/>
        <v>0</v>
      </c>
      <c r="BK81" s="230"/>
      <c r="BL81" s="209"/>
      <c r="BM81" s="209"/>
      <c r="BN81" s="209"/>
      <c r="BO81" s="209"/>
      <c r="BP81" s="209"/>
      <c r="BQ81" s="209"/>
      <c r="BR81" s="209"/>
      <c r="BS81" s="209"/>
      <c r="BT81" s="209"/>
      <c r="BU81" s="209"/>
      <c r="BV81" s="209"/>
      <c r="BW81" s="140"/>
      <c r="BX81" s="209"/>
      <c r="BY81" s="217"/>
      <c r="BZ81" s="217"/>
      <c r="CA81" s="217"/>
      <c r="CB81" s="217"/>
      <c r="CC81" s="217"/>
      <c r="CD81" s="217"/>
      <c r="CE81" s="217"/>
      <c r="CF81" s="205">
        <f t="shared" si="17"/>
        <v>0</v>
      </c>
      <c r="CG81" s="190">
        <f t="shared" si="18"/>
        <v>0</v>
      </c>
      <c r="CH81" s="237"/>
      <c r="CI81" s="161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08">
        <f t="shared" si="19"/>
        <v>0</v>
      </c>
      <c r="CU81" s="194" t="str">
        <f t="shared" si="20"/>
        <v>#DIV/0!</v>
      </c>
      <c r="CV81" s="196"/>
      <c r="CW81" s="167">
        <f t="shared" si="22"/>
        <v>7.142857143</v>
      </c>
      <c r="CX81" s="169">
        <f t="shared" si="23"/>
        <v>1</v>
      </c>
      <c r="CY81" s="197"/>
    </row>
    <row r="82" ht="15.75" customHeight="1">
      <c r="A82" s="172">
        <v>73.0</v>
      </c>
      <c r="B82" s="307" t="s">
        <v>191</v>
      </c>
      <c r="C82" s="308" t="s">
        <v>192</v>
      </c>
      <c r="D82" s="125">
        <f t="shared" si="7"/>
        <v>4</v>
      </c>
      <c r="E82" s="127">
        <f t="shared" si="8"/>
        <v>28.57142857</v>
      </c>
      <c r="F82" s="200">
        <f t="shared" si="9"/>
        <v>28.57142857</v>
      </c>
      <c r="G82" s="220">
        <f t="shared" si="10"/>
        <v>28.57142857</v>
      </c>
      <c r="H82" s="230"/>
      <c r="I82" s="209"/>
      <c r="J82" s="209"/>
      <c r="K82" s="209"/>
      <c r="L82" s="210"/>
      <c r="M82" s="274"/>
      <c r="N82" s="210"/>
      <c r="O82" s="210"/>
      <c r="P82" s="210"/>
      <c r="Q82" s="210"/>
      <c r="R82" s="147">
        <f t="shared" si="11"/>
        <v>0</v>
      </c>
      <c r="S82" s="198">
        <f t="shared" si="24"/>
        <v>0</v>
      </c>
      <c r="T82" s="230"/>
      <c r="U82" s="209"/>
      <c r="V82" s="209"/>
      <c r="W82" s="209"/>
      <c r="X82" s="209"/>
      <c r="Y82" s="225">
        <v>1.0</v>
      </c>
      <c r="Z82" s="225">
        <v>1.0</v>
      </c>
      <c r="AA82" s="209"/>
      <c r="AB82" s="209"/>
      <c r="AC82" s="138"/>
      <c r="AD82" s="209"/>
      <c r="AE82" s="209"/>
      <c r="AF82" s="209"/>
      <c r="AG82" s="209"/>
      <c r="AH82" s="209"/>
      <c r="AI82" s="209"/>
      <c r="AJ82" s="209"/>
      <c r="AK82" s="210"/>
      <c r="AL82" s="294">
        <f t="shared" si="13"/>
        <v>2</v>
      </c>
      <c r="AM82" s="202">
        <f t="shared" si="14"/>
        <v>40</v>
      </c>
      <c r="AN82" s="230"/>
      <c r="AO82" s="209"/>
      <c r="AP82" s="209"/>
      <c r="AQ82" s="209"/>
      <c r="AR82" s="209"/>
      <c r="AS82" s="209"/>
      <c r="AT82" s="209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209"/>
      <c r="BG82" s="209"/>
      <c r="BH82" s="209"/>
      <c r="BI82" s="294">
        <f t="shared" si="15"/>
        <v>0</v>
      </c>
      <c r="BJ82" s="204">
        <f t="shared" si="16"/>
        <v>0</v>
      </c>
      <c r="BK82" s="230"/>
      <c r="BL82" s="209"/>
      <c r="BM82" s="209"/>
      <c r="BN82" s="209"/>
      <c r="BO82" s="209"/>
      <c r="BP82" s="225">
        <v>1.0</v>
      </c>
      <c r="BQ82" s="209"/>
      <c r="BR82" s="209"/>
      <c r="BS82" s="209"/>
      <c r="BT82" s="225">
        <v>1.0</v>
      </c>
      <c r="BU82" s="209"/>
      <c r="BV82" s="209"/>
      <c r="BW82" s="140"/>
      <c r="BX82" s="209"/>
      <c r="BY82" s="217"/>
      <c r="BZ82" s="217"/>
      <c r="CA82" s="217"/>
      <c r="CB82" s="217"/>
      <c r="CC82" s="217"/>
      <c r="CD82" s="217"/>
      <c r="CE82" s="217"/>
      <c r="CF82" s="205">
        <f t="shared" si="17"/>
        <v>2</v>
      </c>
      <c r="CG82" s="190">
        <f t="shared" si="18"/>
        <v>66.66666667</v>
      </c>
      <c r="CH82" s="237"/>
      <c r="CI82" s="161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08">
        <f t="shared" si="19"/>
        <v>0</v>
      </c>
      <c r="CU82" s="194" t="str">
        <f t="shared" si="20"/>
        <v>#DIV/0!</v>
      </c>
      <c r="CV82" s="196"/>
      <c r="CW82" s="167">
        <f t="shared" si="22"/>
        <v>28.57142857</v>
      </c>
      <c r="CX82" s="169">
        <f t="shared" si="23"/>
        <v>4</v>
      </c>
      <c r="CY82" s="197"/>
    </row>
    <row r="83" ht="15.75" customHeight="1">
      <c r="A83" s="122">
        <v>74.0</v>
      </c>
      <c r="B83" s="307" t="s">
        <v>193</v>
      </c>
      <c r="C83" s="308" t="s">
        <v>194</v>
      </c>
      <c r="D83" s="125">
        <f t="shared" si="7"/>
        <v>0</v>
      </c>
      <c r="E83" s="127">
        <f t="shared" si="8"/>
        <v>0</v>
      </c>
      <c r="F83" s="200">
        <f t="shared" si="9"/>
        <v>0</v>
      </c>
      <c r="G83" s="220">
        <f t="shared" si="10"/>
        <v>0</v>
      </c>
      <c r="H83" s="230"/>
      <c r="I83" s="209"/>
      <c r="J83" s="209"/>
      <c r="K83" s="209"/>
      <c r="L83" s="210"/>
      <c r="M83" s="274"/>
      <c r="N83" s="210"/>
      <c r="O83" s="210"/>
      <c r="P83" s="210"/>
      <c r="Q83" s="210"/>
      <c r="R83" s="147">
        <f t="shared" si="11"/>
        <v>0</v>
      </c>
      <c r="S83" s="198">
        <f t="shared" si="24"/>
        <v>0</v>
      </c>
      <c r="T83" s="230"/>
      <c r="U83" s="209"/>
      <c r="V83" s="209"/>
      <c r="W83" s="209"/>
      <c r="X83" s="209"/>
      <c r="Y83" s="209"/>
      <c r="Z83" s="209"/>
      <c r="AA83" s="209"/>
      <c r="AB83" s="209"/>
      <c r="AC83" s="138"/>
      <c r="AD83" s="209"/>
      <c r="AE83" s="209"/>
      <c r="AF83" s="209"/>
      <c r="AG83" s="209"/>
      <c r="AH83" s="209"/>
      <c r="AI83" s="209"/>
      <c r="AJ83" s="209"/>
      <c r="AK83" s="210"/>
      <c r="AL83" s="294">
        <f t="shared" si="13"/>
        <v>0</v>
      </c>
      <c r="AM83" s="202">
        <f t="shared" si="14"/>
        <v>0</v>
      </c>
      <c r="AN83" s="230"/>
      <c r="AO83" s="209"/>
      <c r="AP83" s="209"/>
      <c r="AQ83" s="209"/>
      <c r="AR83" s="209"/>
      <c r="AS83" s="209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94">
        <f t="shared" si="15"/>
        <v>0</v>
      </c>
      <c r="BJ83" s="204">
        <f t="shared" si="16"/>
        <v>0</v>
      </c>
      <c r="BK83" s="230"/>
      <c r="BL83" s="209"/>
      <c r="BM83" s="209"/>
      <c r="BN83" s="209"/>
      <c r="BO83" s="209"/>
      <c r="BP83" s="209"/>
      <c r="BQ83" s="209"/>
      <c r="BR83" s="209"/>
      <c r="BS83" s="209"/>
      <c r="BT83" s="209"/>
      <c r="BU83" s="209"/>
      <c r="BV83" s="209"/>
      <c r="BW83" s="289"/>
      <c r="BX83" s="209"/>
      <c r="BY83" s="217"/>
      <c r="BZ83" s="217"/>
      <c r="CA83" s="217"/>
      <c r="CB83" s="217"/>
      <c r="CC83" s="217"/>
      <c r="CD83" s="217"/>
      <c r="CE83" s="217"/>
      <c r="CF83" s="205">
        <f t="shared" si="17"/>
        <v>0</v>
      </c>
      <c r="CG83" s="190">
        <f t="shared" si="18"/>
        <v>0</v>
      </c>
      <c r="CH83" s="237"/>
      <c r="CI83" s="161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08">
        <f t="shared" si="19"/>
        <v>0</v>
      </c>
      <c r="CU83" s="194" t="str">
        <f t="shared" si="20"/>
        <v>#DIV/0!</v>
      </c>
      <c r="CV83" s="196"/>
      <c r="CW83" s="167">
        <f t="shared" si="22"/>
        <v>0</v>
      </c>
      <c r="CX83" s="169">
        <f t="shared" si="23"/>
        <v>0</v>
      </c>
      <c r="CY83" s="197"/>
    </row>
    <row r="84" ht="15.75" customHeight="1">
      <c r="A84" s="172">
        <v>75.0</v>
      </c>
      <c r="B84" s="307" t="s">
        <v>195</v>
      </c>
      <c r="C84" s="308" t="s">
        <v>196</v>
      </c>
      <c r="D84" s="125">
        <f t="shared" si="7"/>
        <v>5</v>
      </c>
      <c r="E84" s="127">
        <f t="shared" si="8"/>
        <v>35.71428571</v>
      </c>
      <c r="F84" s="200">
        <f t="shared" si="9"/>
        <v>35.71428571</v>
      </c>
      <c r="G84" s="193" t="str">
        <f t="shared" si="10"/>
        <v>  </v>
      </c>
      <c r="H84" s="230"/>
      <c r="I84" s="209"/>
      <c r="J84" s="209"/>
      <c r="K84" s="209"/>
      <c r="L84" s="210"/>
      <c r="M84" s="274"/>
      <c r="N84" s="210"/>
      <c r="O84" s="210"/>
      <c r="P84" s="210"/>
      <c r="Q84" s="210"/>
      <c r="R84" s="147">
        <f t="shared" si="11"/>
        <v>0</v>
      </c>
      <c r="S84" s="198">
        <f t="shared" si="24"/>
        <v>0</v>
      </c>
      <c r="T84" s="230"/>
      <c r="U84" s="209"/>
      <c r="V84" s="209"/>
      <c r="W84" s="209"/>
      <c r="X84" s="209"/>
      <c r="Y84" s="209"/>
      <c r="Z84" s="225">
        <v>1.0</v>
      </c>
      <c r="AA84" s="209"/>
      <c r="AB84" s="209"/>
      <c r="AC84" s="138"/>
      <c r="AD84" s="209"/>
      <c r="AE84" s="225">
        <v>1.0</v>
      </c>
      <c r="AF84" s="209"/>
      <c r="AG84" s="209"/>
      <c r="AH84" s="209"/>
      <c r="AI84" s="209"/>
      <c r="AJ84" s="209"/>
      <c r="AK84" s="210"/>
      <c r="AL84" s="294">
        <f t="shared" si="13"/>
        <v>2</v>
      </c>
      <c r="AM84" s="202">
        <f t="shared" si="14"/>
        <v>40</v>
      </c>
      <c r="AN84" s="230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25">
        <v>1.0</v>
      </c>
      <c r="BD84" s="209"/>
      <c r="BE84" s="209"/>
      <c r="BF84" s="209"/>
      <c r="BG84" s="209"/>
      <c r="BH84" s="209"/>
      <c r="BI84" s="294">
        <f t="shared" si="15"/>
        <v>1</v>
      </c>
      <c r="BJ84" s="204">
        <f t="shared" si="16"/>
        <v>25</v>
      </c>
      <c r="BK84" s="230"/>
      <c r="BL84" s="209"/>
      <c r="BM84" s="209"/>
      <c r="BN84" s="209"/>
      <c r="BO84" s="209"/>
      <c r="BP84" s="225">
        <v>1.0</v>
      </c>
      <c r="BQ84" s="209"/>
      <c r="BR84" s="209"/>
      <c r="BS84" s="209"/>
      <c r="BT84" s="225">
        <v>1.0</v>
      </c>
      <c r="BU84" s="209"/>
      <c r="BV84" s="209"/>
      <c r="BW84" s="289"/>
      <c r="BX84" s="209"/>
      <c r="BY84" s="217"/>
      <c r="BZ84" s="217"/>
      <c r="CA84" s="217"/>
      <c r="CB84" s="217"/>
      <c r="CC84" s="217"/>
      <c r="CD84" s="217"/>
      <c r="CE84" s="217"/>
      <c r="CF84" s="205">
        <f t="shared" si="17"/>
        <v>2</v>
      </c>
      <c r="CG84" s="190">
        <f t="shared" si="18"/>
        <v>66.66666667</v>
      </c>
      <c r="CH84" s="237"/>
      <c r="CI84" s="32"/>
      <c r="CJ84" s="217"/>
      <c r="CK84" s="217"/>
      <c r="CL84" s="217"/>
      <c r="CM84" s="217"/>
      <c r="CN84" s="32"/>
      <c r="CO84" s="217"/>
      <c r="CP84" s="217"/>
      <c r="CQ84" s="217"/>
      <c r="CR84" s="217"/>
      <c r="CS84" s="217"/>
      <c r="CT84" s="208">
        <f t="shared" si="19"/>
        <v>0</v>
      </c>
      <c r="CU84" s="194" t="str">
        <f t="shared" si="20"/>
        <v>#DIV/0!</v>
      </c>
      <c r="CV84" s="196"/>
      <c r="CW84" s="167">
        <f t="shared" si="22"/>
        <v>35.71428571</v>
      </c>
      <c r="CX84" s="169">
        <f t="shared" si="23"/>
        <v>5</v>
      </c>
      <c r="CY84" s="197"/>
    </row>
    <row r="85" ht="15.75" customHeight="1">
      <c r="A85" s="172">
        <v>76.0</v>
      </c>
      <c r="B85" s="307" t="s">
        <v>197</v>
      </c>
      <c r="C85" s="308" t="s">
        <v>198</v>
      </c>
      <c r="D85" s="125">
        <f t="shared" si="7"/>
        <v>3</v>
      </c>
      <c r="E85" s="127">
        <f t="shared" si="8"/>
        <v>21.42857143</v>
      </c>
      <c r="F85" s="200">
        <f t="shared" si="9"/>
        <v>21.42857143</v>
      </c>
      <c r="G85" s="220">
        <f t="shared" si="10"/>
        <v>21.42857143</v>
      </c>
      <c r="H85" s="230"/>
      <c r="I85" s="209"/>
      <c r="J85" s="209"/>
      <c r="K85" s="161"/>
      <c r="L85" s="310"/>
      <c r="M85" s="302">
        <v>1.0</v>
      </c>
      <c r="N85" s="310"/>
      <c r="O85" s="310"/>
      <c r="P85" s="310"/>
      <c r="Q85" s="310"/>
      <c r="R85" s="147">
        <f t="shared" si="11"/>
        <v>1</v>
      </c>
      <c r="S85" s="198">
        <f t="shared" si="24"/>
        <v>100</v>
      </c>
      <c r="T85" s="230"/>
      <c r="U85" s="209"/>
      <c r="V85" s="209"/>
      <c r="W85" s="209"/>
      <c r="X85" s="209"/>
      <c r="Y85" s="225">
        <v>1.0</v>
      </c>
      <c r="Z85" s="225">
        <v>1.0</v>
      </c>
      <c r="AA85" s="209"/>
      <c r="AB85" s="209"/>
      <c r="AC85" s="138"/>
      <c r="AD85" s="209"/>
      <c r="AE85" s="209"/>
      <c r="AF85" s="209"/>
      <c r="AG85" s="209"/>
      <c r="AH85" s="209"/>
      <c r="AI85" s="209"/>
      <c r="AJ85" s="209"/>
      <c r="AK85" s="210"/>
      <c r="AL85" s="294">
        <f t="shared" si="13"/>
        <v>2</v>
      </c>
      <c r="AM85" s="202">
        <f t="shared" si="14"/>
        <v>40</v>
      </c>
      <c r="AN85" s="230"/>
      <c r="AO85" s="209"/>
      <c r="AP85" s="209"/>
      <c r="AQ85" s="209"/>
      <c r="AR85" s="209"/>
      <c r="AS85" s="209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209"/>
      <c r="BG85" s="209"/>
      <c r="BH85" s="209"/>
      <c r="BI85" s="294">
        <f t="shared" si="15"/>
        <v>0</v>
      </c>
      <c r="BJ85" s="204">
        <f t="shared" si="16"/>
        <v>0</v>
      </c>
      <c r="BK85" s="230"/>
      <c r="BL85" s="209"/>
      <c r="BM85" s="209"/>
      <c r="BN85" s="209"/>
      <c r="BO85" s="209"/>
      <c r="BP85" s="209"/>
      <c r="BQ85" s="209"/>
      <c r="BR85" s="209"/>
      <c r="BS85" s="209"/>
      <c r="BT85" s="209"/>
      <c r="BU85" s="209"/>
      <c r="BV85" s="209"/>
      <c r="BW85" s="289"/>
      <c r="BX85" s="209"/>
      <c r="BY85" s="217"/>
      <c r="BZ85" s="217"/>
      <c r="CA85" s="217"/>
      <c r="CB85" s="217"/>
      <c r="CC85" s="217"/>
      <c r="CD85" s="217"/>
      <c r="CE85" s="217"/>
      <c r="CF85" s="205">
        <f t="shared" si="17"/>
        <v>0</v>
      </c>
      <c r="CG85" s="190">
        <f t="shared" si="18"/>
        <v>0</v>
      </c>
      <c r="CH85" s="237"/>
      <c r="CI85" s="32"/>
      <c r="CJ85" s="217"/>
      <c r="CK85" s="217"/>
      <c r="CL85" s="217"/>
      <c r="CM85" s="217"/>
      <c r="CN85" s="32"/>
      <c r="CO85" s="217"/>
      <c r="CP85" s="217"/>
      <c r="CQ85" s="217"/>
      <c r="CR85" s="217"/>
      <c r="CS85" s="217"/>
      <c r="CT85" s="208">
        <f t="shared" si="19"/>
        <v>0</v>
      </c>
      <c r="CU85" s="194" t="str">
        <f t="shared" si="20"/>
        <v>#DIV/0!</v>
      </c>
      <c r="CV85" s="196"/>
      <c r="CW85" s="167">
        <f t="shared" si="22"/>
        <v>21.42857143</v>
      </c>
      <c r="CX85" s="169">
        <f t="shared" si="23"/>
        <v>3</v>
      </c>
      <c r="CY85" s="197"/>
    </row>
    <row r="86" ht="15.75" customHeight="1">
      <c r="A86" s="122">
        <v>77.0</v>
      </c>
      <c r="B86" s="307" t="s">
        <v>199</v>
      </c>
      <c r="C86" s="308" t="s">
        <v>200</v>
      </c>
      <c r="D86" s="125">
        <f t="shared" si="7"/>
        <v>4</v>
      </c>
      <c r="E86" s="127">
        <f t="shared" si="8"/>
        <v>28.57142857</v>
      </c>
      <c r="F86" s="200">
        <f t="shared" si="9"/>
        <v>28.57142857</v>
      </c>
      <c r="G86" s="220">
        <f t="shared" si="10"/>
        <v>28.57142857</v>
      </c>
      <c r="H86" s="230"/>
      <c r="I86" s="209"/>
      <c r="J86" s="209"/>
      <c r="K86" s="161"/>
      <c r="L86" s="310"/>
      <c r="M86" s="274"/>
      <c r="N86" s="310"/>
      <c r="O86" s="310"/>
      <c r="P86" s="310"/>
      <c r="Q86" s="310"/>
      <c r="R86" s="147">
        <f t="shared" si="11"/>
        <v>0</v>
      </c>
      <c r="S86" s="198">
        <f t="shared" si="24"/>
        <v>0</v>
      </c>
      <c r="T86" s="230"/>
      <c r="U86" s="209"/>
      <c r="V86" s="209"/>
      <c r="W86" s="209"/>
      <c r="X86" s="209"/>
      <c r="Y86" s="225">
        <v>1.0</v>
      </c>
      <c r="Z86" s="225">
        <v>1.0</v>
      </c>
      <c r="AA86" s="209"/>
      <c r="AB86" s="209"/>
      <c r="AC86" s="138"/>
      <c r="AD86" s="225">
        <v>1.0</v>
      </c>
      <c r="AE86" s="209"/>
      <c r="AF86" s="209"/>
      <c r="AG86" s="209"/>
      <c r="AH86" s="209"/>
      <c r="AI86" s="209"/>
      <c r="AJ86" s="209"/>
      <c r="AK86" s="210"/>
      <c r="AL86" s="294">
        <f t="shared" si="13"/>
        <v>3</v>
      </c>
      <c r="AM86" s="202">
        <f t="shared" si="14"/>
        <v>60</v>
      </c>
      <c r="AN86" s="230"/>
      <c r="AO86" s="209"/>
      <c r="AP86" s="209"/>
      <c r="AQ86" s="209"/>
      <c r="AR86" s="209"/>
      <c r="AS86" s="209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94">
        <f t="shared" si="15"/>
        <v>0</v>
      </c>
      <c r="BJ86" s="204">
        <f t="shared" si="16"/>
        <v>0</v>
      </c>
      <c r="BK86" s="230"/>
      <c r="BL86" s="209"/>
      <c r="BM86" s="209"/>
      <c r="BN86" s="209"/>
      <c r="BO86" s="209"/>
      <c r="BP86" s="209"/>
      <c r="BQ86" s="209"/>
      <c r="BR86" s="209"/>
      <c r="BS86" s="209"/>
      <c r="BT86" s="225">
        <v>1.0</v>
      </c>
      <c r="BU86" s="209"/>
      <c r="BV86" s="209"/>
      <c r="BW86" s="289"/>
      <c r="BX86" s="209"/>
      <c r="BY86" s="217"/>
      <c r="BZ86" s="217"/>
      <c r="CA86" s="217"/>
      <c r="CB86" s="217"/>
      <c r="CC86" s="217"/>
      <c r="CD86" s="217"/>
      <c r="CE86" s="217"/>
      <c r="CF86" s="205">
        <f t="shared" si="17"/>
        <v>1</v>
      </c>
      <c r="CG86" s="190">
        <f t="shared" si="18"/>
        <v>33.33333333</v>
      </c>
      <c r="CH86" s="237"/>
      <c r="CI86" s="32"/>
      <c r="CJ86" s="217"/>
      <c r="CK86" s="217"/>
      <c r="CL86" s="217"/>
      <c r="CM86" s="217"/>
      <c r="CN86" s="32"/>
      <c r="CO86" s="217"/>
      <c r="CP86" s="217"/>
      <c r="CQ86" s="217"/>
      <c r="CR86" s="217"/>
      <c r="CS86" s="217"/>
      <c r="CT86" s="208">
        <f t="shared" si="19"/>
        <v>0</v>
      </c>
      <c r="CU86" s="194" t="str">
        <f t="shared" si="20"/>
        <v>#DIV/0!</v>
      </c>
      <c r="CV86" s="196"/>
      <c r="CW86" s="167">
        <f t="shared" si="22"/>
        <v>28.57142857</v>
      </c>
      <c r="CX86" s="169">
        <f t="shared" si="23"/>
        <v>4</v>
      </c>
      <c r="CY86" s="197"/>
    </row>
    <row r="87" ht="15.75" customHeight="1">
      <c r="A87" s="172">
        <v>78.0</v>
      </c>
      <c r="B87" s="307" t="s">
        <v>201</v>
      </c>
      <c r="C87" s="308" t="s">
        <v>202</v>
      </c>
      <c r="D87" s="125">
        <f t="shared" si="7"/>
        <v>0</v>
      </c>
      <c r="E87" s="127">
        <f t="shared" si="8"/>
        <v>0</v>
      </c>
      <c r="F87" s="200">
        <f t="shared" si="9"/>
        <v>0</v>
      </c>
      <c r="G87" s="220">
        <f t="shared" si="10"/>
        <v>0</v>
      </c>
      <c r="H87" s="230"/>
      <c r="I87" s="209"/>
      <c r="J87" s="209"/>
      <c r="K87" s="161"/>
      <c r="L87" s="310"/>
      <c r="M87" s="288"/>
      <c r="N87" s="310"/>
      <c r="O87" s="310"/>
      <c r="P87" s="310"/>
      <c r="Q87" s="310"/>
      <c r="R87" s="147">
        <f t="shared" si="11"/>
        <v>0</v>
      </c>
      <c r="S87" s="198">
        <f t="shared" si="24"/>
        <v>0</v>
      </c>
      <c r="T87" s="230"/>
      <c r="U87" s="209"/>
      <c r="V87" s="209"/>
      <c r="W87" s="209"/>
      <c r="X87" s="209"/>
      <c r="Y87" s="209"/>
      <c r="Z87" s="209"/>
      <c r="AA87" s="209"/>
      <c r="AB87" s="209"/>
      <c r="AC87" s="138"/>
      <c r="AD87" s="209"/>
      <c r="AE87" s="209"/>
      <c r="AF87" s="209"/>
      <c r="AG87" s="209"/>
      <c r="AH87" s="209"/>
      <c r="AI87" s="209"/>
      <c r="AJ87" s="209"/>
      <c r="AK87" s="210"/>
      <c r="AL87" s="294">
        <f t="shared" si="13"/>
        <v>0</v>
      </c>
      <c r="AM87" s="202">
        <f t="shared" si="14"/>
        <v>0</v>
      </c>
      <c r="AN87" s="230"/>
      <c r="AO87" s="209"/>
      <c r="AP87" s="209"/>
      <c r="AQ87" s="209"/>
      <c r="AR87" s="32"/>
      <c r="AS87" s="209"/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209"/>
      <c r="BG87" s="209"/>
      <c r="BH87" s="209"/>
      <c r="BI87" s="294">
        <f t="shared" si="15"/>
        <v>0</v>
      </c>
      <c r="BJ87" s="204">
        <f t="shared" si="16"/>
        <v>0</v>
      </c>
      <c r="BK87" s="230"/>
      <c r="BL87" s="209"/>
      <c r="BM87" s="209"/>
      <c r="BN87" s="209"/>
      <c r="BO87" s="209"/>
      <c r="BP87" s="209"/>
      <c r="BQ87" s="209"/>
      <c r="BR87" s="209"/>
      <c r="BS87" s="209"/>
      <c r="BT87" s="209"/>
      <c r="BU87" s="209"/>
      <c r="BV87" s="209"/>
      <c r="BW87" s="289"/>
      <c r="BX87" s="209"/>
      <c r="BY87" s="217"/>
      <c r="BZ87" s="217"/>
      <c r="CA87" s="217"/>
      <c r="CB87" s="217"/>
      <c r="CC87" s="217"/>
      <c r="CD87" s="217"/>
      <c r="CE87" s="217"/>
      <c r="CF87" s="205">
        <f t="shared" si="17"/>
        <v>0</v>
      </c>
      <c r="CG87" s="190">
        <f t="shared" si="18"/>
        <v>0</v>
      </c>
      <c r="CH87" s="237"/>
      <c r="CI87" s="32"/>
      <c r="CJ87" s="217"/>
      <c r="CK87" s="217"/>
      <c r="CL87" s="217"/>
      <c r="CM87" s="217"/>
      <c r="CN87" s="32"/>
      <c r="CO87" s="217"/>
      <c r="CP87" s="217"/>
      <c r="CQ87" s="217"/>
      <c r="CR87" s="217"/>
      <c r="CS87" s="217"/>
      <c r="CT87" s="208">
        <f t="shared" si="19"/>
        <v>0</v>
      </c>
      <c r="CU87" s="194" t="str">
        <f t="shared" si="20"/>
        <v>#DIV/0!</v>
      </c>
      <c r="CV87" s="196"/>
      <c r="CW87" s="167">
        <f t="shared" si="22"/>
        <v>0</v>
      </c>
      <c r="CX87" s="169">
        <f t="shared" si="23"/>
        <v>0</v>
      </c>
      <c r="CY87" s="197"/>
    </row>
    <row r="88" ht="15.75" customHeight="1">
      <c r="A88" s="172">
        <v>79.0</v>
      </c>
      <c r="B88" s="152" t="s">
        <v>203</v>
      </c>
      <c r="C88" s="311" t="s">
        <v>204</v>
      </c>
      <c r="D88" s="125">
        <f t="shared" si="7"/>
        <v>2</v>
      </c>
      <c r="E88" s="127">
        <f t="shared" si="8"/>
        <v>14.28571429</v>
      </c>
      <c r="F88" s="200">
        <f t="shared" si="9"/>
        <v>14.28571429</v>
      </c>
      <c r="G88" s="220">
        <f t="shared" si="10"/>
        <v>14.28571429</v>
      </c>
      <c r="H88" s="32"/>
      <c r="I88" s="32"/>
      <c r="J88" s="32"/>
      <c r="K88" s="32"/>
      <c r="L88" s="312"/>
      <c r="M88" s="288"/>
      <c r="N88" s="312"/>
      <c r="O88" s="312"/>
      <c r="P88" s="312"/>
      <c r="Q88" s="312"/>
      <c r="R88" s="147">
        <f t="shared" si="11"/>
        <v>0</v>
      </c>
      <c r="S88" s="198">
        <f t="shared" si="24"/>
        <v>0</v>
      </c>
      <c r="T88" s="32"/>
      <c r="U88" s="32"/>
      <c r="V88" s="32"/>
      <c r="W88" s="32"/>
      <c r="X88" s="32"/>
      <c r="Y88" s="32"/>
      <c r="Z88" s="32"/>
      <c r="AA88" s="32"/>
      <c r="AB88" s="32"/>
      <c r="AC88" s="138"/>
      <c r="AD88" s="32"/>
      <c r="AE88" s="290">
        <v>1.0</v>
      </c>
      <c r="AF88" s="32"/>
      <c r="AG88" s="32"/>
      <c r="AH88" s="32"/>
      <c r="AI88" s="32"/>
      <c r="AJ88" s="32"/>
      <c r="AK88" s="312"/>
      <c r="AL88" s="294">
        <f t="shared" si="13"/>
        <v>1</v>
      </c>
      <c r="AM88" s="202">
        <f t="shared" si="14"/>
        <v>20</v>
      </c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290">
        <v>1.0</v>
      </c>
      <c r="BH88" s="32"/>
      <c r="BI88" s="294">
        <f t="shared" si="15"/>
        <v>1</v>
      </c>
      <c r="BJ88" s="204">
        <f t="shared" si="16"/>
        <v>25</v>
      </c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289"/>
      <c r="BX88" s="32"/>
      <c r="BY88" s="32"/>
      <c r="BZ88" s="32"/>
      <c r="CA88" s="32"/>
      <c r="CB88" s="32"/>
      <c r="CC88" s="32"/>
      <c r="CD88" s="32"/>
      <c r="CE88" s="32"/>
      <c r="CF88" s="205">
        <f t="shared" si="17"/>
        <v>0</v>
      </c>
      <c r="CG88" s="190">
        <f t="shared" si="18"/>
        <v>0</v>
      </c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208">
        <f t="shared" si="19"/>
        <v>0</v>
      </c>
      <c r="CU88" s="194" t="str">
        <f t="shared" si="20"/>
        <v>#DIV/0!</v>
      </c>
      <c r="CV88" s="196"/>
      <c r="CW88" s="167">
        <f t="shared" si="22"/>
        <v>14.28571429</v>
      </c>
      <c r="CX88" s="169">
        <f t="shared" si="23"/>
        <v>2</v>
      </c>
      <c r="CY88" s="197"/>
    </row>
    <row r="89" ht="15.75" customHeight="1">
      <c r="A89" s="122">
        <v>80.0</v>
      </c>
      <c r="B89" s="313" t="s">
        <v>205</v>
      </c>
      <c r="C89" s="314" t="s">
        <v>206</v>
      </c>
      <c r="D89" s="125">
        <f t="shared" si="7"/>
        <v>0</v>
      </c>
      <c r="E89" s="127">
        <f t="shared" si="8"/>
        <v>0</v>
      </c>
      <c r="F89" s="200">
        <f t="shared" si="9"/>
        <v>0</v>
      </c>
      <c r="G89" s="220">
        <f t="shared" si="10"/>
        <v>0</v>
      </c>
      <c r="H89" s="32"/>
      <c r="I89" s="32"/>
      <c r="J89" s="32"/>
      <c r="K89" s="32"/>
      <c r="L89" s="312"/>
      <c r="M89" s="288"/>
      <c r="N89" s="312"/>
      <c r="O89" s="312"/>
      <c r="P89" s="312"/>
      <c r="Q89" s="312"/>
      <c r="R89" s="147">
        <f t="shared" si="11"/>
        <v>0</v>
      </c>
      <c r="S89" s="198">
        <f t="shared" si="24"/>
        <v>0</v>
      </c>
      <c r="T89" s="32"/>
      <c r="U89" s="32"/>
      <c r="V89" s="32"/>
      <c r="W89" s="32"/>
      <c r="X89" s="32"/>
      <c r="Y89" s="32"/>
      <c r="Z89" s="32"/>
      <c r="AA89" s="32"/>
      <c r="AB89" s="32"/>
      <c r="AC89" s="138"/>
      <c r="AD89" s="32"/>
      <c r="AE89" s="32"/>
      <c r="AF89" s="32"/>
      <c r="AG89" s="32"/>
      <c r="AH89" s="32"/>
      <c r="AI89" s="32"/>
      <c r="AJ89" s="32"/>
      <c r="AK89" s="312"/>
      <c r="AL89" s="294">
        <f t="shared" si="13"/>
        <v>0</v>
      </c>
      <c r="AM89" s="202">
        <f t="shared" si="14"/>
        <v>0</v>
      </c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294">
        <f t="shared" si="15"/>
        <v>0</v>
      </c>
      <c r="BJ89" s="204">
        <f t="shared" si="16"/>
        <v>0</v>
      </c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289"/>
      <c r="BX89" s="32"/>
      <c r="BY89" s="32"/>
      <c r="BZ89" s="32"/>
      <c r="CA89" s="32"/>
      <c r="CB89" s="32"/>
      <c r="CC89" s="32"/>
      <c r="CD89" s="32"/>
      <c r="CE89" s="32"/>
      <c r="CF89" s="205">
        <f t="shared" si="17"/>
        <v>0</v>
      </c>
      <c r="CG89" s="190">
        <f t="shared" si="18"/>
        <v>0</v>
      </c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208">
        <f t="shared" si="19"/>
        <v>0</v>
      </c>
      <c r="CU89" s="194" t="str">
        <f t="shared" si="20"/>
        <v>#DIV/0!</v>
      </c>
      <c r="CV89" s="196"/>
      <c r="CW89" s="167">
        <f t="shared" si="22"/>
        <v>0</v>
      </c>
      <c r="CX89" s="169">
        <f t="shared" si="23"/>
        <v>0</v>
      </c>
      <c r="CY89" s="197"/>
    </row>
    <row r="90" ht="15.75" customHeight="1">
      <c r="A90" s="172">
        <v>81.0</v>
      </c>
      <c r="B90" s="152" t="s">
        <v>207</v>
      </c>
      <c r="C90" s="314" t="s">
        <v>208</v>
      </c>
      <c r="D90" s="125">
        <f t="shared" si="7"/>
        <v>5</v>
      </c>
      <c r="E90" s="127">
        <f t="shared" si="8"/>
        <v>35.71428571</v>
      </c>
      <c r="F90" s="200">
        <f t="shared" si="9"/>
        <v>35.71428571</v>
      </c>
      <c r="G90" s="193" t="str">
        <f t="shared" si="10"/>
        <v>  </v>
      </c>
      <c r="H90" s="32"/>
      <c r="I90" s="32"/>
      <c r="J90" s="32"/>
      <c r="K90" s="32"/>
      <c r="L90" s="312"/>
      <c r="M90" s="304">
        <v>1.0</v>
      </c>
      <c r="N90" s="312"/>
      <c r="O90" s="312"/>
      <c r="P90" s="312"/>
      <c r="Q90" s="312"/>
      <c r="R90" s="147">
        <f t="shared" si="11"/>
        <v>1</v>
      </c>
      <c r="S90" s="198">
        <f t="shared" si="24"/>
        <v>100</v>
      </c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290">
        <v>1.0</v>
      </c>
      <c r="AJ90" s="32"/>
      <c r="AK90" s="312"/>
      <c r="AL90" s="294">
        <f t="shared" si="13"/>
        <v>1</v>
      </c>
      <c r="AM90" s="202">
        <f t="shared" si="14"/>
        <v>20</v>
      </c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294">
        <f t="shared" si="15"/>
        <v>0</v>
      </c>
      <c r="BJ90" s="204">
        <f t="shared" si="16"/>
        <v>0</v>
      </c>
      <c r="BK90" s="32"/>
      <c r="BL90" s="32"/>
      <c r="BM90" s="32"/>
      <c r="BN90" s="290">
        <v>1.0</v>
      </c>
      <c r="BO90" s="32"/>
      <c r="BP90" s="290">
        <v>1.0</v>
      </c>
      <c r="BQ90" s="32"/>
      <c r="BR90" s="32"/>
      <c r="BS90" s="32"/>
      <c r="BT90" s="290">
        <v>1.0</v>
      </c>
      <c r="BU90" s="32"/>
      <c r="BV90" s="32"/>
      <c r="BW90" s="289"/>
      <c r="BX90" s="32"/>
      <c r="BY90" s="32"/>
      <c r="BZ90" s="32"/>
      <c r="CA90" s="32"/>
      <c r="CB90" s="32"/>
      <c r="CC90" s="32"/>
      <c r="CD90" s="32"/>
      <c r="CE90" s="32"/>
      <c r="CF90" s="205">
        <f t="shared" si="17"/>
        <v>3</v>
      </c>
      <c r="CG90" s="190">
        <f t="shared" si="18"/>
        <v>100</v>
      </c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208">
        <f t="shared" si="19"/>
        <v>0</v>
      </c>
      <c r="CU90" s="194" t="str">
        <f t="shared" si="20"/>
        <v>#DIV/0!</v>
      </c>
      <c r="CV90" s="196"/>
      <c r="CW90" s="167">
        <f t="shared" si="22"/>
        <v>35.71428571</v>
      </c>
      <c r="CX90" s="169">
        <f t="shared" si="23"/>
        <v>5</v>
      </c>
      <c r="CY90" s="197"/>
    </row>
    <row r="91" ht="15.75" customHeight="1">
      <c r="A91" s="172">
        <v>82.0</v>
      </c>
      <c r="B91" s="152" t="s">
        <v>209</v>
      </c>
      <c r="C91" s="314" t="s">
        <v>210</v>
      </c>
      <c r="D91" s="125">
        <f t="shared" si="7"/>
        <v>4</v>
      </c>
      <c r="E91" s="127">
        <f t="shared" si="8"/>
        <v>28.57142857</v>
      </c>
      <c r="F91" s="200">
        <f t="shared" si="9"/>
        <v>28.57142857</v>
      </c>
      <c r="G91" s="220">
        <f t="shared" si="10"/>
        <v>28.57142857</v>
      </c>
      <c r="H91" s="32"/>
      <c r="I91" s="32"/>
      <c r="J91" s="32"/>
      <c r="K91" s="32"/>
      <c r="L91" s="312"/>
      <c r="M91" s="288"/>
      <c r="N91" s="312"/>
      <c r="O91" s="312"/>
      <c r="P91" s="312"/>
      <c r="Q91" s="312"/>
      <c r="R91" s="147">
        <f t="shared" si="11"/>
        <v>0</v>
      </c>
      <c r="S91" s="198">
        <f t="shared" si="24"/>
        <v>0</v>
      </c>
      <c r="T91" s="32"/>
      <c r="U91" s="32"/>
      <c r="V91" s="32"/>
      <c r="W91" s="32"/>
      <c r="X91" s="32"/>
      <c r="Y91" s="290">
        <v>1.0</v>
      </c>
      <c r="Z91" s="290">
        <v>1.0</v>
      </c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12"/>
      <c r="AL91" s="294">
        <f t="shared" si="13"/>
        <v>2</v>
      </c>
      <c r="AM91" s="202">
        <f t="shared" si="14"/>
        <v>40</v>
      </c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290">
        <v>1.0</v>
      </c>
      <c r="BH91" s="290">
        <v>1.0</v>
      </c>
      <c r="BI91" s="294">
        <f t="shared" si="15"/>
        <v>2</v>
      </c>
      <c r="BJ91" s="204">
        <f t="shared" si="16"/>
        <v>50</v>
      </c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289"/>
      <c r="BX91" s="32"/>
      <c r="BY91" s="32"/>
      <c r="BZ91" s="32"/>
      <c r="CA91" s="32"/>
      <c r="CB91" s="32"/>
      <c r="CC91" s="32"/>
      <c r="CD91" s="32"/>
      <c r="CE91" s="32"/>
      <c r="CF91" s="205">
        <f t="shared" si="17"/>
        <v>0</v>
      </c>
      <c r="CG91" s="190">
        <f t="shared" si="18"/>
        <v>0</v>
      </c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208">
        <f t="shared" si="19"/>
        <v>0</v>
      </c>
      <c r="CU91" s="194" t="str">
        <f t="shared" si="20"/>
        <v>#DIV/0!</v>
      </c>
      <c r="CV91" s="196"/>
      <c r="CW91" s="167">
        <f t="shared" si="22"/>
        <v>28.57142857</v>
      </c>
      <c r="CX91" s="169">
        <f t="shared" si="23"/>
        <v>4</v>
      </c>
      <c r="CY91" s="197"/>
    </row>
    <row r="92" ht="15.75" customHeight="1">
      <c r="A92" s="122">
        <v>83.0</v>
      </c>
      <c r="B92" s="315" t="s">
        <v>211</v>
      </c>
      <c r="C92" s="32" t="s">
        <v>214</v>
      </c>
      <c r="D92" s="316">
        <f t="shared" si="7"/>
        <v>4</v>
      </c>
      <c r="E92" s="127">
        <f t="shared" si="8"/>
        <v>28.57142857</v>
      </c>
      <c r="F92" s="200">
        <f t="shared" si="9"/>
        <v>28.57142857</v>
      </c>
      <c r="G92" s="200">
        <f t="shared" si="10"/>
        <v>28.57142857</v>
      </c>
      <c r="H92" s="32"/>
      <c r="I92" s="32"/>
      <c r="J92" s="32"/>
      <c r="K92" s="32"/>
      <c r="L92" s="32"/>
      <c r="M92" s="287"/>
      <c r="N92" s="32"/>
      <c r="O92" s="32"/>
      <c r="P92" s="32"/>
      <c r="Q92" s="32"/>
      <c r="R92" s="147">
        <f t="shared" si="11"/>
        <v>0</v>
      </c>
      <c r="S92" s="198">
        <f t="shared" si="24"/>
        <v>0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290">
        <v>1.0</v>
      </c>
      <c r="AJ92" s="32"/>
      <c r="AK92" s="32"/>
      <c r="AL92" s="294">
        <f t="shared" si="13"/>
        <v>1</v>
      </c>
      <c r="AM92" s="202">
        <f t="shared" si="14"/>
        <v>20</v>
      </c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290">
        <v>1.0</v>
      </c>
      <c r="BH92" s="32"/>
      <c r="BI92" s="294">
        <f t="shared" si="15"/>
        <v>1</v>
      </c>
      <c r="BJ92" s="204">
        <f t="shared" si="16"/>
        <v>25</v>
      </c>
      <c r="BK92" s="32"/>
      <c r="BL92" s="32"/>
      <c r="BM92" s="32"/>
      <c r="BN92" s="290">
        <v>1.0</v>
      </c>
      <c r="BO92" s="32"/>
      <c r="BP92" s="290">
        <v>1.0</v>
      </c>
      <c r="BQ92" s="32"/>
      <c r="BR92" s="32"/>
      <c r="BS92" s="32"/>
      <c r="BT92" s="32"/>
      <c r="BU92" s="32"/>
      <c r="BV92" s="32"/>
      <c r="BW92" s="289"/>
      <c r="BX92" s="32"/>
      <c r="BY92" s="32"/>
      <c r="BZ92" s="32"/>
      <c r="CA92" s="32"/>
      <c r="CB92" s="32"/>
      <c r="CC92" s="32"/>
      <c r="CD92" s="32"/>
      <c r="CE92" s="32"/>
      <c r="CF92" s="205">
        <f t="shared" si="17"/>
        <v>2</v>
      </c>
      <c r="CG92" s="190">
        <f t="shared" si="18"/>
        <v>66.66666667</v>
      </c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208">
        <f t="shared" si="19"/>
        <v>0</v>
      </c>
      <c r="CU92" s="194" t="str">
        <f t="shared" si="20"/>
        <v>#DIV/0!</v>
      </c>
      <c r="CV92" s="196"/>
      <c r="CW92" s="167">
        <f t="shared" si="22"/>
        <v>28.57142857</v>
      </c>
      <c r="CX92" s="169">
        <f t="shared" si="23"/>
        <v>4</v>
      </c>
      <c r="CY92" s="197"/>
    </row>
    <row r="93" ht="15.75" customHeight="1">
      <c r="A93" s="172">
        <v>84.0</v>
      </c>
      <c r="B93" s="32"/>
      <c r="C93" s="317" t="s">
        <v>213</v>
      </c>
      <c r="D93" s="316">
        <f t="shared" si="7"/>
        <v>0</v>
      </c>
      <c r="E93" s="127">
        <f t="shared" si="8"/>
        <v>0</v>
      </c>
      <c r="F93" s="200">
        <f t="shared" si="9"/>
        <v>0</v>
      </c>
      <c r="G93" s="200">
        <f t="shared" si="10"/>
        <v>0</v>
      </c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147">
        <f t="shared" si="11"/>
        <v>0</v>
      </c>
      <c r="S93" s="198">
        <f t="shared" si="2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294">
        <f t="shared" si="13"/>
        <v>0</v>
      </c>
      <c r="AM93" s="202">
        <f t="shared" si="14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294">
        <f t="shared" si="15"/>
        <v>0</v>
      </c>
      <c r="BJ93" s="204">
        <f t="shared" si="16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205">
        <f t="shared" si="17"/>
        <v>0</v>
      </c>
      <c r="CG93" s="190">
        <f t="shared" si="18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208">
        <f t="shared" si="19"/>
        <v>0</v>
      </c>
      <c r="CU93" s="194" t="str">
        <f t="shared" si="20"/>
        <v>#DIV/0!</v>
      </c>
      <c r="CV93" s="196"/>
      <c r="CW93" s="167">
        <f t="shared" si="22"/>
        <v>0</v>
      </c>
      <c r="CX93" s="169">
        <f t="shared" si="23"/>
        <v>0</v>
      </c>
      <c r="CY93" s="197"/>
    </row>
    <row r="94" ht="15.75" customHeight="1">
      <c r="A94" s="9"/>
      <c r="B94" s="10"/>
      <c r="C94" s="10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9"/>
      <c r="CY94" s="10"/>
    </row>
    <row r="95" ht="15.75" customHeight="1">
      <c r="A95" s="9"/>
      <c r="B95" s="10"/>
      <c r="C95" s="10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9"/>
      <c r="CY95" s="10"/>
    </row>
    <row r="96" ht="15.75" customHeight="1">
      <c r="A96" s="9"/>
      <c r="B96" s="10"/>
      <c r="C96" s="10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9"/>
      <c r="CY96" s="10"/>
    </row>
    <row r="97" ht="15.75" customHeight="1">
      <c r="A97" s="9"/>
      <c r="B97" s="10"/>
      <c r="C97" s="10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9"/>
      <c r="CY97" s="10"/>
    </row>
    <row r="98" ht="15.75" customHeight="1">
      <c r="A98" s="9"/>
      <c r="B98" s="10"/>
      <c r="C98" s="10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9"/>
      <c r="CY98" s="10"/>
    </row>
    <row r="99" ht="15.75" customHeight="1">
      <c r="A99" s="9"/>
      <c r="B99" s="10"/>
      <c r="C99" s="10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9"/>
      <c r="CY99" s="10"/>
    </row>
    <row r="100" ht="15.75" customHeight="1">
      <c r="A100" s="9"/>
      <c r="B100" s="10"/>
      <c r="C100" s="10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9"/>
      <c r="CY100" s="10"/>
    </row>
    <row r="101" ht="15.75" customHeight="1">
      <c r="A101" s="9"/>
      <c r="B101" s="10"/>
      <c r="C101" s="10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9"/>
      <c r="CY101" s="10"/>
    </row>
    <row r="102" ht="15.75" customHeight="1">
      <c r="A102" s="9"/>
      <c r="B102" s="10"/>
      <c r="C102" s="10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9"/>
      <c r="CY102" s="10"/>
    </row>
    <row r="103" ht="15.75" customHeight="1">
      <c r="A103" s="9"/>
      <c r="B103" s="10"/>
      <c r="C103" s="10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9"/>
      <c r="CY103" s="10"/>
    </row>
    <row r="104" ht="15.75" customHeight="1">
      <c r="A104" s="9"/>
      <c r="B104" s="10"/>
      <c r="C104" s="10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9"/>
      <c r="CY104" s="10"/>
    </row>
    <row r="105" ht="15.75" customHeight="1">
      <c r="A105" s="9"/>
      <c r="B105" s="10"/>
      <c r="C105" s="10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9"/>
      <c r="CY105" s="10"/>
    </row>
    <row r="106" ht="15.75" customHeight="1">
      <c r="A106" s="9"/>
      <c r="B106" s="10"/>
      <c r="C106" s="10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9"/>
      <c r="CY106" s="10"/>
    </row>
    <row r="107" ht="15.75" customHeight="1">
      <c r="A107" s="9"/>
      <c r="B107" s="10"/>
      <c r="C107" s="10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9"/>
      <c r="CY107" s="10"/>
    </row>
    <row r="108" ht="15.75" customHeight="1">
      <c r="A108" s="9"/>
      <c r="B108" s="10"/>
      <c r="C108" s="10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9"/>
      <c r="CY108" s="10"/>
    </row>
    <row r="109" ht="15.75" customHeight="1">
      <c r="A109" s="9"/>
      <c r="B109" s="10"/>
      <c r="C109" s="10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9"/>
      <c r="CY109" s="10"/>
    </row>
    <row r="110" ht="15.75" customHeight="1">
      <c r="A110" s="9"/>
      <c r="B110" s="10"/>
      <c r="C110" s="10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9"/>
      <c r="CY110" s="10"/>
    </row>
    <row r="111" ht="15.75" customHeight="1">
      <c r="A111" s="9"/>
      <c r="B111" s="10"/>
      <c r="C111" s="10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9"/>
      <c r="CY111" s="10"/>
    </row>
    <row r="112" ht="15.75" customHeight="1">
      <c r="A112" s="9"/>
      <c r="B112" s="10"/>
      <c r="C112" s="10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9"/>
      <c r="CY112" s="10"/>
    </row>
    <row r="113" ht="15.75" customHeight="1">
      <c r="A113" s="9"/>
      <c r="B113" s="10"/>
      <c r="C113" s="10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9"/>
      <c r="CY113" s="10"/>
    </row>
    <row r="114" ht="15.75" customHeight="1">
      <c r="A114" s="9"/>
      <c r="B114" s="10"/>
      <c r="C114" s="10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9"/>
      <c r="CY114" s="10"/>
    </row>
    <row r="115" ht="15.75" customHeight="1">
      <c r="A115" s="9"/>
      <c r="B115" s="10"/>
      <c r="C115" s="10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9"/>
      <c r="CY115" s="10"/>
    </row>
    <row r="116" ht="15.75" customHeight="1">
      <c r="A116" s="9"/>
      <c r="B116" s="10"/>
      <c r="C116" s="10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9"/>
      <c r="CY116" s="10"/>
    </row>
    <row r="117" ht="15.75" customHeight="1">
      <c r="A117" s="9"/>
      <c r="B117" s="10"/>
      <c r="C117" s="10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9"/>
      <c r="CY117" s="10"/>
    </row>
    <row r="118" ht="15.75" customHeight="1">
      <c r="A118" s="9"/>
      <c r="B118" s="10"/>
      <c r="C118" s="10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9"/>
      <c r="CY118" s="10"/>
    </row>
    <row r="119" ht="15.75" customHeight="1">
      <c r="A119" s="9"/>
      <c r="B119" s="10"/>
      <c r="C119" s="10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9"/>
      <c r="CY119" s="10"/>
    </row>
    <row r="120" ht="15.75" customHeight="1">
      <c r="A120" s="9"/>
      <c r="B120" s="10"/>
      <c r="C120" s="10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9"/>
      <c r="CY120" s="10"/>
    </row>
    <row r="121" ht="15.75" customHeight="1">
      <c r="A121" s="9"/>
      <c r="B121" s="10"/>
      <c r="C121" s="10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9"/>
      <c r="CY121" s="10"/>
    </row>
    <row r="122" ht="15.75" customHeight="1">
      <c r="A122" s="9"/>
      <c r="B122" s="10"/>
      <c r="C122" s="10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9"/>
      <c r="CY122" s="10"/>
    </row>
    <row r="123" ht="15.75" customHeight="1">
      <c r="A123" s="9"/>
      <c r="B123" s="10"/>
      <c r="C123" s="10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9"/>
      <c r="CY123" s="10"/>
    </row>
    <row r="124" ht="15.75" customHeight="1">
      <c r="A124" s="9"/>
      <c r="B124" s="10"/>
      <c r="C124" s="10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9"/>
      <c r="CY124" s="10"/>
    </row>
    <row r="125" ht="15.75" customHeight="1">
      <c r="A125" s="9"/>
      <c r="B125" s="10"/>
      <c r="C125" s="10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9"/>
      <c r="CY125" s="10"/>
    </row>
    <row r="126" ht="15.75" customHeight="1">
      <c r="A126" s="9"/>
      <c r="B126" s="10"/>
      <c r="C126" s="10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9"/>
      <c r="CY126" s="10"/>
    </row>
    <row r="127" ht="15.75" customHeight="1">
      <c r="A127" s="9"/>
      <c r="B127" s="10"/>
      <c r="C127" s="10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9"/>
      <c r="CY127" s="10"/>
    </row>
    <row r="128" ht="15.75" customHeight="1">
      <c r="A128" s="9"/>
      <c r="B128" s="10"/>
      <c r="C128" s="10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9"/>
      <c r="CY128" s="10"/>
    </row>
    <row r="129" ht="15.75" customHeight="1">
      <c r="A129" s="9"/>
      <c r="B129" s="10"/>
      <c r="C129" s="10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9"/>
      <c r="CY129" s="10"/>
    </row>
    <row r="130" ht="15.75" customHeight="1">
      <c r="A130" s="9"/>
      <c r="B130" s="10"/>
      <c r="C130" s="10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9"/>
      <c r="CY130" s="10"/>
    </row>
    <row r="131" ht="15.75" customHeight="1">
      <c r="A131" s="9"/>
      <c r="B131" s="10"/>
      <c r="C131" s="10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9"/>
      <c r="CY131" s="10"/>
    </row>
    <row r="132" ht="15.75" customHeight="1">
      <c r="A132" s="9"/>
      <c r="B132" s="10"/>
      <c r="C132" s="10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9"/>
      <c r="CY132" s="10"/>
    </row>
    <row r="133" ht="15.75" customHeight="1">
      <c r="A133" s="9"/>
      <c r="B133" s="10"/>
      <c r="C133" s="10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9"/>
      <c r="CY133" s="10"/>
    </row>
    <row r="134" ht="15.75" customHeight="1">
      <c r="A134" s="9"/>
      <c r="B134" s="10"/>
      <c r="C134" s="10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9"/>
      <c r="CY134" s="10"/>
    </row>
    <row r="135" ht="15.75" customHeight="1">
      <c r="A135" s="9"/>
      <c r="B135" s="10"/>
      <c r="C135" s="10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9"/>
      <c r="CY135" s="10"/>
    </row>
    <row r="136" ht="15.75" customHeight="1">
      <c r="A136" s="9"/>
      <c r="B136" s="10"/>
      <c r="C136" s="10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9"/>
      <c r="CY136" s="10"/>
    </row>
    <row r="137" ht="15.75" customHeight="1">
      <c r="A137" s="9"/>
      <c r="B137" s="10"/>
      <c r="C137" s="10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9"/>
      <c r="CY137" s="10"/>
    </row>
    <row r="138" ht="15.75" customHeight="1">
      <c r="A138" s="9"/>
      <c r="B138" s="10"/>
      <c r="C138" s="10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9"/>
      <c r="CY138" s="10"/>
    </row>
    <row r="139" ht="15.75" customHeight="1">
      <c r="A139" s="9"/>
      <c r="B139" s="10"/>
      <c r="C139" s="10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9"/>
      <c r="CY139" s="10"/>
    </row>
    <row r="140" ht="15.75" customHeight="1">
      <c r="A140" s="9"/>
      <c r="B140" s="10"/>
      <c r="C140" s="10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9"/>
      <c r="CY140" s="10"/>
    </row>
    <row r="141" ht="15.75" customHeight="1">
      <c r="A141" s="9"/>
      <c r="B141" s="10"/>
      <c r="C141" s="10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9"/>
      <c r="CY141" s="10"/>
    </row>
    <row r="142" ht="15.75" customHeight="1">
      <c r="A142" s="9"/>
      <c r="B142" s="10"/>
      <c r="C142" s="10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9"/>
      <c r="CY142" s="10"/>
    </row>
    <row r="143" ht="15.75" customHeight="1">
      <c r="A143" s="9"/>
      <c r="B143" s="10"/>
      <c r="C143" s="10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9"/>
      <c r="CY143" s="10"/>
    </row>
    <row r="144" ht="15.75" customHeight="1">
      <c r="A144" s="9"/>
      <c r="B144" s="10"/>
      <c r="C144" s="10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9"/>
      <c r="CY144" s="10"/>
    </row>
    <row r="145" ht="15.75" customHeight="1">
      <c r="A145" s="9"/>
      <c r="B145" s="10"/>
      <c r="C145" s="10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9"/>
      <c r="CY145" s="10"/>
    </row>
    <row r="146" ht="15.75" customHeight="1">
      <c r="A146" s="9"/>
      <c r="B146" s="10"/>
      <c r="C146" s="10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9"/>
      <c r="CY146" s="10"/>
    </row>
    <row r="147" ht="15.75" customHeight="1">
      <c r="A147" s="9"/>
      <c r="B147" s="10"/>
      <c r="C147" s="10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9"/>
      <c r="CY147" s="10"/>
    </row>
    <row r="148" ht="15.75" customHeight="1">
      <c r="A148" s="9"/>
      <c r="B148" s="10"/>
      <c r="C148" s="10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9"/>
      <c r="CY148" s="10"/>
    </row>
    <row r="149" ht="15.75" customHeight="1">
      <c r="A149" s="9"/>
      <c r="B149" s="10"/>
      <c r="C149" s="10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9"/>
      <c r="CY149" s="10"/>
    </row>
    <row r="150" ht="15.75" customHeight="1">
      <c r="A150" s="9"/>
      <c r="B150" s="10"/>
      <c r="C150" s="10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9"/>
      <c r="CY150" s="10"/>
    </row>
    <row r="151" ht="15.75" customHeight="1">
      <c r="A151" s="9"/>
      <c r="B151" s="10"/>
      <c r="C151" s="10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9"/>
      <c r="CY151" s="10"/>
    </row>
    <row r="152" ht="15.75" customHeight="1">
      <c r="A152" s="9"/>
      <c r="B152" s="10"/>
      <c r="C152" s="10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9"/>
      <c r="CY152" s="10"/>
    </row>
    <row r="153" ht="15.75" customHeight="1">
      <c r="A153" s="9"/>
      <c r="B153" s="10"/>
      <c r="C153" s="10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9"/>
      <c r="CY153" s="10"/>
    </row>
    <row r="154" ht="15.75" customHeight="1">
      <c r="A154" s="9"/>
      <c r="B154" s="10"/>
      <c r="C154" s="10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9"/>
      <c r="CY154" s="10"/>
    </row>
    <row r="155" ht="15.75" customHeight="1">
      <c r="A155" s="9"/>
      <c r="B155" s="10"/>
      <c r="C155" s="10"/>
      <c r="D155" s="9"/>
      <c r="E155" s="9"/>
      <c r="F155" s="9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9"/>
      <c r="CY155" s="10"/>
    </row>
    <row r="156" ht="15.75" customHeight="1">
      <c r="A156" s="9"/>
      <c r="B156" s="10"/>
      <c r="C156" s="10"/>
      <c r="D156" s="9"/>
      <c r="E156" s="9"/>
      <c r="F156" s="9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9"/>
      <c r="CY156" s="10"/>
    </row>
    <row r="157" ht="15.75" customHeight="1">
      <c r="A157" s="9"/>
      <c r="B157" s="10"/>
      <c r="C157" s="10"/>
      <c r="D157" s="9"/>
      <c r="E157" s="9"/>
      <c r="F157" s="9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9"/>
      <c r="CY157" s="10"/>
    </row>
    <row r="158" ht="15.75" customHeight="1">
      <c r="A158" s="9"/>
      <c r="B158" s="10"/>
      <c r="C158" s="10"/>
      <c r="D158" s="9"/>
      <c r="E158" s="9"/>
      <c r="F158" s="9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9"/>
      <c r="CY158" s="10"/>
    </row>
    <row r="159" ht="15.75" customHeight="1">
      <c r="A159" s="9"/>
      <c r="B159" s="10"/>
      <c r="C159" s="10"/>
      <c r="D159" s="9"/>
      <c r="E159" s="9"/>
      <c r="F159" s="9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9"/>
      <c r="CY159" s="10"/>
    </row>
    <row r="160" ht="15.75" customHeight="1">
      <c r="A160" s="9"/>
      <c r="B160" s="10"/>
      <c r="C160" s="10"/>
      <c r="D160" s="9"/>
      <c r="E160" s="9"/>
      <c r="F160" s="9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9"/>
      <c r="CY160" s="10"/>
    </row>
    <row r="161" ht="15.75" customHeight="1">
      <c r="A161" s="9"/>
      <c r="B161" s="10"/>
      <c r="C161" s="10"/>
      <c r="D161" s="9"/>
      <c r="E161" s="9"/>
      <c r="F161" s="9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9"/>
      <c r="CY161" s="10"/>
    </row>
    <row r="162" ht="15.75" customHeight="1">
      <c r="A162" s="9"/>
      <c r="B162" s="10"/>
      <c r="C162" s="10"/>
      <c r="D162" s="9"/>
      <c r="E162" s="9"/>
      <c r="F162" s="9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9"/>
      <c r="CY162" s="10"/>
    </row>
    <row r="163" ht="15.75" customHeight="1">
      <c r="A163" s="9"/>
      <c r="B163" s="10"/>
      <c r="C163" s="10"/>
      <c r="D163" s="9"/>
      <c r="E163" s="9"/>
      <c r="F163" s="9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9"/>
      <c r="CY163" s="10"/>
    </row>
    <row r="164" ht="15.75" customHeight="1">
      <c r="A164" s="9"/>
      <c r="B164" s="10"/>
      <c r="C164" s="10"/>
      <c r="D164" s="9"/>
      <c r="E164" s="9"/>
      <c r="F164" s="9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9"/>
      <c r="CY164" s="10"/>
    </row>
    <row r="165" ht="15.75" customHeight="1">
      <c r="A165" s="9"/>
      <c r="B165" s="10"/>
      <c r="C165" s="10"/>
      <c r="D165" s="9"/>
      <c r="E165" s="9"/>
      <c r="F165" s="9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9"/>
      <c r="CY165" s="10"/>
    </row>
    <row r="166" ht="15.75" customHeight="1">
      <c r="A166" s="9"/>
      <c r="B166" s="10"/>
      <c r="C166" s="10"/>
      <c r="D166" s="9"/>
      <c r="E166" s="9"/>
      <c r="F166" s="9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9"/>
      <c r="CY166" s="10"/>
    </row>
    <row r="167" ht="15.75" customHeight="1">
      <c r="A167" s="9"/>
      <c r="B167" s="10"/>
      <c r="C167" s="10"/>
      <c r="D167" s="9"/>
      <c r="E167" s="9"/>
      <c r="F167" s="9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9"/>
      <c r="CY167" s="10"/>
    </row>
    <row r="168" ht="15.75" customHeight="1">
      <c r="A168" s="9"/>
      <c r="B168" s="10"/>
      <c r="C168" s="10"/>
      <c r="D168" s="9"/>
      <c r="E168" s="9"/>
      <c r="F168" s="9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9"/>
      <c r="CY168" s="10"/>
    </row>
    <row r="169" ht="15.75" customHeight="1">
      <c r="A169" s="9"/>
      <c r="B169" s="10"/>
      <c r="C169" s="10"/>
      <c r="D169" s="9"/>
      <c r="E169" s="9"/>
      <c r="F169" s="9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9"/>
      <c r="CY169" s="10"/>
    </row>
    <row r="170" ht="15.75" customHeight="1">
      <c r="A170" s="9"/>
      <c r="B170" s="10"/>
      <c r="C170" s="10"/>
      <c r="D170" s="9"/>
      <c r="E170" s="9"/>
      <c r="F170" s="9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9"/>
      <c r="CY170" s="10"/>
    </row>
    <row r="171" ht="15.75" customHeight="1">
      <c r="A171" s="9"/>
      <c r="B171" s="10"/>
      <c r="C171" s="10"/>
      <c r="D171" s="9"/>
      <c r="E171" s="9"/>
      <c r="F171" s="9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9"/>
      <c r="CY171" s="10"/>
    </row>
    <row r="172" ht="15.75" customHeight="1">
      <c r="A172" s="9"/>
      <c r="B172" s="10"/>
      <c r="C172" s="10"/>
      <c r="D172" s="9"/>
      <c r="E172" s="9"/>
      <c r="F172" s="9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9"/>
      <c r="CY172" s="10"/>
    </row>
    <row r="173" ht="15.75" customHeight="1">
      <c r="A173" s="9"/>
      <c r="B173" s="10"/>
      <c r="C173" s="10"/>
      <c r="D173" s="9"/>
      <c r="E173" s="9"/>
      <c r="F173" s="9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9"/>
      <c r="CY173" s="10"/>
    </row>
    <row r="174" ht="15.75" customHeight="1">
      <c r="A174" s="9"/>
      <c r="B174" s="10"/>
      <c r="C174" s="10"/>
      <c r="D174" s="9"/>
      <c r="E174" s="9"/>
      <c r="F174" s="9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9"/>
      <c r="CY174" s="10"/>
    </row>
    <row r="175" ht="15.75" customHeight="1">
      <c r="A175" s="9"/>
      <c r="B175" s="10"/>
      <c r="C175" s="10"/>
      <c r="D175" s="9"/>
      <c r="E175" s="9"/>
      <c r="F175" s="9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9"/>
      <c r="CY175" s="10"/>
    </row>
    <row r="176" ht="15.75" customHeight="1">
      <c r="A176" s="9"/>
      <c r="B176" s="10"/>
      <c r="C176" s="10"/>
      <c r="D176" s="9"/>
      <c r="E176" s="9"/>
      <c r="F176" s="9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9"/>
      <c r="CY176" s="10"/>
    </row>
    <row r="177" ht="15.75" customHeight="1">
      <c r="A177" s="9"/>
      <c r="B177" s="10"/>
      <c r="C177" s="10"/>
      <c r="D177" s="9"/>
      <c r="E177" s="9"/>
      <c r="F177" s="9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9"/>
      <c r="CY177" s="10"/>
    </row>
    <row r="178" ht="15.75" customHeight="1">
      <c r="A178" s="9"/>
      <c r="B178" s="10"/>
      <c r="C178" s="10"/>
      <c r="D178" s="9"/>
      <c r="E178" s="9"/>
      <c r="F178" s="9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9"/>
      <c r="CY178" s="10"/>
    </row>
    <row r="179" ht="15.75" customHeight="1">
      <c r="A179" s="9"/>
      <c r="B179" s="10"/>
      <c r="C179" s="10"/>
      <c r="D179" s="9"/>
      <c r="E179" s="9"/>
      <c r="F179" s="9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9"/>
      <c r="CY179" s="10"/>
    </row>
    <row r="180" ht="15.75" customHeight="1">
      <c r="A180" s="9"/>
      <c r="B180" s="10"/>
      <c r="C180" s="10"/>
      <c r="D180" s="9"/>
      <c r="E180" s="9"/>
      <c r="F180" s="9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9"/>
      <c r="CY180" s="10"/>
    </row>
    <row r="181" ht="15.75" customHeight="1">
      <c r="A181" s="9"/>
      <c r="B181" s="10"/>
      <c r="C181" s="10"/>
      <c r="D181" s="9"/>
      <c r="E181" s="9"/>
      <c r="F181" s="9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9"/>
      <c r="CY181" s="10"/>
    </row>
    <row r="182" ht="15.75" customHeight="1">
      <c r="A182" s="9"/>
      <c r="B182" s="10"/>
      <c r="C182" s="10"/>
      <c r="D182" s="9"/>
      <c r="E182" s="9"/>
      <c r="F182" s="9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9"/>
      <c r="CY182" s="10"/>
    </row>
    <row r="183" ht="15.75" customHeight="1">
      <c r="A183" s="9"/>
      <c r="B183" s="10"/>
      <c r="C183" s="10"/>
      <c r="D183" s="9"/>
      <c r="E183" s="9"/>
      <c r="F183" s="9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9"/>
      <c r="CY183" s="10"/>
    </row>
    <row r="184" ht="15.75" customHeight="1">
      <c r="A184" s="9"/>
      <c r="B184" s="10"/>
      <c r="C184" s="10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9"/>
      <c r="CY184" s="10"/>
    </row>
    <row r="185" ht="15.75" customHeight="1">
      <c r="A185" s="9"/>
      <c r="B185" s="10"/>
      <c r="C185" s="10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9"/>
      <c r="CY185" s="10"/>
    </row>
    <row r="186" ht="15.75" customHeight="1">
      <c r="A186" s="9"/>
      <c r="B186" s="10"/>
      <c r="C186" s="10"/>
      <c r="D186" s="9"/>
      <c r="E186" s="9"/>
      <c r="F186" s="9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9"/>
      <c r="CY186" s="10"/>
    </row>
    <row r="187" ht="15.75" customHeight="1">
      <c r="A187" s="9"/>
      <c r="B187" s="10"/>
      <c r="C187" s="10"/>
      <c r="D187" s="9"/>
      <c r="E187" s="9"/>
      <c r="F187" s="9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9"/>
      <c r="CY187" s="10"/>
    </row>
    <row r="188" ht="15.75" customHeight="1">
      <c r="A188" s="9"/>
      <c r="B188" s="10"/>
      <c r="C188" s="10"/>
      <c r="D188" s="9"/>
      <c r="E188" s="9"/>
      <c r="F188" s="9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9"/>
      <c r="CY188" s="10"/>
    </row>
    <row r="189" ht="15.75" customHeight="1">
      <c r="A189" s="9"/>
      <c r="B189" s="10"/>
      <c r="C189" s="10"/>
      <c r="D189" s="9"/>
      <c r="E189" s="9"/>
      <c r="F189" s="9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9"/>
      <c r="CY189" s="10"/>
    </row>
    <row r="190" ht="15.75" customHeight="1">
      <c r="A190" s="9"/>
      <c r="B190" s="10"/>
      <c r="C190" s="10"/>
      <c r="D190" s="9"/>
      <c r="E190" s="9"/>
      <c r="F190" s="9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9"/>
      <c r="CY190" s="10"/>
    </row>
    <row r="191" ht="15.75" customHeight="1">
      <c r="A191" s="9"/>
      <c r="B191" s="10"/>
      <c r="C191" s="10"/>
      <c r="D191" s="9"/>
      <c r="E191" s="9"/>
      <c r="F191" s="9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9"/>
      <c r="CY191" s="10"/>
    </row>
    <row r="192" ht="15.75" customHeight="1">
      <c r="A192" s="9"/>
      <c r="B192" s="10"/>
      <c r="C192" s="10"/>
      <c r="D192" s="9"/>
      <c r="E192" s="9"/>
      <c r="F192" s="9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9"/>
      <c r="CY192" s="10"/>
    </row>
    <row r="193" ht="15.75" customHeight="1">
      <c r="A193" s="9"/>
      <c r="B193" s="10"/>
      <c r="C193" s="10"/>
      <c r="D193" s="9"/>
      <c r="E193" s="9"/>
      <c r="F193" s="9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9"/>
      <c r="CY193" s="10"/>
    </row>
    <row r="194" ht="15.75" customHeight="1">
      <c r="A194" s="9"/>
      <c r="B194" s="10"/>
      <c r="C194" s="10"/>
      <c r="D194" s="9"/>
      <c r="E194" s="9"/>
      <c r="F194" s="9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9"/>
      <c r="CY194" s="10"/>
    </row>
    <row r="195" ht="15.75" customHeight="1">
      <c r="A195" s="9"/>
      <c r="B195" s="10"/>
      <c r="C195" s="10"/>
      <c r="D195" s="9"/>
      <c r="E195" s="9"/>
      <c r="F195" s="9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9"/>
      <c r="CY195" s="10"/>
    </row>
    <row r="196" ht="15.75" customHeight="1">
      <c r="A196" s="9"/>
      <c r="B196" s="10"/>
      <c r="C196" s="10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9"/>
      <c r="CY196" s="10"/>
    </row>
    <row r="197" ht="15.75" customHeight="1">
      <c r="A197" s="9"/>
      <c r="B197" s="10"/>
      <c r="C197" s="10"/>
      <c r="D197" s="9"/>
      <c r="E197" s="9"/>
      <c r="F197" s="9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9"/>
      <c r="CY197" s="10"/>
    </row>
    <row r="198" ht="15.75" customHeight="1">
      <c r="A198" s="9"/>
      <c r="B198" s="10"/>
      <c r="C198" s="10"/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9"/>
      <c r="CY198" s="10"/>
    </row>
    <row r="199" ht="15.75" customHeight="1">
      <c r="A199" s="9"/>
      <c r="B199" s="10"/>
      <c r="C199" s="10"/>
      <c r="D199" s="9"/>
      <c r="E199" s="9"/>
      <c r="F199" s="9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9"/>
      <c r="CY199" s="10"/>
    </row>
    <row r="200" ht="15.75" customHeight="1">
      <c r="A200" s="9"/>
      <c r="B200" s="10"/>
      <c r="C200" s="10"/>
      <c r="D200" s="9"/>
      <c r="E200" s="9"/>
      <c r="F200" s="9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9"/>
      <c r="CY200" s="10"/>
    </row>
    <row r="201" ht="15.75" customHeight="1">
      <c r="A201" s="9"/>
      <c r="B201" s="10"/>
      <c r="C201" s="10"/>
      <c r="D201" s="9"/>
      <c r="E201" s="9"/>
      <c r="F201" s="9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9"/>
      <c r="CY201" s="10"/>
    </row>
    <row r="202" ht="15.75" customHeight="1">
      <c r="A202" s="9"/>
      <c r="B202" s="10"/>
      <c r="C202" s="10"/>
      <c r="D202" s="9"/>
      <c r="E202" s="9"/>
      <c r="F202" s="9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9"/>
      <c r="CY202" s="10"/>
    </row>
    <row r="203" ht="15.75" customHeight="1">
      <c r="A203" s="9"/>
      <c r="B203" s="10"/>
      <c r="C203" s="10"/>
      <c r="D203" s="9"/>
      <c r="E203" s="9"/>
      <c r="F203" s="9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9"/>
      <c r="CY203" s="10"/>
    </row>
    <row r="204" ht="15.75" customHeight="1">
      <c r="A204" s="9"/>
      <c r="B204" s="10"/>
      <c r="C204" s="10"/>
      <c r="D204" s="9"/>
      <c r="E204" s="9"/>
      <c r="F204" s="9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9"/>
      <c r="CY204" s="10"/>
    </row>
    <row r="205" ht="15.75" customHeight="1">
      <c r="A205" s="9"/>
      <c r="B205" s="10"/>
      <c r="C205" s="10"/>
      <c r="D205" s="9"/>
      <c r="E205" s="9"/>
      <c r="F205" s="9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9"/>
      <c r="CY205" s="10"/>
    </row>
    <row r="206" ht="15.75" customHeight="1">
      <c r="A206" s="9"/>
      <c r="B206" s="10"/>
      <c r="C206" s="10"/>
      <c r="D206" s="9"/>
      <c r="E206" s="9"/>
      <c r="F206" s="9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9"/>
      <c r="CY206" s="10"/>
    </row>
    <row r="207" ht="15.75" customHeight="1">
      <c r="A207" s="9"/>
      <c r="B207" s="10"/>
      <c r="C207" s="10"/>
      <c r="D207" s="9"/>
      <c r="E207" s="9"/>
      <c r="F207" s="9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9"/>
      <c r="CY207" s="10"/>
    </row>
    <row r="208" ht="15.75" customHeight="1">
      <c r="A208" s="9"/>
      <c r="B208" s="10"/>
      <c r="C208" s="10"/>
      <c r="D208" s="9"/>
      <c r="E208" s="9"/>
      <c r="F208" s="9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9"/>
      <c r="CY208" s="10"/>
    </row>
    <row r="209" ht="15.75" customHeight="1">
      <c r="A209" s="9"/>
      <c r="B209" s="10"/>
      <c r="C209" s="10"/>
      <c r="D209" s="9"/>
      <c r="E209" s="9"/>
      <c r="F209" s="9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9"/>
      <c r="CY209" s="10"/>
    </row>
    <row r="210" ht="15.75" customHeight="1">
      <c r="A210" s="9"/>
      <c r="B210" s="10"/>
      <c r="C210" s="10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9"/>
      <c r="CY210" s="10"/>
    </row>
    <row r="211" ht="15.75" customHeight="1">
      <c r="A211" s="9"/>
      <c r="B211" s="10"/>
      <c r="C211" s="10"/>
      <c r="D211" s="9"/>
      <c r="E211" s="9"/>
      <c r="F211" s="9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9"/>
      <c r="CY211" s="10"/>
    </row>
    <row r="212" ht="15.75" customHeight="1">
      <c r="A212" s="9"/>
      <c r="B212" s="10"/>
      <c r="C212" s="10"/>
      <c r="D212" s="9"/>
      <c r="E212" s="9"/>
      <c r="F212" s="9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9"/>
      <c r="CY212" s="10"/>
    </row>
    <row r="213" ht="15.75" customHeight="1">
      <c r="A213" s="9"/>
      <c r="B213" s="10"/>
      <c r="C213" s="10"/>
      <c r="D213" s="9"/>
      <c r="E213" s="9"/>
      <c r="F213" s="9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9"/>
      <c r="CY213" s="10"/>
    </row>
    <row r="214" ht="15.75" customHeight="1">
      <c r="A214" s="9"/>
      <c r="B214" s="10"/>
      <c r="C214" s="10"/>
      <c r="D214" s="9"/>
      <c r="E214" s="9"/>
      <c r="F214" s="9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9"/>
      <c r="CY214" s="10"/>
    </row>
    <row r="215" ht="15.75" customHeight="1">
      <c r="A215" s="9"/>
      <c r="B215" s="10"/>
      <c r="C215" s="10"/>
      <c r="D215" s="9"/>
      <c r="E215" s="9"/>
      <c r="F215" s="9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9"/>
      <c r="CY215" s="10"/>
    </row>
    <row r="216" ht="15.75" customHeight="1">
      <c r="A216" s="9"/>
      <c r="B216" s="10"/>
      <c r="C216" s="10"/>
      <c r="D216" s="9"/>
      <c r="E216" s="9"/>
      <c r="F216" s="9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9"/>
      <c r="CY216" s="10"/>
    </row>
    <row r="217" ht="15.75" customHeight="1">
      <c r="A217" s="9"/>
      <c r="B217" s="10"/>
      <c r="C217" s="10"/>
      <c r="D217" s="9"/>
      <c r="E217" s="9"/>
      <c r="F217" s="9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9"/>
      <c r="CY217" s="10"/>
    </row>
    <row r="218" ht="15.75" customHeight="1">
      <c r="A218" s="9"/>
      <c r="B218" s="10"/>
      <c r="C218" s="10"/>
      <c r="D218" s="9"/>
      <c r="E218" s="9"/>
      <c r="F218" s="9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9"/>
      <c r="CY218" s="10"/>
    </row>
    <row r="219" ht="15.75" customHeight="1">
      <c r="A219" s="9"/>
      <c r="B219" s="10"/>
      <c r="C219" s="10"/>
      <c r="D219" s="9"/>
      <c r="E219" s="9"/>
      <c r="F219" s="9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9"/>
      <c r="CY219" s="10"/>
    </row>
    <row r="220" ht="15.75" customHeight="1">
      <c r="A220" s="9"/>
      <c r="B220" s="10"/>
      <c r="C220" s="10"/>
      <c r="D220" s="9"/>
      <c r="E220" s="9"/>
      <c r="F220" s="9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9"/>
      <c r="CY220" s="10"/>
    </row>
    <row r="221" ht="15.75" customHeight="1">
      <c r="A221" s="9"/>
      <c r="B221" s="10"/>
      <c r="C221" s="10"/>
      <c r="D221" s="9"/>
      <c r="E221" s="9"/>
      <c r="F221" s="9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9"/>
      <c r="CY221" s="10"/>
    </row>
    <row r="222" ht="15.75" customHeight="1">
      <c r="A222" s="9"/>
      <c r="B222" s="10"/>
      <c r="C222" s="10"/>
      <c r="D222" s="9"/>
      <c r="E222" s="9"/>
      <c r="F222" s="9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9"/>
      <c r="CY222" s="10"/>
    </row>
    <row r="223" ht="15.75" customHeight="1">
      <c r="A223" s="9"/>
      <c r="B223" s="10"/>
      <c r="C223" s="10"/>
      <c r="D223" s="9"/>
      <c r="E223" s="9"/>
      <c r="F223" s="9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9"/>
      <c r="CY223" s="10"/>
    </row>
    <row r="224" ht="15.75" customHeight="1">
      <c r="A224" s="9"/>
      <c r="B224" s="10"/>
      <c r="C224" s="10"/>
      <c r="D224" s="9"/>
      <c r="E224" s="9"/>
      <c r="F224" s="9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9"/>
      <c r="CY224" s="10"/>
    </row>
    <row r="225" ht="15.75" customHeight="1">
      <c r="A225" s="9"/>
      <c r="B225" s="10"/>
      <c r="C225" s="10"/>
      <c r="D225" s="9"/>
      <c r="E225" s="9"/>
      <c r="F225" s="9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9"/>
      <c r="CY225" s="10"/>
    </row>
    <row r="226" ht="15.75" customHeight="1">
      <c r="A226" s="9"/>
      <c r="B226" s="10"/>
      <c r="C226" s="10"/>
      <c r="D226" s="9"/>
      <c r="E226" s="9"/>
      <c r="F226" s="9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9"/>
      <c r="CY226" s="10"/>
    </row>
    <row r="227" ht="15.75" customHeight="1">
      <c r="A227" s="9"/>
      <c r="B227" s="10"/>
      <c r="C227" s="10"/>
      <c r="D227" s="9"/>
      <c r="E227" s="9"/>
      <c r="F227" s="9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9"/>
      <c r="CY227" s="10"/>
    </row>
    <row r="228" ht="15.75" customHeight="1">
      <c r="A228" s="9"/>
      <c r="B228" s="10"/>
      <c r="C228" s="10"/>
      <c r="D228" s="9"/>
      <c r="E228" s="9"/>
      <c r="F228" s="9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9"/>
      <c r="CY228" s="10"/>
    </row>
    <row r="229" ht="15.75" customHeight="1">
      <c r="A229" s="9"/>
      <c r="B229" s="10"/>
      <c r="C229" s="10"/>
      <c r="D229" s="9"/>
      <c r="E229" s="9"/>
      <c r="F229" s="9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9"/>
      <c r="CY229" s="10"/>
    </row>
    <row r="230" ht="15.75" customHeight="1">
      <c r="A230" s="9"/>
      <c r="B230" s="10"/>
      <c r="C230" s="10"/>
      <c r="D230" s="9"/>
      <c r="E230" s="9"/>
      <c r="F230" s="9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9"/>
      <c r="CY230" s="10"/>
    </row>
    <row r="231" ht="15.75" customHeight="1">
      <c r="A231" s="9"/>
      <c r="B231" s="10"/>
      <c r="C231" s="10"/>
      <c r="D231" s="9"/>
      <c r="E231" s="9"/>
      <c r="F231" s="9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9"/>
      <c r="CY231" s="10"/>
    </row>
    <row r="232" ht="15.75" customHeight="1">
      <c r="A232" s="9"/>
      <c r="B232" s="10"/>
      <c r="C232" s="10"/>
      <c r="D232" s="9"/>
      <c r="E232" s="9"/>
      <c r="F232" s="9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9"/>
      <c r="CY232" s="10"/>
    </row>
    <row r="233" ht="15.75" customHeight="1">
      <c r="A233" s="9"/>
      <c r="B233" s="10"/>
      <c r="C233" s="10"/>
      <c r="D233" s="9"/>
      <c r="E233" s="9"/>
      <c r="F233" s="9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9"/>
      <c r="CY233" s="10"/>
    </row>
    <row r="234" ht="15.75" customHeight="1">
      <c r="A234" s="9"/>
      <c r="B234" s="10"/>
      <c r="C234" s="10"/>
      <c r="D234" s="9"/>
      <c r="E234" s="9"/>
      <c r="F234" s="9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9"/>
      <c r="CY234" s="10"/>
    </row>
    <row r="235" ht="15.75" customHeight="1">
      <c r="A235" s="9"/>
      <c r="B235" s="10"/>
      <c r="C235" s="10"/>
      <c r="D235" s="9"/>
      <c r="E235" s="9"/>
      <c r="F235" s="9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9"/>
      <c r="CY235" s="10"/>
    </row>
    <row r="236" ht="15.75" customHeight="1">
      <c r="A236" s="9"/>
      <c r="B236" s="10"/>
      <c r="C236" s="10"/>
      <c r="D236" s="9"/>
      <c r="E236" s="9"/>
      <c r="F236" s="9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9"/>
      <c r="CY236" s="10"/>
    </row>
    <row r="237" ht="15.75" customHeight="1">
      <c r="A237" s="9"/>
      <c r="B237" s="10"/>
      <c r="C237" s="10"/>
      <c r="D237" s="9"/>
      <c r="E237" s="9"/>
      <c r="F237" s="9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9"/>
      <c r="CY237" s="10"/>
    </row>
    <row r="238" ht="15.75" customHeight="1">
      <c r="A238" s="9"/>
      <c r="B238" s="10"/>
      <c r="C238" s="10"/>
      <c r="D238" s="9"/>
      <c r="E238" s="9"/>
      <c r="F238" s="9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9"/>
      <c r="CY238" s="10"/>
    </row>
    <row r="239" ht="15.75" customHeight="1">
      <c r="A239" s="9"/>
      <c r="B239" s="10"/>
      <c r="C239" s="10"/>
      <c r="D239" s="9"/>
      <c r="E239" s="9"/>
      <c r="F239" s="9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9"/>
      <c r="CY239" s="10"/>
    </row>
    <row r="240" ht="15.75" customHeight="1">
      <c r="A240" s="9"/>
      <c r="B240" s="10"/>
      <c r="C240" s="10"/>
      <c r="D240" s="9"/>
      <c r="E240" s="9"/>
      <c r="F240" s="9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9"/>
      <c r="CY240" s="10"/>
    </row>
    <row r="241" ht="15.75" customHeight="1">
      <c r="A241" s="9"/>
      <c r="B241" s="10"/>
      <c r="C241" s="10"/>
      <c r="D241" s="9"/>
      <c r="E241" s="9"/>
      <c r="F241" s="9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9"/>
      <c r="CY241" s="10"/>
    </row>
    <row r="242" ht="15.75" customHeight="1">
      <c r="A242" s="9"/>
      <c r="B242" s="10"/>
      <c r="C242" s="10"/>
      <c r="D242" s="9"/>
      <c r="E242" s="9"/>
      <c r="F242" s="9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9"/>
      <c r="CY242" s="10"/>
    </row>
    <row r="243" ht="15.75" customHeight="1">
      <c r="A243" s="9"/>
      <c r="B243" s="10"/>
      <c r="C243" s="10"/>
      <c r="D243" s="9"/>
      <c r="E243" s="9"/>
      <c r="F243" s="9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9"/>
      <c r="CY243" s="10"/>
    </row>
    <row r="244" ht="15.75" customHeight="1">
      <c r="A244" s="9"/>
      <c r="B244" s="10"/>
      <c r="C244" s="10"/>
      <c r="D244" s="9"/>
      <c r="E244" s="9"/>
      <c r="F244" s="9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9"/>
      <c r="CY244" s="10"/>
    </row>
    <row r="245" ht="15.75" customHeight="1">
      <c r="A245" s="9"/>
      <c r="B245" s="10"/>
      <c r="C245" s="10"/>
      <c r="D245" s="9"/>
      <c r="E245" s="9"/>
      <c r="F245" s="9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9"/>
      <c r="CY245" s="10"/>
    </row>
    <row r="246" ht="15.75" customHeight="1">
      <c r="A246" s="9"/>
      <c r="B246" s="10"/>
      <c r="C246" s="10"/>
      <c r="D246" s="9"/>
      <c r="E246" s="9"/>
      <c r="F246" s="9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9"/>
      <c r="CY246" s="10"/>
    </row>
    <row r="247" ht="15.75" customHeight="1">
      <c r="A247" s="9"/>
      <c r="B247" s="10"/>
      <c r="C247" s="10"/>
      <c r="D247" s="9"/>
      <c r="E247" s="9"/>
      <c r="F247" s="9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9"/>
      <c r="CY247" s="10"/>
    </row>
    <row r="248" ht="15.75" customHeight="1">
      <c r="A248" s="9"/>
      <c r="B248" s="10"/>
      <c r="C248" s="10"/>
      <c r="D248" s="9"/>
      <c r="E248" s="9"/>
      <c r="F248" s="9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9"/>
      <c r="CY248" s="10"/>
    </row>
    <row r="249" ht="15.75" customHeight="1">
      <c r="A249" s="9"/>
      <c r="B249" s="10"/>
      <c r="C249" s="10"/>
      <c r="D249" s="9"/>
      <c r="E249" s="9"/>
      <c r="F249" s="9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9"/>
      <c r="CY249" s="10"/>
    </row>
    <row r="250" ht="15.75" customHeight="1">
      <c r="A250" s="9"/>
      <c r="B250" s="10"/>
      <c r="C250" s="10"/>
      <c r="D250" s="9"/>
      <c r="E250" s="9"/>
      <c r="F250" s="9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9"/>
      <c r="CY250" s="10"/>
    </row>
    <row r="251" ht="15.75" customHeight="1">
      <c r="A251" s="9"/>
      <c r="B251" s="10"/>
      <c r="C251" s="10"/>
      <c r="D251" s="9"/>
      <c r="E251" s="9"/>
      <c r="F251" s="9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9"/>
      <c r="CY251" s="10"/>
    </row>
    <row r="252" ht="15.75" customHeight="1">
      <c r="A252" s="9"/>
      <c r="B252" s="10"/>
      <c r="C252" s="10"/>
      <c r="D252" s="9"/>
      <c r="E252" s="9"/>
      <c r="F252" s="9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9"/>
      <c r="CY252" s="10"/>
    </row>
    <row r="253" ht="15.75" customHeight="1">
      <c r="A253" s="9"/>
      <c r="B253" s="10"/>
      <c r="C253" s="10"/>
      <c r="D253" s="9"/>
      <c r="E253" s="9"/>
      <c r="F253" s="9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9"/>
      <c r="CY253" s="10"/>
    </row>
    <row r="254" ht="15.75" customHeight="1">
      <c r="A254" s="9"/>
      <c r="B254" s="10"/>
      <c r="C254" s="10"/>
      <c r="D254" s="9"/>
      <c r="E254" s="9"/>
      <c r="F254" s="9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9"/>
      <c r="CY254" s="10"/>
    </row>
    <row r="255" ht="15.75" customHeight="1">
      <c r="A255" s="9"/>
      <c r="B255" s="10"/>
      <c r="C255" s="10"/>
      <c r="D255" s="9"/>
      <c r="E255" s="9"/>
      <c r="F255" s="9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9"/>
      <c r="CY255" s="10"/>
    </row>
    <row r="256" ht="15.75" customHeight="1">
      <c r="A256" s="9"/>
      <c r="B256" s="10"/>
      <c r="C256" s="10"/>
      <c r="D256" s="9"/>
      <c r="E256" s="9"/>
      <c r="F256" s="9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9"/>
      <c r="CY256" s="10"/>
    </row>
    <row r="257" ht="15.75" customHeight="1">
      <c r="A257" s="9"/>
      <c r="B257" s="10"/>
      <c r="C257" s="10"/>
      <c r="D257" s="9"/>
      <c r="E257" s="9"/>
      <c r="F257" s="9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9"/>
      <c r="CY257" s="10"/>
    </row>
    <row r="258" ht="15.75" customHeight="1">
      <c r="A258" s="9"/>
      <c r="B258" s="10"/>
      <c r="C258" s="10"/>
      <c r="D258" s="9"/>
      <c r="E258" s="9"/>
      <c r="F258" s="9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9"/>
      <c r="CY258" s="10"/>
    </row>
    <row r="259" ht="15.75" customHeight="1">
      <c r="A259" s="9"/>
      <c r="B259" s="10"/>
      <c r="C259" s="10"/>
      <c r="D259" s="9"/>
      <c r="E259" s="9"/>
      <c r="F259" s="9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9"/>
      <c r="CY259" s="10"/>
    </row>
    <row r="260" ht="15.75" customHeight="1">
      <c r="A260" s="9"/>
      <c r="B260" s="10"/>
      <c r="C260" s="10"/>
      <c r="D260" s="9"/>
      <c r="E260" s="9"/>
      <c r="F260" s="9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9"/>
      <c r="CY260" s="10"/>
    </row>
    <row r="261" ht="15.75" customHeight="1">
      <c r="A261" s="9"/>
      <c r="B261" s="10"/>
      <c r="C261" s="10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9"/>
      <c r="CY261" s="10"/>
    </row>
    <row r="262" ht="15.75" customHeight="1">
      <c r="A262" s="9"/>
      <c r="B262" s="10"/>
      <c r="C262" s="10"/>
      <c r="D262" s="9"/>
      <c r="E262" s="9"/>
      <c r="F262" s="9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9"/>
      <c r="CY262" s="10"/>
    </row>
    <row r="263" ht="15.75" customHeight="1">
      <c r="A263" s="9"/>
      <c r="B263" s="10"/>
      <c r="C263" s="10"/>
      <c r="D263" s="9"/>
      <c r="E263" s="9"/>
      <c r="F263" s="9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9"/>
      <c r="CY263" s="10"/>
    </row>
    <row r="264" ht="15.75" customHeight="1">
      <c r="A264" s="9"/>
      <c r="B264" s="10"/>
      <c r="C264" s="10"/>
      <c r="D264" s="9"/>
      <c r="E264" s="9"/>
      <c r="F264" s="9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9"/>
      <c r="CY264" s="10"/>
    </row>
    <row r="265" ht="15.75" customHeight="1">
      <c r="A265" s="9"/>
      <c r="B265" s="10"/>
      <c r="C265" s="10"/>
      <c r="D265" s="9"/>
      <c r="E265" s="9"/>
      <c r="F265" s="9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9"/>
      <c r="CY265" s="10"/>
    </row>
    <row r="266" ht="15.75" customHeight="1">
      <c r="A266" s="9"/>
      <c r="B266" s="10"/>
      <c r="C266" s="10"/>
      <c r="D266" s="9"/>
      <c r="E266" s="9"/>
      <c r="F266" s="9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9"/>
      <c r="CY266" s="10"/>
    </row>
    <row r="267" ht="15.75" customHeight="1">
      <c r="A267" s="9"/>
      <c r="B267" s="10"/>
      <c r="C267" s="10"/>
      <c r="D267" s="9"/>
      <c r="E267" s="9"/>
      <c r="F267" s="9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9"/>
      <c r="CY267" s="10"/>
    </row>
    <row r="268" ht="15.75" customHeight="1">
      <c r="A268" s="9"/>
      <c r="B268" s="10"/>
      <c r="C268" s="10"/>
      <c r="D268" s="9"/>
      <c r="E268" s="9"/>
      <c r="F268" s="9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9"/>
      <c r="CY268" s="10"/>
    </row>
    <row r="269" ht="15.75" customHeight="1">
      <c r="A269" s="9"/>
      <c r="B269" s="10"/>
      <c r="C269" s="10"/>
      <c r="D269" s="9"/>
      <c r="E269" s="9"/>
      <c r="F269" s="9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9"/>
      <c r="CY269" s="10"/>
    </row>
    <row r="270" ht="15.75" customHeight="1">
      <c r="A270" s="9"/>
      <c r="B270" s="10"/>
      <c r="C270" s="10"/>
      <c r="D270" s="9"/>
      <c r="E270" s="9"/>
      <c r="F270" s="9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9"/>
      <c r="CY270" s="10"/>
    </row>
    <row r="271" ht="15.75" customHeight="1">
      <c r="A271" s="9"/>
      <c r="B271" s="10"/>
      <c r="C271" s="10"/>
      <c r="D271" s="9"/>
      <c r="E271" s="9"/>
      <c r="F271" s="9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9"/>
      <c r="CY271" s="10"/>
    </row>
    <row r="272" ht="15.75" customHeight="1">
      <c r="A272" s="9"/>
      <c r="B272" s="10"/>
      <c r="C272" s="10"/>
      <c r="D272" s="9"/>
      <c r="E272" s="9"/>
      <c r="F272" s="9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9"/>
      <c r="CY272" s="10"/>
    </row>
    <row r="273" ht="15.75" customHeight="1">
      <c r="A273" s="9"/>
      <c r="B273" s="10"/>
      <c r="C273" s="10"/>
      <c r="D273" s="9"/>
      <c r="E273" s="9"/>
      <c r="F273" s="9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9"/>
      <c r="CY273" s="10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S9">
    <cfRule type="cellIs" dxfId="0" priority="1" operator="lessThan">
      <formula>1</formula>
    </cfRule>
  </conditionalFormatting>
  <conditionalFormatting sqref="H9:CS9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5" width="3.71"/>
    <col customWidth="1" min="86" max="86" width="4.0"/>
    <col customWidth="1" min="87" max="87" width="5.57"/>
    <col customWidth="1" min="88" max="90" width="3.71"/>
    <col customWidth="1" min="91" max="94" width="3.43"/>
    <col customWidth="1" min="95" max="98" width="3.71"/>
    <col customWidth="1" min="99" max="99" width="4.14"/>
    <col customWidth="1" min="100" max="100" width="5.71"/>
    <col customWidth="1" min="101" max="101" width="2.86"/>
    <col customWidth="1" min="102" max="102" width="6.86"/>
    <col customWidth="1" min="103" max="103" width="5.86"/>
    <col customWidth="1" min="104" max="104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9"/>
      <c r="CI1" s="11"/>
      <c r="CJ1" s="10"/>
      <c r="CK1" s="10"/>
      <c r="CL1" s="10"/>
      <c r="CM1" s="10"/>
      <c r="CN1" s="10"/>
      <c r="CO1" s="10"/>
      <c r="CP1" s="10"/>
      <c r="CQ1" s="10"/>
      <c r="CR1" s="10" t="s">
        <v>3</v>
      </c>
      <c r="CS1" s="10"/>
      <c r="CT1" s="10"/>
      <c r="CU1" s="10"/>
      <c r="CV1" s="10"/>
      <c r="CW1" s="10"/>
      <c r="CX1" s="10"/>
      <c r="CY1" s="9"/>
      <c r="CZ1" s="10"/>
    </row>
    <row r="2">
      <c r="A2" s="15" t="s">
        <v>4</v>
      </c>
      <c r="B2" s="16"/>
      <c r="C2" s="17" t="s">
        <v>5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9"/>
      <c r="CI2" s="11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9"/>
      <c r="CZ2" s="10"/>
    </row>
    <row r="3">
      <c r="A3" s="15" t="s">
        <v>7</v>
      </c>
      <c r="B3" s="16"/>
      <c r="C3" s="17" t="s">
        <v>8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9"/>
      <c r="CI3" s="11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9"/>
      <c r="CZ3" s="10"/>
    </row>
    <row r="4">
      <c r="A4" s="15" t="s">
        <v>10</v>
      </c>
      <c r="B4" s="16"/>
      <c r="C4" s="20"/>
      <c r="D4" s="18"/>
      <c r="E4" s="18"/>
      <c r="F4" s="4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9"/>
      <c r="CI4" s="11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9"/>
      <c r="CZ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9"/>
      <c r="CI5" s="11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9"/>
      <c r="CZ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31" t="s">
        <v>13</v>
      </c>
      <c r="AR6" s="18"/>
      <c r="AS6" s="18"/>
      <c r="AT6" s="16"/>
      <c r="AU6" s="10"/>
      <c r="AV6" s="10"/>
      <c r="AW6" s="10"/>
      <c r="AX6" s="10"/>
      <c r="AY6" s="31" t="s">
        <v>14</v>
      </c>
      <c r="AZ6" s="18"/>
      <c r="BA6" s="18"/>
      <c r="BB6" s="16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9"/>
      <c r="CI6" s="11"/>
      <c r="CJ6" s="10"/>
      <c r="CK6" s="10"/>
      <c r="CL6" s="10"/>
      <c r="CM6" s="10"/>
      <c r="CN6" s="10"/>
      <c r="CO6" s="10"/>
      <c r="CP6" s="10"/>
      <c r="CQ6" s="32"/>
      <c r="CR6" s="10"/>
      <c r="CS6" s="10"/>
      <c r="CT6" s="10"/>
      <c r="CU6" s="10"/>
      <c r="CV6" s="10"/>
      <c r="CW6" s="10"/>
      <c r="CX6" s="10"/>
      <c r="CY6" s="9"/>
      <c r="CZ6" s="10"/>
    </row>
    <row r="7">
      <c r="A7" s="22"/>
      <c r="B7" s="35"/>
      <c r="C7" s="37"/>
      <c r="D7" s="22"/>
      <c r="E7" s="22"/>
      <c r="F7" s="36"/>
      <c r="G7" s="29"/>
      <c r="H7" s="40"/>
      <c r="I7" s="43"/>
      <c r="J7" s="45">
        <v>3.0</v>
      </c>
      <c r="K7" s="45">
        <v>4.0</v>
      </c>
      <c r="L7" s="45">
        <v>5.0</v>
      </c>
      <c r="M7" s="45">
        <v>6.0</v>
      </c>
      <c r="N7" s="45">
        <v>7.0</v>
      </c>
      <c r="O7" s="43"/>
      <c r="P7" s="43"/>
      <c r="Q7" s="43"/>
      <c r="R7" s="47"/>
      <c r="S7" s="47"/>
      <c r="T7" s="46"/>
      <c r="U7" s="46"/>
      <c r="V7" s="46"/>
      <c r="W7" s="49">
        <v>8.0</v>
      </c>
      <c r="X7" s="49">
        <v>9.0</v>
      </c>
      <c r="Y7" s="49">
        <v>10.0</v>
      </c>
      <c r="Z7" s="49">
        <v>11.0</v>
      </c>
      <c r="AA7" s="49"/>
      <c r="AB7" s="49">
        <v>12.0</v>
      </c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3"/>
      <c r="AR7" s="53"/>
      <c r="AS7" s="53"/>
      <c r="AT7" s="53"/>
      <c r="AU7" s="52"/>
      <c r="AV7" s="52"/>
      <c r="AW7" s="52"/>
      <c r="AX7" s="52"/>
      <c r="AY7" s="53"/>
      <c r="AZ7" s="53"/>
      <c r="BA7" s="53"/>
      <c r="BB7" s="53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48"/>
      <c r="CI7" s="50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48"/>
      <c r="CV7" s="48"/>
      <c r="CW7" s="57"/>
      <c r="CX7" s="52"/>
      <c r="CY7" s="58"/>
      <c r="CZ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86">
        <v>46146.0</v>
      </c>
      <c r="BM8" s="86">
        <v>46146.0</v>
      </c>
      <c r="BN8" s="69">
        <v>46147.0</v>
      </c>
      <c r="BO8" s="69">
        <v>46148.0</v>
      </c>
      <c r="BP8" s="86">
        <v>46149.0</v>
      </c>
      <c r="BQ8" s="86">
        <v>46149.0</v>
      </c>
      <c r="BR8" s="69">
        <v>46150.0</v>
      </c>
      <c r="BS8" s="69">
        <v>46153.0</v>
      </c>
      <c r="BT8" s="69">
        <v>46154.0</v>
      </c>
      <c r="BU8" s="69">
        <v>46155.0</v>
      </c>
      <c r="BV8" s="69">
        <v>46156.0</v>
      </c>
      <c r="BW8" s="69">
        <v>46157.0</v>
      </c>
      <c r="BX8" s="69">
        <v>46160.0</v>
      </c>
      <c r="BY8" s="69">
        <v>46161.0</v>
      </c>
      <c r="BZ8" s="69">
        <v>46162.0</v>
      </c>
      <c r="CA8" s="69">
        <v>46163.0</v>
      </c>
      <c r="CB8" s="69">
        <v>46164.0</v>
      </c>
      <c r="CC8" s="69">
        <v>46167.0</v>
      </c>
      <c r="CD8" s="69">
        <v>46168.0</v>
      </c>
      <c r="CE8" s="69">
        <v>46169.0</v>
      </c>
      <c r="CF8" s="69">
        <v>46170.0</v>
      </c>
      <c r="CG8" s="69">
        <v>46171.0</v>
      </c>
      <c r="CH8" s="75" t="s">
        <v>28</v>
      </c>
      <c r="CI8" s="88" t="s">
        <v>29</v>
      </c>
      <c r="CJ8" s="69">
        <v>46174.0</v>
      </c>
      <c r="CK8" s="69">
        <v>46175.0</v>
      </c>
      <c r="CL8" s="69">
        <v>46176.0</v>
      </c>
      <c r="CM8" s="69">
        <v>46177.0</v>
      </c>
      <c r="CN8" s="69">
        <v>46178.0</v>
      </c>
      <c r="CO8" s="69">
        <v>46181.0</v>
      </c>
      <c r="CP8" s="69">
        <v>46182.0</v>
      </c>
      <c r="CQ8" s="69">
        <v>46183.0</v>
      </c>
      <c r="CR8" s="69">
        <v>46184.0</v>
      </c>
      <c r="CS8" s="69">
        <v>46185.0</v>
      </c>
      <c r="CT8" s="69">
        <v>46186.0</v>
      </c>
      <c r="CU8" s="75" t="s">
        <v>31</v>
      </c>
      <c r="CV8" s="78" t="s">
        <v>32</v>
      </c>
      <c r="CW8" s="80" t="s">
        <v>33</v>
      </c>
      <c r="CX8" s="82" t="s">
        <v>35</v>
      </c>
      <c r="CY8" s="83" t="s">
        <v>36</v>
      </c>
      <c r="CZ8" s="84" t="s">
        <v>37</v>
      </c>
    </row>
    <row r="9">
      <c r="A9" s="89" t="s">
        <v>46</v>
      </c>
      <c r="B9" s="90" t="s">
        <v>43</v>
      </c>
      <c r="C9" s="91" t="s">
        <v>44</v>
      </c>
      <c r="D9" s="94">
        <f>SUM(R9+AL9+BI9+CH9+CU9)</f>
        <v>33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6</v>
      </c>
      <c r="K9" s="99">
        <f t="shared" si="1"/>
        <v>5</v>
      </c>
      <c r="L9" s="99">
        <f t="shared" si="1"/>
        <v>30</v>
      </c>
      <c r="M9" s="99">
        <f t="shared" si="1"/>
        <v>18</v>
      </c>
      <c r="N9" s="99">
        <f t="shared" si="1"/>
        <v>23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5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35</v>
      </c>
      <c r="X9" s="104">
        <f t="shared" si="2"/>
        <v>29</v>
      </c>
      <c r="Y9" s="104">
        <f t="shared" si="2"/>
        <v>33</v>
      </c>
      <c r="Z9" s="104">
        <f t="shared" si="2"/>
        <v>41</v>
      </c>
      <c r="AA9" s="104">
        <f t="shared" si="2"/>
        <v>12</v>
      </c>
      <c r="AB9" s="104">
        <f t="shared" si="2"/>
        <v>25</v>
      </c>
      <c r="AC9" s="104">
        <f t="shared" si="2"/>
        <v>0</v>
      </c>
      <c r="AD9" s="104">
        <f t="shared" si="2"/>
        <v>0</v>
      </c>
      <c r="AE9" s="104">
        <f t="shared" si="2"/>
        <v>0</v>
      </c>
      <c r="AF9" s="104">
        <f t="shared" si="2"/>
        <v>12</v>
      </c>
      <c r="AG9" s="104">
        <f t="shared" si="2"/>
        <v>41</v>
      </c>
      <c r="AH9" s="104">
        <f t="shared" si="2"/>
        <v>20</v>
      </c>
      <c r="AI9" s="104">
        <f t="shared" si="2"/>
        <v>10</v>
      </c>
      <c r="AJ9" s="104">
        <f t="shared" si="2"/>
        <v>0</v>
      </c>
      <c r="AK9" s="104">
        <f t="shared" si="2"/>
        <v>0</v>
      </c>
      <c r="AL9" s="103">
        <f>COUNTIF(T9:AK9,"&gt;0")</f>
        <v>10</v>
      </c>
      <c r="AM9" s="107">
        <f>SUM(R9+AL9)</f>
        <v>15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16</v>
      </c>
      <c r="AY9" s="104">
        <f t="shared" si="3"/>
        <v>0</v>
      </c>
      <c r="AZ9" s="104">
        <f t="shared" si="3"/>
        <v>0</v>
      </c>
      <c r="BA9" s="104">
        <f t="shared" si="3"/>
        <v>4</v>
      </c>
      <c r="BB9" s="104">
        <f t="shared" si="3"/>
        <v>0</v>
      </c>
      <c r="BC9" s="104">
        <f t="shared" si="3"/>
        <v>3</v>
      </c>
      <c r="BD9" s="104">
        <f t="shared" si="3"/>
        <v>0</v>
      </c>
      <c r="BE9" s="104">
        <f t="shared" si="3"/>
        <v>37</v>
      </c>
      <c r="BF9" s="104">
        <f t="shared" si="3"/>
        <v>34</v>
      </c>
      <c r="BG9" s="104">
        <f t="shared" si="3"/>
        <v>14</v>
      </c>
      <c r="BH9" s="104">
        <f t="shared" si="3"/>
        <v>32</v>
      </c>
      <c r="BI9" s="48">
        <f>COUNTIF(AN9:BH9,"&gt;0")</f>
        <v>7</v>
      </c>
      <c r="BJ9" s="55">
        <f>SUM(AM9+BI9)</f>
        <v>22</v>
      </c>
      <c r="BK9" s="109">
        <f t="shared" ref="BK9:CG9" si="4">SUM(BK10:BK91)</f>
        <v>8</v>
      </c>
      <c r="BL9" s="109">
        <f t="shared" si="4"/>
        <v>31</v>
      </c>
      <c r="BM9" s="109">
        <f t="shared" si="4"/>
        <v>23</v>
      </c>
      <c r="BN9" s="109">
        <f t="shared" si="4"/>
        <v>33</v>
      </c>
      <c r="BO9" s="109">
        <f t="shared" si="4"/>
        <v>40</v>
      </c>
      <c r="BP9" s="109">
        <f t="shared" si="4"/>
        <v>32</v>
      </c>
      <c r="BQ9" s="109">
        <f t="shared" si="4"/>
        <v>39</v>
      </c>
      <c r="BR9" s="109">
        <f t="shared" si="4"/>
        <v>0</v>
      </c>
      <c r="BS9" s="109">
        <f t="shared" si="4"/>
        <v>27</v>
      </c>
      <c r="BT9" s="109">
        <f t="shared" si="4"/>
        <v>47</v>
      </c>
      <c r="BU9" s="109">
        <f t="shared" si="4"/>
        <v>22</v>
      </c>
      <c r="BV9" s="109">
        <f t="shared" si="4"/>
        <v>0</v>
      </c>
      <c r="BW9" s="109">
        <f t="shared" si="4"/>
        <v>0</v>
      </c>
      <c r="BX9" s="109">
        <f t="shared" si="4"/>
        <v>14</v>
      </c>
      <c r="BY9" s="109">
        <f t="shared" si="4"/>
        <v>0</v>
      </c>
      <c r="BZ9" s="109">
        <f t="shared" si="4"/>
        <v>0</v>
      </c>
      <c r="CA9" s="109">
        <f t="shared" si="4"/>
        <v>0</v>
      </c>
      <c r="CB9" s="109">
        <f t="shared" si="4"/>
        <v>0</v>
      </c>
      <c r="CC9" s="109">
        <f t="shared" si="4"/>
        <v>0</v>
      </c>
      <c r="CD9" s="109">
        <f t="shared" si="4"/>
        <v>0</v>
      </c>
      <c r="CE9" s="109">
        <f t="shared" si="4"/>
        <v>0</v>
      </c>
      <c r="CF9" s="109">
        <f t="shared" si="4"/>
        <v>0</v>
      </c>
      <c r="CG9" s="109">
        <f t="shared" si="4"/>
        <v>0</v>
      </c>
      <c r="CH9" s="48">
        <f>COUNTIF(BK9:CG9,"&gt;0")</f>
        <v>11</v>
      </c>
      <c r="CI9" s="50">
        <f>SUM(BJ9+CH9)</f>
        <v>33</v>
      </c>
      <c r="CJ9" s="112">
        <f t="shared" ref="CJ9:CL9" si="5">SUM(CJ10:CJ84)</f>
        <v>0</v>
      </c>
      <c r="CK9" s="112">
        <f t="shared" si="5"/>
        <v>0</v>
      </c>
      <c r="CL9" s="112">
        <f t="shared" si="5"/>
        <v>0</v>
      </c>
      <c r="CM9" s="114">
        <f t="shared" ref="CM9:CP9" si="6">SUM(CM10:CM69)</f>
        <v>0</v>
      </c>
      <c r="CN9" s="114">
        <f t="shared" si="6"/>
        <v>0</v>
      </c>
      <c r="CO9" s="114">
        <f t="shared" si="6"/>
        <v>0</v>
      </c>
      <c r="CP9" s="114">
        <f t="shared" si="6"/>
        <v>0</v>
      </c>
      <c r="CQ9" s="112">
        <f>SUM(CQ10:CQ84)</f>
        <v>0</v>
      </c>
      <c r="CR9" s="115">
        <f t="shared" ref="CR9:CT9" si="7">SUM(CR10:CR69)</f>
        <v>0</v>
      </c>
      <c r="CS9" s="115">
        <f t="shared" si="7"/>
        <v>0</v>
      </c>
      <c r="CT9" s="115">
        <f t="shared" si="7"/>
        <v>0</v>
      </c>
      <c r="CU9" s="116">
        <f>COUNTIF(CJ9:CT9,"&gt;0")</f>
        <v>0</v>
      </c>
      <c r="CV9" s="117">
        <f>SUM(CI9+CU9)</f>
        <v>33</v>
      </c>
      <c r="CW9" s="118"/>
      <c r="CX9" s="119">
        <f>SUM(R9+AL9+BI9+CH9+CU9+CW9)</f>
        <v>33</v>
      </c>
      <c r="CY9" s="120">
        <f t="shared" ref="CY9:CY93" si="8">SUM(R9+AL9+BI9+CH9+CU9+CW9)</f>
        <v>33</v>
      </c>
      <c r="CZ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SUM(R10+AL10+BI10+CH10+CU10+CW10)</f>
        <v>3</v>
      </c>
      <c r="E10" s="127">
        <f t="shared" ref="E10:E93" si="10">(D10)/D$9*100</f>
        <v>9.090909091</v>
      </c>
      <c r="F10" s="128">
        <f t="shared" ref="F10:F93" si="11">IF(E10&lt;50,E10, "  ")</f>
        <v>9.090909091</v>
      </c>
      <c r="G10" s="130">
        <f t="shared" ref="G10:G93" si="12">IF(E10&lt;30,E10, "  ")</f>
        <v>9.090909091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>
        <f t="shared" ref="S10:S93" si="14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3">
        <v>1.0</v>
      </c>
      <c r="AH10" s="142"/>
      <c r="AI10" s="142"/>
      <c r="AJ10" s="142"/>
      <c r="AK10" s="142"/>
      <c r="AL10" s="135">
        <f t="shared" ref="AL10:AL93" si="15">SUM(T10:AK10)</f>
        <v>1</v>
      </c>
      <c r="AM10" s="137">
        <f t="shared" ref="AM10:AM93" si="16">AL10/AL$9*100</f>
        <v>10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70">
        <v>1.0</v>
      </c>
      <c r="BM10" s="132"/>
      <c r="BN10" s="138"/>
      <c r="BO10" s="138"/>
      <c r="BP10" s="138"/>
      <c r="BQ10" s="138"/>
      <c r="BR10" s="138"/>
      <c r="BS10" s="138"/>
      <c r="BT10" s="150">
        <v>1.0</v>
      </c>
      <c r="BU10" s="152"/>
      <c r="BV10" s="152"/>
      <c r="BW10" s="152"/>
      <c r="BX10" s="152"/>
      <c r="BY10" s="153"/>
      <c r="BZ10" s="154"/>
      <c r="CA10" s="154"/>
      <c r="CB10" s="154"/>
      <c r="CC10" s="154"/>
      <c r="CD10" s="154"/>
      <c r="CE10" s="154"/>
      <c r="CF10" s="154"/>
      <c r="CG10" s="154"/>
      <c r="CH10" s="156">
        <f t="shared" ref="CH10:CH93" si="19">SUM(BK10:CG10)</f>
        <v>2</v>
      </c>
      <c r="CI10" s="182">
        <f t="shared" ref="CI10:CI93" si="20">CH10/CH$9*100</f>
        <v>18.18181818</v>
      </c>
      <c r="CJ10" s="158"/>
      <c r="CK10" s="153"/>
      <c r="CL10" s="153"/>
      <c r="CM10" s="160"/>
      <c r="CN10" s="160"/>
      <c r="CO10" s="160"/>
      <c r="CP10" s="160"/>
      <c r="CQ10" s="153"/>
      <c r="CR10" s="32"/>
      <c r="CS10" s="32"/>
      <c r="CT10" s="161"/>
      <c r="CU10" s="163">
        <f t="shared" ref="CU10:CU93" si="21">SUM(CJ10:CT10)</f>
        <v>0</v>
      </c>
      <c r="CV10" s="165" t="str">
        <f t="shared" ref="CV10:CV93" si="22">CU10/CU$9*100</f>
        <v>#DIV/0!</v>
      </c>
      <c r="CW10" s="166"/>
      <c r="CX10" s="167">
        <f t="shared" ref="CX10:CX93" si="23">(D10)/D$9*100</f>
        <v>9.090909091</v>
      </c>
      <c r="CY10" s="169">
        <f t="shared" si="8"/>
        <v>3</v>
      </c>
      <c r="CZ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27</v>
      </c>
      <c r="E11" s="127">
        <f t="shared" si="10"/>
        <v>81.81818182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91">
        <v>1.0</v>
      </c>
      <c r="K11" s="179"/>
      <c r="L11" s="191">
        <v>1.0</v>
      </c>
      <c r="M11" s="191">
        <v>1.0</v>
      </c>
      <c r="N11" s="179"/>
      <c r="O11" s="179"/>
      <c r="P11" s="179"/>
      <c r="Q11" s="179"/>
      <c r="R11" s="135">
        <f t="shared" si="13"/>
        <v>3</v>
      </c>
      <c r="S11" s="137">
        <f t="shared" si="14"/>
        <v>60</v>
      </c>
      <c r="T11" s="138"/>
      <c r="U11" s="138"/>
      <c r="V11" s="138"/>
      <c r="W11" s="170">
        <v>1.0</v>
      </c>
      <c r="X11" s="170">
        <v>1.0</v>
      </c>
      <c r="Y11" s="151">
        <v>1.0</v>
      </c>
      <c r="Z11" s="151">
        <v>1.0</v>
      </c>
      <c r="AA11" s="151">
        <v>1.0</v>
      </c>
      <c r="AB11" s="151">
        <v>1.0</v>
      </c>
      <c r="AC11" s="140"/>
      <c r="AD11" s="140"/>
      <c r="AE11" s="141"/>
      <c r="AF11" s="181">
        <v>1.0</v>
      </c>
      <c r="AG11" s="181">
        <v>1.0</v>
      </c>
      <c r="AH11" s="181">
        <v>1.0</v>
      </c>
      <c r="AI11" s="181">
        <v>1.0</v>
      </c>
      <c r="AJ11" s="142"/>
      <c r="AK11" s="142"/>
      <c r="AL11" s="135">
        <f t="shared" si="15"/>
        <v>10</v>
      </c>
      <c r="AM11" s="183">
        <f t="shared" si="16"/>
        <v>100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85">
        <v>1.0</v>
      </c>
      <c r="AY11" s="133"/>
      <c r="AZ11" s="133"/>
      <c r="BA11" s="133"/>
      <c r="BB11" s="133"/>
      <c r="BC11" s="133"/>
      <c r="BD11" s="133"/>
      <c r="BE11" s="185">
        <v>1.0</v>
      </c>
      <c r="BF11" s="185">
        <v>1.0</v>
      </c>
      <c r="BG11" s="185">
        <v>1.0</v>
      </c>
      <c r="BH11" s="185">
        <v>1.0</v>
      </c>
      <c r="BI11" s="135">
        <f t="shared" si="17"/>
        <v>5</v>
      </c>
      <c r="BJ11" s="186">
        <f t="shared" si="18"/>
        <v>71.42857143</v>
      </c>
      <c r="BK11" s="138"/>
      <c r="BL11" s="170">
        <v>1.0</v>
      </c>
      <c r="BM11" s="170">
        <v>1.0</v>
      </c>
      <c r="BN11" s="151">
        <v>1.0</v>
      </c>
      <c r="BO11" s="151">
        <v>1.0</v>
      </c>
      <c r="BP11" s="151"/>
      <c r="BQ11" s="151">
        <v>1.0</v>
      </c>
      <c r="BR11" s="138"/>
      <c r="BS11" s="151">
        <v>1.0</v>
      </c>
      <c r="BT11" s="150">
        <v>1.0</v>
      </c>
      <c r="BU11" s="187">
        <v>1.0</v>
      </c>
      <c r="BV11" s="152"/>
      <c r="BW11" s="152"/>
      <c r="BX11" s="187">
        <v>1.0</v>
      </c>
      <c r="BY11" s="152"/>
      <c r="BZ11" s="189"/>
      <c r="CA11" s="189"/>
      <c r="CB11" s="189"/>
      <c r="CC11" s="189"/>
      <c r="CD11" s="189"/>
      <c r="CE11" s="189"/>
      <c r="CF11" s="189"/>
      <c r="CG11" s="189"/>
      <c r="CH11" s="156">
        <f t="shared" si="19"/>
        <v>9</v>
      </c>
      <c r="CI11" s="215">
        <f t="shared" si="20"/>
        <v>81.81818182</v>
      </c>
      <c r="CJ11" s="138"/>
      <c r="CK11" s="153"/>
      <c r="CL11" s="152"/>
      <c r="CM11" s="192"/>
      <c r="CN11" s="192"/>
      <c r="CO11" s="192"/>
      <c r="CP11" s="192"/>
      <c r="CQ11" s="152"/>
      <c r="CR11" s="32"/>
      <c r="CS11" s="32"/>
      <c r="CT11" s="161"/>
      <c r="CU11" s="163">
        <f t="shared" si="21"/>
        <v>0</v>
      </c>
      <c r="CV11" s="194" t="str">
        <f t="shared" si="22"/>
        <v>#DIV/0!</v>
      </c>
      <c r="CW11" s="196"/>
      <c r="CX11" s="167">
        <f t="shared" si="23"/>
        <v>81.81818182</v>
      </c>
      <c r="CY11" s="169">
        <f t="shared" si="8"/>
        <v>27</v>
      </c>
      <c r="CZ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3</v>
      </c>
      <c r="E12" s="127">
        <f t="shared" si="10"/>
        <v>9.090909091</v>
      </c>
      <c r="F12" s="200">
        <f t="shared" si="11"/>
        <v>9.090909091</v>
      </c>
      <c r="G12" s="207">
        <f t="shared" si="12"/>
        <v>9.090909091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3"/>
        <v>0</v>
      </c>
      <c r="S12" s="137">
        <f t="shared" si="14"/>
        <v>0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0"/>
      <c r="AG12" s="181">
        <v>1.0</v>
      </c>
      <c r="AH12" s="180"/>
      <c r="AI12" s="180"/>
      <c r="AJ12" s="142"/>
      <c r="AK12" s="142"/>
      <c r="AL12" s="135">
        <f t="shared" si="15"/>
        <v>1</v>
      </c>
      <c r="AM12" s="183">
        <f t="shared" si="16"/>
        <v>10</v>
      </c>
      <c r="AN12" s="161"/>
      <c r="AO12" s="161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7"/>
        <v>0</v>
      </c>
      <c r="BJ12" s="186">
        <f t="shared" si="18"/>
        <v>0</v>
      </c>
      <c r="BK12" s="138"/>
      <c r="BL12" s="132"/>
      <c r="BM12" s="132"/>
      <c r="BN12" s="138"/>
      <c r="BO12" s="151">
        <v>1.0</v>
      </c>
      <c r="BP12" s="138"/>
      <c r="BQ12" s="138"/>
      <c r="BR12" s="138"/>
      <c r="BS12" s="138"/>
      <c r="BT12" s="150">
        <v>1.0</v>
      </c>
      <c r="BU12" s="152"/>
      <c r="BV12" s="152"/>
      <c r="BW12" s="152"/>
      <c r="BX12" s="152"/>
      <c r="BY12" s="152"/>
      <c r="BZ12" s="189"/>
      <c r="CA12" s="189"/>
      <c r="CB12" s="189"/>
      <c r="CC12" s="189"/>
      <c r="CD12" s="189"/>
      <c r="CE12" s="189"/>
      <c r="CF12" s="189"/>
      <c r="CG12" s="189"/>
      <c r="CH12" s="156">
        <f t="shared" si="19"/>
        <v>2</v>
      </c>
      <c r="CI12" s="215">
        <f t="shared" si="20"/>
        <v>18.18181818</v>
      </c>
      <c r="CJ12" s="138"/>
      <c r="CK12" s="153"/>
      <c r="CL12" s="152"/>
      <c r="CM12" s="192"/>
      <c r="CN12" s="192"/>
      <c r="CO12" s="192"/>
      <c r="CP12" s="192"/>
      <c r="CQ12" s="152"/>
      <c r="CR12" s="32"/>
      <c r="CS12" s="32"/>
      <c r="CT12" s="161"/>
      <c r="CU12" s="163">
        <f t="shared" si="21"/>
        <v>0</v>
      </c>
      <c r="CV12" s="194" t="str">
        <f t="shared" si="22"/>
        <v>#DIV/0!</v>
      </c>
      <c r="CW12" s="196"/>
      <c r="CX12" s="167">
        <f t="shared" si="23"/>
        <v>9.090909091</v>
      </c>
      <c r="CY12" s="169">
        <f t="shared" si="8"/>
        <v>3</v>
      </c>
      <c r="CZ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13</v>
      </c>
      <c r="E13" s="127">
        <f t="shared" si="10"/>
        <v>39.39393939</v>
      </c>
      <c r="F13" s="200">
        <f t="shared" si="11"/>
        <v>39.39393939</v>
      </c>
      <c r="G13" s="177" t="str">
        <f t="shared" si="12"/>
        <v>  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3"/>
        <v>0</v>
      </c>
      <c r="S13" s="137">
        <f t="shared" si="14"/>
        <v>0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0"/>
      <c r="AG13" s="211">
        <v>1.0</v>
      </c>
      <c r="AH13" s="210"/>
      <c r="AI13" s="210"/>
      <c r="AJ13" s="212"/>
      <c r="AK13" s="212"/>
      <c r="AL13" s="135">
        <f t="shared" si="15"/>
        <v>1</v>
      </c>
      <c r="AM13" s="183">
        <f t="shared" si="16"/>
        <v>10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85">
        <v>1.0</v>
      </c>
      <c r="AY13" s="133"/>
      <c r="AZ13" s="133"/>
      <c r="BA13" s="185">
        <v>1.0</v>
      </c>
      <c r="BB13" s="133"/>
      <c r="BC13" s="133"/>
      <c r="BD13" s="133"/>
      <c r="BE13" s="185">
        <v>1.0</v>
      </c>
      <c r="BF13" s="185">
        <v>1.0</v>
      </c>
      <c r="BG13" s="133"/>
      <c r="BH13" s="185">
        <v>1.0</v>
      </c>
      <c r="BI13" s="135">
        <f t="shared" si="17"/>
        <v>5</v>
      </c>
      <c r="BJ13" s="186">
        <f t="shared" si="18"/>
        <v>71.42857143</v>
      </c>
      <c r="BK13" s="138"/>
      <c r="BL13" s="170">
        <v>1.0</v>
      </c>
      <c r="BM13" s="170">
        <v>1.0</v>
      </c>
      <c r="BN13" s="151">
        <v>1.0</v>
      </c>
      <c r="BO13" s="138"/>
      <c r="BP13" s="151">
        <v>1.0</v>
      </c>
      <c r="BQ13" s="151">
        <v>1.0</v>
      </c>
      <c r="BR13" s="138"/>
      <c r="BS13" s="138"/>
      <c r="BT13" s="150">
        <v>1.0</v>
      </c>
      <c r="BU13" s="152"/>
      <c r="BV13" s="152"/>
      <c r="BW13" s="152"/>
      <c r="BX13" s="187">
        <v>1.0</v>
      </c>
      <c r="BY13" s="217"/>
      <c r="BZ13" s="218"/>
      <c r="CA13" s="218"/>
      <c r="CB13" s="218"/>
      <c r="CC13" s="218"/>
      <c r="CD13" s="218"/>
      <c r="CE13" s="218"/>
      <c r="CF13" s="218"/>
      <c r="CG13" s="218"/>
      <c r="CH13" s="156">
        <f t="shared" si="19"/>
        <v>7</v>
      </c>
      <c r="CI13" s="215">
        <f t="shared" si="20"/>
        <v>63.63636364</v>
      </c>
      <c r="CJ13" s="209"/>
      <c r="CK13" s="153"/>
      <c r="CL13" s="217"/>
      <c r="CM13" s="219"/>
      <c r="CN13" s="219"/>
      <c r="CO13" s="219"/>
      <c r="CP13" s="219"/>
      <c r="CQ13" s="217"/>
      <c r="CR13" s="221"/>
      <c r="CS13" s="221"/>
      <c r="CT13" s="161"/>
      <c r="CU13" s="163">
        <f t="shared" si="21"/>
        <v>0</v>
      </c>
      <c r="CV13" s="194" t="str">
        <f t="shared" si="22"/>
        <v>#DIV/0!</v>
      </c>
      <c r="CW13" s="222"/>
      <c r="CX13" s="167">
        <f t="shared" si="23"/>
        <v>39.39393939</v>
      </c>
      <c r="CY13" s="169">
        <f t="shared" si="8"/>
        <v>13</v>
      </c>
      <c r="CZ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21</v>
      </c>
      <c r="E14" s="127">
        <f t="shared" si="10"/>
        <v>63.63636364</v>
      </c>
      <c r="F14" s="175" t="str">
        <f t="shared" si="11"/>
        <v>  </v>
      </c>
      <c r="G14" s="177" t="str">
        <f t="shared" si="12"/>
        <v>  </v>
      </c>
      <c r="H14" s="178"/>
      <c r="I14" s="223"/>
      <c r="J14" s="224"/>
      <c r="K14" s="224"/>
      <c r="L14" s="232">
        <v>1.0</v>
      </c>
      <c r="M14" s="232">
        <v>1.0</v>
      </c>
      <c r="N14" s="232">
        <v>1.0</v>
      </c>
      <c r="O14" s="224"/>
      <c r="P14" s="224"/>
      <c r="Q14" s="224"/>
      <c r="R14" s="135">
        <f t="shared" si="13"/>
        <v>3</v>
      </c>
      <c r="S14" s="137">
        <f t="shared" si="14"/>
        <v>60</v>
      </c>
      <c r="T14" s="138"/>
      <c r="U14" s="138"/>
      <c r="V14" s="138"/>
      <c r="W14" s="170">
        <v>1.0</v>
      </c>
      <c r="X14" s="170">
        <v>1.0</v>
      </c>
      <c r="Y14" s="138"/>
      <c r="Z14" s="138"/>
      <c r="AA14" s="138"/>
      <c r="AB14" s="235">
        <v>1.0</v>
      </c>
      <c r="AC14" s="140"/>
      <c r="AD14" s="140"/>
      <c r="AE14" s="141"/>
      <c r="AF14" s="226"/>
      <c r="AG14" s="238">
        <v>1.0</v>
      </c>
      <c r="AH14" s="226"/>
      <c r="AI14" s="238">
        <v>1.0</v>
      </c>
      <c r="AJ14" s="218"/>
      <c r="AK14" s="218"/>
      <c r="AL14" s="135">
        <f t="shared" si="15"/>
        <v>5</v>
      </c>
      <c r="AM14" s="183">
        <f t="shared" si="16"/>
        <v>50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85">
        <v>1.0</v>
      </c>
      <c r="AY14" s="133"/>
      <c r="AZ14" s="133"/>
      <c r="BA14" s="133"/>
      <c r="BB14" s="133"/>
      <c r="BC14" s="133"/>
      <c r="BD14" s="133"/>
      <c r="BE14" s="185">
        <v>1.0</v>
      </c>
      <c r="BF14" s="185">
        <v>1.0</v>
      </c>
      <c r="BG14" s="133"/>
      <c r="BH14" s="185">
        <v>1.0</v>
      </c>
      <c r="BI14" s="135">
        <f t="shared" si="17"/>
        <v>4</v>
      </c>
      <c r="BJ14" s="186">
        <f t="shared" si="18"/>
        <v>57.14285714</v>
      </c>
      <c r="BK14" s="151">
        <v>1.0</v>
      </c>
      <c r="BL14" s="170">
        <v>1.0</v>
      </c>
      <c r="BM14" s="132"/>
      <c r="BN14" s="151">
        <v>1.0</v>
      </c>
      <c r="BO14" s="151">
        <v>1.0</v>
      </c>
      <c r="BP14" s="151">
        <v>1.0</v>
      </c>
      <c r="BQ14" s="151">
        <v>1.0</v>
      </c>
      <c r="BR14" s="138"/>
      <c r="BS14" s="151">
        <v>1.0</v>
      </c>
      <c r="BT14" s="150">
        <v>1.0</v>
      </c>
      <c r="BU14" s="187">
        <v>1.0</v>
      </c>
      <c r="BV14" s="152"/>
      <c r="BW14" s="152"/>
      <c r="BX14" s="152"/>
      <c r="BY14" s="217"/>
      <c r="BZ14" s="218"/>
      <c r="CA14" s="218"/>
      <c r="CB14" s="218"/>
      <c r="CC14" s="218"/>
      <c r="CD14" s="218"/>
      <c r="CE14" s="218"/>
      <c r="CF14" s="218"/>
      <c r="CG14" s="218"/>
      <c r="CH14" s="156">
        <f t="shared" si="19"/>
        <v>9</v>
      </c>
      <c r="CI14" s="215">
        <f t="shared" si="20"/>
        <v>81.81818182</v>
      </c>
      <c r="CJ14" s="217"/>
      <c r="CK14" s="153"/>
      <c r="CL14" s="217"/>
      <c r="CM14" s="219"/>
      <c r="CN14" s="219"/>
      <c r="CO14" s="219"/>
      <c r="CP14" s="219"/>
      <c r="CQ14" s="217"/>
      <c r="CR14" s="221"/>
      <c r="CS14" s="221"/>
      <c r="CT14" s="161"/>
      <c r="CU14" s="163">
        <f t="shared" si="21"/>
        <v>0</v>
      </c>
      <c r="CV14" s="194" t="str">
        <f t="shared" si="22"/>
        <v>#DIV/0!</v>
      </c>
      <c r="CW14" s="196"/>
      <c r="CX14" s="167">
        <f t="shared" si="23"/>
        <v>63.63636364</v>
      </c>
      <c r="CY14" s="169">
        <f t="shared" si="8"/>
        <v>21</v>
      </c>
      <c r="CZ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3"/>
        <v>0</v>
      </c>
      <c r="S15" s="137">
        <f t="shared" si="14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2"/>
      <c r="BN15" s="138"/>
      <c r="BO15" s="138"/>
      <c r="BP15" s="138"/>
      <c r="BQ15" s="138"/>
      <c r="BR15" s="138"/>
      <c r="BS15" s="138"/>
      <c r="BT15" s="140"/>
      <c r="BU15" s="152"/>
      <c r="BV15" s="152"/>
      <c r="BW15" s="152"/>
      <c r="BX15" s="152"/>
      <c r="BY15" s="217"/>
      <c r="BZ15" s="218"/>
      <c r="CA15" s="218"/>
      <c r="CB15" s="218"/>
      <c r="CC15" s="218"/>
      <c r="CD15" s="218"/>
      <c r="CE15" s="218"/>
      <c r="CF15" s="218"/>
      <c r="CG15" s="218"/>
      <c r="CH15" s="156">
        <f t="shared" si="19"/>
        <v>0</v>
      </c>
      <c r="CI15" s="215">
        <f t="shared" si="20"/>
        <v>0</v>
      </c>
      <c r="CJ15" s="209"/>
      <c r="CK15" s="153"/>
      <c r="CL15" s="217"/>
      <c r="CM15" s="219"/>
      <c r="CN15" s="219"/>
      <c r="CO15" s="219"/>
      <c r="CP15" s="219"/>
      <c r="CQ15" s="217"/>
      <c r="CR15" s="221"/>
      <c r="CS15" s="221"/>
      <c r="CT15" s="161"/>
      <c r="CU15" s="163">
        <f t="shared" si="21"/>
        <v>0</v>
      </c>
      <c r="CV15" s="194" t="str">
        <f t="shared" si="22"/>
        <v>#DIV/0!</v>
      </c>
      <c r="CW15" s="196"/>
      <c r="CX15" s="167">
        <f t="shared" si="23"/>
        <v>0</v>
      </c>
      <c r="CY15" s="169">
        <f t="shared" si="8"/>
        <v>0</v>
      </c>
      <c r="CZ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10</v>
      </c>
      <c r="E16" s="127">
        <f t="shared" si="10"/>
        <v>30.3030303</v>
      </c>
      <c r="F16" s="200">
        <f t="shared" si="11"/>
        <v>30.3030303</v>
      </c>
      <c r="G16" s="177" t="str">
        <f t="shared" si="12"/>
        <v>  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3"/>
        <v>0</v>
      </c>
      <c r="S16" s="137">
        <f t="shared" si="14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6">
        <v>1.0</v>
      </c>
      <c r="AH16" s="234"/>
      <c r="AI16" s="234"/>
      <c r="AJ16" s="239"/>
      <c r="AK16" s="239"/>
      <c r="AL16" s="135">
        <f t="shared" si="15"/>
        <v>1</v>
      </c>
      <c r="AM16" s="183">
        <f t="shared" si="16"/>
        <v>10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85">
        <v>1.0</v>
      </c>
      <c r="BG16" s="133"/>
      <c r="BH16" s="185">
        <v>1.0</v>
      </c>
      <c r="BI16" s="135">
        <f t="shared" si="17"/>
        <v>2</v>
      </c>
      <c r="BJ16" s="186">
        <f t="shared" si="18"/>
        <v>28.57142857</v>
      </c>
      <c r="BK16" s="138"/>
      <c r="BL16" s="132"/>
      <c r="BM16" s="132"/>
      <c r="BN16" s="151">
        <v>1.0</v>
      </c>
      <c r="BO16" s="151">
        <v>1.0</v>
      </c>
      <c r="BP16" s="151">
        <v>1.0</v>
      </c>
      <c r="BQ16" s="151">
        <v>1.0</v>
      </c>
      <c r="BR16" s="138"/>
      <c r="BS16" s="151">
        <v>1.0</v>
      </c>
      <c r="BT16" s="150">
        <v>1.0</v>
      </c>
      <c r="BU16" s="152"/>
      <c r="BV16" s="152"/>
      <c r="BW16" s="152"/>
      <c r="BX16" s="187">
        <v>1.0</v>
      </c>
      <c r="BY16" s="217"/>
      <c r="BZ16" s="218"/>
      <c r="CA16" s="218"/>
      <c r="CB16" s="218"/>
      <c r="CC16" s="218"/>
      <c r="CD16" s="218"/>
      <c r="CE16" s="218"/>
      <c r="CF16" s="218"/>
      <c r="CG16" s="218"/>
      <c r="CH16" s="156">
        <f t="shared" si="19"/>
        <v>7</v>
      </c>
      <c r="CI16" s="215">
        <f t="shared" si="20"/>
        <v>63.63636364</v>
      </c>
      <c r="CJ16" s="233"/>
      <c r="CK16" s="153"/>
      <c r="CL16" s="217"/>
      <c r="CM16" s="219"/>
      <c r="CN16" s="219"/>
      <c r="CO16" s="219"/>
      <c r="CP16" s="219"/>
      <c r="CQ16" s="217"/>
      <c r="CR16" s="221"/>
      <c r="CS16" s="221"/>
      <c r="CT16" s="161"/>
      <c r="CU16" s="163">
        <f t="shared" si="21"/>
        <v>0</v>
      </c>
      <c r="CV16" s="194" t="str">
        <f t="shared" si="22"/>
        <v>#DIV/0!</v>
      </c>
      <c r="CW16" s="196"/>
      <c r="CX16" s="167">
        <f t="shared" si="23"/>
        <v>30.3030303</v>
      </c>
      <c r="CY16" s="169">
        <f t="shared" si="8"/>
        <v>10</v>
      </c>
      <c r="CZ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18</v>
      </c>
      <c r="E17" s="127">
        <f t="shared" si="10"/>
        <v>54.54545455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91">
        <v>1.0</v>
      </c>
      <c r="M17" s="191">
        <v>1.0</v>
      </c>
      <c r="N17" s="191">
        <v>1.0</v>
      </c>
      <c r="O17" s="179"/>
      <c r="P17" s="179"/>
      <c r="Q17" s="179"/>
      <c r="R17" s="135">
        <f t="shared" si="13"/>
        <v>3</v>
      </c>
      <c r="S17" s="137">
        <f t="shared" si="14"/>
        <v>60</v>
      </c>
      <c r="T17" s="138"/>
      <c r="U17" s="138"/>
      <c r="V17" s="138"/>
      <c r="W17" s="170">
        <v>1.0</v>
      </c>
      <c r="X17" s="170"/>
      <c r="Y17" s="138"/>
      <c r="Z17" s="138"/>
      <c r="AA17" s="138"/>
      <c r="AB17" s="235">
        <v>1.0</v>
      </c>
      <c r="AC17" s="140"/>
      <c r="AD17" s="140"/>
      <c r="AE17" s="141"/>
      <c r="AF17" s="226"/>
      <c r="AG17" s="238">
        <v>1.0</v>
      </c>
      <c r="AH17" s="226"/>
      <c r="AI17" s="238">
        <v>1.0</v>
      </c>
      <c r="AJ17" s="218"/>
      <c r="AK17" s="218"/>
      <c r="AL17" s="135">
        <f t="shared" si="15"/>
        <v>4</v>
      </c>
      <c r="AM17" s="183">
        <f t="shared" si="16"/>
        <v>40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85">
        <v>1.0</v>
      </c>
      <c r="BF17" s="185">
        <v>1.0</v>
      </c>
      <c r="BG17" s="133"/>
      <c r="BH17" s="133"/>
      <c r="BI17" s="135">
        <f t="shared" si="17"/>
        <v>2</v>
      </c>
      <c r="BJ17" s="186">
        <f t="shared" si="18"/>
        <v>28.57142857</v>
      </c>
      <c r="BK17" s="151">
        <v>1.0</v>
      </c>
      <c r="BL17" s="170">
        <v>1.0</v>
      </c>
      <c r="BM17" s="170">
        <v>1.0</v>
      </c>
      <c r="BN17" s="138"/>
      <c r="BO17" s="151">
        <v>1.0</v>
      </c>
      <c r="BP17" s="151">
        <v>1.0</v>
      </c>
      <c r="BQ17" s="151">
        <v>1.0</v>
      </c>
      <c r="BR17" s="138"/>
      <c r="BS17" s="151">
        <v>1.0</v>
      </c>
      <c r="BT17" s="150">
        <v>1.0</v>
      </c>
      <c r="BU17" s="187">
        <v>1.0</v>
      </c>
      <c r="BV17" s="152"/>
      <c r="BW17" s="152"/>
      <c r="BX17" s="152"/>
      <c r="BY17" s="217"/>
      <c r="BZ17" s="218"/>
      <c r="CA17" s="218"/>
      <c r="CB17" s="218"/>
      <c r="CC17" s="218"/>
      <c r="CD17" s="218"/>
      <c r="CE17" s="218"/>
      <c r="CF17" s="218"/>
      <c r="CG17" s="218"/>
      <c r="CH17" s="156">
        <f t="shared" si="19"/>
        <v>9</v>
      </c>
      <c r="CI17" s="215">
        <f t="shared" si="20"/>
        <v>81.81818182</v>
      </c>
      <c r="CJ17" s="217"/>
      <c r="CK17" s="153"/>
      <c r="CL17" s="217"/>
      <c r="CM17" s="219"/>
      <c r="CN17" s="219"/>
      <c r="CO17" s="219"/>
      <c r="CP17" s="219"/>
      <c r="CQ17" s="217"/>
      <c r="CR17" s="221"/>
      <c r="CS17" s="221"/>
      <c r="CT17" s="161"/>
      <c r="CU17" s="163">
        <f t="shared" si="21"/>
        <v>0</v>
      </c>
      <c r="CV17" s="194" t="str">
        <f t="shared" si="22"/>
        <v>#DIV/0!</v>
      </c>
      <c r="CW17" s="196"/>
      <c r="CX17" s="167">
        <f t="shared" si="23"/>
        <v>54.54545455</v>
      </c>
      <c r="CY17" s="169">
        <f t="shared" si="8"/>
        <v>18</v>
      </c>
      <c r="CZ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14</v>
      </c>
      <c r="E18" s="127">
        <f t="shared" si="10"/>
        <v>42.42424242</v>
      </c>
      <c r="F18" s="200">
        <f t="shared" si="11"/>
        <v>42.42424242</v>
      </c>
      <c r="G18" s="177" t="str">
        <f t="shared" si="12"/>
        <v>  </v>
      </c>
      <c r="H18" s="132"/>
      <c r="I18" s="132"/>
      <c r="J18" s="201"/>
      <c r="K18" s="201"/>
      <c r="L18" s="245">
        <v>1.0</v>
      </c>
      <c r="M18" s="201"/>
      <c r="N18" s="201"/>
      <c r="O18" s="201"/>
      <c r="P18" s="201"/>
      <c r="Q18" s="201"/>
      <c r="R18" s="135">
        <f t="shared" si="13"/>
        <v>1</v>
      </c>
      <c r="S18" s="137">
        <f t="shared" si="14"/>
        <v>20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1">
        <v>1.0</v>
      </c>
      <c r="AH18" s="211">
        <v>1.0</v>
      </c>
      <c r="AI18" s="210"/>
      <c r="AJ18" s="212"/>
      <c r="AK18" s="212"/>
      <c r="AL18" s="135">
        <f t="shared" si="15"/>
        <v>2</v>
      </c>
      <c r="AM18" s="183">
        <f t="shared" si="16"/>
        <v>20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85">
        <v>1.0</v>
      </c>
      <c r="AY18" s="133"/>
      <c r="AZ18" s="133"/>
      <c r="BA18" s="133"/>
      <c r="BB18" s="133"/>
      <c r="BC18" s="133"/>
      <c r="BD18" s="133"/>
      <c r="BE18" s="185">
        <v>1.0</v>
      </c>
      <c r="BF18" s="185">
        <v>1.0</v>
      </c>
      <c r="BG18" s="133"/>
      <c r="BH18" s="185">
        <v>1.0</v>
      </c>
      <c r="BI18" s="135">
        <f t="shared" si="17"/>
        <v>4</v>
      </c>
      <c r="BJ18" s="186">
        <f t="shared" si="18"/>
        <v>57.14285714</v>
      </c>
      <c r="BK18" s="138"/>
      <c r="BL18" s="132"/>
      <c r="BM18" s="132"/>
      <c r="BN18" s="151">
        <v>1.0</v>
      </c>
      <c r="BO18" s="151">
        <v>1.0</v>
      </c>
      <c r="BP18" s="151">
        <v>1.0</v>
      </c>
      <c r="BQ18" s="151">
        <v>1.0</v>
      </c>
      <c r="BR18" s="138"/>
      <c r="BS18" s="151">
        <v>1.0</v>
      </c>
      <c r="BT18" s="150">
        <v>1.0</v>
      </c>
      <c r="BU18" s="187">
        <v>1.0</v>
      </c>
      <c r="BV18" s="152"/>
      <c r="BW18" s="152"/>
      <c r="BX18" s="152"/>
      <c r="BY18" s="217"/>
      <c r="BZ18" s="218"/>
      <c r="CA18" s="218"/>
      <c r="CB18" s="218"/>
      <c r="CC18" s="218"/>
      <c r="CD18" s="218"/>
      <c r="CE18" s="218"/>
      <c r="CF18" s="218"/>
      <c r="CG18" s="218"/>
      <c r="CH18" s="156">
        <f t="shared" si="19"/>
        <v>7</v>
      </c>
      <c r="CI18" s="215">
        <f t="shared" si="20"/>
        <v>63.63636364</v>
      </c>
      <c r="CJ18" s="209"/>
      <c r="CK18" s="153"/>
      <c r="CL18" s="217"/>
      <c r="CM18" s="219"/>
      <c r="CN18" s="219"/>
      <c r="CO18" s="219"/>
      <c r="CP18" s="219"/>
      <c r="CQ18" s="217"/>
      <c r="CR18" s="221"/>
      <c r="CS18" s="221"/>
      <c r="CT18" s="161"/>
      <c r="CU18" s="163">
        <f t="shared" si="21"/>
        <v>0</v>
      </c>
      <c r="CV18" s="194" t="str">
        <f t="shared" si="22"/>
        <v>#DIV/0!</v>
      </c>
      <c r="CW18" s="196"/>
      <c r="CX18" s="167">
        <f t="shared" si="23"/>
        <v>42.42424242</v>
      </c>
      <c r="CY18" s="169">
        <f t="shared" si="8"/>
        <v>14</v>
      </c>
      <c r="CZ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9</v>
      </c>
      <c r="E19" s="127">
        <f t="shared" si="10"/>
        <v>27.27272727</v>
      </c>
      <c r="F19" s="200">
        <f t="shared" si="11"/>
        <v>27.27272727</v>
      </c>
      <c r="G19" s="207">
        <f t="shared" si="12"/>
        <v>27.27272727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3"/>
        <v>0</v>
      </c>
      <c r="S19" s="137">
        <f t="shared" si="14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40"/>
      <c r="AE19" s="141"/>
      <c r="AF19" s="238">
        <v>1.0</v>
      </c>
      <c r="AG19" s="238">
        <v>1.0</v>
      </c>
      <c r="AH19" s="226"/>
      <c r="AI19" s="238">
        <v>1.0</v>
      </c>
      <c r="AJ19" s="218"/>
      <c r="AK19" s="218"/>
      <c r="AL19" s="135">
        <f t="shared" si="15"/>
        <v>3</v>
      </c>
      <c r="AM19" s="183">
        <f t="shared" si="16"/>
        <v>30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85">
        <v>1.0</v>
      </c>
      <c r="BB19" s="133"/>
      <c r="BC19" s="133"/>
      <c r="BD19" s="133"/>
      <c r="BE19" s="185">
        <v>1.0</v>
      </c>
      <c r="BF19" s="185">
        <v>1.0</v>
      </c>
      <c r="BG19" s="133"/>
      <c r="BH19" s="185">
        <v>1.0</v>
      </c>
      <c r="BI19" s="135">
        <f t="shared" si="17"/>
        <v>4</v>
      </c>
      <c r="BJ19" s="186">
        <f t="shared" si="18"/>
        <v>57.14285714</v>
      </c>
      <c r="BK19" s="138"/>
      <c r="BL19" s="132"/>
      <c r="BM19" s="132"/>
      <c r="BN19" s="138"/>
      <c r="BO19" s="138"/>
      <c r="BP19" s="138"/>
      <c r="BQ19" s="138"/>
      <c r="BR19" s="138"/>
      <c r="BS19" s="138"/>
      <c r="BT19" s="140"/>
      <c r="BU19" s="187">
        <v>1.0</v>
      </c>
      <c r="BV19" s="152"/>
      <c r="BW19" s="152"/>
      <c r="BX19" s="187">
        <v>1.0</v>
      </c>
      <c r="BY19" s="217"/>
      <c r="BZ19" s="218"/>
      <c r="CA19" s="218"/>
      <c r="CB19" s="218"/>
      <c r="CC19" s="218"/>
      <c r="CD19" s="218"/>
      <c r="CE19" s="218"/>
      <c r="CF19" s="218"/>
      <c r="CG19" s="218"/>
      <c r="CH19" s="156">
        <f t="shared" si="19"/>
        <v>2</v>
      </c>
      <c r="CI19" s="215">
        <f t="shared" si="20"/>
        <v>18.18181818</v>
      </c>
      <c r="CJ19" s="217"/>
      <c r="CK19" s="153"/>
      <c r="CL19" s="217"/>
      <c r="CM19" s="219"/>
      <c r="CN19" s="219"/>
      <c r="CO19" s="219"/>
      <c r="CP19" s="219"/>
      <c r="CQ19" s="217"/>
      <c r="CR19" s="221"/>
      <c r="CS19" s="221"/>
      <c r="CT19" s="161"/>
      <c r="CU19" s="163">
        <f t="shared" si="21"/>
        <v>0</v>
      </c>
      <c r="CV19" s="194" t="str">
        <f t="shared" si="22"/>
        <v>#DIV/0!</v>
      </c>
      <c r="CW19" s="196"/>
      <c r="CX19" s="167">
        <f t="shared" si="23"/>
        <v>27.27272727</v>
      </c>
      <c r="CY19" s="169">
        <f t="shared" si="8"/>
        <v>9</v>
      </c>
      <c r="CZ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9</v>
      </c>
      <c r="E20" s="127">
        <f t="shared" si="10"/>
        <v>27.27272727</v>
      </c>
      <c r="F20" s="200">
        <f t="shared" si="11"/>
        <v>27.27272727</v>
      </c>
      <c r="G20" s="207">
        <f t="shared" si="12"/>
        <v>27.27272727</v>
      </c>
      <c r="H20" s="132"/>
      <c r="I20" s="132"/>
      <c r="J20" s="201"/>
      <c r="K20" s="201"/>
      <c r="L20" s="201"/>
      <c r="M20" s="201"/>
      <c r="N20" s="245">
        <v>1.0</v>
      </c>
      <c r="O20" s="201"/>
      <c r="P20" s="201"/>
      <c r="Q20" s="201"/>
      <c r="R20" s="135">
        <f t="shared" si="13"/>
        <v>1</v>
      </c>
      <c r="S20" s="137">
        <f t="shared" si="14"/>
        <v>20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1">
        <v>1.0</v>
      </c>
      <c r="AH20" s="210"/>
      <c r="AI20" s="210"/>
      <c r="AJ20" s="212"/>
      <c r="AK20" s="212"/>
      <c r="AL20" s="135">
        <f t="shared" si="15"/>
        <v>1</v>
      </c>
      <c r="AM20" s="183">
        <f t="shared" si="16"/>
        <v>10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85">
        <v>1.0</v>
      </c>
      <c r="BF20" s="133"/>
      <c r="BG20" s="133"/>
      <c r="BH20" s="185">
        <v>1.0</v>
      </c>
      <c r="BI20" s="135">
        <f t="shared" si="17"/>
        <v>2</v>
      </c>
      <c r="BJ20" s="186">
        <f t="shared" si="18"/>
        <v>28.57142857</v>
      </c>
      <c r="BK20" s="138"/>
      <c r="BL20" s="132"/>
      <c r="BM20" s="132"/>
      <c r="BN20" s="151">
        <v>1.0</v>
      </c>
      <c r="BO20" s="151">
        <v>1.0</v>
      </c>
      <c r="BP20" s="151">
        <v>1.0</v>
      </c>
      <c r="BQ20" s="151">
        <v>1.0</v>
      </c>
      <c r="BR20" s="138"/>
      <c r="BS20" s="138"/>
      <c r="BT20" s="150">
        <v>1.0</v>
      </c>
      <c r="BU20" s="152"/>
      <c r="BV20" s="152"/>
      <c r="BW20" s="152"/>
      <c r="BX20" s="152"/>
      <c r="BY20" s="217"/>
      <c r="BZ20" s="218"/>
      <c r="CA20" s="218"/>
      <c r="CB20" s="218"/>
      <c r="CC20" s="218"/>
      <c r="CD20" s="218"/>
      <c r="CE20" s="218"/>
      <c r="CF20" s="218"/>
      <c r="CG20" s="218"/>
      <c r="CH20" s="156">
        <f t="shared" si="19"/>
        <v>5</v>
      </c>
      <c r="CI20" s="215">
        <f t="shared" si="20"/>
        <v>45.45454545</v>
      </c>
      <c r="CJ20" s="209"/>
      <c r="CK20" s="153"/>
      <c r="CL20" s="217"/>
      <c r="CM20" s="219"/>
      <c r="CN20" s="219"/>
      <c r="CO20" s="219"/>
      <c r="CP20" s="219"/>
      <c r="CQ20" s="217"/>
      <c r="CR20" s="221"/>
      <c r="CS20" s="221"/>
      <c r="CT20" s="161"/>
      <c r="CU20" s="163">
        <f t="shared" si="21"/>
        <v>0</v>
      </c>
      <c r="CV20" s="194" t="str">
        <f t="shared" si="22"/>
        <v>#DIV/0!</v>
      </c>
      <c r="CW20" s="196"/>
      <c r="CX20" s="167">
        <f t="shared" si="23"/>
        <v>27.27272727</v>
      </c>
      <c r="CY20" s="169">
        <f t="shared" si="8"/>
        <v>9</v>
      </c>
      <c r="CZ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14</v>
      </c>
      <c r="E21" s="127">
        <f t="shared" si="10"/>
        <v>42.42424242</v>
      </c>
      <c r="F21" s="200">
        <f t="shared" si="11"/>
        <v>42.42424242</v>
      </c>
      <c r="G21" s="177" t="str">
        <f t="shared" si="12"/>
        <v>  </v>
      </c>
      <c r="H21" s="178"/>
      <c r="I21" s="132"/>
      <c r="J21" s="201"/>
      <c r="K21" s="201"/>
      <c r="L21" s="245">
        <v>1.0</v>
      </c>
      <c r="M21" s="201"/>
      <c r="N21" s="245">
        <v>1.0</v>
      </c>
      <c r="O21" s="201"/>
      <c r="P21" s="201"/>
      <c r="Q21" s="201"/>
      <c r="R21" s="135">
        <f t="shared" si="13"/>
        <v>2</v>
      </c>
      <c r="S21" s="137">
        <f t="shared" si="14"/>
        <v>40</v>
      </c>
      <c r="T21" s="138"/>
      <c r="U21" s="138"/>
      <c r="V21" s="138"/>
      <c r="W21" s="132"/>
      <c r="X21" s="132"/>
      <c r="Y21" s="138"/>
      <c r="Z21" s="138"/>
      <c r="AA21" s="138"/>
      <c r="AB21" s="225">
        <v>1.0</v>
      </c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1</v>
      </c>
      <c r="AM21" s="183">
        <f t="shared" si="16"/>
        <v>10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85">
        <v>1.0</v>
      </c>
      <c r="AY21" s="133"/>
      <c r="AZ21" s="133"/>
      <c r="BA21" s="133"/>
      <c r="BB21" s="133"/>
      <c r="BC21" s="133"/>
      <c r="BD21" s="133"/>
      <c r="BE21" s="185">
        <v>1.0</v>
      </c>
      <c r="BF21" s="185">
        <v>1.0</v>
      </c>
      <c r="BG21" s="133"/>
      <c r="BH21" s="185">
        <v>1.0</v>
      </c>
      <c r="BI21" s="135">
        <f t="shared" si="17"/>
        <v>4</v>
      </c>
      <c r="BJ21" s="186">
        <f t="shared" si="18"/>
        <v>57.14285714</v>
      </c>
      <c r="BK21" s="138"/>
      <c r="BL21" s="132"/>
      <c r="BM21" s="132"/>
      <c r="BN21" s="151">
        <v>1.0</v>
      </c>
      <c r="BO21" s="151">
        <v>1.0</v>
      </c>
      <c r="BP21" s="151">
        <v>1.0</v>
      </c>
      <c r="BQ21" s="151">
        <v>1.0</v>
      </c>
      <c r="BR21" s="138"/>
      <c r="BS21" s="151">
        <v>1.0</v>
      </c>
      <c r="BT21" s="150">
        <v>1.0</v>
      </c>
      <c r="BU21" s="187">
        <v>1.0</v>
      </c>
      <c r="BV21" s="152"/>
      <c r="BW21" s="152"/>
      <c r="BX21" s="152"/>
      <c r="BY21" s="217"/>
      <c r="BZ21" s="218"/>
      <c r="CA21" s="218"/>
      <c r="CB21" s="218"/>
      <c r="CC21" s="218"/>
      <c r="CD21" s="218"/>
      <c r="CE21" s="218"/>
      <c r="CF21" s="218"/>
      <c r="CG21" s="218"/>
      <c r="CH21" s="156">
        <f t="shared" si="19"/>
        <v>7</v>
      </c>
      <c r="CI21" s="215">
        <f t="shared" si="20"/>
        <v>63.63636364</v>
      </c>
      <c r="CJ21" s="209"/>
      <c r="CK21" s="153"/>
      <c r="CL21" s="217"/>
      <c r="CM21" s="219"/>
      <c r="CN21" s="219"/>
      <c r="CO21" s="219"/>
      <c r="CP21" s="219"/>
      <c r="CQ21" s="217"/>
      <c r="CR21" s="221"/>
      <c r="CS21" s="221"/>
      <c r="CT21" s="161"/>
      <c r="CU21" s="163">
        <f t="shared" si="21"/>
        <v>0</v>
      </c>
      <c r="CV21" s="194" t="str">
        <f t="shared" si="22"/>
        <v>#DIV/0!</v>
      </c>
      <c r="CW21" s="196"/>
      <c r="CX21" s="167">
        <f t="shared" si="23"/>
        <v>42.42424242</v>
      </c>
      <c r="CY21" s="169">
        <f t="shared" si="8"/>
        <v>14</v>
      </c>
      <c r="CZ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16</v>
      </c>
      <c r="E22" s="127">
        <f t="shared" si="10"/>
        <v>48.48484848</v>
      </c>
      <c r="F22" s="200">
        <f t="shared" si="11"/>
        <v>48.48484848</v>
      </c>
      <c r="G22" s="177" t="str">
        <f t="shared" si="12"/>
        <v>  </v>
      </c>
      <c r="H22" s="132"/>
      <c r="I22" s="178"/>
      <c r="J22" s="179"/>
      <c r="K22" s="179"/>
      <c r="L22" s="191">
        <v>1.0</v>
      </c>
      <c r="M22" s="179"/>
      <c r="N22" s="191">
        <v>1.0</v>
      </c>
      <c r="O22" s="179"/>
      <c r="P22" s="179"/>
      <c r="Q22" s="179"/>
      <c r="R22" s="135">
        <f t="shared" si="13"/>
        <v>2</v>
      </c>
      <c r="S22" s="137">
        <f t="shared" si="14"/>
        <v>40</v>
      </c>
      <c r="T22" s="138"/>
      <c r="U22" s="138"/>
      <c r="V22" s="138"/>
      <c r="W22" s="132"/>
      <c r="X22" s="132"/>
      <c r="Y22" s="151">
        <v>1.0</v>
      </c>
      <c r="Z22" s="151">
        <v>1.0</v>
      </c>
      <c r="AA22" s="138"/>
      <c r="AB22" s="225">
        <v>1.0</v>
      </c>
      <c r="AC22" s="140"/>
      <c r="AD22" s="140"/>
      <c r="AE22" s="141"/>
      <c r="AF22" s="210"/>
      <c r="AG22" s="211">
        <v>1.0</v>
      </c>
      <c r="AH22" s="210"/>
      <c r="AI22" s="210"/>
      <c r="AJ22" s="212"/>
      <c r="AK22" s="212"/>
      <c r="AL22" s="135">
        <f t="shared" si="15"/>
        <v>4</v>
      </c>
      <c r="AM22" s="183">
        <f t="shared" si="16"/>
        <v>40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85">
        <v>1.0</v>
      </c>
      <c r="BF22" s="185">
        <v>1.0</v>
      </c>
      <c r="BG22" s="185">
        <v>1.0</v>
      </c>
      <c r="BH22" s="133"/>
      <c r="BI22" s="135">
        <f t="shared" si="17"/>
        <v>3</v>
      </c>
      <c r="BJ22" s="186">
        <f t="shared" si="18"/>
        <v>42.85714286</v>
      </c>
      <c r="BK22" s="138"/>
      <c r="BL22" s="170">
        <v>1.0</v>
      </c>
      <c r="BM22" s="170">
        <v>1.0</v>
      </c>
      <c r="BN22" s="138"/>
      <c r="BO22" s="151">
        <v>1.0</v>
      </c>
      <c r="BP22" s="151">
        <v>1.0</v>
      </c>
      <c r="BQ22" s="151">
        <v>1.0</v>
      </c>
      <c r="BR22" s="138"/>
      <c r="BS22" s="151">
        <v>1.0</v>
      </c>
      <c r="BT22" s="150">
        <v>1.0</v>
      </c>
      <c r="BU22" s="152"/>
      <c r="BV22" s="152"/>
      <c r="BW22" s="152"/>
      <c r="BX22" s="152"/>
      <c r="BY22" s="217"/>
      <c r="BZ22" s="218"/>
      <c r="CA22" s="218"/>
      <c r="CB22" s="218"/>
      <c r="CC22" s="218"/>
      <c r="CD22" s="218"/>
      <c r="CE22" s="218"/>
      <c r="CF22" s="218"/>
      <c r="CG22" s="218"/>
      <c r="CH22" s="156">
        <f t="shared" si="19"/>
        <v>7</v>
      </c>
      <c r="CI22" s="215">
        <f t="shared" si="20"/>
        <v>63.63636364</v>
      </c>
      <c r="CJ22" s="209"/>
      <c r="CK22" s="153"/>
      <c r="CL22" s="217"/>
      <c r="CM22" s="219"/>
      <c r="CN22" s="219"/>
      <c r="CO22" s="219"/>
      <c r="CP22" s="219"/>
      <c r="CQ22" s="217"/>
      <c r="CR22" s="221"/>
      <c r="CS22" s="221"/>
      <c r="CT22" s="161"/>
      <c r="CU22" s="163">
        <f t="shared" si="21"/>
        <v>0</v>
      </c>
      <c r="CV22" s="194" t="str">
        <f t="shared" si="22"/>
        <v>#DIV/0!</v>
      </c>
      <c r="CW22" s="196"/>
      <c r="CX22" s="167">
        <f t="shared" si="23"/>
        <v>48.48484848</v>
      </c>
      <c r="CY22" s="169">
        <f t="shared" si="8"/>
        <v>16</v>
      </c>
      <c r="CZ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6</v>
      </c>
      <c r="E23" s="127">
        <f t="shared" si="10"/>
        <v>18.18181818</v>
      </c>
      <c r="F23" s="200">
        <f t="shared" si="11"/>
        <v>18.18181818</v>
      </c>
      <c r="G23" s="207">
        <f t="shared" si="12"/>
        <v>18.18181818</v>
      </c>
      <c r="H23" s="132"/>
      <c r="I23" s="132"/>
      <c r="J23" s="201"/>
      <c r="K23" s="201"/>
      <c r="L23" s="245">
        <v>1.0</v>
      </c>
      <c r="M23" s="201"/>
      <c r="N23" s="201"/>
      <c r="O23" s="201"/>
      <c r="P23" s="201"/>
      <c r="Q23" s="201"/>
      <c r="R23" s="135">
        <f t="shared" si="13"/>
        <v>1</v>
      </c>
      <c r="S23" s="137">
        <f t="shared" si="14"/>
        <v>20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>
        <f t="shared" si="16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>
        <f t="shared" si="18"/>
        <v>0</v>
      </c>
      <c r="BK23" s="138"/>
      <c r="BL23" s="132"/>
      <c r="BM23" s="132"/>
      <c r="BN23" s="138"/>
      <c r="BO23" s="151">
        <v>1.0</v>
      </c>
      <c r="BP23" s="151">
        <v>1.0</v>
      </c>
      <c r="BQ23" s="151">
        <v>1.0</v>
      </c>
      <c r="BR23" s="138"/>
      <c r="BS23" s="151">
        <v>1.0</v>
      </c>
      <c r="BT23" s="150">
        <v>1.0</v>
      </c>
      <c r="BU23" s="152"/>
      <c r="BV23" s="152"/>
      <c r="BW23" s="152"/>
      <c r="BX23" s="152"/>
      <c r="BY23" s="217"/>
      <c r="BZ23" s="218"/>
      <c r="CA23" s="218"/>
      <c r="CB23" s="218"/>
      <c r="CC23" s="218"/>
      <c r="CD23" s="218"/>
      <c r="CE23" s="218"/>
      <c r="CF23" s="218"/>
      <c r="CG23" s="218"/>
      <c r="CH23" s="156">
        <f t="shared" si="19"/>
        <v>5</v>
      </c>
      <c r="CI23" s="215">
        <f t="shared" si="20"/>
        <v>45.45454545</v>
      </c>
      <c r="CJ23" s="209"/>
      <c r="CK23" s="153"/>
      <c r="CL23" s="217"/>
      <c r="CM23" s="219"/>
      <c r="CN23" s="219"/>
      <c r="CO23" s="219"/>
      <c r="CP23" s="219"/>
      <c r="CQ23" s="217"/>
      <c r="CR23" s="221"/>
      <c r="CS23" s="221"/>
      <c r="CT23" s="161"/>
      <c r="CU23" s="163">
        <f t="shared" si="21"/>
        <v>0</v>
      </c>
      <c r="CV23" s="194" t="str">
        <f t="shared" si="22"/>
        <v>#DIV/0!</v>
      </c>
      <c r="CW23" s="196"/>
      <c r="CX23" s="167">
        <f t="shared" si="23"/>
        <v>18.18181818</v>
      </c>
      <c r="CY23" s="169">
        <f t="shared" si="8"/>
        <v>6</v>
      </c>
      <c r="CZ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7</v>
      </c>
      <c r="E24" s="127">
        <f t="shared" si="10"/>
        <v>21.21212121</v>
      </c>
      <c r="F24" s="200">
        <f t="shared" si="11"/>
        <v>21.21212121</v>
      </c>
      <c r="G24" s="207">
        <f t="shared" si="12"/>
        <v>21.21212121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3"/>
        <v>0</v>
      </c>
      <c r="S24" s="137">
        <f t="shared" si="14"/>
        <v>0</v>
      </c>
      <c r="T24" s="138"/>
      <c r="U24" s="138"/>
      <c r="V24" s="138"/>
      <c r="W24" s="170">
        <v>1.0</v>
      </c>
      <c r="X24" s="170">
        <v>1.0</v>
      </c>
      <c r="Y24" s="151">
        <v>1.0</v>
      </c>
      <c r="Z24" s="151">
        <v>1.0</v>
      </c>
      <c r="AA24" s="138"/>
      <c r="AB24" s="209"/>
      <c r="AC24" s="140"/>
      <c r="AD24" s="140"/>
      <c r="AE24" s="141"/>
      <c r="AF24" s="210"/>
      <c r="AG24" s="211">
        <v>1.0</v>
      </c>
      <c r="AH24" s="210"/>
      <c r="AI24" s="210"/>
      <c r="AJ24" s="212"/>
      <c r="AK24" s="212"/>
      <c r="AL24" s="135">
        <f t="shared" si="15"/>
        <v>5</v>
      </c>
      <c r="AM24" s="183">
        <f t="shared" si="16"/>
        <v>50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85">
        <v>1.0</v>
      </c>
      <c r="BF24" s="133"/>
      <c r="BG24" s="133"/>
      <c r="BH24" s="133"/>
      <c r="BI24" s="135">
        <f t="shared" si="17"/>
        <v>1</v>
      </c>
      <c r="BJ24" s="186">
        <f t="shared" si="18"/>
        <v>14.28571429</v>
      </c>
      <c r="BK24" s="138"/>
      <c r="BL24" s="132"/>
      <c r="BM24" s="132"/>
      <c r="BN24" s="138"/>
      <c r="BO24" s="138"/>
      <c r="BP24" s="138"/>
      <c r="BQ24" s="138"/>
      <c r="BR24" s="138"/>
      <c r="BS24" s="138"/>
      <c r="BT24" s="150">
        <v>1.0</v>
      </c>
      <c r="BU24" s="152"/>
      <c r="BV24" s="152"/>
      <c r="BW24" s="152"/>
      <c r="BX24" s="152"/>
      <c r="BY24" s="217"/>
      <c r="BZ24" s="218"/>
      <c r="CA24" s="218"/>
      <c r="CB24" s="218"/>
      <c r="CC24" s="218"/>
      <c r="CD24" s="218"/>
      <c r="CE24" s="218"/>
      <c r="CF24" s="218"/>
      <c r="CG24" s="218"/>
      <c r="CH24" s="156">
        <f t="shared" si="19"/>
        <v>1</v>
      </c>
      <c r="CI24" s="215">
        <f t="shared" si="20"/>
        <v>9.090909091</v>
      </c>
      <c r="CJ24" s="209"/>
      <c r="CK24" s="153"/>
      <c r="CL24" s="217"/>
      <c r="CM24" s="219"/>
      <c r="CN24" s="219"/>
      <c r="CO24" s="219"/>
      <c r="CP24" s="219"/>
      <c r="CQ24" s="217"/>
      <c r="CR24" s="221"/>
      <c r="CS24" s="221"/>
      <c r="CT24" s="161"/>
      <c r="CU24" s="163">
        <f t="shared" si="21"/>
        <v>0</v>
      </c>
      <c r="CV24" s="194" t="str">
        <f t="shared" si="22"/>
        <v>#DIV/0!</v>
      </c>
      <c r="CW24" s="196"/>
      <c r="CX24" s="167">
        <f t="shared" si="23"/>
        <v>21.21212121</v>
      </c>
      <c r="CY24" s="169">
        <f t="shared" si="8"/>
        <v>7</v>
      </c>
      <c r="CZ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12</v>
      </c>
      <c r="E25" s="127">
        <f t="shared" si="10"/>
        <v>36.36363636</v>
      </c>
      <c r="F25" s="200">
        <f t="shared" si="11"/>
        <v>36.36363636</v>
      </c>
      <c r="G25" s="177" t="str">
        <f t="shared" si="12"/>
        <v>  </v>
      </c>
      <c r="H25" s="132"/>
      <c r="I25" s="178"/>
      <c r="J25" s="179"/>
      <c r="K25" s="179"/>
      <c r="L25" s="191">
        <v>1.0</v>
      </c>
      <c r="M25" s="191">
        <v>1.0</v>
      </c>
      <c r="N25" s="179"/>
      <c r="O25" s="179"/>
      <c r="P25" s="179"/>
      <c r="Q25" s="179"/>
      <c r="R25" s="135">
        <f t="shared" si="13"/>
        <v>2</v>
      </c>
      <c r="S25" s="137">
        <f t="shared" si="14"/>
        <v>40</v>
      </c>
      <c r="T25" s="138"/>
      <c r="U25" s="138"/>
      <c r="V25" s="138"/>
      <c r="W25" s="170">
        <v>1.0</v>
      </c>
      <c r="X25" s="170">
        <v>1.0</v>
      </c>
      <c r="Y25" s="151">
        <v>1.0</v>
      </c>
      <c r="Z25" s="151">
        <v>1.0</v>
      </c>
      <c r="AA25" s="138"/>
      <c r="AB25" s="247"/>
      <c r="AC25" s="140"/>
      <c r="AD25" s="140"/>
      <c r="AE25" s="141"/>
      <c r="AF25" s="256">
        <v>1.0</v>
      </c>
      <c r="AG25" s="256">
        <v>1.0</v>
      </c>
      <c r="AH25" s="248"/>
      <c r="AI25" s="248"/>
      <c r="AJ25" s="249"/>
      <c r="AK25" s="249"/>
      <c r="AL25" s="135">
        <f t="shared" si="15"/>
        <v>6</v>
      </c>
      <c r="AM25" s="183">
        <f t="shared" si="16"/>
        <v>60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85">
        <v>1.0</v>
      </c>
      <c r="BF25" s="133"/>
      <c r="BG25" s="133"/>
      <c r="BH25" s="185">
        <v>1.0</v>
      </c>
      <c r="BI25" s="135">
        <f t="shared" si="17"/>
        <v>2</v>
      </c>
      <c r="BJ25" s="186">
        <f t="shared" si="18"/>
        <v>28.57142857</v>
      </c>
      <c r="BK25" s="151">
        <v>1.0</v>
      </c>
      <c r="BL25" s="132"/>
      <c r="BM25" s="132"/>
      <c r="BN25" s="138"/>
      <c r="BO25" s="151">
        <v>1.0</v>
      </c>
      <c r="BP25" s="138"/>
      <c r="BQ25" s="138"/>
      <c r="BR25" s="138"/>
      <c r="BS25" s="138"/>
      <c r="BT25" s="140"/>
      <c r="BU25" s="152"/>
      <c r="BV25" s="152"/>
      <c r="BW25" s="152"/>
      <c r="BX25" s="152"/>
      <c r="BY25" s="217"/>
      <c r="BZ25" s="218"/>
      <c r="CA25" s="218"/>
      <c r="CB25" s="218"/>
      <c r="CC25" s="218"/>
      <c r="CD25" s="218"/>
      <c r="CE25" s="218"/>
      <c r="CF25" s="218"/>
      <c r="CG25" s="218"/>
      <c r="CH25" s="156">
        <f t="shared" si="19"/>
        <v>2</v>
      </c>
      <c r="CI25" s="215">
        <f t="shared" si="20"/>
        <v>18.18181818</v>
      </c>
      <c r="CJ25" s="247"/>
      <c r="CK25" s="153"/>
      <c r="CL25" s="217"/>
      <c r="CM25" s="219"/>
      <c r="CN25" s="219"/>
      <c r="CO25" s="219"/>
      <c r="CP25" s="219"/>
      <c r="CQ25" s="217"/>
      <c r="CR25" s="221"/>
      <c r="CS25" s="221"/>
      <c r="CT25" s="161"/>
      <c r="CU25" s="163">
        <f t="shared" si="21"/>
        <v>0</v>
      </c>
      <c r="CV25" s="194" t="str">
        <f t="shared" si="22"/>
        <v>#DIV/0!</v>
      </c>
      <c r="CW25" s="196"/>
      <c r="CX25" s="167">
        <f t="shared" si="23"/>
        <v>36.36363636</v>
      </c>
      <c r="CY25" s="169">
        <f t="shared" si="8"/>
        <v>12</v>
      </c>
      <c r="CZ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8</v>
      </c>
      <c r="E26" s="127">
        <f t="shared" si="10"/>
        <v>24.24242424</v>
      </c>
      <c r="F26" s="200">
        <f t="shared" si="11"/>
        <v>24.24242424</v>
      </c>
      <c r="G26" s="207">
        <f t="shared" si="12"/>
        <v>24.24242424</v>
      </c>
      <c r="H26" s="132"/>
      <c r="I26" s="132"/>
      <c r="J26" s="201"/>
      <c r="K26" s="201"/>
      <c r="L26" s="245">
        <v>1.0</v>
      </c>
      <c r="M26" s="245">
        <v>1.0</v>
      </c>
      <c r="N26" s="201"/>
      <c r="O26" s="201"/>
      <c r="P26" s="201"/>
      <c r="Q26" s="201"/>
      <c r="R26" s="135">
        <f t="shared" si="13"/>
        <v>2</v>
      </c>
      <c r="S26" s="137">
        <f t="shared" si="14"/>
        <v>40</v>
      </c>
      <c r="T26" s="138"/>
      <c r="U26" s="138"/>
      <c r="V26" s="138"/>
      <c r="W26" s="170">
        <v>1.0</v>
      </c>
      <c r="X26" s="170">
        <v>1.0</v>
      </c>
      <c r="Y26" s="138"/>
      <c r="Z26" s="151">
        <v>1.0</v>
      </c>
      <c r="AA26" s="151">
        <v>1.0</v>
      </c>
      <c r="AB26" s="209"/>
      <c r="AC26" s="140"/>
      <c r="AD26" s="140"/>
      <c r="AE26" s="141"/>
      <c r="AF26" s="210"/>
      <c r="AG26" s="211">
        <v>1.0</v>
      </c>
      <c r="AH26" s="210"/>
      <c r="AI26" s="210"/>
      <c r="AJ26" s="212"/>
      <c r="AK26" s="212"/>
      <c r="AL26" s="135">
        <f t="shared" si="15"/>
        <v>5</v>
      </c>
      <c r="AM26" s="183">
        <f t="shared" si="16"/>
        <v>50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85">
        <v>1.0</v>
      </c>
      <c r="BF26" s="133"/>
      <c r="BG26" s="133"/>
      <c r="BH26" s="133"/>
      <c r="BI26" s="135">
        <f t="shared" si="17"/>
        <v>1</v>
      </c>
      <c r="BJ26" s="186">
        <f t="shared" si="18"/>
        <v>14.28571429</v>
      </c>
      <c r="BK26" s="138"/>
      <c r="BL26" s="132"/>
      <c r="BM26" s="132"/>
      <c r="BN26" s="138"/>
      <c r="BO26" s="138"/>
      <c r="BP26" s="138"/>
      <c r="BQ26" s="138"/>
      <c r="BR26" s="138"/>
      <c r="BS26" s="138"/>
      <c r="BT26" s="140"/>
      <c r="BU26" s="152"/>
      <c r="BV26" s="152"/>
      <c r="BW26" s="152"/>
      <c r="BX26" s="152"/>
      <c r="BY26" s="217"/>
      <c r="BZ26" s="218"/>
      <c r="CA26" s="218"/>
      <c r="CB26" s="218"/>
      <c r="CC26" s="218"/>
      <c r="CD26" s="218"/>
      <c r="CE26" s="218"/>
      <c r="CF26" s="218"/>
      <c r="CG26" s="218"/>
      <c r="CH26" s="156">
        <f t="shared" si="19"/>
        <v>0</v>
      </c>
      <c r="CI26" s="215">
        <f t="shared" si="20"/>
        <v>0</v>
      </c>
      <c r="CJ26" s="209"/>
      <c r="CK26" s="153"/>
      <c r="CL26" s="217"/>
      <c r="CM26" s="219"/>
      <c r="CN26" s="219"/>
      <c r="CO26" s="219"/>
      <c r="CP26" s="219"/>
      <c r="CQ26" s="217"/>
      <c r="CR26" s="221"/>
      <c r="CS26" s="221"/>
      <c r="CT26" s="161"/>
      <c r="CU26" s="163">
        <f t="shared" si="21"/>
        <v>0</v>
      </c>
      <c r="CV26" s="194" t="str">
        <f t="shared" si="22"/>
        <v>#DIV/0!</v>
      </c>
      <c r="CW26" s="196"/>
      <c r="CX26" s="167">
        <f t="shared" si="23"/>
        <v>24.24242424</v>
      </c>
      <c r="CY26" s="169">
        <f t="shared" si="8"/>
        <v>8</v>
      </c>
      <c r="CZ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9</v>
      </c>
      <c r="E27" s="127">
        <f t="shared" si="10"/>
        <v>27.27272727</v>
      </c>
      <c r="F27" s="200">
        <f t="shared" si="11"/>
        <v>27.27272727</v>
      </c>
      <c r="G27" s="207">
        <f t="shared" si="12"/>
        <v>27.27272727</v>
      </c>
      <c r="H27" s="132"/>
      <c r="I27" s="132"/>
      <c r="J27" s="201"/>
      <c r="K27" s="201"/>
      <c r="L27" s="245">
        <v>1.0</v>
      </c>
      <c r="M27" s="201"/>
      <c r="N27" s="201"/>
      <c r="O27" s="201"/>
      <c r="P27" s="201"/>
      <c r="Q27" s="201"/>
      <c r="R27" s="135">
        <f t="shared" si="13"/>
        <v>1</v>
      </c>
      <c r="S27" s="137">
        <f t="shared" si="14"/>
        <v>20</v>
      </c>
      <c r="T27" s="138"/>
      <c r="U27" s="138"/>
      <c r="V27" s="138"/>
      <c r="W27" s="170">
        <v>1.0</v>
      </c>
      <c r="X27" s="170">
        <v>1.0</v>
      </c>
      <c r="Y27" s="151">
        <v>1.0</v>
      </c>
      <c r="Z27" s="151">
        <v>1.0</v>
      </c>
      <c r="AA27" s="138"/>
      <c r="AB27" s="209"/>
      <c r="AC27" s="140"/>
      <c r="AD27" s="140"/>
      <c r="AE27" s="141"/>
      <c r="AF27" s="210"/>
      <c r="AG27" s="210"/>
      <c r="AH27" s="211">
        <v>1.0</v>
      </c>
      <c r="AI27" s="210"/>
      <c r="AJ27" s="212"/>
      <c r="AK27" s="212"/>
      <c r="AL27" s="135">
        <f t="shared" si="15"/>
        <v>5</v>
      </c>
      <c r="AM27" s="183">
        <f t="shared" si="16"/>
        <v>50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85">
        <v>1.0</v>
      </c>
      <c r="BG27" s="133"/>
      <c r="BH27" s="133"/>
      <c r="BI27" s="135">
        <f t="shared" si="17"/>
        <v>1</v>
      </c>
      <c r="BJ27" s="186">
        <f t="shared" si="18"/>
        <v>14.28571429</v>
      </c>
      <c r="BK27" s="138"/>
      <c r="BL27" s="132"/>
      <c r="BM27" s="132"/>
      <c r="BN27" s="138"/>
      <c r="BO27" s="151">
        <v>1.0</v>
      </c>
      <c r="BP27" s="151"/>
      <c r="BQ27" s="151">
        <v>1.0</v>
      </c>
      <c r="BR27" s="138"/>
      <c r="BS27" s="138"/>
      <c r="BT27" s="140"/>
      <c r="BU27" s="152"/>
      <c r="BV27" s="152"/>
      <c r="BW27" s="152"/>
      <c r="BX27" s="152"/>
      <c r="BY27" s="217"/>
      <c r="BZ27" s="218"/>
      <c r="CA27" s="218"/>
      <c r="CB27" s="218"/>
      <c r="CC27" s="218"/>
      <c r="CD27" s="218"/>
      <c r="CE27" s="218"/>
      <c r="CF27" s="218"/>
      <c r="CG27" s="218"/>
      <c r="CH27" s="156">
        <f t="shared" si="19"/>
        <v>2</v>
      </c>
      <c r="CI27" s="215">
        <f t="shared" si="20"/>
        <v>18.18181818</v>
      </c>
      <c r="CJ27" s="209"/>
      <c r="CK27" s="153"/>
      <c r="CL27" s="217"/>
      <c r="CM27" s="219"/>
      <c r="CN27" s="219"/>
      <c r="CO27" s="219"/>
      <c r="CP27" s="219"/>
      <c r="CQ27" s="217"/>
      <c r="CR27" s="221"/>
      <c r="CS27" s="221"/>
      <c r="CT27" s="161"/>
      <c r="CU27" s="163">
        <f t="shared" si="21"/>
        <v>0</v>
      </c>
      <c r="CV27" s="194" t="str">
        <f t="shared" si="22"/>
        <v>#DIV/0!</v>
      </c>
      <c r="CW27" s="196"/>
      <c r="CX27" s="167">
        <f t="shared" si="23"/>
        <v>27.27272727</v>
      </c>
      <c r="CY27" s="169">
        <f t="shared" si="8"/>
        <v>9</v>
      </c>
      <c r="CZ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8</v>
      </c>
      <c r="E28" s="127">
        <f t="shared" si="10"/>
        <v>24.24242424</v>
      </c>
      <c r="F28" s="200">
        <f t="shared" si="11"/>
        <v>24.24242424</v>
      </c>
      <c r="G28" s="207">
        <f t="shared" si="12"/>
        <v>24.24242424</v>
      </c>
      <c r="H28" s="132"/>
      <c r="I28" s="132"/>
      <c r="J28" s="201"/>
      <c r="K28" s="201"/>
      <c r="L28" s="201"/>
      <c r="M28" s="245">
        <v>1.0</v>
      </c>
      <c r="N28" s="201"/>
      <c r="O28" s="201"/>
      <c r="P28" s="201"/>
      <c r="Q28" s="201"/>
      <c r="R28" s="135">
        <f t="shared" si="13"/>
        <v>1</v>
      </c>
      <c r="S28" s="137">
        <f t="shared" si="14"/>
        <v>20</v>
      </c>
      <c r="T28" s="138"/>
      <c r="U28" s="138"/>
      <c r="V28" s="138"/>
      <c r="W28" s="170">
        <v>1.0</v>
      </c>
      <c r="X28" s="170">
        <v>1.0</v>
      </c>
      <c r="Y28" s="151">
        <v>1.0</v>
      </c>
      <c r="Z28" s="151">
        <v>1.0</v>
      </c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4</v>
      </c>
      <c r="AM28" s="183">
        <f t="shared" si="16"/>
        <v>40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85">
        <v>1.0</v>
      </c>
      <c r="BF28" s="133"/>
      <c r="BG28" s="133"/>
      <c r="BH28" s="185">
        <v>1.0</v>
      </c>
      <c r="BI28" s="135">
        <f t="shared" si="17"/>
        <v>2</v>
      </c>
      <c r="BJ28" s="186">
        <f t="shared" si="18"/>
        <v>28.57142857</v>
      </c>
      <c r="BK28" s="138"/>
      <c r="BL28" s="132"/>
      <c r="BM28" s="132"/>
      <c r="BN28" s="138"/>
      <c r="BO28" s="138"/>
      <c r="BP28" s="138"/>
      <c r="BQ28" s="138"/>
      <c r="BR28" s="138"/>
      <c r="BS28" s="138"/>
      <c r="BT28" s="150">
        <v>1.0</v>
      </c>
      <c r="BU28" s="152"/>
      <c r="BV28" s="152"/>
      <c r="BW28" s="152"/>
      <c r="BX28" s="152"/>
      <c r="BY28" s="217"/>
      <c r="BZ28" s="218"/>
      <c r="CA28" s="218"/>
      <c r="CB28" s="218"/>
      <c r="CC28" s="218"/>
      <c r="CD28" s="218"/>
      <c r="CE28" s="218"/>
      <c r="CF28" s="218"/>
      <c r="CG28" s="218"/>
      <c r="CH28" s="156">
        <f t="shared" si="19"/>
        <v>1</v>
      </c>
      <c r="CI28" s="215">
        <f t="shared" si="20"/>
        <v>9.090909091</v>
      </c>
      <c r="CJ28" s="209"/>
      <c r="CK28" s="153"/>
      <c r="CL28" s="217"/>
      <c r="CM28" s="219"/>
      <c r="CN28" s="219"/>
      <c r="CO28" s="219"/>
      <c r="CP28" s="219"/>
      <c r="CQ28" s="217"/>
      <c r="CR28" s="221"/>
      <c r="CS28" s="221"/>
      <c r="CT28" s="161"/>
      <c r="CU28" s="163">
        <f t="shared" si="21"/>
        <v>0</v>
      </c>
      <c r="CV28" s="194" t="str">
        <f t="shared" si="22"/>
        <v>#DIV/0!</v>
      </c>
      <c r="CW28" s="196"/>
      <c r="CX28" s="167">
        <f t="shared" si="23"/>
        <v>24.24242424</v>
      </c>
      <c r="CY28" s="169">
        <f t="shared" si="8"/>
        <v>8</v>
      </c>
      <c r="CZ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30</v>
      </c>
      <c r="E29" s="127">
        <f t="shared" si="10"/>
        <v>90.90909091</v>
      </c>
      <c r="F29" s="175" t="str">
        <f t="shared" si="11"/>
        <v>  </v>
      </c>
      <c r="G29" s="177" t="str">
        <f t="shared" si="12"/>
        <v>  </v>
      </c>
      <c r="H29" s="132"/>
      <c r="I29" s="132"/>
      <c r="J29" s="245">
        <v>1.0</v>
      </c>
      <c r="K29" s="245">
        <v>1.0</v>
      </c>
      <c r="L29" s="245">
        <v>1.0</v>
      </c>
      <c r="M29" s="245">
        <v>1.0</v>
      </c>
      <c r="N29" s="245">
        <v>1.0</v>
      </c>
      <c r="O29" s="201"/>
      <c r="P29" s="201"/>
      <c r="Q29" s="201"/>
      <c r="R29" s="135">
        <f t="shared" si="13"/>
        <v>5</v>
      </c>
      <c r="S29" s="137">
        <f t="shared" si="14"/>
        <v>100</v>
      </c>
      <c r="T29" s="138"/>
      <c r="U29" s="138"/>
      <c r="V29" s="138"/>
      <c r="W29" s="170">
        <v>1.0</v>
      </c>
      <c r="X29" s="170">
        <v>1.0</v>
      </c>
      <c r="Y29" s="151">
        <v>1.0</v>
      </c>
      <c r="Z29" s="151">
        <v>1.0</v>
      </c>
      <c r="AA29" s="151">
        <v>1.0</v>
      </c>
      <c r="AB29" s="225">
        <v>1.0</v>
      </c>
      <c r="AC29" s="140"/>
      <c r="AD29" s="140"/>
      <c r="AE29" s="141"/>
      <c r="AF29" s="211">
        <v>1.0</v>
      </c>
      <c r="AG29" s="211">
        <v>1.0</v>
      </c>
      <c r="AH29" s="211">
        <v>1.0</v>
      </c>
      <c r="AI29" s="211">
        <v>1.0</v>
      </c>
      <c r="AJ29" s="212"/>
      <c r="AK29" s="212"/>
      <c r="AL29" s="135">
        <f t="shared" si="15"/>
        <v>10</v>
      </c>
      <c r="AM29" s="183">
        <f t="shared" si="16"/>
        <v>100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85">
        <v>1.0</v>
      </c>
      <c r="AY29" s="133"/>
      <c r="AZ29" s="133"/>
      <c r="BA29" s="185">
        <v>1.0</v>
      </c>
      <c r="BB29" s="133"/>
      <c r="BC29" s="133"/>
      <c r="BD29" s="133"/>
      <c r="BE29" s="185">
        <v>1.0</v>
      </c>
      <c r="BF29" s="185">
        <v>1.0</v>
      </c>
      <c r="BG29" s="185">
        <v>1.0</v>
      </c>
      <c r="BH29" s="133"/>
      <c r="BI29" s="135">
        <f t="shared" si="17"/>
        <v>5</v>
      </c>
      <c r="BJ29" s="186">
        <f t="shared" si="18"/>
        <v>71.42857143</v>
      </c>
      <c r="BK29" s="138"/>
      <c r="BL29" s="170">
        <v>1.0</v>
      </c>
      <c r="BM29" s="170">
        <v>1.0</v>
      </c>
      <c r="BN29" s="151">
        <v>1.0</v>
      </c>
      <c r="BO29" s="151">
        <v>1.0</v>
      </c>
      <c r="BP29" s="151">
        <v>1.0</v>
      </c>
      <c r="BQ29" s="151">
        <v>1.0</v>
      </c>
      <c r="BR29" s="138"/>
      <c r="BS29" s="151">
        <v>1.0</v>
      </c>
      <c r="BT29" s="150">
        <v>1.0</v>
      </c>
      <c r="BU29" s="187">
        <v>1.0</v>
      </c>
      <c r="BV29" s="152"/>
      <c r="BW29" s="152"/>
      <c r="BX29" s="187">
        <v>1.0</v>
      </c>
      <c r="BY29" s="217"/>
      <c r="BZ29" s="218"/>
      <c r="CA29" s="218"/>
      <c r="CB29" s="218"/>
      <c r="CC29" s="218"/>
      <c r="CD29" s="218"/>
      <c r="CE29" s="218"/>
      <c r="CF29" s="218"/>
      <c r="CG29" s="218"/>
      <c r="CH29" s="156">
        <f t="shared" si="19"/>
        <v>10</v>
      </c>
      <c r="CI29" s="215">
        <f t="shared" si="20"/>
        <v>90.90909091</v>
      </c>
      <c r="CJ29" s="209"/>
      <c r="CK29" s="153"/>
      <c r="CL29" s="217"/>
      <c r="CM29" s="219"/>
      <c r="CN29" s="219"/>
      <c r="CO29" s="219"/>
      <c r="CP29" s="219"/>
      <c r="CQ29" s="217"/>
      <c r="CR29" s="221"/>
      <c r="CS29" s="221"/>
      <c r="CT29" s="161"/>
      <c r="CU29" s="163">
        <f t="shared" si="21"/>
        <v>0</v>
      </c>
      <c r="CV29" s="194" t="str">
        <f t="shared" si="22"/>
        <v>#DIV/0!</v>
      </c>
      <c r="CW29" s="196"/>
      <c r="CX29" s="167">
        <f t="shared" si="23"/>
        <v>90.90909091</v>
      </c>
      <c r="CY29" s="169">
        <f t="shared" si="8"/>
        <v>30</v>
      </c>
      <c r="CZ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11</v>
      </c>
      <c r="E30" s="127">
        <f t="shared" si="10"/>
        <v>33.33333333</v>
      </c>
      <c r="F30" s="200">
        <f t="shared" si="11"/>
        <v>33.33333333</v>
      </c>
      <c r="G30" s="177" t="str">
        <f t="shared" si="12"/>
        <v>  </v>
      </c>
      <c r="H30" s="132"/>
      <c r="I30" s="178"/>
      <c r="J30" s="179"/>
      <c r="K30" s="179"/>
      <c r="L30" s="179"/>
      <c r="M30" s="179"/>
      <c r="N30" s="191">
        <v>1.0</v>
      </c>
      <c r="O30" s="179"/>
      <c r="P30" s="179"/>
      <c r="Q30" s="179"/>
      <c r="R30" s="135">
        <f t="shared" si="13"/>
        <v>1</v>
      </c>
      <c r="S30" s="137">
        <f t="shared" si="14"/>
        <v>20</v>
      </c>
      <c r="T30" s="138"/>
      <c r="U30" s="138"/>
      <c r="V30" s="138"/>
      <c r="W30" s="132"/>
      <c r="X30" s="132"/>
      <c r="Y30" s="138"/>
      <c r="Z30" s="151">
        <v>1.0</v>
      </c>
      <c r="AA30" s="138"/>
      <c r="AB30" s="209"/>
      <c r="AC30" s="140"/>
      <c r="AD30" s="140"/>
      <c r="AE30" s="141"/>
      <c r="AF30" s="210"/>
      <c r="AG30" s="211">
        <v>1.0</v>
      </c>
      <c r="AH30" s="210"/>
      <c r="AI30" s="210"/>
      <c r="AJ30" s="212"/>
      <c r="AK30" s="212"/>
      <c r="AL30" s="135">
        <f t="shared" si="15"/>
        <v>2</v>
      </c>
      <c r="AM30" s="183">
        <f t="shared" si="16"/>
        <v>20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85">
        <v>1.0</v>
      </c>
      <c r="BG30" s="185">
        <v>1.0</v>
      </c>
      <c r="BH30" s="185">
        <v>1.0</v>
      </c>
      <c r="BI30" s="135">
        <f t="shared" si="17"/>
        <v>3</v>
      </c>
      <c r="BJ30" s="186">
        <f t="shared" si="18"/>
        <v>42.85714286</v>
      </c>
      <c r="BK30" s="138"/>
      <c r="BL30" s="132"/>
      <c r="BM30" s="132"/>
      <c r="BN30" s="151">
        <v>1.0</v>
      </c>
      <c r="BO30" s="151">
        <v>1.0</v>
      </c>
      <c r="BP30" s="151">
        <v>1.0</v>
      </c>
      <c r="BQ30" s="151">
        <v>1.0</v>
      </c>
      <c r="BR30" s="138"/>
      <c r="BS30" s="138"/>
      <c r="BT30" s="150">
        <v>1.0</v>
      </c>
      <c r="BU30" s="152"/>
      <c r="BV30" s="152"/>
      <c r="BW30" s="152"/>
      <c r="BX30" s="152"/>
      <c r="BY30" s="217"/>
      <c r="BZ30" s="218"/>
      <c r="CA30" s="218"/>
      <c r="CB30" s="218"/>
      <c r="CC30" s="218"/>
      <c r="CD30" s="218"/>
      <c r="CE30" s="218"/>
      <c r="CF30" s="218"/>
      <c r="CG30" s="218"/>
      <c r="CH30" s="156">
        <f t="shared" si="19"/>
        <v>5</v>
      </c>
      <c r="CI30" s="215">
        <f t="shared" si="20"/>
        <v>45.45454545</v>
      </c>
      <c r="CJ30" s="209"/>
      <c r="CK30" s="153"/>
      <c r="CL30" s="217"/>
      <c r="CM30" s="219"/>
      <c r="CN30" s="219"/>
      <c r="CO30" s="219"/>
      <c r="CP30" s="219"/>
      <c r="CQ30" s="217"/>
      <c r="CR30" s="221"/>
      <c r="CS30" s="221"/>
      <c r="CT30" s="161"/>
      <c r="CU30" s="163">
        <f t="shared" si="21"/>
        <v>0</v>
      </c>
      <c r="CV30" s="194" t="str">
        <f t="shared" si="22"/>
        <v>#DIV/0!</v>
      </c>
      <c r="CW30" s="196"/>
      <c r="CX30" s="167">
        <f t="shared" si="23"/>
        <v>33.33333333</v>
      </c>
      <c r="CY30" s="169">
        <f t="shared" si="8"/>
        <v>11</v>
      </c>
      <c r="CZ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13</v>
      </c>
      <c r="E31" s="127">
        <f t="shared" si="10"/>
        <v>39.39393939</v>
      </c>
      <c r="F31" s="200">
        <f t="shared" si="11"/>
        <v>39.39393939</v>
      </c>
      <c r="G31" s="177" t="str">
        <f t="shared" si="12"/>
        <v>  </v>
      </c>
      <c r="H31" s="132"/>
      <c r="I31" s="178"/>
      <c r="J31" s="179"/>
      <c r="K31" s="179"/>
      <c r="L31" s="191">
        <v>1.0</v>
      </c>
      <c r="M31" s="179"/>
      <c r="N31" s="191">
        <v>1.0</v>
      </c>
      <c r="O31" s="179"/>
      <c r="P31" s="179"/>
      <c r="Q31" s="179"/>
      <c r="R31" s="135">
        <f t="shared" si="13"/>
        <v>2</v>
      </c>
      <c r="S31" s="137">
        <f t="shared" si="14"/>
        <v>40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1">
        <v>1.0</v>
      </c>
      <c r="AI31" s="210"/>
      <c r="AJ31" s="212"/>
      <c r="AK31" s="212"/>
      <c r="AL31" s="135">
        <f t="shared" si="15"/>
        <v>1</v>
      </c>
      <c r="AM31" s="183">
        <f t="shared" si="16"/>
        <v>10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85">
        <v>1.0</v>
      </c>
      <c r="AY31" s="133"/>
      <c r="AZ31" s="133"/>
      <c r="BA31" s="133"/>
      <c r="BB31" s="133"/>
      <c r="BC31" s="133"/>
      <c r="BD31" s="133"/>
      <c r="BE31" s="133"/>
      <c r="BF31" s="185">
        <v>1.0</v>
      </c>
      <c r="BG31" s="133"/>
      <c r="BH31" s="185">
        <v>1.0</v>
      </c>
      <c r="BI31" s="135">
        <f t="shared" si="17"/>
        <v>3</v>
      </c>
      <c r="BJ31" s="186">
        <f t="shared" si="18"/>
        <v>42.85714286</v>
      </c>
      <c r="BK31" s="138"/>
      <c r="BL31" s="132"/>
      <c r="BM31" s="132"/>
      <c r="BN31" s="151">
        <v>1.0</v>
      </c>
      <c r="BO31" s="151">
        <v>1.0</v>
      </c>
      <c r="BP31" s="151">
        <v>1.0</v>
      </c>
      <c r="BQ31" s="151">
        <v>1.0</v>
      </c>
      <c r="BR31" s="138"/>
      <c r="BS31" s="151">
        <v>1.0</v>
      </c>
      <c r="BT31" s="150">
        <v>1.0</v>
      </c>
      <c r="BU31" s="187">
        <v>1.0</v>
      </c>
      <c r="BV31" s="152"/>
      <c r="BW31" s="152"/>
      <c r="BX31" s="152"/>
      <c r="BY31" s="217"/>
      <c r="BZ31" s="218"/>
      <c r="CA31" s="218"/>
      <c r="CB31" s="218"/>
      <c r="CC31" s="218"/>
      <c r="CD31" s="218"/>
      <c r="CE31" s="218"/>
      <c r="CF31" s="218"/>
      <c r="CG31" s="218"/>
      <c r="CH31" s="156">
        <f t="shared" si="19"/>
        <v>7</v>
      </c>
      <c r="CI31" s="215">
        <f t="shared" si="20"/>
        <v>63.63636364</v>
      </c>
      <c r="CJ31" s="209"/>
      <c r="CK31" s="153"/>
      <c r="CL31" s="217"/>
      <c r="CM31" s="219"/>
      <c r="CN31" s="219"/>
      <c r="CO31" s="219"/>
      <c r="CP31" s="219"/>
      <c r="CQ31" s="217"/>
      <c r="CR31" s="221"/>
      <c r="CS31" s="221"/>
      <c r="CT31" s="161"/>
      <c r="CU31" s="163">
        <f t="shared" si="21"/>
        <v>0</v>
      </c>
      <c r="CV31" s="194" t="str">
        <f t="shared" si="22"/>
        <v>#DIV/0!</v>
      </c>
      <c r="CW31" s="196"/>
      <c r="CX31" s="167">
        <f t="shared" si="23"/>
        <v>39.39393939</v>
      </c>
      <c r="CY31" s="169">
        <f t="shared" si="8"/>
        <v>13</v>
      </c>
      <c r="CZ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17</v>
      </c>
      <c r="E32" s="127">
        <f t="shared" si="10"/>
        <v>51.51515152</v>
      </c>
      <c r="F32" s="175" t="str">
        <f t="shared" si="11"/>
        <v>  </v>
      </c>
      <c r="G32" s="177" t="str">
        <f t="shared" si="12"/>
        <v>  </v>
      </c>
      <c r="H32" s="132"/>
      <c r="I32" s="178"/>
      <c r="J32" s="179"/>
      <c r="K32" s="179"/>
      <c r="L32" s="191">
        <v>1.0</v>
      </c>
      <c r="M32" s="179"/>
      <c r="N32" s="191">
        <v>1.0</v>
      </c>
      <c r="O32" s="179"/>
      <c r="P32" s="179"/>
      <c r="Q32" s="179"/>
      <c r="R32" s="135">
        <f t="shared" si="13"/>
        <v>2</v>
      </c>
      <c r="S32" s="137">
        <f t="shared" si="14"/>
        <v>40</v>
      </c>
      <c r="T32" s="138"/>
      <c r="U32" s="138"/>
      <c r="V32" s="138"/>
      <c r="W32" s="170">
        <v>1.0</v>
      </c>
      <c r="X32" s="170"/>
      <c r="Y32" s="138"/>
      <c r="Z32" s="138"/>
      <c r="AA32" s="138"/>
      <c r="AB32" s="244">
        <v>1.0</v>
      </c>
      <c r="AC32" s="140"/>
      <c r="AD32" s="140"/>
      <c r="AE32" s="141"/>
      <c r="AF32" s="234"/>
      <c r="AG32" s="236">
        <v>1.0</v>
      </c>
      <c r="AH32" s="236">
        <v>1.0</v>
      </c>
      <c r="AI32" s="234"/>
      <c r="AJ32" s="239"/>
      <c r="AK32" s="239"/>
      <c r="AL32" s="135">
        <f t="shared" si="15"/>
        <v>4</v>
      </c>
      <c r="AM32" s="183">
        <f t="shared" si="16"/>
        <v>40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85">
        <v>1.0</v>
      </c>
      <c r="AY32" s="133"/>
      <c r="AZ32" s="133"/>
      <c r="BA32" s="133"/>
      <c r="BB32" s="133"/>
      <c r="BC32" s="133"/>
      <c r="BD32" s="133"/>
      <c r="BE32" s="185">
        <v>1.0</v>
      </c>
      <c r="BF32" s="185">
        <v>1.0</v>
      </c>
      <c r="BG32" s="133"/>
      <c r="BH32" s="185">
        <v>1.0</v>
      </c>
      <c r="BI32" s="135">
        <f t="shared" si="17"/>
        <v>4</v>
      </c>
      <c r="BJ32" s="186">
        <f t="shared" si="18"/>
        <v>57.14285714</v>
      </c>
      <c r="BK32" s="138"/>
      <c r="BL32" s="132"/>
      <c r="BM32" s="132"/>
      <c r="BN32" s="151">
        <v>1.0</v>
      </c>
      <c r="BO32" s="151">
        <v>1.0</v>
      </c>
      <c r="BP32" s="151">
        <v>1.0</v>
      </c>
      <c r="BQ32" s="151">
        <v>1.0</v>
      </c>
      <c r="BR32" s="138"/>
      <c r="BS32" s="151">
        <v>1.0</v>
      </c>
      <c r="BT32" s="150">
        <v>1.0</v>
      </c>
      <c r="BU32" s="187">
        <v>1.0</v>
      </c>
      <c r="BV32" s="152"/>
      <c r="BW32" s="152"/>
      <c r="BX32" s="152"/>
      <c r="BY32" s="217"/>
      <c r="BZ32" s="218"/>
      <c r="CA32" s="218"/>
      <c r="CB32" s="218"/>
      <c r="CC32" s="218"/>
      <c r="CD32" s="218"/>
      <c r="CE32" s="218"/>
      <c r="CF32" s="218"/>
      <c r="CG32" s="218"/>
      <c r="CH32" s="156">
        <f t="shared" si="19"/>
        <v>7</v>
      </c>
      <c r="CI32" s="215">
        <f t="shared" si="20"/>
        <v>63.63636364</v>
      </c>
      <c r="CJ32" s="233"/>
      <c r="CK32" s="153"/>
      <c r="CL32" s="217"/>
      <c r="CM32" s="219"/>
      <c r="CN32" s="219"/>
      <c r="CO32" s="219"/>
      <c r="CP32" s="219"/>
      <c r="CQ32" s="217"/>
      <c r="CR32" s="221"/>
      <c r="CS32" s="221"/>
      <c r="CT32" s="161"/>
      <c r="CU32" s="163">
        <f t="shared" si="21"/>
        <v>0</v>
      </c>
      <c r="CV32" s="194" t="str">
        <f t="shared" si="22"/>
        <v>#DIV/0!</v>
      </c>
      <c r="CW32" s="196"/>
      <c r="CX32" s="167">
        <f t="shared" si="23"/>
        <v>51.51515152</v>
      </c>
      <c r="CY32" s="169">
        <f t="shared" si="8"/>
        <v>17</v>
      </c>
      <c r="CZ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16</v>
      </c>
      <c r="E33" s="127">
        <f t="shared" si="10"/>
        <v>48.48484848</v>
      </c>
      <c r="F33" s="200">
        <f t="shared" si="11"/>
        <v>48.48484848</v>
      </c>
      <c r="G33" s="177" t="str">
        <f t="shared" si="12"/>
        <v>  </v>
      </c>
      <c r="H33" s="132"/>
      <c r="I33" s="229"/>
      <c r="J33" s="231"/>
      <c r="K33" s="231"/>
      <c r="L33" s="257">
        <v>1.0</v>
      </c>
      <c r="M33" s="231"/>
      <c r="N33" s="257">
        <v>1.0</v>
      </c>
      <c r="O33" s="231"/>
      <c r="P33" s="231"/>
      <c r="Q33" s="231"/>
      <c r="R33" s="135">
        <f t="shared" si="13"/>
        <v>2</v>
      </c>
      <c r="S33" s="137">
        <f t="shared" si="14"/>
        <v>40</v>
      </c>
      <c r="T33" s="138"/>
      <c r="U33" s="138"/>
      <c r="V33" s="138"/>
      <c r="W33" s="132"/>
      <c r="X33" s="132"/>
      <c r="Y33" s="138"/>
      <c r="Z33" s="138"/>
      <c r="AA33" s="138"/>
      <c r="AB33" s="244">
        <v>1.0</v>
      </c>
      <c r="AC33" s="140"/>
      <c r="AD33" s="140"/>
      <c r="AE33" s="141"/>
      <c r="AF33" s="234"/>
      <c r="AG33" s="236">
        <v>1.0</v>
      </c>
      <c r="AH33" s="236">
        <v>1.0</v>
      </c>
      <c r="AI33" s="234"/>
      <c r="AJ33" s="239"/>
      <c r="AK33" s="239"/>
      <c r="AL33" s="135">
        <f t="shared" si="15"/>
        <v>3</v>
      </c>
      <c r="AM33" s="183">
        <f t="shared" si="16"/>
        <v>30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85">
        <v>1.0</v>
      </c>
      <c r="AY33" s="133"/>
      <c r="AZ33" s="133"/>
      <c r="BA33" s="133"/>
      <c r="BB33" s="133"/>
      <c r="BC33" s="133"/>
      <c r="BD33" s="133"/>
      <c r="BE33" s="185">
        <v>1.0</v>
      </c>
      <c r="BF33" s="185">
        <v>1.0</v>
      </c>
      <c r="BG33" s="133"/>
      <c r="BH33" s="185">
        <v>1.0</v>
      </c>
      <c r="BI33" s="135">
        <f t="shared" si="17"/>
        <v>4</v>
      </c>
      <c r="BJ33" s="186">
        <f t="shared" si="18"/>
        <v>57.14285714</v>
      </c>
      <c r="BK33" s="138"/>
      <c r="BL33" s="132"/>
      <c r="BM33" s="132"/>
      <c r="BN33" s="151">
        <v>1.0</v>
      </c>
      <c r="BO33" s="151">
        <v>1.0</v>
      </c>
      <c r="BP33" s="151">
        <v>1.0</v>
      </c>
      <c r="BQ33" s="151">
        <v>1.0</v>
      </c>
      <c r="BR33" s="138"/>
      <c r="BS33" s="151">
        <v>1.0</v>
      </c>
      <c r="BT33" s="150">
        <v>1.0</v>
      </c>
      <c r="BU33" s="187">
        <v>1.0</v>
      </c>
      <c r="BV33" s="152"/>
      <c r="BW33" s="152"/>
      <c r="BX33" s="152"/>
      <c r="BY33" s="217"/>
      <c r="BZ33" s="218"/>
      <c r="CA33" s="218"/>
      <c r="CB33" s="218"/>
      <c r="CC33" s="218"/>
      <c r="CD33" s="218"/>
      <c r="CE33" s="218"/>
      <c r="CF33" s="218"/>
      <c r="CG33" s="218"/>
      <c r="CH33" s="156">
        <f t="shared" si="19"/>
        <v>7</v>
      </c>
      <c r="CI33" s="215">
        <f t="shared" si="20"/>
        <v>63.63636364</v>
      </c>
      <c r="CJ33" s="233"/>
      <c r="CK33" s="153"/>
      <c r="CL33" s="217"/>
      <c r="CM33" s="219"/>
      <c r="CN33" s="219"/>
      <c r="CO33" s="219"/>
      <c r="CP33" s="219"/>
      <c r="CQ33" s="217"/>
      <c r="CR33" s="221"/>
      <c r="CS33" s="221"/>
      <c r="CT33" s="161"/>
      <c r="CU33" s="163">
        <f t="shared" si="21"/>
        <v>0</v>
      </c>
      <c r="CV33" s="194" t="str">
        <f t="shared" si="22"/>
        <v>#DIV/0!</v>
      </c>
      <c r="CW33" s="196"/>
      <c r="CX33" s="167">
        <f t="shared" si="23"/>
        <v>48.48484848</v>
      </c>
      <c r="CY33" s="169">
        <f t="shared" si="8"/>
        <v>16</v>
      </c>
      <c r="CZ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6</v>
      </c>
      <c r="E34" s="127">
        <f t="shared" si="10"/>
        <v>18.18181818</v>
      </c>
      <c r="F34" s="200">
        <f t="shared" si="11"/>
        <v>18.18181818</v>
      </c>
      <c r="G34" s="207">
        <f t="shared" si="12"/>
        <v>18.18181818</v>
      </c>
      <c r="H34" s="178"/>
      <c r="I34" s="132"/>
      <c r="J34" s="201"/>
      <c r="K34" s="201"/>
      <c r="L34" s="201"/>
      <c r="M34" s="201"/>
      <c r="N34" s="245">
        <v>1.0</v>
      </c>
      <c r="O34" s="201"/>
      <c r="P34" s="201"/>
      <c r="Q34" s="201"/>
      <c r="R34" s="135">
        <f t="shared" si="13"/>
        <v>1</v>
      </c>
      <c r="S34" s="137">
        <f t="shared" si="14"/>
        <v>20</v>
      </c>
      <c r="T34" s="138"/>
      <c r="U34" s="138"/>
      <c r="V34" s="138"/>
      <c r="W34" s="170">
        <v>1.0</v>
      </c>
      <c r="X34" s="170"/>
      <c r="Y34" s="151">
        <v>1.0</v>
      </c>
      <c r="Z34" s="151">
        <v>1.0</v>
      </c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3</v>
      </c>
      <c r="AM34" s="183">
        <f t="shared" si="16"/>
        <v>30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7"/>
        <v>0</v>
      </c>
      <c r="BJ34" s="186">
        <f t="shared" si="18"/>
        <v>0</v>
      </c>
      <c r="BK34" s="138"/>
      <c r="BL34" s="132"/>
      <c r="BM34" s="132"/>
      <c r="BN34" s="138"/>
      <c r="BO34" s="138"/>
      <c r="BP34" s="138"/>
      <c r="BQ34" s="138"/>
      <c r="BR34" s="138"/>
      <c r="BS34" s="138"/>
      <c r="BT34" s="150">
        <v>1.0</v>
      </c>
      <c r="BU34" s="152"/>
      <c r="BV34" s="152"/>
      <c r="BW34" s="152"/>
      <c r="BX34" s="187">
        <v>1.0</v>
      </c>
      <c r="BY34" s="217"/>
      <c r="BZ34" s="218"/>
      <c r="CA34" s="218"/>
      <c r="CB34" s="218"/>
      <c r="CC34" s="218"/>
      <c r="CD34" s="218"/>
      <c r="CE34" s="218"/>
      <c r="CF34" s="218"/>
      <c r="CG34" s="218"/>
      <c r="CH34" s="156">
        <f t="shared" si="19"/>
        <v>2</v>
      </c>
      <c r="CI34" s="215">
        <f t="shared" si="20"/>
        <v>18.18181818</v>
      </c>
      <c r="CJ34" s="209"/>
      <c r="CK34" s="153"/>
      <c r="CL34" s="217"/>
      <c r="CM34" s="219"/>
      <c r="CN34" s="219"/>
      <c r="CO34" s="219"/>
      <c r="CP34" s="219"/>
      <c r="CQ34" s="217"/>
      <c r="CR34" s="221"/>
      <c r="CS34" s="221"/>
      <c r="CT34" s="161"/>
      <c r="CU34" s="163">
        <f t="shared" si="21"/>
        <v>0</v>
      </c>
      <c r="CV34" s="194" t="str">
        <f t="shared" si="22"/>
        <v>#DIV/0!</v>
      </c>
      <c r="CW34" s="196"/>
      <c r="CX34" s="167">
        <f t="shared" si="23"/>
        <v>18.18181818</v>
      </c>
      <c r="CY34" s="169">
        <f t="shared" si="8"/>
        <v>6</v>
      </c>
      <c r="CZ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27</v>
      </c>
      <c r="E35" s="127">
        <f t="shared" si="10"/>
        <v>81.81818182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45">
        <v>1.0</v>
      </c>
      <c r="K35" s="245">
        <v>1.0</v>
      </c>
      <c r="L35" s="245">
        <v>1.0</v>
      </c>
      <c r="M35" s="245">
        <v>1.0</v>
      </c>
      <c r="N35" s="245">
        <v>1.0</v>
      </c>
      <c r="O35" s="201"/>
      <c r="P35" s="201"/>
      <c r="Q35" s="201"/>
      <c r="R35" s="135">
        <f t="shared" si="13"/>
        <v>5</v>
      </c>
      <c r="S35" s="137">
        <f t="shared" si="14"/>
        <v>100</v>
      </c>
      <c r="T35" s="138"/>
      <c r="U35" s="138"/>
      <c r="V35" s="138"/>
      <c r="W35" s="170">
        <v>1.0</v>
      </c>
      <c r="X35" s="170">
        <v>1.0</v>
      </c>
      <c r="Y35" s="151">
        <v>1.0</v>
      </c>
      <c r="Z35" s="151">
        <v>1.0</v>
      </c>
      <c r="AA35" s="151">
        <v>1.0</v>
      </c>
      <c r="AB35" s="225">
        <v>1.0</v>
      </c>
      <c r="AC35" s="140"/>
      <c r="AD35" s="140"/>
      <c r="AE35" s="141"/>
      <c r="AF35" s="211">
        <v>1.0</v>
      </c>
      <c r="AG35" s="211">
        <v>1.0</v>
      </c>
      <c r="AH35" s="210"/>
      <c r="AI35" s="210"/>
      <c r="AJ35" s="212"/>
      <c r="AK35" s="212"/>
      <c r="AL35" s="135">
        <f t="shared" si="15"/>
        <v>8</v>
      </c>
      <c r="AM35" s="183">
        <f t="shared" si="16"/>
        <v>80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85">
        <v>1.0</v>
      </c>
      <c r="AY35" s="133"/>
      <c r="AZ35" s="133"/>
      <c r="BA35" s="133"/>
      <c r="BB35" s="133"/>
      <c r="BC35" s="133"/>
      <c r="BD35" s="133"/>
      <c r="BE35" s="185">
        <v>1.0</v>
      </c>
      <c r="BF35" s="185">
        <v>1.0</v>
      </c>
      <c r="BG35" s="185">
        <v>1.0</v>
      </c>
      <c r="BH35" s="185">
        <v>1.0</v>
      </c>
      <c r="BI35" s="135">
        <f t="shared" si="17"/>
        <v>5</v>
      </c>
      <c r="BJ35" s="186">
        <f t="shared" si="18"/>
        <v>71.42857143</v>
      </c>
      <c r="BK35" s="138"/>
      <c r="BL35" s="170">
        <v>1.0</v>
      </c>
      <c r="BM35" s="170">
        <v>1.0</v>
      </c>
      <c r="BN35" s="138"/>
      <c r="BO35" s="151">
        <v>1.0</v>
      </c>
      <c r="BP35" s="151">
        <v>1.0</v>
      </c>
      <c r="BQ35" s="151">
        <v>1.0</v>
      </c>
      <c r="BR35" s="138"/>
      <c r="BS35" s="151">
        <v>1.0</v>
      </c>
      <c r="BT35" s="150">
        <v>1.0</v>
      </c>
      <c r="BU35" s="187">
        <v>1.0</v>
      </c>
      <c r="BV35" s="152"/>
      <c r="BW35" s="152"/>
      <c r="BX35" s="187">
        <v>1.0</v>
      </c>
      <c r="BY35" s="217"/>
      <c r="BZ35" s="218"/>
      <c r="CA35" s="218"/>
      <c r="CB35" s="218"/>
      <c r="CC35" s="218"/>
      <c r="CD35" s="218"/>
      <c r="CE35" s="218"/>
      <c r="CF35" s="218"/>
      <c r="CG35" s="218"/>
      <c r="CH35" s="156">
        <f t="shared" si="19"/>
        <v>9</v>
      </c>
      <c r="CI35" s="215">
        <f t="shared" si="20"/>
        <v>81.81818182</v>
      </c>
      <c r="CJ35" s="209"/>
      <c r="CK35" s="153"/>
      <c r="CL35" s="217"/>
      <c r="CM35" s="219"/>
      <c r="CN35" s="219"/>
      <c r="CO35" s="219"/>
      <c r="CP35" s="219"/>
      <c r="CQ35" s="217"/>
      <c r="CR35" s="221"/>
      <c r="CS35" s="221"/>
      <c r="CT35" s="161"/>
      <c r="CU35" s="163">
        <f t="shared" si="21"/>
        <v>0</v>
      </c>
      <c r="CV35" s="194" t="str">
        <f t="shared" si="22"/>
        <v>#DIV/0!</v>
      </c>
      <c r="CW35" s="196"/>
      <c r="CX35" s="167">
        <f t="shared" si="23"/>
        <v>81.81818182</v>
      </c>
      <c r="CY35" s="169">
        <f t="shared" si="8"/>
        <v>27</v>
      </c>
      <c r="CZ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3"/>
        <v>0</v>
      </c>
      <c r="S36" s="137">
        <f t="shared" si="14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2"/>
      <c r="BN36" s="138"/>
      <c r="BO36" s="138"/>
      <c r="BP36" s="138"/>
      <c r="BQ36" s="138"/>
      <c r="BR36" s="138"/>
      <c r="BS36" s="138"/>
      <c r="BT36" s="140"/>
      <c r="BU36" s="152"/>
      <c r="BV36" s="152"/>
      <c r="BW36" s="152"/>
      <c r="BX36" s="152"/>
      <c r="BY36" s="217"/>
      <c r="BZ36" s="218"/>
      <c r="CA36" s="218"/>
      <c r="CB36" s="218"/>
      <c r="CC36" s="218"/>
      <c r="CD36" s="218"/>
      <c r="CE36" s="218"/>
      <c r="CF36" s="218"/>
      <c r="CG36" s="218"/>
      <c r="CH36" s="156">
        <f t="shared" si="19"/>
        <v>0</v>
      </c>
      <c r="CI36" s="215">
        <f t="shared" si="20"/>
        <v>0</v>
      </c>
      <c r="CJ36" s="209"/>
      <c r="CK36" s="153"/>
      <c r="CL36" s="217"/>
      <c r="CM36" s="219"/>
      <c r="CN36" s="219"/>
      <c r="CO36" s="219"/>
      <c r="CP36" s="219"/>
      <c r="CQ36" s="217"/>
      <c r="CR36" s="221"/>
      <c r="CS36" s="221"/>
      <c r="CT36" s="161"/>
      <c r="CU36" s="163">
        <f t="shared" si="21"/>
        <v>0</v>
      </c>
      <c r="CV36" s="194" t="str">
        <f t="shared" si="22"/>
        <v>#DIV/0!</v>
      </c>
      <c r="CW36" s="196"/>
      <c r="CX36" s="167">
        <f t="shared" si="23"/>
        <v>0</v>
      </c>
      <c r="CY36" s="169">
        <f t="shared" si="8"/>
        <v>0</v>
      </c>
      <c r="CZ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9</v>
      </c>
      <c r="E37" s="127">
        <f t="shared" si="10"/>
        <v>27.27272727</v>
      </c>
      <c r="F37" s="200">
        <f t="shared" si="11"/>
        <v>27.27272727</v>
      </c>
      <c r="G37" s="207">
        <f t="shared" si="12"/>
        <v>27.27272727</v>
      </c>
      <c r="H37" s="132"/>
      <c r="I37" s="178"/>
      <c r="J37" s="179"/>
      <c r="K37" s="179"/>
      <c r="L37" s="191">
        <v>1.0</v>
      </c>
      <c r="M37" s="191">
        <v>1.0</v>
      </c>
      <c r="N37" s="179"/>
      <c r="O37" s="179"/>
      <c r="P37" s="179"/>
      <c r="Q37" s="179"/>
      <c r="R37" s="135">
        <f t="shared" si="13"/>
        <v>2</v>
      </c>
      <c r="S37" s="137">
        <f t="shared" si="14"/>
        <v>40</v>
      </c>
      <c r="T37" s="138"/>
      <c r="U37" s="138"/>
      <c r="V37" s="138"/>
      <c r="W37" s="170">
        <v>1.0</v>
      </c>
      <c r="X37" s="132"/>
      <c r="Y37" s="151">
        <v>1.0</v>
      </c>
      <c r="Z37" s="138"/>
      <c r="AA37" s="138"/>
      <c r="AB37" s="209"/>
      <c r="AC37" s="140"/>
      <c r="AD37" s="140"/>
      <c r="AE37" s="141"/>
      <c r="AF37" s="210"/>
      <c r="AG37" s="211">
        <v>1.0</v>
      </c>
      <c r="AH37" s="210"/>
      <c r="AI37" s="210"/>
      <c r="AJ37" s="212"/>
      <c r="AK37" s="212"/>
      <c r="AL37" s="135">
        <f t="shared" si="15"/>
        <v>3</v>
      </c>
      <c r="AM37" s="183">
        <f t="shared" si="16"/>
        <v>30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85">
        <v>1.0</v>
      </c>
      <c r="AY37" s="133"/>
      <c r="AZ37" s="133"/>
      <c r="BA37" s="133"/>
      <c r="BB37" s="133"/>
      <c r="BC37" s="133"/>
      <c r="BD37" s="133"/>
      <c r="BE37" s="185">
        <v>1.0</v>
      </c>
      <c r="BF37" s="133"/>
      <c r="BG37" s="133"/>
      <c r="BH37" s="185">
        <v>1.0</v>
      </c>
      <c r="BI37" s="135">
        <f t="shared" si="17"/>
        <v>3</v>
      </c>
      <c r="BJ37" s="186">
        <f t="shared" si="18"/>
        <v>42.85714286</v>
      </c>
      <c r="BK37" s="138"/>
      <c r="BL37" s="132"/>
      <c r="BM37" s="132"/>
      <c r="BN37" s="138"/>
      <c r="BO37" s="151">
        <v>1.0</v>
      </c>
      <c r="BP37" s="138"/>
      <c r="BQ37" s="138"/>
      <c r="BR37" s="138"/>
      <c r="BS37" s="138"/>
      <c r="BT37" s="140"/>
      <c r="BU37" s="152"/>
      <c r="BV37" s="152"/>
      <c r="BW37" s="152"/>
      <c r="BX37" s="152"/>
      <c r="BY37" s="217"/>
      <c r="BZ37" s="218"/>
      <c r="CA37" s="218"/>
      <c r="CB37" s="218"/>
      <c r="CC37" s="218"/>
      <c r="CD37" s="218"/>
      <c r="CE37" s="218"/>
      <c r="CF37" s="218"/>
      <c r="CG37" s="218"/>
      <c r="CH37" s="156">
        <f t="shared" si="19"/>
        <v>1</v>
      </c>
      <c r="CI37" s="215">
        <f t="shared" si="20"/>
        <v>9.090909091</v>
      </c>
      <c r="CJ37" s="209"/>
      <c r="CK37" s="153"/>
      <c r="CL37" s="217"/>
      <c r="CM37" s="219"/>
      <c r="CN37" s="219"/>
      <c r="CO37" s="219"/>
      <c r="CP37" s="219"/>
      <c r="CQ37" s="217"/>
      <c r="CR37" s="221"/>
      <c r="CS37" s="221"/>
      <c r="CT37" s="161"/>
      <c r="CU37" s="163">
        <f t="shared" si="21"/>
        <v>0</v>
      </c>
      <c r="CV37" s="194" t="str">
        <f t="shared" si="22"/>
        <v>#DIV/0!</v>
      </c>
      <c r="CW37" s="196"/>
      <c r="CX37" s="167">
        <f t="shared" si="23"/>
        <v>27.27272727</v>
      </c>
      <c r="CY37" s="169">
        <f t="shared" si="8"/>
        <v>9</v>
      </c>
      <c r="CZ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3</v>
      </c>
      <c r="E38" s="127">
        <f t="shared" si="10"/>
        <v>9.090909091</v>
      </c>
      <c r="F38" s="200">
        <f t="shared" si="11"/>
        <v>9.090909091</v>
      </c>
      <c r="G38" s="207">
        <f t="shared" si="12"/>
        <v>9.090909091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3"/>
        <v>0</v>
      </c>
      <c r="S38" s="137">
        <f t="shared" si="14"/>
        <v>0</v>
      </c>
      <c r="T38" s="138"/>
      <c r="U38" s="138"/>
      <c r="V38" s="138"/>
      <c r="W38" s="170">
        <v>1.0</v>
      </c>
      <c r="X38" s="170"/>
      <c r="Y38" s="138"/>
      <c r="Z38" s="138"/>
      <c r="AA38" s="138"/>
      <c r="AB38" s="209"/>
      <c r="AC38" s="140"/>
      <c r="AD38" s="140"/>
      <c r="AE38" s="141"/>
      <c r="AF38" s="210"/>
      <c r="AG38" s="211">
        <v>1.0</v>
      </c>
      <c r="AH38" s="210"/>
      <c r="AI38" s="210"/>
      <c r="AJ38" s="212"/>
      <c r="AK38" s="212"/>
      <c r="AL38" s="135">
        <f t="shared" si="15"/>
        <v>2</v>
      </c>
      <c r="AM38" s="183">
        <f t="shared" si="16"/>
        <v>20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7"/>
        <v>0</v>
      </c>
      <c r="BJ38" s="186">
        <f t="shared" si="18"/>
        <v>0</v>
      </c>
      <c r="BK38" s="138"/>
      <c r="BL38" s="132"/>
      <c r="BM38" s="132"/>
      <c r="BN38" s="138"/>
      <c r="BO38" s="138"/>
      <c r="BP38" s="138"/>
      <c r="BQ38" s="138"/>
      <c r="BR38" s="138"/>
      <c r="BS38" s="138"/>
      <c r="BT38" s="150">
        <v>1.0</v>
      </c>
      <c r="BU38" s="152"/>
      <c r="BV38" s="152"/>
      <c r="BW38" s="152"/>
      <c r="BX38" s="152"/>
      <c r="BY38" s="217"/>
      <c r="BZ38" s="218"/>
      <c r="CA38" s="218"/>
      <c r="CB38" s="218"/>
      <c r="CC38" s="218"/>
      <c r="CD38" s="218"/>
      <c r="CE38" s="218"/>
      <c r="CF38" s="218"/>
      <c r="CG38" s="218"/>
      <c r="CH38" s="156">
        <f t="shared" si="19"/>
        <v>1</v>
      </c>
      <c r="CI38" s="215">
        <f t="shared" si="20"/>
        <v>9.090909091</v>
      </c>
      <c r="CJ38" s="209"/>
      <c r="CK38" s="153"/>
      <c r="CL38" s="217"/>
      <c r="CM38" s="219"/>
      <c r="CN38" s="219"/>
      <c r="CO38" s="219"/>
      <c r="CP38" s="219"/>
      <c r="CQ38" s="217"/>
      <c r="CR38" s="221"/>
      <c r="CS38" s="221"/>
      <c r="CT38" s="161"/>
      <c r="CU38" s="163">
        <f t="shared" si="21"/>
        <v>0</v>
      </c>
      <c r="CV38" s="194" t="str">
        <f t="shared" si="22"/>
        <v>#DIV/0!</v>
      </c>
      <c r="CW38" s="196"/>
      <c r="CX38" s="167">
        <f t="shared" si="23"/>
        <v>9.090909091</v>
      </c>
      <c r="CY38" s="169">
        <f t="shared" si="8"/>
        <v>3</v>
      </c>
      <c r="CZ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4</v>
      </c>
      <c r="E39" s="127">
        <f t="shared" si="10"/>
        <v>12.12121212</v>
      </c>
      <c r="F39" s="200">
        <f t="shared" si="11"/>
        <v>12.12121212</v>
      </c>
      <c r="G39" s="207">
        <f t="shared" si="12"/>
        <v>12.12121212</v>
      </c>
      <c r="H39" s="132"/>
      <c r="I39" s="132"/>
      <c r="J39" s="201"/>
      <c r="K39" s="201"/>
      <c r="L39" s="201"/>
      <c r="M39" s="245"/>
      <c r="N39" s="201"/>
      <c r="O39" s="201"/>
      <c r="P39" s="201"/>
      <c r="Q39" s="201"/>
      <c r="R39" s="135">
        <f t="shared" si="13"/>
        <v>0</v>
      </c>
      <c r="S39" s="137">
        <f t="shared" si="14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>
        <f t="shared" si="18"/>
        <v>0</v>
      </c>
      <c r="BK39" s="138"/>
      <c r="BL39" s="170">
        <v>1.0</v>
      </c>
      <c r="BM39" s="132"/>
      <c r="BN39" s="151">
        <v>1.0</v>
      </c>
      <c r="BO39" s="151">
        <v>1.0</v>
      </c>
      <c r="BP39" s="138"/>
      <c r="BQ39" s="138"/>
      <c r="BR39" s="138"/>
      <c r="BS39" s="138"/>
      <c r="BT39" s="150">
        <v>1.0</v>
      </c>
      <c r="BU39" s="152"/>
      <c r="BV39" s="152"/>
      <c r="BW39" s="152"/>
      <c r="BX39" s="152"/>
      <c r="BY39" s="217"/>
      <c r="BZ39" s="218"/>
      <c r="CA39" s="218"/>
      <c r="CB39" s="218"/>
      <c r="CC39" s="218"/>
      <c r="CD39" s="218"/>
      <c r="CE39" s="218"/>
      <c r="CF39" s="218"/>
      <c r="CG39" s="218"/>
      <c r="CH39" s="156">
        <f t="shared" si="19"/>
        <v>4</v>
      </c>
      <c r="CI39" s="215">
        <f t="shared" si="20"/>
        <v>36.36363636</v>
      </c>
      <c r="CJ39" s="233"/>
      <c r="CK39" s="153"/>
      <c r="CL39" s="217"/>
      <c r="CM39" s="219"/>
      <c r="CN39" s="219"/>
      <c r="CO39" s="219"/>
      <c r="CP39" s="219"/>
      <c r="CQ39" s="217"/>
      <c r="CR39" s="221"/>
      <c r="CS39" s="221"/>
      <c r="CT39" s="161"/>
      <c r="CU39" s="163">
        <f t="shared" si="21"/>
        <v>0</v>
      </c>
      <c r="CV39" s="194" t="str">
        <f t="shared" si="22"/>
        <v>#DIV/0!</v>
      </c>
      <c r="CW39" s="196"/>
      <c r="CX39" s="167">
        <f t="shared" si="23"/>
        <v>12.12121212</v>
      </c>
      <c r="CY39" s="169">
        <f t="shared" si="8"/>
        <v>4</v>
      </c>
      <c r="CZ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9</v>
      </c>
      <c r="E40" s="127">
        <f t="shared" si="10"/>
        <v>27.27272727</v>
      </c>
      <c r="F40" s="200">
        <f t="shared" si="11"/>
        <v>27.27272727</v>
      </c>
      <c r="G40" s="207">
        <f t="shared" si="12"/>
        <v>27.27272727</v>
      </c>
      <c r="H40" s="132"/>
      <c r="I40" s="132"/>
      <c r="J40" s="201"/>
      <c r="K40" s="201"/>
      <c r="L40" s="201"/>
      <c r="M40" s="245">
        <v>1.0</v>
      </c>
      <c r="N40" s="201"/>
      <c r="O40" s="201"/>
      <c r="P40" s="201"/>
      <c r="Q40" s="201"/>
      <c r="R40" s="135">
        <f t="shared" si="13"/>
        <v>1</v>
      </c>
      <c r="S40" s="137">
        <f t="shared" si="14"/>
        <v>20</v>
      </c>
      <c r="T40" s="138"/>
      <c r="U40" s="138"/>
      <c r="V40" s="138"/>
      <c r="W40" s="132"/>
      <c r="X40" s="132"/>
      <c r="Y40" s="151">
        <v>1.0</v>
      </c>
      <c r="Z40" s="138"/>
      <c r="AA40" s="138"/>
      <c r="AB40" s="209"/>
      <c r="AC40" s="140"/>
      <c r="AD40" s="140"/>
      <c r="AE40" s="141"/>
      <c r="AF40" s="211">
        <v>1.0</v>
      </c>
      <c r="AG40" s="211">
        <v>1.0</v>
      </c>
      <c r="AH40" s="210"/>
      <c r="AI40" s="210"/>
      <c r="AJ40" s="212"/>
      <c r="AK40" s="212"/>
      <c r="AL40" s="135">
        <f t="shared" si="15"/>
        <v>3</v>
      </c>
      <c r="AM40" s="183">
        <f t="shared" si="16"/>
        <v>30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85">
        <v>1.0</v>
      </c>
      <c r="BF40" s="133"/>
      <c r="BG40" s="133"/>
      <c r="BH40" s="185">
        <v>1.0</v>
      </c>
      <c r="BI40" s="135">
        <f t="shared" si="17"/>
        <v>2</v>
      </c>
      <c r="BJ40" s="186">
        <f t="shared" si="18"/>
        <v>28.57142857</v>
      </c>
      <c r="BK40" s="138"/>
      <c r="BL40" s="170">
        <v>1.0</v>
      </c>
      <c r="BM40" s="132"/>
      <c r="BN40" s="151">
        <v>1.0</v>
      </c>
      <c r="BO40" s="138"/>
      <c r="BP40" s="138"/>
      <c r="BQ40" s="138"/>
      <c r="BR40" s="138"/>
      <c r="BS40" s="151">
        <v>1.0</v>
      </c>
      <c r="BT40" s="140"/>
      <c r="BU40" s="152"/>
      <c r="BV40" s="152"/>
      <c r="BW40" s="152"/>
      <c r="BX40" s="152"/>
      <c r="BY40" s="217"/>
      <c r="BZ40" s="218"/>
      <c r="CA40" s="218"/>
      <c r="CB40" s="218"/>
      <c r="CC40" s="218"/>
      <c r="CD40" s="218"/>
      <c r="CE40" s="218"/>
      <c r="CF40" s="218"/>
      <c r="CG40" s="218"/>
      <c r="CH40" s="156">
        <f t="shared" si="19"/>
        <v>3</v>
      </c>
      <c r="CI40" s="215">
        <f t="shared" si="20"/>
        <v>27.27272727</v>
      </c>
      <c r="CJ40" s="209"/>
      <c r="CK40" s="153"/>
      <c r="CL40" s="217"/>
      <c r="CM40" s="219"/>
      <c r="CN40" s="219"/>
      <c r="CO40" s="219"/>
      <c r="CP40" s="219"/>
      <c r="CQ40" s="217"/>
      <c r="CR40" s="221"/>
      <c r="CS40" s="221"/>
      <c r="CT40" s="161"/>
      <c r="CU40" s="163">
        <f t="shared" si="21"/>
        <v>0</v>
      </c>
      <c r="CV40" s="194" t="str">
        <f t="shared" si="22"/>
        <v>#DIV/0!</v>
      </c>
      <c r="CW40" s="196"/>
      <c r="CX40" s="167">
        <f t="shared" si="23"/>
        <v>27.27272727</v>
      </c>
      <c r="CY40" s="169">
        <f t="shared" si="8"/>
        <v>9</v>
      </c>
      <c r="CZ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9</v>
      </c>
      <c r="E41" s="127">
        <f t="shared" si="10"/>
        <v>27.27272727</v>
      </c>
      <c r="F41" s="200">
        <f t="shared" si="11"/>
        <v>27.27272727</v>
      </c>
      <c r="G41" s="207">
        <f t="shared" si="12"/>
        <v>27.27272727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3"/>
        <v>0</v>
      </c>
      <c r="S41" s="137">
        <f t="shared" si="14"/>
        <v>0</v>
      </c>
      <c r="T41" s="138"/>
      <c r="U41" s="138"/>
      <c r="V41" s="138"/>
      <c r="W41" s="132"/>
      <c r="X41" s="132"/>
      <c r="Y41" s="138"/>
      <c r="Z41" s="151">
        <v>1.0</v>
      </c>
      <c r="AA41" s="138"/>
      <c r="AB41" s="225">
        <v>1.0</v>
      </c>
      <c r="AC41" s="140"/>
      <c r="AD41" s="140"/>
      <c r="AE41" s="141"/>
      <c r="AF41" s="210"/>
      <c r="AG41" s="210"/>
      <c r="AH41" s="211">
        <v>1.0</v>
      </c>
      <c r="AI41" s="210"/>
      <c r="AJ41" s="212"/>
      <c r="AK41" s="212"/>
      <c r="AL41" s="135">
        <f t="shared" si="15"/>
        <v>3</v>
      </c>
      <c r="AM41" s="183">
        <f t="shared" si="16"/>
        <v>30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85">
        <v>1.0</v>
      </c>
      <c r="BF41" s="133"/>
      <c r="BG41" s="133"/>
      <c r="BH41" s="133"/>
      <c r="BI41" s="135">
        <f t="shared" si="17"/>
        <v>1</v>
      </c>
      <c r="BJ41" s="186">
        <f t="shared" si="18"/>
        <v>14.28571429</v>
      </c>
      <c r="BK41" s="138"/>
      <c r="BL41" s="170">
        <v>1.0</v>
      </c>
      <c r="BM41" s="170">
        <v>1.0</v>
      </c>
      <c r="BN41" s="138"/>
      <c r="BO41" s="138"/>
      <c r="BP41" s="151">
        <v>1.0</v>
      </c>
      <c r="BQ41" s="151">
        <v>1.0</v>
      </c>
      <c r="BR41" s="138"/>
      <c r="BS41" s="138"/>
      <c r="BT41" s="150">
        <v>1.0</v>
      </c>
      <c r="BU41" s="152"/>
      <c r="BV41" s="152"/>
      <c r="BW41" s="152"/>
      <c r="BX41" s="152"/>
      <c r="BY41" s="217"/>
      <c r="BZ41" s="218"/>
      <c r="CA41" s="218"/>
      <c r="CB41" s="218"/>
      <c r="CC41" s="218"/>
      <c r="CD41" s="218"/>
      <c r="CE41" s="218"/>
      <c r="CF41" s="218"/>
      <c r="CG41" s="218"/>
      <c r="CH41" s="156">
        <f t="shared" si="19"/>
        <v>5</v>
      </c>
      <c r="CI41" s="215">
        <f t="shared" si="20"/>
        <v>45.45454545</v>
      </c>
      <c r="CJ41" s="209"/>
      <c r="CK41" s="153"/>
      <c r="CL41" s="217"/>
      <c r="CM41" s="219"/>
      <c r="CN41" s="219"/>
      <c r="CO41" s="219"/>
      <c r="CP41" s="219"/>
      <c r="CQ41" s="217"/>
      <c r="CR41" s="221"/>
      <c r="CS41" s="221"/>
      <c r="CT41" s="161"/>
      <c r="CU41" s="163">
        <f t="shared" si="21"/>
        <v>0</v>
      </c>
      <c r="CV41" s="194" t="str">
        <f t="shared" si="22"/>
        <v>#DIV/0!</v>
      </c>
      <c r="CW41" s="196"/>
      <c r="CX41" s="167">
        <f t="shared" si="23"/>
        <v>27.27272727</v>
      </c>
      <c r="CY41" s="169">
        <f t="shared" si="8"/>
        <v>9</v>
      </c>
      <c r="CZ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5</v>
      </c>
      <c r="E42" s="127">
        <f t="shared" si="10"/>
        <v>15.15151515</v>
      </c>
      <c r="F42" s="200">
        <f t="shared" si="11"/>
        <v>15.15151515</v>
      </c>
      <c r="G42" s="207">
        <f t="shared" si="12"/>
        <v>15.15151515</v>
      </c>
      <c r="H42" s="132"/>
      <c r="I42" s="132"/>
      <c r="J42" s="201"/>
      <c r="K42" s="201"/>
      <c r="L42" s="201"/>
      <c r="M42" s="201"/>
      <c r="N42" s="245">
        <v>1.0</v>
      </c>
      <c r="O42" s="201"/>
      <c r="P42" s="201"/>
      <c r="Q42" s="201"/>
      <c r="R42" s="135">
        <f t="shared" si="13"/>
        <v>1</v>
      </c>
      <c r="S42" s="137">
        <f t="shared" si="14"/>
        <v>20</v>
      </c>
      <c r="T42" s="138"/>
      <c r="U42" s="138"/>
      <c r="V42" s="138"/>
      <c r="W42" s="132"/>
      <c r="X42" s="132"/>
      <c r="Y42" s="151">
        <v>1.0</v>
      </c>
      <c r="Z42" s="138"/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1</v>
      </c>
      <c r="AM42" s="183">
        <f t="shared" si="16"/>
        <v>10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>
        <f t="shared" si="18"/>
        <v>0</v>
      </c>
      <c r="BK42" s="138"/>
      <c r="BL42" s="170">
        <v>1.0</v>
      </c>
      <c r="BM42" s="132"/>
      <c r="BN42" s="138"/>
      <c r="BO42" s="138"/>
      <c r="BP42" s="151">
        <v>1.0</v>
      </c>
      <c r="BQ42" s="151">
        <v>1.0</v>
      </c>
      <c r="BR42" s="138"/>
      <c r="BS42" s="138"/>
      <c r="BT42" s="140"/>
      <c r="BU42" s="152"/>
      <c r="BV42" s="152"/>
      <c r="BW42" s="152"/>
      <c r="BX42" s="152"/>
      <c r="BY42" s="217"/>
      <c r="BZ42" s="218"/>
      <c r="CA42" s="218"/>
      <c r="CB42" s="218"/>
      <c r="CC42" s="218"/>
      <c r="CD42" s="218"/>
      <c r="CE42" s="218"/>
      <c r="CF42" s="218"/>
      <c r="CG42" s="218"/>
      <c r="CH42" s="156">
        <f t="shared" si="19"/>
        <v>3</v>
      </c>
      <c r="CI42" s="215">
        <f t="shared" si="20"/>
        <v>27.27272727</v>
      </c>
      <c r="CJ42" s="209"/>
      <c r="CK42" s="153"/>
      <c r="CL42" s="217"/>
      <c r="CM42" s="219"/>
      <c r="CN42" s="219"/>
      <c r="CO42" s="219"/>
      <c r="CP42" s="219"/>
      <c r="CQ42" s="217"/>
      <c r="CR42" s="221"/>
      <c r="CS42" s="221"/>
      <c r="CT42" s="161"/>
      <c r="CU42" s="163">
        <f t="shared" si="21"/>
        <v>0</v>
      </c>
      <c r="CV42" s="194" t="str">
        <f t="shared" si="22"/>
        <v>#DIV/0!</v>
      </c>
      <c r="CW42" s="196"/>
      <c r="CX42" s="167">
        <f t="shared" si="23"/>
        <v>15.15151515</v>
      </c>
      <c r="CY42" s="169">
        <f t="shared" si="8"/>
        <v>5</v>
      </c>
      <c r="CZ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11</v>
      </c>
      <c r="E43" s="127">
        <f t="shared" si="10"/>
        <v>33.33333333</v>
      </c>
      <c r="F43" s="200">
        <f t="shared" si="11"/>
        <v>33.33333333</v>
      </c>
      <c r="G43" s="177" t="str">
        <f t="shared" si="12"/>
        <v>  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3"/>
        <v>0</v>
      </c>
      <c r="S43" s="137">
        <f t="shared" si="14"/>
        <v>0</v>
      </c>
      <c r="T43" s="138"/>
      <c r="U43" s="138"/>
      <c r="V43" s="138"/>
      <c r="W43" s="132"/>
      <c r="X43" s="132"/>
      <c r="Y43" s="138"/>
      <c r="Z43" s="151">
        <v>1.0</v>
      </c>
      <c r="AA43" s="138"/>
      <c r="AB43" s="235">
        <v>1.0</v>
      </c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2</v>
      </c>
      <c r="AM43" s="183">
        <f t="shared" si="16"/>
        <v>20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85">
        <v>1.0</v>
      </c>
      <c r="BG43" s="185">
        <v>1.0</v>
      </c>
      <c r="BH43" s="133"/>
      <c r="BI43" s="135">
        <f t="shared" si="17"/>
        <v>2</v>
      </c>
      <c r="BJ43" s="186">
        <f t="shared" si="18"/>
        <v>28.57142857</v>
      </c>
      <c r="BK43" s="138"/>
      <c r="BL43" s="170">
        <v>1.0</v>
      </c>
      <c r="BM43" s="170">
        <v>1.0</v>
      </c>
      <c r="BN43" s="151">
        <v>1.0</v>
      </c>
      <c r="BO43" s="151">
        <v>1.0</v>
      </c>
      <c r="BP43" s="151">
        <v>1.0</v>
      </c>
      <c r="BQ43" s="151">
        <v>1.0</v>
      </c>
      <c r="BR43" s="138"/>
      <c r="BS43" s="138"/>
      <c r="BT43" s="150">
        <v>1.0</v>
      </c>
      <c r="BU43" s="152"/>
      <c r="BV43" s="152"/>
      <c r="BW43" s="152"/>
      <c r="BX43" s="152"/>
      <c r="BY43" s="217"/>
      <c r="BZ43" s="218"/>
      <c r="CA43" s="218"/>
      <c r="CB43" s="218"/>
      <c r="CC43" s="218"/>
      <c r="CD43" s="218"/>
      <c r="CE43" s="218"/>
      <c r="CF43" s="218"/>
      <c r="CG43" s="218"/>
      <c r="CH43" s="156">
        <f t="shared" si="19"/>
        <v>7</v>
      </c>
      <c r="CI43" s="215">
        <f t="shared" si="20"/>
        <v>63.63636364</v>
      </c>
      <c r="CJ43" s="217"/>
      <c r="CK43" s="153"/>
      <c r="CL43" s="217"/>
      <c r="CM43" s="219"/>
      <c r="CN43" s="219"/>
      <c r="CO43" s="219"/>
      <c r="CP43" s="219"/>
      <c r="CQ43" s="217"/>
      <c r="CR43" s="221"/>
      <c r="CS43" s="221"/>
      <c r="CT43" s="161"/>
      <c r="CU43" s="163">
        <f t="shared" si="21"/>
        <v>0</v>
      </c>
      <c r="CV43" s="194" t="str">
        <f t="shared" si="22"/>
        <v>#DIV/0!</v>
      </c>
      <c r="CW43" s="196"/>
      <c r="CX43" s="167">
        <f t="shared" si="23"/>
        <v>33.33333333</v>
      </c>
      <c r="CY43" s="169">
        <f t="shared" si="8"/>
        <v>11</v>
      </c>
      <c r="CZ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10</v>
      </c>
      <c r="E44" s="127">
        <f t="shared" si="10"/>
        <v>30.3030303</v>
      </c>
      <c r="F44" s="200">
        <f t="shared" si="11"/>
        <v>30.3030303</v>
      </c>
      <c r="G44" s="177" t="str">
        <f t="shared" si="12"/>
        <v>  </v>
      </c>
      <c r="H44" s="132"/>
      <c r="I44" s="132"/>
      <c r="J44" s="201"/>
      <c r="K44" s="201"/>
      <c r="L44" s="245">
        <v>1.0</v>
      </c>
      <c r="M44" s="201"/>
      <c r="N44" s="245">
        <v>1.0</v>
      </c>
      <c r="O44" s="201"/>
      <c r="P44" s="201"/>
      <c r="Q44" s="201"/>
      <c r="R44" s="135">
        <f t="shared" si="13"/>
        <v>2</v>
      </c>
      <c r="S44" s="137">
        <f t="shared" si="14"/>
        <v>40</v>
      </c>
      <c r="T44" s="138"/>
      <c r="U44" s="138"/>
      <c r="V44" s="138"/>
      <c r="W44" s="170">
        <v>1.0</v>
      </c>
      <c r="X44" s="170"/>
      <c r="Y44" s="151">
        <v>1.0</v>
      </c>
      <c r="Z44" s="138"/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2</v>
      </c>
      <c r="AM44" s="183">
        <f t="shared" si="16"/>
        <v>20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85">
        <v>1.0</v>
      </c>
      <c r="BF44" s="133"/>
      <c r="BG44" s="185">
        <v>1.0</v>
      </c>
      <c r="BH44" s="133"/>
      <c r="BI44" s="135">
        <f t="shared" si="17"/>
        <v>2</v>
      </c>
      <c r="BJ44" s="186">
        <f t="shared" si="18"/>
        <v>28.57142857</v>
      </c>
      <c r="BK44" s="138"/>
      <c r="BL44" s="170">
        <v>1.0</v>
      </c>
      <c r="BM44" s="132"/>
      <c r="BN44" s="151">
        <v>1.0</v>
      </c>
      <c r="BO44" s="151">
        <v>1.0</v>
      </c>
      <c r="BP44" s="138"/>
      <c r="BQ44" s="138"/>
      <c r="BR44" s="138"/>
      <c r="BS44" s="138"/>
      <c r="BT44" s="150">
        <v>1.0</v>
      </c>
      <c r="BU44" s="152"/>
      <c r="BV44" s="152"/>
      <c r="BW44" s="152"/>
      <c r="BX44" s="152"/>
      <c r="BY44" s="217"/>
      <c r="BZ44" s="218"/>
      <c r="CA44" s="218"/>
      <c r="CB44" s="218"/>
      <c r="CC44" s="218"/>
      <c r="CD44" s="218"/>
      <c r="CE44" s="218"/>
      <c r="CF44" s="218"/>
      <c r="CG44" s="218"/>
      <c r="CH44" s="156">
        <f t="shared" si="19"/>
        <v>4</v>
      </c>
      <c r="CI44" s="215">
        <f t="shared" si="20"/>
        <v>36.36363636</v>
      </c>
      <c r="CJ44" s="217"/>
      <c r="CK44" s="153"/>
      <c r="CL44" s="217"/>
      <c r="CM44" s="219"/>
      <c r="CN44" s="219"/>
      <c r="CO44" s="219"/>
      <c r="CP44" s="219"/>
      <c r="CQ44" s="217"/>
      <c r="CR44" s="221"/>
      <c r="CS44" s="221"/>
      <c r="CT44" s="161"/>
      <c r="CU44" s="163">
        <f t="shared" si="21"/>
        <v>0</v>
      </c>
      <c r="CV44" s="194" t="str">
        <f t="shared" si="22"/>
        <v>#DIV/0!</v>
      </c>
      <c r="CW44" s="196"/>
      <c r="CX44" s="167">
        <f t="shared" si="23"/>
        <v>30.3030303</v>
      </c>
      <c r="CY44" s="169">
        <f t="shared" si="8"/>
        <v>10</v>
      </c>
      <c r="CZ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3"/>
        <v>0</v>
      </c>
      <c r="S45" s="137">
        <f t="shared" si="14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2"/>
      <c r="BN45" s="138"/>
      <c r="BO45" s="138"/>
      <c r="BP45" s="138"/>
      <c r="BQ45" s="138"/>
      <c r="BR45" s="138"/>
      <c r="BS45" s="138"/>
      <c r="BT45" s="140"/>
      <c r="BU45" s="152"/>
      <c r="BV45" s="152"/>
      <c r="BW45" s="152"/>
      <c r="BX45" s="152"/>
      <c r="BY45" s="217"/>
      <c r="BZ45" s="218"/>
      <c r="CA45" s="218"/>
      <c r="CB45" s="218"/>
      <c r="CC45" s="218"/>
      <c r="CD45" s="218"/>
      <c r="CE45" s="218"/>
      <c r="CF45" s="218"/>
      <c r="CG45" s="218"/>
      <c r="CH45" s="156">
        <f t="shared" si="19"/>
        <v>0</v>
      </c>
      <c r="CI45" s="215">
        <f t="shared" si="20"/>
        <v>0</v>
      </c>
      <c r="CJ45" s="209"/>
      <c r="CK45" s="153"/>
      <c r="CL45" s="217"/>
      <c r="CM45" s="219"/>
      <c r="CN45" s="219"/>
      <c r="CO45" s="219"/>
      <c r="CP45" s="219"/>
      <c r="CQ45" s="217"/>
      <c r="CR45" s="221"/>
      <c r="CS45" s="221"/>
      <c r="CT45" s="161"/>
      <c r="CU45" s="163">
        <f t="shared" si="21"/>
        <v>0</v>
      </c>
      <c r="CV45" s="194" t="str">
        <f t="shared" si="22"/>
        <v>#DIV/0!</v>
      </c>
      <c r="CW45" s="196"/>
      <c r="CX45" s="167">
        <f t="shared" si="23"/>
        <v>0</v>
      </c>
      <c r="CY45" s="169">
        <f t="shared" si="8"/>
        <v>0</v>
      </c>
      <c r="CZ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7</v>
      </c>
      <c r="E46" s="127">
        <f t="shared" si="10"/>
        <v>21.21212121</v>
      </c>
      <c r="F46" s="200">
        <f t="shared" si="11"/>
        <v>21.21212121</v>
      </c>
      <c r="G46" s="207">
        <f t="shared" si="12"/>
        <v>21.21212121</v>
      </c>
      <c r="H46" s="132"/>
      <c r="I46" s="132"/>
      <c r="J46" s="201"/>
      <c r="K46" s="201"/>
      <c r="L46" s="201"/>
      <c r="M46" s="245">
        <v>1.0</v>
      </c>
      <c r="N46" s="201"/>
      <c r="O46" s="201"/>
      <c r="P46" s="201"/>
      <c r="Q46" s="201"/>
      <c r="R46" s="135">
        <f t="shared" si="13"/>
        <v>1</v>
      </c>
      <c r="S46" s="137">
        <f t="shared" si="14"/>
        <v>20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1">
        <v>1.0</v>
      </c>
      <c r="AG46" s="210"/>
      <c r="AH46" s="210"/>
      <c r="AI46" s="210"/>
      <c r="AJ46" s="212"/>
      <c r="AK46" s="212"/>
      <c r="AL46" s="135">
        <f t="shared" si="15"/>
        <v>1</v>
      </c>
      <c r="AM46" s="183">
        <f t="shared" si="16"/>
        <v>10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85">
        <v>1.0</v>
      </c>
      <c r="BF46" s="133"/>
      <c r="BG46" s="133"/>
      <c r="BH46" s="185">
        <v>1.0</v>
      </c>
      <c r="BI46" s="135">
        <f t="shared" si="17"/>
        <v>2</v>
      </c>
      <c r="BJ46" s="186">
        <f t="shared" si="18"/>
        <v>28.57142857</v>
      </c>
      <c r="BK46" s="138"/>
      <c r="BL46" s="132"/>
      <c r="BM46" s="132"/>
      <c r="BN46" s="151">
        <v>1.0</v>
      </c>
      <c r="BO46" s="151">
        <v>1.0</v>
      </c>
      <c r="BP46" s="138"/>
      <c r="BQ46" s="138"/>
      <c r="BR46" s="138"/>
      <c r="BS46" s="138"/>
      <c r="BT46" s="150">
        <v>1.0</v>
      </c>
      <c r="BU46" s="152"/>
      <c r="BV46" s="152"/>
      <c r="BW46" s="152"/>
      <c r="BX46" s="152"/>
      <c r="BY46" s="217"/>
      <c r="BZ46" s="218"/>
      <c r="CA46" s="218"/>
      <c r="CB46" s="218"/>
      <c r="CC46" s="218"/>
      <c r="CD46" s="218"/>
      <c r="CE46" s="218"/>
      <c r="CF46" s="218"/>
      <c r="CG46" s="218"/>
      <c r="CH46" s="156">
        <f t="shared" si="19"/>
        <v>3</v>
      </c>
      <c r="CI46" s="215">
        <f t="shared" si="20"/>
        <v>27.27272727</v>
      </c>
      <c r="CJ46" s="209"/>
      <c r="CK46" s="153"/>
      <c r="CL46" s="217"/>
      <c r="CM46" s="219"/>
      <c r="CN46" s="219"/>
      <c r="CO46" s="219"/>
      <c r="CP46" s="219"/>
      <c r="CQ46" s="217"/>
      <c r="CR46" s="221"/>
      <c r="CS46" s="221"/>
      <c r="CT46" s="161"/>
      <c r="CU46" s="163">
        <f t="shared" si="21"/>
        <v>0</v>
      </c>
      <c r="CV46" s="194" t="str">
        <f t="shared" si="22"/>
        <v>#DIV/0!</v>
      </c>
      <c r="CW46" s="196"/>
      <c r="CX46" s="167">
        <f t="shared" si="23"/>
        <v>21.21212121</v>
      </c>
      <c r="CY46" s="169">
        <f t="shared" si="8"/>
        <v>7</v>
      </c>
      <c r="CZ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22</v>
      </c>
      <c r="E47" s="127">
        <f t="shared" si="10"/>
        <v>66.66666667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3"/>
        <v>0</v>
      </c>
      <c r="S47" s="137">
        <f t="shared" si="14"/>
        <v>0</v>
      </c>
      <c r="T47" s="138"/>
      <c r="U47" s="138"/>
      <c r="V47" s="138"/>
      <c r="W47" s="170">
        <v>1.0</v>
      </c>
      <c r="X47" s="170">
        <v>1.0</v>
      </c>
      <c r="Y47" s="151">
        <v>1.0</v>
      </c>
      <c r="Z47" s="151">
        <v>1.0</v>
      </c>
      <c r="AA47" s="151">
        <v>1.0</v>
      </c>
      <c r="AB47" s="225">
        <v>1.0</v>
      </c>
      <c r="AC47" s="140"/>
      <c r="AD47" s="140"/>
      <c r="AE47" s="141"/>
      <c r="AF47" s="210"/>
      <c r="AG47" s="211">
        <v>1.0</v>
      </c>
      <c r="AH47" s="211">
        <v>1.0</v>
      </c>
      <c r="AI47" s="211">
        <v>1.0</v>
      </c>
      <c r="AJ47" s="212"/>
      <c r="AK47" s="212"/>
      <c r="AL47" s="135">
        <f t="shared" si="15"/>
        <v>9</v>
      </c>
      <c r="AM47" s="183">
        <f t="shared" si="16"/>
        <v>90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85">
        <v>1.0</v>
      </c>
      <c r="AY47" s="133"/>
      <c r="AZ47" s="133"/>
      <c r="BA47" s="133"/>
      <c r="BB47" s="133"/>
      <c r="BC47" s="133"/>
      <c r="BD47" s="133"/>
      <c r="BE47" s="133"/>
      <c r="BF47" s="133"/>
      <c r="BG47" s="185">
        <v>1.0</v>
      </c>
      <c r="BH47" s="185">
        <v>1.0</v>
      </c>
      <c r="BI47" s="135">
        <f t="shared" si="17"/>
        <v>3</v>
      </c>
      <c r="BJ47" s="186">
        <f t="shared" si="18"/>
        <v>42.85714286</v>
      </c>
      <c r="BK47" s="138"/>
      <c r="BL47" s="170">
        <v>1.0</v>
      </c>
      <c r="BM47" s="170">
        <v>1.0</v>
      </c>
      <c r="BN47" s="151">
        <v>1.0</v>
      </c>
      <c r="BO47" s="151">
        <v>1.0</v>
      </c>
      <c r="BP47" s="151">
        <v>1.0</v>
      </c>
      <c r="BQ47" s="151">
        <v>1.0</v>
      </c>
      <c r="BR47" s="138"/>
      <c r="BS47" s="151">
        <v>1.0</v>
      </c>
      <c r="BT47" s="150">
        <v>1.0</v>
      </c>
      <c r="BU47" s="187">
        <v>1.0</v>
      </c>
      <c r="BV47" s="152"/>
      <c r="BW47" s="152"/>
      <c r="BX47" s="187">
        <v>1.0</v>
      </c>
      <c r="BY47" s="217"/>
      <c r="BZ47" s="218"/>
      <c r="CA47" s="218"/>
      <c r="CB47" s="218"/>
      <c r="CC47" s="218"/>
      <c r="CD47" s="218"/>
      <c r="CE47" s="218"/>
      <c r="CF47" s="218"/>
      <c r="CG47" s="218"/>
      <c r="CH47" s="156">
        <f t="shared" si="19"/>
        <v>10</v>
      </c>
      <c r="CI47" s="215">
        <f t="shared" si="20"/>
        <v>90.90909091</v>
      </c>
      <c r="CJ47" s="209"/>
      <c r="CK47" s="153"/>
      <c r="CL47" s="217"/>
      <c r="CM47" s="219"/>
      <c r="CN47" s="219"/>
      <c r="CO47" s="219"/>
      <c r="CP47" s="219"/>
      <c r="CQ47" s="217"/>
      <c r="CR47" s="221"/>
      <c r="CS47" s="221"/>
      <c r="CT47" s="161"/>
      <c r="CU47" s="163">
        <f t="shared" si="21"/>
        <v>0</v>
      </c>
      <c r="CV47" s="194" t="str">
        <f t="shared" si="22"/>
        <v>#DIV/0!</v>
      </c>
      <c r="CW47" s="196"/>
      <c r="CX47" s="167">
        <f t="shared" si="23"/>
        <v>66.66666667</v>
      </c>
      <c r="CY47" s="169">
        <f t="shared" si="8"/>
        <v>22</v>
      </c>
      <c r="CZ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9</v>
      </c>
      <c r="E48" s="127">
        <f t="shared" si="10"/>
        <v>27.27272727</v>
      </c>
      <c r="F48" s="200">
        <f t="shared" si="11"/>
        <v>27.27272727</v>
      </c>
      <c r="G48" s="207">
        <f t="shared" si="12"/>
        <v>27.27272727</v>
      </c>
      <c r="H48" s="258"/>
      <c r="I48" s="259"/>
      <c r="J48" s="260"/>
      <c r="K48" s="260"/>
      <c r="L48" s="267">
        <v>1.0</v>
      </c>
      <c r="M48" s="260"/>
      <c r="N48" s="260"/>
      <c r="O48" s="260"/>
      <c r="P48" s="260"/>
      <c r="Q48" s="260"/>
      <c r="R48" s="135">
        <f t="shared" si="13"/>
        <v>1</v>
      </c>
      <c r="S48" s="137">
        <f t="shared" si="14"/>
        <v>20</v>
      </c>
      <c r="T48" s="138"/>
      <c r="U48" s="138"/>
      <c r="V48" s="138"/>
      <c r="W48" s="170">
        <v>1.0</v>
      </c>
      <c r="X48" s="170">
        <v>1.0</v>
      </c>
      <c r="Y48" s="151">
        <v>1.0</v>
      </c>
      <c r="Z48" s="151">
        <v>1.0</v>
      </c>
      <c r="AA48" s="138"/>
      <c r="AB48" s="209"/>
      <c r="AC48" s="140"/>
      <c r="AD48" s="140"/>
      <c r="AE48" s="141"/>
      <c r="AF48" s="210"/>
      <c r="AG48" s="210"/>
      <c r="AH48" s="211">
        <v>1.0</v>
      </c>
      <c r="AI48" s="210"/>
      <c r="AJ48" s="212"/>
      <c r="AK48" s="212"/>
      <c r="AL48" s="135">
        <f t="shared" si="15"/>
        <v>5</v>
      </c>
      <c r="AM48" s="183">
        <f t="shared" si="16"/>
        <v>50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>
        <f t="shared" si="18"/>
        <v>0</v>
      </c>
      <c r="BK48" s="138"/>
      <c r="BL48" s="132"/>
      <c r="BM48" s="132"/>
      <c r="BN48" s="138"/>
      <c r="BO48" s="151">
        <v>1.0</v>
      </c>
      <c r="BP48" s="151"/>
      <c r="BQ48" s="151">
        <v>1.0</v>
      </c>
      <c r="BR48" s="138"/>
      <c r="BS48" s="138"/>
      <c r="BT48" s="150">
        <v>1.0</v>
      </c>
      <c r="BU48" s="152"/>
      <c r="BV48" s="152"/>
      <c r="BW48" s="152"/>
      <c r="BX48" s="152"/>
      <c r="BY48" s="217"/>
      <c r="BZ48" s="218"/>
      <c r="CA48" s="218"/>
      <c r="CB48" s="218"/>
      <c r="CC48" s="218"/>
      <c r="CD48" s="218"/>
      <c r="CE48" s="218"/>
      <c r="CF48" s="218"/>
      <c r="CG48" s="218"/>
      <c r="CH48" s="156">
        <f t="shared" si="19"/>
        <v>3</v>
      </c>
      <c r="CI48" s="215">
        <f t="shared" si="20"/>
        <v>27.27272727</v>
      </c>
      <c r="CJ48" s="209"/>
      <c r="CK48" s="153"/>
      <c r="CL48" s="217"/>
      <c r="CM48" s="219"/>
      <c r="CN48" s="219"/>
      <c r="CO48" s="219"/>
      <c r="CP48" s="219"/>
      <c r="CQ48" s="217"/>
      <c r="CR48" s="221"/>
      <c r="CS48" s="221"/>
      <c r="CT48" s="161"/>
      <c r="CU48" s="163">
        <f t="shared" si="21"/>
        <v>0</v>
      </c>
      <c r="CV48" s="194" t="str">
        <f t="shared" si="22"/>
        <v>#DIV/0!</v>
      </c>
      <c r="CW48" s="196"/>
      <c r="CX48" s="167">
        <f t="shared" si="23"/>
        <v>27.27272727</v>
      </c>
      <c r="CY48" s="169">
        <f t="shared" si="8"/>
        <v>9</v>
      </c>
      <c r="CZ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9</v>
      </c>
      <c r="E49" s="127">
        <f t="shared" si="10"/>
        <v>27.27272727</v>
      </c>
      <c r="F49" s="200">
        <f t="shared" si="11"/>
        <v>27.27272727</v>
      </c>
      <c r="G49" s="207">
        <f t="shared" si="12"/>
        <v>27.27272727</v>
      </c>
      <c r="H49" s="258"/>
      <c r="I49" s="261"/>
      <c r="J49" s="262"/>
      <c r="K49" s="262"/>
      <c r="L49" s="268">
        <v>1.0</v>
      </c>
      <c r="M49" s="262"/>
      <c r="N49" s="262"/>
      <c r="O49" s="262"/>
      <c r="P49" s="262"/>
      <c r="Q49" s="262"/>
      <c r="R49" s="135">
        <f t="shared" si="13"/>
        <v>1</v>
      </c>
      <c r="S49" s="137">
        <f t="shared" si="14"/>
        <v>20</v>
      </c>
      <c r="T49" s="138"/>
      <c r="U49" s="138"/>
      <c r="V49" s="138"/>
      <c r="W49" s="170">
        <v>1.0</v>
      </c>
      <c r="X49" s="170">
        <v>1.0</v>
      </c>
      <c r="Y49" s="151">
        <v>1.0</v>
      </c>
      <c r="Z49" s="151">
        <v>1.0</v>
      </c>
      <c r="AA49" s="138"/>
      <c r="AB49" s="217"/>
      <c r="AC49" s="140"/>
      <c r="AD49" s="140"/>
      <c r="AE49" s="141"/>
      <c r="AF49" s="226"/>
      <c r="AG49" s="226"/>
      <c r="AH49" s="238">
        <v>1.0</v>
      </c>
      <c r="AI49" s="226"/>
      <c r="AJ49" s="218"/>
      <c r="AK49" s="218"/>
      <c r="AL49" s="135">
        <f t="shared" si="15"/>
        <v>5</v>
      </c>
      <c r="AM49" s="183">
        <f t="shared" si="16"/>
        <v>50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>
        <f t="shared" si="18"/>
        <v>0</v>
      </c>
      <c r="BK49" s="138"/>
      <c r="BL49" s="132"/>
      <c r="BM49" s="132"/>
      <c r="BN49" s="138"/>
      <c r="BO49" s="151">
        <v>1.0</v>
      </c>
      <c r="BP49" s="151"/>
      <c r="BQ49" s="151">
        <v>1.0</v>
      </c>
      <c r="BR49" s="138"/>
      <c r="BS49" s="138"/>
      <c r="BT49" s="150">
        <v>1.0</v>
      </c>
      <c r="BU49" s="152"/>
      <c r="BV49" s="152"/>
      <c r="BW49" s="152"/>
      <c r="BX49" s="152"/>
      <c r="BY49" s="217"/>
      <c r="BZ49" s="218"/>
      <c r="CA49" s="218"/>
      <c r="CB49" s="218"/>
      <c r="CC49" s="218"/>
      <c r="CD49" s="218"/>
      <c r="CE49" s="218"/>
      <c r="CF49" s="218"/>
      <c r="CG49" s="218"/>
      <c r="CH49" s="156">
        <f t="shared" si="19"/>
        <v>3</v>
      </c>
      <c r="CI49" s="215">
        <f t="shared" si="20"/>
        <v>27.27272727</v>
      </c>
      <c r="CJ49" s="217"/>
      <c r="CK49" s="153"/>
      <c r="CL49" s="217"/>
      <c r="CM49" s="219"/>
      <c r="CN49" s="219"/>
      <c r="CO49" s="219"/>
      <c r="CP49" s="219"/>
      <c r="CQ49" s="217"/>
      <c r="CR49" s="221"/>
      <c r="CS49" s="221"/>
      <c r="CT49" s="161"/>
      <c r="CU49" s="163">
        <f t="shared" si="21"/>
        <v>0</v>
      </c>
      <c r="CV49" s="194" t="str">
        <f t="shared" si="22"/>
        <v>#DIV/0!</v>
      </c>
      <c r="CW49" s="196"/>
      <c r="CX49" s="167">
        <f t="shared" si="23"/>
        <v>27.27272727</v>
      </c>
      <c r="CY49" s="169">
        <f t="shared" si="8"/>
        <v>9</v>
      </c>
      <c r="CZ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7</v>
      </c>
      <c r="E50" s="127">
        <f t="shared" si="10"/>
        <v>21.21212121</v>
      </c>
      <c r="F50" s="200">
        <f t="shared" si="11"/>
        <v>21.21212121</v>
      </c>
      <c r="G50" s="207">
        <f t="shared" si="12"/>
        <v>21.21212121</v>
      </c>
      <c r="H50" s="258"/>
      <c r="I50" s="258"/>
      <c r="J50" s="269">
        <v>1.0</v>
      </c>
      <c r="K50" s="263"/>
      <c r="L50" s="269">
        <v>1.0</v>
      </c>
      <c r="M50" s="263"/>
      <c r="N50" s="263"/>
      <c r="O50" s="263"/>
      <c r="P50" s="263"/>
      <c r="Q50" s="263"/>
      <c r="R50" s="135">
        <f t="shared" si="13"/>
        <v>2</v>
      </c>
      <c r="S50" s="137">
        <f t="shared" si="14"/>
        <v>40</v>
      </c>
      <c r="T50" s="138"/>
      <c r="U50" s="138"/>
      <c r="V50" s="138"/>
      <c r="W50" s="170">
        <v>1.0</v>
      </c>
      <c r="X50" s="170">
        <v>1.0</v>
      </c>
      <c r="Y50" s="151">
        <v>1.0</v>
      </c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3</v>
      </c>
      <c r="AM50" s="183">
        <f t="shared" si="16"/>
        <v>30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85">
        <v>1.0</v>
      </c>
      <c r="BF50" s="133"/>
      <c r="BG50" s="133"/>
      <c r="BH50" s="133"/>
      <c r="BI50" s="135">
        <f t="shared" si="17"/>
        <v>1</v>
      </c>
      <c r="BJ50" s="186">
        <f t="shared" si="18"/>
        <v>14.28571429</v>
      </c>
      <c r="BK50" s="138"/>
      <c r="BL50" s="132"/>
      <c r="BM50" s="132"/>
      <c r="BN50" s="138"/>
      <c r="BO50" s="138"/>
      <c r="BP50" s="138"/>
      <c r="BQ50" s="138"/>
      <c r="BR50" s="138"/>
      <c r="BS50" s="151">
        <v>1.0</v>
      </c>
      <c r="BT50" s="140"/>
      <c r="BU50" s="152"/>
      <c r="BV50" s="152"/>
      <c r="BW50" s="152"/>
      <c r="BX50" s="152"/>
      <c r="BY50" s="217"/>
      <c r="BZ50" s="218"/>
      <c r="CA50" s="218"/>
      <c r="CB50" s="218"/>
      <c r="CC50" s="218"/>
      <c r="CD50" s="218"/>
      <c r="CE50" s="218"/>
      <c r="CF50" s="218"/>
      <c r="CG50" s="218"/>
      <c r="CH50" s="156">
        <f t="shared" si="19"/>
        <v>1</v>
      </c>
      <c r="CI50" s="215">
        <f t="shared" si="20"/>
        <v>9.090909091</v>
      </c>
      <c r="CJ50" s="233"/>
      <c r="CK50" s="153"/>
      <c r="CL50" s="217"/>
      <c r="CM50" s="219"/>
      <c r="CN50" s="219"/>
      <c r="CO50" s="219"/>
      <c r="CP50" s="219"/>
      <c r="CQ50" s="217"/>
      <c r="CR50" s="221"/>
      <c r="CS50" s="221"/>
      <c r="CT50" s="161"/>
      <c r="CU50" s="163">
        <f t="shared" si="21"/>
        <v>0</v>
      </c>
      <c r="CV50" s="194" t="str">
        <f t="shared" si="22"/>
        <v>#DIV/0!</v>
      </c>
      <c r="CW50" s="196"/>
      <c r="CX50" s="167">
        <f t="shared" si="23"/>
        <v>21.21212121</v>
      </c>
      <c r="CY50" s="169">
        <f t="shared" si="8"/>
        <v>7</v>
      </c>
      <c r="CZ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9</v>
      </c>
      <c r="E51" s="127">
        <f t="shared" si="10"/>
        <v>27.27272727</v>
      </c>
      <c r="F51" s="200">
        <f t="shared" si="11"/>
        <v>27.27272727</v>
      </c>
      <c r="G51" s="207">
        <f t="shared" si="12"/>
        <v>27.27272727</v>
      </c>
      <c r="H51" s="258"/>
      <c r="I51" s="265"/>
      <c r="J51" s="266"/>
      <c r="K51" s="266"/>
      <c r="L51" s="270">
        <v>1.0</v>
      </c>
      <c r="M51" s="266"/>
      <c r="N51" s="266"/>
      <c r="O51" s="266"/>
      <c r="P51" s="266"/>
      <c r="Q51" s="266"/>
      <c r="R51" s="135">
        <f t="shared" si="13"/>
        <v>1</v>
      </c>
      <c r="S51" s="137">
        <f t="shared" si="14"/>
        <v>20</v>
      </c>
      <c r="T51" s="138"/>
      <c r="U51" s="138"/>
      <c r="V51" s="138"/>
      <c r="W51" s="132"/>
      <c r="X51" s="132"/>
      <c r="Y51" s="138"/>
      <c r="Z51" s="151">
        <v>1.0</v>
      </c>
      <c r="AA51" s="151">
        <v>1.0</v>
      </c>
      <c r="AB51" s="254">
        <v>1.0</v>
      </c>
      <c r="AC51" s="140"/>
      <c r="AD51" s="140"/>
      <c r="AE51" s="141"/>
      <c r="AF51" s="248"/>
      <c r="AG51" s="256">
        <v>1.0</v>
      </c>
      <c r="AH51" s="248"/>
      <c r="AI51" s="248"/>
      <c r="AJ51" s="249"/>
      <c r="AK51" s="249"/>
      <c r="AL51" s="135">
        <f t="shared" si="15"/>
        <v>4</v>
      </c>
      <c r="AM51" s="183">
        <f t="shared" si="16"/>
        <v>40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85">
        <v>1.0</v>
      </c>
      <c r="BI51" s="135">
        <f t="shared" si="17"/>
        <v>1</v>
      </c>
      <c r="BJ51" s="186">
        <f t="shared" si="18"/>
        <v>14.28571429</v>
      </c>
      <c r="BK51" s="138"/>
      <c r="BL51" s="170"/>
      <c r="BM51" s="170">
        <v>1.0</v>
      </c>
      <c r="BN51" s="138"/>
      <c r="BO51" s="138"/>
      <c r="BP51" s="151">
        <v>1.0</v>
      </c>
      <c r="BQ51" s="151">
        <v>1.0</v>
      </c>
      <c r="BR51" s="138"/>
      <c r="BS51" s="138"/>
      <c r="BT51" s="140"/>
      <c r="BU51" s="152"/>
      <c r="BV51" s="152"/>
      <c r="BW51" s="152"/>
      <c r="BX51" s="152"/>
      <c r="BY51" s="217"/>
      <c r="BZ51" s="218"/>
      <c r="CA51" s="218"/>
      <c r="CB51" s="218"/>
      <c r="CC51" s="218"/>
      <c r="CD51" s="218"/>
      <c r="CE51" s="218"/>
      <c r="CF51" s="218"/>
      <c r="CG51" s="218"/>
      <c r="CH51" s="156">
        <f t="shared" si="19"/>
        <v>3</v>
      </c>
      <c r="CI51" s="215">
        <f t="shared" si="20"/>
        <v>27.27272727</v>
      </c>
      <c r="CJ51" s="247"/>
      <c r="CK51" s="153"/>
      <c r="CL51" s="217"/>
      <c r="CM51" s="219"/>
      <c r="CN51" s="219"/>
      <c r="CO51" s="219"/>
      <c r="CP51" s="219"/>
      <c r="CQ51" s="217"/>
      <c r="CR51" s="221"/>
      <c r="CS51" s="221"/>
      <c r="CT51" s="161"/>
      <c r="CU51" s="163">
        <f t="shared" si="21"/>
        <v>0</v>
      </c>
      <c r="CV51" s="194" t="str">
        <f t="shared" si="22"/>
        <v>#DIV/0!</v>
      </c>
      <c r="CW51" s="196"/>
      <c r="CX51" s="167">
        <f t="shared" si="23"/>
        <v>27.27272727</v>
      </c>
      <c r="CY51" s="169">
        <f t="shared" si="8"/>
        <v>9</v>
      </c>
      <c r="CZ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9</v>
      </c>
      <c r="E52" s="127">
        <f t="shared" si="10"/>
        <v>27.27272727</v>
      </c>
      <c r="F52" s="200">
        <f t="shared" si="11"/>
        <v>27.27272727</v>
      </c>
      <c r="G52" s="207">
        <f t="shared" si="12"/>
        <v>27.27272727</v>
      </c>
      <c r="H52" s="258"/>
      <c r="I52" s="258"/>
      <c r="J52" s="263"/>
      <c r="K52" s="269">
        <v>1.0</v>
      </c>
      <c r="L52" s="269">
        <v>1.0</v>
      </c>
      <c r="M52" s="269">
        <v>1.0</v>
      </c>
      <c r="N52" s="269">
        <v>1.0</v>
      </c>
      <c r="O52" s="263"/>
      <c r="P52" s="263"/>
      <c r="Q52" s="263"/>
      <c r="R52" s="135">
        <f t="shared" si="13"/>
        <v>4</v>
      </c>
      <c r="S52" s="137">
        <f t="shared" si="14"/>
        <v>80</v>
      </c>
      <c r="T52" s="138"/>
      <c r="U52" s="138"/>
      <c r="V52" s="138"/>
      <c r="W52" s="132"/>
      <c r="X52" s="132"/>
      <c r="Y52" s="138"/>
      <c r="Z52" s="151">
        <v>1.0</v>
      </c>
      <c r="AA52" s="151">
        <v>1.0</v>
      </c>
      <c r="AB52" s="209"/>
      <c r="AC52" s="140"/>
      <c r="AD52" s="140"/>
      <c r="AE52" s="141"/>
      <c r="AF52" s="210"/>
      <c r="AG52" s="210"/>
      <c r="AH52" s="211">
        <v>1.0</v>
      </c>
      <c r="AI52" s="210"/>
      <c r="AJ52" s="212"/>
      <c r="AK52" s="212"/>
      <c r="AL52" s="135">
        <f t="shared" si="15"/>
        <v>3</v>
      </c>
      <c r="AM52" s="183">
        <f t="shared" si="16"/>
        <v>30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85">
        <v>1.0</v>
      </c>
      <c r="BF52" s="185">
        <v>1.0</v>
      </c>
      <c r="BG52" s="133"/>
      <c r="BH52" s="133"/>
      <c r="BI52" s="135">
        <f t="shared" si="17"/>
        <v>2</v>
      </c>
      <c r="BJ52" s="186">
        <f t="shared" si="18"/>
        <v>28.57142857</v>
      </c>
      <c r="BK52" s="138"/>
      <c r="BL52" s="132"/>
      <c r="BM52" s="132"/>
      <c r="BN52" s="138"/>
      <c r="BO52" s="138"/>
      <c r="BP52" s="138"/>
      <c r="BQ52" s="138"/>
      <c r="BR52" s="138"/>
      <c r="BS52" s="138"/>
      <c r="BT52" s="140"/>
      <c r="BU52" s="152"/>
      <c r="BV52" s="152"/>
      <c r="BW52" s="152"/>
      <c r="BX52" s="152"/>
      <c r="BY52" s="217"/>
      <c r="BZ52" s="218"/>
      <c r="CA52" s="218"/>
      <c r="CB52" s="218"/>
      <c r="CC52" s="218"/>
      <c r="CD52" s="218"/>
      <c r="CE52" s="218"/>
      <c r="CF52" s="218"/>
      <c r="CG52" s="218"/>
      <c r="CH52" s="156">
        <f t="shared" si="19"/>
        <v>0</v>
      </c>
      <c r="CI52" s="215">
        <f t="shared" si="20"/>
        <v>0</v>
      </c>
      <c r="CJ52" s="209"/>
      <c r="CK52" s="153"/>
      <c r="CL52" s="217"/>
      <c r="CM52" s="219"/>
      <c r="CN52" s="219"/>
      <c r="CO52" s="219"/>
      <c r="CP52" s="219"/>
      <c r="CQ52" s="217"/>
      <c r="CR52" s="221"/>
      <c r="CS52" s="221"/>
      <c r="CT52" s="161"/>
      <c r="CU52" s="163">
        <f t="shared" si="21"/>
        <v>0</v>
      </c>
      <c r="CV52" s="194" t="str">
        <f t="shared" si="22"/>
        <v>#DIV/0!</v>
      </c>
      <c r="CW52" s="196"/>
      <c r="CX52" s="167">
        <f t="shared" si="23"/>
        <v>27.27272727</v>
      </c>
      <c r="CY52" s="169">
        <f t="shared" si="8"/>
        <v>9</v>
      </c>
      <c r="CZ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17</v>
      </c>
      <c r="E53" s="127">
        <f t="shared" si="10"/>
        <v>51.51515152</v>
      </c>
      <c r="F53" s="175" t="str">
        <f t="shared" si="11"/>
        <v>  </v>
      </c>
      <c r="G53" s="177" t="str">
        <f t="shared" si="12"/>
        <v>  </v>
      </c>
      <c r="H53" s="258"/>
      <c r="I53" s="258"/>
      <c r="J53" s="263"/>
      <c r="K53" s="263"/>
      <c r="L53" s="269">
        <v>1.0</v>
      </c>
      <c r="M53" s="269">
        <v>1.0</v>
      </c>
      <c r="N53" s="269">
        <v>1.0</v>
      </c>
      <c r="O53" s="263"/>
      <c r="P53" s="263"/>
      <c r="Q53" s="263"/>
      <c r="R53" s="135">
        <f t="shared" si="13"/>
        <v>3</v>
      </c>
      <c r="S53" s="137">
        <f t="shared" si="14"/>
        <v>60</v>
      </c>
      <c r="T53" s="138"/>
      <c r="U53" s="138"/>
      <c r="V53" s="138"/>
      <c r="W53" s="132"/>
      <c r="X53" s="132"/>
      <c r="Y53" s="138"/>
      <c r="Z53" s="151">
        <v>1.0</v>
      </c>
      <c r="AA53" s="138"/>
      <c r="AB53" s="225">
        <v>1.0</v>
      </c>
      <c r="AC53" s="140"/>
      <c r="AD53" s="140"/>
      <c r="AE53" s="141"/>
      <c r="AF53" s="211">
        <v>1.0</v>
      </c>
      <c r="AG53" s="211">
        <v>1.0</v>
      </c>
      <c r="AH53" s="210"/>
      <c r="AI53" s="210"/>
      <c r="AJ53" s="212"/>
      <c r="AK53" s="212"/>
      <c r="AL53" s="135">
        <f t="shared" si="15"/>
        <v>4</v>
      </c>
      <c r="AM53" s="183">
        <f t="shared" si="16"/>
        <v>40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85">
        <v>1.0</v>
      </c>
      <c r="BF53" s="185">
        <v>1.0</v>
      </c>
      <c r="BG53" s="185">
        <v>1.0</v>
      </c>
      <c r="BH53" s="185">
        <v>1.0</v>
      </c>
      <c r="BI53" s="135">
        <f t="shared" si="17"/>
        <v>4</v>
      </c>
      <c r="BJ53" s="186">
        <f t="shared" si="18"/>
        <v>57.14285714</v>
      </c>
      <c r="BK53" s="138"/>
      <c r="BL53" s="170">
        <v>1.0</v>
      </c>
      <c r="BM53" s="170">
        <v>1.0</v>
      </c>
      <c r="BN53" s="151">
        <v>1.0</v>
      </c>
      <c r="BO53" s="138"/>
      <c r="BP53" s="151">
        <v>1.0</v>
      </c>
      <c r="BQ53" s="151">
        <v>1.0</v>
      </c>
      <c r="BR53" s="138"/>
      <c r="BS53" s="138"/>
      <c r="BT53" s="140"/>
      <c r="BU53" s="152"/>
      <c r="BV53" s="152"/>
      <c r="BW53" s="152"/>
      <c r="BX53" s="187">
        <v>1.0</v>
      </c>
      <c r="BY53" s="217"/>
      <c r="BZ53" s="218"/>
      <c r="CA53" s="218"/>
      <c r="CB53" s="218"/>
      <c r="CC53" s="218"/>
      <c r="CD53" s="218"/>
      <c r="CE53" s="218"/>
      <c r="CF53" s="218"/>
      <c r="CG53" s="218"/>
      <c r="CH53" s="156">
        <f t="shared" si="19"/>
        <v>6</v>
      </c>
      <c r="CI53" s="215">
        <f t="shared" si="20"/>
        <v>54.54545455</v>
      </c>
      <c r="CJ53" s="209"/>
      <c r="CK53" s="153"/>
      <c r="CL53" s="217"/>
      <c r="CM53" s="219"/>
      <c r="CN53" s="219"/>
      <c r="CO53" s="219"/>
      <c r="CP53" s="219"/>
      <c r="CQ53" s="217"/>
      <c r="CR53" s="221"/>
      <c r="CS53" s="221"/>
      <c r="CT53" s="161"/>
      <c r="CU53" s="163">
        <f t="shared" si="21"/>
        <v>0</v>
      </c>
      <c r="CV53" s="194" t="str">
        <f t="shared" si="22"/>
        <v>#DIV/0!</v>
      </c>
      <c r="CW53" s="196"/>
      <c r="CX53" s="167">
        <f t="shared" si="23"/>
        <v>51.51515152</v>
      </c>
      <c r="CY53" s="169">
        <f t="shared" si="8"/>
        <v>17</v>
      </c>
      <c r="CZ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7</v>
      </c>
      <c r="E54" s="127">
        <f t="shared" si="10"/>
        <v>21.21212121</v>
      </c>
      <c r="F54" s="200">
        <f t="shared" si="11"/>
        <v>21.21212121</v>
      </c>
      <c r="G54" s="207">
        <f t="shared" si="12"/>
        <v>21.21212121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3"/>
        <v>0</v>
      </c>
      <c r="S54" s="137">
        <f t="shared" si="14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>
        <f t="shared" si="18"/>
        <v>0</v>
      </c>
      <c r="BK54" s="138"/>
      <c r="BL54" s="132"/>
      <c r="BM54" s="132"/>
      <c r="BN54" s="151">
        <v>1.0</v>
      </c>
      <c r="BO54" s="138"/>
      <c r="BP54" s="151">
        <v>1.0</v>
      </c>
      <c r="BQ54" s="151">
        <v>1.0</v>
      </c>
      <c r="BR54" s="138"/>
      <c r="BS54" s="151">
        <v>1.0</v>
      </c>
      <c r="BT54" s="150">
        <v>1.0</v>
      </c>
      <c r="BU54" s="187">
        <v>1.0</v>
      </c>
      <c r="BV54" s="152"/>
      <c r="BW54" s="152"/>
      <c r="BX54" s="187">
        <v>1.0</v>
      </c>
      <c r="BY54" s="217"/>
      <c r="BZ54" s="218"/>
      <c r="CA54" s="218"/>
      <c r="CB54" s="218"/>
      <c r="CC54" s="218"/>
      <c r="CD54" s="218"/>
      <c r="CE54" s="218"/>
      <c r="CF54" s="218"/>
      <c r="CG54" s="218"/>
      <c r="CH54" s="156">
        <f t="shared" si="19"/>
        <v>7</v>
      </c>
      <c r="CI54" s="215">
        <f t="shared" si="20"/>
        <v>63.63636364</v>
      </c>
      <c r="CJ54" s="209"/>
      <c r="CK54" s="153"/>
      <c r="CL54" s="217"/>
      <c r="CM54" s="219"/>
      <c r="CN54" s="219"/>
      <c r="CO54" s="219"/>
      <c r="CP54" s="219"/>
      <c r="CQ54" s="217"/>
      <c r="CR54" s="221"/>
      <c r="CS54" s="221"/>
      <c r="CT54" s="161"/>
      <c r="CU54" s="163">
        <f t="shared" si="21"/>
        <v>0</v>
      </c>
      <c r="CV54" s="194" t="str">
        <f t="shared" si="22"/>
        <v>#DIV/0!</v>
      </c>
      <c r="CW54" s="196"/>
      <c r="CX54" s="167">
        <f t="shared" si="23"/>
        <v>21.21212121</v>
      </c>
      <c r="CY54" s="169">
        <f t="shared" si="8"/>
        <v>7</v>
      </c>
      <c r="CZ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9</v>
      </c>
      <c r="E55" s="127">
        <f t="shared" si="10"/>
        <v>27.27272727</v>
      </c>
      <c r="F55" s="200">
        <f t="shared" si="11"/>
        <v>27.27272727</v>
      </c>
      <c r="G55" s="207">
        <f t="shared" si="12"/>
        <v>27.27272727</v>
      </c>
      <c r="H55" s="258"/>
      <c r="I55" s="259"/>
      <c r="J55" s="260"/>
      <c r="K55" s="260"/>
      <c r="L55" s="260"/>
      <c r="M55" s="260"/>
      <c r="N55" s="267">
        <v>1.0</v>
      </c>
      <c r="O55" s="260"/>
      <c r="P55" s="260"/>
      <c r="Q55" s="260"/>
      <c r="R55" s="135">
        <f t="shared" si="13"/>
        <v>1</v>
      </c>
      <c r="S55" s="137">
        <f t="shared" si="14"/>
        <v>20</v>
      </c>
      <c r="T55" s="138"/>
      <c r="U55" s="138"/>
      <c r="V55" s="138"/>
      <c r="W55" s="170">
        <v>1.0</v>
      </c>
      <c r="X55" s="170">
        <v>1.0</v>
      </c>
      <c r="Y55" s="151">
        <v>1.0</v>
      </c>
      <c r="Z55" s="151">
        <v>1.0</v>
      </c>
      <c r="AA55" s="138"/>
      <c r="AB55" s="225">
        <v>1.0</v>
      </c>
      <c r="AC55" s="140"/>
      <c r="AD55" s="140"/>
      <c r="AE55" s="141"/>
      <c r="AF55" s="211">
        <v>1.0</v>
      </c>
      <c r="AG55" s="211">
        <v>1.0</v>
      </c>
      <c r="AH55" s="210"/>
      <c r="AI55" s="210"/>
      <c r="AJ55" s="212"/>
      <c r="AK55" s="212"/>
      <c r="AL55" s="135">
        <f t="shared" si="15"/>
        <v>7</v>
      </c>
      <c r="AM55" s="183">
        <f t="shared" si="16"/>
        <v>70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>
        <f t="shared" si="18"/>
        <v>0</v>
      </c>
      <c r="BK55" s="138"/>
      <c r="BL55" s="132"/>
      <c r="BM55" s="132"/>
      <c r="BN55" s="138"/>
      <c r="BO55" s="138"/>
      <c r="BP55" s="138"/>
      <c r="BQ55" s="138"/>
      <c r="BR55" s="138"/>
      <c r="BS55" s="138"/>
      <c r="BT55" s="150">
        <v>1.0</v>
      </c>
      <c r="BU55" s="152"/>
      <c r="BV55" s="152"/>
      <c r="BW55" s="152"/>
      <c r="BX55" s="152"/>
      <c r="BY55" s="217"/>
      <c r="BZ55" s="218"/>
      <c r="CA55" s="218"/>
      <c r="CB55" s="218"/>
      <c r="CC55" s="218"/>
      <c r="CD55" s="218"/>
      <c r="CE55" s="218"/>
      <c r="CF55" s="218"/>
      <c r="CG55" s="218"/>
      <c r="CH55" s="156">
        <f t="shared" si="19"/>
        <v>1</v>
      </c>
      <c r="CI55" s="215">
        <f t="shared" si="20"/>
        <v>9.090909091</v>
      </c>
      <c r="CJ55" s="209"/>
      <c r="CK55" s="153"/>
      <c r="CL55" s="217"/>
      <c r="CM55" s="219"/>
      <c r="CN55" s="219"/>
      <c r="CO55" s="219"/>
      <c r="CP55" s="219"/>
      <c r="CQ55" s="217"/>
      <c r="CR55" s="221"/>
      <c r="CS55" s="221"/>
      <c r="CT55" s="161"/>
      <c r="CU55" s="163">
        <f t="shared" si="21"/>
        <v>0</v>
      </c>
      <c r="CV55" s="194" t="str">
        <f t="shared" si="22"/>
        <v>#DIV/0!</v>
      </c>
      <c r="CW55" s="196"/>
      <c r="CX55" s="167">
        <f t="shared" si="23"/>
        <v>27.27272727</v>
      </c>
      <c r="CY55" s="169">
        <f t="shared" si="8"/>
        <v>9</v>
      </c>
      <c r="CZ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9</v>
      </c>
      <c r="E56" s="127">
        <f t="shared" si="10"/>
        <v>27.27272727</v>
      </c>
      <c r="F56" s="200">
        <f t="shared" si="11"/>
        <v>27.27272727</v>
      </c>
      <c r="G56" s="207">
        <f t="shared" si="12"/>
        <v>27.27272727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3"/>
        <v>0</v>
      </c>
      <c r="S56" s="137">
        <f t="shared" si="14"/>
        <v>0</v>
      </c>
      <c r="T56" s="138"/>
      <c r="U56" s="138"/>
      <c r="V56" s="138"/>
      <c r="W56" s="170">
        <v>1.0</v>
      </c>
      <c r="X56" s="170">
        <v>1.0</v>
      </c>
      <c r="Y56" s="151">
        <v>1.0</v>
      </c>
      <c r="Z56" s="138"/>
      <c r="AA56" s="138"/>
      <c r="AB56" s="209"/>
      <c r="AC56" s="140"/>
      <c r="AD56" s="140"/>
      <c r="AE56" s="141"/>
      <c r="AF56" s="210"/>
      <c r="AG56" s="211">
        <v>1.0</v>
      </c>
      <c r="AH56" s="210"/>
      <c r="AI56" s="210"/>
      <c r="AJ56" s="212"/>
      <c r="AK56" s="212"/>
      <c r="AL56" s="135">
        <f t="shared" si="15"/>
        <v>4</v>
      </c>
      <c r="AM56" s="183">
        <f t="shared" si="16"/>
        <v>40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85">
        <v>1.0</v>
      </c>
      <c r="BI56" s="135">
        <f t="shared" si="17"/>
        <v>1</v>
      </c>
      <c r="BJ56" s="186">
        <f t="shared" si="18"/>
        <v>14.28571429</v>
      </c>
      <c r="BK56" s="151">
        <v>1.0</v>
      </c>
      <c r="BL56" s="170">
        <v>1.0</v>
      </c>
      <c r="BM56" s="132"/>
      <c r="BN56" s="138"/>
      <c r="BO56" s="151">
        <v>1.0</v>
      </c>
      <c r="BP56" s="138"/>
      <c r="BQ56" s="138"/>
      <c r="BR56" s="138"/>
      <c r="BS56" s="138"/>
      <c r="BT56" s="150">
        <v>1.0</v>
      </c>
      <c r="BU56" s="152"/>
      <c r="BV56" s="152"/>
      <c r="BW56" s="152"/>
      <c r="BX56" s="152"/>
      <c r="BY56" s="217"/>
      <c r="BZ56" s="218"/>
      <c r="CA56" s="218"/>
      <c r="CB56" s="218"/>
      <c r="CC56" s="218"/>
      <c r="CD56" s="218"/>
      <c r="CE56" s="218"/>
      <c r="CF56" s="218"/>
      <c r="CG56" s="218"/>
      <c r="CH56" s="156">
        <f t="shared" si="19"/>
        <v>4</v>
      </c>
      <c r="CI56" s="215">
        <f t="shared" si="20"/>
        <v>36.36363636</v>
      </c>
      <c r="CJ56" s="209"/>
      <c r="CK56" s="153"/>
      <c r="CL56" s="217"/>
      <c r="CM56" s="219"/>
      <c r="CN56" s="219"/>
      <c r="CO56" s="219"/>
      <c r="CP56" s="219"/>
      <c r="CQ56" s="217"/>
      <c r="CR56" s="221"/>
      <c r="CS56" s="221"/>
      <c r="CT56" s="161"/>
      <c r="CU56" s="163">
        <f t="shared" si="21"/>
        <v>0</v>
      </c>
      <c r="CV56" s="194" t="str">
        <f t="shared" si="22"/>
        <v>#DIV/0!</v>
      </c>
      <c r="CW56" s="196"/>
      <c r="CX56" s="167">
        <f t="shared" si="23"/>
        <v>27.27272727</v>
      </c>
      <c r="CY56" s="169">
        <f t="shared" si="8"/>
        <v>9</v>
      </c>
      <c r="CZ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11</v>
      </c>
      <c r="E57" s="127">
        <f t="shared" si="10"/>
        <v>33.33333333</v>
      </c>
      <c r="F57" s="200">
        <f t="shared" si="11"/>
        <v>33.33333333</v>
      </c>
      <c r="G57" s="177" t="str">
        <f t="shared" si="12"/>
        <v>  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3"/>
        <v>0</v>
      </c>
      <c r="S57" s="137">
        <f t="shared" si="14"/>
        <v>0</v>
      </c>
      <c r="T57" s="138"/>
      <c r="U57" s="138"/>
      <c r="V57" s="138"/>
      <c r="W57" s="170">
        <v>1.0</v>
      </c>
      <c r="X57" s="170">
        <v>1.0</v>
      </c>
      <c r="Y57" s="151">
        <v>1.0</v>
      </c>
      <c r="Z57" s="151">
        <v>1.0</v>
      </c>
      <c r="AA57" s="138"/>
      <c r="AB57" s="209"/>
      <c r="AC57" s="140"/>
      <c r="AD57" s="140"/>
      <c r="AE57" s="141"/>
      <c r="AF57" s="210"/>
      <c r="AG57" s="211">
        <v>1.0</v>
      </c>
      <c r="AH57" s="210"/>
      <c r="AI57" s="211">
        <v>1.0</v>
      </c>
      <c r="AJ57" s="212"/>
      <c r="AK57" s="212"/>
      <c r="AL57" s="135">
        <f t="shared" si="15"/>
        <v>6</v>
      </c>
      <c r="AM57" s="183">
        <f t="shared" si="16"/>
        <v>60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85">
        <v>1.0</v>
      </c>
      <c r="BF57" s="185">
        <v>1.0</v>
      </c>
      <c r="BG57" s="133"/>
      <c r="BH57" s="133"/>
      <c r="BI57" s="135">
        <f t="shared" si="17"/>
        <v>2</v>
      </c>
      <c r="BJ57" s="186">
        <f t="shared" si="18"/>
        <v>28.57142857</v>
      </c>
      <c r="BK57" s="138"/>
      <c r="BL57" s="170">
        <v>1.0</v>
      </c>
      <c r="BM57" s="132"/>
      <c r="BN57" s="138"/>
      <c r="BO57" s="151">
        <v>1.0</v>
      </c>
      <c r="BP57" s="138"/>
      <c r="BQ57" s="138"/>
      <c r="BR57" s="138"/>
      <c r="BS57" s="138"/>
      <c r="BT57" s="150">
        <v>1.0</v>
      </c>
      <c r="BU57" s="152"/>
      <c r="BV57" s="152"/>
      <c r="BW57" s="152"/>
      <c r="BX57" s="152"/>
      <c r="BY57" s="217"/>
      <c r="BZ57" s="218"/>
      <c r="CA57" s="218"/>
      <c r="CB57" s="218"/>
      <c r="CC57" s="218"/>
      <c r="CD57" s="218"/>
      <c r="CE57" s="218"/>
      <c r="CF57" s="218"/>
      <c r="CG57" s="218"/>
      <c r="CH57" s="156">
        <f t="shared" si="19"/>
        <v>3</v>
      </c>
      <c r="CI57" s="215">
        <f t="shared" si="20"/>
        <v>27.27272727</v>
      </c>
      <c r="CJ57" s="209"/>
      <c r="CK57" s="153"/>
      <c r="CL57" s="217"/>
      <c r="CM57" s="219"/>
      <c r="CN57" s="219"/>
      <c r="CO57" s="219"/>
      <c r="CP57" s="219"/>
      <c r="CQ57" s="217"/>
      <c r="CR57" s="221"/>
      <c r="CS57" s="221"/>
      <c r="CT57" s="161"/>
      <c r="CU57" s="163">
        <f t="shared" si="21"/>
        <v>0</v>
      </c>
      <c r="CV57" s="194" t="str">
        <f t="shared" si="22"/>
        <v>#DIV/0!</v>
      </c>
      <c r="CW57" s="196"/>
      <c r="CX57" s="167">
        <f t="shared" si="23"/>
        <v>33.33333333</v>
      </c>
      <c r="CY57" s="169">
        <f t="shared" si="8"/>
        <v>11</v>
      </c>
      <c r="CZ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16</v>
      </c>
      <c r="E58" s="127">
        <f t="shared" si="10"/>
        <v>48.48484848</v>
      </c>
      <c r="F58" s="200">
        <f t="shared" si="11"/>
        <v>48.48484848</v>
      </c>
      <c r="G58" s="177" t="str">
        <f t="shared" si="12"/>
        <v>  </v>
      </c>
      <c r="H58" s="258"/>
      <c r="I58" s="261"/>
      <c r="J58" s="268">
        <v>1.0</v>
      </c>
      <c r="K58" s="268">
        <v>1.0</v>
      </c>
      <c r="L58" s="262"/>
      <c r="M58" s="262"/>
      <c r="N58" s="262"/>
      <c r="O58" s="262"/>
      <c r="P58" s="262"/>
      <c r="Q58" s="262"/>
      <c r="R58" s="135">
        <f t="shared" si="13"/>
        <v>2</v>
      </c>
      <c r="S58" s="137">
        <f t="shared" si="14"/>
        <v>40</v>
      </c>
      <c r="T58" s="138"/>
      <c r="U58" s="138"/>
      <c r="V58" s="138"/>
      <c r="W58" s="132"/>
      <c r="X58" s="132"/>
      <c r="Y58" s="138"/>
      <c r="Z58" s="138"/>
      <c r="AA58" s="138"/>
      <c r="AB58" s="235">
        <v>1.0</v>
      </c>
      <c r="AC58" s="140"/>
      <c r="AD58" s="140"/>
      <c r="AE58" s="141"/>
      <c r="AF58" s="238">
        <v>1.0</v>
      </c>
      <c r="AG58" s="226"/>
      <c r="AH58" s="226"/>
      <c r="AI58" s="226"/>
      <c r="AJ58" s="218"/>
      <c r="AK58" s="218"/>
      <c r="AL58" s="135">
        <f t="shared" si="15"/>
        <v>2</v>
      </c>
      <c r="AM58" s="183">
        <f t="shared" si="16"/>
        <v>20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85">
        <v>1.0</v>
      </c>
      <c r="BG58" s="185">
        <v>1.0</v>
      </c>
      <c r="BH58" s="185">
        <v>1.0</v>
      </c>
      <c r="BI58" s="135">
        <f t="shared" si="17"/>
        <v>3</v>
      </c>
      <c r="BJ58" s="186">
        <f t="shared" si="18"/>
        <v>42.85714286</v>
      </c>
      <c r="BK58" s="138"/>
      <c r="BL58" s="170">
        <v>1.0</v>
      </c>
      <c r="BM58" s="170">
        <v>1.0</v>
      </c>
      <c r="BN58" s="151">
        <v>1.0</v>
      </c>
      <c r="BO58" s="151">
        <v>1.0</v>
      </c>
      <c r="BP58" s="151">
        <v>1.0</v>
      </c>
      <c r="BQ58" s="151">
        <v>1.0</v>
      </c>
      <c r="BR58" s="138"/>
      <c r="BS58" s="151">
        <v>1.0</v>
      </c>
      <c r="BT58" s="150">
        <v>1.0</v>
      </c>
      <c r="BU58" s="152"/>
      <c r="BV58" s="152"/>
      <c r="BW58" s="152"/>
      <c r="BX58" s="187">
        <v>1.0</v>
      </c>
      <c r="BY58" s="217"/>
      <c r="BZ58" s="218"/>
      <c r="CA58" s="218"/>
      <c r="CB58" s="218"/>
      <c r="CC58" s="218"/>
      <c r="CD58" s="218"/>
      <c r="CE58" s="218"/>
      <c r="CF58" s="218"/>
      <c r="CG58" s="218"/>
      <c r="CH58" s="156">
        <f t="shared" si="19"/>
        <v>9</v>
      </c>
      <c r="CI58" s="215">
        <f t="shared" si="20"/>
        <v>81.81818182</v>
      </c>
      <c r="CJ58" s="217"/>
      <c r="CK58" s="153"/>
      <c r="CL58" s="217"/>
      <c r="CM58" s="219"/>
      <c r="CN58" s="219"/>
      <c r="CO58" s="219"/>
      <c r="CP58" s="219"/>
      <c r="CQ58" s="217"/>
      <c r="CR58" s="221"/>
      <c r="CS58" s="221"/>
      <c r="CT58" s="161"/>
      <c r="CU58" s="163">
        <f t="shared" si="21"/>
        <v>0</v>
      </c>
      <c r="CV58" s="194" t="str">
        <f t="shared" si="22"/>
        <v>#DIV/0!</v>
      </c>
      <c r="CW58" s="196"/>
      <c r="CX58" s="167">
        <f t="shared" si="23"/>
        <v>48.48484848</v>
      </c>
      <c r="CY58" s="169">
        <f t="shared" si="8"/>
        <v>16</v>
      </c>
      <c r="CZ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10</v>
      </c>
      <c r="E59" s="127">
        <f t="shared" si="10"/>
        <v>30.3030303</v>
      </c>
      <c r="F59" s="200">
        <f t="shared" si="11"/>
        <v>30.3030303</v>
      </c>
      <c r="G59" s="177" t="str">
        <f t="shared" si="12"/>
        <v>  </v>
      </c>
      <c r="H59" s="258"/>
      <c r="I59" s="261"/>
      <c r="J59" s="262"/>
      <c r="K59" s="262"/>
      <c r="L59" s="268">
        <v>1.0</v>
      </c>
      <c r="M59" s="262"/>
      <c r="N59" s="262"/>
      <c r="O59" s="262"/>
      <c r="P59" s="262"/>
      <c r="Q59" s="262"/>
      <c r="R59" s="135">
        <f t="shared" si="13"/>
        <v>1</v>
      </c>
      <c r="S59" s="137">
        <f t="shared" si="14"/>
        <v>20</v>
      </c>
      <c r="T59" s="138"/>
      <c r="U59" s="138"/>
      <c r="V59" s="138"/>
      <c r="W59" s="170">
        <v>1.0</v>
      </c>
      <c r="X59" s="170">
        <v>1.0</v>
      </c>
      <c r="Y59" s="151">
        <v>1.0</v>
      </c>
      <c r="Z59" s="151">
        <v>1.0</v>
      </c>
      <c r="AA59" s="138"/>
      <c r="AB59" s="217"/>
      <c r="AC59" s="140"/>
      <c r="AD59" s="140"/>
      <c r="AE59" s="141"/>
      <c r="AF59" s="226"/>
      <c r="AG59" s="226"/>
      <c r="AH59" s="238">
        <v>1.0</v>
      </c>
      <c r="AI59" s="226"/>
      <c r="AJ59" s="218"/>
      <c r="AK59" s="218"/>
      <c r="AL59" s="135">
        <f t="shared" si="15"/>
        <v>5</v>
      </c>
      <c r="AM59" s="183">
        <f t="shared" si="16"/>
        <v>50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85">
        <v>1.0</v>
      </c>
      <c r="BG59" s="133"/>
      <c r="BH59" s="133"/>
      <c r="BI59" s="135">
        <f t="shared" si="17"/>
        <v>1</v>
      </c>
      <c r="BJ59" s="186">
        <f t="shared" si="18"/>
        <v>14.28571429</v>
      </c>
      <c r="BK59" s="138"/>
      <c r="BL59" s="132"/>
      <c r="BM59" s="132"/>
      <c r="BN59" s="138"/>
      <c r="BO59" s="151">
        <v>1.0</v>
      </c>
      <c r="BP59" s="151"/>
      <c r="BQ59" s="151">
        <v>1.0</v>
      </c>
      <c r="BR59" s="138"/>
      <c r="BS59" s="138"/>
      <c r="BT59" s="150">
        <v>1.0</v>
      </c>
      <c r="BU59" s="152"/>
      <c r="BV59" s="152"/>
      <c r="BW59" s="152"/>
      <c r="BX59" s="152"/>
      <c r="BY59" s="217"/>
      <c r="BZ59" s="218"/>
      <c r="CA59" s="218"/>
      <c r="CB59" s="218"/>
      <c r="CC59" s="218"/>
      <c r="CD59" s="218"/>
      <c r="CE59" s="218"/>
      <c r="CF59" s="218"/>
      <c r="CG59" s="218"/>
      <c r="CH59" s="156">
        <f t="shared" si="19"/>
        <v>3</v>
      </c>
      <c r="CI59" s="215">
        <f t="shared" si="20"/>
        <v>27.27272727</v>
      </c>
      <c r="CJ59" s="217"/>
      <c r="CK59" s="153"/>
      <c r="CL59" s="217"/>
      <c r="CM59" s="219"/>
      <c r="CN59" s="219"/>
      <c r="CO59" s="219"/>
      <c r="CP59" s="219"/>
      <c r="CQ59" s="217"/>
      <c r="CR59" s="221"/>
      <c r="CS59" s="221"/>
      <c r="CT59" s="161"/>
      <c r="CU59" s="163">
        <f t="shared" si="21"/>
        <v>0</v>
      </c>
      <c r="CV59" s="194" t="str">
        <f t="shared" si="22"/>
        <v>#DIV/0!</v>
      </c>
      <c r="CW59" s="196"/>
      <c r="CX59" s="167">
        <f t="shared" si="23"/>
        <v>30.3030303</v>
      </c>
      <c r="CY59" s="169">
        <f t="shared" si="8"/>
        <v>10</v>
      </c>
      <c r="CZ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8</v>
      </c>
      <c r="E60" s="127">
        <f t="shared" si="10"/>
        <v>24.24242424</v>
      </c>
      <c r="F60" s="200">
        <f t="shared" si="11"/>
        <v>24.24242424</v>
      </c>
      <c r="G60" s="207">
        <f t="shared" si="12"/>
        <v>24.24242424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3"/>
        <v>0</v>
      </c>
      <c r="S60" s="137">
        <f t="shared" si="14"/>
        <v>0</v>
      </c>
      <c r="T60" s="138"/>
      <c r="U60" s="138"/>
      <c r="V60" s="138"/>
      <c r="W60" s="132"/>
      <c r="X60" s="132"/>
      <c r="Y60" s="151">
        <v>1.0</v>
      </c>
      <c r="Z60" s="151">
        <v>1.0</v>
      </c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2</v>
      </c>
      <c r="AM60" s="183">
        <f t="shared" si="16"/>
        <v>20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85">
        <v>1.0</v>
      </c>
      <c r="BH60" s="185">
        <v>1.0</v>
      </c>
      <c r="BI60" s="135">
        <f t="shared" si="17"/>
        <v>2</v>
      </c>
      <c r="BJ60" s="186">
        <f t="shared" si="18"/>
        <v>28.57142857</v>
      </c>
      <c r="BK60" s="138"/>
      <c r="BL60" s="132"/>
      <c r="BM60" s="132"/>
      <c r="BN60" s="151">
        <v>1.0</v>
      </c>
      <c r="BO60" s="151">
        <v>1.0</v>
      </c>
      <c r="BP60" s="151">
        <v>1.0</v>
      </c>
      <c r="BQ60" s="151">
        <v>1.0</v>
      </c>
      <c r="BR60" s="138"/>
      <c r="BS60" s="138"/>
      <c r="BT60" s="140"/>
      <c r="BU60" s="152"/>
      <c r="BV60" s="152"/>
      <c r="BW60" s="152"/>
      <c r="BX60" s="152"/>
      <c r="BY60" s="217"/>
      <c r="BZ60" s="218"/>
      <c r="CA60" s="218"/>
      <c r="CB60" s="218"/>
      <c r="CC60" s="218"/>
      <c r="CD60" s="218"/>
      <c r="CE60" s="218"/>
      <c r="CF60" s="218"/>
      <c r="CG60" s="218"/>
      <c r="CH60" s="156">
        <f t="shared" si="19"/>
        <v>4</v>
      </c>
      <c r="CI60" s="215">
        <f t="shared" si="20"/>
        <v>36.36363636</v>
      </c>
      <c r="CJ60" s="209"/>
      <c r="CK60" s="153"/>
      <c r="CL60" s="217"/>
      <c r="CM60" s="219"/>
      <c r="CN60" s="219"/>
      <c r="CO60" s="219"/>
      <c r="CP60" s="219"/>
      <c r="CQ60" s="217"/>
      <c r="CR60" s="221"/>
      <c r="CS60" s="221"/>
      <c r="CT60" s="161"/>
      <c r="CU60" s="163">
        <f t="shared" si="21"/>
        <v>0</v>
      </c>
      <c r="CV60" s="194" t="str">
        <f t="shared" si="22"/>
        <v>#DIV/0!</v>
      </c>
      <c r="CW60" s="196"/>
      <c r="CX60" s="167">
        <f t="shared" si="23"/>
        <v>24.24242424</v>
      </c>
      <c r="CY60" s="169">
        <f t="shared" si="8"/>
        <v>8</v>
      </c>
      <c r="CZ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14</v>
      </c>
      <c r="E61" s="127">
        <f t="shared" si="10"/>
        <v>42.42424242</v>
      </c>
      <c r="F61" s="200">
        <f t="shared" si="11"/>
        <v>42.42424242</v>
      </c>
      <c r="G61" s="177" t="str">
        <f t="shared" si="12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3"/>
        <v>0</v>
      </c>
      <c r="S61" s="137">
        <f t="shared" si="14"/>
        <v>0</v>
      </c>
      <c r="T61" s="138"/>
      <c r="U61" s="138"/>
      <c r="V61" s="138"/>
      <c r="W61" s="132"/>
      <c r="X61" s="132"/>
      <c r="Y61" s="151">
        <v>1.0</v>
      </c>
      <c r="Z61" s="151">
        <v>1.0</v>
      </c>
      <c r="AA61" s="151">
        <v>1.0</v>
      </c>
      <c r="AB61" s="209"/>
      <c r="AC61" s="140"/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5"/>
        <v>3</v>
      </c>
      <c r="AM61" s="183">
        <f t="shared" si="16"/>
        <v>30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85">
        <v>1.0</v>
      </c>
      <c r="AY61" s="133"/>
      <c r="AZ61" s="133"/>
      <c r="BA61" s="133"/>
      <c r="BB61" s="133"/>
      <c r="BC61" s="133"/>
      <c r="BD61" s="133"/>
      <c r="BE61" s="185">
        <v>1.0</v>
      </c>
      <c r="BF61" s="185">
        <v>1.0</v>
      </c>
      <c r="BG61" s="133"/>
      <c r="BH61" s="185">
        <v>1.0</v>
      </c>
      <c r="BI61" s="135">
        <f t="shared" si="17"/>
        <v>4</v>
      </c>
      <c r="BJ61" s="186">
        <f t="shared" si="18"/>
        <v>57.14285714</v>
      </c>
      <c r="BK61" s="151">
        <v>1.0</v>
      </c>
      <c r="BL61" s="170">
        <v>1.0</v>
      </c>
      <c r="BM61" s="170">
        <v>1.0</v>
      </c>
      <c r="BN61" s="151">
        <v>1.0</v>
      </c>
      <c r="BO61" s="151">
        <v>1.0</v>
      </c>
      <c r="BP61" s="151"/>
      <c r="BQ61" s="151">
        <v>1.0</v>
      </c>
      <c r="BR61" s="138"/>
      <c r="BS61" s="138"/>
      <c r="BT61" s="140"/>
      <c r="BU61" s="187">
        <v>1.0</v>
      </c>
      <c r="BV61" s="152"/>
      <c r="BW61" s="152"/>
      <c r="BX61" s="152"/>
      <c r="BY61" s="217"/>
      <c r="BZ61" s="218"/>
      <c r="CA61" s="218"/>
      <c r="CB61" s="218"/>
      <c r="CC61" s="218"/>
      <c r="CD61" s="218"/>
      <c r="CE61" s="218"/>
      <c r="CF61" s="218"/>
      <c r="CG61" s="218"/>
      <c r="CH61" s="156">
        <f t="shared" si="19"/>
        <v>7</v>
      </c>
      <c r="CI61" s="215">
        <f t="shared" si="20"/>
        <v>63.63636364</v>
      </c>
      <c r="CJ61" s="209"/>
      <c r="CK61" s="153"/>
      <c r="CL61" s="217"/>
      <c r="CM61" s="219"/>
      <c r="CN61" s="219"/>
      <c r="CO61" s="219"/>
      <c r="CP61" s="219"/>
      <c r="CQ61" s="217"/>
      <c r="CR61" s="221"/>
      <c r="CS61" s="221"/>
      <c r="CT61" s="161"/>
      <c r="CU61" s="163">
        <f t="shared" si="21"/>
        <v>0</v>
      </c>
      <c r="CV61" s="194" t="str">
        <f t="shared" si="22"/>
        <v>#DIV/0!</v>
      </c>
      <c r="CW61" s="196"/>
      <c r="CX61" s="167">
        <f t="shared" si="23"/>
        <v>42.42424242</v>
      </c>
      <c r="CY61" s="169">
        <f t="shared" si="8"/>
        <v>14</v>
      </c>
      <c r="CZ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6</v>
      </c>
      <c r="E62" s="127">
        <f t="shared" si="10"/>
        <v>18.18181818</v>
      </c>
      <c r="F62" s="200">
        <f t="shared" si="11"/>
        <v>18.18181818</v>
      </c>
      <c r="G62" s="207">
        <f t="shared" si="12"/>
        <v>18.18181818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3"/>
        <v>0</v>
      </c>
      <c r="S62" s="137">
        <f t="shared" si="14"/>
        <v>0</v>
      </c>
      <c r="T62" s="138"/>
      <c r="U62" s="138"/>
      <c r="V62" s="138"/>
      <c r="W62" s="132"/>
      <c r="X62" s="132"/>
      <c r="Y62" s="151">
        <v>1.0</v>
      </c>
      <c r="Z62" s="151">
        <v>1.0</v>
      </c>
      <c r="AA62" s="151">
        <v>1.0</v>
      </c>
      <c r="AB62" s="244">
        <v>1.0</v>
      </c>
      <c r="AC62" s="140"/>
      <c r="AD62" s="140"/>
      <c r="AE62" s="141"/>
      <c r="AF62" s="234"/>
      <c r="AG62" s="236">
        <v>1.0</v>
      </c>
      <c r="AH62" s="234"/>
      <c r="AI62" s="234"/>
      <c r="AJ62" s="239"/>
      <c r="AK62" s="239"/>
      <c r="AL62" s="135">
        <f t="shared" si="15"/>
        <v>5</v>
      </c>
      <c r="AM62" s="183">
        <f t="shared" si="16"/>
        <v>50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>
        <f t="shared" si="18"/>
        <v>0</v>
      </c>
      <c r="BK62" s="138"/>
      <c r="BL62" s="132"/>
      <c r="BM62" s="132"/>
      <c r="BN62" s="138"/>
      <c r="BO62" s="151">
        <v>1.0</v>
      </c>
      <c r="BP62" s="138"/>
      <c r="BQ62" s="138"/>
      <c r="BR62" s="138"/>
      <c r="BS62" s="138"/>
      <c r="BT62" s="140"/>
      <c r="BU62" s="152"/>
      <c r="BV62" s="152"/>
      <c r="BW62" s="152"/>
      <c r="BX62" s="152"/>
      <c r="BY62" s="217"/>
      <c r="BZ62" s="218"/>
      <c r="CA62" s="218"/>
      <c r="CB62" s="218"/>
      <c r="CC62" s="218"/>
      <c r="CD62" s="218"/>
      <c r="CE62" s="218"/>
      <c r="CF62" s="218"/>
      <c r="CG62" s="218"/>
      <c r="CH62" s="156">
        <f t="shared" si="19"/>
        <v>1</v>
      </c>
      <c r="CI62" s="215">
        <f t="shared" si="20"/>
        <v>9.090909091</v>
      </c>
      <c r="CJ62" s="233"/>
      <c r="CK62" s="153"/>
      <c r="CL62" s="217"/>
      <c r="CM62" s="219"/>
      <c r="CN62" s="219"/>
      <c r="CO62" s="219"/>
      <c r="CP62" s="219"/>
      <c r="CQ62" s="217"/>
      <c r="CR62" s="221"/>
      <c r="CS62" s="221"/>
      <c r="CT62" s="161"/>
      <c r="CU62" s="163">
        <f t="shared" si="21"/>
        <v>0</v>
      </c>
      <c r="CV62" s="194" t="str">
        <f t="shared" si="22"/>
        <v>#DIV/0!</v>
      </c>
      <c r="CW62" s="196"/>
      <c r="CX62" s="167">
        <f t="shared" si="23"/>
        <v>18.18181818</v>
      </c>
      <c r="CY62" s="169">
        <f t="shared" si="8"/>
        <v>6</v>
      </c>
      <c r="CZ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4</v>
      </c>
      <c r="E63" s="127">
        <f t="shared" si="10"/>
        <v>12.12121212</v>
      </c>
      <c r="F63" s="200">
        <f t="shared" si="11"/>
        <v>12.12121212</v>
      </c>
      <c r="G63" s="207">
        <f t="shared" si="12"/>
        <v>12.12121212</v>
      </c>
      <c r="H63" s="258"/>
      <c r="I63" s="258"/>
      <c r="J63" s="263"/>
      <c r="K63" s="263"/>
      <c r="L63" s="263"/>
      <c r="M63" s="263"/>
      <c r="N63" s="269">
        <v>1.0</v>
      </c>
      <c r="O63" s="263"/>
      <c r="P63" s="263"/>
      <c r="Q63" s="263"/>
      <c r="R63" s="135">
        <f t="shared" si="13"/>
        <v>1</v>
      </c>
      <c r="S63" s="137">
        <f t="shared" si="14"/>
        <v>20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0</v>
      </c>
      <c r="AM63" s="183">
        <f t="shared" si="16"/>
        <v>0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85">
        <v>1.0</v>
      </c>
      <c r="BF63" s="133"/>
      <c r="BG63" s="133"/>
      <c r="BH63" s="133"/>
      <c r="BI63" s="135">
        <f t="shared" si="17"/>
        <v>1</v>
      </c>
      <c r="BJ63" s="186">
        <f t="shared" si="18"/>
        <v>14.28571429</v>
      </c>
      <c r="BK63" s="138"/>
      <c r="BL63" s="132"/>
      <c r="BM63" s="132"/>
      <c r="BN63" s="151">
        <v>1.0</v>
      </c>
      <c r="BO63" s="151">
        <v>1.0</v>
      </c>
      <c r="BP63" s="138"/>
      <c r="BQ63" s="138"/>
      <c r="BR63" s="138"/>
      <c r="BS63" s="138"/>
      <c r="BT63" s="140"/>
      <c r="BU63" s="152"/>
      <c r="BV63" s="152"/>
      <c r="BW63" s="152"/>
      <c r="BX63" s="152"/>
      <c r="BY63" s="217"/>
      <c r="BZ63" s="218"/>
      <c r="CA63" s="218"/>
      <c r="CB63" s="218"/>
      <c r="CC63" s="218"/>
      <c r="CD63" s="218"/>
      <c r="CE63" s="218"/>
      <c r="CF63" s="218"/>
      <c r="CG63" s="218"/>
      <c r="CH63" s="156">
        <f t="shared" si="19"/>
        <v>2</v>
      </c>
      <c r="CI63" s="215">
        <f t="shared" si="20"/>
        <v>18.18181818</v>
      </c>
      <c r="CJ63" s="209"/>
      <c r="CK63" s="153"/>
      <c r="CL63" s="217"/>
      <c r="CM63" s="219"/>
      <c r="CN63" s="219"/>
      <c r="CO63" s="219"/>
      <c r="CP63" s="219"/>
      <c r="CQ63" s="217"/>
      <c r="CR63" s="221"/>
      <c r="CS63" s="221"/>
      <c r="CT63" s="161"/>
      <c r="CU63" s="163">
        <f t="shared" si="21"/>
        <v>0</v>
      </c>
      <c r="CV63" s="194" t="str">
        <f t="shared" si="22"/>
        <v>#DIV/0!</v>
      </c>
      <c r="CW63" s="196"/>
      <c r="CX63" s="167">
        <f t="shared" si="23"/>
        <v>12.12121212</v>
      </c>
      <c r="CY63" s="169">
        <f t="shared" si="8"/>
        <v>4</v>
      </c>
      <c r="CZ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9</v>
      </c>
      <c r="E64" s="127">
        <f t="shared" si="10"/>
        <v>27.27272727</v>
      </c>
      <c r="F64" s="200">
        <f t="shared" si="11"/>
        <v>27.27272727</v>
      </c>
      <c r="G64" s="207">
        <f t="shared" si="12"/>
        <v>27.27272727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3"/>
        <v>0</v>
      </c>
      <c r="S64" s="137">
        <f t="shared" si="14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>
        <f t="shared" si="18"/>
        <v>0</v>
      </c>
      <c r="BK64" s="138"/>
      <c r="BL64" s="170">
        <v>1.0</v>
      </c>
      <c r="BM64" s="170">
        <v>1.0</v>
      </c>
      <c r="BN64" s="151">
        <v>1.0</v>
      </c>
      <c r="BO64" s="138"/>
      <c r="BP64" s="151">
        <v>1.0</v>
      </c>
      <c r="BQ64" s="151">
        <v>1.0</v>
      </c>
      <c r="BR64" s="138"/>
      <c r="BS64" s="151">
        <v>1.0</v>
      </c>
      <c r="BT64" s="150">
        <v>1.0</v>
      </c>
      <c r="BU64" s="187">
        <v>1.0</v>
      </c>
      <c r="BV64" s="152"/>
      <c r="BW64" s="152"/>
      <c r="BX64" s="187">
        <v>1.0</v>
      </c>
      <c r="BY64" s="217"/>
      <c r="BZ64" s="218"/>
      <c r="CA64" s="218"/>
      <c r="CB64" s="218"/>
      <c r="CC64" s="218"/>
      <c r="CD64" s="218"/>
      <c r="CE64" s="218"/>
      <c r="CF64" s="218"/>
      <c r="CG64" s="218"/>
      <c r="CH64" s="156">
        <f t="shared" si="19"/>
        <v>9</v>
      </c>
      <c r="CI64" s="215">
        <f t="shared" si="20"/>
        <v>81.81818182</v>
      </c>
      <c r="CJ64" s="209"/>
      <c r="CK64" s="153"/>
      <c r="CL64" s="217"/>
      <c r="CM64" s="219"/>
      <c r="CN64" s="219"/>
      <c r="CO64" s="219"/>
      <c r="CP64" s="219"/>
      <c r="CQ64" s="217"/>
      <c r="CR64" s="221"/>
      <c r="CS64" s="221"/>
      <c r="CT64" s="161"/>
      <c r="CU64" s="163">
        <f t="shared" si="21"/>
        <v>0</v>
      </c>
      <c r="CV64" s="194" t="str">
        <f t="shared" si="22"/>
        <v>#DIV/0!</v>
      </c>
      <c r="CW64" s="196"/>
      <c r="CX64" s="167">
        <f t="shared" si="23"/>
        <v>27.27272727</v>
      </c>
      <c r="CY64" s="169">
        <f t="shared" si="8"/>
        <v>9</v>
      </c>
      <c r="CZ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3"/>
        <v>0</v>
      </c>
      <c r="S65" s="137">
        <f t="shared" si="14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2"/>
      <c r="BN65" s="138"/>
      <c r="BO65" s="138"/>
      <c r="BP65" s="138"/>
      <c r="BQ65" s="138"/>
      <c r="BR65" s="138"/>
      <c r="BS65" s="138"/>
      <c r="BT65" s="140"/>
      <c r="BU65" s="152"/>
      <c r="BV65" s="152"/>
      <c r="BW65" s="152"/>
      <c r="BX65" s="152"/>
      <c r="BY65" s="217"/>
      <c r="BZ65" s="218"/>
      <c r="CA65" s="218"/>
      <c r="CB65" s="218"/>
      <c r="CC65" s="218"/>
      <c r="CD65" s="218"/>
      <c r="CE65" s="218"/>
      <c r="CF65" s="218"/>
      <c r="CG65" s="218"/>
      <c r="CH65" s="156">
        <f t="shared" si="19"/>
        <v>0</v>
      </c>
      <c r="CI65" s="215">
        <f t="shared" si="20"/>
        <v>0</v>
      </c>
      <c r="CJ65" s="209"/>
      <c r="CK65" s="153"/>
      <c r="CL65" s="217"/>
      <c r="CM65" s="219"/>
      <c r="CN65" s="219"/>
      <c r="CO65" s="219"/>
      <c r="CP65" s="219"/>
      <c r="CQ65" s="217"/>
      <c r="CR65" s="221"/>
      <c r="CS65" s="221"/>
      <c r="CT65" s="161"/>
      <c r="CU65" s="163">
        <f t="shared" si="21"/>
        <v>0</v>
      </c>
      <c r="CV65" s="194" t="str">
        <f t="shared" si="22"/>
        <v>#DIV/0!</v>
      </c>
      <c r="CW65" s="196"/>
      <c r="CX65" s="167">
        <f t="shared" si="23"/>
        <v>0</v>
      </c>
      <c r="CY65" s="169">
        <f t="shared" si="8"/>
        <v>0</v>
      </c>
      <c r="CZ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18</v>
      </c>
      <c r="E66" s="127">
        <f t="shared" si="10"/>
        <v>54.54545455</v>
      </c>
      <c r="F66" s="175" t="str">
        <f t="shared" si="11"/>
        <v>  </v>
      </c>
      <c r="G66" s="177" t="str">
        <f t="shared" si="12"/>
        <v>  </v>
      </c>
      <c r="H66" s="258"/>
      <c r="I66" s="258"/>
      <c r="J66" s="263"/>
      <c r="K66" s="263"/>
      <c r="L66" s="269">
        <v>1.0</v>
      </c>
      <c r="M66" s="269">
        <v>1.0</v>
      </c>
      <c r="N66" s="269">
        <v>1.0</v>
      </c>
      <c r="O66" s="263"/>
      <c r="P66" s="263"/>
      <c r="Q66" s="263"/>
      <c r="R66" s="135">
        <f t="shared" si="13"/>
        <v>3</v>
      </c>
      <c r="S66" s="137">
        <f t="shared" si="14"/>
        <v>60</v>
      </c>
      <c r="T66" s="138"/>
      <c r="U66" s="138"/>
      <c r="V66" s="138"/>
      <c r="W66" s="132"/>
      <c r="X66" s="132"/>
      <c r="Y66" s="138"/>
      <c r="Z66" s="138"/>
      <c r="AA66" s="138"/>
      <c r="AB66" s="225">
        <v>1.0</v>
      </c>
      <c r="AC66" s="140"/>
      <c r="AD66" s="140"/>
      <c r="AE66" s="141"/>
      <c r="AF66" s="210"/>
      <c r="AG66" s="211">
        <v>1.0</v>
      </c>
      <c r="AH66" s="210"/>
      <c r="AI66" s="211">
        <v>1.0</v>
      </c>
      <c r="AJ66" s="212"/>
      <c r="AK66" s="212"/>
      <c r="AL66" s="135">
        <f t="shared" si="15"/>
        <v>3</v>
      </c>
      <c r="AM66" s="183">
        <f t="shared" si="16"/>
        <v>30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85">
        <v>1.0</v>
      </c>
      <c r="BF66" s="185">
        <v>1.0</v>
      </c>
      <c r="BG66" s="133"/>
      <c r="BH66" s="133"/>
      <c r="BI66" s="135">
        <f t="shared" si="17"/>
        <v>2</v>
      </c>
      <c r="BJ66" s="186">
        <f t="shared" si="18"/>
        <v>28.57142857</v>
      </c>
      <c r="BK66" s="151">
        <v>1.0</v>
      </c>
      <c r="BL66" s="170">
        <v>1.0</v>
      </c>
      <c r="BM66" s="170">
        <v>1.0</v>
      </c>
      <c r="BN66" s="151">
        <v>1.0</v>
      </c>
      <c r="BO66" s="151">
        <v>1.0</v>
      </c>
      <c r="BP66" s="151">
        <v>1.0</v>
      </c>
      <c r="BQ66" s="151">
        <v>1.0</v>
      </c>
      <c r="BR66" s="138"/>
      <c r="BS66" s="151">
        <v>1.0</v>
      </c>
      <c r="BT66" s="150">
        <v>1.0</v>
      </c>
      <c r="BU66" s="187">
        <v>1.0</v>
      </c>
      <c r="BV66" s="152"/>
      <c r="BW66" s="152"/>
      <c r="BX66" s="152"/>
      <c r="BY66" s="217"/>
      <c r="BZ66" s="218"/>
      <c r="CA66" s="218"/>
      <c r="CB66" s="218"/>
      <c r="CC66" s="218"/>
      <c r="CD66" s="218"/>
      <c r="CE66" s="218"/>
      <c r="CF66" s="218"/>
      <c r="CG66" s="218"/>
      <c r="CH66" s="156">
        <f t="shared" si="19"/>
        <v>10</v>
      </c>
      <c r="CI66" s="215">
        <f t="shared" si="20"/>
        <v>90.90909091</v>
      </c>
      <c r="CJ66" s="209"/>
      <c r="CK66" s="153"/>
      <c r="CL66" s="217"/>
      <c r="CM66" s="219"/>
      <c r="CN66" s="219"/>
      <c r="CO66" s="219"/>
      <c r="CP66" s="219"/>
      <c r="CQ66" s="217"/>
      <c r="CR66" s="221"/>
      <c r="CS66" s="221"/>
      <c r="CT66" s="161"/>
      <c r="CU66" s="163">
        <f t="shared" si="21"/>
        <v>0</v>
      </c>
      <c r="CV66" s="194" t="str">
        <f t="shared" si="22"/>
        <v>#DIV/0!</v>
      </c>
      <c r="CW66" s="196"/>
      <c r="CX66" s="167">
        <f t="shared" si="23"/>
        <v>54.54545455</v>
      </c>
      <c r="CY66" s="169">
        <f t="shared" si="8"/>
        <v>18</v>
      </c>
      <c r="CZ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3</v>
      </c>
      <c r="E67" s="127">
        <f t="shared" si="10"/>
        <v>9.090909091</v>
      </c>
      <c r="F67" s="200">
        <f t="shared" si="11"/>
        <v>9.090909091</v>
      </c>
      <c r="G67" s="207">
        <f t="shared" si="12"/>
        <v>9.090909091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3"/>
        <v>0</v>
      </c>
      <c r="S67" s="137">
        <f t="shared" si="14"/>
        <v>0</v>
      </c>
      <c r="T67" s="138"/>
      <c r="U67" s="138"/>
      <c r="V67" s="138"/>
      <c r="W67" s="132"/>
      <c r="X67" s="132"/>
      <c r="Y67" s="138"/>
      <c r="Z67" s="151">
        <v>1.0</v>
      </c>
      <c r="AA67" s="138"/>
      <c r="AB67" s="244">
        <v>1.0</v>
      </c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2</v>
      </c>
      <c r="AM67" s="183">
        <f t="shared" si="16"/>
        <v>20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0</v>
      </c>
      <c r="BJ67" s="186">
        <f t="shared" si="18"/>
        <v>0</v>
      </c>
      <c r="BK67" s="138"/>
      <c r="BL67" s="132"/>
      <c r="BM67" s="132"/>
      <c r="BN67" s="138"/>
      <c r="BO67" s="151">
        <v>1.0</v>
      </c>
      <c r="BP67" s="138"/>
      <c r="BQ67" s="138"/>
      <c r="BR67" s="138"/>
      <c r="BS67" s="138"/>
      <c r="BT67" s="140"/>
      <c r="BU67" s="152"/>
      <c r="BV67" s="152"/>
      <c r="BW67" s="152"/>
      <c r="BX67" s="152"/>
      <c r="BY67" s="217"/>
      <c r="BZ67" s="218"/>
      <c r="CA67" s="218"/>
      <c r="CB67" s="218"/>
      <c r="CC67" s="218"/>
      <c r="CD67" s="218"/>
      <c r="CE67" s="218"/>
      <c r="CF67" s="218"/>
      <c r="CG67" s="218"/>
      <c r="CH67" s="156">
        <f t="shared" si="19"/>
        <v>1</v>
      </c>
      <c r="CI67" s="215">
        <f t="shared" si="20"/>
        <v>9.090909091</v>
      </c>
      <c r="CJ67" s="233"/>
      <c r="CK67" s="153"/>
      <c r="CL67" s="217"/>
      <c r="CM67" s="219"/>
      <c r="CN67" s="219"/>
      <c r="CO67" s="219"/>
      <c r="CP67" s="219"/>
      <c r="CQ67" s="217"/>
      <c r="CR67" s="221"/>
      <c r="CS67" s="221"/>
      <c r="CT67" s="161"/>
      <c r="CU67" s="163">
        <f t="shared" si="21"/>
        <v>0</v>
      </c>
      <c r="CV67" s="194" t="str">
        <f t="shared" si="22"/>
        <v>#DIV/0!</v>
      </c>
      <c r="CW67" s="196"/>
      <c r="CX67" s="167">
        <f t="shared" si="23"/>
        <v>9.090909091</v>
      </c>
      <c r="CY67" s="169">
        <f t="shared" si="8"/>
        <v>3</v>
      </c>
      <c r="CZ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7</v>
      </c>
      <c r="E68" s="127">
        <f t="shared" si="10"/>
        <v>21.21212121</v>
      </c>
      <c r="F68" s="200">
        <f t="shared" si="11"/>
        <v>21.21212121</v>
      </c>
      <c r="G68" s="207">
        <f t="shared" si="12"/>
        <v>21.21212121</v>
      </c>
      <c r="H68" s="258"/>
      <c r="I68" s="258"/>
      <c r="J68" s="269">
        <v>1.0</v>
      </c>
      <c r="K68" s="263"/>
      <c r="L68" s="269">
        <v>1.0</v>
      </c>
      <c r="M68" s="263"/>
      <c r="N68" s="263"/>
      <c r="O68" s="263"/>
      <c r="P68" s="263"/>
      <c r="Q68" s="263"/>
      <c r="R68" s="135">
        <f t="shared" si="13"/>
        <v>2</v>
      </c>
      <c r="S68" s="137">
        <f t="shared" si="14"/>
        <v>40</v>
      </c>
      <c r="T68" s="138"/>
      <c r="U68" s="138"/>
      <c r="V68" s="138"/>
      <c r="W68" s="170">
        <v>1.0</v>
      </c>
      <c r="X68" s="170">
        <v>1.0</v>
      </c>
      <c r="Y68" s="151">
        <v>1.0</v>
      </c>
      <c r="Z68" s="151">
        <v>1.0</v>
      </c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4</v>
      </c>
      <c r="AM68" s="183">
        <f t="shared" si="16"/>
        <v>40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>
        <f t="shared" si="18"/>
        <v>0</v>
      </c>
      <c r="BK68" s="138"/>
      <c r="BL68" s="132"/>
      <c r="BM68" s="132"/>
      <c r="BN68" s="138"/>
      <c r="BO68" s="138"/>
      <c r="BP68" s="138"/>
      <c r="BQ68" s="138"/>
      <c r="BR68" s="138"/>
      <c r="BS68" s="151">
        <v>1.0</v>
      </c>
      <c r="BT68" s="140"/>
      <c r="BU68" s="152"/>
      <c r="BV68" s="152"/>
      <c r="BW68" s="152"/>
      <c r="BX68" s="152"/>
      <c r="BY68" s="217"/>
      <c r="BZ68" s="218"/>
      <c r="CA68" s="218"/>
      <c r="CB68" s="218"/>
      <c r="CC68" s="218"/>
      <c r="CD68" s="218"/>
      <c r="CE68" s="218"/>
      <c r="CF68" s="218"/>
      <c r="CG68" s="218"/>
      <c r="CH68" s="156">
        <f t="shared" si="19"/>
        <v>1</v>
      </c>
      <c r="CI68" s="215">
        <f t="shared" si="20"/>
        <v>9.090909091</v>
      </c>
      <c r="CJ68" s="209"/>
      <c r="CK68" s="153"/>
      <c r="CL68" s="217"/>
      <c r="CM68" s="219"/>
      <c r="CN68" s="219"/>
      <c r="CO68" s="219"/>
      <c r="CP68" s="219"/>
      <c r="CQ68" s="217"/>
      <c r="CR68" s="221"/>
      <c r="CS68" s="221"/>
      <c r="CT68" s="161"/>
      <c r="CU68" s="163">
        <f t="shared" si="21"/>
        <v>0</v>
      </c>
      <c r="CV68" s="194" t="str">
        <f t="shared" si="22"/>
        <v>#DIV/0!</v>
      </c>
      <c r="CW68" s="196"/>
      <c r="CX68" s="167">
        <f t="shared" si="23"/>
        <v>21.21212121</v>
      </c>
      <c r="CY68" s="169">
        <f t="shared" si="8"/>
        <v>7</v>
      </c>
      <c r="CZ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21</v>
      </c>
      <c r="E69" s="127">
        <f t="shared" si="10"/>
        <v>63.63636364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>
        <f t="shared" si="14"/>
        <v>0</v>
      </c>
      <c r="T69" s="138"/>
      <c r="U69" s="138"/>
      <c r="V69" s="138"/>
      <c r="W69" s="170">
        <v>1.0</v>
      </c>
      <c r="X69" s="170">
        <v>1.0</v>
      </c>
      <c r="Y69" s="151">
        <v>1.0</v>
      </c>
      <c r="Z69" s="151">
        <v>1.0</v>
      </c>
      <c r="AA69" s="138"/>
      <c r="AB69" s="225">
        <v>1.0</v>
      </c>
      <c r="AC69" s="140"/>
      <c r="AD69" s="140"/>
      <c r="AE69" s="141"/>
      <c r="AF69" s="211">
        <v>1.0</v>
      </c>
      <c r="AG69" s="211">
        <v>1.0</v>
      </c>
      <c r="AH69" s="211">
        <v>1.0</v>
      </c>
      <c r="AI69" s="211">
        <v>1.0</v>
      </c>
      <c r="AJ69" s="212"/>
      <c r="AK69" s="212"/>
      <c r="AL69" s="135">
        <f t="shared" si="15"/>
        <v>9</v>
      </c>
      <c r="AM69" s="183">
        <f t="shared" si="16"/>
        <v>90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85">
        <v>1.0</v>
      </c>
      <c r="BB69" s="133"/>
      <c r="BC69" s="133"/>
      <c r="BD69" s="133"/>
      <c r="BE69" s="185">
        <v>1.0</v>
      </c>
      <c r="BF69" s="185">
        <v>1.0</v>
      </c>
      <c r="BG69" s="185">
        <v>1.0</v>
      </c>
      <c r="BH69" s="185">
        <v>1.0</v>
      </c>
      <c r="BI69" s="135">
        <f t="shared" si="17"/>
        <v>5</v>
      </c>
      <c r="BJ69" s="186">
        <f t="shared" si="18"/>
        <v>71.42857143</v>
      </c>
      <c r="BK69" s="138"/>
      <c r="BL69" s="170">
        <v>1.0</v>
      </c>
      <c r="BM69" s="170">
        <v>1.0</v>
      </c>
      <c r="BN69" s="138"/>
      <c r="BO69" s="138"/>
      <c r="BP69" s="151">
        <v>1.0</v>
      </c>
      <c r="BQ69" s="151">
        <v>1.0</v>
      </c>
      <c r="BR69" s="138"/>
      <c r="BS69" s="151">
        <v>1.0</v>
      </c>
      <c r="BT69" s="150">
        <v>1.0</v>
      </c>
      <c r="BU69" s="152"/>
      <c r="BV69" s="152"/>
      <c r="BW69" s="152"/>
      <c r="BX69" s="187">
        <v>1.0</v>
      </c>
      <c r="BY69" s="217"/>
      <c r="BZ69" s="218"/>
      <c r="CA69" s="218"/>
      <c r="CB69" s="218"/>
      <c r="CC69" s="218"/>
      <c r="CD69" s="218"/>
      <c r="CE69" s="218"/>
      <c r="CF69" s="218"/>
      <c r="CG69" s="218"/>
      <c r="CH69" s="156">
        <f t="shared" si="19"/>
        <v>7</v>
      </c>
      <c r="CI69" s="215">
        <f t="shared" si="20"/>
        <v>63.63636364</v>
      </c>
      <c r="CJ69" s="209"/>
      <c r="CK69" s="153"/>
      <c r="CL69" s="217"/>
      <c r="CM69" s="219"/>
      <c r="CN69" s="219"/>
      <c r="CO69" s="219"/>
      <c r="CP69" s="219"/>
      <c r="CQ69" s="217"/>
      <c r="CR69" s="221"/>
      <c r="CS69" s="221"/>
      <c r="CT69" s="161"/>
      <c r="CU69" s="163">
        <f t="shared" si="21"/>
        <v>0</v>
      </c>
      <c r="CV69" s="194" t="str">
        <f t="shared" si="22"/>
        <v>#DIV/0!</v>
      </c>
      <c r="CW69" s="196"/>
      <c r="CX69" s="167">
        <f t="shared" si="23"/>
        <v>63.63636364</v>
      </c>
      <c r="CY69" s="169">
        <f t="shared" si="8"/>
        <v>21</v>
      </c>
      <c r="CZ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2</v>
      </c>
      <c r="E70" s="127">
        <f t="shared" si="10"/>
        <v>6.060606061</v>
      </c>
      <c r="F70" s="200">
        <f t="shared" si="11"/>
        <v>6.060606061</v>
      </c>
      <c r="G70" s="207">
        <f t="shared" si="12"/>
        <v>6.060606061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>
        <f t="shared" si="14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1">
        <v>1.0</v>
      </c>
      <c r="AH70" s="210"/>
      <c r="AI70" s="210"/>
      <c r="AJ70" s="212"/>
      <c r="AK70" s="212"/>
      <c r="AL70" s="135">
        <f t="shared" si="15"/>
        <v>1</v>
      </c>
      <c r="AM70" s="183">
        <f t="shared" si="16"/>
        <v>10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85">
        <v>1.0</v>
      </c>
      <c r="BI70" s="135">
        <f t="shared" si="17"/>
        <v>1</v>
      </c>
      <c r="BJ70" s="186">
        <f t="shared" si="18"/>
        <v>14.28571429</v>
      </c>
      <c r="BK70" s="138"/>
      <c r="BL70" s="132"/>
      <c r="BM70" s="132"/>
      <c r="BN70" s="138"/>
      <c r="BO70" s="138"/>
      <c r="BP70" s="138"/>
      <c r="BQ70" s="138"/>
      <c r="BR70" s="138"/>
      <c r="BS70" s="138"/>
      <c r="BT70" s="140"/>
      <c r="BU70" s="152"/>
      <c r="BV70" s="152"/>
      <c r="BW70" s="152"/>
      <c r="BX70" s="152"/>
      <c r="BY70" s="217"/>
      <c r="BZ70" s="218"/>
      <c r="CA70" s="218"/>
      <c r="CB70" s="218"/>
      <c r="CC70" s="218"/>
      <c r="CD70" s="218"/>
      <c r="CE70" s="218"/>
      <c r="CF70" s="218"/>
      <c r="CG70" s="218"/>
      <c r="CH70" s="156">
        <f t="shared" si="19"/>
        <v>0</v>
      </c>
      <c r="CI70" s="215">
        <f t="shared" si="20"/>
        <v>0</v>
      </c>
      <c r="CJ70" s="209"/>
      <c r="CK70" s="153"/>
      <c r="CL70" s="217"/>
      <c r="CM70" s="219"/>
      <c r="CN70" s="219"/>
      <c r="CO70" s="219"/>
      <c r="CP70" s="219"/>
      <c r="CQ70" s="217"/>
      <c r="CR70" s="221"/>
      <c r="CS70" s="221"/>
      <c r="CT70" s="161"/>
      <c r="CU70" s="163">
        <f t="shared" si="21"/>
        <v>0</v>
      </c>
      <c r="CV70" s="194" t="str">
        <f t="shared" si="22"/>
        <v>#DIV/0!</v>
      </c>
      <c r="CW70" s="196"/>
      <c r="CX70" s="167">
        <f t="shared" si="23"/>
        <v>6.060606061</v>
      </c>
      <c r="CY70" s="169">
        <f t="shared" si="8"/>
        <v>2</v>
      </c>
      <c r="CZ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>
        <f t="shared" si="14"/>
        <v>0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2"/>
      <c r="BN71" s="138"/>
      <c r="BO71" s="138"/>
      <c r="BP71" s="138"/>
      <c r="BQ71" s="138"/>
      <c r="BR71" s="138"/>
      <c r="BS71" s="138"/>
      <c r="BT71" s="140"/>
      <c r="BU71" s="152"/>
      <c r="BV71" s="152"/>
      <c r="BW71" s="152"/>
      <c r="BX71" s="152"/>
      <c r="BY71" s="217"/>
      <c r="BZ71" s="218"/>
      <c r="CA71" s="218"/>
      <c r="CB71" s="218"/>
      <c r="CC71" s="218"/>
      <c r="CD71" s="218"/>
      <c r="CE71" s="218"/>
      <c r="CF71" s="218"/>
      <c r="CG71" s="218"/>
      <c r="CH71" s="156">
        <f t="shared" si="19"/>
        <v>0</v>
      </c>
      <c r="CI71" s="215">
        <f t="shared" si="20"/>
        <v>0</v>
      </c>
      <c r="CJ71" s="209"/>
      <c r="CK71" s="153"/>
      <c r="CL71" s="217"/>
      <c r="CM71" s="219"/>
      <c r="CN71" s="219"/>
      <c r="CO71" s="219"/>
      <c r="CP71" s="219"/>
      <c r="CQ71" s="217"/>
      <c r="CR71" s="221"/>
      <c r="CS71" s="221"/>
      <c r="CT71" s="161"/>
      <c r="CU71" s="163">
        <f t="shared" si="21"/>
        <v>0</v>
      </c>
      <c r="CV71" s="194" t="str">
        <f t="shared" si="22"/>
        <v>#DIV/0!</v>
      </c>
      <c r="CW71" s="196"/>
      <c r="CX71" s="167">
        <f t="shared" si="23"/>
        <v>0</v>
      </c>
      <c r="CY71" s="169">
        <f t="shared" si="8"/>
        <v>0</v>
      </c>
      <c r="CZ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14</v>
      </c>
      <c r="E72" s="127">
        <f t="shared" si="10"/>
        <v>42.42424242</v>
      </c>
      <c r="F72" s="200">
        <f t="shared" si="11"/>
        <v>42.42424242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>
        <f t="shared" si="14"/>
        <v>0</v>
      </c>
      <c r="T72" s="138"/>
      <c r="U72" s="138"/>
      <c r="V72" s="138"/>
      <c r="W72" s="132"/>
      <c r="X72" s="132"/>
      <c r="Y72" s="151">
        <v>1.0</v>
      </c>
      <c r="Z72" s="151">
        <v>1.0</v>
      </c>
      <c r="AA72" s="151">
        <v>1.0</v>
      </c>
      <c r="AB72" s="209"/>
      <c r="AC72" s="140"/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5"/>
        <v>3</v>
      </c>
      <c r="AM72" s="183">
        <f t="shared" si="16"/>
        <v>30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85">
        <v>1.0</v>
      </c>
      <c r="AY72" s="133"/>
      <c r="AZ72" s="133"/>
      <c r="BA72" s="133"/>
      <c r="BB72" s="133"/>
      <c r="BC72" s="133"/>
      <c r="BD72" s="133"/>
      <c r="BE72" s="185">
        <v>1.0</v>
      </c>
      <c r="BF72" s="185">
        <v>1.0</v>
      </c>
      <c r="BG72" s="133"/>
      <c r="BH72" s="185">
        <v>1.0</v>
      </c>
      <c r="BI72" s="135">
        <f t="shared" si="17"/>
        <v>4</v>
      </c>
      <c r="BJ72" s="186">
        <f t="shared" si="18"/>
        <v>57.14285714</v>
      </c>
      <c r="BK72" s="151">
        <v>1.0</v>
      </c>
      <c r="BL72" s="170">
        <v>1.0</v>
      </c>
      <c r="BM72" s="170">
        <v>1.0</v>
      </c>
      <c r="BN72" s="151">
        <v>1.0</v>
      </c>
      <c r="BO72" s="151">
        <v>1.0</v>
      </c>
      <c r="BP72" s="151"/>
      <c r="BQ72" s="151">
        <v>1.0</v>
      </c>
      <c r="BR72" s="138"/>
      <c r="BS72" s="138"/>
      <c r="BT72" s="140"/>
      <c r="BU72" s="187">
        <v>1.0</v>
      </c>
      <c r="BV72" s="152"/>
      <c r="BW72" s="152"/>
      <c r="BX72" s="152"/>
      <c r="BY72" s="217"/>
      <c r="BZ72" s="218"/>
      <c r="CA72" s="218"/>
      <c r="CB72" s="218"/>
      <c r="CC72" s="218"/>
      <c r="CD72" s="218"/>
      <c r="CE72" s="218"/>
      <c r="CF72" s="218"/>
      <c r="CG72" s="218"/>
      <c r="CH72" s="156">
        <f t="shared" si="19"/>
        <v>7</v>
      </c>
      <c r="CI72" s="215">
        <f t="shared" si="20"/>
        <v>63.63636364</v>
      </c>
      <c r="CJ72" s="209"/>
      <c r="CK72" s="153"/>
      <c r="CL72" s="217"/>
      <c r="CM72" s="219"/>
      <c r="CN72" s="219"/>
      <c r="CO72" s="219"/>
      <c r="CP72" s="219"/>
      <c r="CQ72" s="217"/>
      <c r="CR72" s="221"/>
      <c r="CS72" s="221"/>
      <c r="CT72" s="161"/>
      <c r="CU72" s="163">
        <f t="shared" si="21"/>
        <v>0</v>
      </c>
      <c r="CV72" s="194" t="str">
        <f t="shared" si="22"/>
        <v>#DIV/0!</v>
      </c>
      <c r="CW72" s="196"/>
      <c r="CX72" s="167">
        <f t="shared" si="23"/>
        <v>42.42424242</v>
      </c>
      <c r="CY72" s="169">
        <f t="shared" si="8"/>
        <v>14</v>
      </c>
      <c r="CZ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13</v>
      </c>
      <c r="E73" s="127">
        <f t="shared" si="10"/>
        <v>39.39393939</v>
      </c>
      <c r="F73" s="200">
        <f t="shared" si="11"/>
        <v>39.39393939</v>
      </c>
      <c r="G73" s="177" t="str">
        <f t="shared" si="12"/>
        <v>  </v>
      </c>
      <c r="H73" s="258"/>
      <c r="I73" s="258"/>
      <c r="J73" s="263"/>
      <c r="K73" s="269">
        <v>1.0</v>
      </c>
      <c r="L73" s="263"/>
      <c r="M73" s="269">
        <v>1.0</v>
      </c>
      <c r="N73" s="269">
        <v>1.0</v>
      </c>
      <c r="O73" s="263"/>
      <c r="P73" s="263"/>
      <c r="Q73" s="263"/>
      <c r="R73" s="135">
        <f t="shared" si="13"/>
        <v>3</v>
      </c>
      <c r="S73" s="137">
        <f t="shared" si="14"/>
        <v>60</v>
      </c>
      <c r="T73" s="138"/>
      <c r="U73" s="138"/>
      <c r="V73" s="138"/>
      <c r="W73" s="170">
        <v>1.0</v>
      </c>
      <c r="X73" s="170">
        <v>1.0</v>
      </c>
      <c r="Y73" s="138"/>
      <c r="Z73" s="151">
        <v>1.0</v>
      </c>
      <c r="AA73" s="151">
        <v>1.0</v>
      </c>
      <c r="AB73" s="209"/>
      <c r="AC73" s="140"/>
      <c r="AD73" s="140"/>
      <c r="AE73" s="141"/>
      <c r="AF73" s="210"/>
      <c r="AG73" s="210"/>
      <c r="AH73" s="211">
        <v>1.0</v>
      </c>
      <c r="AI73" s="210"/>
      <c r="AJ73" s="212"/>
      <c r="AK73" s="212"/>
      <c r="AL73" s="135">
        <f t="shared" si="15"/>
        <v>5</v>
      </c>
      <c r="AM73" s="183">
        <f t="shared" si="16"/>
        <v>50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85">
        <v>1.0</v>
      </c>
      <c r="BF73" s="185">
        <v>1.0</v>
      </c>
      <c r="BG73" s="133"/>
      <c r="BH73" s="133"/>
      <c r="BI73" s="135">
        <f t="shared" si="17"/>
        <v>2</v>
      </c>
      <c r="BJ73" s="186">
        <f t="shared" si="18"/>
        <v>28.57142857</v>
      </c>
      <c r="BK73" s="138"/>
      <c r="BL73" s="170">
        <v>1.0</v>
      </c>
      <c r="BM73" s="132"/>
      <c r="BN73" s="138"/>
      <c r="BO73" s="151">
        <v>1.0</v>
      </c>
      <c r="BP73" s="138"/>
      <c r="BQ73" s="138"/>
      <c r="BR73" s="138"/>
      <c r="BS73" s="138"/>
      <c r="BT73" s="140"/>
      <c r="BU73" s="152"/>
      <c r="BV73" s="152"/>
      <c r="BW73" s="152"/>
      <c r="BX73" s="187">
        <v>1.0</v>
      </c>
      <c r="BY73" s="217"/>
      <c r="BZ73" s="218"/>
      <c r="CA73" s="218"/>
      <c r="CB73" s="218"/>
      <c r="CC73" s="218"/>
      <c r="CD73" s="218"/>
      <c r="CE73" s="218"/>
      <c r="CF73" s="218"/>
      <c r="CG73" s="218"/>
      <c r="CH73" s="156">
        <f t="shared" si="19"/>
        <v>3</v>
      </c>
      <c r="CI73" s="215">
        <f t="shared" si="20"/>
        <v>27.27272727</v>
      </c>
      <c r="CJ73" s="209"/>
      <c r="CK73" s="153"/>
      <c r="CL73" s="217"/>
      <c r="CM73" s="219"/>
      <c r="CN73" s="219"/>
      <c r="CO73" s="219"/>
      <c r="CP73" s="219"/>
      <c r="CQ73" s="217"/>
      <c r="CR73" s="221"/>
      <c r="CS73" s="221"/>
      <c r="CT73" s="161"/>
      <c r="CU73" s="163">
        <f t="shared" si="21"/>
        <v>0</v>
      </c>
      <c r="CV73" s="194" t="str">
        <f t="shared" si="22"/>
        <v>#DIV/0!</v>
      </c>
      <c r="CW73" s="196"/>
      <c r="CX73" s="167">
        <f t="shared" si="23"/>
        <v>39.39393939</v>
      </c>
      <c r="CY73" s="169">
        <f t="shared" si="8"/>
        <v>13</v>
      </c>
      <c r="CZ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5</v>
      </c>
      <c r="E74" s="127">
        <f t="shared" si="10"/>
        <v>15.15151515</v>
      </c>
      <c r="F74" s="200">
        <f t="shared" si="11"/>
        <v>15.15151515</v>
      </c>
      <c r="G74" s="207">
        <f t="shared" si="12"/>
        <v>15.15151515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>
        <f t="shared" si="14"/>
        <v>0</v>
      </c>
      <c r="T74" s="138"/>
      <c r="U74" s="138"/>
      <c r="V74" s="138"/>
      <c r="W74" s="170">
        <v>1.0</v>
      </c>
      <c r="X74" s="170">
        <v>1.0</v>
      </c>
      <c r="Y74" s="151">
        <v>1.0</v>
      </c>
      <c r="Z74" s="151">
        <v>1.0</v>
      </c>
      <c r="AA74" s="138"/>
      <c r="AB74" s="209"/>
      <c r="AC74" s="140"/>
      <c r="AD74" s="140"/>
      <c r="AE74" s="141"/>
      <c r="AF74" s="210"/>
      <c r="AG74" s="210"/>
      <c r="AH74" s="211">
        <v>1.0</v>
      </c>
      <c r="AI74" s="210"/>
      <c r="AJ74" s="212"/>
      <c r="AK74" s="212"/>
      <c r="AL74" s="135">
        <f t="shared" si="15"/>
        <v>5</v>
      </c>
      <c r="AM74" s="183">
        <f t="shared" si="16"/>
        <v>50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>
        <f t="shared" si="18"/>
        <v>0</v>
      </c>
      <c r="BK74" s="138"/>
      <c r="BL74" s="132"/>
      <c r="BM74" s="132"/>
      <c r="BN74" s="138"/>
      <c r="BO74" s="138"/>
      <c r="BP74" s="138"/>
      <c r="BQ74" s="138"/>
      <c r="BR74" s="138"/>
      <c r="BS74" s="138"/>
      <c r="BT74" s="140"/>
      <c r="BU74" s="152"/>
      <c r="BV74" s="152"/>
      <c r="BW74" s="152"/>
      <c r="BX74" s="152"/>
      <c r="BY74" s="217"/>
      <c r="BZ74" s="218"/>
      <c r="CA74" s="218"/>
      <c r="CB74" s="218"/>
      <c r="CC74" s="218"/>
      <c r="CD74" s="218"/>
      <c r="CE74" s="218"/>
      <c r="CF74" s="218"/>
      <c r="CG74" s="218"/>
      <c r="CH74" s="156">
        <f t="shared" si="19"/>
        <v>0</v>
      </c>
      <c r="CI74" s="215">
        <f t="shared" si="20"/>
        <v>0</v>
      </c>
      <c r="CJ74" s="209"/>
      <c r="CK74" s="153"/>
      <c r="CL74" s="217"/>
      <c r="CM74" s="219"/>
      <c r="CN74" s="219"/>
      <c r="CO74" s="219"/>
      <c r="CP74" s="219"/>
      <c r="CQ74" s="217"/>
      <c r="CR74" s="221"/>
      <c r="CS74" s="221"/>
      <c r="CT74" s="161"/>
      <c r="CU74" s="163">
        <f t="shared" si="21"/>
        <v>0</v>
      </c>
      <c r="CV74" s="194" t="str">
        <f t="shared" si="22"/>
        <v>#DIV/0!</v>
      </c>
      <c r="CW74" s="196"/>
      <c r="CX74" s="167">
        <f t="shared" si="23"/>
        <v>15.15151515</v>
      </c>
      <c r="CY74" s="169">
        <f t="shared" si="8"/>
        <v>5</v>
      </c>
      <c r="CZ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9</v>
      </c>
      <c r="E75" s="127">
        <f t="shared" si="10"/>
        <v>27.27272727</v>
      </c>
      <c r="F75" s="200">
        <f t="shared" si="11"/>
        <v>27.27272727</v>
      </c>
      <c r="G75" s="207">
        <f t="shared" si="12"/>
        <v>27.27272727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>
        <f t="shared" si="14"/>
        <v>0</v>
      </c>
      <c r="T75" s="138"/>
      <c r="U75" s="138"/>
      <c r="V75" s="138"/>
      <c r="W75" s="132"/>
      <c r="X75" s="132"/>
      <c r="Y75" s="138"/>
      <c r="Z75" s="151">
        <v>1.0</v>
      </c>
      <c r="AA75" s="138"/>
      <c r="AB75" s="225">
        <v>1.0</v>
      </c>
      <c r="AC75" s="140"/>
      <c r="AD75" s="140"/>
      <c r="AE75" s="141"/>
      <c r="AF75" s="210"/>
      <c r="AG75" s="210"/>
      <c r="AH75" s="211">
        <v>1.0</v>
      </c>
      <c r="AI75" s="210"/>
      <c r="AJ75" s="212"/>
      <c r="AK75" s="212"/>
      <c r="AL75" s="135">
        <f t="shared" si="15"/>
        <v>3</v>
      </c>
      <c r="AM75" s="183">
        <f t="shared" si="16"/>
        <v>30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85">
        <v>1.0</v>
      </c>
      <c r="BG75" s="185">
        <v>1.0</v>
      </c>
      <c r="BH75" s="133"/>
      <c r="BI75" s="135">
        <f t="shared" si="17"/>
        <v>2</v>
      </c>
      <c r="BJ75" s="186">
        <f t="shared" si="18"/>
        <v>28.57142857</v>
      </c>
      <c r="BK75" s="138"/>
      <c r="BL75" s="132"/>
      <c r="BM75" s="132"/>
      <c r="BN75" s="138"/>
      <c r="BO75" s="151">
        <v>1.0</v>
      </c>
      <c r="BP75" s="151">
        <v>1.0</v>
      </c>
      <c r="BQ75" s="151">
        <v>1.0</v>
      </c>
      <c r="BR75" s="138"/>
      <c r="BS75" s="138"/>
      <c r="BT75" s="150">
        <v>1.0</v>
      </c>
      <c r="BU75" s="152"/>
      <c r="BV75" s="152"/>
      <c r="BW75" s="152"/>
      <c r="BX75" s="152"/>
      <c r="BY75" s="217"/>
      <c r="BZ75" s="218"/>
      <c r="CA75" s="218"/>
      <c r="CB75" s="218"/>
      <c r="CC75" s="218"/>
      <c r="CD75" s="218"/>
      <c r="CE75" s="218"/>
      <c r="CF75" s="218"/>
      <c r="CG75" s="218"/>
      <c r="CH75" s="156">
        <f t="shared" si="19"/>
        <v>4</v>
      </c>
      <c r="CI75" s="215">
        <f t="shared" si="20"/>
        <v>36.36363636</v>
      </c>
      <c r="CJ75" s="209"/>
      <c r="CK75" s="153"/>
      <c r="CL75" s="217"/>
      <c r="CM75" s="219"/>
      <c r="CN75" s="219"/>
      <c r="CO75" s="219"/>
      <c r="CP75" s="219"/>
      <c r="CQ75" s="217"/>
      <c r="CR75" s="221"/>
      <c r="CS75" s="221"/>
      <c r="CT75" s="161"/>
      <c r="CU75" s="163">
        <f t="shared" si="21"/>
        <v>0</v>
      </c>
      <c r="CV75" s="194" t="str">
        <f t="shared" si="22"/>
        <v>#DIV/0!</v>
      </c>
      <c r="CW75" s="196"/>
      <c r="CX75" s="167">
        <f t="shared" si="23"/>
        <v>27.27272727</v>
      </c>
      <c r="CY75" s="169">
        <f t="shared" si="8"/>
        <v>9</v>
      </c>
      <c r="CZ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8</v>
      </c>
      <c r="E76" s="127">
        <f t="shared" si="10"/>
        <v>24.24242424</v>
      </c>
      <c r="F76" s="200">
        <f t="shared" si="11"/>
        <v>24.24242424</v>
      </c>
      <c r="G76" s="207">
        <f t="shared" si="12"/>
        <v>24.24242424</v>
      </c>
      <c r="H76" s="273"/>
      <c r="I76" s="273"/>
      <c r="J76" s="274"/>
      <c r="K76" s="274"/>
      <c r="L76" s="302">
        <v>1.0</v>
      </c>
      <c r="M76" s="302">
        <v>1.0</v>
      </c>
      <c r="N76" s="274"/>
      <c r="O76" s="274"/>
      <c r="P76" s="274"/>
      <c r="Q76" s="274"/>
      <c r="R76" s="135">
        <f t="shared" si="13"/>
        <v>2</v>
      </c>
      <c r="S76" s="137">
        <f t="shared" si="14"/>
        <v>40</v>
      </c>
      <c r="T76" s="138"/>
      <c r="U76" s="138"/>
      <c r="V76" s="138"/>
      <c r="W76" s="170">
        <v>1.0</v>
      </c>
      <c r="X76" s="170">
        <v>1.0</v>
      </c>
      <c r="Y76" s="138"/>
      <c r="Z76" s="151">
        <v>1.0</v>
      </c>
      <c r="AA76" s="151">
        <v>1.0</v>
      </c>
      <c r="AB76" s="209"/>
      <c r="AC76" s="140"/>
      <c r="AD76" s="140"/>
      <c r="AE76" s="141"/>
      <c r="AF76" s="210"/>
      <c r="AG76" s="211">
        <v>1.0</v>
      </c>
      <c r="AH76" s="210"/>
      <c r="AI76" s="210"/>
      <c r="AJ76" s="212"/>
      <c r="AK76" s="212"/>
      <c r="AL76" s="135">
        <f t="shared" si="15"/>
        <v>5</v>
      </c>
      <c r="AM76" s="183">
        <f t="shared" si="16"/>
        <v>50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85">
        <v>1.0</v>
      </c>
      <c r="BF76" s="133"/>
      <c r="BG76" s="133"/>
      <c r="BH76" s="133"/>
      <c r="BI76" s="135">
        <f t="shared" si="17"/>
        <v>1</v>
      </c>
      <c r="BJ76" s="186">
        <f t="shared" si="18"/>
        <v>14.28571429</v>
      </c>
      <c r="BK76" s="138"/>
      <c r="BL76" s="132"/>
      <c r="BM76" s="132"/>
      <c r="BN76" s="138"/>
      <c r="BO76" s="138"/>
      <c r="BP76" s="138"/>
      <c r="BQ76" s="138"/>
      <c r="BR76" s="138"/>
      <c r="BS76" s="138"/>
      <c r="BT76" s="140"/>
      <c r="BU76" s="152"/>
      <c r="BV76" s="152"/>
      <c r="BW76" s="152"/>
      <c r="BX76" s="152"/>
      <c r="BY76" s="217"/>
      <c r="BZ76" s="218"/>
      <c r="CA76" s="218"/>
      <c r="CB76" s="218"/>
      <c r="CC76" s="218"/>
      <c r="CD76" s="218"/>
      <c r="CE76" s="218"/>
      <c r="CF76" s="218"/>
      <c r="CG76" s="218"/>
      <c r="CH76" s="156">
        <f t="shared" si="19"/>
        <v>0</v>
      </c>
      <c r="CI76" s="215">
        <f t="shared" si="20"/>
        <v>0</v>
      </c>
      <c r="CJ76" s="209"/>
      <c r="CK76" s="153"/>
      <c r="CL76" s="217"/>
      <c r="CM76" s="219"/>
      <c r="CN76" s="219"/>
      <c r="CO76" s="219"/>
      <c r="CP76" s="219"/>
      <c r="CQ76" s="217"/>
      <c r="CR76" s="221"/>
      <c r="CS76" s="221"/>
      <c r="CT76" s="161"/>
      <c r="CU76" s="163">
        <f t="shared" si="21"/>
        <v>0</v>
      </c>
      <c r="CV76" s="194" t="str">
        <f t="shared" si="22"/>
        <v>#DIV/0!</v>
      </c>
      <c r="CW76" s="196"/>
      <c r="CX76" s="167">
        <f t="shared" si="23"/>
        <v>24.24242424</v>
      </c>
      <c r="CY76" s="169">
        <f t="shared" si="8"/>
        <v>8</v>
      </c>
      <c r="CZ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7</v>
      </c>
      <c r="E77" s="127">
        <f t="shared" si="10"/>
        <v>21.21212121</v>
      </c>
      <c r="F77" s="200">
        <f t="shared" si="11"/>
        <v>21.21212121</v>
      </c>
      <c r="G77" s="207">
        <f t="shared" si="12"/>
        <v>21.21212121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>
        <f t="shared" si="14"/>
        <v>0</v>
      </c>
      <c r="T77" s="138"/>
      <c r="U77" s="138"/>
      <c r="V77" s="138"/>
      <c r="W77" s="170">
        <v>1.0</v>
      </c>
      <c r="X77" s="170">
        <v>1.0</v>
      </c>
      <c r="Y77" s="151">
        <v>1.0</v>
      </c>
      <c r="Z77" s="138"/>
      <c r="AA77" s="138"/>
      <c r="AB77" s="209"/>
      <c r="AC77" s="140"/>
      <c r="AD77" s="140"/>
      <c r="AE77" s="141"/>
      <c r="AF77" s="210"/>
      <c r="AG77" s="211">
        <v>1.0</v>
      </c>
      <c r="AH77" s="210"/>
      <c r="AI77" s="210"/>
      <c r="AJ77" s="212"/>
      <c r="AK77" s="212"/>
      <c r="AL77" s="135">
        <f t="shared" si="15"/>
        <v>4</v>
      </c>
      <c r="AM77" s="183">
        <f t="shared" si="16"/>
        <v>40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85">
        <v>1.0</v>
      </c>
      <c r="BD77" s="133"/>
      <c r="BE77" s="133"/>
      <c r="BF77" s="133"/>
      <c r="BG77" s="133"/>
      <c r="BH77" s="185">
        <v>1.0</v>
      </c>
      <c r="BI77" s="135">
        <f t="shared" si="17"/>
        <v>2</v>
      </c>
      <c r="BJ77" s="186">
        <f t="shared" si="18"/>
        <v>28.57142857</v>
      </c>
      <c r="BK77" s="138"/>
      <c r="BL77" s="132"/>
      <c r="BM77" s="132"/>
      <c r="BN77" s="138"/>
      <c r="BO77" s="138"/>
      <c r="BP77" s="138"/>
      <c r="BQ77" s="138"/>
      <c r="BR77" s="138"/>
      <c r="BS77" s="138"/>
      <c r="BT77" s="150">
        <v>1.0</v>
      </c>
      <c r="BU77" s="152"/>
      <c r="BV77" s="152"/>
      <c r="BW77" s="152"/>
      <c r="BX77" s="152"/>
      <c r="BY77" s="217"/>
      <c r="BZ77" s="218"/>
      <c r="CA77" s="218"/>
      <c r="CB77" s="218"/>
      <c r="CC77" s="218"/>
      <c r="CD77" s="218"/>
      <c r="CE77" s="218"/>
      <c r="CF77" s="218"/>
      <c r="CG77" s="218"/>
      <c r="CH77" s="156">
        <f t="shared" si="19"/>
        <v>1</v>
      </c>
      <c r="CI77" s="215">
        <f t="shared" si="20"/>
        <v>9.090909091</v>
      </c>
      <c r="CJ77" s="209"/>
      <c r="CK77" s="153"/>
      <c r="CL77" s="217"/>
      <c r="CM77" s="219"/>
      <c r="CN77" s="219"/>
      <c r="CO77" s="219"/>
      <c r="CP77" s="219"/>
      <c r="CQ77" s="217"/>
      <c r="CR77" s="221"/>
      <c r="CS77" s="221"/>
      <c r="CT77" s="161"/>
      <c r="CU77" s="163">
        <f t="shared" si="21"/>
        <v>0</v>
      </c>
      <c r="CV77" s="194" t="str">
        <f t="shared" si="22"/>
        <v>#DIV/0!</v>
      </c>
      <c r="CW77" s="196"/>
      <c r="CX77" s="167">
        <f t="shared" si="23"/>
        <v>21.21212121</v>
      </c>
      <c r="CY77" s="169">
        <f t="shared" si="8"/>
        <v>7</v>
      </c>
      <c r="CZ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15</v>
      </c>
      <c r="E78" s="127">
        <f t="shared" si="10"/>
        <v>45.45454545</v>
      </c>
      <c r="F78" s="200">
        <f t="shared" si="11"/>
        <v>45.45454545</v>
      </c>
      <c r="G78" s="177" t="str">
        <f t="shared" si="12"/>
        <v>  </v>
      </c>
      <c r="H78" s="273"/>
      <c r="I78" s="273"/>
      <c r="J78" s="274"/>
      <c r="K78" s="274"/>
      <c r="L78" s="302">
        <v>1.0</v>
      </c>
      <c r="M78" s="274"/>
      <c r="N78" s="274"/>
      <c r="O78" s="274"/>
      <c r="P78" s="274"/>
      <c r="Q78" s="274"/>
      <c r="R78" s="135">
        <f t="shared" si="13"/>
        <v>1</v>
      </c>
      <c r="S78" s="137">
        <f t="shared" si="14"/>
        <v>20</v>
      </c>
      <c r="T78" s="138"/>
      <c r="U78" s="138"/>
      <c r="V78" s="138"/>
      <c r="W78" s="170">
        <v>1.0</v>
      </c>
      <c r="X78" s="170">
        <v>1.0</v>
      </c>
      <c r="Y78" s="138"/>
      <c r="Z78" s="151">
        <v>1.0</v>
      </c>
      <c r="AA78" s="138"/>
      <c r="AB78" s="225">
        <v>1.0</v>
      </c>
      <c r="AC78" s="140"/>
      <c r="AD78" s="140"/>
      <c r="AE78" s="141"/>
      <c r="AF78" s="211">
        <v>1.0</v>
      </c>
      <c r="AG78" s="210"/>
      <c r="AH78" s="210"/>
      <c r="AI78" s="210"/>
      <c r="AJ78" s="212"/>
      <c r="AK78" s="212"/>
      <c r="AL78" s="135">
        <f t="shared" si="15"/>
        <v>5</v>
      </c>
      <c r="AM78" s="183">
        <f t="shared" si="16"/>
        <v>50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85">
        <v>1.0</v>
      </c>
      <c r="BD78" s="133"/>
      <c r="BE78" s="133"/>
      <c r="BF78" s="133"/>
      <c r="BG78" s="133"/>
      <c r="BH78" s="185">
        <v>1.0</v>
      </c>
      <c r="BI78" s="135">
        <f t="shared" si="17"/>
        <v>2</v>
      </c>
      <c r="BJ78" s="186">
        <f t="shared" si="18"/>
        <v>28.57142857</v>
      </c>
      <c r="BK78" s="138"/>
      <c r="BL78" s="170">
        <v>1.0</v>
      </c>
      <c r="BM78" s="170">
        <v>1.0</v>
      </c>
      <c r="BN78" s="151">
        <v>1.0</v>
      </c>
      <c r="BO78" s="138"/>
      <c r="BP78" s="151">
        <v>1.0</v>
      </c>
      <c r="BQ78" s="151">
        <v>1.0</v>
      </c>
      <c r="BR78" s="138"/>
      <c r="BS78" s="138"/>
      <c r="BT78" s="150">
        <v>1.0</v>
      </c>
      <c r="BU78" s="187">
        <v>1.0</v>
      </c>
      <c r="BV78" s="152"/>
      <c r="BW78" s="152"/>
      <c r="BX78" s="152"/>
      <c r="BY78" s="217"/>
      <c r="BZ78" s="218"/>
      <c r="CA78" s="218"/>
      <c r="CB78" s="218"/>
      <c r="CC78" s="218"/>
      <c r="CD78" s="218"/>
      <c r="CE78" s="218"/>
      <c r="CF78" s="218"/>
      <c r="CG78" s="218"/>
      <c r="CH78" s="156">
        <f t="shared" si="19"/>
        <v>7</v>
      </c>
      <c r="CI78" s="215">
        <f t="shared" si="20"/>
        <v>63.63636364</v>
      </c>
      <c r="CJ78" s="209"/>
      <c r="CK78" s="153"/>
      <c r="CL78" s="217"/>
      <c r="CM78" s="219"/>
      <c r="CN78" s="219"/>
      <c r="CO78" s="219"/>
      <c r="CP78" s="219"/>
      <c r="CQ78" s="217"/>
      <c r="CR78" s="221"/>
      <c r="CS78" s="221"/>
      <c r="CT78" s="161"/>
      <c r="CU78" s="163">
        <f t="shared" si="21"/>
        <v>0</v>
      </c>
      <c r="CV78" s="194" t="str">
        <f t="shared" si="22"/>
        <v>#DIV/0!</v>
      </c>
      <c r="CW78" s="196"/>
      <c r="CX78" s="167">
        <f t="shared" si="23"/>
        <v>45.45454545</v>
      </c>
      <c r="CY78" s="169">
        <f t="shared" si="8"/>
        <v>15</v>
      </c>
      <c r="CZ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12</v>
      </c>
      <c r="E79" s="127">
        <f t="shared" si="10"/>
        <v>36.36363636</v>
      </c>
      <c r="F79" s="200">
        <f t="shared" si="11"/>
        <v>36.36363636</v>
      </c>
      <c r="G79" s="177" t="str">
        <f t="shared" si="12"/>
        <v>  </v>
      </c>
      <c r="H79" s="273"/>
      <c r="I79" s="273"/>
      <c r="J79" s="274"/>
      <c r="K79" s="274"/>
      <c r="L79" s="274"/>
      <c r="M79" s="302">
        <v>1.0</v>
      </c>
      <c r="N79" s="274"/>
      <c r="O79" s="274"/>
      <c r="P79" s="274"/>
      <c r="Q79" s="274"/>
      <c r="R79" s="135">
        <f t="shared" si="13"/>
        <v>1</v>
      </c>
      <c r="S79" s="137">
        <f t="shared" si="14"/>
        <v>20</v>
      </c>
      <c r="T79" s="138"/>
      <c r="U79" s="138"/>
      <c r="V79" s="138"/>
      <c r="W79" s="170">
        <v>1.0</v>
      </c>
      <c r="X79" s="170">
        <v>1.0</v>
      </c>
      <c r="Y79" s="151">
        <v>1.0</v>
      </c>
      <c r="Z79" s="151">
        <v>1.0</v>
      </c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4</v>
      </c>
      <c r="AM79" s="183">
        <f t="shared" si="16"/>
        <v>40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85">
        <v>1.0</v>
      </c>
      <c r="AY79" s="133"/>
      <c r="AZ79" s="133"/>
      <c r="BA79" s="133"/>
      <c r="BB79" s="133"/>
      <c r="BC79" s="133"/>
      <c r="BD79" s="133"/>
      <c r="BE79" s="133"/>
      <c r="BF79" s="185">
        <v>1.0</v>
      </c>
      <c r="BG79" s="133"/>
      <c r="BH79" s="133"/>
      <c r="BI79" s="135">
        <f t="shared" si="17"/>
        <v>2</v>
      </c>
      <c r="BJ79" s="186">
        <f t="shared" si="18"/>
        <v>28.57142857</v>
      </c>
      <c r="BK79" s="138"/>
      <c r="BL79" s="170">
        <v>1.0</v>
      </c>
      <c r="BM79" s="170">
        <v>1.0</v>
      </c>
      <c r="BN79" s="151">
        <v>1.0</v>
      </c>
      <c r="BO79" s="138"/>
      <c r="BP79" s="138"/>
      <c r="BQ79" s="138"/>
      <c r="BR79" s="138"/>
      <c r="BS79" s="138"/>
      <c r="BT79" s="150">
        <v>1.0</v>
      </c>
      <c r="BU79" s="187">
        <v>1.0</v>
      </c>
      <c r="BV79" s="152"/>
      <c r="BW79" s="152"/>
      <c r="BX79" s="152"/>
      <c r="BY79" s="217"/>
      <c r="BZ79" s="218"/>
      <c r="CA79" s="218"/>
      <c r="CB79" s="218"/>
      <c r="CC79" s="218"/>
      <c r="CD79" s="218"/>
      <c r="CE79" s="218"/>
      <c r="CF79" s="218"/>
      <c r="CG79" s="218"/>
      <c r="CH79" s="156">
        <f t="shared" si="19"/>
        <v>5</v>
      </c>
      <c r="CI79" s="215">
        <f t="shared" si="20"/>
        <v>45.45454545</v>
      </c>
      <c r="CJ79" s="209"/>
      <c r="CK79" s="153"/>
      <c r="CL79" s="217"/>
      <c r="CM79" s="219"/>
      <c r="CN79" s="219"/>
      <c r="CO79" s="219"/>
      <c r="CP79" s="219"/>
      <c r="CQ79" s="217"/>
      <c r="CR79" s="221"/>
      <c r="CS79" s="221"/>
      <c r="CT79" s="161"/>
      <c r="CU79" s="163">
        <f t="shared" si="21"/>
        <v>0</v>
      </c>
      <c r="CV79" s="194" t="str">
        <f t="shared" si="22"/>
        <v>#DIV/0!</v>
      </c>
      <c r="CW79" s="196"/>
      <c r="CX79" s="167">
        <f t="shared" si="23"/>
        <v>36.36363636</v>
      </c>
      <c r="CY79" s="169">
        <f t="shared" si="8"/>
        <v>12</v>
      </c>
      <c r="CZ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8</v>
      </c>
      <c r="E80" s="127">
        <f t="shared" si="10"/>
        <v>24.24242424</v>
      </c>
      <c r="F80" s="200">
        <f t="shared" si="11"/>
        <v>24.24242424</v>
      </c>
      <c r="G80" s="207">
        <f t="shared" si="12"/>
        <v>24.24242424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>
        <f t="shared" si="14"/>
        <v>0</v>
      </c>
      <c r="T80" s="138"/>
      <c r="U80" s="138"/>
      <c r="V80" s="138"/>
      <c r="W80" s="170">
        <v>1.0</v>
      </c>
      <c r="X80" s="170">
        <v>1.0</v>
      </c>
      <c r="Y80" s="138"/>
      <c r="Z80" s="138"/>
      <c r="AA80" s="138"/>
      <c r="AB80" s="209"/>
      <c r="AC80" s="140"/>
      <c r="AD80" s="140"/>
      <c r="AE80" s="141"/>
      <c r="AF80" s="210"/>
      <c r="AG80" s="211">
        <v>1.0</v>
      </c>
      <c r="AH80" s="210"/>
      <c r="AI80" s="210"/>
      <c r="AJ80" s="212"/>
      <c r="AK80" s="212"/>
      <c r="AL80" s="135">
        <f t="shared" si="15"/>
        <v>3</v>
      </c>
      <c r="AM80" s="183">
        <f t="shared" si="16"/>
        <v>30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>
        <f t="shared" si="18"/>
        <v>0</v>
      </c>
      <c r="BK80" s="138"/>
      <c r="BL80" s="170">
        <v>1.0</v>
      </c>
      <c r="BM80" s="170">
        <v>1.0</v>
      </c>
      <c r="BN80" s="151">
        <v>1.0</v>
      </c>
      <c r="BO80" s="138"/>
      <c r="BP80" s="138"/>
      <c r="BQ80" s="138"/>
      <c r="BR80" s="138"/>
      <c r="BS80" s="151">
        <v>1.0</v>
      </c>
      <c r="BT80" s="150">
        <v>1.0</v>
      </c>
      <c r="BU80" s="152"/>
      <c r="BV80" s="152"/>
      <c r="BW80" s="152"/>
      <c r="BX80" s="152"/>
      <c r="BY80" s="217"/>
      <c r="BZ80" s="218"/>
      <c r="CA80" s="218"/>
      <c r="CB80" s="218"/>
      <c r="CC80" s="218"/>
      <c r="CD80" s="218"/>
      <c r="CE80" s="218"/>
      <c r="CF80" s="218"/>
      <c r="CG80" s="218"/>
      <c r="CH80" s="156">
        <f t="shared" si="19"/>
        <v>5</v>
      </c>
      <c r="CI80" s="215">
        <f t="shared" si="20"/>
        <v>45.45454545</v>
      </c>
      <c r="CJ80" s="209"/>
      <c r="CK80" s="153"/>
      <c r="CL80" s="217"/>
      <c r="CM80" s="219"/>
      <c r="CN80" s="219"/>
      <c r="CO80" s="219"/>
      <c r="CP80" s="219"/>
      <c r="CQ80" s="217"/>
      <c r="CR80" s="221"/>
      <c r="CS80" s="221"/>
      <c r="CT80" s="161"/>
      <c r="CU80" s="163">
        <f t="shared" si="21"/>
        <v>0</v>
      </c>
      <c r="CV80" s="194" t="str">
        <f t="shared" si="22"/>
        <v>#DIV/0!</v>
      </c>
      <c r="CW80" s="196"/>
      <c r="CX80" s="167">
        <f t="shared" si="23"/>
        <v>24.24242424</v>
      </c>
      <c r="CY80" s="169">
        <f t="shared" si="8"/>
        <v>8</v>
      </c>
      <c r="CZ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4</v>
      </c>
      <c r="E81" s="127">
        <f t="shared" si="10"/>
        <v>12.12121212</v>
      </c>
      <c r="F81" s="200">
        <f t="shared" si="11"/>
        <v>12.12121212</v>
      </c>
      <c r="G81" s="207">
        <f t="shared" si="12"/>
        <v>12.12121212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>
        <f t="shared" si="14"/>
        <v>0</v>
      </c>
      <c r="T81" s="138"/>
      <c r="U81" s="138"/>
      <c r="V81" s="138"/>
      <c r="W81" s="132"/>
      <c r="X81" s="132"/>
      <c r="Y81" s="138"/>
      <c r="Z81" s="151">
        <v>1.0</v>
      </c>
      <c r="AA81" s="138"/>
      <c r="AB81" s="209"/>
      <c r="AC81" s="140"/>
      <c r="AD81" s="140"/>
      <c r="AE81" s="141"/>
      <c r="AF81" s="210"/>
      <c r="AG81" s="211">
        <v>1.0</v>
      </c>
      <c r="AH81" s="211">
        <v>1.0</v>
      </c>
      <c r="AI81" s="210"/>
      <c r="AJ81" s="212"/>
      <c r="AK81" s="212"/>
      <c r="AL81" s="135">
        <f t="shared" si="15"/>
        <v>3</v>
      </c>
      <c r="AM81" s="183">
        <f t="shared" si="16"/>
        <v>30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>
        <f t="shared" si="18"/>
        <v>0</v>
      </c>
      <c r="BK81" s="138"/>
      <c r="BL81" s="132"/>
      <c r="BM81" s="132"/>
      <c r="BN81" s="138"/>
      <c r="BO81" s="138"/>
      <c r="BP81" s="138"/>
      <c r="BQ81" s="138"/>
      <c r="BR81" s="138"/>
      <c r="BS81" s="138"/>
      <c r="BT81" s="140"/>
      <c r="BU81" s="187">
        <v>1.0</v>
      </c>
      <c r="BV81" s="152"/>
      <c r="BW81" s="152"/>
      <c r="BX81" s="152"/>
      <c r="BY81" s="217"/>
      <c r="BZ81" s="218"/>
      <c r="CA81" s="218"/>
      <c r="CB81" s="218"/>
      <c r="CC81" s="218"/>
      <c r="CD81" s="218"/>
      <c r="CE81" s="218"/>
      <c r="CF81" s="218"/>
      <c r="CG81" s="218"/>
      <c r="CH81" s="156">
        <f t="shared" si="19"/>
        <v>1</v>
      </c>
      <c r="CI81" s="215">
        <f t="shared" si="20"/>
        <v>9.090909091</v>
      </c>
      <c r="CJ81" s="209"/>
      <c r="CK81" s="153"/>
      <c r="CL81" s="217"/>
      <c r="CM81" s="219"/>
      <c r="CN81" s="219"/>
      <c r="CO81" s="219"/>
      <c r="CP81" s="219"/>
      <c r="CQ81" s="217"/>
      <c r="CR81" s="221"/>
      <c r="CS81" s="221"/>
      <c r="CT81" s="161"/>
      <c r="CU81" s="163">
        <f t="shared" si="21"/>
        <v>0</v>
      </c>
      <c r="CV81" s="194" t="str">
        <f t="shared" si="22"/>
        <v>#DIV/0!</v>
      </c>
      <c r="CW81" s="196"/>
      <c r="CX81" s="167">
        <f t="shared" si="23"/>
        <v>12.12121212</v>
      </c>
      <c r="CY81" s="169">
        <f t="shared" si="8"/>
        <v>4</v>
      </c>
      <c r="CZ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14</v>
      </c>
      <c r="E82" s="127">
        <f t="shared" si="10"/>
        <v>42.42424242</v>
      </c>
      <c r="F82" s="200">
        <f t="shared" si="11"/>
        <v>42.42424242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>
        <f t="shared" si="14"/>
        <v>0</v>
      </c>
      <c r="T82" s="138"/>
      <c r="U82" s="138"/>
      <c r="V82" s="138"/>
      <c r="W82" s="170">
        <v>1.0</v>
      </c>
      <c r="X82" s="170">
        <v>1.0</v>
      </c>
      <c r="Y82" s="151">
        <v>1.0</v>
      </c>
      <c r="Z82" s="151">
        <v>1.0</v>
      </c>
      <c r="AA82" s="138"/>
      <c r="AB82" s="225">
        <v>1.0</v>
      </c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5</v>
      </c>
      <c r="AM82" s="183">
        <f t="shared" si="16"/>
        <v>50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85">
        <v>1.0</v>
      </c>
      <c r="BF82" s="185">
        <v>1.0</v>
      </c>
      <c r="BG82" s="133"/>
      <c r="BH82" s="133"/>
      <c r="BI82" s="135">
        <f t="shared" si="17"/>
        <v>2</v>
      </c>
      <c r="BJ82" s="186">
        <f t="shared" si="18"/>
        <v>28.57142857</v>
      </c>
      <c r="BK82" s="138"/>
      <c r="BL82" s="170">
        <v>1.0</v>
      </c>
      <c r="BM82" s="170">
        <v>1.0</v>
      </c>
      <c r="BN82" s="151">
        <v>1.0</v>
      </c>
      <c r="BO82" s="138"/>
      <c r="BP82" s="151">
        <v>1.0</v>
      </c>
      <c r="BQ82" s="151">
        <v>1.0</v>
      </c>
      <c r="BR82" s="138"/>
      <c r="BS82" s="138"/>
      <c r="BT82" s="150">
        <v>1.0</v>
      </c>
      <c r="BU82" s="187">
        <v>1.0</v>
      </c>
      <c r="BV82" s="152"/>
      <c r="BW82" s="152"/>
      <c r="BX82" s="152"/>
      <c r="BY82" s="217"/>
      <c r="BZ82" s="218"/>
      <c r="CA82" s="218"/>
      <c r="CB82" s="218"/>
      <c r="CC82" s="218"/>
      <c r="CD82" s="218"/>
      <c r="CE82" s="218"/>
      <c r="CF82" s="218"/>
      <c r="CG82" s="218"/>
      <c r="CH82" s="156">
        <f t="shared" si="19"/>
        <v>7</v>
      </c>
      <c r="CI82" s="215">
        <f t="shared" si="20"/>
        <v>63.63636364</v>
      </c>
      <c r="CJ82" s="209"/>
      <c r="CK82" s="153"/>
      <c r="CL82" s="217"/>
      <c r="CM82" s="219"/>
      <c r="CN82" s="219"/>
      <c r="CO82" s="219"/>
      <c r="CP82" s="219"/>
      <c r="CQ82" s="217"/>
      <c r="CR82" s="221"/>
      <c r="CS82" s="221"/>
      <c r="CT82" s="161"/>
      <c r="CU82" s="163">
        <f t="shared" si="21"/>
        <v>0</v>
      </c>
      <c r="CV82" s="194" t="str">
        <f t="shared" si="22"/>
        <v>#DIV/0!</v>
      </c>
      <c r="CW82" s="196"/>
      <c r="CX82" s="167">
        <f t="shared" si="23"/>
        <v>42.42424242</v>
      </c>
      <c r="CY82" s="169">
        <f t="shared" si="8"/>
        <v>14</v>
      </c>
      <c r="CZ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>
        <f t="shared" si="14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2"/>
      <c r="BN83" s="138"/>
      <c r="BO83" s="138"/>
      <c r="BP83" s="138"/>
      <c r="BQ83" s="138"/>
      <c r="BR83" s="138"/>
      <c r="BS83" s="138"/>
      <c r="BT83" s="140"/>
      <c r="BU83" s="152"/>
      <c r="BV83" s="152"/>
      <c r="BW83" s="152"/>
      <c r="BX83" s="152"/>
      <c r="BY83" s="217"/>
      <c r="BZ83" s="218"/>
      <c r="CA83" s="218"/>
      <c r="CB83" s="218"/>
      <c r="CC83" s="218"/>
      <c r="CD83" s="218"/>
      <c r="CE83" s="218"/>
      <c r="CF83" s="218"/>
      <c r="CG83" s="218"/>
      <c r="CH83" s="156">
        <f t="shared" si="19"/>
        <v>0</v>
      </c>
      <c r="CI83" s="309">
        <f t="shared" si="20"/>
        <v>0</v>
      </c>
      <c r="CJ83" s="32"/>
      <c r="CK83" s="153"/>
      <c r="CL83" s="32"/>
      <c r="CM83" s="32"/>
      <c r="CN83" s="32"/>
      <c r="CO83" s="32"/>
      <c r="CP83" s="32"/>
      <c r="CQ83" s="32"/>
      <c r="CR83" s="32"/>
      <c r="CS83" s="32"/>
      <c r="CT83" s="161"/>
      <c r="CU83" s="163">
        <f t="shared" si="21"/>
        <v>0</v>
      </c>
      <c r="CV83" s="194" t="str">
        <f t="shared" si="22"/>
        <v>#DIV/0!</v>
      </c>
      <c r="CW83" s="196"/>
      <c r="CX83" s="167">
        <f t="shared" si="23"/>
        <v>0</v>
      </c>
      <c r="CY83" s="169">
        <f t="shared" si="8"/>
        <v>0</v>
      </c>
      <c r="CZ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8</v>
      </c>
      <c r="E84" s="127">
        <f t="shared" si="10"/>
        <v>24.24242424</v>
      </c>
      <c r="F84" s="200">
        <f t="shared" si="11"/>
        <v>24.24242424</v>
      </c>
      <c r="G84" s="207">
        <f t="shared" si="12"/>
        <v>24.24242424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>
        <f t="shared" si="14"/>
        <v>0</v>
      </c>
      <c r="T84" s="138"/>
      <c r="U84" s="138"/>
      <c r="V84" s="138"/>
      <c r="W84" s="132"/>
      <c r="X84" s="132"/>
      <c r="Y84" s="138"/>
      <c r="Z84" s="151">
        <v>1.0</v>
      </c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1</v>
      </c>
      <c r="AM84" s="280">
        <f t="shared" si="16"/>
        <v>10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85">
        <v>1.0</v>
      </c>
      <c r="BD84" s="133"/>
      <c r="BE84" s="133"/>
      <c r="BF84" s="185">
        <v>1.0</v>
      </c>
      <c r="BG84" s="133"/>
      <c r="BH84" s="133"/>
      <c r="BI84" s="135">
        <f t="shared" si="17"/>
        <v>2</v>
      </c>
      <c r="BJ84" s="281">
        <f t="shared" si="18"/>
        <v>28.57142857</v>
      </c>
      <c r="BK84" s="138"/>
      <c r="BL84" s="132"/>
      <c r="BM84" s="132"/>
      <c r="BN84" s="151">
        <v>1.0</v>
      </c>
      <c r="BO84" s="138"/>
      <c r="BP84" s="151">
        <v>1.0</v>
      </c>
      <c r="BQ84" s="151">
        <v>1.0</v>
      </c>
      <c r="BR84" s="138"/>
      <c r="BS84" s="151">
        <v>1.0</v>
      </c>
      <c r="BT84" s="150">
        <v>1.0</v>
      </c>
      <c r="BU84" s="152"/>
      <c r="BV84" s="152"/>
      <c r="BW84" s="152"/>
      <c r="BX84" s="152"/>
      <c r="BY84" s="217"/>
      <c r="BZ84" s="218"/>
      <c r="CA84" s="218"/>
      <c r="CB84" s="218"/>
      <c r="CC84" s="218"/>
      <c r="CD84" s="218"/>
      <c r="CE84" s="218"/>
      <c r="CF84" s="218"/>
      <c r="CG84" s="218"/>
      <c r="CH84" s="156">
        <f t="shared" si="19"/>
        <v>5</v>
      </c>
      <c r="CI84" s="309">
        <f t="shared" si="20"/>
        <v>45.45454545</v>
      </c>
      <c r="CJ84" s="32"/>
      <c r="CK84" s="153"/>
      <c r="CL84" s="32"/>
      <c r="CM84" s="32"/>
      <c r="CN84" s="32"/>
      <c r="CO84" s="32"/>
      <c r="CP84" s="32"/>
      <c r="CQ84" s="32"/>
      <c r="CR84" s="32"/>
      <c r="CS84" s="32"/>
      <c r="CT84" s="161"/>
      <c r="CU84" s="163">
        <f t="shared" si="21"/>
        <v>0</v>
      </c>
      <c r="CV84" s="194" t="str">
        <f t="shared" si="22"/>
        <v>#DIV/0!</v>
      </c>
      <c r="CW84" s="196"/>
      <c r="CX84" s="167">
        <f t="shared" si="23"/>
        <v>24.24242424</v>
      </c>
      <c r="CY84" s="169">
        <f t="shared" si="8"/>
        <v>8</v>
      </c>
      <c r="CZ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4</v>
      </c>
      <c r="E85" s="127">
        <f t="shared" si="10"/>
        <v>12.12121212</v>
      </c>
      <c r="F85" s="200">
        <f t="shared" si="11"/>
        <v>12.12121212</v>
      </c>
      <c r="G85" s="207">
        <f t="shared" si="12"/>
        <v>12.12121212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>
        <f t="shared" si="14"/>
        <v>0</v>
      </c>
      <c r="T85" s="138"/>
      <c r="U85" s="138"/>
      <c r="V85" s="138"/>
      <c r="W85" s="170">
        <v>1.0</v>
      </c>
      <c r="X85" s="170">
        <v>1.0</v>
      </c>
      <c r="Y85" s="151">
        <v>1.0</v>
      </c>
      <c r="Z85" s="151">
        <v>1.0</v>
      </c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4</v>
      </c>
      <c r="AM85" s="280">
        <f t="shared" si="16"/>
        <v>40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7"/>
        <v>0</v>
      </c>
      <c r="BJ85" s="281">
        <f t="shared" si="18"/>
        <v>0</v>
      </c>
      <c r="BK85" s="138"/>
      <c r="BL85" s="132"/>
      <c r="BM85" s="132"/>
      <c r="BN85" s="138"/>
      <c r="BO85" s="138"/>
      <c r="BP85" s="138"/>
      <c r="BQ85" s="138"/>
      <c r="BR85" s="138"/>
      <c r="BS85" s="138"/>
      <c r="BT85" s="140"/>
      <c r="BU85" s="152"/>
      <c r="BV85" s="152"/>
      <c r="BW85" s="152"/>
      <c r="BX85" s="152"/>
      <c r="BY85" s="217"/>
      <c r="BZ85" s="218"/>
      <c r="CA85" s="218"/>
      <c r="CB85" s="218"/>
      <c r="CC85" s="218"/>
      <c r="CD85" s="218"/>
      <c r="CE85" s="218"/>
      <c r="CF85" s="218"/>
      <c r="CG85" s="218"/>
      <c r="CH85" s="156">
        <f t="shared" si="19"/>
        <v>0</v>
      </c>
      <c r="CI85" s="309">
        <f t="shared" si="20"/>
        <v>0</v>
      </c>
      <c r="CJ85" s="32"/>
      <c r="CK85" s="153"/>
      <c r="CL85" s="32"/>
      <c r="CM85" s="32"/>
      <c r="CN85" s="32"/>
      <c r="CO85" s="32"/>
      <c r="CP85" s="32"/>
      <c r="CQ85" s="32"/>
      <c r="CR85" s="32"/>
      <c r="CS85" s="32"/>
      <c r="CT85" s="32"/>
      <c r="CU85" s="163">
        <f t="shared" si="21"/>
        <v>0</v>
      </c>
      <c r="CV85" s="194" t="str">
        <f t="shared" si="22"/>
        <v>#DIV/0!</v>
      </c>
      <c r="CW85" s="196"/>
      <c r="CX85" s="167">
        <f t="shared" si="23"/>
        <v>12.12121212</v>
      </c>
      <c r="CY85" s="169">
        <f t="shared" si="8"/>
        <v>4</v>
      </c>
      <c r="CZ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13</v>
      </c>
      <c r="E86" s="127">
        <f t="shared" si="10"/>
        <v>39.39393939</v>
      </c>
      <c r="F86" s="200">
        <f t="shared" si="11"/>
        <v>39.39393939</v>
      </c>
      <c r="G86" s="175" t="str">
        <f t="shared" si="12"/>
        <v>  </v>
      </c>
      <c r="H86" s="273"/>
      <c r="I86" s="273"/>
      <c r="J86" s="274"/>
      <c r="K86" s="274"/>
      <c r="L86" s="274"/>
      <c r="M86" s="302">
        <v>1.0</v>
      </c>
      <c r="N86" s="274"/>
      <c r="O86" s="274"/>
      <c r="P86" s="274"/>
      <c r="Q86" s="274"/>
      <c r="R86" s="135">
        <f t="shared" si="13"/>
        <v>1</v>
      </c>
      <c r="S86" s="137">
        <f t="shared" si="14"/>
        <v>20</v>
      </c>
      <c r="T86" s="138"/>
      <c r="U86" s="138"/>
      <c r="V86" s="138"/>
      <c r="W86" s="170">
        <v>1.0</v>
      </c>
      <c r="X86" s="170">
        <v>1.0</v>
      </c>
      <c r="Y86" s="151">
        <v>1.0</v>
      </c>
      <c r="Z86" s="151">
        <v>1.0</v>
      </c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4</v>
      </c>
      <c r="AM86" s="280">
        <f t="shared" si="16"/>
        <v>40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85">
        <v>1.0</v>
      </c>
      <c r="AY86" s="133"/>
      <c r="AZ86" s="133"/>
      <c r="BA86" s="133"/>
      <c r="BB86" s="133"/>
      <c r="BC86" s="133"/>
      <c r="BD86" s="133"/>
      <c r="BE86" s="185">
        <v>1.0</v>
      </c>
      <c r="BF86" s="185">
        <v>1.0</v>
      </c>
      <c r="BG86" s="133"/>
      <c r="BH86" s="133"/>
      <c r="BI86" s="135">
        <f t="shared" si="17"/>
        <v>3</v>
      </c>
      <c r="BJ86" s="281">
        <f t="shared" si="18"/>
        <v>42.85714286</v>
      </c>
      <c r="BK86" s="138"/>
      <c r="BL86" s="170">
        <v>1.0</v>
      </c>
      <c r="BM86" s="170">
        <v>1.0</v>
      </c>
      <c r="BN86" s="151">
        <v>1.0</v>
      </c>
      <c r="BO86" s="138"/>
      <c r="BP86" s="138"/>
      <c r="BQ86" s="138"/>
      <c r="BR86" s="138"/>
      <c r="BS86" s="138"/>
      <c r="BT86" s="150">
        <v>1.0</v>
      </c>
      <c r="BU86" s="187">
        <v>1.0</v>
      </c>
      <c r="BV86" s="152"/>
      <c r="BW86" s="152"/>
      <c r="BX86" s="152"/>
      <c r="BY86" s="217"/>
      <c r="BZ86" s="218"/>
      <c r="CA86" s="218"/>
      <c r="CB86" s="218"/>
      <c r="CC86" s="218"/>
      <c r="CD86" s="218"/>
      <c r="CE86" s="218"/>
      <c r="CF86" s="218"/>
      <c r="CG86" s="218"/>
      <c r="CH86" s="156">
        <f t="shared" si="19"/>
        <v>5</v>
      </c>
      <c r="CI86" s="309">
        <f t="shared" si="20"/>
        <v>45.45454545</v>
      </c>
      <c r="CJ86" s="32"/>
      <c r="CK86" s="153"/>
      <c r="CL86" s="32"/>
      <c r="CM86" s="32"/>
      <c r="CN86" s="32"/>
      <c r="CO86" s="32"/>
      <c r="CP86" s="32"/>
      <c r="CQ86" s="32"/>
      <c r="CR86" s="32"/>
      <c r="CS86" s="32"/>
      <c r="CT86" s="32"/>
      <c r="CU86" s="163">
        <f t="shared" si="21"/>
        <v>0</v>
      </c>
      <c r="CV86" s="194" t="str">
        <f t="shared" si="22"/>
        <v>#DIV/0!</v>
      </c>
      <c r="CW86" s="196"/>
      <c r="CX86" s="167">
        <f t="shared" si="23"/>
        <v>39.39393939</v>
      </c>
      <c r="CY86" s="169">
        <f t="shared" si="8"/>
        <v>13</v>
      </c>
      <c r="CZ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3</v>
      </c>
      <c r="E87" s="127">
        <f t="shared" si="10"/>
        <v>9.090909091</v>
      </c>
      <c r="F87" s="200">
        <f t="shared" si="11"/>
        <v>9.090909091</v>
      </c>
      <c r="G87" s="200">
        <f t="shared" si="12"/>
        <v>9.090909091</v>
      </c>
      <c r="H87" s="273"/>
      <c r="I87" s="273"/>
      <c r="J87" s="274"/>
      <c r="K87" s="274"/>
      <c r="L87" s="274"/>
      <c r="M87" s="274"/>
      <c r="N87" s="302">
        <v>1.0</v>
      </c>
      <c r="O87" s="274"/>
      <c r="P87" s="274"/>
      <c r="Q87" s="274"/>
      <c r="R87" s="135">
        <f t="shared" si="13"/>
        <v>1</v>
      </c>
      <c r="S87" s="137">
        <f t="shared" si="14"/>
        <v>20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290">
        <v>1.0</v>
      </c>
      <c r="AH87" s="32"/>
      <c r="AI87" s="32"/>
      <c r="AJ87" s="279"/>
      <c r="AK87" s="279"/>
      <c r="AL87" s="135">
        <f t="shared" si="15"/>
        <v>1</v>
      </c>
      <c r="AM87" s="280">
        <f t="shared" si="16"/>
        <v>10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>
        <f t="shared" si="18"/>
        <v>0</v>
      </c>
      <c r="BK87" s="138"/>
      <c r="BL87" s="132"/>
      <c r="BM87" s="132"/>
      <c r="BN87" s="138"/>
      <c r="BO87" s="138"/>
      <c r="BP87" s="138"/>
      <c r="BQ87" s="138"/>
      <c r="BR87" s="138"/>
      <c r="BS87" s="151">
        <v>1.0</v>
      </c>
      <c r="BT87" s="140"/>
      <c r="BU87" s="152"/>
      <c r="BV87" s="152"/>
      <c r="BW87" s="152"/>
      <c r="BX87" s="152"/>
      <c r="BY87" s="217"/>
      <c r="BZ87" s="218"/>
      <c r="CA87" s="218"/>
      <c r="CB87" s="218"/>
      <c r="CC87" s="218"/>
      <c r="CD87" s="218"/>
      <c r="CE87" s="218"/>
      <c r="CF87" s="218"/>
      <c r="CG87" s="218"/>
      <c r="CH87" s="156">
        <f t="shared" si="19"/>
        <v>1</v>
      </c>
      <c r="CI87" s="309">
        <f t="shared" si="20"/>
        <v>9.090909091</v>
      </c>
      <c r="CJ87" s="32"/>
      <c r="CK87" s="153"/>
      <c r="CL87" s="32"/>
      <c r="CM87" s="32"/>
      <c r="CN87" s="32"/>
      <c r="CO87" s="32"/>
      <c r="CP87" s="32"/>
      <c r="CQ87" s="32"/>
      <c r="CR87" s="32"/>
      <c r="CS87" s="32"/>
      <c r="CT87" s="32"/>
      <c r="CU87" s="163">
        <f t="shared" si="21"/>
        <v>0</v>
      </c>
      <c r="CV87" s="194" t="str">
        <f t="shared" si="22"/>
        <v>#DIV/0!</v>
      </c>
      <c r="CW87" s="196"/>
      <c r="CX87" s="167">
        <f t="shared" si="23"/>
        <v>9.090909091</v>
      </c>
      <c r="CY87" s="169">
        <f t="shared" si="8"/>
        <v>3</v>
      </c>
      <c r="CZ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7</v>
      </c>
      <c r="E88" s="127">
        <f t="shared" si="10"/>
        <v>21.21212121</v>
      </c>
      <c r="F88" s="200">
        <f t="shared" si="11"/>
        <v>21.21212121</v>
      </c>
      <c r="G88" s="200">
        <f t="shared" si="12"/>
        <v>21.21212121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>
        <f t="shared" si="14"/>
        <v>0</v>
      </c>
      <c r="T88" s="32"/>
      <c r="U88" s="32"/>
      <c r="V88" s="32"/>
      <c r="W88" s="132"/>
      <c r="X88" s="132"/>
      <c r="Y88" s="138"/>
      <c r="Z88" s="138"/>
      <c r="AA88" s="138"/>
      <c r="AB88" s="290">
        <v>1.0</v>
      </c>
      <c r="AC88" s="289"/>
      <c r="AD88" s="289"/>
      <c r="AE88" s="141"/>
      <c r="AF88" s="32"/>
      <c r="AG88" s="290">
        <v>1.0</v>
      </c>
      <c r="AH88" s="290">
        <v>1.0</v>
      </c>
      <c r="AI88" s="32"/>
      <c r="AJ88" s="279"/>
      <c r="AK88" s="279"/>
      <c r="AL88" s="135">
        <f t="shared" si="15"/>
        <v>3</v>
      </c>
      <c r="AM88" s="280">
        <f t="shared" si="16"/>
        <v>30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85">
        <v>1.0</v>
      </c>
      <c r="BF88" s="185">
        <v>1.0</v>
      </c>
      <c r="BG88" s="185">
        <v>1.0</v>
      </c>
      <c r="BH88" s="185">
        <v>1.0</v>
      </c>
      <c r="BI88" s="135">
        <f t="shared" si="17"/>
        <v>4</v>
      </c>
      <c r="BJ88" s="281">
        <f t="shared" si="18"/>
        <v>57.14285714</v>
      </c>
      <c r="BK88" s="138"/>
      <c r="BL88" s="132"/>
      <c r="BM88" s="132"/>
      <c r="BN88" s="138"/>
      <c r="BO88" s="138"/>
      <c r="BP88" s="138"/>
      <c r="BQ88" s="138"/>
      <c r="BR88" s="138"/>
      <c r="BS88" s="138"/>
      <c r="BT88" s="140"/>
      <c r="BU88" s="152"/>
      <c r="BV88" s="152"/>
      <c r="BW88" s="152"/>
      <c r="BX88" s="152"/>
      <c r="BY88" s="32"/>
      <c r="BZ88" s="279"/>
      <c r="CA88" s="279"/>
      <c r="CB88" s="279"/>
      <c r="CC88" s="279"/>
      <c r="CD88" s="279"/>
      <c r="CE88" s="279"/>
      <c r="CF88" s="279"/>
      <c r="CG88" s="279"/>
      <c r="CH88" s="156">
        <f t="shared" si="19"/>
        <v>0</v>
      </c>
      <c r="CI88" s="309">
        <f t="shared" si="20"/>
        <v>0</v>
      </c>
      <c r="CJ88" s="32"/>
      <c r="CK88" s="153"/>
      <c r="CL88" s="32"/>
      <c r="CM88" s="32"/>
      <c r="CN88" s="32"/>
      <c r="CO88" s="32"/>
      <c r="CP88" s="32"/>
      <c r="CQ88" s="32"/>
      <c r="CR88" s="32"/>
      <c r="CS88" s="32"/>
      <c r="CT88" s="32"/>
      <c r="CU88" s="163">
        <f t="shared" si="21"/>
        <v>0</v>
      </c>
      <c r="CV88" s="194" t="str">
        <f t="shared" si="22"/>
        <v>#DIV/0!</v>
      </c>
      <c r="CW88" s="196"/>
      <c r="CX88" s="167">
        <f t="shared" si="23"/>
        <v>21.21212121</v>
      </c>
      <c r="CY88" s="169">
        <f t="shared" si="8"/>
        <v>7</v>
      </c>
      <c r="CZ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>
        <f t="shared" si="14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2"/>
      <c r="BN89" s="138"/>
      <c r="BO89" s="138"/>
      <c r="BP89" s="138"/>
      <c r="BQ89" s="138"/>
      <c r="BR89" s="138"/>
      <c r="BS89" s="138"/>
      <c r="BT89" s="140"/>
      <c r="BU89" s="152"/>
      <c r="BV89" s="152"/>
      <c r="BW89" s="152"/>
      <c r="BX89" s="152"/>
      <c r="BY89" s="32"/>
      <c r="BZ89" s="279"/>
      <c r="CA89" s="279"/>
      <c r="CB89" s="279"/>
      <c r="CC89" s="279"/>
      <c r="CD89" s="279"/>
      <c r="CE89" s="279"/>
      <c r="CF89" s="279"/>
      <c r="CG89" s="279"/>
      <c r="CH89" s="156">
        <f t="shared" si="19"/>
        <v>0</v>
      </c>
      <c r="CI89" s="309">
        <f t="shared" si="20"/>
        <v>0</v>
      </c>
      <c r="CJ89" s="32"/>
      <c r="CK89" s="153"/>
      <c r="CL89" s="32"/>
      <c r="CM89" s="32"/>
      <c r="CN89" s="32"/>
      <c r="CO89" s="32"/>
      <c r="CP89" s="32"/>
      <c r="CQ89" s="32"/>
      <c r="CR89" s="32"/>
      <c r="CS89" s="32"/>
      <c r="CT89" s="32"/>
      <c r="CU89" s="163">
        <f t="shared" si="21"/>
        <v>0</v>
      </c>
      <c r="CV89" s="194" t="str">
        <f t="shared" si="22"/>
        <v>#DIV/0!</v>
      </c>
      <c r="CW89" s="196"/>
      <c r="CX89" s="167">
        <f t="shared" si="23"/>
        <v>0</v>
      </c>
      <c r="CY89" s="169">
        <f t="shared" si="8"/>
        <v>0</v>
      </c>
      <c r="CZ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14</v>
      </c>
      <c r="E90" s="127">
        <f t="shared" si="10"/>
        <v>42.42424242</v>
      </c>
      <c r="F90" s="200">
        <f t="shared" si="11"/>
        <v>42.42424242</v>
      </c>
      <c r="G90" s="175" t="str">
        <f t="shared" si="12"/>
        <v>  </v>
      </c>
      <c r="H90" s="287"/>
      <c r="I90" s="287"/>
      <c r="J90" s="288"/>
      <c r="K90" s="288"/>
      <c r="L90" s="304">
        <v>1.0</v>
      </c>
      <c r="M90" s="288"/>
      <c r="N90" s="288"/>
      <c r="O90" s="288"/>
      <c r="P90" s="288"/>
      <c r="Q90" s="288"/>
      <c r="R90" s="135">
        <f t="shared" si="13"/>
        <v>1</v>
      </c>
      <c r="S90" s="137">
        <f t="shared" si="14"/>
        <v>20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290">
        <v>1.0</v>
      </c>
      <c r="AH90" s="290">
        <v>1.0</v>
      </c>
      <c r="AI90" s="290">
        <v>1.0</v>
      </c>
      <c r="AJ90" s="279"/>
      <c r="AK90" s="279"/>
      <c r="AL90" s="135">
        <f t="shared" si="15"/>
        <v>3</v>
      </c>
      <c r="AM90" s="280">
        <f t="shared" si="16"/>
        <v>30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85">
        <v>1.0</v>
      </c>
      <c r="BF90" s="185">
        <v>1.0</v>
      </c>
      <c r="BG90" s="133"/>
      <c r="BH90" s="185">
        <v>1.0</v>
      </c>
      <c r="BI90" s="135">
        <f t="shared" si="17"/>
        <v>3</v>
      </c>
      <c r="BJ90" s="281">
        <f t="shared" si="18"/>
        <v>42.85714286</v>
      </c>
      <c r="BK90" s="151">
        <v>1.0</v>
      </c>
      <c r="BL90" s="170">
        <v>1.0</v>
      </c>
      <c r="BM90" s="170">
        <v>1.0</v>
      </c>
      <c r="BN90" s="138"/>
      <c r="BO90" s="151">
        <v>1.0</v>
      </c>
      <c r="BP90" s="151">
        <v>1.0</v>
      </c>
      <c r="BQ90" s="151">
        <v>1.0</v>
      </c>
      <c r="BR90" s="138"/>
      <c r="BS90" s="151">
        <v>1.0</v>
      </c>
      <c r="BT90" s="140"/>
      <c r="BU90" s="152"/>
      <c r="BV90" s="152"/>
      <c r="BW90" s="152"/>
      <c r="BX90" s="152"/>
      <c r="BY90" s="32"/>
      <c r="BZ90" s="279"/>
      <c r="CA90" s="279"/>
      <c r="CB90" s="279"/>
      <c r="CC90" s="279"/>
      <c r="CD90" s="279"/>
      <c r="CE90" s="279"/>
      <c r="CF90" s="279"/>
      <c r="CG90" s="279"/>
      <c r="CH90" s="156">
        <f t="shared" si="19"/>
        <v>7</v>
      </c>
      <c r="CI90" s="309">
        <f t="shared" si="20"/>
        <v>63.63636364</v>
      </c>
      <c r="CJ90" s="32"/>
      <c r="CK90" s="153"/>
      <c r="CL90" s="32"/>
      <c r="CM90" s="32"/>
      <c r="CN90" s="32"/>
      <c r="CO90" s="32"/>
      <c r="CP90" s="32"/>
      <c r="CQ90" s="32"/>
      <c r="CR90" s="32"/>
      <c r="CS90" s="32"/>
      <c r="CT90" s="32"/>
      <c r="CU90" s="163">
        <f t="shared" si="21"/>
        <v>0</v>
      </c>
      <c r="CV90" s="194" t="str">
        <f t="shared" si="22"/>
        <v>#DIV/0!</v>
      </c>
      <c r="CW90" s="196"/>
      <c r="CX90" s="167">
        <f t="shared" si="23"/>
        <v>42.42424242</v>
      </c>
      <c r="CY90" s="169">
        <f t="shared" si="8"/>
        <v>14</v>
      </c>
      <c r="CZ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5</v>
      </c>
      <c r="E91" s="127">
        <f t="shared" si="10"/>
        <v>15.15151515</v>
      </c>
      <c r="F91" s="200">
        <f t="shared" si="11"/>
        <v>15.15151515</v>
      </c>
      <c r="G91" s="200">
        <f t="shared" si="12"/>
        <v>15.15151515</v>
      </c>
      <c r="H91" s="287"/>
      <c r="I91" s="287"/>
      <c r="J91" s="288"/>
      <c r="K91" s="288"/>
      <c r="L91" s="304">
        <v>1.0</v>
      </c>
      <c r="M91" s="288"/>
      <c r="N91" s="304">
        <v>1.0</v>
      </c>
      <c r="O91" s="288"/>
      <c r="P91" s="288"/>
      <c r="Q91" s="288"/>
      <c r="R91" s="135">
        <f t="shared" si="13"/>
        <v>2</v>
      </c>
      <c r="S91" s="137">
        <f t="shared" si="14"/>
        <v>40</v>
      </c>
      <c r="T91" s="32"/>
      <c r="U91" s="32"/>
      <c r="V91" s="32"/>
      <c r="W91" s="132"/>
      <c r="X91" s="132"/>
      <c r="Y91" s="138"/>
      <c r="Z91" s="151">
        <v>1.0</v>
      </c>
      <c r="AA91" s="138"/>
      <c r="AB91" s="32"/>
      <c r="AC91" s="289"/>
      <c r="AD91" s="289"/>
      <c r="AE91" s="141"/>
      <c r="AF91" s="32"/>
      <c r="AG91" s="290">
        <v>1.0</v>
      </c>
      <c r="AH91" s="32"/>
      <c r="AI91" s="32"/>
      <c r="AJ91" s="279"/>
      <c r="AK91" s="279"/>
      <c r="AL91" s="135">
        <f t="shared" si="15"/>
        <v>2</v>
      </c>
      <c r="AM91" s="280">
        <f t="shared" si="16"/>
        <v>20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>
        <f t="shared" si="18"/>
        <v>0</v>
      </c>
      <c r="BK91" s="138"/>
      <c r="BL91" s="132"/>
      <c r="BM91" s="132"/>
      <c r="BN91" s="138"/>
      <c r="BO91" s="138"/>
      <c r="BP91" s="138"/>
      <c r="BQ91" s="138"/>
      <c r="BR91" s="138"/>
      <c r="BS91" s="151">
        <v>1.0</v>
      </c>
      <c r="BT91" s="140"/>
      <c r="BU91" s="152"/>
      <c r="BV91" s="152"/>
      <c r="BW91" s="152"/>
      <c r="BX91" s="152"/>
      <c r="BY91" s="32"/>
      <c r="BZ91" s="279"/>
      <c r="CA91" s="279"/>
      <c r="CB91" s="279"/>
      <c r="CC91" s="279"/>
      <c r="CD91" s="279"/>
      <c r="CE91" s="279"/>
      <c r="CF91" s="279"/>
      <c r="CG91" s="279"/>
      <c r="CH91" s="156">
        <f t="shared" si="19"/>
        <v>1</v>
      </c>
      <c r="CI91" s="309">
        <f t="shared" si="20"/>
        <v>9.090909091</v>
      </c>
      <c r="CJ91" s="32"/>
      <c r="CK91" s="153"/>
      <c r="CL91" s="32"/>
      <c r="CM91" s="32"/>
      <c r="CN91" s="32"/>
      <c r="CO91" s="32"/>
      <c r="CP91" s="32"/>
      <c r="CQ91" s="32"/>
      <c r="CR91" s="32"/>
      <c r="CS91" s="32"/>
      <c r="CT91" s="32"/>
      <c r="CU91" s="163">
        <f t="shared" si="21"/>
        <v>0</v>
      </c>
      <c r="CV91" s="194" t="str">
        <f t="shared" si="22"/>
        <v>#DIV/0!</v>
      </c>
      <c r="CW91" s="196"/>
      <c r="CX91" s="167">
        <f t="shared" si="23"/>
        <v>15.15151515</v>
      </c>
      <c r="CY91" s="169">
        <f t="shared" si="8"/>
        <v>5</v>
      </c>
      <c r="CZ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13</v>
      </c>
      <c r="E92" s="127">
        <f t="shared" si="10"/>
        <v>39.39393939</v>
      </c>
      <c r="F92" s="200">
        <f t="shared" si="11"/>
        <v>39.39393939</v>
      </c>
      <c r="G92" s="200" t="str">
        <f t="shared" si="12"/>
        <v>  </v>
      </c>
      <c r="H92" s="287"/>
      <c r="I92" s="287"/>
      <c r="J92" s="288"/>
      <c r="K92" s="288"/>
      <c r="L92" s="288"/>
      <c r="M92" s="288"/>
      <c r="N92" s="304">
        <v>1.0</v>
      </c>
      <c r="O92" s="288"/>
      <c r="P92" s="288"/>
      <c r="Q92" s="288"/>
      <c r="R92" s="135">
        <f t="shared" si="13"/>
        <v>1</v>
      </c>
      <c r="S92" s="137">
        <f t="shared" si="14"/>
        <v>20</v>
      </c>
      <c r="T92" s="32"/>
      <c r="U92" s="32"/>
      <c r="V92" s="32"/>
      <c r="W92" s="32"/>
      <c r="X92" s="32"/>
      <c r="Y92" s="32"/>
      <c r="Z92" s="32"/>
      <c r="AA92" s="32"/>
      <c r="AB92" s="290">
        <v>1.0</v>
      </c>
      <c r="AC92" s="32"/>
      <c r="AD92" s="32"/>
      <c r="AE92" s="32"/>
      <c r="AF92" s="32"/>
      <c r="AG92" s="290">
        <v>1.0</v>
      </c>
      <c r="AH92" s="32"/>
      <c r="AI92" s="32"/>
      <c r="AJ92" s="279"/>
      <c r="AK92" s="279"/>
      <c r="AL92" s="135">
        <f t="shared" si="15"/>
        <v>2</v>
      </c>
      <c r="AM92" s="280">
        <f t="shared" si="16"/>
        <v>20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85">
        <v>1.0</v>
      </c>
      <c r="BF92" s="185">
        <v>1.0</v>
      </c>
      <c r="BG92" s="185">
        <v>1.0</v>
      </c>
      <c r="BH92" s="133"/>
      <c r="BI92" s="135">
        <f t="shared" si="17"/>
        <v>3</v>
      </c>
      <c r="BJ92" s="281">
        <f t="shared" si="18"/>
        <v>42.85714286</v>
      </c>
      <c r="BK92" s="138"/>
      <c r="BL92" s="170">
        <v>1.0</v>
      </c>
      <c r="BM92" s="170">
        <v>1.0</v>
      </c>
      <c r="BN92" s="138"/>
      <c r="BO92" s="151">
        <v>1.0</v>
      </c>
      <c r="BP92" s="151">
        <v>1.0</v>
      </c>
      <c r="BQ92" s="151">
        <v>1.0</v>
      </c>
      <c r="BR92" s="138"/>
      <c r="BS92" s="151">
        <v>1.0</v>
      </c>
      <c r="BT92" s="150">
        <v>1.0</v>
      </c>
      <c r="BU92" s="152"/>
      <c r="BV92" s="152"/>
      <c r="BW92" s="152"/>
      <c r="BX92" s="152"/>
      <c r="BY92" s="32"/>
      <c r="BZ92" s="279"/>
      <c r="CA92" s="279"/>
      <c r="CB92" s="279"/>
      <c r="CC92" s="279"/>
      <c r="CD92" s="279"/>
      <c r="CE92" s="279"/>
      <c r="CF92" s="279"/>
      <c r="CG92" s="279"/>
      <c r="CH92" s="156">
        <f t="shared" si="19"/>
        <v>7</v>
      </c>
      <c r="CI92" s="309">
        <f t="shared" si="20"/>
        <v>63.63636364</v>
      </c>
      <c r="CJ92" s="32"/>
      <c r="CK92" s="153"/>
      <c r="CL92" s="32"/>
      <c r="CM92" s="32"/>
      <c r="CN92" s="32"/>
      <c r="CO92" s="32"/>
      <c r="CP92" s="32"/>
      <c r="CQ92" s="32"/>
      <c r="CR92" s="32"/>
      <c r="CS92" s="32"/>
      <c r="CT92" s="32"/>
      <c r="CU92" s="163">
        <f t="shared" si="21"/>
        <v>0</v>
      </c>
      <c r="CV92" s="194" t="str">
        <f t="shared" si="22"/>
        <v>#DIV/0!</v>
      </c>
      <c r="CW92" s="196"/>
      <c r="CX92" s="167">
        <f t="shared" si="23"/>
        <v>39.39393939</v>
      </c>
      <c r="CY92" s="169">
        <f t="shared" si="8"/>
        <v>13</v>
      </c>
      <c r="CZ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>
        <f t="shared" si="1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279"/>
      <c r="CA93" s="279"/>
      <c r="CB93" s="279"/>
      <c r="CC93" s="279"/>
      <c r="CD93" s="279"/>
      <c r="CE93" s="279"/>
      <c r="CF93" s="279"/>
      <c r="CG93" s="279"/>
      <c r="CH93" s="156">
        <f t="shared" si="19"/>
        <v>0</v>
      </c>
      <c r="CI93" s="309">
        <f t="shared" si="20"/>
        <v>0</v>
      </c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163">
        <f t="shared" si="21"/>
        <v>0</v>
      </c>
      <c r="CV93" s="194" t="str">
        <f t="shared" si="22"/>
        <v>#DIV/0!</v>
      </c>
      <c r="CW93" s="196"/>
      <c r="CX93" s="167">
        <f t="shared" si="23"/>
        <v>0</v>
      </c>
      <c r="CY93" s="169">
        <f t="shared" si="8"/>
        <v>0</v>
      </c>
      <c r="CZ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9"/>
      <c r="CI94" s="11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9"/>
      <c r="CZ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9"/>
      <c r="CI95" s="11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9"/>
      <c r="CZ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9"/>
      <c r="CI96" s="11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9"/>
      <c r="CZ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9"/>
      <c r="CI97" s="11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9"/>
      <c r="CZ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9"/>
      <c r="CI98" s="11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9"/>
      <c r="CZ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9"/>
      <c r="CI99" s="11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9"/>
      <c r="CZ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9"/>
      <c r="CI100" s="11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9"/>
      <c r="CZ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9"/>
      <c r="CI101" s="11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9"/>
      <c r="CZ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9"/>
      <c r="CI102" s="11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9"/>
      <c r="CZ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9"/>
      <c r="CI103" s="11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9"/>
      <c r="CZ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9"/>
      <c r="CI104" s="11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9"/>
      <c r="CZ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9"/>
      <c r="CI105" s="11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9"/>
      <c r="CZ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9"/>
      <c r="CI106" s="11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9"/>
      <c r="CZ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9"/>
      <c r="CI107" s="11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9"/>
      <c r="CZ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9"/>
      <c r="CI108" s="11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9"/>
      <c r="CZ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9"/>
      <c r="CI109" s="11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9"/>
      <c r="CZ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9"/>
      <c r="CI110" s="11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9"/>
      <c r="CZ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9"/>
      <c r="CI111" s="11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9"/>
      <c r="CZ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9"/>
      <c r="CI112" s="11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9"/>
      <c r="CZ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9"/>
      <c r="CI113" s="11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9"/>
      <c r="CZ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9"/>
      <c r="CI114" s="11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9"/>
      <c r="CZ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9"/>
      <c r="CI115" s="11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9"/>
      <c r="CZ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9"/>
      <c r="CI116" s="11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9"/>
      <c r="CZ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9"/>
      <c r="CI117" s="11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9"/>
      <c r="CZ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9"/>
      <c r="CI118" s="11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9"/>
      <c r="CZ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9"/>
      <c r="CI119" s="11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9"/>
      <c r="CZ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9"/>
      <c r="CI120" s="11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9"/>
      <c r="CZ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9"/>
      <c r="CI121" s="11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9"/>
      <c r="CZ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9"/>
      <c r="CI122" s="11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9"/>
      <c r="CZ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9"/>
      <c r="CI123" s="11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9"/>
      <c r="CZ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9"/>
      <c r="CI124" s="11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9"/>
      <c r="CZ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9"/>
      <c r="CI125" s="11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9"/>
      <c r="CZ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9"/>
      <c r="CI126" s="11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9"/>
      <c r="CZ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9"/>
      <c r="CI127" s="11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9"/>
      <c r="CZ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9"/>
      <c r="CI128" s="11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9"/>
      <c r="CZ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9"/>
      <c r="CI129" s="11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9"/>
      <c r="CZ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9"/>
      <c r="CI130" s="11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9"/>
      <c r="CZ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9"/>
      <c r="CI131" s="11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9"/>
      <c r="CZ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9"/>
      <c r="CI132" s="11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9"/>
      <c r="CZ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9"/>
      <c r="CI133" s="11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9"/>
      <c r="CZ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9"/>
      <c r="CI134" s="11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9"/>
      <c r="CZ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9"/>
      <c r="CI135" s="11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9"/>
      <c r="CZ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9"/>
      <c r="CI136" s="11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9"/>
      <c r="CZ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9"/>
      <c r="CI137" s="11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9"/>
      <c r="CZ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9"/>
      <c r="CI138" s="11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9"/>
      <c r="CZ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9"/>
      <c r="CI139" s="11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9"/>
      <c r="CZ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9"/>
      <c r="CI140" s="11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9"/>
      <c r="CZ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9"/>
      <c r="CI141" s="11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9"/>
      <c r="CZ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9"/>
      <c r="CI142" s="11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9"/>
      <c r="CZ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9"/>
      <c r="CI143" s="11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9"/>
      <c r="CZ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9"/>
      <c r="CI144" s="11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9"/>
      <c r="CZ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9"/>
      <c r="CI145" s="11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9"/>
      <c r="CZ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9"/>
      <c r="CI146" s="11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9"/>
      <c r="CZ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9"/>
      <c r="CI147" s="11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9"/>
      <c r="CZ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9"/>
      <c r="CI148" s="11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9"/>
      <c r="CZ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9"/>
      <c r="CI149" s="11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9"/>
      <c r="CZ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9"/>
      <c r="CI150" s="11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9"/>
      <c r="CZ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9"/>
      <c r="CI151" s="11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9"/>
      <c r="CZ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9"/>
      <c r="CI152" s="11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9"/>
      <c r="CZ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9"/>
      <c r="CI153" s="11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9"/>
      <c r="CZ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9"/>
      <c r="CI154" s="11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9"/>
      <c r="CZ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9"/>
      <c r="CI155" s="11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9"/>
      <c r="CZ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9"/>
      <c r="CI156" s="11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9"/>
      <c r="CZ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9"/>
      <c r="CI157" s="11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9"/>
      <c r="CZ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9"/>
      <c r="CI158" s="11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9"/>
      <c r="CZ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9"/>
      <c r="CI159" s="11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9"/>
      <c r="CZ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9"/>
      <c r="CI160" s="11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9"/>
      <c r="CZ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9"/>
      <c r="CI161" s="11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9"/>
      <c r="CZ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9"/>
      <c r="CI162" s="11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9"/>
      <c r="CZ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9"/>
      <c r="CI163" s="11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9"/>
      <c r="CZ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9"/>
      <c r="CI164" s="11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9"/>
      <c r="CZ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9"/>
      <c r="CI165" s="11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9"/>
      <c r="CZ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9"/>
      <c r="CI166" s="11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9"/>
      <c r="CZ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9"/>
      <c r="CI167" s="11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9"/>
      <c r="CZ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9"/>
      <c r="CI168" s="11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9"/>
      <c r="CZ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9"/>
      <c r="CI169" s="11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9"/>
      <c r="CZ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9"/>
      <c r="CI170" s="11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9"/>
      <c r="CZ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9"/>
      <c r="CI171" s="11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9"/>
      <c r="CZ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9"/>
      <c r="CI172" s="11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9"/>
      <c r="CZ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9"/>
      <c r="CI173" s="11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9"/>
      <c r="CZ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9"/>
      <c r="CI174" s="11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9"/>
      <c r="CZ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9"/>
      <c r="CI175" s="11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9"/>
      <c r="CZ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9"/>
      <c r="CI176" s="11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9"/>
      <c r="CZ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9"/>
      <c r="CI177" s="11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9"/>
      <c r="CZ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9"/>
      <c r="CI178" s="11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9"/>
      <c r="CZ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9"/>
      <c r="CI179" s="11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9"/>
      <c r="CZ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9"/>
      <c r="CI180" s="11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9"/>
      <c r="CZ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9"/>
      <c r="CI181" s="11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9"/>
      <c r="CZ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9"/>
      <c r="CI182" s="11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9"/>
      <c r="CZ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9"/>
      <c r="CI183" s="11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9"/>
      <c r="CZ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9"/>
      <c r="CI184" s="11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9"/>
      <c r="CZ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9"/>
      <c r="CI185" s="11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9"/>
      <c r="CZ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9"/>
      <c r="CI186" s="11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9"/>
      <c r="CZ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9"/>
      <c r="CI187" s="11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9"/>
      <c r="CZ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9"/>
      <c r="CI188" s="11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9"/>
      <c r="CZ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9"/>
      <c r="CI189" s="11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9"/>
      <c r="CZ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9"/>
      <c r="CI190" s="11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9"/>
      <c r="CZ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9"/>
      <c r="CI191" s="11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9"/>
      <c r="CZ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9"/>
      <c r="CI192" s="11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9"/>
      <c r="CZ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9"/>
      <c r="CI193" s="11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9"/>
      <c r="CZ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9"/>
      <c r="CI194" s="11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9"/>
      <c r="CZ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9"/>
      <c r="CI195" s="11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9"/>
      <c r="CZ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9"/>
      <c r="CI196" s="11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9"/>
      <c r="CZ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9"/>
      <c r="CI197" s="11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9"/>
      <c r="CZ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9"/>
      <c r="CI198" s="11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9"/>
      <c r="CZ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9"/>
      <c r="CI199" s="11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9"/>
      <c r="CZ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9"/>
      <c r="CI200" s="11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9"/>
      <c r="CZ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9"/>
      <c r="CI201" s="11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9"/>
      <c r="CZ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9"/>
      <c r="CI202" s="11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9"/>
      <c r="CZ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9"/>
      <c r="CI203" s="11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9"/>
      <c r="CZ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9"/>
      <c r="CI204" s="11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9"/>
      <c r="CZ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9"/>
      <c r="CI205" s="11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9"/>
      <c r="CZ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9"/>
      <c r="CI206" s="11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9"/>
      <c r="CZ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9"/>
      <c r="CI207" s="11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9"/>
      <c r="CZ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9"/>
      <c r="CI208" s="11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9"/>
      <c r="CZ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9"/>
      <c r="CI209" s="11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9"/>
      <c r="CZ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9"/>
      <c r="CI210" s="11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9"/>
      <c r="CZ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9"/>
      <c r="CI211" s="11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9"/>
      <c r="CZ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9"/>
      <c r="CI212" s="11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9"/>
      <c r="CZ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9"/>
      <c r="CI213" s="11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9"/>
      <c r="CZ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9"/>
      <c r="CI214" s="11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9"/>
      <c r="CZ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9"/>
      <c r="CI215" s="11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9"/>
      <c r="CZ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9"/>
      <c r="CI216" s="11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9"/>
      <c r="CZ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9"/>
      <c r="CI217" s="11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9"/>
      <c r="CZ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9"/>
      <c r="CI218" s="11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9"/>
      <c r="CZ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9"/>
      <c r="CI219" s="11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9"/>
      <c r="CZ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9"/>
      <c r="CI220" s="11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9"/>
      <c r="CZ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9"/>
      <c r="CI221" s="11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9"/>
      <c r="CZ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9"/>
      <c r="CI222" s="11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9"/>
      <c r="CZ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9"/>
      <c r="CI223" s="11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9"/>
      <c r="CZ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9"/>
      <c r="CI224" s="11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9"/>
      <c r="CZ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9"/>
      <c r="CI225" s="11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9"/>
      <c r="CZ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9"/>
      <c r="CI226" s="11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9"/>
      <c r="CZ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9"/>
      <c r="CI227" s="11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9"/>
      <c r="CZ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9"/>
      <c r="CI228" s="11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9"/>
      <c r="CZ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9"/>
      <c r="CI229" s="11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9"/>
      <c r="CZ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9"/>
      <c r="CI230" s="11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9"/>
      <c r="CZ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9"/>
      <c r="CI231" s="11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9"/>
      <c r="CZ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9"/>
      <c r="CI232" s="11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9"/>
      <c r="CZ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9"/>
      <c r="CI233" s="11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9"/>
      <c r="CZ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9"/>
      <c r="CI234" s="11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9"/>
      <c r="CZ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9"/>
      <c r="CI235" s="11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9"/>
      <c r="CZ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9"/>
      <c r="CI236" s="11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9"/>
      <c r="CZ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9"/>
      <c r="CI237" s="11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9"/>
      <c r="CZ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9"/>
      <c r="CI238" s="11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9"/>
      <c r="CZ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9"/>
      <c r="CI239" s="11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9"/>
      <c r="CZ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9"/>
      <c r="CI240" s="11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9"/>
      <c r="CZ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9"/>
      <c r="CI241" s="11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9"/>
      <c r="CZ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9"/>
      <c r="CI242" s="11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9"/>
      <c r="CZ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9"/>
      <c r="CI243" s="11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9"/>
      <c r="CZ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9"/>
      <c r="CI244" s="11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9"/>
      <c r="CZ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9"/>
      <c r="CI245" s="11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9"/>
      <c r="CZ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9"/>
      <c r="CI246" s="11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9"/>
      <c r="CZ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9"/>
      <c r="CI247" s="11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9"/>
      <c r="CZ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9"/>
      <c r="CI248" s="11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9"/>
      <c r="CZ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9"/>
      <c r="CI249" s="11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9"/>
      <c r="CZ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9"/>
      <c r="CI250" s="11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9"/>
      <c r="CZ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9"/>
      <c r="CI251" s="11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9"/>
      <c r="CZ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9"/>
      <c r="CI252" s="11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9"/>
      <c r="CZ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9"/>
      <c r="CI253" s="11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9"/>
      <c r="CZ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9"/>
      <c r="CI254" s="11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9"/>
      <c r="CZ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9"/>
      <c r="CI255" s="11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9"/>
      <c r="CZ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9"/>
      <c r="CI256" s="11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9"/>
      <c r="CZ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9"/>
      <c r="CI257" s="11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9"/>
      <c r="CZ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9"/>
      <c r="CI258" s="11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9"/>
      <c r="CZ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9"/>
      <c r="CI259" s="11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9"/>
      <c r="CZ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9"/>
      <c r="CI260" s="11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9"/>
      <c r="CZ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9"/>
      <c r="CI261" s="11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9"/>
      <c r="CZ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9"/>
      <c r="CI262" s="11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9"/>
      <c r="CZ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9"/>
      <c r="CI263" s="11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9"/>
      <c r="CZ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9"/>
      <c r="CI264" s="11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9"/>
      <c r="CZ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9"/>
      <c r="CI265" s="11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9"/>
      <c r="CZ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9"/>
      <c r="CI266" s="11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9"/>
      <c r="CZ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9"/>
      <c r="CI267" s="11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9"/>
      <c r="CZ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9"/>
      <c r="CI268" s="11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9"/>
      <c r="CZ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9"/>
      <c r="CI269" s="11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9"/>
      <c r="CZ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9"/>
      <c r="CI270" s="11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9"/>
      <c r="CZ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9"/>
      <c r="CI271" s="11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9"/>
      <c r="CZ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9"/>
      <c r="CI272" s="11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9"/>
      <c r="CZ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9"/>
      <c r="CI273" s="11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9"/>
      <c r="CZ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9"/>
      <c r="CI274" s="11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9"/>
      <c r="CZ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9"/>
      <c r="CI275" s="11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9"/>
      <c r="CZ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9"/>
      <c r="CI276" s="11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9"/>
      <c r="CZ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9"/>
      <c r="CI277" s="11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9"/>
      <c r="CZ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9"/>
      <c r="CI278" s="11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9"/>
      <c r="CZ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9"/>
      <c r="CI279" s="11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9"/>
      <c r="CZ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9"/>
      <c r="CI280" s="11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9"/>
      <c r="CZ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9"/>
      <c r="CI281" s="11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9"/>
      <c r="CZ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9"/>
      <c r="CI282" s="11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9"/>
      <c r="CZ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9"/>
      <c r="CI283" s="11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9"/>
      <c r="CZ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9"/>
      <c r="CI284" s="11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9"/>
      <c r="CZ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9"/>
      <c r="CI285" s="11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9"/>
      <c r="CZ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9"/>
      <c r="CI286" s="11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9"/>
      <c r="CZ286" s="10"/>
    </row>
    <row r="287" ht="15.75" customHeight="1">
      <c r="CI287" s="319"/>
    </row>
    <row r="288" ht="15.75" customHeight="1">
      <c r="CI288" s="319"/>
    </row>
    <row r="289" ht="15.75" customHeight="1">
      <c r="CI289" s="319"/>
    </row>
    <row r="290" ht="15.75" customHeight="1">
      <c r="CI290" s="319"/>
    </row>
    <row r="291" ht="15.75" customHeight="1">
      <c r="CI291" s="319"/>
    </row>
    <row r="292" ht="15.75" customHeight="1">
      <c r="CI292" s="319"/>
    </row>
    <row r="293" ht="15.75" customHeight="1">
      <c r="CI293" s="319"/>
    </row>
    <row r="294" ht="15.75" customHeight="1">
      <c r="CI294" s="319"/>
    </row>
    <row r="295" ht="15.75" customHeight="1">
      <c r="CI295" s="319"/>
    </row>
    <row r="296" ht="15.75" customHeight="1">
      <c r="CI296" s="319"/>
    </row>
    <row r="297" ht="15.75" customHeight="1">
      <c r="CI297" s="319"/>
    </row>
    <row r="298" ht="15.75" customHeight="1">
      <c r="CI298" s="319"/>
    </row>
    <row r="299" ht="15.75" customHeight="1">
      <c r="CI299" s="319"/>
    </row>
    <row r="300" ht="15.75" customHeight="1">
      <c r="CI300" s="319"/>
    </row>
    <row r="301" ht="15.75" customHeight="1">
      <c r="CI301" s="319"/>
    </row>
    <row r="302" ht="15.75" customHeight="1">
      <c r="CI302" s="319"/>
    </row>
    <row r="303" ht="15.75" customHeight="1">
      <c r="CI303" s="319"/>
    </row>
    <row r="304" ht="15.75" customHeight="1">
      <c r="CI304" s="319"/>
    </row>
    <row r="305" ht="15.75" customHeight="1">
      <c r="CI305" s="319"/>
    </row>
    <row r="306" ht="15.75" customHeight="1">
      <c r="CI306" s="319"/>
    </row>
    <row r="307" ht="15.75" customHeight="1">
      <c r="CI307" s="319"/>
    </row>
    <row r="308" ht="15.75" customHeight="1">
      <c r="CI308" s="319"/>
    </row>
    <row r="309" ht="15.75" customHeight="1">
      <c r="CI309" s="319"/>
    </row>
    <row r="310" ht="15.75" customHeight="1">
      <c r="CI310" s="319"/>
    </row>
    <row r="311" ht="15.75" customHeight="1">
      <c r="CI311" s="319"/>
    </row>
    <row r="312" ht="15.75" customHeight="1">
      <c r="CI312" s="319"/>
    </row>
    <row r="313" ht="15.75" customHeight="1">
      <c r="CI313" s="319"/>
    </row>
    <row r="314" ht="15.75" customHeight="1">
      <c r="CI314" s="319"/>
    </row>
    <row r="315" ht="15.75" customHeight="1">
      <c r="CI315" s="319"/>
    </row>
    <row r="316" ht="15.75" customHeight="1">
      <c r="CI316" s="319"/>
    </row>
    <row r="317" ht="15.75" customHeight="1">
      <c r="CI317" s="319"/>
    </row>
    <row r="318" ht="15.75" customHeight="1">
      <c r="CI318" s="319"/>
    </row>
    <row r="319" ht="15.75" customHeight="1">
      <c r="CI319" s="319"/>
    </row>
    <row r="320" ht="15.75" customHeight="1">
      <c r="CI320" s="319"/>
    </row>
    <row r="321" ht="15.75" customHeight="1">
      <c r="CI321" s="319"/>
    </row>
    <row r="322" ht="15.75" customHeight="1">
      <c r="CI322" s="319"/>
    </row>
    <row r="323" ht="15.75" customHeight="1">
      <c r="CI323" s="319"/>
    </row>
    <row r="324" ht="15.75" customHeight="1">
      <c r="CI324" s="319"/>
    </row>
    <row r="325" ht="15.75" customHeight="1">
      <c r="CI325" s="319"/>
    </row>
    <row r="326" ht="15.75" customHeight="1">
      <c r="CI326" s="319"/>
    </row>
    <row r="327" ht="15.75" customHeight="1">
      <c r="CI327" s="319"/>
    </row>
    <row r="328" ht="15.75" customHeight="1">
      <c r="CI328" s="319"/>
    </row>
    <row r="329" ht="15.75" customHeight="1">
      <c r="CI329" s="319"/>
    </row>
    <row r="330" ht="15.75" customHeight="1">
      <c r="CI330" s="319"/>
    </row>
    <row r="331" ht="15.75" customHeight="1">
      <c r="CI331" s="319"/>
    </row>
    <row r="332" ht="15.75" customHeight="1">
      <c r="CI332" s="319"/>
    </row>
    <row r="333" ht="15.75" customHeight="1">
      <c r="CI333" s="319"/>
    </row>
    <row r="334" ht="15.75" customHeight="1">
      <c r="CI334" s="319"/>
    </row>
    <row r="335" ht="15.75" customHeight="1">
      <c r="CI335" s="319"/>
    </row>
    <row r="336" ht="15.75" customHeight="1">
      <c r="CI336" s="319"/>
    </row>
    <row r="337" ht="15.75" customHeight="1">
      <c r="CI337" s="319"/>
    </row>
    <row r="338" ht="15.75" customHeight="1">
      <c r="CI338" s="319"/>
    </row>
    <row r="339" ht="15.75" customHeight="1">
      <c r="CI339" s="319"/>
    </row>
    <row r="340" ht="15.75" customHeight="1">
      <c r="CI340" s="319"/>
    </row>
    <row r="341" ht="15.75" customHeight="1">
      <c r="CI341" s="319"/>
    </row>
    <row r="342" ht="15.75" customHeight="1">
      <c r="CI342" s="319"/>
    </row>
    <row r="343" ht="15.75" customHeight="1">
      <c r="CI343" s="319"/>
    </row>
    <row r="344" ht="15.75" customHeight="1">
      <c r="CI344" s="319"/>
    </row>
    <row r="345" ht="15.75" customHeight="1">
      <c r="CI345" s="319"/>
    </row>
    <row r="346" ht="15.75" customHeight="1">
      <c r="CI346" s="319"/>
    </row>
    <row r="347" ht="15.75" customHeight="1">
      <c r="CI347" s="319"/>
    </row>
    <row r="348" ht="15.75" customHeight="1">
      <c r="CI348" s="319"/>
    </row>
    <row r="349" ht="15.75" customHeight="1">
      <c r="CI349" s="319"/>
    </row>
    <row r="350" ht="15.75" customHeight="1">
      <c r="CI350" s="319"/>
    </row>
    <row r="351" ht="15.75" customHeight="1">
      <c r="CI351" s="319"/>
    </row>
    <row r="352" ht="15.75" customHeight="1">
      <c r="CI352" s="319"/>
    </row>
    <row r="353" ht="15.75" customHeight="1">
      <c r="CI353" s="319"/>
    </row>
    <row r="354" ht="15.75" customHeight="1">
      <c r="CI354" s="319"/>
    </row>
    <row r="355" ht="15.75" customHeight="1">
      <c r="CI355" s="319"/>
    </row>
    <row r="356" ht="15.75" customHeight="1">
      <c r="CI356" s="319"/>
    </row>
    <row r="357" ht="15.75" customHeight="1">
      <c r="CI357" s="319"/>
    </row>
    <row r="358" ht="15.75" customHeight="1">
      <c r="CI358" s="319"/>
    </row>
    <row r="359" ht="15.75" customHeight="1">
      <c r="CI359" s="319"/>
    </row>
    <row r="360" ht="15.75" customHeight="1">
      <c r="CI360" s="319"/>
    </row>
    <row r="361" ht="15.75" customHeight="1">
      <c r="CI361" s="319"/>
    </row>
    <row r="362" ht="15.75" customHeight="1">
      <c r="CI362" s="319"/>
    </row>
    <row r="363" ht="15.75" customHeight="1">
      <c r="CI363" s="319"/>
    </row>
    <row r="364" ht="15.75" customHeight="1">
      <c r="CI364" s="319"/>
    </row>
    <row r="365" ht="15.75" customHeight="1">
      <c r="CI365" s="319"/>
    </row>
    <row r="366" ht="15.75" customHeight="1">
      <c r="CI366" s="319"/>
    </row>
    <row r="367" ht="15.75" customHeight="1">
      <c r="CI367" s="319"/>
    </row>
    <row r="368" ht="15.75" customHeight="1">
      <c r="CI368" s="319"/>
    </row>
    <row r="369" ht="15.75" customHeight="1">
      <c r="CI369" s="319"/>
    </row>
    <row r="370" ht="15.75" customHeight="1">
      <c r="CI370" s="319"/>
    </row>
    <row r="371" ht="15.75" customHeight="1">
      <c r="CI371" s="319"/>
    </row>
    <row r="372" ht="15.75" customHeight="1">
      <c r="CI372" s="319"/>
    </row>
    <row r="373" ht="15.75" customHeight="1">
      <c r="CI373" s="319"/>
    </row>
    <row r="374" ht="15.75" customHeight="1">
      <c r="CI374" s="319"/>
    </row>
    <row r="375" ht="15.75" customHeight="1">
      <c r="CI375" s="319"/>
    </row>
    <row r="376" ht="15.75" customHeight="1">
      <c r="CI376" s="319"/>
    </row>
    <row r="377" ht="15.75" customHeight="1">
      <c r="CI377" s="319"/>
    </row>
    <row r="378" ht="15.75" customHeight="1">
      <c r="CI378" s="319"/>
    </row>
    <row r="379" ht="15.75" customHeight="1">
      <c r="CI379" s="319"/>
    </row>
    <row r="380" ht="15.75" customHeight="1">
      <c r="CI380" s="319"/>
    </row>
    <row r="381" ht="15.75" customHeight="1">
      <c r="CI381" s="319"/>
    </row>
    <row r="382" ht="15.75" customHeight="1">
      <c r="CI382" s="319"/>
    </row>
    <row r="383" ht="15.75" customHeight="1">
      <c r="CI383" s="319"/>
    </row>
    <row r="384" ht="15.75" customHeight="1">
      <c r="CI384" s="319"/>
    </row>
    <row r="385" ht="15.75" customHeight="1">
      <c r="CI385" s="319"/>
    </row>
    <row r="386" ht="15.75" customHeight="1">
      <c r="CI386" s="319"/>
    </row>
    <row r="387" ht="15.75" customHeight="1">
      <c r="CI387" s="319"/>
    </row>
    <row r="388" ht="15.75" customHeight="1">
      <c r="CI388" s="319"/>
    </row>
    <row r="389" ht="15.75" customHeight="1">
      <c r="CI389" s="319"/>
    </row>
    <row r="390" ht="15.75" customHeight="1">
      <c r="CI390" s="319"/>
    </row>
    <row r="391" ht="15.75" customHeight="1">
      <c r="CI391" s="319"/>
    </row>
    <row r="392" ht="15.75" customHeight="1">
      <c r="CI392" s="319"/>
    </row>
    <row r="393" ht="15.75" customHeight="1">
      <c r="CI393" s="319"/>
    </row>
    <row r="394" ht="15.75" customHeight="1">
      <c r="CI394" s="319"/>
    </row>
    <row r="395" ht="15.75" customHeight="1">
      <c r="CI395" s="319"/>
    </row>
    <row r="396" ht="15.75" customHeight="1">
      <c r="CI396" s="319"/>
    </row>
    <row r="397" ht="15.75" customHeight="1">
      <c r="CI397" s="319"/>
    </row>
    <row r="398" ht="15.75" customHeight="1">
      <c r="CI398" s="319"/>
    </row>
    <row r="399" ht="15.75" customHeight="1">
      <c r="CI399" s="319"/>
    </row>
    <row r="400" ht="15.75" customHeight="1">
      <c r="CI400" s="319"/>
    </row>
    <row r="401" ht="15.75" customHeight="1">
      <c r="CI401" s="319"/>
    </row>
    <row r="402" ht="15.75" customHeight="1">
      <c r="CI402" s="319"/>
    </row>
    <row r="403" ht="15.75" customHeight="1">
      <c r="CI403" s="319"/>
    </row>
    <row r="404" ht="15.75" customHeight="1">
      <c r="CI404" s="319"/>
    </row>
    <row r="405" ht="15.75" customHeight="1">
      <c r="CI405" s="319"/>
    </row>
    <row r="406" ht="15.75" customHeight="1">
      <c r="CI406" s="319"/>
    </row>
    <row r="407" ht="15.75" customHeight="1">
      <c r="CI407" s="319"/>
    </row>
    <row r="408" ht="15.75" customHeight="1">
      <c r="CI408" s="319"/>
    </row>
    <row r="409" ht="15.75" customHeight="1">
      <c r="CI409" s="319"/>
    </row>
    <row r="410" ht="15.75" customHeight="1">
      <c r="CI410" s="319"/>
    </row>
    <row r="411" ht="15.75" customHeight="1">
      <c r="CI411" s="319"/>
    </row>
    <row r="412" ht="15.75" customHeight="1">
      <c r="CI412" s="319"/>
    </row>
    <row r="413" ht="15.75" customHeight="1">
      <c r="CI413" s="319"/>
    </row>
    <row r="414" ht="15.75" customHeight="1">
      <c r="CI414" s="319"/>
    </row>
    <row r="415" ht="15.75" customHeight="1">
      <c r="CI415" s="319"/>
    </row>
    <row r="416" ht="15.75" customHeight="1">
      <c r="CI416" s="319"/>
    </row>
    <row r="417" ht="15.75" customHeight="1">
      <c r="CI417" s="319"/>
    </row>
    <row r="418" ht="15.75" customHeight="1">
      <c r="CI418" s="319"/>
    </row>
    <row r="419" ht="15.75" customHeight="1">
      <c r="CI419" s="319"/>
    </row>
    <row r="420" ht="15.75" customHeight="1">
      <c r="CI420" s="319"/>
    </row>
    <row r="421" ht="15.75" customHeight="1">
      <c r="CI421" s="319"/>
    </row>
    <row r="422" ht="15.75" customHeight="1">
      <c r="CI422" s="319"/>
    </row>
    <row r="423" ht="15.75" customHeight="1">
      <c r="CI423" s="319"/>
    </row>
    <row r="424" ht="15.75" customHeight="1">
      <c r="CI424" s="319"/>
    </row>
    <row r="425" ht="15.75" customHeight="1">
      <c r="CI425" s="319"/>
    </row>
    <row r="426" ht="15.75" customHeight="1">
      <c r="CI426" s="319"/>
    </row>
    <row r="427" ht="15.75" customHeight="1">
      <c r="CI427" s="319"/>
    </row>
    <row r="428" ht="15.75" customHeight="1">
      <c r="CI428" s="319"/>
    </row>
    <row r="429" ht="15.75" customHeight="1">
      <c r="CI429" s="319"/>
    </row>
    <row r="430" ht="15.75" customHeight="1">
      <c r="CI430" s="319"/>
    </row>
    <row r="431" ht="15.75" customHeight="1">
      <c r="CI431" s="319"/>
    </row>
    <row r="432" ht="15.75" customHeight="1">
      <c r="CI432" s="319"/>
    </row>
    <row r="433" ht="15.75" customHeight="1">
      <c r="CI433" s="319"/>
    </row>
    <row r="434" ht="15.75" customHeight="1">
      <c r="CI434" s="319"/>
    </row>
    <row r="435" ht="15.75" customHeight="1">
      <c r="CI435" s="319"/>
    </row>
    <row r="436" ht="15.75" customHeight="1">
      <c r="CI436" s="319"/>
    </row>
    <row r="437" ht="15.75" customHeight="1">
      <c r="CI437" s="319"/>
    </row>
    <row r="438" ht="15.75" customHeight="1">
      <c r="CI438" s="319"/>
    </row>
    <row r="439" ht="15.75" customHeight="1">
      <c r="CI439" s="319"/>
    </row>
    <row r="440" ht="15.75" customHeight="1">
      <c r="CI440" s="319"/>
    </row>
    <row r="441" ht="15.75" customHeight="1">
      <c r="CI441" s="319"/>
    </row>
    <row r="442" ht="15.75" customHeight="1">
      <c r="CI442" s="319"/>
    </row>
    <row r="443" ht="15.75" customHeight="1">
      <c r="CI443" s="319"/>
    </row>
    <row r="444" ht="15.75" customHeight="1">
      <c r="CI444" s="319"/>
    </row>
    <row r="445" ht="15.75" customHeight="1">
      <c r="CI445" s="319"/>
    </row>
    <row r="446" ht="15.75" customHeight="1">
      <c r="CI446" s="319"/>
    </row>
    <row r="447" ht="15.75" customHeight="1">
      <c r="CI447" s="319"/>
    </row>
    <row r="448" ht="15.75" customHeight="1">
      <c r="CI448" s="319"/>
    </row>
    <row r="449" ht="15.75" customHeight="1">
      <c r="CI449" s="319"/>
    </row>
    <row r="450" ht="15.75" customHeight="1">
      <c r="CI450" s="319"/>
    </row>
    <row r="451" ht="15.75" customHeight="1">
      <c r="CI451" s="319"/>
    </row>
    <row r="452" ht="15.75" customHeight="1">
      <c r="CI452" s="319"/>
    </row>
    <row r="453" ht="15.75" customHeight="1">
      <c r="CI453" s="319"/>
    </row>
    <row r="454" ht="15.75" customHeight="1">
      <c r="CI454" s="319"/>
    </row>
    <row r="455" ht="15.75" customHeight="1">
      <c r="CI455" s="319"/>
    </row>
    <row r="456" ht="15.75" customHeight="1">
      <c r="CI456" s="319"/>
    </row>
    <row r="457" ht="15.75" customHeight="1">
      <c r="CI457" s="319"/>
    </row>
    <row r="458" ht="15.75" customHeight="1">
      <c r="CI458" s="319"/>
    </row>
    <row r="459" ht="15.75" customHeight="1">
      <c r="CI459" s="319"/>
    </row>
    <row r="460" ht="15.75" customHeight="1">
      <c r="CI460" s="319"/>
    </row>
    <row r="461" ht="15.75" customHeight="1">
      <c r="CI461" s="319"/>
    </row>
    <row r="462" ht="15.75" customHeight="1">
      <c r="CI462" s="319"/>
    </row>
    <row r="463" ht="15.75" customHeight="1">
      <c r="CI463" s="319"/>
    </row>
    <row r="464" ht="15.75" customHeight="1">
      <c r="CI464" s="319"/>
    </row>
    <row r="465" ht="15.75" customHeight="1">
      <c r="CI465" s="319"/>
    </row>
    <row r="466" ht="15.75" customHeight="1">
      <c r="CI466" s="319"/>
    </row>
    <row r="467" ht="15.75" customHeight="1">
      <c r="CI467" s="319"/>
    </row>
    <row r="468" ht="15.75" customHeight="1">
      <c r="CI468" s="319"/>
    </row>
    <row r="469" ht="15.75" customHeight="1">
      <c r="CI469" s="319"/>
    </row>
    <row r="470" ht="15.75" customHeight="1">
      <c r="CI470" s="319"/>
    </row>
    <row r="471" ht="15.75" customHeight="1">
      <c r="CI471" s="319"/>
    </row>
    <row r="472" ht="15.75" customHeight="1">
      <c r="CI472" s="319"/>
    </row>
    <row r="473" ht="15.75" customHeight="1">
      <c r="CI473" s="319"/>
    </row>
    <row r="474" ht="15.75" customHeight="1">
      <c r="CI474" s="319"/>
    </row>
    <row r="475" ht="15.75" customHeight="1">
      <c r="CI475" s="319"/>
    </row>
    <row r="476" ht="15.75" customHeight="1">
      <c r="CI476" s="319"/>
    </row>
    <row r="477" ht="15.75" customHeight="1">
      <c r="CI477" s="319"/>
    </row>
    <row r="478" ht="15.75" customHeight="1">
      <c r="CI478" s="319"/>
    </row>
    <row r="479" ht="15.75" customHeight="1">
      <c r="CI479" s="319"/>
    </row>
    <row r="480" ht="15.75" customHeight="1">
      <c r="CI480" s="319"/>
    </row>
    <row r="481" ht="15.75" customHeight="1">
      <c r="CI481" s="319"/>
    </row>
    <row r="482" ht="15.75" customHeight="1">
      <c r="CI482" s="319"/>
    </row>
    <row r="483" ht="15.75" customHeight="1">
      <c r="CI483" s="319"/>
    </row>
    <row r="484" ht="15.75" customHeight="1">
      <c r="CI484" s="319"/>
    </row>
    <row r="485" ht="15.75" customHeight="1">
      <c r="CI485" s="319"/>
    </row>
    <row r="486" ht="15.75" customHeight="1">
      <c r="CI486" s="319"/>
    </row>
    <row r="487" ht="15.75" customHeight="1">
      <c r="CI487" s="319"/>
    </row>
    <row r="488" ht="15.75" customHeight="1">
      <c r="CI488" s="319"/>
    </row>
    <row r="489" ht="15.75" customHeight="1">
      <c r="CI489" s="319"/>
    </row>
    <row r="490" ht="15.75" customHeight="1">
      <c r="CI490" s="319"/>
    </row>
    <row r="491" ht="15.75" customHeight="1">
      <c r="CI491" s="319"/>
    </row>
    <row r="492" ht="15.75" customHeight="1">
      <c r="CI492" s="319"/>
    </row>
    <row r="493" ht="15.75" customHeight="1">
      <c r="CI493" s="319"/>
    </row>
    <row r="494" ht="15.75" customHeight="1">
      <c r="CI494" s="319"/>
    </row>
    <row r="495" ht="15.75" customHeight="1">
      <c r="CI495" s="319"/>
    </row>
    <row r="496" ht="15.75" customHeight="1">
      <c r="CI496" s="319"/>
    </row>
    <row r="497" ht="15.75" customHeight="1">
      <c r="CI497" s="319"/>
    </row>
    <row r="498" ht="15.75" customHeight="1">
      <c r="CI498" s="319"/>
    </row>
    <row r="499" ht="15.75" customHeight="1">
      <c r="CI499" s="319"/>
    </row>
    <row r="500" ht="15.75" customHeight="1">
      <c r="CI500" s="319"/>
    </row>
    <row r="501" ht="15.75" customHeight="1">
      <c r="CI501" s="319"/>
    </row>
    <row r="502" ht="15.75" customHeight="1">
      <c r="CI502" s="319"/>
    </row>
    <row r="503" ht="15.75" customHeight="1">
      <c r="CI503" s="319"/>
    </row>
    <row r="504" ht="15.75" customHeight="1">
      <c r="CI504" s="319"/>
    </row>
    <row r="505" ht="15.75" customHeight="1">
      <c r="CI505" s="319"/>
    </row>
    <row r="506" ht="15.75" customHeight="1">
      <c r="CI506" s="319"/>
    </row>
    <row r="507" ht="15.75" customHeight="1">
      <c r="CI507" s="319"/>
    </row>
    <row r="508" ht="15.75" customHeight="1">
      <c r="CI508" s="319"/>
    </row>
    <row r="509" ht="15.75" customHeight="1">
      <c r="CI509" s="319"/>
    </row>
    <row r="510" ht="15.75" customHeight="1">
      <c r="CI510" s="319"/>
    </row>
    <row r="511" ht="15.75" customHeight="1">
      <c r="CI511" s="319"/>
    </row>
    <row r="512" ht="15.75" customHeight="1">
      <c r="CI512" s="319"/>
    </row>
    <row r="513" ht="15.75" customHeight="1">
      <c r="CI513" s="319"/>
    </row>
    <row r="514" ht="15.75" customHeight="1">
      <c r="CI514" s="319"/>
    </row>
    <row r="515" ht="15.75" customHeight="1">
      <c r="CI515" s="319"/>
    </row>
    <row r="516" ht="15.75" customHeight="1">
      <c r="CI516" s="319"/>
    </row>
    <row r="517" ht="15.75" customHeight="1">
      <c r="CI517" s="319"/>
    </row>
    <row r="518" ht="15.75" customHeight="1">
      <c r="CI518" s="319"/>
    </row>
    <row r="519" ht="15.75" customHeight="1">
      <c r="CI519" s="319"/>
    </row>
    <row r="520" ht="15.75" customHeight="1">
      <c r="CI520" s="319"/>
    </row>
    <row r="521" ht="15.75" customHeight="1">
      <c r="CI521" s="319"/>
    </row>
    <row r="522" ht="15.75" customHeight="1">
      <c r="CI522" s="319"/>
    </row>
    <row r="523" ht="15.75" customHeight="1">
      <c r="CI523" s="319"/>
    </row>
    <row r="524" ht="15.75" customHeight="1">
      <c r="CI524" s="319"/>
    </row>
    <row r="525" ht="15.75" customHeight="1">
      <c r="CI525" s="319"/>
    </row>
    <row r="526" ht="15.75" customHeight="1">
      <c r="CI526" s="319"/>
    </row>
    <row r="527" ht="15.75" customHeight="1">
      <c r="CI527" s="319"/>
    </row>
    <row r="528" ht="15.75" customHeight="1">
      <c r="CI528" s="319"/>
    </row>
    <row r="529" ht="15.75" customHeight="1">
      <c r="CI529" s="319"/>
    </row>
    <row r="530" ht="15.75" customHeight="1">
      <c r="CI530" s="319"/>
    </row>
    <row r="531" ht="15.75" customHeight="1">
      <c r="CI531" s="319"/>
    </row>
    <row r="532" ht="15.75" customHeight="1">
      <c r="CI532" s="319"/>
    </row>
    <row r="533" ht="15.75" customHeight="1">
      <c r="CI533" s="319"/>
    </row>
    <row r="534" ht="15.75" customHeight="1">
      <c r="CI534" s="319"/>
    </row>
    <row r="535" ht="15.75" customHeight="1">
      <c r="CI535" s="319"/>
    </row>
    <row r="536" ht="15.75" customHeight="1">
      <c r="CI536" s="319"/>
    </row>
    <row r="537" ht="15.75" customHeight="1">
      <c r="CI537" s="319"/>
    </row>
    <row r="538" ht="15.75" customHeight="1">
      <c r="CI538" s="319"/>
    </row>
    <row r="539" ht="15.75" customHeight="1">
      <c r="CI539" s="319"/>
    </row>
    <row r="540" ht="15.75" customHeight="1">
      <c r="CI540" s="319"/>
    </row>
    <row r="541" ht="15.75" customHeight="1">
      <c r="CI541" s="319"/>
    </row>
    <row r="542" ht="15.75" customHeight="1">
      <c r="CI542" s="319"/>
    </row>
    <row r="543" ht="15.75" customHeight="1">
      <c r="CI543" s="319"/>
    </row>
    <row r="544" ht="15.75" customHeight="1">
      <c r="CI544" s="319"/>
    </row>
    <row r="545" ht="15.75" customHeight="1">
      <c r="CI545" s="319"/>
    </row>
    <row r="546" ht="15.75" customHeight="1">
      <c r="CI546" s="319"/>
    </row>
    <row r="547" ht="15.75" customHeight="1">
      <c r="CI547" s="319"/>
    </row>
    <row r="548" ht="15.75" customHeight="1">
      <c r="CI548" s="319"/>
    </row>
    <row r="549" ht="15.75" customHeight="1">
      <c r="CI549" s="319"/>
    </row>
    <row r="550" ht="15.75" customHeight="1">
      <c r="CI550" s="319"/>
    </row>
    <row r="551" ht="15.75" customHeight="1">
      <c r="CI551" s="319"/>
    </row>
    <row r="552" ht="15.75" customHeight="1">
      <c r="CI552" s="319"/>
    </row>
    <row r="553" ht="15.75" customHeight="1">
      <c r="CI553" s="319"/>
    </row>
    <row r="554" ht="15.75" customHeight="1">
      <c r="CI554" s="319"/>
    </row>
    <row r="555" ht="15.75" customHeight="1">
      <c r="CI555" s="319"/>
    </row>
    <row r="556" ht="15.75" customHeight="1">
      <c r="CI556" s="319"/>
    </row>
    <row r="557" ht="15.75" customHeight="1">
      <c r="CI557" s="319"/>
    </row>
    <row r="558" ht="15.75" customHeight="1">
      <c r="CI558" s="319"/>
    </row>
    <row r="559" ht="15.75" customHeight="1">
      <c r="CI559" s="319"/>
    </row>
    <row r="560" ht="15.75" customHeight="1">
      <c r="CI560" s="319"/>
    </row>
    <row r="561" ht="15.75" customHeight="1">
      <c r="CI561" s="319"/>
    </row>
    <row r="562" ht="15.75" customHeight="1">
      <c r="CI562" s="319"/>
    </row>
    <row r="563" ht="15.75" customHeight="1">
      <c r="CI563" s="319"/>
    </row>
    <row r="564" ht="15.75" customHeight="1">
      <c r="CI564" s="319"/>
    </row>
    <row r="565" ht="15.75" customHeight="1">
      <c r="CI565" s="319"/>
    </row>
    <row r="566" ht="15.75" customHeight="1">
      <c r="CI566" s="319"/>
    </row>
    <row r="567" ht="15.75" customHeight="1">
      <c r="CI567" s="319"/>
    </row>
    <row r="568" ht="15.75" customHeight="1">
      <c r="CI568" s="319"/>
    </row>
    <row r="569" ht="15.75" customHeight="1">
      <c r="CI569" s="319"/>
    </row>
    <row r="570" ht="15.75" customHeight="1">
      <c r="CI570" s="319"/>
    </row>
    <row r="571" ht="15.75" customHeight="1">
      <c r="CI571" s="319"/>
    </row>
    <row r="572" ht="15.75" customHeight="1">
      <c r="CI572" s="319"/>
    </row>
    <row r="573" ht="15.75" customHeight="1">
      <c r="CI573" s="319"/>
    </row>
    <row r="574" ht="15.75" customHeight="1">
      <c r="CI574" s="319"/>
    </row>
    <row r="575" ht="15.75" customHeight="1">
      <c r="CI575" s="319"/>
    </row>
    <row r="576" ht="15.75" customHeight="1">
      <c r="CI576" s="319"/>
    </row>
    <row r="577" ht="15.75" customHeight="1">
      <c r="CI577" s="319"/>
    </row>
    <row r="578" ht="15.75" customHeight="1">
      <c r="CI578" s="319"/>
    </row>
    <row r="579" ht="15.75" customHeight="1">
      <c r="CI579" s="319"/>
    </row>
    <row r="580" ht="15.75" customHeight="1">
      <c r="CI580" s="319"/>
    </row>
    <row r="581" ht="15.75" customHeight="1">
      <c r="CI581" s="319"/>
    </row>
    <row r="582" ht="15.75" customHeight="1">
      <c r="CI582" s="319"/>
    </row>
    <row r="583" ht="15.75" customHeight="1">
      <c r="CI583" s="319"/>
    </row>
    <row r="584" ht="15.75" customHeight="1">
      <c r="CI584" s="319"/>
    </row>
    <row r="585" ht="15.75" customHeight="1">
      <c r="CI585" s="319"/>
    </row>
    <row r="586" ht="15.75" customHeight="1">
      <c r="CI586" s="319"/>
    </row>
    <row r="587" ht="15.75" customHeight="1">
      <c r="CI587" s="319"/>
    </row>
    <row r="588" ht="15.75" customHeight="1">
      <c r="CI588" s="319"/>
    </row>
    <row r="589" ht="15.75" customHeight="1">
      <c r="CI589" s="319"/>
    </row>
    <row r="590" ht="15.75" customHeight="1">
      <c r="CI590" s="319"/>
    </row>
    <row r="591" ht="15.75" customHeight="1">
      <c r="CI591" s="319"/>
    </row>
    <row r="592" ht="15.75" customHeight="1">
      <c r="CI592" s="319"/>
    </row>
    <row r="593" ht="15.75" customHeight="1">
      <c r="CI593" s="319"/>
    </row>
    <row r="594" ht="15.75" customHeight="1">
      <c r="CI594" s="319"/>
    </row>
    <row r="595" ht="15.75" customHeight="1">
      <c r="CI595" s="319"/>
    </row>
    <row r="596" ht="15.75" customHeight="1">
      <c r="CI596" s="319"/>
    </row>
    <row r="597" ht="15.75" customHeight="1">
      <c r="CI597" s="319"/>
    </row>
    <row r="598" ht="15.75" customHeight="1">
      <c r="CI598" s="319"/>
    </row>
    <row r="599" ht="15.75" customHeight="1">
      <c r="CI599" s="319"/>
    </row>
    <row r="600" ht="15.75" customHeight="1">
      <c r="CI600" s="319"/>
    </row>
    <row r="601" ht="15.75" customHeight="1">
      <c r="CI601" s="319"/>
    </row>
    <row r="602" ht="15.75" customHeight="1">
      <c r="CI602" s="319"/>
    </row>
    <row r="603" ht="15.75" customHeight="1">
      <c r="CI603" s="319"/>
    </row>
    <row r="604" ht="15.75" customHeight="1">
      <c r="CI604" s="319"/>
    </row>
    <row r="605" ht="15.75" customHeight="1">
      <c r="CI605" s="319"/>
    </row>
    <row r="606" ht="15.75" customHeight="1">
      <c r="CI606" s="319"/>
    </row>
    <row r="607" ht="15.75" customHeight="1">
      <c r="CI607" s="319"/>
    </row>
    <row r="608" ht="15.75" customHeight="1">
      <c r="CI608" s="319"/>
    </row>
    <row r="609" ht="15.75" customHeight="1">
      <c r="CI609" s="319"/>
    </row>
    <row r="610" ht="15.75" customHeight="1">
      <c r="CI610" s="319"/>
    </row>
    <row r="611" ht="15.75" customHeight="1">
      <c r="CI611" s="319"/>
    </row>
    <row r="612" ht="15.75" customHeight="1">
      <c r="CI612" s="319"/>
    </row>
    <row r="613" ht="15.75" customHeight="1">
      <c r="CI613" s="319"/>
    </row>
    <row r="614" ht="15.75" customHeight="1">
      <c r="CI614" s="319"/>
    </row>
    <row r="615" ht="15.75" customHeight="1">
      <c r="CI615" s="319"/>
    </row>
    <row r="616" ht="15.75" customHeight="1">
      <c r="CI616" s="319"/>
    </row>
    <row r="617" ht="15.75" customHeight="1">
      <c r="CI617" s="319"/>
    </row>
    <row r="618" ht="15.75" customHeight="1">
      <c r="CI618" s="319"/>
    </row>
    <row r="619" ht="15.75" customHeight="1">
      <c r="CI619" s="319"/>
    </row>
    <row r="620" ht="15.75" customHeight="1">
      <c r="CI620" s="319"/>
    </row>
    <row r="621" ht="15.75" customHeight="1">
      <c r="CI621" s="319"/>
    </row>
    <row r="622" ht="15.75" customHeight="1">
      <c r="CI622" s="319"/>
    </row>
    <row r="623" ht="15.75" customHeight="1">
      <c r="CI623" s="319"/>
    </row>
    <row r="624" ht="15.75" customHeight="1">
      <c r="CI624" s="319"/>
    </row>
    <row r="625" ht="15.75" customHeight="1">
      <c r="CI625" s="319"/>
    </row>
    <row r="626" ht="15.75" customHeight="1">
      <c r="CI626" s="319"/>
    </row>
    <row r="627" ht="15.75" customHeight="1">
      <c r="CI627" s="319"/>
    </row>
    <row r="628" ht="15.75" customHeight="1">
      <c r="CI628" s="319"/>
    </row>
    <row r="629" ht="15.75" customHeight="1">
      <c r="CI629" s="319"/>
    </row>
    <row r="630" ht="15.75" customHeight="1">
      <c r="CI630" s="319"/>
    </row>
    <row r="631" ht="15.75" customHeight="1">
      <c r="CI631" s="319"/>
    </row>
    <row r="632" ht="15.75" customHeight="1">
      <c r="CI632" s="319"/>
    </row>
    <row r="633" ht="15.75" customHeight="1">
      <c r="CI633" s="319"/>
    </row>
    <row r="634" ht="15.75" customHeight="1">
      <c r="CI634" s="319"/>
    </row>
    <row r="635" ht="15.75" customHeight="1">
      <c r="CI635" s="319"/>
    </row>
    <row r="636" ht="15.75" customHeight="1">
      <c r="CI636" s="319"/>
    </row>
    <row r="637" ht="15.75" customHeight="1">
      <c r="CI637" s="319"/>
    </row>
    <row r="638" ht="15.75" customHeight="1">
      <c r="CI638" s="319"/>
    </row>
    <row r="639" ht="15.75" customHeight="1">
      <c r="CI639" s="319"/>
    </row>
    <row r="640" ht="15.75" customHeight="1">
      <c r="CI640" s="319"/>
    </row>
    <row r="641" ht="15.75" customHeight="1">
      <c r="CI641" s="319"/>
    </row>
    <row r="642" ht="15.75" customHeight="1">
      <c r="CI642" s="319"/>
    </row>
    <row r="643" ht="15.75" customHeight="1">
      <c r="CI643" s="319"/>
    </row>
    <row r="644" ht="15.75" customHeight="1">
      <c r="CI644" s="319"/>
    </row>
    <row r="645" ht="15.75" customHeight="1">
      <c r="CI645" s="319"/>
    </row>
    <row r="646" ht="15.75" customHeight="1">
      <c r="CI646" s="319"/>
    </row>
    <row r="647" ht="15.75" customHeight="1">
      <c r="CI647" s="319"/>
    </row>
    <row r="648" ht="15.75" customHeight="1">
      <c r="CI648" s="319"/>
    </row>
    <row r="649" ht="15.75" customHeight="1">
      <c r="CI649" s="319"/>
    </row>
    <row r="650" ht="15.75" customHeight="1">
      <c r="CI650" s="319"/>
    </row>
    <row r="651" ht="15.75" customHeight="1">
      <c r="CI651" s="319"/>
    </row>
    <row r="652" ht="15.75" customHeight="1">
      <c r="CI652" s="319"/>
    </row>
    <row r="653" ht="15.75" customHeight="1">
      <c r="CI653" s="319"/>
    </row>
    <row r="654" ht="15.75" customHeight="1">
      <c r="CI654" s="319"/>
    </row>
    <row r="655" ht="15.75" customHeight="1">
      <c r="CI655" s="319"/>
    </row>
    <row r="656" ht="15.75" customHeight="1">
      <c r="CI656" s="319"/>
    </row>
    <row r="657" ht="15.75" customHeight="1">
      <c r="CI657" s="319"/>
    </row>
    <row r="658" ht="15.75" customHeight="1">
      <c r="CI658" s="319"/>
    </row>
    <row r="659" ht="15.75" customHeight="1">
      <c r="CI659" s="319"/>
    </row>
    <row r="660" ht="15.75" customHeight="1">
      <c r="CI660" s="319"/>
    </row>
    <row r="661" ht="15.75" customHeight="1">
      <c r="CI661" s="319"/>
    </row>
    <row r="662" ht="15.75" customHeight="1">
      <c r="CI662" s="319"/>
    </row>
    <row r="663" ht="15.75" customHeight="1">
      <c r="CI663" s="319"/>
    </row>
    <row r="664" ht="15.75" customHeight="1">
      <c r="CI664" s="319"/>
    </row>
    <row r="665" ht="15.75" customHeight="1">
      <c r="CI665" s="319"/>
    </row>
    <row r="666" ht="15.75" customHeight="1">
      <c r="CI666" s="319"/>
    </row>
    <row r="667" ht="15.75" customHeight="1">
      <c r="CI667" s="319"/>
    </row>
    <row r="668" ht="15.75" customHeight="1">
      <c r="CI668" s="319"/>
    </row>
    <row r="669" ht="15.75" customHeight="1">
      <c r="CI669" s="319"/>
    </row>
    <row r="670" ht="15.75" customHeight="1">
      <c r="CI670" s="319"/>
    </row>
    <row r="671" ht="15.75" customHeight="1">
      <c r="CI671" s="319"/>
    </row>
    <row r="672" ht="15.75" customHeight="1">
      <c r="CI672" s="319"/>
    </row>
    <row r="673" ht="15.75" customHeight="1">
      <c r="CI673" s="319"/>
    </row>
    <row r="674" ht="15.75" customHeight="1">
      <c r="CI674" s="319"/>
    </row>
    <row r="675" ht="15.75" customHeight="1">
      <c r="CI675" s="319"/>
    </row>
    <row r="676" ht="15.75" customHeight="1">
      <c r="CI676" s="319"/>
    </row>
    <row r="677" ht="15.75" customHeight="1">
      <c r="CI677" s="319"/>
    </row>
    <row r="678" ht="15.75" customHeight="1">
      <c r="CI678" s="319"/>
    </row>
    <row r="679" ht="15.75" customHeight="1">
      <c r="CI679" s="319"/>
    </row>
    <row r="680" ht="15.75" customHeight="1">
      <c r="CI680" s="319"/>
    </row>
    <row r="681" ht="15.75" customHeight="1">
      <c r="CI681" s="319"/>
    </row>
    <row r="682" ht="15.75" customHeight="1">
      <c r="CI682" s="319"/>
    </row>
    <row r="683" ht="15.75" customHeight="1">
      <c r="CI683" s="319"/>
    </row>
    <row r="684" ht="15.75" customHeight="1">
      <c r="CI684" s="319"/>
    </row>
    <row r="685" ht="15.75" customHeight="1">
      <c r="CI685" s="319"/>
    </row>
    <row r="686" ht="15.75" customHeight="1">
      <c r="CI686" s="319"/>
    </row>
    <row r="687" ht="15.75" customHeight="1">
      <c r="CI687" s="319"/>
    </row>
    <row r="688" ht="15.75" customHeight="1">
      <c r="CI688" s="319"/>
    </row>
    <row r="689" ht="15.75" customHeight="1">
      <c r="CI689" s="319"/>
    </row>
    <row r="690" ht="15.75" customHeight="1">
      <c r="CI690" s="319"/>
    </row>
    <row r="691" ht="15.75" customHeight="1">
      <c r="CI691" s="319"/>
    </row>
    <row r="692" ht="15.75" customHeight="1">
      <c r="CI692" s="319"/>
    </row>
    <row r="693" ht="15.75" customHeight="1">
      <c r="CI693" s="319"/>
    </row>
    <row r="694" ht="15.75" customHeight="1">
      <c r="CI694" s="319"/>
    </row>
    <row r="695" ht="15.75" customHeight="1">
      <c r="CI695" s="319"/>
    </row>
    <row r="696" ht="15.75" customHeight="1">
      <c r="CI696" s="319"/>
    </row>
    <row r="697" ht="15.75" customHeight="1">
      <c r="CI697" s="319"/>
    </row>
    <row r="698" ht="15.75" customHeight="1">
      <c r="CI698" s="319"/>
    </row>
    <row r="699" ht="15.75" customHeight="1">
      <c r="CI699" s="319"/>
    </row>
    <row r="700" ht="15.75" customHeight="1">
      <c r="CI700" s="319"/>
    </row>
    <row r="701" ht="15.75" customHeight="1">
      <c r="CI701" s="319"/>
    </row>
    <row r="702" ht="15.75" customHeight="1">
      <c r="CI702" s="319"/>
    </row>
    <row r="703" ht="15.75" customHeight="1">
      <c r="CI703" s="319"/>
    </row>
    <row r="704" ht="15.75" customHeight="1">
      <c r="CI704" s="319"/>
    </row>
    <row r="705" ht="15.75" customHeight="1">
      <c r="CI705" s="319"/>
    </row>
    <row r="706" ht="15.75" customHeight="1">
      <c r="CI706" s="319"/>
    </row>
    <row r="707" ht="15.75" customHeight="1">
      <c r="CI707" s="319"/>
    </row>
    <row r="708" ht="15.75" customHeight="1">
      <c r="CI708" s="319"/>
    </row>
    <row r="709" ht="15.75" customHeight="1">
      <c r="CI709" s="319"/>
    </row>
    <row r="710" ht="15.75" customHeight="1">
      <c r="CI710" s="319"/>
    </row>
    <row r="711" ht="15.75" customHeight="1">
      <c r="CI711" s="319"/>
    </row>
    <row r="712" ht="15.75" customHeight="1">
      <c r="CI712" s="319"/>
    </row>
    <row r="713" ht="15.75" customHeight="1">
      <c r="CI713" s="319"/>
    </row>
    <row r="714" ht="15.75" customHeight="1">
      <c r="CI714" s="319"/>
    </row>
    <row r="715" ht="15.75" customHeight="1">
      <c r="CI715" s="319"/>
    </row>
    <row r="716" ht="15.75" customHeight="1">
      <c r="CI716" s="319"/>
    </row>
    <row r="717" ht="15.75" customHeight="1">
      <c r="CI717" s="319"/>
    </row>
    <row r="718" ht="15.75" customHeight="1">
      <c r="CI718" s="319"/>
    </row>
    <row r="719" ht="15.75" customHeight="1">
      <c r="CI719" s="319"/>
    </row>
    <row r="720" ht="15.75" customHeight="1">
      <c r="CI720" s="319"/>
    </row>
    <row r="721" ht="15.75" customHeight="1">
      <c r="CI721" s="319"/>
    </row>
    <row r="722" ht="15.75" customHeight="1">
      <c r="CI722" s="319"/>
    </row>
    <row r="723" ht="15.75" customHeight="1">
      <c r="CI723" s="319"/>
    </row>
    <row r="724" ht="15.75" customHeight="1">
      <c r="CI724" s="319"/>
    </row>
    <row r="725" ht="15.75" customHeight="1">
      <c r="CI725" s="319"/>
    </row>
    <row r="726" ht="15.75" customHeight="1">
      <c r="CI726" s="319"/>
    </row>
    <row r="727" ht="15.75" customHeight="1">
      <c r="CI727" s="319"/>
    </row>
    <row r="728" ht="15.75" customHeight="1">
      <c r="CI728" s="319"/>
    </row>
    <row r="729" ht="15.75" customHeight="1">
      <c r="CI729" s="319"/>
    </row>
    <row r="730" ht="15.75" customHeight="1">
      <c r="CI730" s="319"/>
    </row>
    <row r="731" ht="15.75" customHeight="1">
      <c r="CI731" s="319"/>
    </row>
    <row r="732" ht="15.75" customHeight="1">
      <c r="CI732" s="319"/>
    </row>
    <row r="733" ht="15.75" customHeight="1">
      <c r="CI733" s="319"/>
    </row>
    <row r="734" ht="15.75" customHeight="1">
      <c r="CI734" s="319"/>
    </row>
    <row r="735" ht="15.75" customHeight="1">
      <c r="CI735" s="319"/>
    </row>
    <row r="736" ht="15.75" customHeight="1">
      <c r="CI736" s="319"/>
    </row>
    <row r="737" ht="15.75" customHeight="1">
      <c r="CI737" s="319"/>
    </row>
    <row r="738" ht="15.75" customHeight="1">
      <c r="CI738" s="319"/>
    </row>
    <row r="739" ht="15.75" customHeight="1">
      <c r="CI739" s="319"/>
    </row>
    <row r="740" ht="15.75" customHeight="1">
      <c r="CI740" s="319"/>
    </row>
    <row r="741" ht="15.75" customHeight="1">
      <c r="CI741" s="319"/>
    </row>
    <row r="742" ht="15.75" customHeight="1">
      <c r="CI742" s="319"/>
    </row>
    <row r="743" ht="15.75" customHeight="1">
      <c r="CI743" s="319"/>
    </row>
    <row r="744" ht="15.75" customHeight="1">
      <c r="CI744" s="319"/>
    </row>
    <row r="745" ht="15.75" customHeight="1">
      <c r="CI745" s="319"/>
    </row>
    <row r="746" ht="15.75" customHeight="1">
      <c r="CI746" s="319"/>
    </row>
    <row r="747" ht="15.75" customHeight="1">
      <c r="CI747" s="319"/>
    </row>
    <row r="748" ht="15.75" customHeight="1">
      <c r="CI748" s="319"/>
    </row>
    <row r="749" ht="15.75" customHeight="1">
      <c r="CI749" s="319"/>
    </row>
    <row r="750" ht="15.75" customHeight="1">
      <c r="CI750" s="319"/>
    </row>
    <row r="751" ht="15.75" customHeight="1">
      <c r="CI751" s="319"/>
    </row>
    <row r="752" ht="15.75" customHeight="1">
      <c r="CI752" s="319"/>
    </row>
    <row r="753" ht="15.75" customHeight="1">
      <c r="CI753" s="319"/>
    </row>
    <row r="754" ht="15.75" customHeight="1">
      <c r="CI754" s="319"/>
    </row>
    <row r="755" ht="15.75" customHeight="1">
      <c r="CI755" s="319"/>
    </row>
    <row r="756" ht="15.75" customHeight="1">
      <c r="CI756" s="319"/>
    </row>
    <row r="757" ht="15.75" customHeight="1">
      <c r="CI757" s="319"/>
    </row>
    <row r="758" ht="15.75" customHeight="1">
      <c r="CI758" s="319"/>
    </row>
    <row r="759" ht="15.75" customHeight="1">
      <c r="CI759" s="319"/>
    </row>
    <row r="760" ht="15.75" customHeight="1">
      <c r="CI760" s="319"/>
    </row>
    <row r="761" ht="15.75" customHeight="1">
      <c r="CI761" s="319"/>
    </row>
    <row r="762" ht="15.75" customHeight="1">
      <c r="CI762" s="319"/>
    </row>
    <row r="763" ht="15.75" customHeight="1">
      <c r="CI763" s="319"/>
    </row>
    <row r="764" ht="15.75" customHeight="1">
      <c r="CI764" s="319"/>
    </row>
    <row r="765" ht="15.75" customHeight="1">
      <c r="CI765" s="319"/>
    </row>
    <row r="766" ht="15.75" customHeight="1">
      <c r="CI766" s="319"/>
    </row>
    <row r="767" ht="15.75" customHeight="1">
      <c r="CI767" s="319"/>
    </row>
    <row r="768" ht="15.75" customHeight="1">
      <c r="CI768" s="319"/>
    </row>
    <row r="769" ht="15.75" customHeight="1">
      <c r="CI769" s="319"/>
    </row>
    <row r="770" ht="15.75" customHeight="1">
      <c r="CI770" s="319"/>
    </row>
    <row r="771" ht="15.75" customHeight="1">
      <c r="CI771" s="319"/>
    </row>
    <row r="772" ht="15.75" customHeight="1">
      <c r="CI772" s="319"/>
    </row>
    <row r="773" ht="15.75" customHeight="1">
      <c r="CI773" s="319"/>
    </row>
    <row r="774" ht="15.75" customHeight="1">
      <c r="CI774" s="319"/>
    </row>
    <row r="775" ht="15.75" customHeight="1">
      <c r="CI775" s="319"/>
    </row>
    <row r="776" ht="15.75" customHeight="1">
      <c r="CI776" s="319"/>
    </row>
    <row r="777" ht="15.75" customHeight="1">
      <c r="CI777" s="319"/>
    </row>
    <row r="778" ht="15.75" customHeight="1">
      <c r="CI778" s="319"/>
    </row>
    <row r="779" ht="15.75" customHeight="1">
      <c r="CI779" s="319"/>
    </row>
    <row r="780" ht="15.75" customHeight="1">
      <c r="CI780" s="319"/>
    </row>
    <row r="781" ht="15.75" customHeight="1">
      <c r="CI781" s="319"/>
    </row>
    <row r="782" ht="15.75" customHeight="1">
      <c r="CI782" s="319"/>
    </row>
    <row r="783" ht="15.75" customHeight="1">
      <c r="CI783" s="319"/>
    </row>
    <row r="784" ht="15.75" customHeight="1">
      <c r="CI784" s="319"/>
    </row>
    <row r="785" ht="15.75" customHeight="1">
      <c r="CI785" s="319"/>
    </row>
    <row r="786" ht="15.75" customHeight="1">
      <c r="CI786" s="319"/>
    </row>
    <row r="787" ht="15.75" customHeight="1">
      <c r="CI787" s="319"/>
    </row>
    <row r="788" ht="15.75" customHeight="1">
      <c r="CI788" s="319"/>
    </row>
    <row r="789" ht="15.75" customHeight="1">
      <c r="CI789" s="319"/>
    </row>
    <row r="790" ht="15.75" customHeight="1">
      <c r="CI790" s="319"/>
    </row>
    <row r="791" ht="15.75" customHeight="1">
      <c r="CI791" s="319"/>
    </row>
    <row r="792" ht="15.75" customHeight="1">
      <c r="CI792" s="319"/>
    </row>
    <row r="793" ht="15.75" customHeight="1">
      <c r="CI793" s="319"/>
    </row>
    <row r="794" ht="15.75" customHeight="1">
      <c r="CI794" s="319"/>
    </row>
    <row r="795" ht="15.75" customHeight="1">
      <c r="CI795" s="319"/>
    </row>
    <row r="796" ht="15.75" customHeight="1">
      <c r="CI796" s="319"/>
    </row>
    <row r="797" ht="15.75" customHeight="1">
      <c r="CI797" s="319"/>
    </row>
    <row r="798" ht="15.75" customHeight="1">
      <c r="CI798" s="319"/>
    </row>
    <row r="799" ht="15.75" customHeight="1">
      <c r="CI799" s="319"/>
    </row>
    <row r="800" ht="15.75" customHeight="1">
      <c r="CI800" s="319"/>
    </row>
    <row r="801" ht="15.75" customHeight="1">
      <c r="CI801" s="319"/>
    </row>
    <row r="802" ht="15.75" customHeight="1">
      <c r="CI802" s="319"/>
    </row>
    <row r="803" ht="15.75" customHeight="1">
      <c r="CI803" s="319"/>
    </row>
    <row r="804" ht="15.75" customHeight="1">
      <c r="CI804" s="319"/>
    </row>
    <row r="805" ht="15.75" customHeight="1">
      <c r="CI805" s="319"/>
    </row>
    <row r="806" ht="15.75" customHeight="1">
      <c r="CI806" s="319"/>
    </row>
    <row r="807" ht="15.75" customHeight="1">
      <c r="CI807" s="319"/>
    </row>
    <row r="808" ht="15.75" customHeight="1">
      <c r="CI808" s="319"/>
    </row>
    <row r="809" ht="15.75" customHeight="1">
      <c r="CI809" s="319"/>
    </row>
    <row r="810" ht="15.75" customHeight="1">
      <c r="CI810" s="319"/>
    </row>
    <row r="811" ht="15.75" customHeight="1">
      <c r="CI811" s="319"/>
    </row>
    <row r="812" ht="15.75" customHeight="1">
      <c r="CI812" s="319"/>
    </row>
    <row r="813" ht="15.75" customHeight="1">
      <c r="CI813" s="319"/>
    </row>
    <row r="814" ht="15.75" customHeight="1">
      <c r="CI814" s="319"/>
    </row>
    <row r="815" ht="15.75" customHeight="1">
      <c r="CI815" s="319"/>
    </row>
    <row r="816" ht="15.75" customHeight="1">
      <c r="CI816" s="319"/>
    </row>
    <row r="817" ht="15.75" customHeight="1">
      <c r="CI817" s="319"/>
    </row>
    <row r="818" ht="15.75" customHeight="1">
      <c r="CI818" s="319"/>
    </row>
    <row r="819" ht="15.75" customHeight="1">
      <c r="CI819" s="319"/>
    </row>
    <row r="820" ht="15.75" customHeight="1">
      <c r="CI820" s="319"/>
    </row>
    <row r="821" ht="15.75" customHeight="1">
      <c r="CI821" s="319"/>
    </row>
    <row r="822" ht="15.75" customHeight="1">
      <c r="CI822" s="319"/>
    </row>
    <row r="823" ht="15.75" customHeight="1">
      <c r="CI823" s="319"/>
    </row>
    <row r="824" ht="15.75" customHeight="1">
      <c r="CI824" s="319"/>
    </row>
    <row r="825" ht="15.75" customHeight="1">
      <c r="CI825" s="319"/>
    </row>
    <row r="826" ht="15.75" customHeight="1">
      <c r="CI826" s="319"/>
    </row>
    <row r="827" ht="15.75" customHeight="1">
      <c r="CI827" s="319"/>
    </row>
    <row r="828" ht="15.75" customHeight="1">
      <c r="CI828" s="319"/>
    </row>
    <row r="829" ht="15.75" customHeight="1">
      <c r="CI829" s="319"/>
    </row>
    <row r="830" ht="15.75" customHeight="1">
      <c r="CI830" s="319"/>
    </row>
    <row r="831" ht="15.75" customHeight="1">
      <c r="CI831" s="319"/>
    </row>
    <row r="832" ht="15.75" customHeight="1">
      <c r="CI832" s="319"/>
    </row>
    <row r="833" ht="15.75" customHeight="1">
      <c r="CI833" s="319"/>
    </row>
    <row r="834" ht="15.75" customHeight="1">
      <c r="CI834" s="319"/>
    </row>
    <row r="835" ht="15.75" customHeight="1">
      <c r="CI835" s="319"/>
    </row>
    <row r="836" ht="15.75" customHeight="1">
      <c r="CI836" s="319"/>
    </row>
    <row r="837" ht="15.75" customHeight="1">
      <c r="CI837" s="319"/>
    </row>
    <row r="838" ht="15.75" customHeight="1">
      <c r="CI838" s="319"/>
    </row>
    <row r="839" ht="15.75" customHeight="1">
      <c r="CI839" s="319"/>
    </row>
    <row r="840" ht="15.75" customHeight="1">
      <c r="CI840" s="319"/>
    </row>
    <row r="841" ht="15.75" customHeight="1">
      <c r="CI841" s="319"/>
    </row>
    <row r="842" ht="15.75" customHeight="1">
      <c r="CI842" s="319"/>
    </row>
    <row r="843" ht="15.75" customHeight="1">
      <c r="CI843" s="319"/>
    </row>
    <row r="844" ht="15.75" customHeight="1">
      <c r="CI844" s="319"/>
    </row>
    <row r="845" ht="15.75" customHeight="1">
      <c r="CI845" s="319"/>
    </row>
    <row r="846" ht="15.75" customHeight="1">
      <c r="CI846" s="319"/>
    </row>
    <row r="847" ht="15.75" customHeight="1">
      <c r="CI847" s="319"/>
    </row>
    <row r="848" ht="15.75" customHeight="1">
      <c r="CI848" s="319"/>
    </row>
    <row r="849" ht="15.75" customHeight="1">
      <c r="CI849" s="319"/>
    </row>
    <row r="850" ht="15.75" customHeight="1">
      <c r="CI850" s="319"/>
    </row>
    <row r="851" ht="15.75" customHeight="1">
      <c r="CI851" s="319"/>
    </row>
    <row r="852" ht="15.75" customHeight="1">
      <c r="CI852" s="319"/>
    </row>
    <row r="853" ht="15.75" customHeight="1">
      <c r="CI853" s="319"/>
    </row>
    <row r="854" ht="15.75" customHeight="1">
      <c r="CI854" s="319"/>
    </row>
    <row r="855" ht="15.75" customHeight="1">
      <c r="CI855" s="319"/>
    </row>
    <row r="856" ht="15.75" customHeight="1">
      <c r="CI856" s="319"/>
    </row>
    <row r="857" ht="15.75" customHeight="1">
      <c r="CI857" s="319"/>
    </row>
    <row r="858" ht="15.75" customHeight="1">
      <c r="CI858" s="319"/>
    </row>
    <row r="859" ht="15.75" customHeight="1">
      <c r="CI859" s="319"/>
    </row>
    <row r="860" ht="15.75" customHeight="1">
      <c r="CI860" s="319"/>
    </row>
    <row r="861" ht="15.75" customHeight="1">
      <c r="CI861" s="319"/>
    </row>
    <row r="862" ht="15.75" customHeight="1">
      <c r="CI862" s="319"/>
    </row>
    <row r="863" ht="15.75" customHeight="1">
      <c r="CI863" s="319"/>
    </row>
    <row r="864" ht="15.75" customHeight="1">
      <c r="CI864" s="319"/>
    </row>
    <row r="865" ht="15.75" customHeight="1">
      <c r="CI865" s="319"/>
    </row>
    <row r="866" ht="15.75" customHeight="1">
      <c r="CI866" s="319"/>
    </row>
    <row r="867" ht="15.75" customHeight="1">
      <c r="CI867" s="319"/>
    </row>
    <row r="868" ht="15.75" customHeight="1">
      <c r="CI868" s="319"/>
    </row>
    <row r="869" ht="15.75" customHeight="1">
      <c r="CI869" s="319"/>
    </row>
    <row r="870" ht="15.75" customHeight="1">
      <c r="CI870" s="319"/>
    </row>
    <row r="871" ht="15.75" customHeight="1">
      <c r="CI871" s="319"/>
    </row>
    <row r="872" ht="15.75" customHeight="1">
      <c r="CI872" s="319"/>
    </row>
    <row r="873" ht="15.75" customHeight="1">
      <c r="CI873" s="319"/>
    </row>
    <row r="874" ht="15.75" customHeight="1">
      <c r="CI874" s="319"/>
    </row>
    <row r="875" ht="15.75" customHeight="1">
      <c r="CI875" s="319"/>
    </row>
    <row r="876" ht="15.75" customHeight="1">
      <c r="CI876" s="319"/>
    </row>
    <row r="877" ht="15.75" customHeight="1">
      <c r="CI877" s="319"/>
    </row>
    <row r="878" ht="15.75" customHeight="1">
      <c r="CI878" s="319"/>
    </row>
    <row r="879" ht="15.75" customHeight="1">
      <c r="CI879" s="319"/>
    </row>
    <row r="880" ht="15.75" customHeight="1">
      <c r="CI880" s="319"/>
    </row>
    <row r="881" ht="15.75" customHeight="1">
      <c r="CI881" s="319"/>
    </row>
    <row r="882" ht="15.75" customHeight="1">
      <c r="CI882" s="319"/>
    </row>
    <row r="883" ht="15.75" customHeight="1">
      <c r="CI883" s="319"/>
    </row>
    <row r="884" ht="15.75" customHeight="1">
      <c r="CI884" s="319"/>
    </row>
    <row r="885" ht="15.75" customHeight="1">
      <c r="CI885" s="319"/>
    </row>
    <row r="886" ht="15.75" customHeight="1">
      <c r="CI886" s="319"/>
    </row>
    <row r="887" ht="15.75" customHeight="1">
      <c r="CI887" s="319"/>
    </row>
    <row r="888" ht="15.75" customHeight="1">
      <c r="CI888" s="319"/>
    </row>
    <row r="889" ht="15.75" customHeight="1">
      <c r="CI889" s="319"/>
    </row>
    <row r="890" ht="15.75" customHeight="1">
      <c r="CI890" s="319"/>
    </row>
    <row r="891" ht="15.75" customHeight="1">
      <c r="CI891" s="319"/>
    </row>
    <row r="892" ht="15.75" customHeight="1">
      <c r="CI892" s="319"/>
    </row>
    <row r="893" ht="15.75" customHeight="1">
      <c r="CI893" s="319"/>
    </row>
    <row r="894" ht="15.75" customHeight="1">
      <c r="CI894" s="319"/>
    </row>
    <row r="895" ht="15.75" customHeight="1">
      <c r="CI895" s="319"/>
    </row>
    <row r="896" ht="15.75" customHeight="1">
      <c r="CI896" s="319"/>
    </row>
    <row r="897" ht="15.75" customHeight="1">
      <c r="CI897" s="319"/>
    </row>
    <row r="898" ht="15.75" customHeight="1">
      <c r="CI898" s="319"/>
    </row>
    <row r="899" ht="15.75" customHeight="1">
      <c r="CI899" s="319"/>
    </row>
    <row r="900" ht="15.75" customHeight="1">
      <c r="CI900" s="319"/>
    </row>
    <row r="901" ht="15.75" customHeight="1">
      <c r="CI901" s="319"/>
    </row>
    <row r="902" ht="15.75" customHeight="1">
      <c r="CI902" s="319"/>
    </row>
    <row r="903" ht="15.75" customHeight="1">
      <c r="CI903" s="319"/>
    </row>
    <row r="904" ht="15.75" customHeight="1">
      <c r="CI904" s="319"/>
    </row>
    <row r="905" ht="15.75" customHeight="1">
      <c r="CI905" s="319"/>
    </row>
    <row r="906" ht="15.75" customHeight="1">
      <c r="CI906" s="319"/>
    </row>
    <row r="907" ht="15.75" customHeight="1">
      <c r="CI907" s="319"/>
    </row>
    <row r="908" ht="15.75" customHeight="1">
      <c r="CI908" s="319"/>
    </row>
    <row r="909" ht="15.75" customHeight="1">
      <c r="CI909" s="319"/>
    </row>
    <row r="910" ht="15.75" customHeight="1">
      <c r="CI910" s="319"/>
    </row>
    <row r="911" ht="15.75" customHeight="1">
      <c r="CI911" s="319"/>
    </row>
    <row r="912" ht="15.75" customHeight="1">
      <c r="CI912" s="319"/>
    </row>
    <row r="913" ht="15.75" customHeight="1">
      <c r="CI913" s="319"/>
    </row>
    <row r="914" ht="15.75" customHeight="1">
      <c r="CI914" s="319"/>
    </row>
    <row r="915" ht="15.75" customHeight="1">
      <c r="CI915" s="319"/>
    </row>
    <row r="916" ht="15.75" customHeight="1">
      <c r="CI916" s="319"/>
    </row>
    <row r="917" ht="15.75" customHeight="1">
      <c r="CI917" s="319"/>
    </row>
    <row r="918" ht="15.75" customHeight="1">
      <c r="CI918" s="319"/>
    </row>
    <row r="919" ht="15.75" customHeight="1">
      <c r="CI919" s="319"/>
    </row>
    <row r="920" ht="15.75" customHeight="1">
      <c r="CI920" s="319"/>
    </row>
    <row r="921" ht="15.75" customHeight="1">
      <c r="CI921" s="319"/>
    </row>
    <row r="922" ht="15.75" customHeight="1">
      <c r="CI922" s="319"/>
    </row>
    <row r="923" ht="15.75" customHeight="1">
      <c r="CI923" s="319"/>
    </row>
    <row r="924" ht="15.75" customHeight="1">
      <c r="CI924" s="319"/>
    </row>
    <row r="925" ht="15.75" customHeight="1">
      <c r="CI925" s="319"/>
    </row>
    <row r="926" ht="15.75" customHeight="1">
      <c r="CI926" s="319"/>
    </row>
    <row r="927" ht="15.75" customHeight="1">
      <c r="CI927" s="319"/>
    </row>
    <row r="928" ht="15.75" customHeight="1">
      <c r="CI928" s="319"/>
    </row>
    <row r="929" ht="15.75" customHeight="1">
      <c r="CI929" s="319"/>
    </row>
    <row r="930" ht="15.75" customHeight="1">
      <c r="CI930" s="319"/>
    </row>
    <row r="931" ht="15.75" customHeight="1">
      <c r="CI931" s="319"/>
    </row>
    <row r="932" ht="15.75" customHeight="1">
      <c r="CI932" s="319"/>
    </row>
    <row r="933" ht="15.75" customHeight="1">
      <c r="CI933" s="319"/>
    </row>
    <row r="934" ht="15.75" customHeight="1">
      <c r="CI934" s="319"/>
    </row>
    <row r="935" ht="15.75" customHeight="1">
      <c r="CI935" s="319"/>
    </row>
    <row r="936" ht="15.75" customHeight="1">
      <c r="CI936" s="319"/>
    </row>
    <row r="937" ht="15.75" customHeight="1">
      <c r="CI937" s="319"/>
    </row>
    <row r="938" ht="15.75" customHeight="1">
      <c r="CI938" s="319"/>
    </row>
    <row r="939" ht="15.75" customHeight="1">
      <c r="CI939" s="319"/>
    </row>
    <row r="940" ht="15.75" customHeight="1">
      <c r="CI940" s="319"/>
    </row>
    <row r="941" ht="15.75" customHeight="1">
      <c r="CI941" s="319"/>
    </row>
    <row r="942" ht="15.75" customHeight="1">
      <c r="CI942" s="319"/>
    </row>
    <row r="943" ht="15.75" customHeight="1">
      <c r="CI943" s="319"/>
    </row>
    <row r="944" ht="15.75" customHeight="1">
      <c r="CI944" s="319"/>
    </row>
    <row r="945" ht="15.75" customHeight="1">
      <c r="CI945" s="319"/>
    </row>
    <row r="946" ht="15.75" customHeight="1">
      <c r="CI946" s="319"/>
    </row>
    <row r="947" ht="15.75" customHeight="1">
      <c r="CI947" s="319"/>
    </row>
    <row r="948" ht="15.75" customHeight="1">
      <c r="CI948" s="319"/>
    </row>
    <row r="949" ht="15.75" customHeight="1">
      <c r="CI949" s="319"/>
    </row>
    <row r="950" ht="15.75" customHeight="1">
      <c r="CI950" s="319"/>
    </row>
    <row r="951" ht="15.75" customHeight="1">
      <c r="CI951" s="319"/>
    </row>
    <row r="952" ht="15.75" customHeight="1">
      <c r="CI952" s="319"/>
    </row>
    <row r="953" ht="15.75" customHeight="1">
      <c r="CI953" s="319"/>
    </row>
    <row r="954" ht="15.75" customHeight="1">
      <c r="CI954" s="319"/>
    </row>
    <row r="955" ht="15.75" customHeight="1">
      <c r="CI955" s="319"/>
    </row>
    <row r="956" ht="15.75" customHeight="1">
      <c r="CI956" s="319"/>
    </row>
    <row r="957" ht="15.75" customHeight="1">
      <c r="CI957" s="319"/>
    </row>
    <row r="958" ht="15.75" customHeight="1">
      <c r="CI958" s="319"/>
    </row>
    <row r="959" ht="15.75" customHeight="1">
      <c r="CI959" s="319"/>
    </row>
    <row r="960" ht="15.75" customHeight="1">
      <c r="CI960" s="319"/>
    </row>
    <row r="961" ht="15.75" customHeight="1">
      <c r="CI961" s="319"/>
    </row>
    <row r="962" ht="15.75" customHeight="1">
      <c r="CI962" s="319"/>
    </row>
    <row r="963" ht="15.75" customHeight="1">
      <c r="CI963" s="319"/>
    </row>
    <row r="964" ht="15.75" customHeight="1">
      <c r="CI964" s="319"/>
    </row>
    <row r="965" ht="15.75" customHeight="1">
      <c r="CI965" s="319"/>
    </row>
    <row r="966" ht="15.75" customHeight="1">
      <c r="CI966" s="319"/>
    </row>
    <row r="967" ht="15.75" customHeight="1">
      <c r="CI967" s="319"/>
    </row>
    <row r="968" ht="15.75" customHeight="1">
      <c r="CI968" s="319"/>
    </row>
    <row r="969" ht="15.75" customHeight="1">
      <c r="CI969" s="319"/>
    </row>
    <row r="970" ht="15.75" customHeight="1">
      <c r="CI970" s="319"/>
    </row>
    <row r="971" ht="15.75" customHeight="1">
      <c r="CI971" s="319"/>
    </row>
    <row r="972" ht="15.75" customHeight="1">
      <c r="CI972" s="319"/>
    </row>
    <row r="973" ht="15.75" customHeight="1">
      <c r="CI973" s="319"/>
    </row>
    <row r="974" ht="15.75" customHeight="1">
      <c r="CI974" s="319"/>
    </row>
    <row r="975" ht="15.75" customHeight="1">
      <c r="CI975" s="319"/>
    </row>
    <row r="976" ht="15.75" customHeight="1">
      <c r="CI976" s="319"/>
    </row>
    <row r="977" ht="15.75" customHeight="1">
      <c r="CI977" s="319"/>
    </row>
    <row r="978" ht="15.75" customHeight="1">
      <c r="CI978" s="319"/>
    </row>
    <row r="979" ht="15.75" customHeight="1">
      <c r="CI979" s="319"/>
    </row>
    <row r="980" ht="15.75" customHeight="1">
      <c r="CI980" s="319"/>
    </row>
    <row r="981" ht="15.75" customHeight="1">
      <c r="CI981" s="319"/>
    </row>
    <row r="982" ht="15.75" customHeight="1">
      <c r="CI982" s="319"/>
    </row>
    <row r="983" ht="15.75" customHeight="1">
      <c r="CI983" s="319"/>
    </row>
    <row r="984" ht="15.75" customHeight="1">
      <c r="CI984" s="319"/>
    </row>
    <row r="985" ht="15.75" customHeight="1">
      <c r="CI985" s="319"/>
    </row>
    <row r="986" ht="15.75" customHeight="1">
      <c r="CI986" s="319"/>
    </row>
    <row r="987" ht="15.75" customHeight="1">
      <c r="CI987" s="319"/>
    </row>
    <row r="988" ht="15.75" customHeight="1">
      <c r="CI988" s="319"/>
    </row>
    <row r="989" ht="15.75" customHeight="1">
      <c r="CI989" s="319"/>
    </row>
    <row r="990" ht="15.75" customHeight="1">
      <c r="CI990" s="319"/>
    </row>
    <row r="991" ht="15.75" customHeight="1">
      <c r="CI991" s="319"/>
    </row>
    <row r="992" ht="15.75" customHeight="1">
      <c r="CI992" s="319"/>
    </row>
    <row r="993" ht="15.75" customHeight="1">
      <c r="CI993" s="319"/>
    </row>
    <row r="994" ht="15.75" customHeight="1">
      <c r="CI994" s="319"/>
    </row>
    <row r="995" ht="15.75" customHeight="1">
      <c r="CI995" s="319"/>
    </row>
    <row r="996" ht="15.75" customHeight="1">
      <c r="CI996" s="319"/>
    </row>
    <row r="997" ht="15.75" customHeight="1">
      <c r="CI997" s="319"/>
    </row>
    <row r="998" ht="15.75" customHeight="1">
      <c r="CI998" s="319"/>
    </row>
    <row r="999" ht="15.75" customHeight="1">
      <c r="CI999" s="319"/>
    </row>
    <row r="1000" ht="15.75" customHeight="1">
      <c r="CI1000" s="319"/>
    </row>
  </sheetData>
  <mergeCells count="14">
    <mergeCell ref="A4:B4"/>
    <mergeCell ref="A5:B5"/>
    <mergeCell ref="A6:B6"/>
    <mergeCell ref="C5:F5"/>
    <mergeCell ref="C6:F6"/>
    <mergeCell ref="AQ6:AT6"/>
    <mergeCell ref="AY6:BB6"/>
    <mergeCell ref="A1:B1"/>
    <mergeCell ref="C1:F1"/>
    <mergeCell ref="A2:B2"/>
    <mergeCell ref="C2:F2"/>
    <mergeCell ref="A3:B3"/>
    <mergeCell ref="C3:F3"/>
    <mergeCell ref="C4:F4"/>
  </mergeCells>
  <conditionalFormatting sqref="H9:CT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0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5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17" t="s">
        <v>8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/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9">
        <v>2.0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40</v>
      </c>
      <c r="B9" s="90" t="s">
        <v>43</v>
      </c>
      <c r="C9" s="91" t="s">
        <v>44</v>
      </c>
      <c r="D9" s="94">
        <f>SUM(R9+AL9+BI9+CF9+CS9)</f>
        <v>9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0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34</v>
      </c>
      <c r="Y9" s="104">
        <f t="shared" si="2"/>
        <v>0</v>
      </c>
      <c r="Z9" s="104">
        <f t="shared" si="2"/>
        <v>0</v>
      </c>
      <c r="AA9" s="104">
        <f t="shared" si="2"/>
        <v>0</v>
      </c>
      <c r="AB9" s="104">
        <f t="shared" si="2"/>
        <v>0</v>
      </c>
      <c r="AC9" s="104">
        <f t="shared" si="2"/>
        <v>0</v>
      </c>
      <c r="AD9" s="104">
        <f t="shared" si="2"/>
        <v>0</v>
      </c>
      <c r="AE9" s="104">
        <f t="shared" si="2"/>
        <v>0</v>
      </c>
      <c r="AF9" s="104">
        <f t="shared" si="2"/>
        <v>0</v>
      </c>
      <c r="AG9" s="104">
        <f t="shared" si="2"/>
        <v>0</v>
      </c>
      <c r="AH9" s="104">
        <f t="shared" si="2"/>
        <v>25</v>
      </c>
      <c r="AI9" s="104">
        <f t="shared" si="2"/>
        <v>0</v>
      </c>
      <c r="AJ9" s="104">
        <f t="shared" si="2"/>
        <v>0</v>
      </c>
      <c r="AK9" s="104">
        <f t="shared" si="2"/>
        <v>38</v>
      </c>
      <c r="AL9" s="103">
        <f>COUNTIF(T9:AK9,"&gt;0")</f>
        <v>3</v>
      </c>
      <c r="AM9" s="107">
        <f>SUM(R9+AL9)</f>
        <v>3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0</v>
      </c>
      <c r="AY9" s="104">
        <f t="shared" si="3"/>
        <v>0</v>
      </c>
      <c r="AZ9" s="104">
        <f t="shared" si="3"/>
        <v>0</v>
      </c>
      <c r="BA9" s="104">
        <f t="shared" si="3"/>
        <v>8</v>
      </c>
      <c r="BB9" s="104">
        <f t="shared" si="3"/>
        <v>0</v>
      </c>
      <c r="BC9" s="104">
        <f t="shared" si="3"/>
        <v>2</v>
      </c>
      <c r="BD9" s="104">
        <f t="shared" si="3"/>
        <v>0</v>
      </c>
      <c r="BE9" s="104">
        <f t="shared" si="3"/>
        <v>0</v>
      </c>
      <c r="BF9" s="104">
        <f t="shared" si="3"/>
        <v>43</v>
      </c>
      <c r="BG9" s="104">
        <f t="shared" si="3"/>
        <v>0</v>
      </c>
      <c r="BH9" s="104">
        <f t="shared" si="3"/>
        <v>0</v>
      </c>
      <c r="BI9" s="48">
        <f>COUNTIF(AN9:BH9,"&gt;0")</f>
        <v>3</v>
      </c>
      <c r="BJ9" s="55">
        <f>SUM(AM9+BI9)</f>
        <v>6</v>
      </c>
      <c r="BK9" s="109">
        <f t="shared" ref="BK9:BW9" si="4">SUM(BK10:BK91)</f>
        <v>0</v>
      </c>
      <c r="BL9" s="109">
        <f t="shared" si="4"/>
        <v>0</v>
      </c>
      <c r="BM9" s="109">
        <f t="shared" si="4"/>
        <v>36</v>
      </c>
      <c r="BN9" s="109">
        <f t="shared" si="4"/>
        <v>0</v>
      </c>
      <c r="BO9" s="109">
        <f t="shared" si="4"/>
        <v>0</v>
      </c>
      <c r="BP9" s="109">
        <f t="shared" si="4"/>
        <v>0</v>
      </c>
      <c r="BQ9" s="109">
        <f t="shared" si="4"/>
        <v>0</v>
      </c>
      <c r="BR9" s="109">
        <f t="shared" si="4"/>
        <v>47</v>
      </c>
      <c r="BS9" s="109">
        <f t="shared" si="4"/>
        <v>0</v>
      </c>
      <c r="BT9" s="109">
        <f t="shared" si="4"/>
        <v>28</v>
      </c>
      <c r="BU9" s="109">
        <f t="shared" si="4"/>
        <v>0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3</v>
      </c>
      <c r="CG9" s="113">
        <f>SUM(BJ9+CF9)</f>
        <v>9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9</v>
      </c>
      <c r="CU9" s="118"/>
      <c r="CV9" s="119">
        <f>SUM(R9+AL9+BI9+CF9+CS9+CU9)</f>
        <v>9</v>
      </c>
      <c r="CW9" s="120">
        <f t="shared" ref="CW9:CW93" si="8">SUM(R9+AL9+BI9+CF9+CS9+CU9)</f>
        <v>9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2</v>
      </c>
      <c r="E10" s="127">
        <f t="shared" ref="E10:E93" si="10">(D10)/D$9*100</f>
        <v>22.22222222</v>
      </c>
      <c r="F10" s="128">
        <f t="shared" ref="F10:F93" si="11">IF(E10&lt;50,E10, "  ")</f>
        <v>22.22222222</v>
      </c>
      <c r="G10" s="130">
        <f t="shared" ref="G10:G93" si="12">IF(E10&lt;30,E10, "  ")</f>
        <v>22.22222222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 t="str">
        <f t="shared" ref="S10:S93" si="14">R10/R$9*100</f>
        <v>#DIV/0!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3">
        <v>1.0</v>
      </c>
      <c r="AI10" s="142"/>
      <c r="AJ10" s="142"/>
      <c r="AK10" s="142"/>
      <c r="AL10" s="135">
        <f t="shared" ref="AL10:AL93" si="15">SUM(T10:AK10)</f>
        <v>1</v>
      </c>
      <c r="AM10" s="137">
        <f t="shared" ref="AM10:AM93" si="16">AL10/AL$9*100</f>
        <v>33.33333333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32"/>
      <c r="BM10" s="138"/>
      <c r="BN10" s="138"/>
      <c r="BO10" s="138"/>
      <c r="BP10" s="138"/>
      <c r="BQ10" s="138"/>
      <c r="BR10" s="150">
        <v>1.0</v>
      </c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1</v>
      </c>
      <c r="CG10" s="159">
        <f t="shared" ref="CG10:CG93" si="20">CF10/CF$9*100</f>
        <v>33.33333333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22.22222222</v>
      </c>
      <c r="CW10" s="169">
        <f t="shared" si="8"/>
        <v>2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7</v>
      </c>
      <c r="E11" s="127">
        <f t="shared" si="10"/>
        <v>77.77777778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79"/>
      <c r="K11" s="179"/>
      <c r="L11" s="179"/>
      <c r="M11" s="179"/>
      <c r="N11" s="179"/>
      <c r="O11" s="179"/>
      <c r="P11" s="179"/>
      <c r="Q11" s="179"/>
      <c r="R11" s="135">
        <f t="shared" si="13"/>
        <v>0</v>
      </c>
      <c r="S11" s="137" t="str">
        <f t="shared" si="14"/>
        <v>#DIV/0!</v>
      </c>
      <c r="T11" s="138"/>
      <c r="U11" s="138"/>
      <c r="V11" s="138"/>
      <c r="W11" s="132"/>
      <c r="X11" s="170">
        <v>1.0</v>
      </c>
      <c r="Y11" s="138"/>
      <c r="Z11" s="138"/>
      <c r="AA11" s="138"/>
      <c r="AB11" s="138"/>
      <c r="AC11" s="140"/>
      <c r="AD11" s="140"/>
      <c r="AE11" s="141"/>
      <c r="AF11" s="180"/>
      <c r="AG11" s="180"/>
      <c r="AH11" s="181">
        <v>1.0</v>
      </c>
      <c r="AI11" s="180"/>
      <c r="AJ11" s="142"/>
      <c r="AK11" s="143">
        <v>1.0</v>
      </c>
      <c r="AL11" s="135">
        <f t="shared" si="15"/>
        <v>3</v>
      </c>
      <c r="AM11" s="183">
        <f t="shared" si="16"/>
        <v>100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85">
        <v>1.0</v>
      </c>
      <c r="BG11" s="133"/>
      <c r="BH11" s="133"/>
      <c r="BI11" s="135">
        <f t="shared" si="17"/>
        <v>1</v>
      </c>
      <c r="BJ11" s="186">
        <f t="shared" si="18"/>
        <v>33.33333333</v>
      </c>
      <c r="BK11" s="138"/>
      <c r="BL11" s="132"/>
      <c r="BM11" s="151">
        <v>1.0</v>
      </c>
      <c r="BN11" s="138"/>
      <c r="BO11" s="138"/>
      <c r="BP11" s="138"/>
      <c r="BQ11" s="138"/>
      <c r="BR11" s="150">
        <v>1.0</v>
      </c>
      <c r="BS11" s="152"/>
      <c r="BT11" s="187">
        <v>1.0</v>
      </c>
      <c r="BU11" s="152"/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3</v>
      </c>
      <c r="CG11" s="190">
        <f t="shared" si="20"/>
        <v>100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77.77777778</v>
      </c>
      <c r="CW11" s="169">
        <f t="shared" si="8"/>
        <v>7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4</v>
      </c>
      <c r="E12" s="127">
        <f t="shared" si="10"/>
        <v>44.44444444</v>
      </c>
      <c r="F12" s="200">
        <f t="shared" si="11"/>
        <v>44.44444444</v>
      </c>
      <c r="G12" s="177" t="str">
        <f t="shared" si="12"/>
        <v>  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3"/>
        <v>0</v>
      </c>
      <c r="S12" s="137" t="str">
        <f t="shared" si="14"/>
        <v>#DIV/0!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0"/>
      <c r="AG12" s="180"/>
      <c r="AH12" s="181">
        <v>1.0</v>
      </c>
      <c r="AI12" s="180"/>
      <c r="AJ12" s="142"/>
      <c r="AK12" s="142"/>
      <c r="AL12" s="135">
        <f t="shared" si="15"/>
        <v>1</v>
      </c>
      <c r="AM12" s="183">
        <f t="shared" si="16"/>
        <v>33.33333333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85">
        <v>1.0</v>
      </c>
      <c r="BG12" s="133"/>
      <c r="BH12" s="133"/>
      <c r="BI12" s="135">
        <f t="shared" si="17"/>
        <v>1</v>
      </c>
      <c r="BJ12" s="186">
        <f t="shared" si="18"/>
        <v>33.33333333</v>
      </c>
      <c r="BK12" s="138"/>
      <c r="BL12" s="132"/>
      <c r="BM12" s="151">
        <v>1.0</v>
      </c>
      <c r="BN12" s="138"/>
      <c r="BO12" s="138"/>
      <c r="BP12" s="138"/>
      <c r="BQ12" s="138"/>
      <c r="BR12" s="150">
        <v>1.0</v>
      </c>
      <c r="BS12" s="152"/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2</v>
      </c>
      <c r="CG12" s="190">
        <f t="shared" si="20"/>
        <v>66.66666667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44.44444444</v>
      </c>
      <c r="CW12" s="169">
        <f t="shared" si="8"/>
        <v>4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7</v>
      </c>
      <c r="E13" s="127">
        <f t="shared" si="10"/>
        <v>77.77777778</v>
      </c>
      <c r="F13" s="200" t="str">
        <f t="shared" si="11"/>
        <v>  </v>
      </c>
      <c r="G13" s="177" t="str">
        <f t="shared" si="12"/>
        <v>  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3"/>
        <v>0</v>
      </c>
      <c r="S13" s="137" t="str">
        <f t="shared" si="14"/>
        <v>#DIV/0!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0"/>
      <c r="AG13" s="210"/>
      <c r="AH13" s="211">
        <v>1.0</v>
      </c>
      <c r="AI13" s="210"/>
      <c r="AJ13" s="212"/>
      <c r="AK13" s="213">
        <v>1.0</v>
      </c>
      <c r="AL13" s="135">
        <f t="shared" si="15"/>
        <v>2</v>
      </c>
      <c r="AM13" s="183">
        <f t="shared" si="16"/>
        <v>66.66666667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85">
        <v>1.0</v>
      </c>
      <c r="BB13" s="133"/>
      <c r="BC13" s="133"/>
      <c r="BD13" s="133"/>
      <c r="BE13" s="133"/>
      <c r="BF13" s="185">
        <v>1.0</v>
      </c>
      <c r="BG13" s="133"/>
      <c r="BH13" s="133"/>
      <c r="BI13" s="135">
        <f t="shared" si="17"/>
        <v>2</v>
      </c>
      <c r="BJ13" s="186">
        <f t="shared" si="18"/>
        <v>66.66666667</v>
      </c>
      <c r="BK13" s="138"/>
      <c r="BL13" s="132"/>
      <c r="BM13" s="151">
        <v>1.0</v>
      </c>
      <c r="BN13" s="138"/>
      <c r="BO13" s="138"/>
      <c r="BP13" s="138"/>
      <c r="BQ13" s="138"/>
      <c r="BR13" s="150">
        <v>1.0</v>
      </c>
      <c r="BS13" s="152"/>
      <c r="BT13" s="187">
        <v>1.0</v>
      </c>
      <c r="BU13" s="152"/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3</v>
      </c>
      <c r="CG13" s="190">
        <f t="shared" si="20"/>
        <v>100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77.77777778</v>
      </c>
      <c r="CW13" s="169">
        <f t="shared" si="8"/>
        <v>7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4</v>
      </c>
      <c r="E14" s="127">
        <f t="shared" si="10"/>
        <v>44.44444444</v>
      </c>
      <c r="F14" s="200">
        <f t="shared" si="11"/>
        <v>44.44444444</v>
      </c>
      <c r="G14" s="177" t="str">
        <f t="shared" si="12"/>
        <v>  </v>
      </c>
      <c r="H14" s="178"/>
      <c r="I14" s="223"/>
      <c r="J14" s="224"/>
      <c r="K14" s="224"/>
      <c r="L14" s="224"/>
      <c r="M14" s="224"/>
      <c r="N14" s="224"/>
      <c r="O14" s="224"/>
      <c r="P14" s="224"/>
      <c r="Q14" s="224"/>
      <c r="R14" s="135">
        <f t="shared" si="13"/>
        <v>0</v>
      </c>
      <c r="S14" s="137" t="str">
        <f t="shared" si="14"/>
        <v>#DIV/0!</v>
      </c>
      <c r="T14" s="138"/>
      <c r="U14" s="138"/>
      <c r="V14" s="138"/>
      <c r="W14" s="132"/>
      <c r="X14" s="132"/>
      <c r="Y14" s="138"/>
      <c r="Z14" s="138"/>
      <c r="AA14" s="138"/>
      <c r="AB14" s="217"/>
      <c r="AC14" s="140"/>
      <c r="AD14" s="140"/>
      <c r="AE14" s="141"/>
      <c r="AF14" s="226"/>
      <c r="AG14" s="226"/>
      <c r="AH14" s="226"/>
      <c r="AI14" s="226"/>
      <c r="AJ14" s="218"/>
      <c r="AK14" s="227">
        <v>1.0</v>
      </c>
      <c r="AL14" s="135">
        <f t="shared" si="15"/>
        <v>1</v>
      </c>
      <c r="AM14" s="183">
        <f t="shared" si="16"/>
        <v>33.33333333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85">
        <v>1.0</v>
      </c>
      <c r="BG14" s="133"/>
      <c r="BH14" s="133"/>
      <c r="BI14" s="135">
        <f t="shared" si="17"/>
        <v>1</v>
      </c>
      <c r="BJ14" s="186">
        <f t="shared" si="18"/>
        <v>33.33333333</v>
      </c>
      <c r="BK14" s="138"/>
      <c r="BL14" s="132"/>
      <c r="BM14" s="151">
        <v>1.0</v>
      </c>
      <c r="BN14" s="138"/>
      <c r="BO14" s="138"/>
      <c r="BP14" s="138"/>
      <c r="BQ14" s="138"/>
      <c r="BR14" s="150">
        <v>1.0</v>
      </c>
      <c r="BS14" s="152"/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2</v>
      </c>
      <c r="CG14" s="190">
        <f t="shared" si="20"/>
        <v>66.66666667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44.44444444</v>
      </c>
      <c r="CW14" s="169">
        <f t="shared" si="8"/>
        <v>4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3"/>
        <v>0</v>
      </c>
      <c r="S15" s="137" t="str">
        <f t="shared" si="14"/>
        <v>#DIV/0!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>
        <f t="shared" si="20"/>
        <v>0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6</v>
      </c>
      <c r="E16" s="127">
        <f t="shared" si="10"/>
        <v>66.66666667</v>
      </c>
      <c r="F16" s="200" t="str">
        <f t="shared" si="11"/>
        <v>  </v>
      </c>
      <c r="G16" s="177" t="str">
        <f t="shared" si="12"/>
        <v>  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3"/>
        <v>0</v>
      </c>
      <c r="S16" s="137" t="str">
        <f t="shared" si="14"/>
        <v>#DIV/0!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6">
        <v>1.0</v>
      </c>
      <c r="AI16" s="234"/>
      <c r="AJ16" s="239"/>
      <c r="AK16" s="240">
        <v>1.0</v>
      </c>
      <c r="AL16" s="135">
        <f t="shared" si="15"/>
        <v>2</v>
      </c>
      <c r="AM16" s="183">
        <f t="shared" si="16"/>
        <v>66.66666667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85">
        <v>1.0</v>
      </c>
      <c r="BG16" s="133"/>
      <c r="BH16" s="133"/>
      <c r="BI16" s="135">
        <f t="shared" si="17"/>
        <v>1</v>
      </c>
      <c r="BJ16" s="186">
        <f t="shared" si="18"/>
        <v>33.33333333</v>
      </c>
      <c r="BK16" s="138"/>
      <c r="BL16" s="132"/>
      <c r="BM16" s="151">
        <v>1.0</v>
      </c>
      <c r="BN16" s="138"/>
      <c r="BO16" s="138"/>
      <c r="BP16" s="138"/>
      <c r="BQ16" s="138"/>
      <c r="BR16" s="150">
        <v>1.0</v>
      </c>
      <c r="BS16" s="152"/>
      <c r="BT16" s="187">
        <v>1.0</v>
      </c>
      <c r="BU16" s="152"/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3</v>
      </c>
      <c r="CG16" s="190">
        <f t="shared" si="20"/>
        <v>100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66.66666667</v>
      </c>
      <c r="CW16" s="169">
        <f t="shared" si="8"/>
        <v>6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5</v>
      </c>
      <c r="E17" s="127">
        <f t="shared" si="10"/>
        <v>55.55555556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79"/>
      <c r="M17" s="179"/>
      <c r="N17" s="179"/>
      <c r="O17" s="179"/>
      <c r="P17" s="179"/>
      <c r="Q17" s="179"/>
      <c r="R17" s="135">
        <f t="shared" si="13"/>
        <v>0</v>
      </c>
      <c r="S17" s="137" t="str">
        <f t="shared" si="14"/>
        <v>#DIV/0!</v>
      </c>
      <c r="T17" s="138"/>
      <c r="U17" s="138"/>
      <c r="V17" s="138"/>
      <c r="W17" s="132"/>
      <c r="X17" s="170">
        <v>1.0</v>
      </c>
      <c r="Y17" s="138"/>
      <c r="Z17" s="138"/>
      <c r="AA17" s="138"/>
      <c r="AB17" s="217"/>
      <c r="AC17" s="140"/>
      <c r="AD17" s="140"/>
      <c r="AE17" s="141"/>
      <c r="AF17" s="226"/>
      <c r="AG17" s="226"/>
      <c r="AH17" s="226"/>
      <c r="AI17" s="226"/>
      <c r="AJ17" s="218"/>
      <c r="AK17" s="227">
        <v>1.0</v>
      </c>
      <c r="AL17" s="135">
        <f t="shared" si="15"/>
        <v>2</v>
      </c>
      <c r="AM17" s="183">
        <f t="shared" si="16"/>
        <v>66.66666667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85">
        <v>1.0</v>
      </c>
      <c r="BG17" s="133"/>
      <c r="BH17" s="133"/>
      <c r="BI17" s="135">
        <f t="shared" si="17"/>
        <v>1</v>
      </c>
      <c r="BJ17" s="186">
        <f t="shared" si="18"/>
        <v>33.33333333</v>
      </c>
      <c r="BK17" s="138"/>
      <c r="BL17" s="132"/>
      <c r="BM17" s="151">
        <v>1.0</v>
      </c>
      <c r="BN17" s="138"/>
      <c r="BO17" s="138"/>
      <c r="BP17" s="138"/>
      <c r="BQ17" s="138"/>
      <c r="BR17" s="150">
        <v>1.0</v>
      </c>
      <c r="BS17" s="152"/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2</v>
      </c>
      <c r="CG17" s="190">
        <f t="shared" si="20"/>
        <v>66.66666667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55.55555556</v>
      </c>
      <c r="CW17" s="169">
        <f t="shared" si="8"/>
        <v>5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5</v>
      </c>
      <c r="E18" s="127">
        <f t="shared" si="10"/>
        <v>55.55555556</v>
      </c>
      <c r="F18" s="200" t="str">
        <f t="shared" si="11"/>
        <v>  </v>
      </c>
      <c r="G18" s="177" t="str">
        <f t="shared" si="12"/>
        <v>  </v>
      </c>
      <c r="H18" s="132"/>
      <c r="I18" s="132"/>
      <c r="J18" s="201"/>
      <c r="K18" s="201"/>
      <c r="L18" s="201"/>
      <c r="M18" s="201"/>
      <c r="N18" s="201"/>
      <c r="O18" s="201"/>
      <c r="P18" s="201"/>
      <c r="Q18" s="201"/>
      <c r="R18" s="135">
        <f t="shared" si="13"/>
        <v>0</v>
      </c>
      <c r="S18" s="137" t="str">
        <f t="shared" si="14"/>
        <v>#DIV/0!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1">
        <v>1.0</v>
      </c>
      <c r="AI18" s="210"/>
      <c r="AJ18" s="212"/>
      <c r="AK18" s="213">
        <v>1.0</v>
      </c>
      <c r="AL18" s="135">
        <f t="shared" si="15"/>
        <v>2</v>
      </c>
      <c r="AM18" s="183">
        <f t="shared" si="16"/>
        <v>66.66666667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85">
        <v>1.0</v>
      </c>
      <c r="BG18" s="133"/>
      <c r="BH18" s="133"/>
      <c r="BI18" s="135">
        <f t="shared" si="17"/>
        <v>1</v>
      </c>
      <c r="BJ18" s="186">
        <f t="shared" si="18"/>
        <v>33.33333333</v>
      </c>
      <c r="BK18" s="138"/>
      <c r="BL18" s="132"/>
      <c r="BM18" s="151">
        <v>1.0</v>
      </c>
      <c r="BN18" s="138"/>
      <c r="BO18" s="138"/>
      <c r="BP18" s="138"/>
      <c r="BQ18" s="138"/>
      <c r="BR18" s="150">
        <v>1.0</v>
      </c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2</v>
      </c>
      <c r="CG18" s="190">
        <f t="shared" si="20"/>
        <v>66.66666667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55.55555556</v>
      </c>
      <c r="CW18" s="169">
        <f t="shared" si="8"/>
        <v>5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3</v>
      </c>
      <c r="E19" s="127">
        <f t="shared" si="10"/>
        <v>33.33333333</v>
      </c>
      <c r="F19" s="200">
        <f t="shared" si="11"/>
        <v>33.33333333</v>
      </c>
      <c r="G19" s="177" t="str">
        <f t="shared" si="12"/>
        <v>  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3"/>
        <v>0</v>
      </c>
      <c r="S19" s="137" t="str">
        <f t="shared" si="14"/>
        <v>#DIV/0!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40"/>
      <c r="AE19" s="141"/>
      <c r="AF19" s="226"/>
      <c r="AG19" s="226"/>
      <c r="AH19" s="226"/>
      <c r="AI19" s="226"/>
      <c r="AJ19" s="218"/>
      <c r="AK19" s="227">
        <v>1.0</v>
      </c>
      <c r="AL19" s="135">
        <f t="shared" si="15"/>
        <v>1</v>
      </c>
      <c r="AM19" s="183">
        <f t="shared" si="16"/>
        <v>33.33333333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85">
        <v>1.0</v>
      </c>
      <c r="BB19" s="133"/>
      <c r="BC19" s="133"/>
      <c r="BD19" s="133"/>
      <c r="BE19" s="133"/>
      <c r="BF19" s="185">
        <v>1.0</v>
      </c>
      <c r="BG19" s="133"/>
      <c r="BH19" s="133"/>
      <c r="BI19" s="135">
        <f t="shared" si="17"/>
        <v>2</v>
      </c>
      <c r="BJ19" s="186">
        <f t="shared" si="18"/>
        <v>66.66666667</v>
      </c>
      <c r="BK19" s="138"/>
      <c r="BL19" s="132"/>
      <c r="BM19" s="138"/>
      <c r="BN19" s="138"/>
      <c r="BO19" s="138"/>
      <c r="BP19" s="138"/>
      <c r="BQ19" s="138"/>
      <c r="BR19" s="140"/>
      <c r="BS19" s="152"/>
      <c r="BT19" s="152"/>
      <c r="BU19" s="152"/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0</v>
      </c>
      <c r="CG19" s="190">
        <f t="shared" si="20"/>
        <v>0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33.33333333</v>
      </c>
      <c r="CW19" s="169">
        <f t="shared" si="8"/>
        <v>3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4</v>
      </c>
      <c r="E20" s="127">
        <f t="shared" si="10"/>
        <v>44.44444444</v>
      </c>
      <c r="F20" s="200">
        <f t="shared" si="11"/>
        <v>44.44444444</v>
      </c>
      <c r="G20" s="177" t="str">
        <f t="shared" si="12"/>
        <v>  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135">
        <f t="shared" si="13"/>
        <v>0</v>
      </c>
      <c r="S20" s="137" t="str">
        <f t="shared" si="14"/>
        <v>#DIV/0!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0"/>
      <c r="AH20" s="210"/>
      <c r="AI20" s="210"/>
      <c r="AJ20" s="212"/>
      <c r="AK20" s="213">
        <v>1.0</v>
      </c>
      <c r="AL20" s="135">
        <f t="shared" si="15"/>
        <v>1</v>
      </c>
      <c r="AM20" s="183">
        <f t="shared" si="16"/>
        <v>33.33333333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85">
        <v>1.0</v>
      </c>
      <c r="BG20" s="133"/>
      <c r="BH20" s="133"/>
      <c r="BI20" s="135">
        <f t="shared" si="17"/>
        <v>1</v>
      </c>
      <c r="BJ20" s="186">
        <f t="shared" si="18"/>
        <v>33.33333333</v>
      </c>
      <c r="BK20" s="138"/>
      <c r="BL20" s="132"/>
      <c r="BM20" s="151">
        <v>1.0</v>
      </c>
      <c r="BN20" s="138"/>
      <c r="BO20" s="138"/>
      <c r="BP20" s="138"/>
      <c r="BQ20" s="138"/>
      <c r="BR20" s="150">
        <v>1.0</v>
      </c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2</v>
      </c>
      <c r="CG20" s="190">
        <f t="shared" si="20"/>
        <v>66.66666667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44.44444444</v>
      </c>
      <c r="CW20" s="169">
        <f t="shared" si="8"/>
        <v>4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5</v>
      </c>
      <c r="E21" s="127">
        <f t="shared" si="10"/>
        <v>55.55555556</v>
      </c>
      <c r="F21" s="200" t="str">
        <f t="shared" si="11"/>
        <v>  </v>
      </c>
      <c r="G21" s="177" t="str">
        <f t="shared" si="12"/>
        <v>  </v>
      </c>
      <c r="H21" s="178"/>
      <c r="I21" s="132"/>
      <c r="J21" s="201"/>
      <c r="K21" s="201"/>
      <c r="L21" s="201"/>
      <c r="M21" s="201"/>
      <c r="N21" s="201"/>
      <c r="O21" s="201"/>
      <c r="P21" s="201"/>
      <c r="Q21" s="201"/>
      <c r="R21" s="135">
        <f t="shared" si="13"/>
        <v>0</v>
      </c>
      <c r="S21" s="137" t="str">
        <f t="shared" si="14"/>
        <v>#DIV/0!</v>
      </c>
      <c r="T21" s="138"/>
      <c r="U21" s="138"/>
      <c r="V21" s="138"/>
      <c r="W21" s="132"/>
      <c r="X21" s="132"/>
      <c r="Y21" s="138"/>
      <c r="Z21" s="138"/>
      <c r="AA21" s="138"/>
      <c r="AB21" s="209"/>
      <c r="AC21" s="140"/>
      <c r="AD21" s="140"/>
      <c r="AE21" s="141"/>
      <c r="AF21" s="210"/>
      <c r="AG21" s="210"/>
      <c r="AH21" s="210"/>
      <c r="AI21" s="210"/>
      <c r="AJ21" s="212"/>
      <c r="AK21" s="213">
        <v>1.0</v>
      </c>
      <c r="AL21" s="135">
        <f t="shared" si="15"/>
        <v>1</v>
      </c>
      <c r="AM21" s="183">
        <f t="shared" si="16"/>
        <v>33.33333333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85">
        <v>1.0</v>
      </c>
      <c r="BB21" s="133"/>
      <c r="BC21" s="133"/>
      <c r="BD21" s="133"/>
      <c r="BE21" s="133"/>
      <c r="BF21" s="185">
        <v>1.0</v>
      </c>
      <c r="BG21" s="133"/>
      <c r="BH21" s="133"/>
      <c r="BI21" s="135">
        <f t="shared" si="17"/>
        <v>2</v>
      </c>
      <c r="BJ21" s="186">
        <f t="shared" si="18"/>
        <v>66.66666667</v>
      </c>
      <c r="BK21" s="138"/>
      <c r="BL21" s="132"/>
      <c r="BM21" s="151">
        <v>1.0</v>
      </c>
      <c r="BN21" s="138"/>
      <c r="BO21" s="138"/>
      <c r="BP21" s="138"/>
      <c r="BQ21" s="138"/>
      <c r="BR21" s="150">
        <v>1.0</v>
      </c>
      <c r="BS21" s="152"/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2</v>
      </c>
      <c r="CG21" s="190">
        <f t="shared" si="20"/>
        <v>66.66666667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55.55555556</v>
      </c>
      <c r="CW21" s="169">
        <f t="shared" si="8"/>
        <v>5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3</v>
      </c>
      <c r="E22" s="127">
        <f t="shared" si="10"/>
        <v>33.33333333</v>
      </c>
      <c r="F22" s="200">
        <f t="shared" si="11"/>
        <v>33.33333333</v>
      </c>
      <c r="G22" s="177" t="str">
        <f t="shared" si="12"/>
        <v>  </v>
      </c>
      <c r="H22" s="132"/>
      <c r="I22" s="178"/>
      <c r="J22" s="179"/>
      <c r="K22" s="179"/>
      <c r="L22" s="179"/>
      <c r="M22" s="179"/>
      <c r="N22" s="179"/>
      <c r="O22" s="179"/>
      <c r="P22" s="179"/>
      <c r="Q22" s="179"/>
      <c r="R22" s="135">
        <f t="shared" si="13"/>
        <v>0</v>
      </c>
      <c r="S22" s="137" t="str">
        <f t="shared" si="14"/>
        <v>#DIV/0!</v>
      </c>
      <c r="T22" s="138"/>
      <c r="U22" s="138"/>
      <c r="V22" s="138"/>
      <c r="W22" s="132"/>
      <c r="X22" s="132"/>
      <c r="Y22" s="138"/>
      <c r="Z22" s="138"/>
      <c r="AA22" s="138"/>
      <c r="AB22" s="209"/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0</v>
      </c>
      <c r="AM22" s="183">
        <f t="shared" si="16"/>
        <v>0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85">
        <v>1.0</v>
      </c>
      <c r="BG22" s="133"/>
      <c r="BH22" s="133"/>
      <c r="BI22" s="135">
        <f t="shared" si="17"/>
        <v>1</v>
      </c>
      <c r="BJ22" s="186">
        <f t="shared" si="18"/>
        <v>33.33333333</v>
      </c>
      <c r="BK22" s="138"/>
      <c r="BL22" s="132"/>
      <c r="BM22" s="138"/>
      <c r="BN22" s="138"/>
      <c r="BO22" s="138"/>
      <c r="BP22" s="138"/>
      <c r="BQ22" s="138"/>
      <c r="BR22" s="150">
        <v>1.0</v>
      </c>
      <c r="BS22" s="152"/>
      <c r="BT22" s="187">
        <v>1.0</v>
      </c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2</v>
      </c>
      <c r="CG22" s="190">
        <f t="shared" si="20"/>
        <v>66.66666667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33.33333333</v>
      </c>
      <c r="CW22" s="169">
        <f t="shared" si="8"/>
        <v>3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1</v>
      </c>
      <c r="E23" s="127">
        <f t="shared" si="10"/>
        <v>11.11111111</v>
      </c>
      <c r="F23" s="200">
        <f t="shared" si="11"/>
        <v>11.11111111</v>
      </c>
      <c r="G23" s="207">
        <f t="shared" si="12"/>
        <v>11.11111111</v>
      </c>
      <c r="H23" s="132"/>
      <c r="I23" s="132"/>
      <c r="J23" s="201"/>
      <c r="K23" s="201"/>
      <c r="L23" s="201"/>
      <c r="M23" s="201"/>
      <c r="N23" s="201"/>
      <c r="O23" s="201"/>
      <c r="P23" s="201"/>
      <c r="Q23" s="201"/>
      <c r="R23" s="135">
        <f t="shared" si="13"/>
        <v>0</v>
      </c>
      <c r="S23" s="137" t="str">
        <f t="shared" si="14"/>
        <v>#DIV/0!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>
        <f t="shared" si="16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>
        <f t="shared" si="18"/>
        <v>0</v>
      </c>
      <c r="BK23" s="138"/>
      <c r="BL23" s="132"/>
      <c r="BM23" s="138"/>
      <c r="BN23" s="138"/>
      <c r="BO23" s="138"/>
      <c r="BP23" s="138"/>
      <c r="BQ23" s="138"/>
      <c r="BR23" s="150">
        <v>1.0</v>
      </c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1</v>
      </c>
      <c r="CG23" s="190">
        <f t="shared" si="20"/>
        <v>33.33333333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11.11111111</v>
      </c>
      <c r="CW23" s="169">
        <f t="shared" si="8"/>
        <v>1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2</v>
      </c>
      <c r="E24" s="127">
        <f t="shared" si="10"/>
        <v>22.22222222</v>
      </c>
      <c r="F24" s="200">
        <f t="shared" si="11"/>
        <v>22.22222222</v>
      </c>
      <c r="G24" s="207">
        <f t="shared" si="12"/>
        <v>22.22222222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3"/>
        <v>0</v>
      </c>
      <c r="S24" s="137" t="str">
        <f t="shared" si="14"/>
        <v>#DIV/0!</v>
      </c>
      <c r="T24" s="138"/>
      <c r="U24" s="138"/>
      <c r="V24" s="138"/>
      <c r="W24" s="132"/>
      <c r="X24" s="170">
        <v>1.0</v>
      </c>
      <c r="Y24" s="138"/>
      <c r="Z24" s="138"/>
      <c r="AA24" s="138"/>
      <c r="AB24" s="209"/>
      <c r="AC24" s="140"/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1</v>
      </c>
      <c r="AM24" s="183">
        <f t="shared" si="16"/>
        <v>33.33333333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7"/>
        <v>0</v>
      </c>
      <c r="BJ24" s="186">
        <f t="shared" si="18"/>
        <v>0</v>
      </c>
      <c r="BK24" s="138"/>
      <c r="BL24" s="132"/>
      <c r="BM24" s="138"/>
      <c r="BN24" s="138"/>
      <c r="BO24" s="138"/>
      <c r="BP24" s="138"/>
      <c r="BQ24" s="138"/>
      <c r="BR24" s="150">
        <v>1.0</v>
      </c>
      <c r="BS24" s="152"/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1</v>
      </c>
      <c r="CG24" s="190">
        <f t="shared" si="20"/>
        <v>33.33333333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22.22222222</v>
      </c>
      <c r="CW24" s="169">
        <f t="shared" si="8"/>
        <v>2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3</v>
      </c>
      <c r="E25" s="127">
        <f t="shared" si="10"/>
        <v>33.33333333</v>
      </c>
      <c r="F25" s="200">
        <f t="shared" si="11"/>
        <v>33.33333333</v>
      </c>
      <c r="G25" s="177" t="str">
        <f t="shared" si="12"/>
        <v>  </v>
      </c>
      <c r="H25" s="132"/>
      <c r="I25" s="178"/>
      <c r="J25" s="179"/>
      <c r="K25" s="179"/>
      <c r="L25" s="179"/>
      <c r="M25" s="179"/>
      <c r="N25" s="179"/>
      <c r="O25" s="179"/>
      <c r="P25" s="179"/>
      <c r="Q25" s="179"/>
      <c r="R25" s="135">
        <f t="shared" si="13"/>
        <v>0</v>
      </c>
      <c r="S25" s="137" t="str">
        <f t="shared" si="14"/>
        <v>#DIV/0!</v>
      </c>
      <c r="T25" s="138"/>
      <c r="U25" s="138"/>
      <c r="V25" s="138"/>
      <c r="W25" s="132"/>
      <c r="X25" s="170">
        <v>1.0</v>
      </c>
      <c r="Y25" s="138"/>
      <c r="Z25" s="138"/>
      <c r="AA25" s="138"/>
      <c r="AB25" s="247"/>
      <c r="AC25" s="140"/>
      <c r="AD25" s="140"/>
      <c r="AE25" s="141"/>
      <c r="AF25" s="248"/>
      <c r="AG25" s="248"/>
      <c r="AH25" s="248"/>
      <c r="AI25" s="248"/>
      <c r="AJ25" s="249"/>
      <c r="AK25" s="250">
        <v>1.0</v>
      </c>
      <c r="AL25" s="135">
        <f t="shared" si="15"/>
        <v>2</v>
      </c>
      <c r="AM25" s="183">
        <f t="shared" si="16"/>
        <v>66.66666667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5">
        <f t="shared" si="17"/>
        <v>0</v>
      </c>
      <c r="BJ25" s="186">
        <f t="shared" si="18"/>
        <v>0</v>
      </c>
      <c r="BK25" s="138"/>
      <c r="BL25" s="132"/>
      <c r="BM25" s="138"/>
      <c r="BN25" s="138"/>
      <c r="BO25" s="138"/>
      <c r="BP25" s="138"/>
      <c r="BQ25" s="138"/>
      <c r="BR25" s="140"/>
      <c r="BS25" s="152"/>
      <c r="BT25" s="187">
        <v>1.0</v>
      </c>
      <c r="BU25" s="152"/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1</v>
      </c>
      <c r="CG25" s="190">
        <f t="shared" si="20"/>
        <v>33.33333333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33.33333333</v>
      </c>
      <c r="CW25" s="169">
        <f t="shared" si="8"/>
        <v>3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2</v>
      </c>
      <c r="E26" s="127">
        <f t="shared" si="10"/>
        <v>22.22222222</v>
      </c>
      <c r="F26" s="200">
        <f t="shared" si="11"/>
        <v>22.22222222</v>
      </c>
      <c r="G26" s="207">
        <f t="shared" si="12"/>
        <v>22.22222222</v>
      </c>
      <c r="H26" s="132"/>
      <c r="I26" s="132"/>
      <c r="J26" s="201"/>
      <c r="K26" s="201"/>
      <c r="L26" s="201"/>
      <c r="M26" s="201"/>
      <c r="N26" s="201"/>
      <c r="O26" s="201"/>
      <c r="P26" s="201"/>
      <c r="Q26" s="201"/>
      <c r="R26" s="135">
        <f t="shared" si="13"/>
        <v>0</v>
      </c>
      <c r="S26" s="137" t="str">
        <f t="shared" si="14"/>
        <v>#DIV/0!</v>
      </c>
      <c r="T26" s="138"/>
      <c r="U26" s="138"/>
      <c r="V26" s="138"/>
      <c r="W26" s="132"/>
      <c r="X26" s="170">
        <v>1.0</v>
      </c>
      <c r="Y26" s="138"/>
      <c r="Z26" s="138"/>
      <c r="AA26" s="138"/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1</v>
      </c>
      <c r="AM26" s="183">
        <f t="shared" si="16"/>
        <v>33.33333333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7"/>
        <v>0</v>
      </c>
      <c r="BJ26" s="186">
        <f t="shared" si="18"/>
        <v>0</v>
      </c>
      <c r="BK26" s="138"/>
      <c r="BL26" s="132"/>
      <c r="BM26" s="138"/>
      <c r="BN26" s="138"/>
      <c r="BO26" s="138"/>
      <c r="BP26" s="138"/>
      <c r="BQ26" s="138"/>
      <c r="BR26" s="140"/>
      <c r="BS26" s="152"/>
      <c r="BT26" s="187">
        <v>1.0</v>
      </c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1</v>
      </c>
      <c r="CG26" s="190">
        <f t="shared" si="20"/>
        <v>33.33333333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22.22222222</v>
      </c>
      <c r="CW26" s="169">
        <f t="shared" si="8"/>
        <v>2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2</v>
      </c>
      <c r="E27" s="127">
        <f t="shared" si="10"/>
        <v>22.22222222</v>
      </c>
      <c r="F27" s="200">
        <f t="shared" si="11"/>
        <v>22.22222222</v>
      </c>
      <c r="G27" s="207">
        <f t="shared" si="12"/>
        <v>22.22222222</v>
      </c>
      <c r="H27" s="132"/>
      <c r="I27" s="132"/>
      <c r="J27" s="201"/>
      <c r="K27" s="201"/>
      <c r="L27" s="201"/>
      <c r="M27" s="201"/>
      <c r="N27" s="201"/>
      <c r="O27" s="201"/>
      <c r="P27" s="201"/>
      <c r="Q27" s="201"/>
      <c r="R27" s="135">
        <f t="shared" si="13"/>
        <v>0</v>
      </c>
      <c r="S27" s="137" t="str">
        <f t="shared" si="14"/>
        <v>#DIV/0!</v>
      </c>
      <c r="T27" s="138"/>
      <c r="U27" s="138"/>
      <c r="V27" s="138"/>
      <c r="W27" s="132"/>
      <c r="X27" s="170">
        <v>1.0</v>
      </c>
      <c r="Y27" s="138"/>
      <c r="Z27" s="138"/>
      <c r="AA27" s="138"/>
      <c r="AB27" s="209"/>
      <c r="AC27" s="140"/>
      <c r="AD27" s="140"/>
      <c r="AE27" s="141"/>
      <c r="AF27" s="210"/>
      <c r="AG27" s="210"/>
      <c r="AH27" s="210"/>
      <c r="AI27" s="210"/>
      <c r="AJ27" s="212"/>
      <c r="AK27" s="212"/>
      <c r="AL27" s="135">
        <f t="shared" si="15"/>
        <v>1</v>
      </c>
      <c r="AM27" s="183">
        <f t="shared" si="16"/>
        <v>33.33333333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85">
        <v>1.0</v>
      </c>
      <c r="BG27" s="133"/>
      <c r="BH27" s="133"/>
      <c r="BI27" s="135">
        <f t="shared" si="17"/>
        <v>1</v>
      </c>
      <c r="BJ27" s="186">
        <f t="shared" si="18"/>
        <v>33.33333333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0</v>
      </c>
      <c r="CG27" s="190">
        <f t="shared" si="20"/>
        <v>0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22.22222222</v>
      </c>
      <c r="CW27" s="169">
        <f t="shared" si="8"/>
        <v>2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3</v>
      </c>
      <c r="E28" s="127">
        <f t="shared" si="10"/>
        <v>33.33333333</v>
      </c>
      <c r="F28" s="200">
        <f t="shared" si="11"/>
        <v>33.33333333</v>
      </c>
      <c r="G28" s="177" t="str">
        <f t="shared" si="12"/>
        <v>  </v>
      </c>
      <c r="H28" s="132"/>
      <c r="I28" s="132"/>
      <c r="J28" s="201"/>
      <c r="K28" s="201"/>
      <c r="L28" s="201"/>
      <c r="M28" s="201"/>
      <c r="N28" s="201"/>
      <c r="O28" s="201"/>
      <c r="P28" s="201"/>
      <c r="Q28" s="201"/>
      <c r="R28" s="135">
        <f t="shared" si="13"/>
        <v>0</v>
      </c>
      <c r="S28" s="137" t="str">
        <f t="shared" si="14"/>
        <v>#DIV/0!</v>
      </c>
      <c r="T28" s="138"/>
      <c r="U28" s="138"/>
      <c r="V28" s="138"/>
      <c r="W28" s="132"/>
      <c r="X28" s="170">
        <v>1.0</v>
      </c>
      <c r="Y28" s="138"/>
      <c r="Z28" s="138"/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3">
        <v>1.0</v>
      </c>
      <c r="AL28" s="135">
        <f t="shared" si="15"/>
        <v>2</v>
      </c>
      <c r="AM28" s="183">
        <f t="shared" si="16"/>
        <v>66.66666667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5">
        <f t="shared" si="17"/>
        <v>0</v>
      </c>
      <c r="BJ28" s="186">
        <f t="shared" si="18"/>
        <v>0</v>
      </c>
      <c r="BK28" s="138"/>
      <c r="BL28" s="132"/>
      <c r="BM28" s="138"/>
      <c r="BN28" s="138"/>
      <c r="BO28" s="138"/>
      <c r="BP28" s="138"/>
      <c r="BQ28" s="138"/>
      <c r="BR28" s="150">
        <v>1.0</v>
      </c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1</v>
      </c>
      <c r="CG28" s="190">
        <f t="shared" si="20"/>
        <v>33.33333333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33.33333333</v>
      </c>
      <c r="CW28" s="169">
        <f t="shared" si="8"/>
        <v>3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7</v>
      </c>
      <c r="E29" s="127">
        <f t="shared" si="10"/>
        <v>77.77777778</v>
      </c>
      <c r="F29" s="175" t="str">
        <f t="shared" si="11"/>
        <v>  </v>
      </c>
      <c r="G29" s="177" t="str">
        <f t="shared" si="12"/>
        <v>  </v>
      </c>
      <c r="H29" s="132"/>
      <c r="I29" s="132"/>
      <c r="J29" s="201"/>
      <c r="K29" s="201"/>
      <c r="L29" s="201"/>
      <c r="M29" s="201"/>
      <c r="N29" s="201"/>
      <c r="O29" s="201"/>
      <c r="P29" s="201"/>
      <c r="Q29" s="201"/>
      <c r="R29" s="135">
        <f t="shared" si="13"/>
        <v>0</v>
      </c>
      <c r="S29" s="137" t="str">
        <f t="shared" si="14"/>
        <v>#DIV/0!</v>
      </c>
      <c r="T29" s="138"/>
      <c r="U29" s="138"/>
      <c r="V29" s="138"/>
      <c r="W29" s="132"/>
      <c r="X29" s="170">
        <v>1.0</v>
      </c>
      <c r="Y29" s="138"/>
      <c r="Z29" s="138"/>
      <c r="AA29" s="138"/>
      <c r="AB29" s="209"/>
      <c r="AC29" s="140"/>
      <c r="AD29" s="140"/>
      <c r="AE29" s="141"/>
      <c r="AF29" s="210"/>
      <c r="AG29" s="210"/>
      <c r="AH29" s="211">
        <v>1.0</v>
      </c>
      <c r="AI29" s="210"/>
      <c r="AJ29" s="212"/>
      <c r="AK29" s="212"/>
      <c r="AL29" s="135">
        <f t="shared" si="15"/>
        <v>2</v>
      </c>
      <c r="AM29" s="183">
        <f t="shared" si="16"/>
        <v>66.66666667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33"/>
      <c r="BA29" s="185">
        <v>1.0</v>
      </c>
      <c r="BB29" s="133"/>
      <c r="BC29" s="133"/>
      <c r="BD29" s="133"/>
      <c r="BE29" s="133"/>
      <c r="BF29" s="185">
        <v>1.0</v>
      </c>
      <c r="BG29" s="133"/>
      <c r="BH29" s="133"/>
      <c r="BI29" s="135">
        <f t="shared" si="17"/>
        <v>2</v>
      </c>
      <c r="BJ29" s="186">
        <f t="shared" si="18"/>
        <v>66.66666667</v>
      </c>
      <c r="BK29" s="138"/>
      <c r="BL29" s="132"/>
      <c r="BM29" s="151">
        <v>1.0</v>
      </c>
      <c r="BN29" s="138"/>
      <c r="BO29" s="138"/>
      <c r="BP29" s="138"/>
      <c r="BQ29" s="138"/>
      <c r="BR29" s="150">
        <v>1.0</v>
      </c>
      <c r="BS29" s="152"/>
      <c r="BT29" s="187">
        <v>1.0</v>
      </c>
      <c r="BU29" s="152"/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3</v>
      </c>
      <c r="CG29" s="190">
        <f t="shared" si="20"/>
        <v>100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77.77777778</v>
      </c>
      <c r="CW29" s="169">
        <f t="shared" si="8"/>
        <v>7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3</v>
      </c>
      <c r="E30" s="127">
        <f t="shared" si="10"/>
        <v>33.33333333</v>
      </c>
      <c r="F30" s="200">
        <f t="shared" si="11"/>
        <v>33.33333333</v>
      </c>
      <c r="G30" s="177" t="str">
        <f t="shared" si="12"/>
        <v>  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135">
        <f t="shared" si="13"/>
        <v>0</v>
      </c>
      <c r="S30" s="137" t="str">
        <f t="shared" si="14"/>
        <v>#DIV/0!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0</v>
      </c>
      <c r="AM30" s="183">
        <f t="shared" si="16"/>
        <v>0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85">
        <v>1.0</v>
      </c>
      <c r="BG30" s="133"/>
      <c r="BH30" s="133"/>
      <c r="BI30" s="135">
        <f t="shared" si="17"/>
        <v>1</v>
      </c>
      <c r="BJ30" s="186">
        <f t="shared" si="18"/>
        <v>33.33333333</v>
      </c>
      <c r="BK30" s="138"/>
      <c r="BL30" s="132"/>
      <c r="BM30" s="151">
        <v>1.0</v>
      </c>
      <c r="BN30" s="138"/>
      <c r="BO30" s="138"/>
      <c r="BP30" s="138"/>
      <c r="BQ30" s="138"/>
      <c r="BR30" s="150">
        <v>1.0</v>
      </c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2</v>
      </c>
      <c r="CG30" s="190">
        <f t="shared" si="20"/>
        <v>66.66666667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33.33333333</v>
      </c>
      <c r="CW30" s="169">
        <f t="shared" si="8"/>
        <v>3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6</v>
      </c>
      <c r="E31" s="127">
        <f t="shared" si="10"/>
        <v>66.66666667</v>
      </c>
      <c r="F31" s="200" t="str">
        <f t="shared" si="11"/>
        <v>  </v>
      </c>
      <c r="G31" s="177" t="str">
        <f t="shared" si="12"/>
        <v>  </v>
      </c>
      <c r="H31" s="132"/>
      <c r="I31" s="178"/>
      <c r="J31" s="179"/>
      <c r="K31" s="179"/>
      <c r="L31" s="179"/>
      <c r="M31" s="179"/>
      <c r="N31" s="179"/>
      <c r="O31" s="179"/>
      <c r="P31" s="179"/>
      <c r="Q31" s="179"/>
      <c r="R31" s="135">
        <f t="shared" si="13"/>
        <v>0</v>
      </c>
      <c r="S31" s="137" t="str">
        <f t="shared" si="14"/>
        <v>#DIV/0!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1">
        <v>1.0</v>
      </c>
      <c r="AI31" s="210"/>
      <c r="AJ31" s="212"/>
      <c r="AK31" s="213">
        <v>1.0</v>
      </c>
      <c r="AL31" s="135">
        <f t="shared" si="15"/>
        <v>2</v>
      </c>
      <c r="AM31" s="183">
        <f t="shared" si="16"/>
        <v>66.66666667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85">
        <v>1.0</v>
      </c>
      <c r="BB31" s="133"/>
      <c r="BC31" s="133"/>
      <c r="BD31" s="133"/>
      <c r="BE31" s="133"/>
      <c r="BF31" s="185">
        <v>1.0</v>
      </c>
      <c r="BG31" s="133"/>
      <c r="BH31" s="133"/>
      <c r="BI31" s="135">
        <f t="shared" si="17"/>
        <v>2</v>
      </c>
      <c r="BJ31" s="186">
        <f t="shared" si="18"/>
        <v>66.66666667</v>
      </c>
      <c r="BK31" s="138"/>
      <c r="BL31" s="132"/>
      <c r="BM31" s="151">
        <v>1.0</v>
      </c>
      <c r="BN31" s="138"/>
      <c r="BO31" s="138"/>
      <c r="BP31" s="138"/>
      <c r="BQ31" s="138"/>
      <c r="BR31" s="150">
        <v>1.0</v>
      </c>
      <c r="BS31" s="152"/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2</v>
      </c>
      <c r="CG31" s="190">
        <f t="shared" si="20"/>
        <v>66.66666667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66.66666667</v>
      </c>
      <c r="CW31" s="169">
        <f t="shared" si="8"/>
        <v>6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7</v>
      </c>
      <c r="E32" s="127">
        <f t="shared" si="10"/>
        <v>77.77777778</v>
      </c>
      <c r="F32" s="175" t="str">
        <f t="shared" si="11"/>
        <v>  </v>
      </c>
      <c r="G32" s="177" t="str">
        <f t="shared" si="12"/>
        <v>  </v>
      </c>
      <c r="H32" s="132"/>
      <c r="I32" s="178"/>
      <c r="J32" s="179"/>
      <c r="K32" s="179"/>
      <c r="L32" s="179"/>
      <c r="M32" s="179"/>
      <c r="N32" s="179"/>
      <c r="O32" s="179"/>
      <c r="P32" s="179"/>
      <c r="Q32" s="179"/>
      <c r="R32" s="135">
        <f t="shared" si="13"/>
        <v>0</v>
      </c>
      <c r="S32" s="137" t="str">
        <f t="shared" si="14"/>
        <v>#DIV/0!</v>
      </c>
      <c r="T32" s="138"/>
      <c r="U32" s="138"/>
      <c r="V32" s="138"/>
      <c r="W32" s="132"/>
      <c r="X32" s="170">
        <v>1.0</v>
      </c>
      <c r="Y32" s="138"/>
      <c r="Z32" s="138"/>
      <c r="AA32" s="138"/>
      <c r="AB32" s="233"/>
      <c r="AC32" s="140"/>
      <c r="AD32" s="140"/>
      <c r="AE32" s="141"/>
      <c r="AF32" s="234"/>
      <c r="AG32" s="234"/>
      <c r="AH32" s="236">
        <v>1.0</v>
      </c>
      <c r="AI32" s="234"/>
      <c r="AJ32" s="239"/>
      <c r="AK32" s="240">
        <v>1.0</v>
      </c>
      <c r="AL32" s="135">
        <f t="shared" si="15"/>
        <v>3</v>
      </c>
      <c r="AM32" s="183">
        <f t="shared" si="16"/>
        <v>100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85">
        <v>1.0</v>
      </c>
      <c r="BB32" s="133"/>
      <c r="BC32" s="133"/>
      <c r="BD32" s="133"/>
      <c r="BE32" s="133"/>
      <c r="BF32" s="185">
        <v>1.0</v>
      </c>
      <c r="BG32" s="133"/>
      <c r="BH32" s="133"/>
      <c r="BI32" s="135">
        <f t="shared" si="17"/>
        <v>2</v>
      </c>
      <c r="BJ32" s="186">
        <f t="shared" si="18"/>
        <v>66.66666667</v>
      </c>
      <c r="BK32" s="138"/>
      <c r="BL32" s="132"/>
      <c r="BM32" s="151">
        <v>1.0</v>
      </c>
      <c r="BN32" s="138"/>
      <c r="BO32" s="138"/>
      <c r="BP32" s="138"/>
      <c r="BQ32" s="138"/>
      <c r="BR32" s="150">
        <v>1.0</v>
      </c>
      <c r="BS32" s="152"/>
      <c r="BT32" s="152"/>
      <c r="BU32" s="152"/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2</v>
      </c>
      <c r="CG32" s="190">
        <f t="shared" si="20"/>
        <v>66.66666667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77.77777778</v>
      </c>
      <c r="CW32" s="169">
        <f t="shared" si="8"/>
        <v>7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6</v>
      </c>
      <c r="E33" s="127">
        <f t="shared" si="10"/>
        <v>66.66666667</v>
      </c>
      <c r="F33" s="175" t="str">
        <f t="shared" si="11"/>
        <v>  </v>
      </c>
      <c r="G33" s="177" t="str">
        <f t="shared" si="12"/>
        <v>  </v>
      </c>
      <c r="H33" s="132"/>
      <c r="I33" s="229"/>
      <c r="J33" s="231"/>
      <c r="K33" s="231"/>
      <c r="L33" s="231"/>
      <c r="M33" s="231"/>
      <c r="N33" s="231"/>
      <c r="O33" s="231"/>
      <c r="P33" s="231"/>
      <c r="Q33" s="231"/>
      <c r="R33" s="135">
        <f t="shared" si="13"/>
        <v>0</v>
      </c>
      <c r="S33" s="137" t="str">
        <f t="shared" si="14"/>
        <v>#DIV/0!</v>
      </c>
      <c r="T33" s="138"/>
      <c r="U33" s="138"/>
      <c r="V33" s="138"/>
      <c r="W33" s="132"/>
      <c r="X33" s="132"/>
      <c r="Y33" s="138"/>
      <c r="Z33" s="138"/>
      <c r="AA33" s="138"/>
      <c r="AB33" s="233"/>
      <c r="AC33" s="140"/>
      <c r="AD33" s="140"/>
      <c r="AE33" s="141"/>
      <c r="AF33" s="234"/>
      <c r="AG33" s="234"/>
      <c r="AH33" s="236">
        <v>1.0</v>
      </c>
      <c r="AI33" s="234"/>
      <c r="AJ33" s="239"/>
      <c r="AK33" s="240">
        <v>1.0</v>
      </c>
      <c r="AL33" s="135">
        <f t="shared" si="15"/>
        <v>2</v>
      </c>
      <c r="AM33" s="183">
        <f t="shared" si="16"/>
        <v>66.66666667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85">
        <v>1.0</v>
      </c>
      <c r="BB33" s="133"/>
      <c r="BC33" s="133"/>
      <c r="BD33" s="133"/>
      <c r="BE33" s="133"/>
      <c r="BF33" s="185">
        <v>1.0</v>
      </c>
      <c r="BG33" s="133"/>
      <c r="BH33" s="133"/>
      <c r="BI33" s="135">
        <f t="shared" si="17"/>
        <v>2</v>
      </c>
      <c r="BJ33" s="186">
        <f t="shared" si="18"/>
        <v>66.66666667</v>
      </c>
      <c r="BK33" s="138"/>
      <c r="BL33" s="132"/>
      <c r="BM33" s="151">
        <v>1.0</v>
      </c>
      <c r="BN33" s="138"/>
      <c r="BO33" s="138"/>
      <c r="BP33" s="138"/>
      <c r="BQ33" s="138"/>
      <c r="BR33" s="150">
        <v>1.0</v>
      </c>
      <c r="BS33" s="152"/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2</v>
      </c>
      <c r="CG33" s="190">
        <f t="shared" si="20"/>
        <v>66.66666667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66.66666667</v>
      </c>
      <c r="CW33" s="169">
        <f t="shared" si="8"/>
        <v>6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3</v>
      </c>
      <c r="E34" s="127">
        <f t="shared" si="10"/>
        <v>33.33333333</v>
      </c>
      <c r="F34" s="200">
        <f t="shared" si="11"/>
        <v>33.33333333</v>
      </c>
      <c r="G34" s="177" t="str">
        <f t="shared" si="12"/>
        <v>  </v>
      </c>
      <c r="H34" s="178"/>
      <c r="I34" s="132"/>
      <c r="J34" s="201"/>
      <c r="K34" s="201"/>
      <c r="L34" s="201"/>
      <c r="M34" s="201"/>
      <c r="N34" s="201"/>
      <c r="O34" s="201"/>
      <c r="P34" s="201"/>
      <c r="Q34" s="201"/>
      <c r="R34" s="135">
        <f t="shared" si="13"/>
        <v>0</v>
      </c>
      <c r="S34" s="137" t="str">
        <f t="shared" si="14"/>
        <v>#DIV/0!</v>
      </c>
      <c r="T34" s="138"/>
      <c r="U34" s="138"/>
      <c r="V34" s="138"/>
      <c r="W34" s="132"/>
      <c r="X34" s="170">
        <v>1.0</v>
      </c>
      <c r="Y34" s="138"/>
      <c r="Z34" s="138"/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1</v>
      </c>
      <c r="AM34" s="183">
        <f t="shared" si="16"/>
        <v>33.33333333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7"/>
        <v>0</v>
      </c>
      <c r="BJ34" s="186">
        <f t="shared" si="18"/>
        <v>0</v>
      </c>
      <c r="BK34" s="138"/>
      <c r="BL34" s="132"/>
      <c r="BM34" s="138"/>
      <c r="BN34" s="138"/>
      <c r="BO34" s="138"/>
      <c r="BP34" s="138"/>
      <c r="BQ34" s="138"/>
      <c r="BR34" s="150">
        <v>1.0</v>
      </c>
      <c r="BS34" s="152"/>
      <c r="BT34" s="187">
        <v>1.0</v>
      </c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2</v>
      </c>
      <c r="CG34" s="190">
        <f t="shared" si="20"/>
        <v>66.66666667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33.33333333</v>
      </c>
      <c r="CW34" s="169">
        <f t="shared" si="8"/>
        <v>3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5</v>
      </c>
      <c r="E35" s="127">
        <f t="shared" si="10"/>
        <v>55.55555556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01"/>
      <c r="K35" s="201"/>
      <c r="L35" s="201"/>
      <c r="M35" s="201"/>
      <c r="N35" s="201"/>
      <c r="O35" s="201"/>
      <c r="P35" s="201"/>
      <c r="Q35" s="201"/>
      <c r="R35" s="135">
        <f t="shared" si="13"/>
        <v>0</v>
      </c>
      <c r="S35" s="137" t="str">
        <f t="shared" si="14"/>
        <v>#DIV/0!</v>
      </c>
      <c r="T35" s="138"/>
      <c r="U35" s="138"/>
      <c r="V35" s="138"/>
      <c r="W35" s="132"/>
      <c r="X35" s="170">
        <v>1.0</v>
      </c>
      <c r="Y35" s="138"/>
      <c r="Z35" s="138"/>
      <c r="AA35" s="138"/>
      <c r="AB35" s="209"/>
      <c r="AC35" s="140"/>
      <c r="AD35" s="140"/>
      <c r="AE35" s="141"/>
      <c r="AF35" s="210"/>
      <c r="AG35" s="210"/>
      <c r="AH35" s="210"/>
      <c r="AI35" s="210"/>
      <c r="AJ35" s="212"/>
      <c r="AK35" s="213">
        <v>1.0</v>
      </c>
      <c r="AL35" s="135">
        <f t="shared" si="15"/>
        <v>2</v>
      </c>
      <c r="AM35" s="183">
        <f t="shared" si="16"/>
        <v>66.66666667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85">
        <v>1.0</v>
      </c>
      <c r="BG35" s="133"/>
      <c r="BH35" s="133"/>
      <c r="BI35" s="135">
        <f t="shared" si="17"/>
        <v>1</v>
      </c>
      <c r="BJ35" s="186">
        <f t="shared" si="18"/>
        <v>33.33333333</v>
      </c>
      <c r="BK35" s="138"/>
      <c r="BL35" s="132"/>
      <c r="BM35" s="138"/>
      <c r="BN35" s="138"/>
      <c r="BO35" s="138"/>
      <c r="BP35" s="138"/>
      <c r="BQ35" s="138"/>
      <c r="BR35" s="150">
        <v>1.0</v>
      </c>
      <c r="BS35" s="152"/>
      <c r="BT35" s="187">
        <v>1.0</v>
      </c>
      <c r="BU35" s="152"/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2</v>
      </c>
      <c r="CG35" s="190">
        <f t="shared" si="20"/>
        <v>66.66666667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55.55555556</v>
      </c>
      <c r="CW35" s="169">
        <f t="shared" si="8"/>
        <v>5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3"/>
        <v>0</v>
      </c>
      <c r="S36" s="137" t="str">
        <f t="shared" si="14"/>
        <v>#DIV/0!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>
        <f t="shared" si="20"/>
        <v>0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2</v>
      </c>
      <c r="E37" s="127">
        <f t="shared" si="10"/>
        <v>22.22222222</v>
      </c>
      <c r="F37" s="200">
        <f t="shared" si="11"/>
        <v>22.22222222</v>
      </c>
      <c r="G37" s="207">
        <f t="shared" si="12"/>
        <v>22.22222222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135">
        <f t="shared" si="13"/>
        <v>0</v>
      </c>
      <c r="S37" s="137" t="str">
        <f t="shared" si="14"/>
        <v>#DIV/0!</v>
      </c>
      <c r="T37" s="138"/>
      <c r="U37" s="138"/>
      <c r="V37" s="138"/>
      <c r="W37" s="132"/>
      <c r="X37" s="170">
        <v>1.0</v>
      </c>
      <c r="Y37" s="138"/>
      <c r="Z37" s="138"/>
      <c r="AA37" s="138"/>
      <c r="AB37" s="209"/>
      <c r="AC37" s="140"/>
      <c r="AD37" s="140"/>
      <c r="AE37" s="141"/>
      <c r="AF37" s="210"/>
      <c r="AG37" s="210"/>
      <c r="AH37" s="210"/>
      <c r="AI37" s="210"/>
      <c r="AJ37" s="212"/>
      <c r="AK37" s="213">
        <v>1.0</v>
      </c>
      <c r="AL37" s="135">
        <f t="shared" si="15"/>
        <v>2</v>
      </c>
      <c r="AM37" s="183">
        <f t="shared" si="16"/>
        <v>66.66666667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5">
        <f t="shared" si="17"/>
        <v>0</v>
      </c>
      <c r="BJ37" s="186">
        <f t="shared" si="18"/>
        <v>0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>
        <f t="shared" si="20"/>
        <v>0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22.22222222</v>
      </c>
      <c r="CW37" s="169">
        <f t="shared" si="8"/>
        <v>2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4</v>
      </c>
      <c r="E38" s="127">
        <f t="shared" si="10"/>
        <v>44.44444444</v>
      </c>
      <c r="F38" s="200">
        <f t="shared" si="11"/>
        <v>44.44444444</v>
      </c>
      <c r="G38" s="177" t="str">
        <f t="shared" si="12"/>
        <v>  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3"/>
        <v>0</v>
      </c>
      <c r="S38" s="137" t="str">
        <f t="shared" si="14"/>
        <v>#DIV/0!</v>
      </c>
      <c r="T38" s="138"/>
      <c r="U38" s="138"/>
      <c r="V38" s="138"/>
      <c r="W38" s="132"/>
      <c r="X38" s="170">
        <v>1.0</v>
      </c>
      <c r="Y38" s="138"/>
      <c r="Z38" s="138"/>
      <c r="AA38" s="138"/>
      <c r="AB38" s="209"/>
      <c r="AC38" s="140"/>
      <c r="AD38" s="140"/>
      <c r="AE38" s="141"/>
      <c r="AF38" s="210"/>
      <c r="AG38" s="210"/>
      <c r="AH38" s="211">
        <v>1.0</v>
      </c>
      <c r="AI38" s="210"/>
      <c r="AJ38" s="212"/>
      <c r="AK38" s="212"/>
      <c r="AL38" s="135">
        <f t="shared" si="15"/>
        <v>2</v>
      </c>
      <c r="AM38" s="183">
        <f t="shared" si="16"/>
        <v>66.66666667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85">
        <v>1.0</v>
      </c>
      <c r="BG38" s="133"/>
      <c r="BH38" s="133"/>
      <c r="BI38" s="135">
        <f t="shared" si="17"/>
        <v>1</v>
      </c>
      <c r="BJ38" s="186">
        <f t="shared" si="18"/>
        <v>33.33333333</v>
      </c>
      <c r="BK38" s="138"/>
      <c r="BL38" s="132"/>
      <c r="BM38" s="138"/>
      <c r="BN38" s="138"/>
      <c r="BO38" s="138"/>
      <c r="BP38" s="138"/>
      <c r="BQ38" s="138"/>
      <c r="BR38" s="150">
        <v>1.0</v>
      </c>
      <c r="BS38" s="152"/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1</v>
      </c>
      <c r="CG38" s="190">
        <f t="shared" si="20"/>
        <v>33.33333333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44.44444444</v>
      </c>
      <c r="CW38" s="169">
        <f t="shared" si="8"/>
        <v>4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2</v>
      </c>
      <c r="E39" s="127">
        <f t="shared" si="10"/>
        <v>22.22222222</v>
      </c>
      <c r="F39" s="200">
        <f t="shared" si="11"/>
        <v>22.22222222</v>
      </c>
      <c r="G39" s="207">
        <f t="shared" si="12"/>
        <v>22.22222222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3"/>
        <v>0</v>
      </c>
      <c r="S39" s="137" t="str">
        <f t="shared" si="14"/>
        <v>#DIV/0!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>
        <f t="shared" si="18"/>
        <v>0</v>
      </c>
      <c r="BK39" s="138"/>
      <c r="BL39" s="132"/>
      <c r="BM39" s="151">
        <v>1.0</v>
      </c>
      <c r="BN39" s="138"/>
      <c r="BO39" s="138"/>
      <c r="BP39" s="138"/>
      <c r="BQ39" s="138"/>
      <c r="BR39" s="150">
        <v>1.0</v>
      </c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2</v>
      </c>
      <c r="CG39" s="190">
        <f t="shared" si="20"/>
        <v>66.66666667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22.22222222</v>
      </c>
      <c r="CW39" s="169">
        <f t="shared" si="8"/>
        <v>2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3</v>
      </c>
      <c r="E40" s="127">
        <f t="shared" si="10"/>
        <v>33.33333333</v>
      </c>
      <c r="F40" s="200">
        <f t="shared" si="11"/>
        <v>33.33333333</v>
      </c>
      <c r="G40" s="177" t="str">
        <f t="shared" si="12"/>
        <v>  </v>
      </c>
      <c r="H40" s="132"/>
      <c r="I40" s="132"/>
      <c r="J40" s="201"/>
      <c r="K40" s="201"/>
      <c r="L40" s="201"/>
      <c r="M40" s="201"/>
      <c r="N40" s="201"/>
      <c r="O40" s="201"/>
      <c r="P40" s="201"/>
      <c r="Q40" s="201"/>
      <c r="R40" s="135">
        <f t="shared" si="13"/>
        <v>0</v>
      </c>
      <c r="S40" s="137" t="str">
        <f t="shared" si="14"/>
        <v>#DIV/0!</v>
      </c>
      <c r="T40" s="138"/>
      <c r="U40" s="138"/>
      <c r="V40" s="138"/>
      <c r="W40" s="132"/>
      <c r="X40" s="132"/>
      <c r="Y40" s="138"/>
      <c r="Z40" s="138"/>
      <c r="AA40" s="138"/>
      <c r="AB40" s="209"/>
      <c r="AC40" s="140"/>
      <c r="AD40" s="140"/>
      <c r="AE40" s="141"/>
      <c r="AF40" s="210"/>
      <c r="AG40" s="210"/>
      <c r="AH40" s="210"/>
      <c r="AI40" s="210"/>
      <c r="AJ40" s="212"/>
      <c r="AK40" s="213">
        <v>1.0</v>
      </c>
      <c r="AL40" s="135">
        <f t="shared" si="15"/>
        <v>1</v>
      </c>
      <c r="AM40" s="183">
        <f t="shared" si="16"/>
        <v>33.33333333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85">
        <v>1.0</v>
      </c>
      <c r="BG40" s="133"/>
      <c r="BH40" s="133"/>
      <c r="BI40" s="135">
        <f t="shared" si="17"/>
        <v>1</v>
      </c>
      <c r="BJ40" s="186">
        <f t="shared" si="18"/>
        <v>33.33333333</v>
      </c>
      <c r="BK40" s="138"/>
      <c r="BL40" s="132"/>
      <c r="BM40" s="151">
        <v>1.0</v>
      </c>
      <c r="BN40" s="138"/>
      <c r="BO40" s="138"/>
      <c r="BP40" s="138"/>
      <c r="BQ40" s="138"/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1</v>
      </c>
      <c r="CG40" s="190">
        <f t="shared" si="20"/>
        <v>33.33333333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33.33333333</v>
      </c>
      <c r="CW40" s="169">
        <f t="shared" si="8"/>
        <v>3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4</v>
      </c>
      <c r="E41" s="127">
        <f t="shared" si="10"/>
        <v>44.44444444</v>
      </c>
      <c r="F41" s="200">
        <f t="shared" si="11"/>
        <v>44.44444444</v>
      </c>
      <c r="G41" s="177" t="str">
        <f t="shared" si="12"/>
        <v>  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3"/>
        <v>0</v>
      </c>
      <c r="S41" s="137" t="str">
        <f t="shared" si="14"/>
        <v>#DIV/0!</v>
      </c>
      <c r="T41" s="138"/>
      <c r="U41" s="138"/>
      <c r="V41" s="138"/>
      <c r="W41" s="132"/>
      <c r="X41" s="132"/>
      <c r="Y41" s="138"/>
      <c r="Z41" s="138"/>
      <c r="AA41" s="138"/>
      <c r="AB41" s="209"/>
      <c r="AC41" s="140"/>
      <c r="AD41" s="140"/>
      <c r="AE41" s="141"/>
      <c r="AF41" s="210"/>
      <c r="AG41" s="210"/>
      <c r="AH41" s="211">
        <v>1.0</v>
      </c>
      <c r="AI41" s="210"/>
      <c r="AJ41" s="212"/>
      <c r="AK41" s="213">
        <v>1.0</v>
      </c>
      <c r="AL41" s="135">
        <f t="shared" si="15"/>
        <v>2</v>
      </c>
      <c r="AM41" s="183">
        <f t="shared" si="16"/>
        <v>66.66666667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85">
        <v>1.0</v>
      </c>
      <c r="BG41" s="133"/>
      <c r="BH41" s="133"/>
      <c r="BI41" s="135">
        <f t="shared" si="17"/>
        <v>1</v>
      </c>
      <c r="BJ41" s="186">
        <f t="shared" si="18"/>
        <v>33.33333333</v>
      </c>
      <c r="BK41" s="138"/>
      <c r="BL41" s="132"/>
      <c r="BM41" s="138"/>
      <c r="BN41" s="138"/>
      <c r="BO41" s="138"/>
      <c r="BP41" s="138"/>
      <c r="BQ41" s="138"/>
      <c r="BR41" s="150">
        <v>1.0</v>
      </c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1</v>
      </c>
      <c r="CG41" s="190">
        <f t="shared" si="20"/>
        <v>33.33333333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44.44444444</v>
      </c>
      <c r="CW41" s="169">
        <f t="shared" si="8"/>
        <v>4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0</v>
      </c>
      <c r="E42" s="127">
        <f t="shared" si="10"/>
        <v>0</v>
      </c>
      <c r="F42" s="200">
        <f t="shared" si="11"/>
        <v>0</v>
      </c>
      <c r="G42" s="207">
        <f t="shared" si="12"/>
        <v>0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3"/>
        <v>0</v>
      </c>
      <c r="S42" s="137" t="str">
        <f t="shared" si="14"/>
        <v>#DIV/0!</v>
      </c>
      <c r="T42" s="138"/>
      <c r="U42" s="138"/>
      <c r="V42" s="138"/>
      <c r="W42" s="132"/>
      <c r="X42" s="132"/>
      <c r="Y42" s="138"/>
      <c r="Z42" s="138"/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0</v>
      </c>
      <c r="AM42" s="183">
        <f t="shared" si="16"/>
        <v>0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>
        <f t="shared" si="18"/>
        <v>0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52"/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0</v>
      </c>
      <c r="CG42" s="190">
        <f t="shared" si="20"/>
        <v>0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0</v>
      </c>
      <c r="CW42" s="169">
        <f t="shared" si="8"/>
        <v>0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3</v>
      </c>
      <c r="E43" s="127">
        <f t="shared" si="10"/>
        <v>33.33333333</v>
      </c>
      <c r="F43" s="200">
        <f t="shared" si="11"/>
        <v>33.33333333</v>
      </c>
      <c r="G43" s="177" t="str">
        <f t="shared" si="12"/>
        <v>  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3"/>
        <v>0</v>
      </c>
      <c r="S43" s="137" t="str">
        <f t="shared" si="14"/>
        <v>#DIV/0!</v>
      </c>
      <c r="T43" s="138"/>
      <c r="U43" s="138"/>
      <c r="V43" s="138"/>
      <c r="W43" s="132"/>
      <c r="X43" s="132"/>
      <c r="Y43" s="138"/>
      <c r="Z43" s="138"/>
      <c r="AA43" s="138"/>
      <c r="AB43" s="217"/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0</v>
      </c>
      <c r="AM43" s="183">
        <f t="shared" si="16"/>
        <v>0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85">
        <v>1.0</v>
      </c>
      <c r="BG43" s="133"/>
      <c r="BH43" s="133"/>
      <c r="BI43" s="135">
        <f t="shared" si="17"/>
        <v>1</v>
      </c>
      <c r="BJ43" s="186">
        <f t="shared" si="18"/>
        <v>33.33333333</v>
      </c>
      <c r="BK43" s="138"/>
      <c r="BL43" s="132"/>
      <c r="BM43" s="151">
        <v>1.0</v>
      </c>
      <c r="BN43" s="138"/>
      <c r="BO43" s="138"/>
      <c r="BP43" s="138"/>
      <c r="BQ43" s="138"/>
      <c r="BR43" s="150">
        <v>1.0</v>
      </c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2</v>
      </c>
      <c r="CG43" s="190">
        <f t="shared" si="20"/>
        <v>66.66666667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33.33333333</v>
      </c>
      <c r="CW43" s="169">
        <f t="shared" si="8"/>
        <v>3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4</v>
      </c>
      <c r="E44" s="127">
        <f t="shared" si="10"/>
        <v>44.44444444</v>
      </c>
      <c r="F44" s="200">
        <f t="shared" si="11"/>
        <v>44.44444444</v>
      </c>
      <c r="G44" s="177" t="str">
        <f t="shared" si="12"/>
        <v>  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135">
        <f t="shared" si="13"/>
        <v>0</v>
      </c>
      <c r="S44" s="137" t="str">
        <f t="shared" si="14"/>
        <v>#DIV/0!</v>
      </c>
      <c r="T44" s="138"/>
      <c r="U44" s="138"/>
      <c r="V44" s="138"/>
      <c r="W44" s="132"/>
      <c r="X44" s="170">
        <v>1.0</v>
      </c>
      <c r="Y44" s="138"/>
      <c r="Z44" s="138"/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1</v>
      </c>
      <c r="AM44" s="183">
        <f t="shared" si="16"/>
        <v>33.33333333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85">
        <v>1.0</v>
      </c>
      <c r="BG44" s="133"/>
      <c r="BH44" s="133"/>
      <c r="BI44" s="135">
        <f t="shared" si="17"/>
        <v>1</v>
      </c>
      <c r="BJ44" s="186">
        <f t="shared" si="18"/>
        <v>33.33333333</v>
      </c>
      <c r="BK44" s="138"/>
      <c r="BL44" s="132"/>
      <c r="BM44" s="151">
        <v>1.0</v>
      </c>
      <c r="BN44" s="138"/>
      <c r="BO44" s="138"/>
      <c r="BP44" s="138"/>
      <c r="BQ44" s="138"/>
      <c r="BR44" s="150">
        <v>1.0</v>
      </c>
      <c r="BS44" s="152"/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2</v>
      </c>
      <c r="CG44" s="190">
        <f t="shared" si="20"/>
        <v>66.66666667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44.44444444</v>
      </c>
      <c r="CW44" s="169">
        <f t="shared" si="8"/>
        <v>4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3"/>
        <v>0</v>
      </c>
      <c r="S45" s="137" t="str">
        <f t="shared" si="14"/>
        <v>#DIV/0!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>
        <f t="shared" si="20"/>
        <v>0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4</v>
      </c>
      <c r="E46" s="127">
        <f t="shared" si="10"/>
        <v>44.44444444</v>
      </c>
      <c r="F46" s="200">
        <f t="shared" si="11"/>
        <v>44.44444444</v>
      </c>
      <c r="G46" s="207" t="str">
        <f t="shared" si="12"/>
        <v>  </v>
      </c>
      <c r="H46" s="132"/>
      <c r="I46" s="132"/>
      <c r="J46" s="201"/>
      <c r="K46" s="201"/>
      <c r="L46" s="201"/>
      <c r="M46" s="201"/>
      <c r="N46" s="201"/>
      <c r="O46" s="201"/>
      <c r="P46" s="201"/>
      <c r="Q46" s="201"/>
      <c r="R46" s="135">
        <f t="shared" si="13"/>
        <v>0</v>
      </c>
      <c r="S46" s="137" t="str">
        <f t="shared" si="14"/>
        <v>#DIV/0!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0"/>
      <c r="AG46" s="210"/>
      <c r="AH46" s="210"/>
      <c r="AI46" s="210"/>
      <c r="AJ46" s="212"/>
      <c r="AK46" s="213">
        <v>1.0</v>
      </c>
      <c r="AL46" s="135">
        <f t="shared" si="15"/>
        <v>1</v>
      </c>
      <c r="AM46" s="183">
        <f t="shared" si="16"/>
        <v>33.33333333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85">
        <v>1.0</v>
      </c>
      <c r="BG46" s="133"/>
      <c r="BH46" s="133"/>
      <c r="BI46" s="135">
        <f t="shared" si="17"/>
        <v>1</v>
      </c>
      <c r="BJ46" s="186">
        <f t="shared" si="18"/>
        <v>33.33333333</v>
      </c>
      <c r="BK46" s="138"/>
      <c r="BL46" s="132"/>
      <c r="BM46" s="151">
        <v>1.0</v>
      </c>
      <c r="BN46" s="138"/>
      <c r="BO46" s="138"/>
      <c r="BP46" s="138"/>
      <c r="BQ46" s="138"/>
      <c r="BR46" s="150">
        <v>1.0</v>
      </c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2</v>
      </c>
      <c r="CG46" s="190">
        <f t="shared" si="20"/>
        <v>66.66666667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44.44444444</v>
      </c>
      <c r="CW46" s="169">
        <f t="shared" si="8"/>
        <v>4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6</v>
      </c>
      <c r="E47" s="127">
        <f t="shared" si="10"/>
        <v>66.66666667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3"/>
        <v>0</v>
      </c>
      <c r="S47" s="137" t="str">
        <f t="shared" si="14"/>
        <v>#DIV/0!</v>
      </c>
      <c r="T47" s="138"/>
      <c r="U47" s="138"/>
      <c r="V47" s="138"/>
      <c r="W47" s="132"/>
      <c r="X47" s="170">
        <v>1.0</v>
      </c>
      <c r="Y47" s="138"/>
      <c r="Z47" s="138"/>
      <c r="AA47" s="138"/>
      <c r="AB47" s="209"/>
      <c r="AC47" s="140"/>
      <c r="AD47" s="140"/>
      <c r="AE47" s="141"/>
      <c r="AF47" s="210"/>
      <c r="AG47" s="210"/>
      <c r="AH47" s="211">
        <v>1.0</v>
      </c>
      <c r="AI47" s="210"/>
      <c r="AJ47" s="212"/>
      <c r="AK47" s="213">
        <v>1.0</v>
      </c>
      <c r="AL47" s="135">
        <f t="shared" si="15"/>
        <v>3</v>
      </c>
      <c r="AM47" s="183">
        <f t="shared" si="16"/>
        <v>100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5">
        <f t="shared" si="17"/>
        <v>0</v>
      </c>
      <c r="BJ47" s="186">
        <f t="shared" si="18"/>
        <v>0</v>
      </c>
      <c r="BK47" s="138"/>
      <c r="BL47" s="132"/>
      <c r="BM47" s="151">
        <v>1.0</v>
      </c>
      <c r="BN47" s="138"/>
      <c r="BO47" s="138"/>
      <c r="BP47" s="138"/>
      <c r="BQ47" s="138"/>
      <c r="BR47" s="150">
        <v>1.0</v>
      </c>
      <c r="BS47" s="152"/>
      <c r="BT47" s="187">
        <v>1.0</v>
      </c>
      <c r="BU47" s="152"/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3</v>
      </c>
      <c r="CG47" s="190">
        <f t="shared" si="20"/>
        <v>100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66.66666667</v>
      </c>
      <c r="CW47" s="169">
        <f t="shared" si="8"/>
        <v>6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3</v>
      </c>
      <c r="E48" s="127">
        <f t="shared" si="10"/>
        <v>33.33333333</v>
      </c>
      <c r="F48" s="200">
        <f t="shared" si="11"/>
        <v>33.33333333</v>
      </c>
      <c r="G48" s="177" t="str">
        <f t="shared" si="12"/>
        <v>  </v>
      </c>
      <c r="H48" s="258"/>
      <c r="I48" s="259"/>
      <c r="J48" s="260"/>
      <c r="K48" s="260"/>
      <c r="L48" s="260"/>
      <c r="M48" s="260"/>
      <c r="N48" s="260"/>
      <c r="O48" s="260"/>
      <c r="P48" s="260"/>
      <c r="Q48" s="260"/>
      <c r="R48" s="135">
        <f t="shared" si="13"/>
        <v>0</v>
      </c>
      <c r="S48" s="137" t="str">
        <f t="shared" si="14"/>
        <v>#DIV/0!</v>
      </c>
      <c r="T48" s="138"/>
      <c r="U48" s="138"/>
      <c r="V48" s="138"/>
      <c r="W48" s="132"/>
      <c r="X48" s="170">
        <v>1.0</v>
      </c>
      <c r="Y48" s="138"/>
      <c r="Z48" s="138"/>
      <c r="AA48" s="138"/>
      <c r="AB48" s="209"/>
      <c r="AC48" s="140"/>
      <c r="AD48" s="140"/>
      <c r="AE48" s="141"/>
      <c r="AF48" s="210"/>
      <c r="AG48" s="210"/>
      <c r="AH48" s="211">
        <v>1.0</v>
      </c>
      <c r="AI48" s="210"/>
      <c r="AJ48" s="212"/>
      <c r="AK48" s="212"/>
      <c r="AL48" s="135">
        <f t="shared" si="15"/>
        <v>2</v>
      </c>
      <c r="AM48" s="183">
        <f t="shared" si="16"/>
        <v>66.66666667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>
        <f t="shared" si="18"/>
        <v>0</v>
      </c>
      <c r="BK48" s="138"/>
      <c r="BL48" s="132"/>
      <c r="BM48" s="138"/>
      <c r="BN48" s="138"/>
      <c r="BO48" s="138"/>
      <c r="BP48" s="138"/>
      <c r="BQ48" s="138"/>
      <c r="BR48" s="150">
        <v>1.0</v>
      </c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1</v>
      </c>
      <c r="CG48" s="190">
        <f t="shared" si="20"/>
        <v>33.33333333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33.33333333</v>
      </c>
      <c r="CW48" s="169">
        <f t="shared" si="8"/>
        <v>3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3</v>
      </c>
      <c r="E49" s="127">
        <f t="shared" si="10"/>
        <v>33.33333333</v>
      </c>
      <c r="F49" s="200">
        <f t="shared" si="11"/>
        <v>33.33333333</v>
      </c>
      <c r="G49" s="177" t="str">
        <f t="shared" si="12"/>
        <v>  </v>
      </c>
      <c r="H49" s="258"/>
      <c r="I49" s="261"/>
      <c r="J49" s="262"/>
      <c r="K49" s="262"/>
      <c r="L49" s="262"/>
      <c r="M49" s="262"/>
      <c r="N49" s="262"/>
      <c r="O49" s="262"/>
      <c r="P49" s="262"/>
      <c r="Q49" s="262"/>
      <c r="R49" s="135">
        <f t="shared" si="13"/>
        <v>0</v>
      </c>
      <c r="S49" s="137" t="str">
        <f t="shared" si="14"/>
        <v>#DIV/0!</v>
      </c>
      <c r="T49" s="138"/>
      <c r="U49" s="138"/>
      <c r="V49" s="138"/>
      <c r="W49" s="132"/>
      <c r="X49" s="170">
        <v>1.0</v>
      </c>
      <c r="Y49" s="138"/>
      <c r="Z49" s="138"/>
      <c r="AA49" s="138"/>
      <c r="AB49" s="217"/>
      <c r="AC49" s="140"/>
      <c r="AD49" s="140"/>
      <c r="AE49" s="141"/>
      <c r="AF49" s="226"/>
      <c r="AG49" s="226"/>
      <c r="AH49" s="238">
        <v>1.0</v>
      </c>
      <c r="AI49" s="226"/>
      <c r="AJ49" s="218"/>
      <c r="AK49" s="218"/>
      <c r="AL49" s="135">
        <f t="shared" si="15"/>
        <v>2</v>
      </c>
      <c r="AM49" s="183">
        <f t="shared" si="16"/>
        <v>66.66666667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>
        <f t="shared" si="18"/>
        <v>0</v>
      </c>
      <c r="BK49" s="138"/>
      <c r="BL49" s="132"/>
      <c r="BM49" s="138"/>
      <c r="BN49" s="138"/>
      <c r="BO49" s="138"/>
      <c r="BP49" s="138"/>
      <c r="BQ49" s="138"/>
      <c r="BR49" s="150">
        <v>1.0</v>
      </c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1</v>
      </c>
      <c r="CG49" s="190">
        <f t="shared" si="20"/>
        <v>33.33333333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33.33333333</v>
      </c>
      <c r="CW49" s="169">
        <f t="shared" si="8"/>
        <v>3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2</v>
      </c>
      <c r="E50" s="127">
        <f t="shared" si="10"/>
        <v>22.22222222</v>
      </c>
      <c r="F50" s="200">
        <f t="shared" si="11"/>
        <v>22.22222222</v>
      </c>
      <c r="G50" s="207">
        <f t="shared" si="12"/>
        <v>22.22222222</v>
      </c>
      <c r="H50" s="258"/>
      <c r="I50" s="258"/>
      <c r="J50" s="263"/>
      <c r="K50" s="263"/>
      <c r="L50" s="263"/>
      <c r="M50" s="263"/>
      <c r="N50" s="263"/>
      <c r="O50" s="263"/>
      <c r="P50" s="263"/>
      <c r="Q50" s="263"/>
      <c r="R50" s="135">
        <f t="shared" si="13"/>
        <v>0</v>
      </c>
      <c r="S50" s="137" t="str">
        <f t="shared" si="14"/>
        <v>#DIV/0!</v>
      </c>
      <c r="T50" s="138"/>
      <c r="U50" s="138"/>
      <c r="V50" s="138"/>
      <c r="W50" s="132"/>
      <c r="X50" s="170">
        <v>1.0</v>
      </c>
      <c r="Y50" s="138"/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1</v>
      </c>
      <c r="AM50" s="183">
        <f t="shared" si="16"/>
        <v>33.33333333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5">
        <f t="shared" si="17"/>
        <v>0</v>
      </c>
      <c r="BJ50" s="186">
        <f t="shared" si="18"/>
        <v>0</v>
      </c>
      <c r="BK50" s="138"/>
      <c r="BL50" s="132"/>
      <c r="BM50" s="138"/>
      <c r="BN50" s="138"/>
      <c r="BO50" s="138"/>
      <c r="BP50" s="138"/>
      <c r="BQ50" s="138"/>
      <c r="BR50" s="140"/>
      <c r="BS50" s="152"/>
      <c r="BT50" s="187">
        <v>1.0</v>
      </c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1</v>
      </c>
      <c r="CG50" s="190">
        <f t="shared" si="20"/>
        <v>33.33333333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22.22222222</v>
      </c>
      <c r="CW50" s="169">
        <f t="shared" si="8"/>
        <v>2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2</v>
      </c>
      <c r="E51" s="127">
        <f t="shared" si="10"/>
        <v>22.22222222</v>
      </c>
      <c r="F51" s="200">
        <f t="shared" si="11"/>
        <v>22.22222222</v>
      </c>
      <c r="G51" s="207">
        <f t="shared" si="12"/>
        <v>22.22222222</v>
      </c>
      <c r="H51" s="258"/>
      <c r="I51" s="265"/>
      <c r="J51" s="266"/>
      <c r="K51" s="266"/>
      <c r="L51" s="266"/>
      <c r="M51" s="266"/>
      <c r="N51" s="266"/>
      <c r="O51" s="266"/>
      <c r="P51" s="266"/>
      <c r="Q51" s="266"/>
      <c r="R51" s="135">
        <f t="shared" si="13"/>
        <v>0</v>
      </c>
      <c r="S51" s="137" t="str">
        <f t="shared" si="14"/>
        <v>#DIV/0!</v>
      </c>
      <c r="T51" s="138"/>
      <c r="U51" s="138"/>
      <c r="V51" s="138"/>
      <c r="W51" s="132"/>
      <c r="X51" s="132"/>
      <c r="Y51" s="138"/>
      <c r="Z51" s="138"/>
      <c r="AA51" s="138"/>
      <c r="AB51" s="247"/>
      <c r="AC51" s="140"/>
      <c r="AD51" s="140"/>
      <c r="AE51" s="141"/>
      <c r="AF51" s="248"/>
      <c r="AG51" s="248"/>
      <c r="AH51" s="248"/>
      <c r="AI51" s="248"/>
      <c r="AJ51" s="249"/>
      <c r="AK51" s="250">
        <v>1.0</v>
      </c>
      <c r="AL51" s="135">
        <f t="shared" si="15"/>
        <v>1</v>
      </c>
      <c r="AM51" s="183">
        <f t="shared" si="16"/>
        <v>33.33333333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5">
        <f t="shared" si="17"/>
        <v>0</v>
      </c>
      <c r="BJ51" s="186">
        <f t="shared" si="18"/>
        <v>0</v>
      </c>
      <c r="BK51" s="138"/>
      <c r="BL51" s="132"/>
      <c r="BM51" s="138"/>
      <c r="BN51" s="138"/>
      <c r="BO51" s="138"/>
      <c r="BP51" s="138"/>
      <c r="BQ51" s="138"/>
      <c r="BR51" s="140"/>
      <c r="BS51" s="152"/>
      <c r="BT51" s="187">
        <v>1.0</v>
      </c>
      <c r="BU51" s="152"/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1</v>
      </c>
      <c r="CG51" s="190">
        <f t="shared" si="20"/>
        <v>33.33333333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22.22222222</v>
      </c>
      <c r="CW51" s="169">
        <f t="shared" si="8"/>
        <v>2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2</v>
      </c>
      <c r="E52" s="127">
        <f t="shared" si="10"/>
        <v>22.22222222</v>
      </c>
      <c r="F52" s="200">
        <f t="shared" si="11"/>
        <v>22.22222222</v>
      </c>
      <c r="G52" s="207">
        <f t="shared" si="12"/>
        <v>22.22222222</v>
      </c>
      <c r="H52" s="258"/>
      <c r="I52" s="258"/>
      <c r="J52" s="263"/>
      <c r="K52" s="263"/>
      <c r="L52" s="263"/>
      <c r="M52" s="263"/>
      <c r="N52" s="263"/>
      <c r="O52" s="263"/>
      <c r="P52" s="263"/>
      <c r="Q52" s="263"/>
      <c r="R52" s="135">
        <f t="shared" si="13"/>
        <v>0</v>
      </c>
      <c r="S52" s="137" t="str">
        <f t="shared" si="14"/>
        <v>#DIV/0!</v>
      </c>
      <c r="T52" s="138"/>
      <c r="U52" s="138"/>
      <c r="V52" s="138"/>
      <c r="W52" s="132"/>
      <c r="X52" s="132"/>
      <c r="Y52" s="138"/>
      <c r="Z52" s="138"/>
      <c r="AA52" s="138"/>
      <c r="AB52" s="209"/>
      <c r="AC52" s="140"/>
      <c r="AD52" s="140"/>
      <c r="AE52" s="141"/>
      <c r="AF52" s="210"/>
      <c r="AG52" s="210"/>
      <c r="AH52" s="211">
        <v>1.0</v>
      </c>
      <c r="AI52" s="210"/>
      <c r="AJ52" s="212"/>
      <c r="AK52" s="212"/>
      <c r="AL52" s="135">
        <f t="shared" si="15"/>
        <v>1</v>
      </c>
      <c r="AM52" s="183">
        <f t="shared" si="16"/>
        <v>33.33333333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85">
        <v>1.0</v>
      </c>
      <c r="BG52" s="133"/>
      <c r="BH52" s="133"/>
      <c r="BI52" s="135">
        <f t="shared" si="17"/>
        <v>1</v>
      </c>
      <c r="BJ52" s="186">
        <f t="shared" si="18"/>
        <v>33.33333333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>
        <f t="shared" si="20"/>
        <v>0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22.22222222</v>
      </c>
      <c r="CW52" s="169">
        <f t="shared" si="8"/>
        <v>2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3</v>
      </c>
      <c r="E53" s="127">
        <f t="shared" si="10"/>
        <v>33.33333333</v>
      </c>
      <c r="F53" s="200">
        <f t="shared" si="11"/>
        <v>33.33333333</v>
      </c>
      <c r="G53" s="177" t="str">
        <f t="shared" si="12"/>
        <v>  </v>
      </c>
      <c r="H53" s="258"/>
      <c r="I53" s="258"/>
      <c r="J53" s="263"/>
      <c r="K53" s="263"/>
      <c r="L53" s="263"/>
      <c r="M53" s="263"/>
      <c r="N53" s="263"/>
      <c r="O53" s="263"/>
      <c r="P53" s="263"/>
      <c r="Q53" s="263"/>
      <c r="R53" s="135">
        <f t="shared" si="13"/>
        <v>0</v>
      </c>
      <c r="S53" s="137" t="str">
        <f t="shared" si="14"/>
        <v>#DIV/0!</v>
      </c>
      <c r="T53" s="138"/>
      <c r="U53" s="138"/>
      <c r="V53" s="138"/>
      <c r="W53" s="132"/>
      <c r="X53" s="132"/>
      <c r="Y53" s="138"/>
      <c r="Z53" s="138"/>
      <c r="AA53" s="138"/>
      <c r="AB53" s="209"/>
      <c r="AC53" s="140"/>
      <c r="AD53" s="140"/>
      <c r="AE53" s="141"/>
      <c r="AF53" s="210"/>
      <c r="AG53" s="210"/>
      <c r="AH53" s="210"/>
      <c r="AI53" s="210"/>
      <c r="AJ53" s="212"/>
      <c r="AK53" s="213">
        <v>1.0</v>
      </c>
      <c r="AL53" s="135">
        <f t="shared" si="15"/>
        <v>1</v>
      </c>
      <c r="AM53" s="183">
        <f t="shared" si="16"/>
        <v>33.33333333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85">
        <v>1.0</v>
      </c>
      <c r="BG53" s="133"/>
      <c r="BH53" s="133"/>
      <c r="BI53" s="135">
        <f t="shared" si="17"/>
        <v>1</v>
      </c>
      <c r="BJ53" s="186">
        <f t="shared" si="18"/>
        <v>33.33333333</v>
      </c>
      <c r="BK53" s="138"/>
      <c r="BL53" s="132"/>
      <c r="BM53" s="151">
        <v>1.0</v>
      </c>
      <c r="BN53" s="138"/>
      <c r="BO53" s="138"/>
      <c r="BP53" s="138"/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1</v>
      </c>
      <c r="CG53" s="190">
        <f t="shared" si="20"/>
        <v>33.33333333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33.33333333</v>
      </c>
      <c r="CW53" s="169">
        <f t="shared" si="8"/>
        <v>3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3</v>
      </c>
      <c r="E54" s="127">
        <f t="shared" si="10"/>
        <v>33.33333333</v>
      </c>
      <c r="F54" s="200">
        <f t="shared" si="11"/>
        <v>33.33333333</v>
      </c>
      <c r="G54" s="207" t="str">
        <f t="shared" si="12"/>
        <v>  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3"/>
        <v>0</v>
      </c>
      <c r="S54" s="137" t="str">
        <f t="shared" si="14"/>
        <v>#DIV/0!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>
        <f t="shared" si="18"/>
        <v>0</v>
      </c>
      <c r="BK54" s="138"/>
      <c r="BL54" s="132"/>
      <c r="BM54" s="151">
        <v>1.0</v>
      </c>
      <c r="BN54" s="138"/>
      <c r="BO54" s="138"/>
      <c r="BP54" s="138"/>
      <c r="BQ54" s="138"/>
      <c r="BR54" s="150">
        <v>1.0</v>
      </c>
      <c r="BS54" s="152"/>
      <c r="BT54" s="187">
        <v>1.0</v>
      </c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3</v>
      </c>
      <c r="CG54" s="190">
        <f t="shared" si="20"/>
        <v>100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33.33333333</v>
      </c>
      <c r="CW54" s="169">
        <f t="shared" si="8"/>
        <v>3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2</v>
      </c>
      <c r="E55" s="127">
        <f t="shared" si="10"/>
        <v>22.22222222</v>
      </c>
      <c r="F55" s="200">
        <f t="shared" si="11"/>
        <v>22.22222222</v>
      </c>
      <c r="G55" s="207">
        <f t="shared" si="12"/>
        <v>22.22222222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3"/>
        <v>0</v>
      </c>
      <c r="S55" s="137" t="str">
        <f t="shared" si="14"/>
        <v>#DIV/0!</v>
      </c>
      <c r="T55" s="138"/>
      <c r="U55" s="138"/>
      <c r="V55" s="138"/>
      <c r="W55" s="132"/>
      <c r="X55" s="170">
        <v>1.0</v>
      </c>
      <c r="Y55" s="138"/>
      <c r="Z55" s="138"/>
      <c r="AA55" s="138"/>
      <c r="AB55" s="209"/>
      <c r="AC55" s="140"/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1</v>
      </c>
      <c r="AM55" s="183">
        <f t="shared" si="16"/>
        <v>33.33333333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>
        <f t="shared" si="18"/>
        <v>0</v>
      </c>
      <c r="BK55" s="138"/>
      <c r="BL55" s="132"/>
      <c r="BM55" s="138"/>
      <c r="BN55" s="138"/>
      <c r="BO55" s="138"/>
      <c r="BP55" s="138"/>
      <c r="BQ55" s="138"/>
      <c r="BR55" s="150">
        <v>1.0</v>
      </c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1</v>
      </c>
      <c r="CG55" s="190">
        <f t="shared" si="20"/>
        <v>33.33333333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22.22222222</v>
      </c>
      <c r="CW55" s="169">
        <f t="shared" si="8"/>
        <v>2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4</v>
      </c>
      <c r="E56" s="127">
        <f t="shared" si="10"/>
        <v>44.44444444</v>
      </c>
      <c r="F56" s="200">
        <f t="shared" si="11"/>
        <v>44.44444444</v>
      </c>
      <c r="G56" s="207" t="str">
        <f t="shared" si="12"/>
        <v>  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3"/>
        <v>0</v>
      </c>
      <c r="S56" s="137" t="str">
        <f t="shared" si="14"/>
        <v>#DIV/0!</v>
      </c>
      <c r="T56" s="138"/>
      <c r="U56" s="138"/>
      <c r="V56" s="138"/>
      <c r="W56" s="132"/>
      <c r="X56" s="170">
        <v>1.0</v>
      </c>
      <c r="Y56" s="138"/>
      <c r="Z56" s="138"/>
      <c r="AA56" s="138"/>
      <c r="AB56" s="209"/>
      <c r="AC56" s="140"/>
      <c r="AD56" s="140"/>
      <c r="AE56" s="141"/>
      <c r="AF56" s="210"/>
      <c r="AG56" s="210"/>
      <c r="AH56" s="210"/>
      <c r="AI56" s="210"/>
      <c r="AJ56" s="212"/>
      <c r="AK56" s="213">
        <v>1.0</v>
      </c>
      <c r="AL56" s="135">
        <f t="shared" si="15"/>
        <v>2</v>
      </c>
      <c r="AM56" s="183">
        <f t="shared" si="16"/>
        <v>66.66666667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5">
        <f t="shared" si="17"/>
        <v>0</v>
      </c>
      <c r="BJ56" s="186">
        <f t="shared" si="18"/>
        <v>0</v>
      </c>
      <c r="BK56" s="138"/>
      <c r="BL56" s="132"/>
      <c r="BM56" s="138"/>
      <c r="BN56" s="138"/>
      <c r="BO56" s="138"/>
      <c r="BP56" s="138"/>
      <c r="BQ56" s="138"/>
      <c r="BR56" s="150">
        <v>1.0</v>
      </c>
      <c r="BS56" s="152"/>
      <c r="BT56" s="187">
        <v>1.0</v>
      </c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2</v>
      </c>
      <c r="CG56" s="190">
        <f t="shared" si="20"/>
        <v>66.66666667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44.44444444</v>
      </c>
      <c r="CW56" s="169">
        <f t="shared" si="8"/>
        <v>4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4</v>
      </c>
      <c r="E57" s="127">
        <f t="shared" si="10"/>
        <v>44.44444444</v>
      </c>
      <c r="F57" s="200">
        <f t="shared" si="11"/>
        <v>44.44444444</v>
      </c>
      <c r="G57" s="177" t="str">
        <f t="shared" si="12"/>
        <v>  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3"/>
        <v>0</v>
      </c>
      <c r="S57" s="137" t="str">
        <f t="shared" si="14"/>
        <v>#DIV/0!</v>
      </c>
      <c r="T57" s="138"/>
      <c r="U57" s="138"/>
      <c r="V57" s="138"/>
      <c r="W57" s="132"/>
      <c r="X57" s="170">
        <v>1.0</v>
      </c>
      <c r="Y57" s="138"/>
      <c r="Z57" s="138"/>
      <c r="AA57" s="138"/>
      <c r="AB57" s="209"/>
      <c r="AC57" s="140"/>
      <c r="AD57" s="140"/>
      <c r="AE57" s="141"/>
      <c r="AF57" s="210"/>
      <c r="AG57" s="210"/>
      <c r="AH57" s="211">
        <v>1.0</v>
      </c>
      <c r="AI57" s="210"/>
      <c r="AJ57" s="212"/>
      <c r="AK57" s="212"/>
      <c r="AL57" s="135">
        <f t="shared" si="15"/>
        <v>2</v>
      </c>
      <c r="AM57" s="183">
        <f t="shared" si="16"/>
        <v>66.66666667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85">
        <v>1.0</v>
      </c>
      <c r="BG57" s="133"/>
      <c r="BH57" s="133"/>
      <c r="BI57" s="135">
        <f t="shared" si="17"/>
        <v>1</v>
      </c>
      <c r="BJ57" s="186">
        <f t="shared" si="18"/>
        <v>33.33333333</v>
      </c>
      <c r="BK57" s="138"/>
      <c r="BL57" s="132"/>
      <c r="BM57" s="138"/>
      <c r="BN57" s="138"/>
      <c r="BO57" s="138"/>
      <c r="BP57" s="138"/>
      <c r="BQ57" s="138"/>
      <c r="BR57" s="150">
        <v>1.0</v>
      </c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1</v>
      </c>
      <c r="CG57" s="190">
        <f t="shared" si="20"/>
        <v>33.33333333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44.44444444</v>
      </c>
      <c r="CW57" s="169">
        <f t="shared" si="8"/>
        <v>4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5</v>
      </c>
      <c r="E58" s="127">
        <f t="shared" si="10"/>
        <v>55.55555556</v>
      </c>
      <c r="F58" s="175" t="str">
        <f t="shared" si="11"/>
        <v>  </v>
      </c>
      <c r="G58" s="177" t="str">
        <f t="shared" si="12"/>
        <v>  </v>
      </c>
      <c r="H58" s="258"/>
      <c r="I58" s="261"/>
      <c r="J58" s="262"/>
      <c r="K58" s="262"/>
      <c r="L58" s="262"/>
      <c r="M58" s="262"/>
      <c r="N58" s="262"/>
      <c r="O58" s="262"/>
      <c r="P58" s="262"/>
      <c r="Q58" s="262"/>
      <c r="R58" s="135">
        <f t="shared" si="13"/>
        <v>0</v>
      </c>
      <c r="S58" s="137" t="str">
        <f t="shared" si="14"/>
        <v>#DIV/0!</v>
      </c>
      <c r="T58" s="138"/>
      <c r="U58" s="138"/>
      <c r="V58" s="138"/>
      <c r="W58" s="132"/>
      <c r="X58" s="132"/>
      <c r="Y58" s="138"/>
      <c r="Z58" s="138"/>
      <c r="AA58" s="138"/>
      <c r="AB58" s="217"/>
      <c r="AC58" s="140"/>
      <c r="AD58" s="140"/>
      <c r="AE58" s="141"/>
      <c r="AF58" s="226"/>
      <c r="AG58" s="226"/>
      <c r="AH58" s="226"/>
      <c r="AI58" s="226"/>
      <c r="AJ58" s="218"/>
      <c r="AK58" s="227">
        <v>1.0</v>
      </c>
      <c r="AL58" s="135">
        <f t="shared" si="15"/>
        <v>1</v>
      </c>
      <c r="AM58" s="183">
        <f t="shared" si="16"/>
        <v>33.33333333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85">
        <v>1.0</v>
      </c>
      <c r="BG58" s="133"/>
      <c r="BH58" s="133"/>
      <c r="BI58" s="135">
        <f t="shared" si="17"/>
        <v>1</v>
      </c>
      <c r="BJ58" s="186">
        <f t="shared" si="18"/>
        <v>33.33333333</v>
      </c>
      <c r="BK58" s="138"/>
      <c r="BL58" s="132"/>
      <c r="BM58" s="151">
        <v>1.0</v>
      </c>
      <c r="BN58" s="138"/>
      <c r="BO58" s="138"/>
      <c r="BP58" s="138"/>
      <c r="BQ58" s="138"/>
      <c r="BR58" s="150">
        <v>1.0</v>
      </c>
      <c r="BS58" s="152"/>
      <c r="BT58" s="187">
        <v>1.0</v>
      </c>
      <c r="BU58" s="152"/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3</v>
      </c>
      <c r="CG58" s="190">
        <f t="shared" si="20"/>
        <v>100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55.55555556</v>
      </c>
      <c r="CW58" s="169">
        <f t="shared" si="8"/>
        <v>5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4</v>
      </c>
      <c r="E59" s="127">
        <f t="shared" si="10"/>
        <v>44.44444444</v>
      </c>
      <c r="F59" s="200">
        <f t="shared" si="11"/>
        <v>44.44444444</v>
      </c>
      <c r="G59" s="177" t="str">
        <f t="shared" si="12"/>
        <v>  </v>
      </c>
      <c r="H59" s="258"/>
      <c r="I59" s="261"/>
      <c r="J59" s="262"/>
      <c r="K59" s="262"/>
      <c r="L59" s="262"/>
      <c r="M59" s="262"/>
      <c r="N59" s="262"/>
      <c r="O59" s="262"/>
      <c r="P59" s="262"/>
      <c r="Q59" s="262"/>
      <c r="R59" s="135">
        <f t="shared" si="13"/>
        <v>0</v>
      </c>
      <c r="S59" s="137" t="str">
        <f t="shared" si="14"/>
        <v>#DIV/0!</v>
      </c>
      <c r="T59" s="138"/>
      <c r="U59" s="138"/>
      <c r="V59" s="138"/>
      <c r="W59" s="132"/>
      <c r="X59" s="170">
        <v>1.0</v>
      </c>
      <c r="Y59" s="138"/>
      <c r="Z59" s="138"/>
      <c r="AA59" s="138"/>
      <c r="AB59" s="217"/>
      <c r="AC59" s="140"/>
      <c r="AD59" s="140"/>
      <c r="AE59" s="141"/>
      <c r="AF59" s="226"/>
      <c r="AG59" s="226"/>
      <c r="AH59" s="238">
        <v>1.0</v>
      </c>
      <c r="AI59" s="226"/>
      <c r="AJ59" s="218"/>
      <c r="AK59" s="218"/>
      <c r="AL59" s="135">
        <f t="shared" si="15"/>
        <v>2</v>
      </c>
      <c r="AM59" s="183">
        <f t="shared" si="16"/>
        <v>66.66666667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85">
        <v>1.0</v>
      </c>
      <c r="BG59" s="133"/>
      <c r="BH59" s="133"/>
      <c r="BI59" s="135">
        <f t="shared" si="17"/>
        <v>1</v>
      </c>
      <c r="BJ59" s="186">
        <f t="shared" si="18"/>
        <v>33.33333333</v>
      </c>
      <c r="BK59" s="138"/>
      <c r="BL59" s="132"/>
      <c r="BM59" s="138"/>
      <c r="BN59" s="138"/>
      <c r="BO59" s="138"/>
      <c r="BP59" s="138"/>
      <c r="BQ59" s="138"/>
      <c r="BR59" s="150">
        <v>1.0</v>
      </c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1</v>
      </c>
      <c r="CG59" s="190">
        <f t="shared" si="20"/>
        <v>33.33333333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44.44444444</v>
      </c>
      <c r="CW59" s="169">
        <f t="shared" si="8"/>
        <v>4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3</v>
      </c>
      <c r="E60" s="127">
        <f t="shared" si="10"/>
        <v>33.33333333</v>
      </c>
      <c r="F60" s="200">
        <f t="shared" si="11"/>
        <v>33.33333333</v>
      </c>
      <c r="G60" s="177" t="str">
        <f t="shared" si="12"/>
        <v>  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3"/>
        <v>0</v>
      </c>
      <c r="S60" s="137" t="str">
        <f t="shared" si="14"/>
        <v>#DIV/0!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3">
        <v>1.0</v>
      </c>
      <c r="AL60" s="135">
        <f t="shared" si="15"/>
        <v>1</v>
      </c>
      <c r="AM60" s="183">
        <f t="shared" si="16"/>
        <v>33.33333333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85">
        <v>1.0</v>
      </c>
      <c r="BG60" s="133"/>
      <c r="BH60" s="133"/>
      <c r="BI60" s="135">
        <f t="shared" si="17"/>
        <v>1</v>
      </c>
      <c r="BJ60" s="186">
        <f t="shared" si="18"/>
        <v>33.33333333</v>
      </c>
      <c r="BK60" s="138"/>
      <c r="BL60" s="132"/>
      <c r="BM60" s="151">
        <v>1.0</v>
      </c>
      <c r="BN60" s="138"/>
      <c r="BO60" s="138"/>
      <c r="BP60" s="138"/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1</v>
      </c>
      <c r="CG60" s="190">
        <f t="shared" si="20"/>
        <v>33.33333333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33.33333333</v>
      </c>
      <c r="CW60" s="169">
        <f t="shared" si="8"/>
        <v>3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4</v>
      </c>
      <c r="E61" s="127">
        <f t="shared" si="10"/>
        <v>44.44444444</v>
      </c>
      <c r="F61" s="200">
        <f t="shared" si="11"/>
        <v>44.44444444</v>
      </c>
      <c r="G61" s="177" t="str">
        <f t="shared" si="12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3"/>
        <v>0</v>
      </c>
      <c r="S61" s="137" t="str">
        <f t="shared" si="14"/>
        <v>#DIV/0!</v>
      </c>
      <c r="T61" s="138"/>
      <c r="U61" s="138"/>
      <c r="V61" s="138"/>
      <c r="W61" s="132"/>
      <c r="X61" s="132"/>
      <c r="Y61" s="138"/>
      <c r="Z61" s="138"/>
      <c r="AA61" s="138"/>
      <c r="AB61" s="209"/>
      <c r="AC61" s="140"/>
      <c r="AD61" s="140"/>
      <c r="AE61" s="141"/>
      <c r="AF61" s="210"/>
      <c r="AG61" s="210"/>
      <c r="AH61" s="210"/>
      <c r="AI61" s="210"/>
      <c r="AJ61" s="212"/>
      <c r="AK61" s="213">
        <v>1.0</v>
      </c>
      <c r="AL61" s="135">
        <f t="shared" si="15"/>
        <v>1</v>
      </c>
      <c r="AM61" s="183">
        <f t="shared" si="16"/>
        <v>33.33333333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85">
        <v>1.0</v>
      </c>
      <c r="BG61" s="133"/>
      <c r="BH61" s="133"/>
      <c r="BI61" s="135">
        <f t="shared" si="17"/>
        <v>1</v>
      </c>
      <c r="BJ61" s="186">
        <f t="shared" si="18"/>
        <v>33.33333333</v>
      </c>
      <c r="BK61" s="138"/>
      <c r="BL61" s="132"/>
      <c r="BM61" s="151">
        <v>1.0</v>
      </c>
      <c r="BN61" s="138"/>
      <c r="BO61" s="138"/>
      <c r="BP61" s="138"/>
      <c r="BQ61" s="138"/>
      <c r="BR61" s="140"/>
      <c r="BS61" s="152"/>
      <c r="BT61" s="187">
        <v>1.0</v>
      </c>
      <c r="BU61" s="152"/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2</v>
      </c>
      <c r="CG61" s="190">
        <f t="shared" si="20"/>
        <v>66.66666667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44.44444444</v>
      </c>
      <c r="CW61" s="169">
        <f t="shared" si="8"/>
        <v>4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1</v>
      </c>
      <c r="E62" s="127">
        <f t="shared" si="10"/>
        <v>11.11111111</v>
      </c>
      <c r="F62" s="200">
        <f t="shared" si="11"/>
        <v>11.11111111</v>
      </c>
      <c r="G62" s="207">
        <f t="shared" si="12"/>
        <v>11.11111111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3"/>
        <v>0</v>
      </c>
      <c r="S62" s="137" t="str">
        <f t="shared" si="14"/>
        <v>#DIV/0!</v>
      </c>
      <c r="T62" s="138"/>
      <c r="U62" s="138"/>
      <c r="V62" s="138"/>
      <c r="W62" s="132"/>
      <c r="X62" s="132"/>
      <c r="Y62" s="138"/>
      <c r="Z62" s="138"/>
      <c r="AA62" s="138"/>
      <c r="AB62" s="233"/>
      <c r="AC62" s="140"/>
      <c r="AD62" s="140"/>
      <c r="AE62" s="141"/>
      <c r="AF62" s="234"/>
      <c r="AG62" s="234"/>
      <c r="AH62" s="234"/>
      <c r="AI62" s="234"/>
      <c r="AJ62" s="239"/>
      <c r="AK62" s="240">
        <v>1.0</v>
      </c>
      <c r="AL62" s="135">
        <f t="shared" si="15"/>
        <v>1</v>
      </c>
      <c r="AM62" s="183">
        <f t="shared" si="16"/>
        <v>33.33333333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>
        <f t="shared" si="18"/>
        <v>0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52"/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0</v>
      </c>
      <c r="CG62" s="190">
        <f t="shared" si="20"/>
        <v>0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11.11111111</v>
      </c>
      <c r="CW62" s="169">
        <f t="shared" si="8"/>
        <v>1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2</v>
      </c>
      <c r="E63" s="127">
        <f t="shared" si="10"/>
        <v>22.22222222</v>
      </c>
      <c r="F63" s="200">
        <f t="shared" si="11"/>
        <v>22.22222222</v>
      </c>
      <c r="G63" s="207">
        <f t="shared" si="12"/>
        <v>22.22222222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135">
        <f t="shared" si="13"/>
        <v>0</v>
      </c>
      <c r="S63" s="137" t="str">
        <f t="shared" si="14"/>
        <v>#DIV/0!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3">
        <v>1.0</v>
      </c>
      <c r="AL63" s="135">
        <f t="shared" si="15"/>
        <v>1</v>
      </c>
      <c r="AM63" s="183">
        <f t="shared" si="16"/>
        <v>33.33333333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7"/>
        <v>0</v>
      </c>
      <c r="BJ63" s="186">
        <f t="shared" si="18"/>
        <v>0</v>
      </c>
      <c r="BK63" s="138"/>
      <c r="BL63" s="132"/>
      <c r="BM63" s="151">
        <v>1.0</v>
      </c>
      <c r="BN63" s="138"/>
      <c r="BO63" s="138"/>
      <c r="BP63" s="138"/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1</v>
      </c>
      <c r="CG63" s="190">
        <f t="shared" si="20"/>
        <v>33.33333333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22.22222222</v>
      </c>
      <c r="CW63" s="169">
        <f t="shared" si="8"/>
        <v>2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3</v>
      </c>
      <c r="E64" s="127">
        <f t="shared" si="10"/>
        <v>33.33333333</v>
      </c>
      <c r="F64" s="200">
        <f t="shared" si="11"/>
        <v>33.33333333</v>
      </c>
      <c r="G64" s="207" t="str">
        <f t="shared" si="12"/>
        <v>  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3"/>
        <v>0</v>
      </c>
      <c r="S64" s="137" t="str">
        <f t="shared" si="14"/>
        <v>#DIV/0!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>
        <f t="shared" si="18"/>
        <v>0</v>
      </c>
      <c r="BK64" s="138"/>
      <c r="BL64" s="132"/>
      <c r="BM64" s="151">
        <v>1.0</v>
      </c>
      <c r="BN64" s="138"/>
      <c r="BO64" s="138"/>
      <c r="BP64" s="138"/>
      <c r="BQ64" s="138"/>
      <c r="BR64" s="150">
        <v>1.0</v>
      </c>
      <c r="BS64" s="152"/>
      <c r="BT64" s="187">
        <v>1.0</v>
      </c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3</v>
      </c>
      <c r="CG64" s="190">
        <f t="shared" si="20"/>
        <v>100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33.33333333</v>
      </c>
      <c r="CW64" s="169">
        <f t="shared" si="8"/>
        <v>3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3"/>
        <v>0</v>
      </c>
      <c r="S65" s="137" t="str">
        <f t="shared" si="14"/>
        <v>#DIV/0!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>
        <f t="shared" si="20"/>
        <v>0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4</v>
      </c>
      <c r="E66" s="127">
        <f t="shared" si="10"/>
        <v>44.44444444</v>
      </c>
      <c r="F66" s="200">
        <f t="shared" si="11"/>
        <v>44.44444444</v>
      </c>
      <c r="G66" s="177" t="str">
        <f t="shared" si="12"/>
        <v>  </v>
      </c>
      <c r="H66" s="258"/>
      <c r="I66" s="258"/>
      <c r="J66" s="263"/>
      <c r="K66" s="263"/>
      <c r="L66" s="263"/>
      <c r="M66" s="263"/>
      <c r="N66" s="263"/>
      <c r="O66" s="263"/>
      <c r="P66" s="263"/>
      <c r="Q66" s="263"/>
      <c r="R66" s="135">
        <f t="shared" si="13"/>
        <v>0</v>
      </c>
      <c r="S66" s="137" t="str">
        <f t="shared" si="14"/>
        <v>#DIV/0!</v>
      </c>
      <c r="T66" s="138"/>
      <c r="U66" s="138"/>
      <c r="V66" s="138"/>
      <c r="W66" s="132"/>
      <c r="X66" s="132"/>
      <c r="Y66" s="138"/>
      <c r="Z66" s="138"/>
      <c r="AA66" s="138"/>
      <c r="AB66" s="209"/>
      <c r="AC66" s="140"/>
      <c r="AD66" s="140"/>
      <c r="AE66" s="141"/>
      <c r="AF66" s="210"/>
      <c r="AG66" s="210"/>
      <c r="AH66" s="210"/>
      <c r="AI66" s="210"/>
      <c r="AJ66" s="212"/>
      <c r="AK66" s="213">
        <v>1.0</v>
      </c>
      <c r="AL66" s="135">
        <f t="shared" si="15"/>
        <v>1</v>
      </c>
      <c r="AM66" s="183">
        <f t="shared" si="16"/>
        <v>33.33333333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85">
        <v>1.0</v>
      </c>
      <c r="BG66" s="133"/>
      <c r="BH66" s="133"/>
      <c r="BI66" s="135">
        <f t="shared" si="17"/>
        <v>1</v>
      </c>
      <c r="BJ66" s="186">
        <f t="shared" si="18"/>
        <v>33.33333333</v>
      </c>
      <c r="BK66" s="138"/>
      <c r="BL66" s="132"/>
      <c r="BM66" s="151">
        <v>1.0</v>
      </c>
      <c r="BN66" s="138"/>
      <c r="BO66" s="138"/>
      <c r="BP66" s="138"/>
      <c r="BQ66" s="138"/>
      <c r="BR66" s="150">
        <v>1.0</v>
      </c>
      <c r="BS66" s="152"/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2</v>
      </c>
      <c r="CG66" s="190">
        <f t="shared" si="20"/>
        <v>66.66666667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44.44444444</v>
      </c>
      <c r="CW66" s="169">
        <f t="shared" si="8"/>
        <v>4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0</v>
      </c>
      <c r="E67" s="127">
        <f t="shared" si="10"/>
        <v>0</v>
      </c>
      <c r="F67" s="200">
        <f t="shared" si="11"/>
        <v>0</v>
      </c>
      <c r="G67" s="207">
        <f t="shared" si="12"/>
        <v>0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3"/>
        <v>0</v>
      </c>
      <c r="S67" s="137" t="str">
        <f t="shared" si="14"/>
        <v>#DIV/0!</v>
      </c>
      <c r="T67" s="138"/>
      <c r="U67" s="138"/>
      <c r="V67" s="138"/>
      <c r="W67" s="132"/>
      <c r="X67" s="132"/>
      <c r="Y67" s="138"/>
      <c r="Z67" s="138"/>
      <c r="AA67" s="138"/>
      <c r="AB67" s="233"/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0</v>
      </c>
      <c r="AM67" s="183">
        <f t="shared" si="16"/>
        <v>0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0</v>
      </c>
      <c r="BJ67" s="186">
        <f t="shared" si="18"/>
        <v>0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0</v>
      </c>
      <c r="CG67" s="190">
        <f t="shared" si="20"/>
        <v>0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0</v>
      </c>
      <c r="CW67" s="169">
        <f t="shared" si="8"/>
        <v>0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2</v>
      </c>
      <c r="E68" s="127">
        <f t="shared" si="10"/>
        <v>22.22222222</v>
      </c>
      <c r="F68" s="200">
        <f t="shared" si="11"/>
        <v>22.22222222</v>
      </c>
      <c r="G68" s="207">
        <f t="shared" si="12"/>
        <v>22.22222222</v>
      </c>
      <c r="H68" s="258"/>
      <c r="I68" s="258"/>
      <c r="J68" s="263"/>
      <c r="K68" s="263"/>
      <c r="L68" s="263"/>
      <c r="M68" s="263"/>
      <c r="N68" s="263"/>
      <c r="O68" s="263"/>
      <c r="P68" s="263"/>
      <c r="Q68" s="263"/>
      <c r="R68" s="135">
        <f t="shared" si="13"/>
        <v>0</v>
      </c>
      <c r="S68" s="137" t="str">
        <f t="shared" si="14"/>
        <v>#DIV/0!</v>
      </c>
      <c r="T68" s="138"/>
      <c r="U68" s="138"/>
      <c r="V68" s="138"/>
      <c r="W68" s="132"/>
      <c r="X68" s="170">
        <v>1.0</v>
      </c>
      <c r="Y68" s="138"/>
      <c r="Z68" s="138"/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1</v>
      </c>
      <c r="AM68" s="183">
        <f t="shared" si="16"/>
        <v>33.33333333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>
        <f t="shared" si="18"/>
        <v>0</v>
      </c>
      <c r="BK68" s="138"/>
      <c r="BL68" s="132"/>
      <c r="BM68" s="138"/>
      <c r="BN68" s="138"/>
      <c r="BO68" s="138"/>
      <c r="BP68" s="138"/>
      <c r="BQ68" s="138"/>
      <c r="BR68" s="140"/>
      <c r="BS68" s="152"/>
      <c r="BT68" s="187">
        <v>1.0</v>
      </c>
      <c r="BU68" s="152"/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1</v>
      </c>
      <c r="CG68" s="190">
        <f t="shared" si="20"/>
        <v>33.33333333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22.22222222</v>
      </c>
      <c r="CW68" s="169">
        <f t="shared" si="8"/>
        <v>2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6</v>
      </c>
      <c r="E69" s="127">
        <f t="shared" si="10"/>
        <v>66.66666667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 t="str">
        <f t="shared" si="14"/>
        <v>#DIV/0!</v>
      </c>
      <c r="T69" s="138"/>
      <c r="U69" s="138"/>
      <c r="V69" s="138"/>
      <c r="W69" s="132"/>
      <c r="X69" s="170">
        <v>1.0</v>
      </c>
      <c r="Y69" s="138"/>
      <c r="Z69" s="138"/>
      <c r="AA69" s="138"/>
      <c r="AB69" s="209"/>
      <c r="AC69" s="140"/>
      <c r="AD69" s="140"/>
      <c r="AE69" s="141"/>
      <c r="AF69" s="210"/>
      <c r="AG69" s="210"/>
      <c r="AH69" s="211">
        <v>1.0</v>
      </c>
      <c r="AI69" s="210"/>
      <c r="AJ69" s="212"/>
      <c r="AK69" s="213">
        <v>1.0</v>
      </c>
      <c r="AL69" s="135">
        <f t="shared" si="15"/>
        <v>3</v>
      </c>
      <c r="AM69" s="183">
        <f t="shared" si="16"/>
        <v>100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85">
        <v>1.0</v>
      </c>
      <c r="BB69" s="133"/>
      <c r="BC69" s="133"/>
      <c r="BD69" s="133"/>
      <c r="BE69" s="133"/>
      <c r="BF69" s="185">
        <v>1.0</v>
      </c>
      <c r="BG69" s="133"/>
      <c r="BH69" s="133"/>
      <c r="BI69" s="135">
        <f t="shared" si="17"/>
        <v>2</v>
      </c>
      <c r="BJ69" s="186">
        <f t="shared" si="18"/>
        <v>66.66666667</v>
      </c>
      <c r="BK69" s="138"/>
      <c r="BL69" s="132"/>
      <c r="BM69" s="138"/>
      <c r="BN69" s="138"/>
      <c r="BO69" s="138"/>
      <c r="BP69" s="138"/>
      <c r="BQ69" s="138"/>
      <c r="BR69" s="150">
        <v>1.0</v>
      </c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1</v>
      </c>
      <c r="CG69" s="190">
        <f t="shared" si="20"/>
        <v>33.33333333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66.66666667</v>
      </c>
      <c r="CW69" s="169">
        <f t="shared" si="8"/>
        <v>6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2</v>
      </c>
      <c r="E70" s="127">
        <f t="shared" si="10"/>
        <v>22.22222222</v>
      </c>
      <c r="F70" s="200">
        <f t="shared" si="11"/>
        <v>22.22222222</v>
      </c>
      <c r="G70" s="207">
        <f t="shared" si="12"/>
        <v>22.22222222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 t="str">
        <f t="shared" si="14"/>
        <v>#DIV/0!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0"/>
      <c r="AJ70" s="212"/>
      <c r="AK70" s="213">
        <v>1.0</v>
      </c>
      <c r="AL70" s="135">
        <f t="shared" si="15"/>
        <v>1</v>
      </c>
      <c r="AM70" s="183">
        <f t="shared" si="16"/>
        <v>33.33333333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85">
        <v>1.0</v>
      </c>
      <c r="BG70" s="133"/>
      <c r="BH70" s="133"/>
      <c r="BI70" s="135">
        <f t="shared" si="17"/>
        <v>1</v>
      </c>
      <c r="BJ70" s="186">
        <f t="shared" si="18"/>
        <v>33.33333333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>
        <f t="shared" si="20"/>
        <v>0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22.22222222</v>
      </c>
      <c r="CW70" s="169">
        <f t="shared" si="8"/>
        <v>2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 t="str">
        <f t="shared" si="14"/>
        <v>#DIV/0!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>
        <f t="shared" si="20"/>
        <v>0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4</v>
      </c>
      <c r="E72" s="127">
        <f t="shared" si="10"/>
        <v>44.44444444</v>
      </c>
      <c r="F72" s="200">
        <f t="shared" si="11"/>
        <v>44.44444444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 t="str">
        <f t="shared" si="14"/>
        <v>#DIV/0!</v>
      </c>
      <c r="T72" s="138"/>
      <c r="U72" s="138"/>
      <c r="V72" s="138"/>
      <c r="W72" s="132"/>
      <c r="X72" s="132"/>
      <c r="Y72" s="138"/>
      <c r="Z72" s="138"/>
      <c r="AA72" s="138"/>
      <c r="AB72" s="209"/>
      <c r="AC72" s="140"/>
      <c r="AD72" s="140"/>
      <c r="AE72" s="141"/>
      <c r="AF72" s="210"/>
      <c r="AG72" s="210"/>
      <c r="AH72" s="210"/>
      <c r="AI72" s="210"/>
      <c r="AJ72" s="212"/>
      <c r="AK72" s="213">
        <v>1.0</v>
      </c>
      <c r="AL72" s="135">
        <f t="shared" si="15"/>
        <v>1</v>
      </c>
      <c r="AM72" s="183">
        <f t="shared" si="16"/>
        <v>33.33333333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85">
        <v>1.0</v>
      </c>
      <c r="BG72" s="133"/>
      <c r="BH72" s="133"/>
      <c r="BI72" s="135">
        <f t="shared" si="17"/>
        <v>1</v>
      </c>
      <c r="BJ72" s="186">
        <f t="shared" si="18"/>
        <v>33.33333333</v>
      </c>
      <c r="BK72" s="138"/>
      <c r="BL72" s="132"/>
      <c r="BM72" s="151">
        <v>1.0</v>
      </c>
      <c r="BN72" s="138"/>
      <c r="BO72" s="138"/>
      <c r="BP72" s="138"/>
      <c r="BQ72" s="138"/>
      <c r="BR72" s="140"/>
      <c r="BS72" s="152"/>
      <c r="BT72" s="187">
        <v>1.0</v>
      </c>
      <c r="BU72" s="152"/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2</v>
      </c>
      <c r="CG72" s="190">
        <f t="shared" si="20"/>
        <v>66.66666667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44.44444444</v>
      </c>
      <c r="CW72" s="169">
        <f t="shared" si="8"/>
        <v>4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3</v>
      </c>
      <c r="E73" s="127">
        <f t="shared" si="10"/>
        <v>33.33333333</v>
      </c>
      <c r="F73" s="200">
        <f t="shared" si="11"/>
        <v>33.33333333</v>
      </c>
      <c r="G73" s="177" t="str">
        <f t="shared" si="12"/>
        <v>  </v>
      </c>
      <c r="H73" s="258"/>
      <c r="I73" s="258"/>
      <c r="J73" s="263"/>
      <c r="K73" s="263"/>
      <c r="L73" s="263"/>
      <c r="M73" s="263"/>
      <c r="N73" s="263"/>
      <c r="O73" s="263"/>
      <c r="P73" s="263"/>
      <c r="Q73" s="263"/>
      <c r="R73" s="135">
        <f t="shared" si="13"/>
        <v>0</v>
      </c>
      <c r="S73" s="137" t="str">
        <f t="shared" si="14"/>
        <v>#DIV/0!</v>
      </c>
      <c r="T73" s="138"/>
      <c r="U73" s="138"/>
      <c r="V73" s="138"/>
      <c r="W73" s="132"/>
      <c r="X73" s="170">
        <v>1.0</v>
      </c>
      <c r="Y73" s="138"/>
      <c r="Z73" s="138"/>
      <c r="AA73" s="138"/>
      <c r="AB73" s="209"/>
      <c r="AC73" s="140"/>
      <c r="AD73" s="140"/>
      <c r="AE73" s="141"/>
      <c r="AF73" s="210"/>
      <c r="AG73" s="210"/>
      <c r="AH73" s="211">
        <v>1.0</v>
      </c>
      <c r="AI73" s="210"/>
      <c r="AJ73" s="212"/>
      <c r="AK73" s="212"/>
      <c r="AL73" s="135">
        <f t="shared" si="15"/>
        <v>2</v>
      </c>
      <c r="AM73" s="183">
        <f t="shared" si="16"/>
        <v>66.66666667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85">
        <v>1.0</v>
      </c>
      <c r="BG73" s="133"/>
      <c r="BH73" s="133"/>
      <c r="BI73" s="135">
        <f t="shared" si="17"/>
        <v>1</v>
      </c>
      <c r="BJ73" s="186">
        <f t="shared" si="18"/>
        <v>33.33333333</v>
      </c>
      <c r="BK73" s="138"/>
      <c r="BL73" s="132"/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0</v>
      </c>
      <c r="CG73" s="190">
        <f t="shared" si="20"/>
        <v>0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33.33333333</v>
      </c>
      <c r="CW73" s="169">
        <f t="shared" si="8"/>
        <v>3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3</v>
      </c>
      <c r="E74" s="127">
        <f t="shared" si="10"/>
        <v>33.33333333</v>
      </c>
      <c r="F74" s="200">
        <f t="shared" si="11"/>
        <v>33.33333333</v>
      </c>
      <c r="G74" s="177" t="str">
        <f t="shared" si="12"/>
        <v>  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 t="str">
        <f t="shared" si="14"/>
        <v>#DIV/0!</v>
      </c>
      <c r="T74" s="138"/>
      <c r="U74" s="138"/>
      <c r="V74" s="138"/>
      <c r="W74" s="132"/>
      <c r="X74" s="170">
        <v>1.0</v>
      </c>
      <c r="Y74" s="138"/>
      <c r="Z74" s="138"/>
      <c r="AA74" s="138"/>
      <c r="AB74" s="209"/>
      <c r="AC74" s="140"/>
      <c r="AD74" s="140"/>
      <c r="AE74" s="141"/>
      <c r="AF74" s="210"/>
      <c r="AG74" s="210"/>
      <c r="AH74" s="211">
        <v>1.0</v>
      </c>
      <c r="AI74" s="210"/>
      <c r="AJ74" s="212"/>
      <c r="AK74" s="212"/>
      <c r="AL74" s="135">
        <f t="shared" si="15"/>
        <v>2</v>
      </c>
      <c r="AM74" s="183">
        <f t="shared" si="16"/>
        <v>66.66666667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>
        <f t="shared" si="18"/>
        <v>0</v>
      </c>
      <c r="BK74" s="138"/>
      <c r="BL74" s="132"/>
      <c r="BM74" s="151">
        <v>1.0</v>
      </c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1</v>
      </c>
      <c r="CG74" s="190">
        <f t="shared" si="20"/>
        <v>33.33333333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33.33333333</v>
      </c>
      <c r="CW74" s="169">
        <f t="shared" si="8"/>
        <v>3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4</v>
      </c>
      <c r="E75" s="127">
        <f t="shared" si="10"/>
        <v>44.44444444</v>
      </c>
      <c r="F75" s="200">
        <f t="shared" si="11"/>
        <v>44.44444444</v>
      </c>
      <c r="G75" s="207" t="str">
        <f t="shared" si="12"/>
        <v>  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 t="str">
        <f t="shared" si="14"/>
        <v>#DIV/0!</v>
      </c>
      <c r="T75" s="138"/>
      <c r="U75" s="138"/>
      <c r="V75" s="138"/>
      <c r="W75" s="132"/>
      <c r="X75" s="132"/>
      <c r="Y75" s="138"/>
      <c r="Z75" s="138"/>
      <c r="AA75" s="138"/>
      <c r="AB75" s="209"/>
      <c r="AC75" s="140"/>
      <c r="AD75" s="140"/>
      <c r="AE75" s="141"/>
      <c r="AF75" s="210"/>
      <c r="AG75" s="210"/>
      <c r="AH75" s="211">
        <v>1.0</v>
      </c>
      <c r="AI75" s="210"/>
      <c r="AJ75" s="212"/>
      <c r="AK75" s="213">
        <v>1.0</v>
      </c>
      <c r="AL75" s="135">
        <f t="shared" si="15"/>
        <v>2</v>
      </c>
      <c r="AM75" s="183">
        <f t="shared" si="16"/>
        <v>66.66666667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85">
        <v>1.0</v>
      </c>
      <c r="BG75" s="133"/>
      <c r="BH75" s="133"/>
      <c r="BI75" s="135">
        <f t="shared" si="17"/>
        <v>1</v>
      </c>
      <c r="BJ75" s="186">
        <f t="shared" si="18"/>
        <v>33.33333333</v>
      </c>
      <c r="BK75" s="138"/>
      <c r="BL75" s="132"/>
      <c r="BM75" s="138"/>
      <c r="BN75" s="138"/>
      <c r="BO75" s="138"/>
      <c r="BP75" s="138"/>
      <c r="BQ75" s="138"/>
      <c r="BR75" s="150">
        <v>1.0</v>
      </c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1</v>
      </c>
      <c r="CG75" s="190">
        <f t="shared" si="20"/>
        <v>33.33333333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44.44444444</v>
      </c>
      <c r="CW75" s="169">
        <f t="shared" si="8"/>
        <v>4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2</v>
      </c>
      <c r="E76" s="127">
        <f t="shared" si="10"/>
        <v>22.22222222</v>
      </c>
      <c r="F76" s="200">
        <f t="shared" si="11"/>
        <v>22.22222222</v>
      </c>
      <c r="G76" s="207">
        <f t="shared" si="12"/>
        <v>22.22222222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135">
        <f t="shared" si="13"/>
        <v>0</v>
      </c>
      <c r="S76" s="137" t="str">
        <f t="shared" si="14"/>
        <v>#DIV/0!</v>
      </c>
      <c r="T76" s="138"/>
      <c r="U76" s="138"/>
      <c r="V76" s="138"/>
      <c r="W76" s="132"/>
      <c r="X76" s="170">
        <v>1.0</v>
      </c>
      <c r="Y76" s="138"/>
      <c r="Z76" s="138"/>
      <c r="AA76" s="138"/>
      <c r="AB76" s="209"/>
      <c r="AC76" s="140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5"/>
        <v>1</v>
      </c>
      <c r="AM76" s="183">
        <f t="shared" si="16"/>
        <v>33.33333333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7"/>
        <v>0</v>
      </c>
      <c r="BJ76" s="186">
        <f t="shared" si="18"/>
        <v>0</v>
      </c>
      <c r="BK76" s="138"/>
      <c r="BL76" s="132"/>
      <c r="BM76" s="138"/>
      <c r="BN76" s="138"/>
      <c r="BO76" s="138"/>
      <c r="BP76" s="138"/>
      <c r="BQ76" s="138"/>
      <c r="BR76" s="140"/>
      <c r="BS76" s="152"/>
      <c r="BT76" s="187">
        <v>1.0</v>
      </c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1</v>
      </c>
      <c r="CG76" s="190">
        <f t="shared" si="20"/>
        <v>33.33333333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22.22222222</v>
      </c>
      <c r="CW76" s="169">
        <f t="shared" si="8"/>
        <v>2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5</v>
      </c>
      <c r="E77" s="127">
        <f t="shared" si="10"/>
        <v>55.55555556</v>
      </c>
      <c r="F77" s="200" t="str">
        <f t="shared" si="11"/>
        <v>  </v>
      </c>
      <c r="G77" s="177" t="str">
        <f t="shared" si="12"/>
        <v>  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 t="str">
        <f t="shared" si="14"/>
        <v>#DIV/0!</v>
      </c>
      <c r="T77" s="138"/>
      <c r="U77" s="138"/>
      <c r="V77" s="138"/>
      <c r="W77" s="132"/>
      <c r="X77" s="170">
        <v>1.0</v>
      </c>
      <c r="Y77" s="138"/>
      <c r="Z77" s="138"/>
      <c r="AA77" s="138"/>
      <c r="AB77" s="209"/>
      <c r="AC77" s="140"/>
      <c r="AD77" s="140"/>
      <c r="AE77" s="141"/>
      <c r="AF77" s="210"/>
      <c r="AG77" s="210"/>
      <c r="AH77" s="210"/>
      <c r="AI77" s="210"/>
      <c r="AJ77" s="212"/>
      <c r="AK77" s="213">
        <v>1.0</v>
      </c>
      <c r="AL77" s="135">
        <f t="shared" si="15"/>
        <v>2</v>
      </c>
      <c r="AM77" s="183">
        <f t="shared" si="16"/>
        <v>66.66666667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85">
        <v>1.0</v>
      </c>
      <c r="BD77" s="133"/>
      <c r="BE77" s="133"/>
      <c r="BF77" s="133"/>
      <c r="BG77" s="133"/>
      <c r="BH77" s="133"/>
      <c r="BI77" s="135">
        <f t="shared" si="17"/>
        <v>1</v>
      </c>
      <c r="BJ77" s="186">
        <f t="shared" si="18"/>
        <v>33.33333333</v>
      </c>
      <c r="BK77" s="138"/>
      <c r="BL77" s="132"/>
      <c r="BM77" s="138"/>
      <c r="BN77" s="138"/>
      <c r="BO77" s="138"/>
      <c r="BP77" s="138"/>
      <c r="BQ77" s="138"/>
      <c r="BR77" s="150">
        <v>1.0</v>
      </c>
      <c r="BS77" s="152"/>
      <c r="BT77" s="187">
        <v>1.0</v>
      </c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2</v>
      </c>
      <c r="CG77" s="190">
        <f t="shared" si="20"/>
        <v>66.66666667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55.55555556</v>
      </c>
      <c r="CW77" s="169">
        <f t="shared" si="8"/>
        <v>5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6</v>
      </c>
      <c r="E78" s="127">
        <f t="shared" si="10"/>
        <v>66.66666667</v>
      </c>
      <c r="F78" s="175" t="str">
        <f t="shared" si="11"/>
        <v>  </v>
      </c>
      <c r="G78" s="177" t="str">
        <f t="shared" si="12"/>
        <v>  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3"/>
        <v>0</v>
      </c>
      <c r="S78" s="137" t="str">
        <f t="shared" si="14"/>
        <v>#DIV/0!</v>
      </c>
      <c r="T78" s="138"/>
      <c r="U78" s="138"/>
      <c r="V78" s="138"/>
      <c r="W78" s="132"/>
      <c r="X78" s="170">
        <v>1.0</v>
      </c>
      <c r="Y78" s="138"/>
      <c r="Z78" s="138"/>
      <c r="AA78" s="138"/>
      <c r="AB78" s="209"/>
      <c r="AC78" s="140"/>
      <c r="AD78" s="140"/>
      <c r="AE78" s="141"/>
      <c r="AF78" s="210"/>
      <c r="AG78" s="210"/>
      <c r="AH78" s="210"/>
      <c r="AI78" s="210"/>
      <c r="AJ78" s="212"/>
      <c r="AK78" s="213">
        <v>1.0</v>
      </c>
      <c r="AL78" s="135">
        <f t="shared" si="15"/>
        <v>2</v>
      </c>
      <c r="AM78" s="183">
        <f t="shared" si="16"/>
        <v>66.66666667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85">
        <v>1.0</v>
      </c>
      <c r="BD78" s="133"/>
      <c r="BE78" s="133"/>
      <c r="BF78" s="133"/>
      <c r="BG78" s="133"/>
      <c r="BH78" s="133"/>
      <c r="BI78" s="135">
        <f t="shared" si="17"/>
        <v>1</v>
      </c>
      <c r="BJ78" s="186">
        <f t="shared" si="18"/>
        <v>33.33333333</v>
      </c>
      <c r="BK78" s="138"/>
      <c r="BL78" s="132"/>
      <c r="BM78" s="151">
        <v>1.0</v>
      </c>
      <c r="BN78" s="138"/>
      <c r="BO78" s="138"/>
      <c r="BP78" s="138"/>
      <c r="BQ78" s="138"/>
      <c r="BR78" s="150">
        <v>1.0</v>
      </c>
      <c r="BS78" s="152"/>
      <c r="BT78" s="187">
        <v>1.0</v>
      </c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3</v>
      </c>
      <c r="CG78" s="190">
        <f t="shared" si="20"/>
        <v>100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66.66666667</v>
      </c>
      <c r="CW78" s="169">
        <f t="shared" si="8"/>
        <v>6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5</v>
      </c>
      <c r="E79" s="127">
        <f t="shared" si="10"/>
        <v>55.55555556</v>
      </c>
      <c r="F79" s="200" t="str">
        <f t="shared" si="11"/>
        <v>  </v>
      </c>
      <c r="G79" s="177" t="str">
        <f t="shared" si="12"/>
        <v>  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135">
        <f t="shared" si="13"/>
        <v>0</v>
      </c>
      <c r="S79" s="137" t="str">
        <f t="shared" si="14"/>
        <v>#DIV/0!</v>
      </c>
      <c r="T79" s="138"/>
      <c r="U79" s="138"/>
      <c r="V79" s="138"/>
      <c r="W79" s="132"/>
      <c r="X79" s="170">
        <v>1.0</v>
      </c>
      <c r="Y79" s="138"/>
      <c r="Z79" s="138"/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1</v>
      </c>
      <c r="AM79" s="183">
        <f t="shared" si="16"/>
        <v>33.33333333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85">
        <v>1.0</v>
      </c>
      <c r="BG79" s="133"/>
      <c r="BH79" s="133"/>
      <c r="BI79" s="135">
        <f t="shared" si="17"/>
        <v>1</v>
      </c>
      <c r="BJ79" s="186">
        <f t="shared" si="18"/>
        <v>33.33333333</v>
      </c>
      <c r="BK79" s="138"/>
      <c r="BL79" s="132"/>
      <c r="BM79" s="151">
        <v>1.0</v>
      </c>
      <c r="BN79" s="138"/>
      <c r="BO79" s="138"/>
      <c r="BP79" s="138"/>
      <c r="BQ79" s="138"/>
      <c r="BR79" s="150">
        <v>1.0</v>
      </c>
      <c r="BS79" s="152"/>
      <c r="BT79" s="187">
        <v>1.0</v>
      </c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3</v>
      </c>
      <c r="CG79" s="190">
        <f t="shared" si="20"/>
        <v>100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55.55555556</v>
      </c>
      <c r="CW79" s="169">
        <f t="shared" si="8"/>
        <v>5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4</v>
      </c>
      <c r="E80" s="127">
        <f t="shared" si="10"/>
        <v>44.44444444</v>
      </c>
      <c r="F80" s="200">
        <f t="shared" si="11"/>
        <v>44.44444444</v>
      </c>
      <c r="G80" s="177" t="str">
        <f t="shared" si="12"/>
        <v>  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 t="str">
        <f t="shared" si="14"/>
        <v>#DIV/0!</v>
      </c>
      <c r="T80" s="138"/>
      <c r="U80" s="138"/>
      <c r="V80" s="138"/>
      <c r="W80" s="132"/>
      <c r="X80" s="170">
        <v>1.0</v>
      </c>
      <c r="Y80" s="138"/>
      <c r="Z80" s="138"/>
      <c r="AA80" s="138"/>
      <c r="AB80" s="209"/>
      <c r="AC80" s="140"/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1</v>
      </c>
      <c r="AM80" s="183">
        <f t="shared" si="16"/>
        <v>33.33333333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>
        <f t="shared" si="18"/>
        <v>0</v>
      </c>
      <c r="BK80" s="138"/>
      <c r="BL80" s="132"/>
      <c r="BM80" s="151">
        <v>1.0</v>
      </c>
      <c r="BN80" s="138"/>
      <c r="BO80" s="138"/>
      <c r="BP80" s="138"/>
      <c r="BQ80" s="138"/>
      <c r="BR80" s="150">
        <v>1.0</v>
      </c>
      <c r="BS80" s="152"/>
      <c r="BT80" s="187">
        <v>1.0</v>
      </c>
      <c r="BU80" s="152"/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3</v>
      </c>
      <c r="CG80" s="190">
        <f t="shared" si="20"/>
        <v>100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44.44444444</v>
      </c>
      <c r="CW80" s="169">
        <f t="shared" si="8"/>
        <v>4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1</v>
      </c>
      <c r="E81" s="127">
        <f t="shared" si="10"/>
        <v>11.11111111</v>
      </c>
      <c r="F81" s="200">
        <f t="shared" si="11"/>
        <v>11.11111111</v>
      </c>
      <c r="G81" s="207">
        <f t="shared" si="12"/>
        <v>11.11111111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 t="str">
        <f t="shared" si="14"/>
        <v>#DIV/0!</v>
      </c>
      <c r="T81" s="138"/>
      <c r="U81" s="138"/>
      <c r="V81" s="138"/>
      <c r="W81" s="132"/>
      <c r="X81" s="132"/>
      <c r="Y81" s="138"/>
      <c r="Z81" s="138"/>
      <c r="AA81" s="138"/>
      <c r="AB81" s="209"/>
      <c r="AC81" s="140"/>
      <c r="AD81" s="140"/>
      <c r="AE81" s="141"/>
      <c r="AF81" s="210"/>
      <c r="AG81" s="210"/>
      <c r="AH81" s="211">
        <v>1.0</v>
      </c>
      <c r="AI81" s="210"/>
      <c r="AJ81" s="212"/>
      <c r="AK81" s="212"/>
      <c r="AL81" s="135">
        <f t="shared" si="15"/>
        <v>1</v>
      </c>
      <c r="AM81" s="183">
        <f t="shared" si="16"/>
        <v>33.33333333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>
        <f t="shared" si="18"/>
        <v>0</v>
      </c>
      <c r="BK81" s="138"/>
      <c r="BL81" s="132"/>
      <c r="BM81" s="138"/>
      <c r="BN81" s="138"/>
      <c r="BO81" s="138"/>
      <c r="BP81" s="138"/>
      <c r="BQ81" s="138"/>
      <c r="BR81" s="140"/>
      <c r="BS81" s="152"/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0</v>
      </c>
      <c r="CG81" s="190">
        <f t="shared" si="20"/>
        <v>0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11.11111111</v>
      </c>
      <c r="CW81" s="169">
        <f t="shared" si="8"/>
        <v>1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5</v>
      </c>
      <c r="E82" s="127">
        <f t="shared" si="10"/>
        <v>55.55555556</v>
      </c>
      <c r="F82" s="175" t="str">
        <f t="shared" si="11"/>
        <v>  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 t="str">
        <f t="shared" si="14"/>
        <v>#DIV/0!</v>
      </c>
      <c r="T82" s="138"/>
      <c r="U82" s="138"/>
      <c r="V82" s="138"/>
      <c r="W82" s="132"/>
      <c r="X82" s="170">
        <v>1.0</v>
      </c>
      <c r="Y82" s="138"/>
      <c r="Z82" s="138"/>
      <c r="AA82" s="138"/>
      <c r="AB82" s="209"/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1</v>
      </c>
      <c r="AM82" s="183">
        <f t="shared" si="16"/>
        <v>33.33333333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85">
        <v>1.0</v>
      </c>
      <c r="BG82" s="133"/>
      <c r="BH82" s="133"/>
      <c r="BI82" s="135">
        <f t="shared" si="17"/>
        <v>1</v>
      </c>
      <c r="BJ82" s="186">
        <f t="shared" si="18"/>
        <v>33.33333333</v>
      </c>
      <c r="BK82" s="138"/>
      <c r="BL82" s="132"/>
      <c r="BM82" s="151">
        <v>1.0</v>
      </c>
      <c r="BN82" s="138"/>
      <c r="BO82" s="138"/>
      <c r="BP82" s="138"/>
      <c r="BQ82" s="138"/>
      <c r="BR82" s="150">
        <v>1.0</v>
      </c>
      <c r="BS82" s="152"/>
      <c r="BT82" s="187">
        <v>1.0</v>
      </c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3</v>
      </c>
      <c r="CG82" s="190">
        <f t="shared" si="20"/>
        <v>100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55.55555556</v>
      </c>
      <c r="CW82" s="169">
        <f t="shared" si="8"/>
        <v>5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 t="str">
        <f t="shared" si="14"/>
        <v>#DIV/0!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>
        <f t="shared" si="20"/>
        <v>0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4</v>
      </c>
      <c r="E84" s="127">
        <f t="shared" si="10"/>
        <v>44.44444444</v>
      </c>
      <c r="F84" s="200">
        <f t="shared" si="11"/>
        <v>44.44444444</v>
      </c>
      <c r="G84" s="177" t="str">
        <f t="shared" si="12"/>
        <v>  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 t="str">
        <f t="shared" si="14"/>
        <v>#DIV/0!</v>
      </c>
      <c r="T84" s="138"/>
      <c r="U84" s="138"/>
      <c r="V84" s="138"/>
      <c r="W84" s="132"/>
      <c r="X84" s="132"/>
      <c r="Y84" s="138"/>
      <c r="Z84" s="138"/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0</v>
      </c>
      <c r="AM84" s="280">
        <f t="shared" si="16"/>
        <v>0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85">
        <v>1.0</v>
      </c>
      <c r="BG84" s="133"/>
      <c r="BH84" s="133"/>
      <c r="BI84" s="135">
        <f t="shared" si="17"/>
        <v>1</v>
      </c>
      <c r="BJ84" s="281">
        <f t="shared" si="18"/>
        <v>33.33333333</v>
      </c>
      <c r="BK84" s="138"/>
      <c r="BL84" s="132"/>
      <c r="BM84" s="151">
        <v>1.0</v>
      </c>
      <c r="BN84" s="138"/>
      <c r="BO84" s="138"/>
      <c r="BP84" s="138"/>
      <c r="BQ84" s="138"/>
      <c r="BR84" s="150">
        <v>1.0</v>
      </c>
      <c r="BS84" s="152"/>
      <c r="BT84" s="187">
        <v>1.0</v>
      </c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3</v>
      </c>
      <c r="CG84" s="282">
        <f t="shared" si="20"/>
        <v>100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44.44444444</v>
      </c>
      <c r="CW84" s="169">
        <f t="shared" si="8"/>
        <v>4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1</v>
      </c>
      <c r="E85" s="127">
        <f t="shared" si="10"/>
        <v>11.11111111</v>
      </c>
      <c r="F85" s="200">
        <f t="shared" si="11"/>
        <v>11.11111111</v>
      </c>
      <c r="G85" s="207">
        <f t="shared" si="12"/>
        <v>11.11111111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 t="str">
        <f t="shared" si="14"/>
        <v>#DIV/0!</v>
      </c>
      <c r="T85" s="138"/>
      <c r="U85" s="138"/>
      <c r="V85" s="138"/>
      <c r="W85" s="132"/>
      <c r="X85" s="170">
        <v>1.0</v>
      </c>
      <c r="Y85" s="138"/>
      <c r="Z85" s="138"/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1</v>
      </c>
      <c r="AM85" s="280">
        <f t="shared" si="16"/>
        <v>33.33333333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7"/>
        <v>0</v>
      </c>
      <c r="BJ85" s="281">
        <f t="shared" si="18"/>
        <v>0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>
        <f t="shared" si="20"/>
        <v>0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11.11111111</v>
      </c>
      <c r="CW85" s="169">
        <f t="shared" si="8"/>
        <v>1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5</v>
      </c>
      <c r="E86" s="127">
        <f t="shared" si="10"/>
        <v>55.55555556</v>
      </c>
      <c r="F86" s="200" t="str">
        <f t="shared" si="11"/>
        <v>  </v>
      </c>
      <c r="G86" s="175" t="str">
        <f t="shared" si="12"/>
        <v>  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135">
        <f t="shared" si="13"/>
        <v>0</v>
      </c>
      <c r="S86" s="137" t="str">
        <f t="shared" si="14"/>
        <v>#DIV/0!</v>
      </c>
      <c r="T86" s="138"/>
      <c r="U86" s="138"/>
      <c r="V86" s="138"/>
      <c r="W86" s="132"/>
      <c r="X86" s="170">
        <v>1.0</v>
      </c>
      <c r="Y86" s="138"/>
      <c r="Z86" s="138"/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1</v>
      </c>
      <c r="AM86" s="280">
        <f t="shared" si="16"/>
        <v>33.33333333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85">
        <v>1.0</v>
      </c>
      <c r="BG86" s="133"/>
      <c r="BH86" s="133"/>
      <c r="BI86" s="135">
        <f t="shared" si="17"/>
        <v>1</v>
      </c>
      <c r="BJ86" s="281">
        <f t="shared" si="18"/>
        <v>33.33333333</v>
      </c>
      <c r="BK86" s="138"/>
      <c r="BL86" s="132"/>
      <c r="BM86" s="151">
        <v>1.0</v>
      </c>
      <c r="BN86" s="138"/>
      <c r="BO86" s="138"/>
      <c r="BP86" s="138"/>
      <c r="BQ86" s="138"/>
      <c r="BR86" s="150">
        <v>1.0</v>
      </c>
      <c r="BS86" s="152"/>
      <c r="BT86" s="187">
        <v>1.0</v>
      </c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3</v>
      </c>
      <c r="CG86" s="282">
        <f t="shared" si="20"/>
        <v>100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55.55555556</v>
      </c>
      <c r="CW86" s="169">
        <f t="shared" si="8"/>
        <v>5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0</v>
      </c>
      <c r="E87" s="127">
        <f t="shared" si="10"/>
        <v>0</v>
      </c>
      <c r="F87" s="200">
        <f t="shared" si="11"/>
        <v>0</v>
      </c>
      <c r="G87" s="200">
        <f t="shared" si="12"/>
        <v>0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135">
        <f t="shared" si="13"/>
        <v>0</v>
      </c>
      <c r="S87" s="137" t="str">
        <f t="shared" si="14"/>
        <v>#DIV/0!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>
        <f t="shared" si="16"/>
        <v>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>
        <f t="shared" si="18"/>
        <v>0</v>
      </c>
      <c r="BK87" s="138"/>
      <c r="BL87" s="132"/>
      <c r="BM87" s="138"/>
      <c r="BN87" s="138"/>
      <c r="BO87" s="138"/>
      <c r="BP87" s="138"/>
      <c r="BQ87" s="138"/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0</v>
      </c>
      <c r="CG87" s="282">
        <f t="shared" si="20"/>
        <v>0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0</v>
      </c>
      <c r="CW87" s="169">
        <f t="shared" si="8"/>
        <v>0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3</v>
      </c>
      <c r="E88" s="127">
        <f t="shared" si="10"/>
        <v>33.33333333</v>
      </c>
      <c r="F88" s="200">
        <f t="shared" si="11"/>
        <v>33.33333333</v>
      </c>
      <c r="G88" s="200" t="str">
        <f t="shared" si="12"/>
        <v>  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 t="str">
        <f t="shared" si="14"/>
        <v>#DIV/0!</v>
      </c>
      <c r="T88" s="32"/>
      <c r="U88" s="32"/>
      <c r="V88" s="32"/>
      <c r="W88" s="132"/>
      <c r="X88" s="132"/>
      <c r="Y88" s="138"/>
      <c r="Z88" s="138"/>
      <c r="AA88" s="138"/>
      <c r="AB88" s="32"/>
      <c r="AC88" s="289"/>
      <c r="AD88" s="289"/>
      <c r="AE88" s="141"/>
      <c r="AF88" s="32"/>
      <c r="AG88" s="32"/>
      <c r="AH88" s="290">
        <v>1.0</v>
      </c>
      <c r="AI88" s="32"/>
      <c r="AJ88" s="279"/>
      <c r="AK88" s="291">
        <v>1.0</v>
      </c>
      <c r="AL88" s="135">
        <f t="shared" si="15"/>
        <v>2</v>
      </c>
      <c r="AM88" s="280">
        <f t="shared" si="16"/>
        <v>66.66666667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85">
        <v>1.0</v>
      </c>
      <c r="BG88" s="133"/>
      <c r="BH88" s="133"/>
      <c r="BI88" s="135">
        <f t="shared" si="17"/>
        <v>1</v>
      </c>
      <c r="BJ88" s="281">
        <f t="shared" si="18"/>
        <v>33.33333333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>
        <f t="shared" si="20"/>
        <v>0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33.33333333</v>
      </c>
      <c r="CW88" s="169">
        <f t="shared" si="8"/>
        <v>3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 t="str">
        <f t="shared" si="14"/>
        <v>#DIV/0!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>
        <f t="shared" si="20"/>
        <v>0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4</v>
      </c>
      <c r="E90" s="127">
        <f t="shared" si="10"/>
        <v>44.44444444</v>
      </c>
      <c r="F90" s="200">
        <f t="shared" si="11"/>
        <v>44.44444444</v>
      </c>
      <c r="G90" s="175" t="str">
        <f t="shared" si="12"/>
        <v>  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3"/>
        <v>0</v>
      </c>
      <c r="S90" s="137" t="str">
        <f t="shared" si="14"/>
        <v>#DIV/0!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32"/>
      <c r="AH90" s="290">
        <v>1.0</v>
      </c>
      <c r="AI90" s="32"/>
      <c r="AJ90" s="279"/>
      <c r="AK90" s="291">
        <v>1.0</v>
      </c>
      <c r="AL90" s="135">
        <f t="shared" si="15"/>
        <v>2</v>
      </c>
      <c r="AM90" s="280">
        <f t="shared" si="16"/>
        <v>66.66666667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85">
        <v>1.0</v>
      </c>
      <c r="BG90" s="133"/>
      <c r="BH90" s="133"/>
      <c r="BI90" s="135">
        <f t="shared" si="17"/>
        <v>1</v>
      </c>
      <c r="BJ90" s="281">
        <f t="shared" si="18"/>
        <v>33.33333333</v>
      </c>
      <c r="BK90" s="138"/>
      <c r="BL90" s="132"/>
      <c r="BM90" s="138"/>
      <c r="BN90" s="138"/>
      <c r="BO90" s="138"/>
      <c r="BP90" s="138"/>
      <c r="BQ90" s="138"/>
      <c r="BR90" s="140"/>
      <c r="BS90" s="152"/>
      <c r="BT90" s="187">
        <v>1.0</v>
      </c>
      <c r="BU90" s="152"/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1</v>
      </c>
      <c r="CG90" s="282">
        <f t="shared" si="20"/>
        <v>33.33333333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44.44444444</v>
      </c>
      <c r="CW90" s="169">
        <f t="shared" si="8"/>
        <v>4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1</v>
      </c>
      <c r="E91" s="127">
        <f t="shared" si="10"/>
        <v>11.11111111</v>
      </c>
      <c r="F91" s="200">
        <f t="shared" si="11"/>
        <v>11.11111111</v>
      </c>
      <c r="G91" s="200">
        <f t="shared" si="12"/>
        <v>11.11111111</v>
      </c>
      <c r="H91" s="287"/>
      <c r="I91" s="287"/>
      <c r="J91" s="288"/>
      <c r="K91" s="288"/>
      <c r="L91" s="288"/>
      <c r="M91" s="288"/>
      <c r="N91" s="288"/>
      <c r="O91" s="288"/>
      <c r="P91" s="288"/>
      <c r="Q91" s="288"/>
      <c r="R91" s="135">
        <f t="shared" si="13"/>
        <v>0</v>
      </c>
      <c r="S91" s="137" t="str">
        <f t="shared" si="14"/>
        <v>#DIV/0!</v>
      </c>
      <c r="T91" s="32"/>
      <c r="U91" s="32"/>
      <c r="V91" s="32"/>
      <c r="W91" s="132"/>
      <c r="X91" s="132"/>
      <c r="Y91" s="138"/>
      <c r="Z91" s="138"/>
      <c r="AA91" s="138"/>
      <c r="AB91" s="32"/>
      <c r="AC91" s="289"/>
      <c r="AD91" s="289"/>
      <c r="AE91" s="141"/>
      <c r="AF91" s="32"/>
      <c r="AG91" s="32"/>
      <c r="AH91" s="32"/>
      <c r="AI91" s="32"/>
      <c r="AJ91" s="279"/>
      <c r="AK91" s="291">
        <v>1.0</v>
      </c>
      <c r="AL91" s="135">
        <f t="shared" si="15"/>
        <v>1</v>
      </c>
      <c r="AM91" s="280">
        <f t="shared" si="16"/>
        <v>33.33333333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>
        <f t="shared" si="18"/>
        <v>0</v>
      </c>
      <c r="BK91" s="138"/>
      <c r="BL91" s="132"/>
      <c r="BM91" s="138"/>
      <c r="BN91" s="138"/>
      <c r="BO91" s="138"/>
      <c r="BP91" s="138"/>
      <c r="BQ91" s="138"/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0</v>
      </c>
      <c r="CG91" s="282">
        <f t="shared" si="20"/>
        <v>0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11.11111111</v>
      </c>
      <c r="CW91" s="169">
        <f t="shared" si="8"/>
        <v>1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3</v>
      </c>
      <c r="E92" s="127">
        <f t="shared" si="10"/>
        <v>33.33333333</v>
      </c>
      <c r="F92" s="200">
        <f t="shared" si="11"/>
        <v>33.33333333</v>
      </c>
      <c r="G92" s="200" t="str">
        <f t="shared" si="12"/>
        <v>  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3"/>
        <v>0</v>
      </c>
      <c r="S92" s="137" t="str">
        <f t="shared" si="14"/>
        <v>#DIV/0!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0</v>
      </c>
      <c r="AM92" s="280">
        <f t="shared" si="16"/>
        <v>0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85">
        <v>1.0</v>
      </c>
      <c r="BG92" s="133"/>
      <c r="BH92" s="133"/>
      <c r="BI92" s="135">
        <f t="shared" si="17"/>
        <v>1</v>
      </c>
      <c r="BJ92" s="281">
        <f t="shared" si="18"/>
        <v>33.33333333</v>
      </c>
      <c r="BK92" s="138"/>
      <c r="BL92" s="132"/>
      <c r="BM92" s="138"/>
      <c r="BN92" s="138"/>
      <c r="BO92" s="138"/>
      <c r="BP92" s="138"/>
      <c r="BQ92" s="138"/>
      <c r="BR92" s="150">
        <v>1.0</v>
      </c>
      <c r="BS92" s="152"/>
      <c r="BT92" s="187">
        <v>1.0</v>
      </c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2</v>
      </c>
      <c r="CG92" s="282">
        <f t="shared" si="20"/>
        <v>66.66666667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33.33333333</v>
      </c>
      <c r="CW92" s="169">
        <f t="shared" si="8"/>
        <v>3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 t="str">
        <f t="shared" si="14"/>
        <v>#DIV/0!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>
        <f t="shared" si="20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32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7" width="3.71"/>
    <col customWidth="1" min="38" max="38" width="5.86"/>
    <col customWidth="1" min="39" max="59" width="3.71"/>
    <col customWidth="1" min="60" max="60" width="4.0"/>
    <col customWidth="1" min="61" max="61" width="5.71"/>
    <col customWidth="1" min="62" max="82" width="3.71"/>
    <col customWidth="1" min="83" max="83" width="4.0"/>
    <col customWidth="1" min="84" max="84" width="5.57"/>
    <col customWidth="1" min="85" max="87" width="3.71"/>
    <col customWidth="1" min="88" max="91" width="3.43"/>
    <col customWidth="1" min="92" max="95" width="3.71"/>
    <col customWidth="1" min="96" max="96" width="4.14"/>
    <col customWidth="1" min="97" max="97" width="5.71"/>
    <col customWidth="1" min="98" max="98" width="2.86"/>
    <col customWidth="1" min="99" max="99" width="6.86"/>
    <col customWidth="1" min="100" max="100" width="5.86"/>
    <col customWidth="1" min="101" max="101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9"/>
      <c r="AL1" s="12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9"/>
      <c r="BI1" s="14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9"/>
      <c r="CF1" s="9"/>
      <c r="CG1" s="10"/>
      <c r="CH1" s="10"/>
      <c r="CI1" s="10"/>
      <c r="CJ1" s="10"/>
      <c r="CK1" s="10"/>
      <c r="CL1" s="10"/>
      <c r="CM1" s="10"/>
      <c r="CN1" s="10"/>
      <c r="CO1" s="10" t="s">
        <v>3</v>
      </c>
      <c r="CP1" s="10"/>
      <c r="CQ1" s="10"/>
      <c r="CR1" s="10"/>
      <c r="CS1" s="10"/>
      <c r="CT1" s="10"/>
      <c r="CU1" s="10"/>
      <c r="CV1" s="9"/>
      <c r="CW1" s="10"/>
    </row>
    <row r="2">
      <c r="A2" s="15" t="s">
        <v>4</v>
      </c>
      <c r="B2" s="16"/>
      <c r="C2" s="17" t="s">
        <v>215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9"/>
      <c r="AL2" s="12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9"/>
      <c r="BI2" s="14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9"/>
      <c r="CF2" s="9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9"/>
      <c r="CW2" s="10"/>
    </row>
    <row r="3">
      <c r="A3" s="15" t="s">
        <v>7</v>
      </c>
      <c r="B3" s="16"/>
      <c r="C3" s="318" t="s">
        <v>216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/>
      <c r="AL3" s="12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9"/>
      <c r="BI3" s="14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9"/>
      <c r="CF3" s="9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9"/>
      <c r="CW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9"/>
      <c r="AL4" s="12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9"/>
      <c r="BI4" s="14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9"/>
      <c r="CF4" s="9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9"/>
      <c r="CW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9"/>
      <c r="AL5" s="12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9"/>
      <c r="BI5" s="14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9"/>
      <c r="CF5" s="9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9"/>
      <c r="CW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9"/>
      <c r="AL6" s="12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9"/>
      <c r="BI6" s="14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9"/>
      <c r="CF6" s="9"/>
      <c r="CG6" s="10"/>
      <c r="CH6" s="10"/>
      <c r="CI6" s="10"/>
      <c r="CJ6" s="10"/>
      <c r="CK6" s="10"/>
      <c r="CL6" s="10"/>
      <c r="CM6" s="10"/>
      <c r="CN6" s="32"/>
      <c r="CO6" s="10"/>
      <c r="CP6" s="10"/>
      <c r="CQ6" s="10"/>
      <c r="CR6" s="10"/>
      <c r="CS6" s="10"/>
      <c r="CT6" s="10"/>
      <c r="CU6" s="10"/>
      <c r="CV6" s="9"/>
      <c r="CW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7"/>
      <c r="AL7" s="51"/>
      <c r="AM7" s="46"/>
      <c r="AN7" s="46"/>
      <c r="AO7" s="46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48"/>
      <c r="BI7" s="55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48"/>
      <c r="CF7" s="48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48"/>
      <c r="CS7" s="48"/>
      <c r="CT7" s="57"/>
      <c r="CU7" s="52"/>
      <c r="CV7" s="58"/>
      <c r="CW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46106.0</v>
      </c>
      <c r="AI8" s="69">
        <v>46107.0</v>
      </c>
      <c r="AJ8" s="69">
        <v>46111.0</v>
      </c>
      <c r="AK8" s="70" t="s">
        <v>21</v>
      </c>
      <c r="AL8" s="72" t="s">
        <v>22</v>
      </c>
      <c r="AM8" s="69">
        <v>46113.0</v>
      </c>
      <c r="AN8" s="69">
        <v>46114.0</v>
      </c>
      <c r="AO8" s="69">
        <v>46115.0</v>
      </c>
      <c r="AP8" s="69">
        <v>46118.0</v>
      </c>
      <c r="AQ8" s="69">
        <v>46119.0</v>
      </c>
      <c r="AR8" s="69">
        <v>46120.0</v>
      </c>
      <c r="AS8" s="69">
        <v>46121.0</v>
      </c>
      <c r="AT8" s="69">
        <v>46122.0</v>
      </c>
      <c r="AU8" s="69">
        <v>46125.0</v>
      </c>
      <c r="AV8" s="69">
        <v>46127.0</v>
      </c>
      <c r="AW8" s="69">
        <v>46128.0</v>
      </c>
      <c r="AX8" s="69">
        <v>46129.0</v>
      </c>
      <c r="AY8" s="69">
        <v>46132.0</v>
      </c>
      <c r="AZ8" s="69">
        <v>46133.0</v>
      </c>
      <c r="BA8" s="69">
        <v>46134.0</v>
      </c>
      <c r="BB8" s="69">
        <v>46135.0</v>
      </c>
      <c r="BC8" s="69">
        <v>46136.0</v>
      </c>
      <c r="BD8" s="69">
        <v>46139.0</v>
      </c>
      <c r="BE8" s="69">
        <v>46140.0</v>
      </c>
      <c r="BF8" s="69">
        <v>46141.0</v>
      </c>
      <c r="BG8" s="69">
        <v>46142.0</v>
      </c>
      <c r="BH8" s="75" t="s">
        <v>24</v>
      </c>
      <c r="BI8" s="76" t="s">
        <v>25</v>
      </c>
      <c r="BJ8" s="69">
        <v>46143.0</v>
      </c>
      <c r="BK8" s="69">
        <v>46146.0</v>
      </c>
      <c r="BL8" s="69">
        <v>46147.0</v>
      </c>
      <c r="BM8" s="69">
        <v>46148.0</v>
      </c>
      <c r="BN8" s="69">
        <v>46149.0</v>
      </c>
      <c r="BO8" s="69">
        <v>46150.0</v>
      </c>
      <c r="BP8" s="69">
        <v>46153.0</v>
      </c>
      <c r="BQ8" s="69">
        <v>46154.0</v>
      </c>
      <c r="BR8" s="69">
        <v>46155.0</v>
      </c>
      <c r="BS8" s="69">
        <v>46156.0</v>
      </c>
      <c r="BT8" s="69">
        <v>46157.0</v>
      </c>
      <c r="BU8" s="69">
        <v>46160.0</v>
      </c>
      <c r="BV8" s="69">
        <v>46161.0</v>
      </c>
      <c r="BW8" s="69">
        <v>46162.0</v>
      </c>
      <c r="BX8" s="69">
        <v>46163.0</v>
      </c>
      <c r="BY8" s="69">
        <v>46164.0</v>
      </c>
      <c r="BZ8" s="69">
        <v>46167.0</v>
      </c>
      <c r="CA8" s="69">
        <v>46168.0</v>
      </c>
      <c r="CB8" s="69">
        <v>46169.0</v>
      </c>
      <c r="CC8" s="69">
        <v>46170.0</v>
      </c>
      <c r="CD8" s="69">
        <v>46171.0</v>
      </c>
      <c r="CE8" s="75" t="s">
        <v>28</v>
      </c>
      <c r="CF8" s="78" t="s">
        <v>29</v>
      </c>
      <c r="CG8" s="69">
        <v>46174.0</v>
      </c>
      <c r="CH8" s="69">
        <v>46175.0</v>
      </c>
      <c r="CI8" s="69">
        <v>46176.0</v>
      </c>
      <c r="CJ8" s="69">
        <v>46177.0</v>
      </c>
      <c r="CK8" s="69">
        <v>46178.0</v>
      </c>
      <c r="CL8" s="69">
        <v>46181.0</v>
      </c>
      <c r="CM8" s="69">
        <v>46182.0</v>
      </c>
      <c r="CN8" s="69">
        <v>46183.0</v>
      </c>
      <c r="CO8" s="69">
        <v>46184.0</v>
      </c>
      <c r="CP8" s="69">
        <v>46185.0</v>
      </c>
      <c r="CQ8" s="69">
        <v>46186.0</v>
      </c>
      <c r="CR8" s="75" t="s">
        <v>31</v>
      </c>
      <c r="CS8" s="78" t="s">
        <v>32</v>
      </c>
      <c r="CT8" s="80" t="s">
        <v>33</v>
      </c>
      <c r="CU8" s="82" t="s">
        <v>35</v>
      </c>
      <c r="CV8" s="83" t="s">
        <v>36</v>
      </c>
      <c r="CW8" s="84" t="s">
        <v>37</v>
      </c>
    </row>
    <row r="9">
      <c r="A9" s="89" t="s">
        <v>217</v>
      </c>
      <c r="B9" s="90" t="s">
        <v>43</v>
      </c>
      <c r="C9" s="91" t="s">
        <v>44</v>
      </c>
      <c r="D9" s="94">
        <f>SUM(R9+AK9+BH9+CE9+CR9)</f>
        <v>33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4</v>
      </c>
      <c r="K9" s="99">
        <f t="shared" si="1"/>
        <v>6</v>
      </c>
      <c r="L9" s="99">
        <f t="shared" si="1"/>
        <v>15</v>
      </c>
      <c r="M9" s="99">
        <f t="shared" si="1"/>
        <v>0</v>
      </c>
      <c r="N9" s="99">
        <f t="shared" si="1"/>
        <v>12</v>
      </c>
      <c r="O9" s="99">
        <f t="shared" si="1"/>
        <v>6</v>
      </c>
      <c r="P9" s="99">
        <f t="shared" si="1"/>
        <v>0</v>
      </c>
      <c r="Q9" s="99">
        <f t="shared" si="1"/>
        <v>0</v>
      </c>
      <c r="R9" s="103">
        <f>COUNTIF(H9:Q9,"&gt;0")</f>
        <v>5</v>
      </c>
      <c r="S9" s="103">
        <f>COUNTIF(H9:I9,"&gt;0")</f>
        <v>0</v>
      </c>
      <c r="T9" s="104">
        <f t="shared" ref="T9:AJ9" si="2">SUM(T10:T92)</f>
        <v>0</v>
      </c>
      <c r="U9" s="104">
        <f t="shared" si="2"/>
        <v>7</v>
      </c>
      <c r="V9" s="104">
        <f t="shared" si="2"/>
        <v>2</v>
      </c>
      <c r="W9" s="104">
        <f t="shared" si="2"/>
        <v>0</v>
      </c>
      <c r="X9" s="104">
        <f t="shared" si="2"/>
        <v>0</v>
      </c>
      <c r="Y9" s="104">
        <f t="shared" si="2"/>
        <v>4</v>
      </c>
      <c r="Z9" s="104">
        <f t="shared" si="2"/>
        <v>18</v>
      </c>
      <c r="AA9" s="104">
        <f t="shared" si="2"/>
        <v>22</v>
      </c>
      <c r="AB9" s="104">
        <f t="shared" si="2"/>
        <v>43</v>
      </c>
      <c r="AC9" s="104">
        <f t="shared" si="2"/>
        <v>0</v>
      </c>
      <c r="AD9" s="104">
        <f t="shared" si="2"/>
        <v>35</v>
      </c>
      <c r="AE9" s="104">
        <f t="shared" si="2"/>
        <v>20</v>
      </c>
      <c r="AF9" s="104">
        <f t="shared" si="2"/>
        <v>4</v>
      </c>
      <c r="AG9" s="104">
        <f t="shared" si="2"/>
        <v>34</v>
      </c>
      <c r="AH9" s="104">
        <f t="shared" si="2"/>
        <v>24</v>
      </c>
      <c r="AI9" s="104">
        <f t="shared" si="2"/>
        <v>0</v>
      </c>
      <c r="AJ9" s="104">
        <f t="shared" si="2"/>
        <v>0</v>
      </c>
      <c r="AK9" s="103">
        <f>COUNTIF(T9:AJ9,"&gt;0")</f>
        <v>11</v>
      </c>
      <c r="AL9" s="107">
        <f>SUM(R9+AK9)</f>
        <v>16</v>
      </c>
      <c r="AM9" s="104">
        <f t="shared" ref="AM9:BG9" si="3">SUM(AM10:AM91)</f>
        <v>4</v>
      </c>
      <c r="AN9" s="104">
        <f t="shared" si="3"/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23</v>
      </c>
      <c r="AX9" s="104">
        <f t="shared" si="3"/>
        <v>0</v>
      </c>
      <c r="AY9" s="104">
        <f t="shared" si="3"/>
        <v>4</v>
      </c>
      <c r="AZ9" s="104">
        <f t="shared" si="3"/>
        <v>2</v>
      </c>
      <c r="BA9" s="104">
        <f t="shared" si="3"/>
        <v>5</v>
      </c>
      <c r="BB9" s="104">
        <f t="shared" si="3"/>
        <v>1</v>
      </c>
      <c r="BC9" s="104">
        <f t="shared" si="3"/>
        <v>0</v>
      </c>
      <c r="BD9" s="104">
        <f t="shared" si="3"/>
        <v>36</v>
      </c>
      <c r="BE9" s="104">
        <f t="shared" si="3"/>
        <v>0</v>
      </c>
      <c r="BF9" s="104">
        <f t="shared" si="3"/>
        <v>21</v>
      </c>
      <c r="BG9" s="104">
        <f t="shared" si="3"/>
        <v>34</v>
      </c>
      <c r="BH9" s="48">
        <f>COUNTIF(AM9:BG9,"&gt;0")</f>
        <v>9</v>
      </c>
      <c r="BI9" s="55">
        <f>SUM(AL9+BH9)</f>
        <v>25</v>
      </c>
      <c r="BJ9" s="109">
        <f t="shared" ref="BJ9:BQ9" si="4">SUM(BJ10:BJ91)</f>
        <v>18</v>
      </c>
      <c r="BK9" s="109">
        <f t="shared" si="4"/>
        <v>34</v>
      </c>
      <c r="BL9" s="109">
        <f t="shared" si="4"/>
        <v>0</v>
      </c>
      <c r="BM9" s="109">
        <f t="shared" si="4"/>
        <v>38</v>
      </c>
      <c r="BN9" s="109">
        <f t="shared" si="4"/>
        <v>36</v>
      </c>
      <c r="BO9" s="109">
        <f t="shared" si="4"/>
        <v>24</v>
      </c>
      <c r="BP9" s="109">
        <f t="shared" si="4"/>
        <v>13</v>
      </c>
      <c r="BQ9" s="109">
        <f t="shared" si="4"/>
        <v>0</v>
      </c>
      <c r="BR9" s="109">
        <f>SUM(BR10)</f>
        <v>0</v>
      </c>
      <c r="BS9" s="109">
        <f t="shared" ref="BS9:BV9" si="5">SUM(BS10:BS91)</f>
        <v>18</v>
      </c>
      <c r="BT9" s="109">
        <f t="shared" si="5"/>
        <v>0</v>
      </c>
      <c r="BU9" s="109">
        <f t="shared" si="5"/>
        <v>14</v>
      </c>
      <c r="BV9" s="109">
        <f t="shared" si="5"/>
        <v>0</v>
      </c>
      <c r="BW9" s="109"/>
      <c r="BX9" s="109"/>
      <c r="BY9" s="109"/>
      <c r="BZ9" s="109"/>
      <c r="CA9" s="109"/>
      <c r="CB9" s="109"/>
      <c r="CC9" s="109"/>
      <c r="CD9" s="109"/>
      <c r="CE9" s="48">
        <f>COUNTIF(BJ9:BV9,"&gt;0")</f>
        <v>8</v>
      </c>
      <c r="CF9" s="113">
        <f>SUM(BI9+CE9)</f>
        <v>33</v>
      </c>
      <c r="CG9" s="112">
        <f t="shared" ref="CG9:CI9" si="6">SUM(CG10:CG84)</f>
        <v>0</v>
      </c>
      <c r="CH9" s="112">
        <f t="shared" si="6"/>
        <v>0</v>
      </c>
      <c r="CI9" s="112">
        <f t="shared" si="6"/>
        <v>0</v>
      </c>
      <c r="CJ9" s="114">
        <f t="shared" ref="CJ9:CM9" si="7">SUM(CJ10:CJ69)</f>
        <v>0</v>
      </c>
      <c r="CK9" s="114">
        <f t="shared" si="7"/>
        <v>0</v>
      </c>
      <c r="CL9" s="114">
        <f t="shared" si="7"/>
        <v>0</v>
      </c>
      <c r="CM9" s="114">
        <f t="shared" si="7"/>
        <v>0</v>
      </c>
      <c r="CN9" s="112">
        <f>SUM(CN10:CN84)</f>
        <v>0</v>
      </c>
      <c r="CO9" s="115">
        <f t="shared" ref="CO9:CQ9" si="8">SUM(CO10:CO69)</f>
        <v>0</v>
      </c>
      <c r="CP9" s="115">
        <f t="shared" si="8"/>
        <v>0</v>
      </c>
      <c r="CQ9" s="115">
        <f t="shared" si="8"/>
        <v>0</v>
      </c>
      <c r="CR9" s="116">
        <f>COUNTIF(CG9:CQ9,"&gt;0")</f>
        <v>0</v>
      </c>
      <c r="CS9" s="117">
        <f>SUM(CF9+CR9)</f>
        <v>33</v>
      </c>
      <c r="CT9" s="118"/>
      <c r="CU9" s="119">
        <f>SUM(R9+AK9+BH9+CE9+CR9+CT9)</f>
        <v>33</v>
      </c>
      <c r="CV9" s="120">
        <f t="shared" ref="CV9:CV93" si="9">SUM(R9+AK9+BH9+CE9+CR9+CT9)</f>
        <v>33</v>
      </c>
      <c r="CW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10">SUM(R10+AK10+BH10+CE10+CR10+CT10)</f>
        <v>4</v>
      </c>
      <c r="E10" s="127">
        <f t="shared" ref="E10:E93" si="11">(D10)/D$9*100</f>
        <v>12.12121212</v>
      </c>
      <c r="F10" s="128">
        <f t="shared" ref="F10:F93" si="12">IF(E10&lt;50,E10, "  ")</f>
        <v>12.12121212</v>
      </c>
      <c r="G10" s="130">
        <f t="shared" ref="G10:G93" si="13">IF(E10&lt;30,E10, "  ")</f>
        <v>12.12121212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4">SUM(H10:Q10)</f>
        <v>0</v>
      </c>
      <c r="S10" s="137">
        <f t="shared" ref="S10:S93" si="15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51">
        <v>1.0</v>
      </c>
      <c r="AC10" s="140"/>
      <c r="AD10" s="150">
        <v>1.0</v>
      </c>
      <c r="AE10" s="141"/>
      <c r="AF10" s="142"/>
      <c r="AG10" s="143">
        <v>1.0</v>
      </c>
      <c r="AH10" s="142"/>
      <c r="AI10" s="142"/>
      <c r="AJ10" s="142"/>
      <c r="AK10" s="135">
        <f t="shared" ref="AK10:AK93" si="16">SUM(T10:AJ10)</f>
        <v>3</v>
      </c>
      <c r="AL10" s="137">
        <f t="shared" ref="AL10:AL93" si="17">AK10/AK$9*100</f>
        <v>27.27272727</v>
      </c>
      <c r="AM10" s="146"/>
      <c r="AN10" s="146"/>
      <c r="AO10" s="138"/>
      <c r="AP10" s="138"/>
      <c r="AQ10" s="138"/>
      <c r="AR10" s="132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5">
        <f t="shared" ref="BH10:BH93" si="18">SUM(AM10:BG10)</f>
        <v>0</v>
      </c>
      <c r="BI10" s="149">
        <f t="shared" ref="BI10:BI93" si="19">BH10/BH$9*100</f>
        <v>0</v>
      </c>
      <c r="BJ10" s="138"/>
      <c r="BK10" s="170">
        <v>1.0</v>
      </c>
      <c r="BL10" s="138"/>
      <c r="BM10" s="138"/>
      <c r="BN10" s="138"/>
      <c r="BO10" s="138"/>
      <c r="BP10" s="138"/>
      <c r="BQ10" s="140"/>
      <c r="BR10" s="152"/>
      <c r="BS10" s="152"/>
      <c r="BT10" s="152"/>
      <c r="BU10" s="152"/>
      <c r="BV10" s="153"/>
      <c r="BW10" s="154"/>
      <c r="BX10" s="154"/>
      <c r="BY10" s="154"/>
      <c r="BZ10" s="154"/>
      <c r="CA10" s="154"/>
      <c r="CB10" s="154"/>
      <c r="CC10" s="154"/>
      <c r="CD10" s="154"/>
      <c r="CE10" s="156">
        <f t="shared" ref="CE10:CE93" si="20">SUM(BJ10:BV10)</f>
        <v>1</v>
      </c>
      <c r="CF10" s="159">
        <f t="shared" ref="CF10:CF93" si="21">CE10/CE$9*100</f>
        <v>12.5</v>
      </c>
      <c r="CG10" s="158"/>
      <c r="CH10" s="153"/>
      <c r="CI10" s="153"/>
      <c r="CJ10" s="160"/>
      <c r="CK10" s="160"/>
      <c r="CL10" s="160"/>
      <c r="CM10" s="160"/>
      <c r="CN10" s="153"/>
      <c r="CO10" s="32"/>
      <c r="CP10" s="32"/>
      <c r="CQ10" s="161"/>
      <c r="CR10" s="163">
        <f t="shared" ref="CR10:CR93" si="22">SUM(CG10:CQ10)</f>
        <v>0</v>
      </c>
      <c r="CS10" s="165" t="str">
        <f t="shared" ref="CS10:CS93" si="23">CR10/CR$9*100</f>
        <v>#DIV/0!</v>
      </c>
      <c r="CT10" s="166"/>
      <c r="CU10" s="167">
        <f t="shared" ref="CU10:CU93" si="24">(D10)/D$9*100</f>
        <v>12.12121212</v>
      </c>
      <c r="CV10" s="169">
        <f t="shared" si="9"/>
        <v>4</v>
      </c>
      <c r="CW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10"/>
        <v>17</v>
      </c>
      <c r="E11" s="127">
        <f t="shared" si="11"/>
        <v>51.51515152</v>
      </c>
      <c r="F11" s="175" t="str">
        <f t="shared" si="12"/>
        <v>  </v>
      </c>
      <c r="G11" s="177" t="str">
        <f t="shared" si="13"/>
        <v>  </v>
      </c>
      <c r="H11" s="132"/>
      <c r="I11" s="178"/>
      <c r="J11" s="191">
        <v>1.0</v>
      </c>
      <c r="K11" s="179"/>
      <c r="L11" s="179"/>
      <c r="M11" s="179"/>
      <c r="N11" s="179"/>
      <c r="O11" s="179"/>
      <c r="P11" s="179"/>
      <c r="Q11" s="179"/>
      <c r="R11" s="135">
        <f t="shared" si="14"/>
        <v>1</v>
      </c>
      <c r="S11" s="137">
        <f t="shared" si="15"/>
        <v>20</v>
      </c>
      <c r="T11" s="138"/>
      <c r="U11" s="138"/>
      <c r="V11" s="138"/>
      <c r="W11" s="132"/>
      <c r="X11" s="132"/>
      <c r="Y11" s="138"/>
      <c r="Z11" s="138"/>
      <c r="AA11" s="151">
        <v>1.0</v>
      </c>
      <c r="AB11" s="151">
        <v>1.0</v>
      </c>
      <c r="AC11" s="140"/>
      <c r="AD11" s="150">
        <v>1.0</v>
      </c>
      <c r="AE11" s="320">
        <v>1.0</v>
      </c>
      <c r="AF11" s="180"/>
      <c r="AG11" s="181">
        <v>1.0</v>
      </c>
      <c r="AH11" s="181">
        <v>1.0</v>
      </c>
      <c r="AI11" s="142"/>
      <c r="AJ11" s="142"/>
      <c r="AK11" s="135">
        <f t="shared" si="16"/>
        <v>6</v>
      </c>
      <c r="AL11" s="183">
        <f t="shared" si="17"/>
        <v>54.54545455</v>
      </c>
      <c r="AM11" s="184"/>
      <c r="AN11" s="184"/>
      <c r="AO11" s="138"/>
      <c r="AP11" s="138"/>
      <c r="AQ11" s="138"/>
      <c r="AR11" s="132"/>
      <c r="AS11" s="133"/>
      <c r="AT11" s="133"/>
      <c r="AU11" s="133"/>
      <c r="AV11" s="133"/>
      <c r="AW11" s="185">
        <v>1.0</v>
      </c>
      <c r="AX11" s="133"/>
      <c r="AY11" s="133"/>
      <c r="AZ11" s="133"/>
      <c r="BA11" s="133"/>
      <c r="BB11" s="133"/>
      <c r="BC11" s="133"/>
      <c r="BD11" s="185">
        <v>1.0</v>
      </c>
      <c r="BE11" s="133"/>
      <c r="BF11" s="185">
        <v>1.0</v>
      </c>
      <c r="BG11" s="185">
        <v>1.0</v>
      </c>
      <c r="BH11" s="135">
        <f t="shared" si="18"/>
        <v>4</v>
      </c>
      <c r="BI11" s="186">
        <f t="shared" si="19"/>
        <v>44.44444444</v>
      </c>
      <c r="BJ11" s="138"/>
      <c r="BK11" s="170">
        <v>1.0</v>
      </c>
      <c r="BL11" s="138"/>
      <c r="BM11" s="151">
        <v>1.0</v>
      </c>
      <c r="BN11" s="151">
        <v>1.0</v>
      </c>
      <c r="BO11" s="138"/>
      <c r="BP11" s="138"/>
      <c r="BR11" s="150">
        <v>1.0</v>
      </c>
      <c r="BS11" s="187">
        <v>1.0</v>
      </c>
      <c r="BT11" s="152"/>
      <c r="BU11" s="187">
        <v>1.0</v>
      </c>
      <c r="BV11" s="152"/>
      <c r="BW11" s="189"/>
      <c r="BX11" s="189"/>
      <c r="BY11" s="189"/>
      <c r="BZ11" s="189"/>
      <c r="CA11" s="189"/>
      <c r="CB11" s="189"/>
      <c r="CC11" s="189"/>
      <c r="CD11" s="189"/>
      <c r="CE11" s="156">
        <f t="shared" si="20"/>
        <v>6</v>
      </c>
      <c r="CF11" s="190">
        <f t="shared" si="21"/>
        <v>75</v>
      </c>
      <c r="CG11" s="138"/>
      <c r="CH11" s="153"/>
      <c r="CI11" s="152"/>
      <c r="CJ11" s="192"/>
      <c r="CK11" s="192"/>
      <c r="CL11" s="192"/>
      <c r="CM11" s="192"/>
      <c r="CN11" s="152"/>
      <c r="CO11" s="32"/>
      <c r="CP11" s="32"/>
      <c r="CQ11" s="161"/>
      <c r="CR11" s="163">
        <f t="shared" si="22"/>
        <v>0</v>
      </c>
      <c r="CS11" s="194" t="str">
        <f t="shared" si="23"/>
        <v>#DIV/0!</v>
      </c>
      <c r="CT11" s="196"/>
      <c r="CU11" s="167">
        <f t="shared" si="24"/>
        <v>51.51515152</v>
      </c>
      <c r="CV11" s="169">
        <f t="shared" si="9"/>
        <v>17</v>
      </c>
      <c r="CW11" s="197"/>
    </row>
    <row r="12">
      <c r="A12" s="122">
        <v>3.0</v>
      </c>
      <c r="B12" s="173" t="s">
        <v>51</v>
      </c>
      <c r="C12" s="199" t="s">
        <v>52</v>
      </c>
      <c r="D12" s="125">
        <f t="shared" si="10"/>
        <v>5</v>
      </c>
      <c r="E12" s="127">
        <f t="shared" si="11"/>
        <v>15.15151515</v>
      </c>
      <c r="F12" s="200">
        <f t="shared" si="12"/>
        <v>15.15151515</v>
      </c>
      <c r="G12" s="207">
        <f t="shared" si="13"/>
        <v>15.15151515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4"/>
        <v>0</v>
      </c>
      <c r="S12" s="137">
        <f t="shared" si="15"/>
        <v>0</v>
      </c>
      <c r="T12" s="138"/>
      <c r="U12" s="138"/>
      <c r="V12" s="138"/>
      <c r="W12" s="132"/>
      <c r="X12" s="132"/>
      <c r="Y12" s="138"/>
      <c r="Z12" s="138"/>
      <c r="AA12" s="138"/>
      <c r="AB12" s="151">
        <v>1.0</v>
      </c>
      <c r="AC12" s="140"/>
      <c r="AD12" s="140"/>
      <c r="AE12" s="141"/>
      <c r="AF12" s="181">
        <v>1.0</v>
      </c>
      <c r="AG12" s="181">
        <v>1.0</v>
      </c>
      <c r="AH12" s="180"/>
      <c r="AI12" s="142"/>
      <c r="AJ12" s="142"/>
      <c r="AK12" s="135">
        <f t="shared" si="16"/>
        <v>3</v>
      </c>
      <c r="AL12" s="183">
        <f t="shared" si="17"/>
        <v>27.27272727</v>
      </c>
      <c r="AM12" s="203"/>
      <c r="AN12" s="203"/>
      <c r="AO12" s="138"/>
      <c r="AP12" s="138"/>
      <c r="AQ12" s="138"/>
      <c r="AR12" s="132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5">
        <f t="shared" si="18"/>
        <v>0</v>
      </c>
      <c r="BI12" s="186">
        <f t="shared" si="19"/>
        <v>0</v>
      </c>
      <c r="BJ12" s="138"/>
      <c r="BK12" s="132"/>
      <c r="BL12" s="138"/>
      <c r="BM12" s="151">
        <v>1.0</v>
      </c>
      <c r="BN12" s="138"/>
      <c r="BO12" s="138"/>
      <c r="BP12" s="138"/>
      <c r="BR12" s="140"/>
      <c r="BS12" s="187">
        <v>1.0</v>
      </c>
      <c r="BT12" s="152"/>
      <c r="BU12" s="152"/>
      <c r="BV12" s="152"/>
      <c r="BW12" s="189"/>
      <c r="BX12" s="189"/>
      <c r="BY12" s="189"/>
      <c r="BZ12" s="189"/>
      <c r="CA12" s="189"/>
      <c r="CB12" s="189"/>
      <c r="CC12" s="189"/>
      <c r="CD12" s="189"/>
      <c r="CE12" s="156">
        <f t="shared" si="20"/>
        <v>2</v>
      </c>
      <c r="CF12" s="190">
        <f t="shared" si="21"/>
        <v>25</v>
      </c>
      <c r="CG12" s="138"/>
      <c r="CH12" s="153"/>
      <c r="CI12" s="152"/>
      <c r="CJ12" s="192"/>
      <c r="CK12" s="192"/>
      <c r="CL12" s="192"/>
      <c r="CM12" s="192"/>
      <c r="CN12" s="152"/>
      <c r="CO12" s="32"/>
      <c r="CP12" s="32"/>
      <c r="CQ12" s="161"/>
      <c r="CR12" s="163">
        <f t="shared" si="22"/>
        <v>0</v>
      </c>
      <c r="CS12" s="194" t="str">
        <f t="shared" si="23"/>
        <v>#DIV/0!</v>
      </c>
      <c r="CT12" s="196"/>
      <c r="CU12" s="167">
        <f t="shared" si="24"/>
        <v>15.15151515</v>
      </c>
      <c r="CV12" s="169">
        <f t="shared" si="9"/>
        <v>5</v>
      </c>
      <c r="CW12" s="197"/>
    </row>
    <row r="13">
      <c r="A13" s="122">
        <v>4.0</v>
      </c>
      <c r="B13" s="173" t="s">
        <v>53</v>
      </c>
      <c r="C13" s="199" t="s">
        <v>54</v>
      </c>
      <c r="D13" s="125">
        <f t="shared" si="10"/>
        <v>17</v>
      </c>
      <c r="E13" s="127">
        <f t="shared" si="11"/>
        <v>51.51515152</v>
      </c>
      <c r="F13" s="200" t="str">
        <f t="shared" si="12"/>
        <v>  </v>
      </c>
      <c r="G13" s="177" t="str">
        <f t="shared" si="13"/>
        <v>  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4"/>
        <v>0</v>
      </c>
      <c r="S13" s="137">
        <f t="shared" si="15"/>
        <v>0</v>
      </c>
      <c r="T13" s="138"/>
      <c r="U13" s="138"/>
      <c r="V13" s="138"/>
      <c r="W13" s="132"/>
      <c r="X13" s="132"/>
      <c r="Y13" s="138"/>
      <c r="Z13" s="138"/>
      <c r="AA13" s="138"/>
      <c r="AB13" s="225">
        <v>1.0</v>
      </c>
      <c r="AC13" s="140"/>
      <c r="AD13" s="150">
        <v>1.0</v>
      </c>
      <c r="AE13" s="320">
        <v>1.0</v>
      </c>
      <c r="AF13" s="211">
        <v>1.0</v>
      </c>
      <c r="AG13" s="211">
        <v>1.0</v>
      </c>
      <c r="AH13" s="211">
        <v>1.0</v>
      </c>
      <c r="AI13" s="212"/>
      <c r="AJ13" s="212"/>
      <c r="AK13" s="135">
        <f t="shared" si="16"/>
        <v>6</v>
      </c>
      <c r="AL13" s="183">
        <f t="shared" si="17"/>
        <v>54.54545455</v>
      </c>
      <c r="AM13" s="214"/>
      <c r="AN13" s="214"/>
      <c r="AO13" s="209"/>
      <c r="AP13" s="138"/>
      <c r="AQ13" s="138"/>
      <c r="AR13" s="132"/>
      <c r="AS13" s="133"/>
      <c r="AT13" s="133"/>
      <c r="AU13" s="133"/>
      <c r="AV13" s="133"/>
      <c r="AW13" s="185">
        <v>1.0</v>
      </c>
      <c r="AX13" s="133"/>
      <c r="AY13" s="133"/>
      <c r="AZ13" s="133"/>
      <c r="BA13" s="133"/>
      <c r="BB13" s="133"/>
      <c r="BC13" s="133"/>
      <c r="BD13" s="185">
        <v>1.0</v>
      </c>
      <c r="BE13" s="133"/>
      <c r="BF13" s="133"/>
      <c r="BG13" s="185">
        <v>1.0</v>
      </c>
      <c r="BH13" s="135">
        <f t="shared" si="18"/>
        <v>3</v>
      </c>
      <c r="BI13" s="186">
        <f t="shared" si="19"/>
        <v>33.33333333</v>
      </c>
      <c r="BJ13" s="151">
        <v>1.0</v>
      </c>
      <c r="BK13" s="170">
        <v>1.0</v>
      </c>
      <c r="BL13" s="138"/>
      <c r="BM13" s="151">
        <v>1.0</v>
      </c>
      <c r="BN13" s="151">
        <v>1.0</v>
      </c>
      <c r="BO13" s="151">
        <v>1.0</v>
      </c>
      <c r="BP13" s="138"/>
      <c r="BR13" s="150">
        <v>1.0</v>
      </c>
      <c r="BS13" s="187">
        <v>1.0</v>
      </c>
      <c r="BT13" s="152"/>
      <c r="BU13" s="187">
        <v>1.0</v>
      </c>
      <c r="BV13" s="217"/>
      <c r="BW13" s="218"/>
      <c r="BX13" s="218"/>
      <c r="BY13" s="218"/>
      <c r="BZ13" s="218"/>
      <c r="CA13" s="218"/>
      <c r="CB13" s="218"/>
      <c r="CC13" s="218"/>
      <c r="CD13" s="218"/>
      <c r="CE13" s="156">
        <f t="shared" si="20"/>
        <v>8</v>
      </c>
      <c r="CF13" s="190">
        <f t="shared" si="21"/>
        <v>100</v>
      </c>
      <c r="CG13" s="209"/>
      <c r="CH13" s="153"/>
      <c r="CI13" s="217"/>
      <c r="CJ13" s="219"/>
      <c r="CK13" s="219"/>
      <c r="CL13" s="219"/>
      <c r="CM13" s="219"/>
      <c r="CN13" s="217"/>
      <c r="CO13" s="221"/>
      <c r="CP13" s="221"/>
      <c r="CQ13" s="161"/>
      <c r="CR13" s="163">
        <f t="shared" si="22"/>
        <v>0</v>
      </c>
      <c r="CS13" s="194" t="str">
        <f t="shared" si="23"/>
        <v>#DIV/0!</v>
      </c>
      <c r="CT13" s="222"/>
      <c r="CU13" s="167">
        <f t="shared" si="24"/>
        <v>51.51515152</v>
      </c>
      <c r="CV13" s="169">
        <f t="shared" si="9"/>
        <v>17</v>
      </c>
      <c r="CW13" s="197"/>
    </row>
    <row r="14">
      <c r="A14" s="172">
        <v>5.0</v>
      </c>
      <c r="B14" s="173" t="s">
        <v>55</v>
      </c>
      <c r="C14" s="199" t="s">
        <v>56</v>
      </c>
      <c r="D14" s="125">
        <f t="shared" si="10"/>
        <v>12</v>
      </c>
      <c r="E14" s="127">
        <f t="shared" si="11"/>
        <v>36.36363636</v>
      </c>
      <c r="F14" s="200">
        <f t="shared" si="12"/>
        <v>36.36363636</v>
      </c>
      <c r="G14" s="177" t="str">
        <f t="shared" si="13"/>
        <v>  </v>
      </c>
      <c r="H14" s="178"/>
      <c r="I14" s="223"/>
      <c r="J14" s="224"/>
      <c r="K14" s="224"/>
      <c r="L14" s="232">
        <v>1.0</v>
      </c>
      <c r="M14" s="224"/>
      <c r="N14" s="232">
        <v>1.0</v>
      </c>
      <c r="O14" s="224"/>
      <c r="P14" s="224"/>
      <c r="Q14" s="224"/>
      <c r="R14" s="135">
        <f t="shared" si="14"/>
        <v>2</v>
      </c>
      <c r="S14" s="137">
        <f t="shared" si="15"/>
        <v>40</v>
      </c>
      <c r="T14" s="138"/>
      <c r="U14" s="138"/>
      <c r="V14" s="138"/>
      <c r="W14" s="132"/>
      <c r="X14" s="132"/>
      <c r="Y14" s="151">
        <v>1.0</v>
      </c>
      <c r="Z14" s="151">
        <v>1.0</v>
      </c>
      <c r="AA14" s="138"/>
      <c r="AB14" s="235">
        <v>1.0</v>
      </c>
      <c r="AC14" s="140"/>
      <c r="AD14" s="150">
        <v>1.0</v>
      </c>
      <c r="AE14" s="141"/>
      <c r="AF14" s="226"/>
      <c r="AG14" s="226"/>
      <c r="AH14" s="238">
        <v>1.0</v>
      </c>
      <c r="AI14" s="218"/>
      <c r="AJ14" s="218"/>
      <c r="AK14" s="135">
        <f t="shared" si="16"/>
        <v>5</v>
      </c>
      <c r="AL14" s="183">
        <f t="shared" si="17"/>
        <v>45.45454545</v>
      </c>
      <c r="AM14" s="228"/>
      <c r="AN14" s="228"/>
      <c r="AO14" s="217"/>
      <c r="AP14" s="138"/>
      <c r="AQ14" s="138"/>
      <c r="AR14" s="132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85">
        <v>1.0</v>
      </c>
      <c r="BE14" s="133"/>
      <c r="BF14" s="133"/>
      <c r="BG14" s="133"/>
      <c r="BH14" s="135">
        <f t="shared" si="18"/>
        <v>1</v>
      </c>
      <c r="BI14" s="186">
        <f t="shared" si="19"/>
        <v>11.11111111</v>
      </c>
      <c r="BJ14" s="138"/>
      <c r="BK14" s="132"/>
      <c r="BL14" s="138"/>
      <c r="BM14" s="151">
        <v>1.0</v>
      </c>
      <c r="BN14" s="151">
        <v>1.0</v>
      </c>
      <c r="BO14" s="151">
        <v>1.0</v>
      </c>
      <c r="BP14" s="151">
        <v>1.0</v>
      </c>
      <c r="BR14" s="140"/>
      <c r="BS14" s="152"/>
      <c r="BT14" s="152"/>
      <c r="BU14" s="152"/>
      <c r="BV14" s="217"/>
      <c r="BW14" s="218"/>
      <c r="BX14" s="218"/>
      <c r="BY14" s="218"/>
      <c r="BZ14" s="218"/>
      <c r="CA14" s="218"/>
      <c r="CB14" s="218"/>
      <c r="CC14" s="218"/>
      <c r="CD14" s="218"/>
      <c r="CE14" s="156">
        <f t="shared" si="20"/>
        <v>4</v>
      </c>
      <c r="CF14" s="190">
        <f t="shared" si="21"/>
        <v>50</v>
      </c>
      <c r="CG14" s="217"/>
      <c r="CH14" s="153"/>
      <c r="CI14" s="217"/>
      <c r="CJ14" s="219"/>
      <c r="CK14" s="219"/>
      <c r="CL14" s="219"/>
      <c r="CM14" s="219"/>
      <c r="CN14" s="217"/>
      <c r="CO14" s="221"/>
      <c r="CP14" s="221"/>
      <c r="CQ14" s="161"/>
      <c r="CR14" s="163">
        <f t="shared" si="22"/>
        <v>0</v>
      </c>
      <c r="CS14" s="194" t="str">
        <f t="shared" si="23"/>
        <v>#DIV/0!</v>
      </c>
      <c r="CT14" s="196"/>
      <c r="CU14" s="167">
        <f t="shared" si="24"/>
        <v>36.36363636</v>
      </c>
      <c r="CV14" s="169">
        <f t="shared" si="9"/>
        <v>12</v>
      </c>
      <c r="CW14" s="197"/>
    </row>
    <row r="15">
      <c r="A15" s="122">
        <v>6.0</v>
      </c>
      <c r="B15" s="173" t="s">
        <v>57</v>
      </c>
      <c r="C15" s="199" t="s">
        <v>58</v>
      </c>
      <c r="D15" s="125">
        <f t="shared" si="10"/>
        <v>0</v>
      </c>
      <c r="E15" s="127">
        <f t="shared" si="11"/>
        <v>0</v>
      </c>
      <c r="F15" s="200">
        <f t="shared" si="12"/>
        <v>0</v>
      </c>
      <c r="G15" s="207">
        <f t="shared" si="13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4"/>
        <v>0</v>
      </c>
      <c r="S15" s="137">
        <f t="shared" si="15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2"/>
      <c r="AJ15" s="212"/>
      <c r="AK15" s="135">
        <f t="shared" si="16"/>
        <v>0</v>
      </c>
      <c r="AL15" s="183">
        <f t="shared" si="17"/>
        <v>0</v>
      </c>
      <c r="AM15" s="214"/>
      <c r="AN15" s="214"/>
      <c r="AO15" s="209"/>
      <c r="AP15" s="138"/>
      <c r="AQ15" s="138"/>
      <c r="AR15" s="132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5">
        <f t="shared" si="18"/>
        <v>0</v>
      </c>
      <c r="BI15" s="186">
        <f t="shared" si="19"/>
        <v>0</v>
      </c>
      <c r="BJ15" s="138"/>
      <c r="BK15" s="132"/>
      <c r="BL15" s="138"/>
      <c r="BM15" s="138"/>
      <c r="BN15" s="138"/>
      <c r="BO15" s="138"/>
      <c r="BP15" s="138"/>
      <c r="BR15" s="140"/>
      <c r="BS15" s="152"/>
      <c r="BT15" s="152"/>
      <c r="BU15" s="152"/>
      <c r="BV15" s="217"/>
      <c r="BW15" s="218"/>
      <c r="BX15" s="218"/>
      <c r="BY15" s="218"/>
      <c r="BZ15" s="218"/>
      <c r="CA15" s="218"/>
      <c r="CB15" s="218"/>
      <c r="CC15" s="218"/>
      <c r="CD15" s="218"/>
      <c r="CE15" s="156">
        <f t="shared" si="20"/>
        <v>0</v>
      </c>
      <c r="CF15" s="190">
        <f t="shared" si="21"/>
        <v>0</v>
      </c>
      <c r="CG15" s="209"/>
      <c r="CH15" s="153"/>
      <c r="CI15" s="217"/>
      <c r="CJ15" s="219"/>
      <c r="CK15" s="219"/>
      <c r="CL15" s="219"/>
      <c r="CM15" s="219"/>
      <c r="CN15" s="217"/>
      <c r="CO15" s="221"/>
      <c r="CP15" s="221"/>
      <c r="CQ15" s="161"/>
      <c r="CR15" s="163">
        <f t="shared" si="22"/>
        <v>0</v>
      </c>
      <c r="CS15" s="194" t="str">
        <f t="shared" si="23"/>
        <v>#DIV/0!</v>
      </c>
      <c r="CT15" s="196"/>
      <c r="CU15" s="167">
        <f t="shared" si="24"/>
        <v>0</v>
      </c>
      <c r="CV15" s="169">
        <f t="shared" si="9"/>
        <v>0</v>
      </c>
      <c r="CW15" s="197"/>
    </row>
    <row r="16">
      <c r="A16" s="122">
        <v>7.0</v>
      </c>
      <c r="B16" s="173" t="s">
        <v>59</v>
      </c>
      <c r="C16" s="199" t="s">
        <v>60</v>
      </c>
      <c r="D16" s="125">
        <f t="shared" si="10"/>
        <v>8</v>
      </c>
      <c r="E16" s="127">
        <f t="shared" si="11"/>
        <v>24.24242424</v>
      </c>
      <c r="F16" s="200">
        <f t="shared" si="12"/>
        <v>24.24242424</v>
      </c>
      <c r="G16" s="207">
        <f t="shared" si="13"/>
        <v>24.24242424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4"/>
        <v>0</v>
      </c>
      <c r="S16" s="137">
        <f t="shared" si="15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6">
        <v>1.0</v>
      </c>
      <c r="AH16" s="234"/>
      <c r="AI16" s="239"/>
      <c r="AJ16" s="239"/>
      <c r="AK16" s="135">
        <f t="shared" si="16"/>
        <v>1</v>
      </c>
      <c r="AL16" s="183">
        <f t="shared" si="17"/>
        <v>9.090909091</v>
      </c>
      <c r="AM16" s="241"/>
      <c r="AN16" s="241"/>
      <c r="AO16" s="233"/>
      <c r="AP16" s="138"/>
      <c r="AQ16" s="138"/>
      <c r="AR16" s="132"/>
      <c r="AS16" s="133"/>
      <c r="AT16" s="133"/>
      <c r="AU16" s="133"/>
      <c r="AV16" s="133"/>
      <c r="AW16" s="133"/>
      <c r="AX16" s="133"/>
      <c r="AY16" s="133"/>
      <c r="AZ16" s="133"/>
      <c r="BA16" s="185">
        <v>1.0</v>
      </c>
      <c r="BB16" s="133"/>
      <c r="BC16" s="133"/>
      <c r="BD16" s="133"/>
      <c r="BE16" s="133"/>
      <c r="BF16" s="133"/>
      <c r="BG16" s="185">
        <v>1.0</v>
      </c>
      <c r="BH16" s="135">
        <f t="shared" si="18"/>
        <v>2</v>
      </c>
      <c r="BI16" s="186">
        <f t="shared" si="19"/>
        <v>22.22222222</v>
      </c>
      <c r="BJ16" s="138"/>
      <c r="BK16" s="132"/>
      <c r="BL16" s="138"/>
      <c r="BM16" s="151">
        <v>1.0</v>
      </c>
      <c r="BN16" s="151">
        <v>1.0</v>
      </c>
      <c r="BO16" s="151">
        <v>1.0</v>
      </c>
      <c r="BP16" s="138"/>
      <c r="BR16" s="140"/>
      <c r="BS16" s="187">
        <v>1.0</v>
      </c>
      <c r="BT16" s="152"/>
      <c r="BU16" s="187">
        <v>1.0</v>
      </c>
      <c r="BV16" s="217"/>
      <c r="BW16" s="218"/>
      <c r="BX16" s="218"/>
      <c r="BY16" s="218"/>
      <c r="BZ16" s="218"/>
      <c r="CA16" s="218"/>
      <c r="CB16" s="218"/>
      <c r="CC16" s="218"/>
      <c r="CD16" s="218"/>
      <c r="CE16" s="156">
        <f t="shared" si="20"/>
        <v>5</v>
      </c>
      <c r="CF16" s="190">
        <f t="shared" si="21"/>
        <v>62.5</v>
      </c>
      <c r="CG16" s="233"/>
      <c r="CH16" s="153"/>
      <c r="CI16" s="217"/>
      <c r="CJ16" s="219"/>
      <c r="CK16" s="219"/>
      <c r="CL16" s="219"/>
      <c r="CM16" s="219"/>
      <c r="CN16" s="217"/>
      <c r="CO16" s="221"/>
      <c r="CP16" s="221"/>
      <c r="CQ16" s="161"/>
      <c r="CR16" s="163">
        <f t="shared" si="22"/>
        <v>0</v>
      </c>
      <c r="CS16" s="194" t="str">
        <f t="shared" si="23"/>
        <v>#DIV/0!</v>
      </c>
      <c r="CT16" s="196"/>
      <c r="CU16" s="167">
        <f t="shared" si="24"/>
        <v>24.24242424</v>
      </c>
      <c r="CV16" s="169">
        <f t="shared" si="9"/>
        <v>8</v>
      </c>
      <c r="CW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10"/>
        <v>13</v>
      </c>
      <c r="E17" s="127">
        <f t="shared" si="11"/>
        <v>39.39393939</v>
      </c>
      <c r="F17" s="200">
        <f t="shared" si="12"/>
        <v>39.39393939</v>
      </c>
      <c r="G17" s="177" t="str">
        <f t="shared" si="13"/>
        <v>  </v>
      </c>
      <c r="H17" s="132"/>
      <c r="I17" s="178"/>
      <c r="J17" s="179"/>
      <c r="K17" s="179"/>
      <c r="L17" s="191">
        <v>1.0</v>
      </c>
      <c r="M17" s="179"/>
      <c r="N17" s="191">
        <v>1.0</v>
      </c>
      <c r="O17" s="179"/>
      <c r="P17" s="179"/>
      <c r="Q17" s="179"/>
      <c r="R17" s="135">
        <f t="shared" si="14"/>
        <v>2</v>
      </c>
      <c r="S17" s="137">
        <f t="shared" si="15"/>
        <v>40</v>
      </c>
      <c r="T17" s="138"/>
      <c r="U17" s="138"/>
      <c r="V17" s="138"/>
      <c r="W17" s="132"/>
      <c r="X17" s="132"/>
      <c r="Y17" s="151">
        <v>1.0</v>
      </c>
      <c r="Z17" s="151">
        <v>1.0</v>
      </c>
      <c r="AA17" s="138"/>
      <c r="AB17" s="235">
        <v>1.0</v>
      </c>
      <c r="AC17" s="140"/>
      <c r="AD17" s="150">
        <v>1.0</v>
      </c>
      <c r="AE17" s="141"/>
      <c r="AF17" s="226"/>
      <c r="AG17" s="226"/>
      <c r="AH17" s="238">
        <v>1.0</v>
      </c>
      <c r="AI17" s="218"/>
      <c r="AJ17" s="218"/>
      <c r="AK17" s="135">
        <f t="shared" si="16"/>
        <v>5</v>
      </c>
      <c r="AL17" s="183">
        <f t="shared" si="17"/>
        <v>45.45454545</v>
      </c>
      <c r="AM17" s="228"/>
      <c r="AN17" s="228"/>
      <c r="AO17" s="217"/>
      <c r="AP17" s="138"/>
      <c r="AQ17" s="138"/>
      <c r="AR17" s="132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85">
        <v>1.0</v>
      </c>
      <c r="BE17" s="133"/>
      <c r="BF17" s="133"/>
      <c r="BG17" s="133"/>
      <c r="BH17" s="135">
        <f t="shared" si="18"/>
        <v>1</v>
      </c>
      <c r="BI17" s="186">
        <f t="shared" si="19"/>
        <v>11.11111111</v>
      </c>
      <c r="BJ17" s="151">
        <v>1.0</v>
      </c>
      <c r="BK17" s="170">
        <v>1.0</v>
      </c>
      <c r="BL17" s="138"/>
      <c r="BM17" s="151">
        <v>1.0</v>
      </c>
      <c r="BN17" s="151">
        <v>1.0</v>
      </c>
      <c r="BO17" s="138"/>
      <c r="BP17" s="151">
        <v>1.0</v>
      </c>
      <c r="BR17" s="140"/>
      <c r="BS17" s="152"/>
      <c r="BT17" s="152"/>
      <c r="BU17" s="152"/>
      <c r="BV17" s="217"/>
      <c r="BW17" s="218"/>
      <c r="BX17" s="218"/>
      <c r="BY17" s="218"/>
      <c r="BZ17" s="218"/>
      <c r="CA17" s="218"/>
      <c r="CB17" s="218"/>
      <c r="CC17" s="218"/>
      <c r="CD17" s="218"/>
      <c r="CE17" s="156">
        <f t="shared" si="20"/>
        <v>5</v>
      </c>
      <c r="CF17" s="190">
        <f t="shared" si="21"/>
        <v>62.5</v>
      </c>
      <c r="CG17" s="217"/>
      <c r="CH17" s="153"/>
      <c r="CI17" s="217"/>
      <c r="CJ17" s="219"/>
      <c r="CK17" s="219"/>
      <c r="CL17" s="219"/>
      <c r="CM17" s="219"/>
      <c r="CN17" s="217"/>
      <c r="CO17" s="221"/>
      <c r="CP17" s="221"/>
      <c r="CQ17" s="161"/>
      <c r="CR17" s="163">
        <f t="shared" si="22"/>
        <v>0</v>
      </c>
      <c r="CS17" s="194" t="str">
        <f t="shared" si="23"/>
        <v>#DIV/0!</v>
      </c>
      <c r="CT17" s="196"/>
      <c r="CU17" s="167">
        <f t="shared" si="24"/>
        <v>39.39393939</v>
      </c>
      <c r="CV17" s="169">
        <f t="shared" si="9"/>
        <v>13</v>
      </c>
      <c r="CW17" s="197"/>
    </row>
    <row r="18">
      <c r="A18" s="122">
        <v>9.0</v>
      </c>
      <c r="B18" s="173" t="s">
        <v>63</v>
      </c>
      <c r="C18" s="199" t="s">
        <v>64</v>
      </c>
      <c r="D18" s="125">
        <f t="shared" si="10"/>
        <v>11</v>
      </c>
      <c r="E18" s="127">
        <f t="shared" si="11"/>
        <v>33.33333333</v>
      </c>
      <c r="F18" s="200">
        <f t="shared" si="12"/>
        <v>33.33333333</v>
      </c>
      <c r="G18" s="177" t="str">
        <f t="shared" si="13"/>
        <v>  </v>
      </c>
      <c r="H18" s="132"/>
      <c r="I18" s="132"/>
      <c r="J18" s="201"/>
      <c r="K18" s="201"/>
      <c r="L18" s="245">
        <v>1.0</v>
      </c>
      <c r="M18" s="201"/>
      <c r="N18" s="245">
        <v>1.0</v>
      </c>
      <c r="O18" s="201"/>
      <c r="P18" s="201"/>
      <c r="Q18" s="201"/>
      <c r="R18" s="135">
        <f t="shared" si="14"/>
        <v>2</v>
      </c>
      <c r="S18" s="137">
        <f t="shared" si="15"/>
        <v>40</v>
      </c>
      <c r="T18" s="138"/>
      <c r="U18" s="138"/>
      <c r="V18" s="138"/>
      <c r="W18" s="132"/>
      <c r="X18" s="132"/>
      <c r="Y18" s="138"/>
      <c r="Z18" s="138"/>
      <c r="AA18" s="138"/>
      <c r="AB18" s="225">
        <v>1.0</v>
      </c>
      <c r="AC18" s="140"/>
      <c r="AD18" s="140"/>
      <c r="AE18" s="141"/>
      <c r="AF18" s="210"/>
      <c r="AG18" s="210"/>
      <c r="AH18" s="211">
        <v>1.0</v>
      </c>
      <c r="AI18" s="212"/>
      <c r="AJ18" s="212"/>
      <c r="AK18" s="135">
        <f t="shared" si="16"/>
        <v>2</v>
      </c>
      <c r="AL18" s="183">
        <f t="shared" si="17"/>
        <v>18.18181818</v>
      </c>
      <c r="AM18" s="214"/>
      <c r="AN18" s="214"/>
      <c r="AO18" s="209"/>
      <c r="AP18" s="138"/>
      <c r="AQ18" s="138"/>
      <c r="AR18" s="132"/>
      <c r="AS18" s="133"/>
      <c r="AT18" s="133"/>
      <c r="AU18" s="133"/>
      <c r="AV18" s="133"/>
      <c r="AW18" s="185">
        <v>1.0</v>
      </c>
      <c r="AX18" s="133"/>
      <c r="AY18" s="133"/>
      <c r="AZ18" s="133"/>
      <c r="BA18" s="133"/>
      <c r="BB18" s="133"/>
      <c r="BC18" s="133"/>
      <c r="BD18" s="185">
        <v>1.0</v>
      </c>
      <c r="BE18" s="133"/>
      <c r="BF18" s="185">
        <v>1.0</v>
      </c>
      <c r="BG18" s="185">
        <v>1.0</v>
      </c>
      <c r="BH18" s="135">
        <f t="shared" si="18"/>
        <v>4</v>
      </c>
      <c r="BI18" s="186">
        <f t="shared" si="19"/>
        <v>44.44444444</v>
      </c>
      <c r="BJ18" s="138"/>
      <c r="BK18" s="132"/>
      <c r="BL18" s="138"/>
      <c r="BM18" s="138"/>
      <c r="BN18" s="151">
        <v>1.0</v>
      </c>
      <c r="BO18" s="151">
        <v>1.0</v>
      </c>
      <c r="BP18" s="151">
        <v>1.0</v>
      </c>
      <c r="BR18" s="140"/>
      <c r="BS18" s="152"/>
      <c r="BT18" s="152"/>
      <c r="BU18" s="152"/>
      <c r="BV18" s="217"/>
      <c r="BW18" s="218"/>
      <c r="BX18" s="218"/>
      <c r="BY18" s="218"/>
      <c r="BZ18" s="218"/>
      <c r="CA18" s="218"/>
      <c r="CB18" s="218"/>
      <c r="CC18" s="218"/>
      <c r="CD18" s="218"/>
      <c r="CE18" s="156">
        <f t="shared" si="20"/>
        <v>3</v>
      </c>
      <c r="CF18" s="190">
        <f t="shared" si="21"/>
        <v>37.5</v>
      </c>
      <c r="CG18" s="209"/>
      <c r="CH18" s="153"/>
      <c r="CI18" s="217"/>
      <c r="CJ18" s="219"/>
      <c r="CK18" s="219"/>
      <c r="CL18" s="219"/>
      <c r="CM18" s="219"/>
      <c r="CN18" s="217"/>
      <c r="CO18" s="221"/>
      <c r="CP18" s="221"/>
      <c r="CQ18" s="161"/>
      <c r="CR18" s="163">
        <f t="shared" si="22"/>
        <v>0</v>
      </c>
      <c r="CS18" s="194" t="str">
        <f t="shared" si="23"/>
        <v>#DIV/0!</v>
      </c>
      <c r="CT18" s="196"/>
      <c r="CU18" s="167">
        <f t="shared" si="24"/>
        <v>33.33333333</v>
      </c>
      <c r="CV18" s="169">
        <f t="shared" si="9"/>
        <v>11</v>
      </c>
      <c r="CW18" s="197"/>
    </row>
    <row r="19">
      <c r="A19" s="122">
        <v>10.0</v>
      </c>
      <c r="B19" s="173" t="s">
        <v>65</v>
      </c>
      <c r="C19" s="199" t="s">
        <v>66</v>
      </c>
      <c r="D19" s="125">
        <f t="shared" si="10"/>
        <v>8</v>
      </c>
      <c r="E19" s="127">
        <f t="shared" si="11"/>
        <v>24.24242424</v>
      </c>
      <c r="F19" s="200">
        <f t="shared" si="12"/>
        <v>24.24242424</v>
      </c>
      <c r="G19" s="207">
        <f t="shared" si="13"/>
        <v>24.24242424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4"/>
        <v>0</v>
      </c>
      <c r="S19" s="137">
        <f t="shared" si="15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50">
        <v>1.0</v>
      </c>
      <c r="AE19" s="141"/>
      <c r="AF19" s="226"/>
      <c r="AG19" s="238">
        <v>1.0</v>
      </c>
      <c r="AH19" s="226"/>
      <c r="AI19" s="218"/>
      <c r="AJ19" s="218"/>
      <c r="AK19" s="135">
        <f t="shared" si="16"/>
        <v>2</v>
      </c>
      <c r="AL19" s="183">
        <f t="shared" si="17"/>
        <v>18.18181818</v>
      </c>
      <c r="AM19" s="228"/>
      <c r="AN19" s="228"/>
      <c r="AO19" s="217"/>
      <c r="AP19" s="138"/>
      <c r="AQ19" s="138"/>
      <c r="AR19" s="132"/>
      <c r="AS19" s="133"/>
      <c r="AT19" s="133"/>
      <c r="AU19" s="133"/>
      <c r="AV19" s="133"/>
      <c r="AW19" s="133"/>
      <c r="AX19" s="133"/>
      <c r="AY19" s="185">
        <v>1.0</v>
      </c>
      <c r="AZ19" s="185">
        <v>1.0</v>
      </c>
      <c r="BA19" s="133"/>
      <c r="BB19" s="133"/>
      <c r="BC19" s="133"/>
      <c r="BD19" s="185">
        <v>1.0</v>
      </c>
      <c r="BE19" s="133"/>
      <c r="BF19" s="133"/>
      <c r="BG19" s="185">
        <v>1.0</v>
      </c>
      <c r="BH19" s="135">
        <f t="shared" si="18"/>
        <v>4</v>
      </c>
      <c r="BI19" s="186">
        <f t="shared" si="19"/>
        <v>44.44444444</v>
      </c>
      <c r="BJ19" s="138"/>
      <c r="BK19" s="132"/>
      <c r="BL19" s="138"/>
      <c r="BM19" s="151">
        <v>1.0</v>
      </c>
      <c r="BN19" s="138"/>
      <c r="BO19" s="138"/>
      <c r="BP19" s="138"/>
      <c r="BR19" s="140"/>
      <c r="BS19" s="152"/>
      <c r="BT19" s="152"/>
      <c r="BU19" s="187">
        <v>1.0</v>
      </c>
      <c r="BV19" s="217"/>
      <c r="BW19" s="218"/>
      <c r="BX19" s="218"/>
      <c r="BY19" s="218"/>
      <c r="BZ19" s="218"/>
      <c r="CA19" s="218"/>
      <c r="CB19" s="218"/>
      <c r="CC19" s="218"/>
      <c r="CD19" s="218"/>
      <c r="CE19" s="156">
        <f t="shared" si="20"/>
        <v>2</v>
      </c>
      <c r="CF19" s="190">
        <f t="shared" si="21"/>
        <v>25</v>
      </c>
      <c r="CG19" s="217"/>
      <c r="CH19" s="153"/>
      <c r="CI19" s="217"/>
      <c r="CJ19" s="219"/>
      <c r="CK19" s="219"/>
      <c r="CL19" s="219"/>
      <c r="CM19" s="219"/>
      <c r="CN19" s="217"/>
      <c r="CO19" s="221"/>
      <c r="CP19" s="221"/>
      <c r="CQ19" s="161"/>
      <c r="CR19" s="163">
        <f t="shared" si="22"/>
        <v>0</v>
      </c>
      <c r="CS19" s="194" t="str">
        <f t="shared" si="23"/>
        <v>#DIV/0!</v>
      </c>
      <c r="CT19" s="196"/>
      <c r="CU19" s="167">
        <f t="shared" si="24"/>
        <v>24.24242424</v>
      </c>
      <c r="CV19" s="169">
        <f t="shared" si="9"/>
        <v>8</v>
      </c>
      <c r="CW19" s="197"/>
    </row>
    <row r="20">
      <c r="A20" s="172">
        <v>11.0</v>
      </c>
      <c r="B20" s="173" t="s">
        <v>67</v>
      </c>
      <c r="C20" s="199" t="s">
        <v>68</v>
      </c>
      <c r="D20" s="125">
        <f t="shared" si="10"/>
        <v>10</v>
      </c>
      <c r="E20" s="127">
        <f t="shared" si="11"/>
        <v>30.3030303</v>
      </c>
      <c r="F20" s="200">
        <f t="shared" si="12"/>
        <v>30.3030303</v>
      </c>
      <c r="G20" s="177" t="str">
        <f t="shared" si="13"/>
        <v>  </v>
      </c>
      <c r="H20" s="132"/>
      <c r="I20" s="132"/>
      <c r="J20" s="201"/>
      <c r="K20" s="201"/>
      <c r="L20" s="201"/>
      <c r="M20" s="201"/>
      <c r="N20" s="245">
        <v>1.0</v>
      </c>
      <c r="O20" s="201"/>
      <c r="P20" s="201"/>
      <c r="Q20" s="201"/>
      <c r="R20" s="135">
        <f t="shared" si="14"/>
        <v>1</v>
      </c>
      <c r="S20" s="137">
        <f t="shared" si="15"/>
        <v>20</v>
      </c>
      <c r="T20" s="138"/>
      <c r="U20" s="138"/>
      <c r="V20" s="138"/>
      <c r="W20" s="132"/>
      <c r="X20" s="132"/>
      <c r="Y20" s="138"/>
      <c r="Z20" s="138"/>
      <c r="AA20" s="138"/>
      <c r="AB20" s="225">
        <v>1.0</v>
      </c>
      <c r="AC20" s="140"/>
      <c r="AD20" s="150">
        <v>1.0</v>
      </c>
      <c r="AE20" s="141"/>
      <c r="AF20" s="210"/>
      <c r="AG20" s="210"/>
      <c r="AH20" s="211">
        <v>1.0</v>
      </c>
      <c r="AI20" s="212"/>
      <c r="AJ20" s="212"/>
      <c r="AK20" s="135">
        <f t="shared" si="16"/>
        <v>3</v>
      </c>
      <c r="AL20" s="183">
        <f t="shared" si="17"/>
        <v>27.27272727</v>
      </c>
      <c r="AM20" s="214"/>
      <c r="AN20" s="214"/>
      <c r="AO20" s="209"/>
      <c r="AP20" s="138"/>
      <c r="AQ20" s="138"/>
      <c r="AR20" s="132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85">
        <v>1.0</v>
      </c>
      <c r="BE20" s="133"/>
      <c r="BF20" s="133"/>
      <c r="BG20" s="185">
        <v>1.0</v>
      </c>
      <c r="BH20" s="135">
        <f t="shared" si="18"/>
        <v>2</v>
      </c>
      <c r="BI20" s="186">
        <f t="shared" si="19"/>
        <v>22.22222222</v>
      </c>
      <c r="BJ20" s="138"/>
      <c r="BK20" s="132"/>
      <c r="BL20" s="138"/>
      <c r="BM20" s="151">
        <v>1.0</v>
      </c>
      <c r="BN20" s="151">
        <v>1.0</v>
      </c>
      <c r="BO20" s="151">
        <v>1.0</v>
      </c>
      <c r="BP20" s="138"/>
      <c r="BR20" s="150">
        <v>1.0</v>
      </c>
      <c r="BS20" s="152"/>
      <c r="BT20" s="152"/>
      <c r="BU20" s="152"/>
      <c r="BV20" s="217"/>
      <c r="BW20" s="218"/>
      <c r="BX20" s="218"/>
      <c r="BY20" s="218"/>
      <c r="BZ20" s="218"/>
      <c r="CA20" s="218"/>
      <c r="CB20" s="218"/>
      <c r="CC20" s="218"/>
      <c r="CD20" s="218"/>
      <c r="CE20" s="156">
        <f t="shared" si="20"/>
        <v>4</v>
      </c>
      <c r="CF20" s="190">
        <f t="shared" si="21"/>
        <v>50</v>
      </c>
      <c r="CG20" s="209"/>
      <c r="CH20" s="153"/>
      <c r="CI20" s="217"/>
      <c r="CJ20" s="219"/>
      <c r="CK20" s="219"/>
      <c r="CL20" s="219"/>
      <c r="CM20" s="219"/>
      <c r="CN20" s="217"/>
      <c r="CO20" s="221"/>
      <c r="CP20" s="221"/>
      <c r="CQ20" s="161"/>
      <c r="CR20" s="163">
        <f t="shared" si="22"/>
        <v>0</v>
      </c>
      <c r="CS20" s="194" t="str">
        <f t="shared" si="23"/>
        <v>#DIV/0!</v>
      </c>
      <c r="CT20" s="196"/>
      <c r="CU20" s="167">
        <f t="shared" si="24"/>
        <v>30.3030303</v>
      </c>
      <c r="CV20" s="169">
        <f t="shared" si="9"/>
        <v>10</v>
      </c>
      <c r="CW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10"/>
        <v>10</v>
      </c>
      <c r="E21" s="127">
        <f t="shared" si="11"/>
        <v>30.3030303</v>
      </c>
      <c r="F21" s="200">
        <f t="shared" si="12"/>
        <v>30.3030303</v>
      </c>
      <c r="G21" s="177" t="str">
        <f t="shared" si="13"/>
        <v>  </v>
      </c>
      <c r="H21" s="178"/>
      <c r="I21" s="132"/>
      <c r="J21" s="201"/>
      <c r="K21" s="201"/>
      <c r="L21" s="245">
        <v>1.0</v>
      </c>
      <c r="M21" s="201"/>
      <c r="N21" s="245">
        <v>1.0</v>
      </c>
      <c r="O21" s="201"/>
      <c r="P21" s="201"/>
      <c r="Q21" s="201"/>
      <c r="R21" s="135">
        <f t="shared" si="14"/>
        <v>2</v>
      </c>
      <c r="S21" s="137">
        <f t="shared" si="15"/>
        <v>40</v>
      </c>
      <c r="T21" s="138"/>
      <c r="U21" s="138"/>
      <c r="V21" s="138"/>
      <c r="W21" s="132"/>
      <c r="X21" s="132"/>
      <c r="Y21" s="138"/>
      <c r="Z21" s="138"/>
      <c r="AA21" s="138"/>
      <c r="AB21" s="225">
        <v>1.0</v>
      </c>
      <c r="AC21" s="140"/>
      <c r="AD21" s="140"/>
      <c r="AE21" s="141"/>
      <c r="AF21" s="210"/>
      <c r="AG21" s="210"/>
      <c r="AH21" s="210"/>
      <c r="AI21" s="212"/>
      <c r="AJ21" s="212"/>
      <c r="AK21" s="135">
        <f t="shared" si="16"/>
        <v>1</v>
      </c>
      <c r="AL21" s="183">
        <f t="shared" si="17"/>
        <v>9.090909091</v>
      </c>
      <c r="AM21" s="214"/>
      <c r="AN21" s="214"/>
      <c r="AO21" s="209"/>
      <c r="AP21" s="138"/>
      <c r="AQ21" s="138"/>
      <c r="AR21" s="132"/>
      <c r="AS21" s="133"/>
      <c r="AT21" s="133"/>
      <c r="AU21" s="133"/>
      <c r="AV21" s="133"/>
      <c r="AW21" s="185">
        <v>1.0</v>
      </c>
      <c r="AX21" s="133"/>
      <c r="AY21" s="133"/>
      <c r="AZ21" s="133"/>
      <c r="BA21" s="133"/>
      <c r="BB21" s="133"/>
      <c r="BC21" s="133"/>
      <c r="BD21" s="185">
        <v>1.0</v>
      </c>
      <c r="BE21" s="133"/>
      <c r="BF21" s="185">
        <v>1.0</v>
      </c>
      <c r="BG21" s="185">
        <v>1.0</v>
      </c>
      <c r="BH21" s="135">
        <f t="shared" si="18"/>
        <v>4</v>
      </c>
      <c r="BI21" s="186">
        <f t="shared" si="19"/>
        <v>44.44444444</v>
      </c>
      <c r="BJ21" s="138"/>
      <c r="BK21" s="132"/>
      <c r="BL21" s="138"/>
      <c r="BM21" s="138"/>
      <c r="BN21" s="151">
        <v>1.0</v>
      </c>
      <c r="BO21" s="151">
        <v>1.0</v>
      </c>
      <c r="BP21" s="151">
        <v>1.0</v>
      </c>
      <c r="BR21" s="140"/>
      <c r="BS21" s="152"/>
      <c r="BT21" s="152"/>
      <c r="BU21" s="152"/>
      <c r="BV21" s="217"/>
      <c r="BW21" s="218"/>
      <c r="BX21" s="218"/>
      <c r="BY21" s="218"/>
      <c r="BZ21" s="218"/>
      <c r="CA21" s="218"/>
      <c r="CB21" s="218"/>
      <c r="CC21" s="218"/>
      <c r="CD21" s="218"/>
      <c r="CE21" s="156">
        <f t="shared" si="20"/>
        <v>3</v>
      </c>
      <c r="CF21" s="190">
        <f t="shared" si="21"/>
        <v>37.5</v>
      </c>
      <c r="CG21" s="209"/>
      <c r="CH21" s="153"/>
      <c r="CI21" s="217"/>
      <c r="CJ21" s="219"/>
      <c r="CK21" s="219"/>
      <c r="CL21" s="219"/>
      <c r="CM21" s="219"/>
      <c r="CN21" s="217"/>
      <c r="CO21" s="221"/>
      <c r="CP21" s="221"/>
      <c r="CQ21" s="161"/>
      <c r="CR21" s="163">
        <f t="shared" si="22"/>
        <v>0</v>
      </c>
      <c r="CS21" s="194" t="str">
        <f t="shared" si="23"/>
        <v>#DIV/0!</v>
      </c>
      <c r="CT21" s="196"/>
      <c r="CU21" s="167">
        <f t="shared" si="24"/>
        <v>30.3030303</v>
      </c>
      <c r="CV21" s="169">
        <f t="shared" si="9"/>
        <v>10</v>
      </c>
      <c r="CW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10"/>
        <v>12</v>
      </c>
      <c r="E22" s="127">
        <f t="shared" si="11"/>
        <v>36.36363636</v>
      </c>
      <c r="F22" s="200">
        <f t="shared" si="12"/>
        <v>36.36363636</v>
      </c>
      <c r="G22" s="177" t="str">
        <f t="shared" si="13"/>
        <v>  </v>
      </c>
      <c r="H22" s="132"/>
      <c r="I22" s="178"/>
      <c r="J22" s="179"/>
      <c r="K22" s="179"/>
      <c r="L22" s="191">
        <v>1.0</v>
      </c>
      <c r="M22" s="179"/>
      <c r="N22" s="191">
        <v>1.0</v>
      </c>
      <c r="O22" s="179"/>
      <c r="P22" s="179"/>
      <c r="Q22" s="179"/>
      <c r="R22" s="135">
        <f t="shared" si="14"/>
        <v>2</v>
      </c>
      <c r="S22" s="137">
        <f t="shared" si="15"/>
        <v>40</v>
      </c>
      <c r="T22" s="138"/>
      <c r="U22" s="138"/>
      <c r="V22" s="138"/>
      <c r="W22" s="132"/>
      <c r="X22" s="132"/>
      <c r="Y22" s="138"/>
      <c r="Z22" s="138"/>
      <c r="AA22" s="138"/>
      <c r="AB22" s="225">
        <v>1.0</v>
      </c>
      <c r="AC22" s="140"/>
      <c r="AD22" s="140"/>
      <c r="AE22" s="141"/>
      <c r="AF22" s="210"/>
      <c r="AG22" s="211">
        <v>1.0</v>
      </c>
      <c r="AH22" s="211">
        <v>1.0</v>
      </c>
      <c r="AI22" s="212"/>
      <c r="AJ22" s="212"/>
      <c r="AK22" s="135">
        <f t="shared" si="16"/>
        <v>3</v>
      </c>
      <c r="AL22" s="183">
        <f t="shared" si="17"/>
        <v>27.27272727</v>
      </c>
      <c r="AM22" s="214"/>
      <c r="AN22" s="214"/>
      <c r="AO22" s="209"/>
      <c r="AP22" s="138"/>
      <c r="AQ22" s="138"/>
      <c r="AR22" s="132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85">
        <v>1.0</v>
      </c>
      <c r="BE22" s="133"/>
      <c r="BF22" s="185">
        <v>1.0</v>
      </c>
      <c r="BG22" s="133"/>
      <c r="BH22" s="135">
        <f t="shared" si="18"/>
        <v>2</v>
      </c>
      <c r="BI22" s="186">
        <f t="shared" si="19"/>
        <v>22.22222222</v>
      </c>
      <c r="BJ22" s="138"/>
      <c r="BK22" s="170">
        <v>1.0</v>
      </c>
      <c r="BL22" s="138"/>
      <c r="BM22" s="151">
        <v>1.0</v>
      </c>
      <c r="BN22" s="151">
        <v>1.0</v>
      </c>
      <c r="BO22" s="151">
        <v>1.0</v>
      </c>
      <c r="BP22" s="151">
        <v>1.0</v>
      </c>
      <c r="BR22" s="140"/>
      <c r="BS22" s="152"/>
      <c r="BT22" s="152"/>
      <c r="BU22" s="152"/>
      <c r="BV22" s="217"/>
      <c r="BW22" s="218"/>
      <c r="BX22" s="218"/>
      <c r="BY22" s="218"/>
      <c r="BZ22" s="218"/>
      <c r="CA22" s="218"/>
      <c r="CB22" s="218"/>
      <c r="CC22" s="218"/>
      <c r="CD22" s="218"/>
      <c r="CE22" s="156">
        <f t="shared" si="20"/>
        <v>5</v>
      </c>
      <c r="CF22" s="190">
        <f t="shared" si="21"/>
        <v>62.5</v>
      </c>
      <c r="CG22" s="209"/>
      <c r="CH22" s="153"/>
      <c r="CI22" s="217"/>
      <c r="CJ22" s="219"/>
      <c r="CK22" s="219"/>
      <c r="CL22" s="219"/>
      <c r="CM22" s="219"/>
      <c r="CN22" s="217"/>
      <c r="CO22" s="221"/>
      <c r="CP22" s="221"/>
      <c r="CQ22" s="161"/>
      <c r="CR22" s="163">
        <f t="shared" si="22"/>
        <v>0</v>
      </c>
      <c r="CS22" s="194" t="str">
        <f t="shared" si="23"/>
        <v>#DIV/0!</v>
      </c>
      <c r="CT22" s="196"/>
      <c r="CU22" s="167">
        <f t="shared" si="24"/>
        <v>36.36363636</v>
      </c>
      <c r="CV22" s="169">
        <f t="shared" si="9"/>
        <v>12</v>
      </c>
      <c r="CW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10"/>
        <v>6</v>
      </c>
      <c r="E23" s="127">
        <f t="shared" si="11"/>
        <v>18.18181818</v>
      </c>
      <c r="F23" s="200">
        <f t="shared" si="12"/>
        <v>18.18181818</v>
      </c>
      <c r="G23" s="207">
        <f t="shared" si="13"/>
        <v>18.18181818</v>
      </c>
      <c r="H23" s="132"/>
      <c r="I23" s="132"/>
      <c r="J23" s="201"/>
      <c r="K23" s="201"/>
      <c r="L23" s="245">
        <v>1.0</v>
      </c>
      <c r="M23" s="201"/>
      <c r="N23" s="201"/>
      <c r="O23" s="201"/>
      <c r="P23" s="201"/>
      <c r="Q23" s="201"/>
      <c r="R23" s="135">
        <f t="shared" si="14"/>
        <v>1</v>
      </c>
      <c r="S23" s="137">
        <f t="shared" si="15"/>
        <v>20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1">
        <v>1.0</v>
      </c>
      <c r="AI23" s="212"/>
      <c r="AJ23" s="212"/>
      <c r="AK23" s="135">
        <f t="shared" si="16"/>
        <v>1</v>
      </c>
      <c r="AL23" s="183">
        <f t="shared" si="17"/>
        <v>9.090909091</v>
      </c>
      <c r="AM23" s="214"/>
      <c r="AN23" s="214"/>
      <c r="AO23" s="209"/>
      <c r="AP23" s="138"/>
      <c r="AQ23" s="138"/>
      <c r="AR23" s="132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5">
        <f t="shared" si="18"/>
        <v>0</v>
      </c>
      <c r="BI23" s="186">
        <f t="shared" si="19"/>
        <v>0</v>
      </c>
      <c r="BJ23" s="138"/>
      <c r="BK23" s="132"/>
      <c r="BL23" s="138"/>
      <c r="BM23" s="151">
        <v>1.0</v>
      </c>
      <c r="BN23" s="151">
        <v>1.0</v>
      </c>
      <c r="BO23" s="151">
        <v>1.0</v>
      </c>
      <c r="BP23" s="151">
        <v>1.0</v>
      </c>
      <c r="BR23" s="140"/>
      <c r="BS23" s="152"/>
      <c r="BT23" s="152"/>
      <c r="BU23" s="152"/>
      <c r="BV23" s="217"/>
      <c r="BW23" s="218"/>
      <c r="BX23" s="218"/>
      <c r="BY23" s="218"/>
      <c r="BZ23" s="218"/>
      <c r="CA23" s="218"/>
      <c r="CB23" s="218"/>
      <c r="CC23" s="218"/>
      <c r="CD23" s="218"/>
      <c r="CE23" s="156">
        <f t="shared" si="20"/>
        <v>4</v>
      </c>
      <c r="CF23" s="190">
        <f t="shared" si="21"/>
        <v>50</v>
      </c>
      <c r="CG23" s="209"/>
      <c r="CH23" s="153"/>
      <c r="CI23" s="217"/>
      <c r="CJ23" s="219"/>
      <c r="CK23" s="219"/>
      <c r="CL23" s="219"/>
      <c r="CM23" s="219"/>
      <c r="CN23" s="217"/>
      <c r="CO23" s="221"/>
      <c r="CP23" s="221"/>
      <c r="CQ23" s="161"/>
      <c r="CR23" s="163">
        <f t="shared" si="22"/>
        <v>0</v>
      </c>
      <c r="CS23" s="194" t="str">
        <f t="shared" si="23"/>
        <v>#DIV/0!</v>
      </c>
      <c r="CT23" s="196"/>
      <c r="CU23" s="167">
        <f t="shared" si="24"/>
        <v>18.18181818</v>
      </c>
      <c r="CV23" s="169">
        <f t="shared" si="9"/>
        <v>6</v>
      </c>
      <c r="CW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10"/>
        <v>6</v>
      </c>
      <c r="E24" s="127">
        <f t="shared" si="11"/>
        <v>18.18181818</v>
      </c>
      <c r="F24" s="200">
        <f t="shared" si="12"/>
        <v>18.18181818</v>
      </c>
      <c r="G24" s="207">
        <f t="shared" si="13"/>
        <v>18.18181818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4"/>
        <v>0</v>
      </c>
      <c r="S24" s="137">
        <f t="shared" si="15"/>
        <v>0</v>
      </c>
      <c r="T24" s="138"/>
      <c r="U24" s="151">
        <v>1.0</v>
      </c>
      <c r="V24" s="138"/>
      <c r="W24" s="132"/>
      <c r="X24" s="132"/>
      <c r="Y24" s="138"/>
      <c r="Z24" s="138"/>
      <c r="AA24" s="138"/>
      <c r="AB24" s="225">
        <v>1.0</v>
      </c>
      <c r="AC24" s="140"/>
      <c r="AD24" s="140"/>
      <c r="AE24" s="320">
        <v>1.0</v>
      </c>
      <c r="AF24" s="210"/>
      <c r="AG24" s="211">
        <v>1.0</v>
      </c>
      <c r="AH24" s="210"/>
      <c r="AI24" s="212"/>
      <c r="AJ24" s="212"/>
      <c r="AK24" s="135">
        <f t="shared" si="16"/>
        <v>4</v>
      </c>
      <c r="AL24" s="183">
        <f t="shared" si="17"/>
        <v>36.36363636</v>
      </c>
      <c r="AM24" s="214"/>
      <c r="AN24" s="214"/>
      <c r="AO24" s="209"/>
      <c r="AP24" s="138"/>
      <c r="AQ24" s="138"/>
      <c r="AR24" s="132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85">
        <v>1.0</v>
      </c>
      <c r="BE24" s="133"/>
      <c r="BF24" s="133"/>
      <c r="BG24" s="133"/>
      <c r="BH24" s="135">
        <f t="shared" si="18"/>
        <v>1</v>
      </c>
      <c r="BI24" s="186">
        <f t="shared" si="19"/>
        <v>11.11111111</v>
      </c>
      <c r="BJ24" s="138"/>
      <c r="BK24" s="132"/>
      <c r="BL24" s="138"/>
      <c r="BM24" s="138"/>
      <c r="BN24" s="138"/>
      <c r="BO24" s="138"/>
      <c r="BP24" s="138"/>
      <c r="BR24" s="140"/>
      <c r="BS24" s="187">
        <v>1.0</v>
      </c>
      <c r="BT24" s="152"/>
      <c r="BU24" s="152"/>
      <c r="BV24" s="217"/>
      <c r="BW24" s="218"/>
      <c r="BX24" s="218"/>
      <c r="BY24" s="218"/>
      <c r="BZ24" s="218"/>
      <c r="CA24" s="218"/>
      <c r="CB24" s="218"/>
      <c r="CC24" s="218"/>
      <c r="CD24" s="218"/>
      <c r="CE24" s="156">
        <f t="shared" si="20"/>
        <v>1</v>
      </c>
      <c r="CF24" s="190">
        <f t="shared" si="21"/>
        <v>12.5</v>
      </c>
      <c r="CG24" s="209"/>
      <c r="CH24" s="153"/>
      <c r="CI24" s="217"/>
      <c r="CJ24" s="219"/>
      <c r="CK24" s="219"/>
      <c r="CL24" s="219"/>
      <c r="CM24" s="219"/>
      <c r="CN24" s="217"/>
      <c r="CO24" s="221"/>
      <c r="CP24" s="221"/>
      <c r="CQ24" s="161"/>
      <c r="CR24" s="163">
        <f t="shared" si="22"/>
        <v>0</v>
      </c>
      <c r="CS24" s="194" t="str">
        <f t="shared" si="23"/>
        <v>#DIV/0!</v>
      </c>
      <c r="CT24" s="196"/>
      <c r="CU24" s="167">
        <f t="shared" si="24"/>
        <v>18.18181818</v>
      </c>
      <c r="CV24" s="169">
        <f t="shared" si="9"/>
        <v>6</v>
      </c>
      <c r="CW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10"/>
        <v>9</v>
      </c>
      <c r="E25" s="127">
        <f t="shared" si="11"/>
        <v>27.27272727</v>
      </c>
      <c r="F25" s="200">
        <f t="shared" si="12"/>
        <v>27.27272727</v>
      </c>
      <c r="G25" s="207">
        <f t="shared" si="13"/>
        <v>27.27272727</v>
      </c>
      <c r="H25" s="132"/>
      <c r="I25" s="178"/>
      <c r="J25" s="179"/>
      <c r="K25" s="179"/>
      <c r="L25" s="191">
        <v>1.0</v>
      </c>
      <c r="M25" s="179"/>
      <c r="N25" s="179"/>
      <c r="O25" s="179"/>
      <c r="P25" s="179"/>
      <c r="Q25" s="179"/>
      <c r="R25" s="135">
        <f t="shared" si="14"/>
        <v>1</v>
      </c>
      <c r="S25" s="137">
        <f t="shared" si="15"/>
        <v>20</v>
      </c>
      <c r="T25" s="138"/>
      <c r="U25" s="138"/>
      <c r="V25" s="138"/>
      <c r="W25" s="132"/>
      <c r="X25" s="132"/>
      <c r="Y25" s="151">
        <v>1.0</v>
      </c>
      <c r="Z25" s="151">
        <v>1.0</v>
      </c>
      <c r="AA25" s="138"/>
      <c r="AB25" s="254">
        <v>1.0</v>
      </c>
      <c r="AC25" s="140"/>
      <c r="AD25" s="150">
        <v>1.0</v>
      </c>
      <c r="AE25" s="141"/>
      <c r="AF25" s="248"/>
      <c r="AG25" s="248"/>
      <c r="AH25" s="248"/>
      <c r="AI25" s="249"/>
      <c r="AJ25" s="249"/>
      <c r="AK25" s="135">
        <f t="shared" si="16"/>
        <v>4</v>
      </c>
      <c r="AL25" s="183">
        <f t="shared" si="17"/>
        <v>36.36363636</v>
      </c>
      <c r="AM25" s="251"/>
      <c r="AN25" s="251"/>
      <c r="AO25" s="247"/>
      <c r="AP25" s="138"/>
      <c r="AQ25" s="138"/>
      <c r="AR25" s="132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85">
        <v>1.0</v>
      </c>
      <c r="BE25" s="133"/>
      <c r="BF25" s="133"/>
      <c r="BG25" s="185">
        <v>1.0</v>
      </c>
      <c r="BH25" s="135">
        <f t="shared" si="18"/>
        <v>2</v>
      </c>
      <c r="BI25" s="186">
        <f t="shared" si="19"/>
        <v>22.22222222</v>
      </c>
      <c r="BJ25" s="151">
        <v>1.0</v>
      </c>
      <c r="BK25" s="132"/>
      <c r="BL25" s="138"/>
      <c r="BM25" s="151">
        <v>1.0</v>
      </c>
      <c r="BN25" s="138"/>
      <c r="BO25" s="138"/>
      <c r="BP25" s="138"/>
      <c r="BR25" s="140"/>
      <c r="BS25" s="152"/>
      <c r="BT25" s="152"/>
      <c r="BU25" s="152"/>
      <c r="BV25" s="217"/>
      <c r="BW25" s="218"/>
      <c r="BX25" s="218"/>
      <c r="BY25" s="218"/>
      <c r="BZ25" s="218"/>
      <c r="CA25" s="218"/>
      <c r="CB25" s="218"/>
      <c r="CC25" s="218"/>
      <c r="CD25" s="218"/>
      <c r="CE25" s="156">
        <f t="shared" si="20"/>
        <v>2</v>
      </c>
      <c r="CF25" s="190">
        <f t="shared" si="21"/>
        <v>25</v>
      </c>
      <c r="CG25" s="247"/>
      <c r="CH25" s="153"/>
      <c r="CI25" s="217"/>
      <c r="CJ25" s="219"/>
      <c r="CK25" s="219"/>
      <c r="CL25" s="219"/>
      <c r="CM25" s="219"/>
      <c r="CN25" s="217"/>
      <c r="CO25" s="221"/>
      <c r="CP25" s="221"/>
      <c r="CQ25" s="161"/>
      <c r="CR25" s="163">
        <f t="shared" si="22"/>
        <v>0</v>
      </c>
      <c r="CS25" s="194" t="str">
        <f t="shared" si="23"/>
        <v>#DIV/0!</v>
      </c>
      <c r="CT25" s="196"/>
      <c r="CU25" s="167">
        <f t="shared" si="24"/>
        <v>27.27272727</v>
      </c>
      <c r="CV25" s="169">
        <f t="shared" si="9"/>
        <v>9</v>
      </c>
      <c r="CW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10"/>
        <v>5</v>
      </c>
      <c r="E26" s="127">
        <f t="shared" si="11"/>
        <v>15.15151515</v>
      </c>
      <c r="F26" s="200">
        <f t="shared" si="12"/>
        <v>15.15151515</v>
      </c>
      <c r="G26" s="207">
        <f t="shared" si="13"/>
        <v>15.15151515</v>
      </c>
      <c r="H26" s="132"/>
      <c r="I26" s="132"/>
      <c r="J26" s="201"/>
      <c r="K26" s="201"/>
      <c r="L26" s="245">
        <v>1.0</v>
      </c>
      <c r="M26" s="201"/>
      <c r="N26" s="201"/>
      <c r="O26" s="201"/>
      <c r="P26" s="201"/>
      <c r="Q26" s="201"/>
      <c r="R26" s="135">
        <f t="shared" si="14"/>
        <v>1</v>
      </c>
      <c r="S26" s="137">
        <f t="shared" si="15"/>
        <v>20</v>
      </c>
      <c r="T26" s="138"/>
      <c r="U26" s="138"/>
      <c r="V26" s="138"/>
      <c r="W26" s="132"/>
      <c r="X26" s="132"/>
      <c r="Y26" s="138"/>
      <c r="Z26" s="151">
        <v>1.0</v>
      </c>
      <c r="AA26" s="151">
        <v>1.0</v>
      </c>
      <c r="AB26" s="225">
        <v>1.0</v>
      </c>
      <c r="AC26" s="140"/>
      <c r="AD26" s="140"/>
      <c r="AE26" s="141"/>
      <c r="AF26" s="210"/>
      <c r="AG26" s="210"/>
      <c r="AH26" s="210"/>
      <c r="AI26" s="212"/>
      <c r="AJ26" s="212"/>
      <c r="AK26" s="135">
        <f t="shared" si="16"/>
        <v>3</v>
      </c>
      <c r="AL26" s="183">
        <f t="shared" si="17"/>
        <v>27.27272727</v>
      </c>
      <c r="AM26" s="214"/>
      <c r="AN26" s="214"/>
      <c r="AO26" s="209"/>
      <c r="AP26" s="138"/>
      <c r="AQ26" s="138"/>
      <c r="AR26" s="132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85">
        <v>1.0</v>
      </c>
      <c r="BE26" s="133"/>
      <c r="BF26" s="133"/>
      <c r="BG26" s="133"/>
      <c r="BH26" s="135">
        <f t="shared" si="18"/>
        <v>1</v>
      </c>
      <c r="BI26" s="186">
        <f t="shared" si="19"/>
        <v>11.11111111</v>
      </c>
      <c r="BJ26" s="138"/>
      <c r="BK26" s="132"/>
      <c r="BL26" s="138"/>
      <c r="BM26" s="138"/>
      <c r="BN26" s="138"/>
      <c r="BO26" s="138"/>
      <c r="BP26" s="138"/>
      <c r="BR26" s="140"/>
      <c r="BS26" s="152"/>
      <c r="BT26" s="152"/>
      <c r="BU26" s="152"/>
      <c r="BV26" s="217"/>
      <c r="BW26" s="218"/>
      <c r="BX26" s="218"/>
      <c r="BY26" s="218"/>
      <c r="BZ26" s="218"/>
      <c r="CA26" s="218"/>
      <c r="CB26" s="218"/>
      <c r="CC26" s="218"/>
      <c r="CD26" s="218"/>
      <c r="CE26" s="156">
        <f t="shared" si="20"/>
        <v>0</v>
      </c>
      <c r="CF26" s="190">
        <f t="shared" si="21"/>
        <v>0</v>
      </c>
      <c r="CG26" s="209"/>
      <c r="CH26" s="153"/>
      <c r="CI26" s="217"/>
      <c r="CJ26" s="219"/>
      <c r="CK26" s="219"/>
      <c r="CL26" s="219"/>
      <c r="CM26" s="219"/>
      <c r="CN26" s="217"/>
      <c r="CO26" s="221"/>
      <c r="CP26" s="221"/>
      <c r="CQ26" s="161"/>
      <c r="CR26" s="163">
        <f t="shared" si="22"/>
        <v>0</v>
      </c>
      <c r="CS26" s="194" t="str">
        <f t="shared" si="23"/>
        <v>#DIV/0!</v>
      </c>
      <c r="CT26" s="196"/>
      <c r="CU26" s="167">
        <f t="shared" si="24"/>
        <v>15.15151515</v>
      </c>
      <c r="CV26" s="169">
        <f t="shared" si="9"/>
        <v>5</v>
      </c>
      <c r="CW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10"/>
        <v>3</v>
      </c>
      <c r="E27" s="127">
        <f t="shared" si="11"/>
        <v>9.090909091</v>
      </c>
      <c r="F27" s="200">
        <f t="shared" si="12"/>
        <v>9.090909091</v>
      </c>
      <c r="G27" s="207">
        <f t="shared" si="13"/>
        <v>9.090909091</v>
      </c>
      <c r="H27" s="132"/>
      <c r="I27" s="132"/>
      <c r="J27" s="201"/>
      <c r="K27" s="201"/>
      <c r="L27" s="201"/>
      <c r="M27" s="201"/>
      <c r="N27" s="201"/>
      <c r="O27" s="201"/>
      <c r="P27" s="201"/>
      <c r="Q27" s="201"/>
      <c r="R27" s="135">
        <f t="shared" si="14"/>
        <v>0</v>
      </c>
      <c r="S27" s="137">
        <f t="shared" si="15"/>
        <v>0</v>
      </c>
      <c r="T27" s="138"/>
      <c r="U27" s="138"/>
      <c r="V27" s="138"/>
      <c r="W27" s="132"/>
      <c r="X27" s="132"/>
      <c r="Y27" s="138"/>
      <c r="Z27" s="138"/>
      <c r="AA27" s="138"/>
      <c r="AB27" s="209"/>
      <c r="AC27" s="140"/>
      <c r="AD27" s="140"/>
      <c r="AE27" s="141"/>
      <c r="AF27" s="210"/>
      <c r="AG27" s="210"/>
      <c r="AH27" s="210"/>
      <c r="AI27" s="212"/>
      <c r="AJ27" s="212"/>
      <c r="AK27" s="135">
        <f t="shared" si="16"/>
        <v>0</v>
      </c>
      <c r="AL27" s="183">
        <f t="shared" si="17"/>
        <v>0</v>
      </c>
      <c r="AM27" s="214"/>
      <c r="AN27" s="214"/>
      <c r="AO27" s="209"/>
      <c r="AP27" s="138"/>
      <c r="AQ27" s="138"/>
      <c r="AR27" s="132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5">
        <f t="shared" si="18"/>
        <v>0</v>
      </c>
      <c r="BI27" s="186">
        <f t="shared" si="19"/>
        <v>0</v>
      </c>
      <c r="BJ27" s="138"/>
      <c r="BK27" s="170">
        <v>1.0</v>
      </c>
      <c r="BL27" s="138"/>
      <c r="BM27" s="138"/>
      <c r="BN27" s="151">
        <v>1.0</v>
      </c>
      <c r="BO27" s="138"/>
      <c r="BP27" s="138"/>
      <c r="BR27" s="150">
        <v>1.0</v>
      </c>
      <c r="BS27" s="152"/>
      <c r="BT27" s="152"/>
      <c r="BU27" s="152"/>
      <c r="BV27" s="217"/>
      <c r="BW27" s="218"/>
      <c r="BX27" s="218"/>
      <c r="BY27" s="218"/>
      <c r="BZ27" s="218"/>
      <c r="CA27" s="218"/>
      <c r="CB27" s="218"/>
      <c r="CC27" s="218"/>
      <c r="CD27" s="218"/>
      <c r="CE27" s="156">
        <f t="shared" si="20"/>
        <v>3</v>
      </c>
      <c r="CF27" s="190">
        <f t="shared" si="21"/>
        <v>37.5</v>
      </c>
      <c r="CG27" s="209"/>
      <c r="CH27" s="153"/>
      <c r="CI27" s="217"/>
      <c r="CJ27" s="219"/>
      <c r="CK27" s="219"/>
      <c r="CL27" s="219"/>
      <c r="CM27" s="219"/>
      <c r="CN27" s="217"/>
      <c r="CO27" s="221"/>
      <c r="CP27" s="221"/>
      <c r="CQ27" s="161"/>
      <c r="CR27" s="163">
        <f t="shared" si="22"/>
        <v>0</v>
      </c>
      <c r="CS27" s="194" t="str">
        <f t="shared" si="23"/>
        <v>#DIV/0!</v>
      </c>
      <c r="CT27" s="196"/>
      <c r="CU27" s="167">
        <f t="shared" si="24"/>
        <v>9.090909091</v>
      </c>
      <c r="CV27" s="169">
        <f t="shared" si="9"/>
        <v>3</v>
      </c>
      <c r="CW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10"/>
        <v>8</v>
      </c>
      <c r="E28" s="127">
        <f t="shared" si="11"/>
        <v>24.24242424</v>
      </c>
      <c r="F28" s="200">
        <f t="shared" si="12"/>
        <v>24.24242424</v>
      </c>
      <c r="G28" s="207">
        <f t="shared" si="13"/>
        <v>24.24242424</v>
      </c>
      <c r="H28" s="132"/>
      <c r="I28" s="132"/>
      <c r="J28" s="201"/>
      <c r="K28" s="201"/>
      <c r="L28" s="201"/>
      <c r="M28" s="201"/>
      <c r="N28" s="201"/>
      <c r="O28" s="245">
        <v>1.0</v>
      </c>
      <c r="P28" s="201"/>
      <c r="Q28" s="201"/>
      <c r="R28" s="135">
        <f t="shared" si="14"/>
        <v>1</v>
      </c>
      <c r="S28" s="137">
        <f t="shared" si="15"/>
        <v>20</v>
      </c>
      <c r="T28" s="138"/>
      <c r="U28" s="151">
        <v>1.0</v>
      </c>
      <c r="V28" s="138"/>
      <c r="W28" s="132"/>
      <c r="X28" s="132"/>
      <c r="Y28" s="138"/>
      <c r="Z28" s="138"/>
      <c r="AA28" s="138"/>
      <c r="AB28" s="209"/>
      <c r="AC28" s="140"/>
      <c r="AD28" s="150">
        <v>1.0</v>
      </c>
      <c r="AE28" s="141"/>
      <c r="AF28" s="211">
        <v>1.0</v>
      </c>
      <c r="AG28" s="211">
        <v>1.0</v>
      </c>
      <c r="AH28" s="210"/>
      <c r="AI28" s="212"/>
      <c r="AJ28" s="212"/>
      <c r="AK28" s="135">
        <f t="shared" si="16"/>
        <v>4</v>
      </c>
      <c r="AL28" s="183">
        <f t="shared" si="17"/>
        <v>36.36363636</v>
      </c>
      <c r="AM28" s="214"/>
      <c r="AN28" s="214"/>
      <c r="AO28" s="209"/>
      <c r="AP28" s="138"/>
      <c r="AQ28" s="138"/>
      <c r="AR28" s="132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85">
        <v>1.0</v>
      </c>
      <c r="BE28" s="133"/>
      <c r="BF28" s="133"/>
      <c r="BG28" s="185">
        <v>1.0</v>
      </c>
      <c r="BH28" s="135">
        <f t="shared" si="18"/>
        <v>2</v>
      </c>
      <c r="BI28" s="186">
        <f t="shared" si="19"/>
        <v>22.22222222</v>
      </c>
      <c r="BJ28" s="138"/>
      <c r="BK28" s="132"/>
      <c r="BL28" s="138"/>
      <c r="BM28" s="138"/>
      <c r="BN28" s="138"/>
      <c r="BO28" s="138"/>
      <c r="BP28" s="138"/>
      <c r="BR28" s="150">
        <v>1.0</v>
      </c>
      <c r="BS28" s="152"/>
      <c r="BT28" s="152"/>
      <c r="BU28" s="152"/>
      <c r="BV28" s="217"/>
      <c r="BW28" s="218"/>
      <c r="BX28" s="218"/>
      <c r="BY28" s="218"/>
      <c r="BZ28" s="218"/>
      <c r="CA28" s="218"/>
      <c r="CB28" s="218"/>
      <c r="CC28" s="218"/>
      <c r="CD28" s="218"/>
      <c r="CE28" s="156">
        <f t="shared" si="20"/>
        <v>1</v>
      </c>
      <c r="CF28" s="190">
        <f t="shared" si="21"/>
        <v>12.5</v>
      </c>
      <c r="CG28" s="209"/>
      <c r="CH28" s="153"/>
      <c r="CI28" s="217"/>
      <c r="CJ28" s="219"/>
      <c r="CK28" s="219"/>
      <c r="CL28" s="219"/>
      <c r="CM28" s="219"/>
      <c r="CN28" s="217"/>
      <c r="CO28" s="221"/>
      <c r="CP28" s="221"/>
      <c r="CQ28" s="161"/>
      <c r="CR28" s="163">
        <f t="shared" si="22"/>
        <v>0</v>
      </c>
      <c r="CS28" s="194" t="str">
        <f t="shared" si="23"/>
        <v>#DIV/0!</v>
      </c>
      <c r="CT28" s="196"/>
      <c r="CU28" s="167">
        <f t="shared" si="24"/>
        <v>24.24242424</v>
      </c>
      <c r="CV28" s="169">
        <f t="shared" si="9"/>
        <v>8</v>
      </c>
      <c r="CW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10"/>
        <v>19</v>
      </c>
      <c r="E29" s="127">
        <f t="shared" si="11"/>
        <v>57.57575758</v>
      </c>
      <c r="F29" s="175" t="str">
        <f t="shared" si="12"/>
        <v>  </v>
      </c>
      <c r="G29" s="177" t="str">
        <f t="shared" si="13"/>
        <v>  </v>
      </c>
      <c r="H29" s="132"/>
      <c r="I29" s="132"/>
      <c r="J29" s="245">
        <v>1.0</v>
      </c>
      <c r="K29" s="245">
        <v>1.0</v>
      </c>
      <c r="L29" s="201"/>
      <c r="M29" s="201"/>
      <c r="N29" s="201"/>
      <c r="O29" s="201"/>
      <c r="P29" s="201"/>
      <c r="Q29" s="201"/>
      <c r="R29" s="135">
        <f t="shared" si="14"/>
        <v>2</v>
      </c>
      <c r="S29" s="137">
        <f t="shared" si="15"/>
        <v>40</v>
      </c>
      <c r="T29" s="138"/>
      <c r="U29" s="138"/>
      <c r="V29" s="138"/>
      <c r="W29" s="132"/>
      <c r="X29" s="132"/>
      <c r="Y29" s="138"/>
      <c r="Z29" s="138"/>
      <c r="AA29" s="151">
        <v>1.0</v>
      </c>
      <c r="AB29" s="225">
        <v>1.0</v>
      </c>
      <c r="AC29" s="140"/>
      <c r="AD29" s="150">
        <v>1.0</v>
      </c>
      <c r="AE29" s="320">
        <v>1.0</v>
      </c>
      <c r="AF29" s="210"/>
      <c r="AG29" s="211">
        <v>1.0</v>
      </c>
      <c r="AH29" s="211">
        <v>1.0</v>
      </c>
      <c r="AI29" s="212"/>
      <c r="AJ29" s="212"/>
      <c r="AK29" s="135">
        <f t="shared" si="16"/>
        <v>6</v>
      </c>
      <c r="AL29" s="183">
        <f t="shared" si="17"/>
        <v>54.54545455</v>
      </c>
      <c r="AM29" s="214"/>
      <c r="AN29" s="214"/>
      <c r="AO29" s="209"/>
      <c r="AP29" s="138"/>
      <c r="AQ29" s="138"/>
      <c r="AR29" s="132"/>
      <c r="AS29" s="133"/>
      <c r="AT29" s="133"/>
      <c r="AU29" s="133"/>
      <c r="AV29" s="133"/>
      <c r="AW29" s="185">
        <v>1.0</v>
      </c>
      <c r="AX29" s="133"/>
      <c r="AY29" s="185">
        <v>1.0</v>
      </c>
      <c r="AZ29" s="133"/>
      <c r="BA29" s="185">
        <v>1.0</v>
      </c>
      <c r="BB29" s="133"/>
      <c r="BC29" s="133"/>
      <c r="BD29" s="185">
        <v>1.0</v>
      </c>
      <c r="BE29" s="133"/>
      <c r="BF29" s="185">
        <v>1.0</v>
      </c>
      <c r="BG29" s="133"/>
      <c r="BH29" s="135">
        <f t="shared" si="18"/>
        <v>5</v>
      </c>
      <c r="BI29" s="186">
        <f t="shared" si="19"/>
        <v>55.55555556</v>
      </c>
      <c r="BJ29" s="138"/>
      <c r="BK29" s="170">
        <v>1.0</v>
      </c>
      <c r="BL29" s="138"/>
      <c r="BM29" s="151">
        <v>1.0</v>
      </c>
      <c r="BN29" s="151">
        <v>1.0</v>
      </c>
      <c r="BO29" s="138"/>
      <c r="BP29" s="138"/>
      <c r="BR29" s="150">
        <v>1.0</v>
      </c>
      <c r="BS29" s="187">
        <v>1.0</v>
      </c>
      <c r="BT29" s="152"/>
      <c r="BU29" s="187">
        <v>1.0</v>
      </c>
      <c r="BV29" s="217"/>
      <c r="BW29" s="218"/>
      <c r="BX29" s="218"/>
      <c r="BY29" s="218"/>
      <c r="BZ29" s="218"/>
      <c r="CA29" s="218"/>
      <c r="CB29" s="218"/>
      <c r="CC29" s="218"/>
      <c r="CD29" s="218"/>
      <c r="CE29" s="156">
        <f t="shared" si="20"/>
        <v>6</v>
      </c>
      <c r="CF29" s="190">
        <f t="shared" si="21"/>
        <v>75</v>
      </c>
      <c r="CG29" s="209"/>
      <c r="CH29" s="153"/>
      <c r="CI29" s="217"/>
      <c r="CJ29" s="219"/>
      <c r="CK29" s="219"/>
      <c r="CL29" s="219"/>
      <c r="CM29" s="219"/>
      <c r="CN29" s="217"/>
      <c r="CO29" s="221"/>
      <c r="CP29" s="221"/>
      <c r="CQ29" s="161"/>
      <c r="CR29" s="163">
        <f t="shared" si="22"/>
        <v>0</v>
      </c>
      <c r="CS29" s="194" t="str">
        <f t="shared" si="23"/>
        <v>#DIV/0!</v>
      </c>
      <c r="CT29" s="196"/>
      <c r="CU29" s="167">
        <f t="shared" si="24"/>
        <v>57.57575758</v>
      </c>
      <c r="CV29" s="169">
        <f t="shared" si="9"/>
        <v>19</v>
      </c>
      <c r="CW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10"/>
        <v>4</v>
      </c>
      <c r="E30" s="127">
        <f t="shared" si="11"/>
        <v>12.12121212</v>
      </c>
      <c r="F30" s="200">
        <f t="shared" si="12"/>
        <v>12.12121212</v>
      </c>
      <c r="G30" s="207">
        <f t="shared" si="13"/>
        <v>12.12121212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135">
        <f t="shared" si="14"/>
        <v>0</v>
      </c>
      <c r="S30" s="137">
        <f t="shared" si="15"/>
        <v>0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1">
        <v>1.0</v>
      </c>
      <c r="AH30" s="210"/>
      <c r="AI30" s="212"/>
      <c r="AJ30" s="212"/>
      <c r="AK30" s="135">
        <f t="shared" si="16"/>
        <v>1</v>
      </c>
      <c r="AL30" s="183">
        <f t="shared" si="17"/>
        <v>9.090909091</v>
      </c>
      <c r="AM30" s="214"/>
      <c r="AN30" s="214"/>
      <c r="AO30" s="209"/>
      <c r="AP30" s="138"/>
      <c r="AQ30" s="138"/>
      <c r="AR30" s="132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85">
        <v>1.0</v>
      </c>
      <c r="BG30" s="133"/>
      <c r="BH30" s="135">
        <f t="shared" si="18"/>
        <v>1</v>
      </c>
      <c r="BI30" s="186">
        <f t="shared" si="19"/>
        <v>11.11111111</v>
      </c>
      <c r="BJ30" s="138"/>
      <c r="BK30" s="132"/>
      <c r="BL30" s="138"/>
      <c r="BM30" s="138"/>
      <c r="BN30" s="138"/>
      <c r="BO30" s="151">
        <v>1.0</v>
      </c>
      <c r="BP30" s="138"/>
      <c r="BR30" s="150">
        <v>1.0</v>
      </c>
      <c r="BS30" s="152"/>
      <c r="BT30" s="152"/>
      <c r="BU30" s="152"/>
      <c r="BV30" s="217"/>
      <c r="BW30" s="218"/>
      <c r="BX30" s="218"/>
      <c r="BY30" s="218"/>
      <c r="BZ30" s="218"/>
      <c r="CA30" s="218"/>
      <c r="CB30" s="218"/>
      <c r="CC30" s="218"/>
      <c r="CD30" s="218"/>
      <c r="CE30" s="156">
        <f t="shared" si="20"/>
        <v>2</v>
      </c>
      <c r="CF30" s="190">
        <f t="shared" si="21"/>
        <v>25</v>
      </c>
      <c r="CG30" s="209"/>
      <c r="CH30" s="153"/>
      <c r="CI30" s="217"/>
      <c r="CJ30" s="219"/>
      <c r="CK30" s="219"/>
      <c r="CL30" s="219"/>
      <c r="CM30" s="219"/>
      <c r="CN30" s="217"/>
      <c r="CO30" s="221"/>
      <c r="CP30" s="221"/>
      <c r="CQ30" s="161"/>
      <c r="CR30" s="163">
        <f t="shared" si="22"/>
        <v>0</v>
      </c>
      <c r="CS30" s="194" t="str">
        <f t="shared" si="23"/>
        <v>#DIV/0!</v>
      </c>
      <c r="CT30" s="196"/>
      <c r="CU30" s="167">
        <f t="shared" si="24"/>
        <v>12.12121212</v>
      </c>
      <c r="CV30" s="169">
        <f t="shared" si="9"/>
        <v>4</v>
      </c>
      <c r="CW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10"/>
        <v>10</v>
      </c>
      <c r="E31" s="127">
        <f t="shared" si="11"/>
        <v>30.3030303</v>
      </c>
      <c r="F31" s="200">
        <f t="shared" si="12"/>
        <v>30.3030303</v>
      </c>
      <c r="G31" s="177" t="str">
        <f t="shared" si="13"/>
        <v>  </v>
      </c>
      <c r="H31" s="132"/>
      <c r="I31" s="178"/>
      <c r="J31" s="179"/>
      <c r="K31" s="179"/>
      <c r="L31" s="191">
        <v>1.0</v>
      </c>
      <c r="M31" s="179"/>
      <c r="N31" s="191">
        <v>1.0</v>
      </c>
      <c r="O31" s="179"/>
      <c r="P31" s="179"/>
      <c r="Q31" s="179"/>
      <c r="R31" s="135">
        <f t="shared" si="14"/>
        <v>2</v>
      </c>
      <c r="S31" s="137">
        <f t="shared" si="15"/>
        <v>40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50">
        <v>1.0</v>
      </c>
      <c r="AE31" s="141"/>
      <c r="AF31" s="210"/>
      <c r="AG31" s="210"/>
      <c r="AH31" s="211">
        <v>1.0</v>
      </c>
      <c r="AI31" s="212"/>
      <c r="AJ31" s="212"/>
      <c r="AK31" s="135">
        <f t="shared" si="16"/>
        <v>2</v>
      </c>
      <c r="AL31" s="183">
        <f t="shared" si="17"/>
        <v>18.18181818</v>
      </c>
      <c r="AM31" s="214"/>
      <c r="AN31" s="214"/>
      <c r="AO31" s="209"/>
      <c r="AP31" s="138"/>
      <c r="AQ31" s="138"/>
      <c r="AR31" s="132"/>
      <c r="AS31" s="133"/>
      <c r="AT31" s="133"/>
      <c r="AU31" s="133"/>
      <c r="AV31" s="133"/>
      <c r="AW31" s="185">
        <v>1.0</v>
      </c>
      <c r="AX31" s="133"/>
      <c r="AY31" s="133"/>
      <c r="AZ31" s="133"/>
      <c r="BA31" s="133"/>
      <c r="BB31" s="133"/>
      <c r="BC31" s="133"/>
      <c r="BD31" s="133"/>
      <c r="BE31" s="133"/>
      <c r="BF31" s="185">
        <v>1.0</v>
      </c>
      <c r="BG31" s="185">
        <v>1.0</v>
      </c>
      <c r="BH31" s="135">
        <f t="shared" si="18"/>
        <v>3</v>
      </c>
      <c r="BI31" s="186">
        <f t="shared" si="19"/>
        <v>33.33333333</v>
      </c>
      <c r="BJ31" s="138"/>
      <c r="BK31" s="132"/>
      <c r="BL31" s="138"/>
      <c r="BM31" s="138"/>
      <c r="BN31" s="151">
        <v>1.0</v>
      </c>
      <c r="BO31" s="151">
        <v>1.0</v>
      </c>
      <c r="BP31" s="151">
        <v>1.0</v>
      </c>
      <c r="BR31" s="140"/>
      <c r="BS31" s="152"/>
      <c r="BT31" s="152"/>
      <c r="BU31" s="152"/>
      <c r="BV31" s="217"/>
      <c r="BW31" s="218"/>
      <c r="BX31" s="218"/>
      <c r="BY31" s="218"/>
      <c r="BZ31" s="218"/>
      <c r="CA31" s="218"/>
      <c r="CB31" s="218"/>
      <c r="CC31" s="218"/>
      <c r="CD31" s="218"/>
      <c r="CE31" s="156">
        <f t="shared" si="20"/>
        <v>3</v>
      </c>
      <c r="CF31" s="190">
        <f t="shared" si="21"/>
        <v>37.5</v>
      </c>
      <c r="CG31" s="209"/>
      <c r="CH31" s="153"/>
      <c r="CI31" s="217"/>
      <c r="CJ31" s="219"/>
      <c r="CK31" s="219"/>
      <c r="CL31" s="219"/>
      <c r="CM31" s="219"/>
      <c r="CN31" s="217"/>
      <c r="CO31" s="221"/>
      <c r="CP31" s="221"/>
      <c r="CQ31" s="161"/>
      <c r="CR31" s="163">
        <f t="shared" si="22"/>
        <v>0</v>
      </c>
      <c r="CS31" s="194" t="str">
        <f t="shared" si="23"/>
        <v>#DIV/0!</v>
      </c>
      <c r="CT31" s="196"/>
      <c r="CU31" s="167">
        <f t="shared" si="24"/>
        <v>30.3030303</v>
      </c>
      <c r="CV31" s="169">
        <f t="shared" si="9"/>
        <v>10</v>
      </c>
      <c r="CW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10"/>
        <v>11</v>
      </c>
      <c r="E32" s="127">
        <f t="shared" si="11"/>
        <v>33.33333333</v>
      </c>
      <c r="F32" s="200">
        <f t="shared" si="12"/>
        <v>33.33333333</v>
      </c>
      <c r="G32" s="177" t="str">
        <f t="shared" si="13"/>
        <v>  </v>
      </c>
      <c r="H32" s="132"/>
      <c r="I32" s="178"/>
      <c r="J32" s="179"/>
      <c r="K32" s="179"/>
      <c r="L32" s="191">
        <v>1.0</v>
      </c>
      <c r="M32" s="179"/>
      <c r="N32" s="191">
        <v>1.0</v>
      </c>
      <c r="O32" s="179"/>
      <c r="P32" s="179"/>
      <c r="Q32" s="179"/>
      <c r="R32" s="135">
        <f t="shared" si="14"/>
        <v>2</v>
      </c>
      <c r="S32" s="137">
        <f t="shared" si="15"/>
        <v>40</v>
      </c>
      <c r="T32" s="138"/>
      <c r="U32" s="138"/>
      <c r="V32" s="138"/>
      <c r="W32" s="132"/>
      <c r="X32" s="132"/>
      <c r="Y32" s="151">
        <v>1.0</v>
      </c>
      <c r="Z32" s="151">
        <v>1.0</v>
      </c>
      <c r="AA32" s="138"/>
      <c r="AB32" s="244">
        <v>1.0</v>
      </c>
      <c r="AC32" s="140"/>
      <c r="AD32" s="150">
        <v>1.0</v>
      </c>
      <c r="AE32" s="141"/>
      <c r="AF32" s="234"/>
      <c r="AG32" s="234"/>
      <c r="AH32" s="234"/>
      <c r="AI32" s="239"/>
      <c r="AJ32" s="239"/>
      <c r="AK32" s="135">
        <f t="shared" si="16"/>
        <v>4</v>
      </c>
      <c r="AL32" s="183">
        <f t="shared" si="17"/>
        <v>36.36363636</v>
      </c>
      <c r="AM32" s="241"/>
      <c r="AN32" s="241"/>
      <c r="AO32" s="233"/>
      <c r="AP32" s="138"/>
      <c r="AQ32" s="138"/>
      <c r="AR32" s="132"/>
      <c r="AS32" s="133"/>
      <c r="AT32" s="133"/>
      <c r="AU32" s="133"/>
      <c r="AV32" s="133"/>
      <c r="AW32" s="185">
        <v>1.0</v>
      </c>
      <c r="AX32" s="133"/>
      <c r="AY32" s="133"/>
      <c r="AZ32" s="133"/>
      <c r="BA32" s="133"/>
      <c r="BB32" s="133"/>
      <c r="BC32" s="133"/>
      <c r="BD32" s="185">
        <v>1.0</v>
      </c>
      <c r="BE32" s="133"/>
      <c r="BF32" s="133"/>
      <c r="BG32" s="133"/>
      <c r="BH32" s="135">
        <f t="shared" si="18"/>
        <v>2</v>
      </c>
      <c r="BI32" s="186">
        <f t="shared" si="19"/>
        <v>22.22222222</v>
      </c>
      <c r="BJ32" s="138"/>
      <c r="BK32" s="132"/>
      <c r="BL32" s="138"/>
      <c r="BM32" s="151">
        <v>1.0</v>
      </c>
      <c r="BN32" s="151">
        <v>1.0</v>
      </c>
      <c r="BO32" s="138"/>
      <c r="BP32" s="151">
        <v>1.0</v>
      </c>
      <c r="BR32" s="140"/>
      <c r="BS32" s="152"/>
      <c r="BT32" s="152"/>
      <c r="BU32" s="152"/>
      <c r="BV32" s="217"/>
      <c r="BW32" s="218"/>
      <c r="BX32" s="218"/>
      <c r="BY32" s="218"/>
      <c r="BZ32" s="218"/>
      <c r="CA32" s="218"/>
      <c r="CB32" s="218"/>
      <c r="CC32" s="218"/>
      <c r="CD32" s="218"/>
      <c r="CE32" s="156">
        <f t="shared" si="20"/>
        <v>3</v>
      </c>
      <c r="CF32" s="190">
        <f t="shared" si="21"/>
        <v>37.5</v>
      </c>
      <c r="CG32" s="233"/>
      <c r="CH32" s="153"/>
      <c r="CI32" s="217"/>
      <c r="CJ32" s="219"/>
      <c r="CK32" s="219"/>
      <c r="CL32" s="219"/>
      <c r="CM32" s="219"/>
      <c r="CN32" s="217"/>
      <c r="CO32" s="221"/>
      <c r="CP32" s="221"/>
      <c r="CQ32" s="161"/>
      <c r="CR32" s="163">
        <f t="shared" si="22"/>
        <v>0</v>
      </c>
      <c r="CS32" s="194" t="str">
        <f t="shared" si="23"/>
        <v>#DIV/0!</v>
      </c>
      <c r="CT32" s="196"/>
      <c r="CU32" s="167">
        <f t="shared" si="24"/>
        <v>33.33333333</v>
      </c>
      <c r="CV32" s="169">
        <f t="shared" si="9"/>
        <v>11</v>
      </c>
      <c r="CW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10"/>
        <v>12</v>
      </c>
      <c r="E33" s="127">
        <f t="shared" si="11"/>
        <v>36.36363636</v>
      </c>
      <c r="F33" s="200">
        <f t="shared" si="12"/>
        <v>36.36363636</v>
      </c>
      <c r="G33" s="177" t="str">
        <f t="shared" si="13"/>
        <v>  </v>
      </c>
      <c r="H33" s="132"/>
      <c r="I33" s="229"/>
      <c r="J33" s="231"/>
      <c r="K33" s="231"/>
      <c r="L33" s="257">
        <v>1.0</v>
      </c>
      <c r="M33" s="231"/>
      <c r="N33" s="257">
        <v>1.0</v>
      </c>
      <c r="O33" s="231"/>
      <c r="P33" s="231"/>
      <c r="Q33" s="231"/>
      <c r="R33" s="135">
        <f t="shared" si="14"/>
        <v>2</v>
      </c>
      <c r="S33" s="137">
        <f t="shared" si="15"/>
        <v>40</v>
      </c>
      <c r="T33" s="138"/>
      <c r="U33" s="138"/>
      <c r="V33" s="138"/>
      <c r="W33" s="132"/>
      <c r="X33" s="132"/>
      <c r="Y33" s="138"/>
      <c r="Z33" s="138"/>
      <c r="AA33" s="138"/>
      <c r="AB33" s="244">
        <v>1.0</v>
      </c>
      <c r="AC33" s="140"/>
      <c r="AD33" s="150">
        <v>1.0</v>
      </c>
      <c r="AE33" s="141"/>
      <c r="AF33" s="234"/>
      <c r="AG33" s="234"/>
      <c r="AH33" s="236">
        <v>1.0</v>
      </c>
      <c r="AI33" s="239"/>
      <c r="AJ33" s="239"/>
      <c r="AK33" s="135">
        <f t="shared" si="16"/>
        <v>3</v>
      </c>
      <c r="AL33" s="183">
        <f t="shared" si="17"/>
        <v>27.27272727</v>
      </c>
      <c r="AM33" s="241"/>
      <c r="AN33" s="241"/>
      <c r="AO33" s="233"/>
      <c r="AP33" s="138"/>
      <c r="AQ33" s="138"/>
      <c r="AR33" s="132"/>
      <c r="AS33" s="133"/>
      <c r="AT33" s="133"/>
      <c r="AU33" s="133"/>
      <c r="AV33" s="133"/>
      <c r="AW33" s="185">
        <v>1.0</v>
      </c>
      <c r="AX33" s="133"/>
      <c r="AY33" s="133"/>
      <c r="AZ33" s="133"/>
      <c r="BA33" s="133"/>
      <c r="BB33" s="133"/>
      <c r="BC33" s="133"/>
      <c r="BD33" s="185">
        <v>1.0</v>
      </c>
      <c r="BE33" s="133"/>
      <c r="BF33" s="185">
        <v>1.0</v>
      </c>
      <c r="BG33" s="185">
        <v>1.0</v>
      </c>
      <c r="BH33" s="135">
        <f t="shared" si="18"/>
        <v>4</v>
      </c>
      <c r="BI33" s="186">
        <f t="shared" si="19"/>
        <v>44.44444444</v>
      </c>
      <c r="BJ33" s="138"/>
      <c r="BK33" s="132"/>
      <c r="BL33" s="138"/>
      <c r="BM33" s="138"/>
      <c r="BN33" s="151">
        <v>1.0</v>
      </c>
      <c r="BO33" s="151">
        <v>1.0</v>
      </c>
      <c r="BP33" s="151">
        <v>1.0</v>
      </c>
      <c r="BR33" s="140"/>
      <c r="BS33" s="152"/>
      <c r="BT33" s="152"/>
      <c r="BU33" s="152"/>
      <c r="BV33" s="217"/>
      <c r="BW33" s="218"/>
      <c r="BX33" s="218"/>
      <c r="BY33" s="218"/>
      <c r="BZ33" s="218"/>
      <c r="CA33" s="218"/>
      <c r="CB33" s="218"/>
      <c r="CC33" s="218"/>
      <c r="CD33" s="218"/>
      <c r="CE33" s="156">
        <f t="shared" si="20"/>
        <v>3</v>
      </c>
      <c r="CF33" s="190">
        <f t="shared" si="21"/>
        <v>37.5</v>
      </c>
      <c r="CG33" s="233"/>
      <c r="CH33" s="153"/>
      <c r="CI33" s="217"/>
      <c r="CJ33" s="219"/>
      <c r="CK33" s="219"/>
      <c r="CL33" s="219"/>
      <c r="CM33" s="219"/>
      <c r="CN33" s="217"/>
      <c r="CO33" s="221"/>
      <c r="CP33" s="221"/>
      <c r="CQ33" s="161"/>
      <c r="CR33" s="163">
        <f t="shared" si="22"/>
        <v>0</v>
      </c>
      <c r="CS33" s="194" t="str">
        <f t="shared" si="23"/>
        <v>#DIV/0!</v>
      </c>
      <c r="CT33" s="196"/>
      <c r="CU33" s="167">
        <f t="shared" si="24"/>
        <v>36.36363636</v>
      </c>
      <c r="CV33" s="169">
        <f t="shared" si="9"/>
        <v>12</v>
      </c>
      <c r="CW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10"/>
        <v>7</v>
      </c>
      <c r="E34" s="127">
        <f t="shared" si="11"/>
        <v>21.21212121</v>
      </c>
      <c r="F34" s="200">
        <f t="shared" si="12"/>
        <v>21.21212121</v>
      </c>
      <c r="G34" s="207">
        <f t="shared" si="13"/>
        <v>21.21212121</v>
      </c>
      <c r="H34" s="178"/>
      <c r="I34" s="132"/>
      <c r="J34" s="201"/>
      <c r="K34" s="201"/>
      <c r="L34" s="201"/>
      <c r="M34" s="201"/>
      <c r="N34" s="201"/>
      <c r="O34" s="245">
        <v>1.0</v>
      </c>
      <c r="P34" s="201"/>
      <c r="Q34" s="201"/>
      <c r="R34" s="135">
        <f t="shared" si="14"/>
        <v>1</v>
      </c>
      <c r="S34" s="137">
        <f t="shared" si="15"/>
        <v>20</v>
      </c>
      <c r="T34" s="138"/>
      <c r="U34" s="151">
        <v>1.0</v>
      </c>
      <c r="V34" s="138"/>
      <c r="W34" s="132"/>
      <c r="X34" s="132"/>
      <c r="Y34" s="138"/>
      <c r="Z34" s="138"/>
      <c r="AA34" s="138"/>
      <c r="AB34" s="209"/>
      <c r="AC34" s="140"/>
      <c r="AD34" s="140"/>
      <c r="AE34" s="320">
        <v>1.0</v>
      </c>
      <c r="AF34" s="210"/>
      <c r="AG34" s="210"/>
      <c r="AH34" s="210"/>
      <c r="AI34" s="212"/>
      <c r="AJ34" s="212"/>
      <c r="AK34" s="135">
        <f t="shared" si="16"/>
        <v>2</v>
      </c>
      <c r="AL34" s="183">
        <f t="shared" si="17"/>
        <v>18.18181818</v>
      </c>
      <c r="AM34" s="214"/>
      <c r="AN34" s="214"/>
      <c r="AO34" s="209"/>
      <c r="AP34" s="138"/>
      <c r="AQ34" s="138"/>
      <c r="AR34" s="132"/>
      <c r="AS34" s="133"/>
      <c r="AT34" s="133"/>
      <c r="AU34" s="133"/>
      <c r="AV34" s="133"/>
      <c r="AW34" s="185">
        <v>1.0</v>
      </c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5">
        <f t="shared" si="18"/>
        <v>1</v>
      </c>
      <c r="BI34" s="186">
        <f t="shared" si="19"/>
        <v>11.11111111</v>
      </c>
      <c r="BJ34" s="151">
        <v>1.0</v>
      </c>
      <c r="BK34" s="170">
        <v>1.0</v>
      </c>
      <c r="BL34" s="138"/>
      <c r="BM34" s="138"/>
      <c r="BN34" s="138"/>
      <c r="BO34" s="138"/>
      <c r="BP34" s="138"/>
      <c r="BR34" s="140"/>
      <c r="BS34" s="152"/>
      <c r="BT34" s="152"/>
      <c r="BU34" s="187">
        <v>1.0</v>
      </c>
      <c r="BV34" s="217"/>
      <c r="BW34" s="218"/>
      <c r="BX34" s="218"/>
      <c r="BY34" s="218"/>
      <c r="BZ34" s="218"/>
      <c r="CA34" s="218"/>
      <c r="CB34" s="218"/>
      <c r="CC34" s="218"/>
      <c r="CD34" s="218"/>
      <c r="CE34" s="156">
        <f t="shared" si="20"/>
        <v>3</v>
      </c>
      <c r="CF34" s="190">
        <f t="shared" si="21"/>
        <v>37.5</v>
      </c>
      <c r="CG34" s="209"/>
      <c r="CH34" s="153"/>
      <c r="CI34" s="217"/>
      <c r="CJ34" s="219"/>
      <c r="CK34" s="219"/>
      <c r="CL34" s="219"/>
      <c r="CM34" s="219"/>
      <c r="CN34" s="217"/>
      <c r="CO34" s="221"/>
      <c r="CP34" s="221"/>
      <c r="CQ34" s="161"/>
      <c r="CR34" s="163">
        <f t="shared" si="22"/>
        <v>0</v>
      </c>
      <c r="CS34" s="194" t="str">
        <f t="shared" si="23"/>
        <v>#DIV/0!</v>
      </c>
      <c r="CT34" s="196"/>
      <c r="CU34" s="167">
        <f t="shared" si="24"/>
        <v>21.21212121</v>
      </c>
      <c r="CV34" s="169">
        <f t="shared" si="9"/>
        <v>7</v>
      </c>
      <c r="CW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10"/>
        <v>17</v>
      </c>
      <c r="E35" s="127">
        <f t="shared" si="11"/>
        <v>51.51515152</v>
      </c>
      <c r="F35" s="175" t="str">
        <f t="shared" si="12"/>
        <v>  </v>
      </c>
      <c r="G35" s="177" t="str">
        <f t="shared" si="13"/>
        <v>  </v>
      </c>
      <c r="H35" s="132"/>
      <c r="I35" s="132"/>
      <c r="J35" s="245">
        <v>1.0</v>
      </c>
      <c r="K35" s="245">
        <v>1.0</v>
      </c>
      <c r="L35" s="201"/>
      <c r="M35" s="201"/>
      <c r="N35" s="201"/>
      <c r="O35" s="201"/>
      <c r="P35" s="201"/>
      <c r="Q35" s="201"/>
      <c r="R35" s="135">
        <f t="shared" si="14"/>
        <v>2</v>
      </c>
      <c r="S35" s="137">
        <f t="shared" si="15"/>
        <v>40</v>
      </c>
      <c r="T35" s="138"/>
      <c r="U35" s="138"/>
      <c r="V35" s="138"/>
      <c r="W35" s="132"/>
      <c r="X35" s="132"/>
      <c r="Y35" s="138"/>
      <c r="Z35" s="138"/>
      <c r="AA35" s="151">
        <v>1.0</v>
      </c>
      <c r="AB35" s="225">
        <v>1.0</v>
      </c>
      <c r="AC35" s="140"/>
      <c r="AD35" s="150">
        <v>1.0</v>
      </c>
      <c r="AE35" s="320">
        <v>1.0</v>
      </c>
      <c r="AF35" s="210"/>
      <c r="AG35" s="211">
        <v>1.0</v>
      </c>
      <c r="AH35" s="210"/>
      <c r="AI35" s="212"/>
      <c r="AJ35" s="212"/>
      <c r="AK35" s="135">
        <f t="shared" si="16"/>
        <v>5</v>
      </c>
      <c r="AL35" s="183">
        <f t="shared" si="17"/>
        <v>45.45454545</v>
      </c>
      <c r="AM35" s="214"/>
      <c r="AN35" s="214"/>
      <c r="AO35" s="209"/>
      <c r="AP35" s="138"/>
      <c r="AQ35" s="138"/>
      <c r="AR35" s="132"/>
      <c r="AS35" s="133"/>
      <c r="AT35" s="133"/>
      <c r="AU35" s="133"/>
      <c r="AV35" s="133"/>
      <c r="AW35" s="185">
        <v>1.0</v>
      </c>
      <c r="AX35" s="133"/>
      <c r="AY35" s="133"/>
      <c r="AZ35" s="133"/>
      <c r="BA35" s="133"/>
      <c r="BB35" s="133"/>
      <c r="BC35" s="133"/>
      <c r="BD35" s="185">
        <v>1.0</v>
      </c>
      <c r="BE35" s="133"/>
      <c r="BF35" s="185">
        <v>1.0</v>
      </c>
      <c r="BG35" s="185">
        <v>1.0</v>
      </c>
      <c r="BH35" s="135">
        <f t="shared" si="18"/>
        <v>4</v>
      </c>
      <c r="BI35" s="186">
        <f t="shared" si="19"/>
        <v>44.44444444</v>
      </c>
      <c r="BJ35" s="138"/>
      <c r="BK35" s="170">
        <v>1.0</v>
      </c>
      <c r="BL35" s="138"/>
      <c r="BM35" s="151">
        <v>1.0</v>
      </c>
      <c r="BN35" s="151">
        <v>1.0</v>
      </c>
      <c r="BO35" s="138"/>
      <c r="BP35" s="138"/>
      <c r="BR35" s="150">
        <v>1.0</v>
      </c>
      <c r="BS35" s="187">
        <v>1.0</v>
      </c>
      <c r="BT35" s="152"/>
      <c r="BU35" s="187">
        <v>1.0</v>
      </c>
      <c r="BV35" s="217"/>
      <c r="BW35" s="218"/>
      <c r="BX35" s="218"/>
      <c r="BY35" s="218"/>
      <c r="BZ35" s="218"/>
      <c r="CA35" s="218"/>
      <c r="CB35" s="218"/>
      <c r="CC35" s="218"/>
      <c r="CD35" s="218"/>
      <c r="CE35" s="156">
        <f t="shared" si="20"/>
        <v>6</v>
      </c>
      <c r="CF35" s="190">
        <f t="shared" si="21"/>
        <v>75</v>
      </c>
      <c r="CG35" s="209"/>
      <c r="CH35" s="153"/>
      <c r="CI35" s="217"/>
      <c r="CJ35" s="219"/>
      <c r="CK35" s="219"/>
      <c r="CL35" s="219"/>
      <c r="CM35" s="219"/>
      <c r="CN35" s="217"/>
      <c r="CO35" s="221"/>
      <c r="CP35" s="221"/>
      <c r="CQ35" s="161"/>
      <c r="CR35" s="163">
        <f t="shared" si="22"/>
        <v>0</v>
      </c>
      <c r="CS35" s="194" t="str">
        <f t="shared" si="23"/>
        <v>#DIV/0!</v>
      </c>
      <c r="CT35" s="196"/>
      <c r="CU35" s="167">
        <f t="shared" si="24"/>
        <v>51.51515152</v>
      </c>
      <c r="CV35" s="169">
        <f t="shared" si="9"/>
        <v>17</v>
      </c>
      <c r="CW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10"/>
        <v>0</v>
      </c>
      <c r="E36" s="127">
        <f t="shared" si="11"/>
        <v>0</v>
      </c>
      <c r="F36" s="200">
        <f t="shared" si="12"/>
        <v>0</v>
      </c>
      <c r="G36" s="207">
        <f t="shared" si="13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4"/>
        <v>0</v>
      </c>
      <c r="S36" s="137">
        <f t="shared" si="15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2"/>
      <c r="AJ36" s="212"/>
      <c r="AK36" s="135">
        <f t="shared" si="16"/>
        <v>0</v>
      </c>
      <c r="AL36" s="183">
        <f t="shared" si="17"/>
        <v>0</v>
      </c>
      <c r="AM36" s="214"/>
      <c r="AN36" s="214"/>
      <c r="AO36" s="209"/>
      <c r="AP36" s="138"/>
      <c r="AQ36" s="138"/>
      <c r="AR36" s="132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5">
        <f t="shared" si="18"/>
        <v>0</v>
      </c>
      <c r="BI36" s="186">
        <f t="shared" si="19"/>
        <v>0</v>
      </c>
      <c r="BJ36" s="138"/>
      <c r="BK36" s="132"/>
      <c r="BL36" s="138"/>
      <c r="BM36" s="138"/>
      <c r="BN36" s="138"/>
      <c r="BO36" s="138"/>
      <c r="BP36" s="138"/>
      <c r="BR36" s="140"/>
      <c r="BS36" s="152"/>
      <c r="BT36" s="152"/>
      <c r="BU36" s="152"/>
      <c r="BV36" s="217"/>
      <c r="BW36" s="218"/>
      <c r="BX36" s="218"/>
      <c r="BY36" s="218"/>
      <c r="BZ36" s="218"/>
      <c r="CA36" s="218"/>
      <c r="CB36" s="218"/>
      <c r="CC36" s="218"/>
      <c r="CD36" s="218"/>
      <c r="CE36" s="156">
        <f t="shared" si="20"/>
        <v>0</v>
      </c>
      <c r="CF36" s="190">
        <f t="shared" si="21"/>
        <v>0</v>
      </c>
      <c r="CG36" s="209"/>
      <c r="CH36" s="153"/>
      <c r="CI36" s="217"/>
      <c r="CJ36" s="219"/>
      <c r="CK36" s="219"/>
      <c r="CL36" s="219"/>
      <c r="CM36" s="219"/>
      <c r="CN36" s="217"/>
      <c r="CO36" s="221"/>
      <c r="CP36" s="221"/>
      <c r="CQ36" s="161"/>
      <c r="CR36" s="163">
        <f t="shared" si="22"/>
        <v>0</v>
      </c>
      <c r="CS36" s="194" t="str">
        <f t="shared" si="23"/>
        <v>#DIV/0!</v>
      </c>
      <c r="CT36" s="196"/>
      <c r="CU36" s="167">
        <f t="shared" si="24"/>
        <v>0</v>
      </c>
      <c r="CV36" s="169">
        <f t="shared" si="9"/>
        <v>0</v>
      </c>
      <c r="CW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10"/>
        <v>5</v>
      </c>
      <c r="E37" s="127">
        <f t="shared" si="11"/>
        <v>15.15151515</v>
      </c>
      <c r="F37" s="200">
        <f t="shared" si="12"/>
        <v>15.15151515</v>
      </c>
      <c r="G37" s="207">
        <f t="shared" si="13"/>
        <v>15.15151515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135">
        <f t="shared" si="14"/>
        <v>0</v>
      </c>
      <c r="S37" s="137">
        <f t="shared" si="15"/>
        <v>0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50">
        <v>1.0</v>
      </c>
      <c r="AE37" s="141"/>
      <c r="AF37" s="210"/>
      <c r="AG37" s="211">
        <v>1.0</v>
      </c>
      <c r="AH37" s="210"/>
      <c r="AI37" s="212"/>
      <c r="AJ37" s="212"/>
      <c r="AK37" s="135">
        <f t="shared" si="16"/>
        <v>2</v>
      </c>
      <c r="AL37" s="183">
        <f t="shared" si="17"/>
        <v>18.18181818</v>
      </c>
      <c r="AM37" s="214"/>
      <c r="AN37" s="214"/>
      <c r="AO37" s="209"/>
      <c r="AP37" s="138"/>
      <c r="AQ37" s="138"/>
      <c r="AR37" s="132"/>
      <c r="AS37" s="133"/>
      <c r="AT37" s="133"/>
      <c r="AU37" s="133"/>
      <c r="AV37" s="133"/>
      <c r="AW37" s="133"/>
      <c r="AX37" s="133"/>
      <c r="AY37" s="185">
        <v>1.0</v>
      </c>
      <c r="AZ37" s="133"/>
      <c r="BA37" s="133"/>
      <c r="BB37" s="133"/>
      <c r="BC37" s="133"/>
      <c r="BD37" s="133"/>
      <c r="BE37" s="133"/>
      <c r="BF37" s="133"/>
      <c r="BG37" s="185">
        <v>1.0</v>
      </c>
      <c r="BH37" s="135">
        <f t="shared" si="18"/>
        <v>2</v>
      </c>
      <c r="BI37" s="186">
        <f t="shared" si="19"/>
        <v>22.22222222</v>
      </c>
      <c r="BJ37" s="138"/>
      <c r="BK37" s="132"/>
      <c r="BL37" s="138"/>
      <c r="BM37" s="151">
        <v>1.0</v>
      </c>
      <c r="BN37" s="138"/>
      <c r="BO37" s="138"/>
      <c r="BP37" s="138"/>
      <c r="BR37" s="140"/>
      <c r="BS37" s="152"/>
      <c r="BT37" s="152"/>
      <c r="BU37" s="152"/>
      <c r="BV37" s="217"/>
      <c r="BW37" s="218"/>
      <c r="BX37" s="218"/>
      <c r="BY37" s="218"/>
      <c r="BZ37" s="218"/>
      <c r="CA37" s="218"/>
      <c r="CB37" s="218"/>
      <c r="CC37" s="218"/>
      <c r="CD37" s="218"/>
      <c r="CE37" s="156">
        <f t="shared" si="20"/>
        <v>1</v>
      </c>
      <c r="CF37" s="190">
        <f t="shared" si="21"/>
        <v>12.5</v>
      </c>
      <c r="CG37" s="209"/>
      <c r="CH37" s="153"/>
      <c r="CI37" s="217"/>
      <c r="CJ37" s="219"/>
      <c r="CK37" s="219"/>
      <c r="CL37" s="219"/>
      <c r="CM37" s="219"/>
      <c r="CN37" s="217"/>
      <c r="CO37" s="221"/>
      <c r="CP37" s="221"/>
      <c r="CQ37" s="161"/>
      <c r="CR37" s="163">
        <f t="shared" si="22"/>
        <v>0</v>
      </c>
      <c r="CS37" s="194" t="str">
        <f t="shared" si="23"/>
        <v>#DIV/0!</v>
      </c>
      <c r="CT37" s="196"/>
      <c r="CU37" s="167">
        <f t="shared" si="24"/>
        <v>15.15151515</v>
      </c>
      <c r="CV37" s="169">
        <f t="shared" si="9"/>
        <v>5</v>
      </c>
      <c r="CW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10"/>
        <v>6</v>
      </c>
      <c r="E38" s="127">
        <f t="shared" si="11"/>
        <v>18.18181818</v>
      </c>
      <c r="F38" s="200">
        <f t="shared" si="12"/>
        <v>18.18181818</v>
      </c>
      <c r="G38" s="207">
        <f t="shared" si="13"/>
        <v>18.18181818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4"/>
        <v>0</v>
      </c>
      <c r="S38" s="137">
        <f t="shared" si="15"/>
        <v>0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50">
        <v>1.0</v>
      </c>
      <c r="AE38" s="320">
        <v>1.0</v>
      </c>
      <c r="AF38" s="211">
        <v>1.0</v>
      </c>
      <c r="AG38" s="211">
        <v>1.0</v>
      </c>
      <c r="AH38" s="210"/>
      <c r="AI38" s="212"/>
      <c r="AJ38" s="212"/>
      <c r="AK38" s="135">
        <f t="shared" si="16"/>
        <v>4</v>
      </c>
      <c r="AL38" s="183">
        <f t="shared" si="17"/>
        <v>36.36363636</v>
      </c>
      <c r="AM38" s="214"/>
      <c r="AN38" s="214"/>
      <c r="AO38" s="209"/>
      <c r="AP38" s="138"/>
      <c r="AQ38" s="138"/>
      <c r="AR38" s="132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5">
        <f t="shared" si="18"/>
        <v>0</v>
      </c>
      <c r="BI38" s="186">
        <f t="shared" si="19"/>
        <v>0</v>
      </c>
      <c r="BJ38" s="138"/>
      <c r="BK38" s="132"/>
      <c r="BL38" s="138"/>
      <c r="BM38" s="138"/>
      <c r="BN38" s="138"/>
      <c r="BO38" s="138"/>
      <c r="BP38" s="138"/>
      <c r="BR38" s="150">
        <v>1.0</v>
      </c>
      <c r="BS38" s="187">
        <v>1.0</v>
      </c>
      <c r="BT38" s="152"/>
      <c r="BU38" s="152"/>
      <c r="BV38" s="217"/>
      <c r="BW38" s="218"/>
      <c r="BX38" s="218"/>
      <c r="BY38" s="218"/>
      <c r="BZ38" s="218"/>
      <c r="CA38" s="218"/>
      <c r="CB38" s="218"/>
      <c r="CC38" s="218"/>
      <c r="CD38" s="218"/>
      <c r="CE38" s="156">
        <f t="shared" si="20"/>
        <v>2</v>
      </c>
      <c r="CF38" s="190">
        <f t="shared" si="21"/>
        <v>25</v>
      </c>
      <c r="CG38" s="209"/>
      <c r="CH38" s="153"/>
      <c r="CI38" s="217"/>
      <c r="CJ38" s="219"/>
      <c r="CK38" s="219"/>
      <c r="CL38" s="219"/>
      <c r="CM38" s="219"/>
      <c r="CN38" s="217"/>
      <c r="CO38" s="221"/>
      <c r="CP38" s="221"/>
      <c r="CQ38" s="161"/>
      <c r="CR38" s="163">
        <f t="shared" si="22"/>
        <v>0</v>
      </c>
      <c r="CS38" s="194" t="str">
        <f t="shared" si="23"/>
        <v>#DIV/0!</v>
      </c>
      <c r="CT38" s="196"/>
      <c r="CU38" s="167">
        <f t="shared" si="24"/>
        <v>18.18181818</v>
      </c>
      <c r="CV38" s="169">
        <f t="shared" si="9"/>
        <v>6</v>
      </c>
      <c r="CW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10"/>
        <v>2</v>
      </c>
      <c r="E39" s="127">
        <f t="shared" si="11"/>
        <v>6.060606061</v>
      </c>
      <c r="F39" s="200">
        <f t="shared" si="12"/>
        <v>6.060606061</v>
      </c>
      <c r="G39" s="207">
        <f t="shared" si="13"/>
        <v>6.060606061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4"/>
        <v>0</v>
      </c>
      <c r="S39" s="137">
        <f t="shared" si="15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9"/>
      <c r="AJ39" s="239"/>
      <c r="AK39" s="135">
        <f t="shared" si="16"/>
        <v>0</v>
      </c>
      <c r="AL39" s="183">
        <f t="shared" si="17"/>
        <v>0</v>
      </c>
      <c r="AM39" s="241"/>
      <c r="AN39" s="241"/>
      <c r="AO39" s="233"/>
      <c r="AP39" s="138"/>
      <c r="AQ39" s="138"/>
      <c r="AR39" s="132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5">
        <f t="shared" si="18"/>
        <v>0</v>
      </c>
      <c r="BI39" s="186">
        <f t="shared" si="19"/>
        <v>0</v>
      </c>
      <c r="BJ39" s="138"/>
      <c r="BK39" s="170">
        <v>1.0</v>
      </c>
      <c r="BL39" s="138"/>
      <c r="BM39" s="151">
        <v>1.0</v>
      </c>
      <c r="BN39" s="138"/>
      <c r="BO39" s="138"/>
      <c r="BP39" s="138"/>
      <c r="BR39" s="140"/>
      <c r="BS39" s="152"/>
      <c r="BT39" s="152"/>
      <c r="BU39" s="152"/>
      <c r="BV39" s="217"/>
      <c r="BW39" s="218"/>
      <c r="BX39" s="218"/>
      <c r="BY39" s="218"/>
      <c r="BZ39" s="218"/>
      <c r="CA39" s="218"/>
      <c r="CB39" s="218"/>
      <c r="CC39" s="218"/>
      <c r="CD39" s="218"/>
      <c r="CE39" s="156">
        <f t="shared" si="20"/>
        <v>2</v>
      </c>
      <c r="CF39" s="190">
        <f t="shared" si="21"/>
        <v>25</v>
      </c>
      <c r="CG39" s="233"/>
      <c r="CH39" s="153"/>
      <c r="CI39" s="217"/>
      <c r="CJ39" s="219"/>
      <c r="CK39" s="219"/>
      <c r="CL39" s="219"/>
      <c r="CM39" s="219"/>
      <c r="CN39" s="217"/>
      <c r="CO39" s="221"/>
      <c r="CP39" s="221"/>
      <c r="CQ39" s="161"/>
      <c r="CR39" s="163">
        <f t="shared" si="22"/>
        <v>0</v>
      </c>
      <c r="CS39" s="194" t="str">
        <f t="shared" si="23"/>
        <v>#DIV/0!</v>
      </c>
      <c r="CT39" s="196"/>
      <c r="CU39" s="167">
        <f t="shared" si="24"/>
        <v>6.060606061</v>
      </c>
      <c r="CV39" s="169">
        <f t="shared" si="9"/>
        <v>2</v>
      </c>
      <c r="CW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10"/>
        <v>8</v>
      </c>
      <c r="E40" s="127">
        <f t="shared" si="11"/>
        <v>24.24242424</v>
      </c>
      <c r="F40" s="200">
        <f t="shared" si="12"/>
        <v>24.24242424</v>
      </c>
      <c r="G40" s="207">
        <f t="shared" si="13"/>
        <v>24.24242424</v>
      </c>
      <c r="H40" s="132"/>
      <c r="I40" s="132"/>
      <c r="J40" s="201"/>
      <c r="K40" s="201"/>
      <c r="L40" s="201"/>
      <c r="M40" s="201"/>
      <c r="N40" s="201"/>
      <c r="O40" s="245">
        <v>1.0</v>
      </c>
      <c r="P40" s="201"/>
      <c r="Q40" s="201"/>
      <c r="R40" s="135">
        <f t="shared" si="14"/>
        <v>1</v>
      </c>
      <c r="S40" s="137">
        <f t="shared" si="15"/>
        <v>20</v>
      </c>
      <c r="T40" s="138"/>
      <c r="U40" s="138"/>
      <c r="V40" s="138"/>
      <c r="W40" s="132"/>
      <c r="X40" s="132"/>
      <c r="Y40" s="138"/>
      <c r="Z40" s="138"/>
      <c r="AA40" s="151">
        <v>1.0</v>
      </c>
      <c r="AB40" s="209"/>
      <c r="AC40" s="140"/>
      <c r="AD40" s="150">
        <v>1.0</v>
      </c>
      <c r="AE40" s="141"/>
      <c r="AF40" s="210"/>
      <c r="AG40" s="211">
        <v>1.0</v>
      </c>
      <c r="AH40" s="210"/>
      <c r="AI40" s="212"/>
      <c r="AJ40" s="212"/>
      <c r="AK40" s="135">
        <f t="shared" si="16"/>
        <v>3</v>
      </c>
      <c r="AL40" s="183">
        <f t="shared" si="17"/>
        <v>27.27272727</v>
      </c>
      <c r="AM40" s="214"/>
      <c r="AN40" s="214"/>
      <c r="AO40" s="209"/>
      <c r="AP40" s="138"/>
      <c r="AQ40" s="138"/>
      <c r="AR40" s="132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85">
        <v>1.0</v>
      </c>
      <c r="BE40" s="133"/>
      <c r="BF40" s="133"/>
      <c r="BG40" s="185">
        <v>1.0</v>
      </c>
      <c r="BH40" s="135">
        <f t="shared" si="18"/>
        <v>2</v>
      </c>
      <c r="BI40" s="186">
        <f t="shared" si="19"/>
        <v>22.22222222</v>
      </c>
      <c r="BJ40" s="138"/>
      <c r="BK40" s="170">
        <v>1.0</v>
      </c>
      <c r="BL40" s="138"/>
      <c r="BM40" s="138"/>
      <c r="BN40" s="138"/>
      <c r="BO40" s="138"/>
      <c r="BP40" s="138"/>
      <c r="BR40" s="150">
        <v>1.0</v>
      </c>
      <c r="BS40" s="152"/>
      <c r="BT40" s="152"/>
      <c r="BU40" s="152"/>
      <c r="BV40" s="217"/>
      <c r="BW40" s="218"/>
      <c r="BX40" s="218"/>
      <c r="BY40" s="218"/>
      <c r="BZ40" s="218"/>
      <c r="CA40" s="218"/>
      <c r="CB40" s="218"/>
      <c r="CC40" s="218"/>
      <c r="CD40" s="218"/>
      <c r="CE40" s="156">
        <f t="shared" si="20"/>
        <v>2</v>
      </c>
      <c r="CF40" s="190">
        <f t="shared" si="21"/>
        <v>25</v>
      </c>
      <c r="CG40" s="209"/>
      <c r="CH40" s="153"/>
      <c r="CI40" s="217"/>
      <c r="CJ40" s="219"/>
      <c r="CK40" s="219"/>
      <c r="CL40" s="219"/>
      <c r="CM40" s="219"/>
      <c r="CN40" s="217"/>
      <c r="CO40" s="221"/>
      <c r="CP40" s="221"/>
      <c r="CQ40" s="161"/>
      <c r="CR40" s="163">
        <f t="shared" si="22"/>
        <v>0</v>
      </c>
      <c r="CS40" s="194" t="str">
        <f t="shared" si="23"/>
        <v>#DIV/0!</v>
      </c>
      <c r="CT40" s="196"/>
      <c r="CU40" s="167">
        <f t="shared" si="24"/>
        <v>24.24242424</v>
      </c>
      <c r="CV40" s="169">
        <f t="shared" si="9"/>
        <v>8</v>
      </c>
      <c r="CW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10"/>
        <v>9</v>
      </c>
      <c r="E41" s="127">
        <f t="shared" si="11"/>
        <v>27.27272727</v>
      </c>
      <c r="F41" s="200">
        <f t="shared" si="12"/>
        <v>27.27272727</v>
      </c>
      <c r="G41" s="207">
        <f t="shared" si="13"/>
        <v>27.27272727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4"/>
        <v>0</v>
      </c>
      <c r="S41" s="137">
        <f t="shared" si="15"/>
        <v>0</v>
      </c>
      <c r="T41" s="138"/>
      <c r="U41" s="138"/>
      <c r="V41" s="138"/>
      <c r="W41" s="132"/>
      <c r="X41" s="132"/>
      <c r="Y41" s="138"/>
      <c r="Z41" s="138"/>
      <c r="AA41" s="151">
        <v>1.0</v>
      </c>
      <c r="AB41" s="225">
        <v>1.0</v>
      </c>
      <c r="AC41" s="140"/>
      <c r="AD41" s="140"/>
      <c r="AE41" s="320">
        <v>1.0</v>
      </c>
      <c r="AF41" s="210"/>
      <c r="AG41" s="211">
        <v>1.0</v>
      </c>
      <c r="AH41" s="210"/>
      <c r="AI41" s="212"/>
      <c r="AJ41" s="212"/>
      <c r="AK41" s="135">
        <f t="shared" si="16"/>
        <v>4</v>
      </c>
      <c r="AL41" s="183">
        <f t="shared" si="17"/>
        <v>36.36363636</v>
      </c>
      <c r="AM41" s="322">
        <v>1.0</v>
      </c>
      <c r="AN41" s="214"/>
      <c r="AO41" s="209"/>
      <c r="AP41" s="138"/>
      <c r="AQ41" s="138"/>
      <c r="AR41" s="132"/>
      <c r="AS41" s="133"/>
      <c r="AT41" s="133"/>
      <c r="AU41" s="133"/>
      <c r="AV41" s="133"/>
      <c r="AW41" s="185">
        <v>1.0</v>
      </c>
      <c r="AX41" s="133"/>
      <c r="AY41" s="133"/>
      <c r="AZ41" s="133"/>
      <c r="BA41" s="133"/>
      <c r="BB41" s="133"/>
      <c r="BC41" s="133"/>
      <c r="BD41" s="185">
        <v>1.0</v>
      </c>
      <c r="BE41" s="133"/>
      <c r="BF41" s="133"/>
      <c r="BG41" s="133"/>
      <c r="BH41" s="135">
        <f t="shared" si="18"/>
        <v>3</v>
      </c>
      <c r="BI41" s="186">
        <f t="shared" si="19"/>
        <v>33.33333333</v>
      </c>
      <c r="BJ41" s="138"/>
      <c r="BK41" s="170">
        <v>1.0</v>
      </c>
      <c r="BL41" s="138"/>
      <c r="BM41" s="138"/>
      <c r="BN41" s="151">
        <v>1.0</v>
      </c>
      <c r="BO41" s="138"/>
      <c r="BP41" s="138"/>
      <c r="BR41" s="140"/>
      <c r="BS41" s="152"/>
      <c r="BT41" s="152"/>
      <c r="BU41" s="152"/>
      <c r="BV41" s="217"/>
      <c r="BW41" s="218"/>
      <c r="BX41" s="218"/>
      <c r="BY41" s="218"/>
      <c r="BZ41" s="218"/>
      <c r="CA41" s="218"/>
      <c r="CB41" s="218"/>
      <c r="CC41" s="218"/>
      <c r="CD41" s="218"/>
      <c r="CE41" s="156">
        <f t="shared" si="20"/>
        <v>2</v>
      </c>
      <c r="CF41" s="190">
        <f t="shared" si="21"/>
        <v>25</v>
      </c>
      <c r="CG41" s="209"/>
      <c r="CH41" s="153"/>
      <c r="CI41" s="217"/>
      <c r="CJ41" s="219"/>
      <c r="CK41" s="219"/>
      <c r="CL41" s="219"/>
      <c r="CM41" s="219"/>
      <c r="CN41" s="217"/>
      <c r="CO41" s="221"/>
      <c r="CP41" s="221"/>
      <c r="CQ41" s="161"/>
      <c r="CR41" s="163">
        <f t="shared" si="22"/>
        <v>0</v>
      </c>
      <c r="CS41" s="194" t="str">
        <f t="shared" si="23"/>
        <v>#DIV/0!</v>
      </c>
      <c r="CT41" s="196"/>
      <c r="CU41" s="167">
        <f t="shared" si="24"/>
        <v>27.27272727</v>
      </c>
      <c r="CV41" s="169">
        <f t="shared" si="9"/>
        <v>9</v>
      </c>
      <c r="CW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10"/>
        <v>4</v>
      </c>
      <c r="E42" s="127">
        <f t="shared" si="11"/>
        <v>12.12121212</v>
      </c>
      <c r="F42" s="200">
        <f t="shared" si="12"/>
        <v>12.12121212</v>
      </c>
      <c r="G42" s="207">
        <f t="shared" si="13"/>
        <v>12.12121212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4"/>
        <v>0</v>
      </c>
      <c r="S42" s="137">
        <f t="shared" si="15"/>
        <v>0</v>
      </c>
      <c r="T42" s="138"/>
      <c r="U42" s="138"/>
      <c r="V42" s="138"/>
      <c r="W42" s="132"/>
      <c r="X42" s="132"/>
      <c r="Y42" s="138"/>
      <c r="Z42" s="138"/>
      <c r="AA42" s="138"/>
      <c r="AB42" s="209"/>
      <c r="AC42" s="140"/>
      <c r="AD42" s="150">
        <v>1.0</v>
      </c>
      <c r="AE42" s="141"/>
      <c r="AF42" s="210"/>
      <c r="AG42" s="210"/>
      <c r="AH42" s="210"/>
      <c r="AI42" s="212"/>
      <c r="AJ42" s="212"/>
      <c r="AK42" s="135">
        <f t="shared" si="16"/>
        <v>1</v>
      </c>
      <c r="AL42" s="183">
        <f t="shared" si="17"/>
        <v>9.090909091</v>
      </c>
      <c r="AM42" s="214"/>
      <c r="AN42" s="214"/>
      <c r="AO42" s="209"/>
      <c r="AP42" s="138"/>
      <c r="AQ42" s="138"/>
      <c r="AR42" s="132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5">
        <f t="shared" si="18"/>
        <v>0</v>
      </c>
      <c r="BI42" s="186">
        <f t="shared" si="19"/>
        <v>0</v>
      </c>
      <c r="BJ42" s="138"/>
      <c r="BK42" s="170">
        <v>1.0</v>
      </c>
      <c r="BL42" s="138"/>
      <c r="BM42" s="151">
        <v>1.0</v>
      </c>
      <c r="BN42" s="151">
        <v>1.0</v>
      </c>
      <c r="BO42" s="138"/>
      <c r="BP42" s="138"/>
      <c r="BR42" s="140"/>
      <c r="BS42" s="152"/>
      <c r="BT42" s="152"/>
      <c r="BU42" s="152"/>
      <c r="BV42" s="217"/>
      <c r="BW42" s="218"/>
      <c r="BX42" s="218"/>
      <c r="BY42" s="218"/>
      <c r="BZ42" s="218"/>
      <c r="CA42" s="218"/>
      <c r="CB42" s="218"/>
      <c r="CC42" s="218"/>
      <c r="CD42" s="218"/>
      <c r="CE42" s="156">
        <f t="shared" si="20"/>
        <v>3</v>
      </c>
      <c r="CF42" s="190">
        <f t="shared" si="21"/>
        <v>37.5</v>
      </c>
      <c r="CG42" s="209"/>
      <c r="CH42" s="153"/>
      <c r="CI42" s="217"/>
      <c r="CJ42" s="219"/>
      <c r="CK42" s="219"/>
      <c r="CL42" s="219"/>
      <c r="CM42" s="219"/>
      <c r="CN42" s="217"/>
      <c r="CO42" s="221"/>
      <c r="CP42" s="221"/>
      <c r="CQ42" s="161"/>
      <c r="CR42" s="163">
        <f t="shared" si="22"/>
        <v>0</v>
      </c>
      <c r="CS42" s="194" t="str">
        <f t="shared" si="23"/>
        <v>#DIV/0!</v>
      </c>
      <c r="CT42" s="196"/>
      <c r="CU42" s="167">
        <f t="shared" si="24"/>
        <v>12.12121212</v>
      </c>
      <c r="CV42" s="169">
        <f t="shared" si="9"/>
        <v>4</v>
      </c>
      <c r="CW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10"/>
        <v>11</v>
      </c>
      <c r="E43" s="127">
        <f t="shared" si="11"/>
        <v>33.33333333</v>
      </c>
      <c r="F43" s="200">
        <f t="shared" si="12"/>
        <v>33.33333333</v>
      </c>
      <c r="G43" s="177" t="str">
        <f t="shared" si="13"/>
        <v>  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4"/>
        <v>0</v>
      </c>
      <c r="S43" s="137">
        <f t="shared" si="15"/>
        <v>0</v>
      </c>
      <c r="T43" s="138"/>
      <c r="U43" s="138"/>
      <c r="V43" s="138"/>
      <c r="W43" s="132"/>
      <c r="X43" s="132"/>
      <c r="Y43" s="138"/>
      <c r="Z43" s="138"/>
      <c r="AA43" s="151">
        <v>1.0</v>
      </c>
      <c r="AB43" s="235">
        <v>1.0</v>
      </c>
      <c r="AC43" s="140"/>
      <c r="AD43" s="150">
        <v>1.0</v>
      </c>
      <c r="AE43" s="320">
        <v>1.0</v>
      </c>
      <c r="AF43" s="226"/>
      <c r="AG43" s="226"/>
      <c r="AH43" s="226"/>
      <c r="AI43" s="218"/>
      <c r="AJ43" s="218"/>
      <c r="AK43" s="135">
        <f t="shared" si="16"/>
        <v>4</v>
      </c>
      <c r="AL43" s="183">
        <f t="shared" si="17"/>
        <v>36.36363636</v>
      </c>
      <c r="AM43" s="323">
        <v>1.0</v>
      </c>
      <c r="AN43" s="228"/>
      <c r="AO43" s="217"/>
      <c r="AP43" s="138"/>
      <c r="AQ43" s="138"/>
      <c r="AR43" s="132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85">
        <v>1.0</v>
      </c>
      <c r="BG43" s="133"/>
      <c r="BH43" s="135">
        <f t="shared" si="18"/>
        <v>2</v>
      </c>
      <c r="BI43" s="186">
        <f t="shared" si="19"/>
        <v>22.22222222</v>
      </c>
      <c r="BJ43" s="151">
        <v>1.0</v>
      </c>
      <c r="BK43" s="170">
        <v>1.0</v>
      </c>
      <c r="BL43" s="138"/>
      <c r="BM43" s="151">
        <v>1.0</v>
      </c>
      <c r="BN43" s="151">
        <v>1.0</v>
      </c>
      <c r="BO43" s="138"/>
      <c r="BP43" s="138"/>
      <c r="BR43" s="150">
        <v>1.0</v>
      </c>
      <c r="BS43" s="152"/>
      <c r="BT43" s="152"/>
      <c r="BU43" s="152"/>
      <c r="BV43" s="217"/>
      <c r="BW43" s="218"/>
      <c r="BX43" s="218"/>
      <c r="BY43" s="218"/>
      <c r="BZ43" s="218"/>
      <c r="CA43" s="218"/>
      <c r="CB43" s="218"/>
      <c r="CC43" s="218"/>
      <c r="CD43" s="218"/>
      <c r="CE43" s="156">
        <f t="shared" si="20"/>
        <v>5</v>
      </c>
      <c r="CF43" s="190">
        <f t="shared" si="21"/>
        <v>62.5</v>
      </c>
      <c r="CG43" s="217"/>
      <c r="CH43" s="153"/>
      <c r="CI43" s="217"/>
      <c r="CJ43" s="219"/>
      <c r="CK43" s="219"/>
      <c r="CL43" s="219"/>
      <c r="CM43" s="219"/>
      <c r="CN43" s="217"/>
      <c r="CO43" s="221"/>
      <c r="CP43" s="221"/>
      <c r="CQ43" s="161"/>
      <c r="CR43" s="163">
        <f t="shared" si="22"/>
        <v>0</v>
      </c>
      <c r="CS43" s="194" t="str">
        <f t="shared" si="23"/>
        <v>#DIV/0!</v>
      </c>
      <c r="CT43" s="196"/>
      <c r="CU43" s="167">
        <f t="shared" si="24"/>
        <v>33.33333333</v>
      </c>
      <c r="CV43" s="169">
        <f t="shared" si="9"/>
        <v>11</v>
      </c>
      <c r="CW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10"/>
        <v>11</v>
      </c>
      <c r="E44" s="127">
        <f t="shared" si="11"/>
        <v>33.33333333</v>
      </c>
      <c r="F44" s="200">
        <f t="shared" si="12"/>
        <v>33.33333333</v>
      </c>
      <c r="G44" s="177" t="str">
        <f t="shared" si="13"/>
        <v>  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135">
        <f t="shared" si="14"/>
        <v>0</v>
      </c>
      <c r="S44" s="137">
        <f t="shared" si="15"/>
        <v>0</v>
      </c>
      <c r="T44" s="138"/>
      <c r="U44" s="138"/>
      <c r="V44" s="138"/>
      <c r="W44" s="132"/>
      <c r="X44" s="132"/>
      <c r="Y44" s="138"/>
      <c r="Z44" s="138"/>
      <c r="AA44" s="138"/>
      <c r="AB44" s="235">
        <v>1.0</v>
      </c>
      <c r="AC44" s="140"/>
      <c r="AD44" s="150">
        <v>1.0</v>
      </c>
      <c r="AE44" s="320">
        <v>1.0</v>
      </c>
      <c r="AF44" s="226"/>
      <c r="AG44" s="238">
        <v>1.0</v>
      </c>
      <c r="AH44" s="226"/>
      <c r="AI44" s="218"/>
      <c r="AJ44" s="218"/>
      <c r="AK44" s="135">
        <f t="shared" si="16"/>
        <v>4</v>
      </c>
      <c r="AL44" s="183">
        <f t="shared" si="17"/>
        <v>36.36363636</v>
      </c>
      <c r="AM44" s="228"/>
      <c r="AN44" s="228"/>
      <c r="AO44" s="217"/>
      <c r="AP44" s="138"/>
      <c r="AQ44" s="138"/>
      <c r="AR44" s="132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85">
        <v>1.0</v>
      </c>
      <c r="BE44" s="133"/>
      <c r="BF44" s="185">
        <v>1.0</v>
      </c>
      <c r="BG44" s="185">
        <v>1.0</v>
      </c>
      <c r="BH44" s="135">
        <f t="shared" si="18"/>
        <v>3</v>
      </c>
      <c r="BI44" s="186">
        <f t="shared" si="19"/>
        <v>33.33333333</v>
      </c>
      <c r="BJ44" s="138"/>
      <c r="BK44" s="170">
        <v>1.0</v>
      </c>
      <c r="BL44" s="138"/>
      <c r="BM44" s="151">
        <v>1.0</v>
      </c>
      <c r="BN44" s="138"/>
      <c r="BO44" s="138"/>
      <c r="BP44" s="138"/>
      <c r="BR44" s="150">
        <v>1.0</v>
      </c>
      <c r="BS44" s="187">
        <v>1.0</v>
      </c>
      <c r="BT44" s="152"/>
      <c r="BU44" s="152"/>
      <c r="BV44" s="217"/>
      <c r="BW44" s="218"/>
      <c r="BX44" s="218"/>
      <c r="BY44" s="218"/>
      <c r="BZ44" s="218"/>
      <c r="CA44" s="218"/>
      <c r="CB44" s="218"/>
      <c r="CC44" s="218"/>
      <c r="CD44" s="218"/>
      <c r="CE44" s="156">
        <f t="shared" si="20"/>
        <v>4</v>
      </c>
      <c r="CF44" s="190">
        <f t="shared" si="21"/>
        <v>50</v>
      </c>
      <c r="CG44" s="217"/>
      <c r="CH44" s="153"/>
      <c r="CI44" s="217"/>
      <c r="CJ44" s="219"/>
      <c r="CK44" s="219"/>
      <c r="CL44" s="219"/>
      <c r="CM44" s="219"/>
      <c r="CN44" s="217"/>
      <c r="CO44" s="221"/>
      <c r="CP44" s="221"/>
      <c r="CQ44" s="161"/>
      <c r="CR44" s="163">
        <f t="shared" si="22"/>
        <v>0</v>
      </c>
      <c r="CS44" s="194" t="str">
        <f t="shared" si="23"/>
        <v>#DIV/0!</v>
      </c>
      <c r="CT44" s="196"/>
      <c r="CU44" s="167">
        <f t="shared" si="24"/>
        <v>33.33333333</v>
      </c>
      <c r="CV44" s="169">
        <f t="shared" si="9"/>
        <v>11</v>
      </c>
      <c r="CW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10"/>
        <v>0</v>
      </c>
      <c r="E45" s="127">
        <f t="shared" si="11"/>
        <v>0</v>
      </c>
      <c r="F45" s="200">
        <f t="shared" si="12"/>
        <v>0</v>
      </c>
      <c r="G45" s="207">
        <f t="shared" si="13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4"/>
        <v>0</v>
      </c>
      <c r="S45" s="137">
        <f t="shared" si="15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2"/>
      <c r="AJ45" s="212"/>
      <c r="AK45" s="135">
        <f t="shared" si="16"/>
        <v>0</v>
      </c>
      <c r="AL45" s="183">
        <f t="shared" si="17"/>
        <v>0</v>
      </c>
      <c r="AM45" s="214"/>
      <c r="AN45" s="214"/>
      <c r="AO45" s="209"/>
      <c r="AP45" s="138"/>
      <c r="AQ45" s="138"/>
      <c r="AR45" s="132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5">
        <f t="shared" si="18"/>
        <v>0</v>
      </c>
      <c r="BI45" s="186">
        <f t="shared" si="19"/>
        <v>0</v>
      </c>
      <c r="BJ45" s="138"/>
      <c r="BK45" s="132"/>
      <c r="BL45" s="138"/>
      <c r="BM45" s="138"/>
      <c r="BN45" s="138"/>
      <c r="BO45" s="138"/>
      <c r="BP45" s="138"/>
      <c r="BR45" s="140"/>
      <c r="BS45" s="152"/>
      <c r="BT45" s="152"/>
      <c r="BU45" s="152"/>
      <c r="BV45" s="217"/>
      <c r="BW45" s="218"/>
      <c r="BX45" s="218"/>
      <c r="BY45" s="218"/>
      <c r="BZ45" s="218"/>
      <c r="CA45" s="218"/>
      <c r="CB45" s="218"/>
      <c r="CC45" s="218"/>
      <c r="CD45" s="218"/>
      <c r="CE45" s="156">
        <f t="shared" si="20"/>
        <v>0</v>
      </c>
      <c r="CF45" s="190">
        <f t="shared" si="21"/>
        <v>0</v>
      </c>
      <c r="CG45" s="209"/>
      <c r="CH45" s="153"/>
      <c r="CI45" s="217"/>
      <c r="CJ45" s="219"/>
      <c r="CK45" s="219"/>
      <c r="CL45" s="219"/>
      <c r="CM45" s="219"/>
      <c r="CN45" s="217"/>
      <c r="CO45" s="221"/>
      <c r="CP45" s="221"/>
      <c r="CQ45" s="161"/>
      <c r="CR45" s="163">
        <f t="shared" si="22"/>
        <v>0</v>
      </c>
      <c r="CS45" s="194" t="str">
        <f t="shared" si="23"/>
        <v>#DIV/0!</v>
      </c>
      <c r="CT45" s="196"/>
      <c r="CU45" s="167">
        <f t="shared" si="24"/>
        <v>0</v>
      </c>
      <c r="CV45" s="169">
        <f t="shared" si="9"/>
        <v>0</v>
      </c>
      <c r="CW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10"/>
        <v>6</v>
      </c>
      <c r="E46" s="127">
        <f t="shared" si="11"/>
        <v>18.18181818</v>
      </c>
      <c r="F46" s="200">
        <f t="shared" si="12"/>
        <v>18.18181818</v>
      </c>
      <c r="G46" s="207">
        <f t="shared" si="13"/>
        <v>18.18181818</v>
      </c>
      <c r="H46" s="132"/>
      <c r="I46" s="132"/>
      <c r="J46" s="201"/>
      <c r="K46" s="201"/>
      <c r="L46" s="201"/>
      <c r="M46" s="201"/>
      <c r="N46" s="201"/>
      <c r="O46" s="245">
        <v>1.0</v>
      </c>
      <c r="P46" s="201"/>
      <c r="Q46" s="201"/>
      <c r="R46" s="135">
        <f t="shared" si="14"/>
        <v>1</v>
      </c>
      <c r="S46" s="137">
        <f t="shared" si="15"/>
        <v>20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50">
        <v>1.0</v>
      </c>
      <c r="AE46" s="141"/>
      <c r="AF46" s="210"/>
      <c r="AG46" s="210"/>
      <c r="AH46" s="210"/>
      <c r="AI46" s="212"/>
      <c r="AJ46" s="212"/>
      <c r="AK46" s="135">
        <f t="shared" si="16"/>
        <v>1</v>
      </c>
      <c r="AL46" s="183">
        <f t="shared" si="17"/>
        <v>9.090909091</v>
      </c>
      <c r="AM46" s="214"/>
      <c r="AN46" s="214"/>
      <c r="AO46" s="209"/>
      <c r="AP46" s="138"/>
      <c r="AQ46" s="138"/>
      <c r="AR46" s="132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85">
        <v>1.0</v>
      </c>
      <c r="BE46" s="133"/>
      <c r="BF46" s="133"/>
      <c r="BG46" s="185">
        <v>1.0</v>
      </c>
      <c r="BH46" s="135">
        <f t="shared" si="18"/>
        <v>2</v>
      </c>
      <c r="BI46" s="186">
        <f t="shared" si="19"/>
        <v>22.22222222</v>
      </c>
      <c r="BJ46" s="138"/>
      <c r="BK46" s="132"/>
      <c r="BL46" s="138"/>
      <c r="BM46" s="151">
        <v>1.0</v>
      </c>
      <c r="BN46" s="138"/>
      <c r="BO46" s="138"/>
      <c r="BP46" s="138"/>
      <c r="BR46" s="150">
        <v>1.0</v>
      </c>
      <c r="BS46" s="152"/>
      <c r="BT46" s="152"/>
      <c r="BU46" s="152"/>
      <c r="BV46" s="217"/>
      <c r="BW46" s="218"/>
      <c r="BX46" s="218"/>
      <c r="BY46" s="218"/>
      <c r="BZ46" s="218"/>
      <c r="CA46" s="218"/>
      <c r="CB46" s="218"/>
      <c r="CC46" s="218"/>
      <c r="CD46" s="218"/>
      <c r="CE46" s="156">
        <f t="shared" si="20"/>
        <v>2</v>
      </c>
      <c r="CF46" s="190">
        <f t="shared" si="21"/>
        <v>25</v>
      </c>
      <c r="CG46" s="209"/>
      <c r="CH46" s="153"/>
      <c r="CI46" s="217"/>
      <c r="CJ46" s="219"/>
      <c r="CK46" s="219"/>
      <c r="CL46" s="219"/>
      <c r="CM46" s="219"/>
      <c r="CN46" s="217"/>
      <c r="CO46" s="221"/>
      <c r="CP46" s="221"/>
      <c r="CQ46" s="161"/>
      <c r="CR46" s="163">
        <f t="shared" si="22"/>
        <v>0</v>
      </c>
      <c r="CS46" s="194" t="str">
        <f t="shared" si="23"/>
        <v>#DIV/0!</v>
      </c>
      <c r="CT46" s="196"/>
      <c r="CU46" s="167">
        <f t="shared" si="24"/>
        <v>18.18181818</v>
      </c>
      <c r="CV46" s="169">
        <f t="shared" si="9"/>
        <v>6</v>
      </c>
      <c r="CW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10"/>
        <v>15</v>
      </c>
      <c r="E47" s="127">
        <f t="shared" si="11"/>
        <v>45.45454545</v>
      </c>
      <c r="F47" s="200">
        <f t="shared" si="12"/>
        <v>45.45454545</v>
      </c>
      <c r="G47" s="177" t="str">
        <f t="shared" si="13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4"/>
        <v>0</v>
      </c>
      <c r="S47" s="137">
        <f t="shared" si="15"/>
        <v>0</v>
      </c>
      <c r="T47" s="138"/>
      <c r="U47" s="138"/>
      <c r="V47" s="138"/>
      <c r="W47" s="132"/>
      <c r="X47" s="132"/>
      <c r="Y47" s="138"/>
      <c r="Z47" s="138"/>
      <c r="AA47" s="151">
        <v>1.0</v>
      </c>
      <c r="AB47" s="225">
        <v>1.0</v>
      </c>
      <c r="AC47" s="140"/>
      <c r="AD47" s="150">
        <v>1.0</v>
      </c>
      <c r="AE47" s="320">
        <v>1.0</v>
      </c>
      <c r="AF47" s="210"/>
      <c r="AG47" s="211">
        <v>1.0</v>
      </c>
      <c r="AH47" s="211">
        <v>1.0</v>
      </c>
      <c r="AI47" s="212"/>
      <c r="AJ47" s="212"/>
      <c r="AK47" s="135">
        <f t="shared" si="16"/>
        <v>6</v>
      </c>
      <c r="AL47" s="183">
        <f t="shared" si="17"/>
        <v>54.54545455</v>
      </c>
      <c r="AM47" s="214"/>
      <c r="AN47" s="214"/>
      <c r="AO47" s="209"/>
      <c r="AP47" s="138"/>
      <c r="AQ47" s="138"/>
      <c r="AR47" s="132"/>
      <c r="AS47" s="133"/>
      <c r="AT47" s="133"/>
      <c r="AU47" s="133"/>
      <c r="AV47" s="133"/>
      <c r="AW47" s="185">
        <v>1.0</v>
      </c>
      <c r="AX47" s="133"/>
      <c r="AY47" s="133"/>
      <c r="AZ47" s="133"/>
      <c r="BA47" s="133"/>
      <c r="BB47" s="133"/>
      <c r="BC47" s="133"/>
      <c r="BD47" s="133"/>
      <c r="BE47" s="133"/>
      <c r="BF47" s="185">
        <v>1.0</v>
      </c>
      <c r="BG47" s="185">
        <v>1.0</v>
      </c>
      <c r="BH47" s="135">
        <f t="shared" si="18"/>
        <v>3</v>
      </c>
      <c r="BI47" s="186">
        <f t="shared" si="19"/>
        <v>33.33333333</v>
      </c>
      <c r="BJ47" s="138"/>
      <c r="BK47" s="170">
        <v>1.0</v>
      </c>
      <c r="BL47" s="138"/>
      <c r="BM47" s="151">
        <v>1.0</v>
      </c>
      <c r="BN47" s="151">
        <v>1.0</v>
      </c>
      <c r="BO47" s="138"/>
      <c r="BP47" s="138"/>
      <c r="BR47" s="150">
        <v>1.0</v>
      </c>
      <c r="BS47" s="187">
        <v>1.0</v>
      </c>
      <c r="BT47" s="152"/>
      <c r="BU47" s="187">
        <v>1.0</v>
      </c>
      <c r="BV47" s="217"/>
      <c r="BW47" s="218"/>
      <c r="BX47" s="218"/>
      <c r="BY47" s="218"/>
      <c r="BZ47" s="218"/>
      <c r="CA47" s="218"/>
      <c r="CB47" s="218"/>
      <c r="CC47" s="218"/>
      <c r="CD47" s="218"/>
      <c r="CE47" s="156">
        <f t="shared" si="20"/>
        <v>6</v>
      </c>
      <c r="CF47" s="190">
        <f t="shared" si="21"/>
        <v>75</v>
      </c>
      <c r="CG47" s="209"/>
      <c r="CH47" s="153"/>
      <c r="CI47" s="217"/>
      <c r="CJ47" s="219"/>
      <c r="CK47" s="219"/>
      <c r="CL47" s="219"/>
      <c r="CM47" s="219"/>
      <c r="CN47" s="217"/>
      <c r="CO47" s="221"/>
      <c r="CP47" s="221"/>
      <c r="CQ47" s="161"/>
      <c r="CR47" s="163">
        <f t="shared" si="22"/>
        <v>0</v>
      </c>
      <c r="CS47" s="194" t="str">
        <f t="shared" si="23"/>
        <v>#DIV/0!</v>
      </c>
      <c r="CT47" s="196"/>
      <c r="CU47" s="167">
        <f t="shared" si="24"/>
        <v>45.45454545</v>
      </c>
      <c r="CV47" s="169">
        <f t="shared" si="9"/>
        <v>15</v>
      </c>
      <c r="CW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10"/>
        <v>4</v>
      </c>
      <c r="E48" s="127">
        <f t="shared" si="11"/>
        <v>12.12121212</v>
      </c>
      <c r="F48" s="200">
        <f t="shared" si="12"/>
        <v>12.12121212</v>
      </c>
      <c r="G48" s="207">
        <f t="shared" si="13"/>
        <v>12.12121212</v>
      </c>
      <c r="H48" s="258"/>
      <c r="I48" s="259"/>
      <c r="J48" s="260"/>
      <c r="K48" s="260"/>
      <c r="L48" s="260"/>
      <c r="M48" s="260"/>
      <c r="N48" s="260"/>
      <c r="O48" s="260"/>
      <c r="P48" s="260"/>
      <c r="Q48" s="260"/>
      <c r="R48" s="135">
        <f t="shared" si="14"/>
        <v>0</v>
      </c>
      <c r="S48" s="137">
        <f t="shared" si="15"/>
        <v>0</v>
      </c>
      <c r="T48" s="138"/>
      <c r="U48" s="138"/>
      <c r="V48" s="138"/>
      <c r="W48" s="132"/>
      <c r="X48" s="132"/>
      <c r="Y48" s="138"/>
      <c r="Z48" s="138"/>
      <c r="AA48" s="138"/>
      <c r="AB48" s="209"/>
      <c r="AC48" s="140"/>
      <c r="AD48" s="140"/>
      <c r="AE48" s="141"/>
      <c r="AF48" s="210"/>
      <c r="AG48" s="210"/>
      <c r="AH48" s="211">
        <v>1.0</v>
      </c>
      <c r="AI48" s="212"/>
      <c r="AJ48" s="212"/>
      <c r="AK48" s="135">
        <f t="shared" si="16"/>
        <v>1</v>
      </c>
      <c r="AL48" s="183">
        <f t="shared" si="17"/>
        <v>9.090909091</v>
      </c>
      <c r="AM48" s="214"/>
      <c r="AN48" s="214"/>
      <c r="AO48" s="209"/>
      <c r="AP48" s="138"/>
      <c r="AQ48" s="138"/>
      <c r="AR48" s="132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5">
        <f t="shared" si="18"/>
        <v>0</v>
      </c>
      <c r="BI48" s="186">
        <f t="shared" si="19"/>
        <v>0</v>
      </c>
      <c r="BJ48" s="138"/>
      <c r="BK48" s="170">
        <v>1.0</v>
      </c>
      <c r="BL48" s="138"/>
      <c r="BM48" s="151">
        <v>1.0</v>
      </c>
      <c r="BN48" s="151">
        <v>1.0</v>
      </c>
      <c r="BO48" s="138"/>
      <c r="BP48" s="138"/>
      <c r="BR48" s="140"/>
      <c r="BS48" s="152"/>
      <c r="BT48" s="152"/>
      <c r="BU48" s="152"/>
      <c r="BV48" s="217"/>
      <c r="BW48" s="218"/>
      <c r="BX48" s="218"/>
      <c r="BY48" s="218"/>
      <c r="BZ48" s="218"/>
      <c r="CA48" s="218"/>
      <c r="CB48" s="218"/>
      <c r="CC48" s="218"/>
      <c r="CD48" s="218"/>
      <c r="CE48" s="156">
        <f t="shared" si="20"/>
        <v>3</v>
      </c>
      <c r="CF48" s="190">
        <f t="shared" si="21"/>
        <v>37.5</v>
      </c>
      <c r="CG48" s="209"/>
      <c r="CH48" s="153"/>
      <c r="CI48" s="217"/>
      <c r="CJ48" s="219"/>
      <c r="CK48" s="219"/>
      <c r="CL48" s="219"/>
      <c r="CM48" s="219"/>
      <c r="CN48" s="217"/>
      <c r="CO48" s="221"/>
      <c r="CP48" s="221"/>
      <c r="CQ48" s="161"/>
      <c r="CR48" s="163">
        <f t="shared" si="22"/>
        <v>0</v>
      </c>
      <c r="CS48" s="194" t="str">
        <f t="shared" si="23"/>
        <v>#DIV/0!</v>
      </c>
      <c r="CT48" s="196"/>
      <c r="CU48" s="167">
        <f t="shared" si="24"/>
        <v>12.12121212</v>
      </c>
      <c r="CV48" s="169">
        <f t="shared" si="9"/>
        <v>4</v>
      </c>
      <c r="CW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10"/>
        <v>4</v>
      </c>
      <c r="E49" s="127">
        <f t="shared" si="11"/>
        <v>12.12121212</v>
      </c>
      <c r="F49" s="200">
        <f t="shared" si="12"/>
        <v>12.12121212</v>
      </c>
      <c r="G49" s="207">
        <f t="shared" si="13"/>
        <v>12.12121212</v>
      </c>
      <c r="H49" s="258"/>
      <c r="I49" s="261"/>
      <c r="J49" s="262"/>
      <c r="K49" s="262"/>
      <c r="L49" s="262"/>
      <c r="M49" s="262"/>
      <c r="N49" s="262"/>
      <c r="O49" s="262"/>
      <c r="P49" s="262"/>
      <c r="Q49" s="262"/>
      <c r="R49" s="135">
        <f t="shared" si="14"/>
        <v>0</v>
      </c>
      <c r="S49" s="137">
        <f t="shared" si="15"/>
        <v>0</v>
      </c>
      <c r="T49" s="138"/>
      <c r="U49" s="138"/>
      <c r="V49" s="138"/>
      <c r="W49" s="132"/>
      <c r="X49" s="132"/>
      <c r="Y49" s="138"/>
      <c r="Z49" s="138"/>
      <c r="AA49" s="138"/>
      <c r="AB49" s="217"/>
      <c r="AC49" s="140"/>
      <c r="AD49" s="140"/>
      <c r="AE49" s="141"/>
      <c r="AF49" s="226"/>
      <c r="AG49" s="226"/>
      <c r="AH49" s="238">
        <v>1.0</v>
      </c>
      <c r="AI49" s="218"/>
      <c r="AJ49" s="218"/>
      <c r="AK49" s="135">
        <f t="shared" si="16"/>
        <v>1</v>
      </c>
      <c r="AL49" s="183">
        <f t="shared" si="17"/>
        <v>9.090909091</v>
      </c>
      <c r="AM49" s="228"/>
      <c r="AN49" s="228"/>
      <c r="AO49" s="217"/>
      <c r="AP49" s="138"/>
      <c r="AQ49" s="138"/>
      <c r="AR49" s="132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5">
        <f t="shared" si="18"/>
        <v>0</v>
      </c>
      <c r="BI49" s="186">
        <f t="shared" si="19"/>
        <v>0</v>
      </c>
      <c r="BJ49" s="138"/>
      <c r="BK49" s="170">
        <v>1.0</v>
      </c>
      <c r="BL49" s="138"/>
      <c r="BM49" s="151">
        <v>1.0</v>
      </c>
      <c r="BN49" s="151">
        <v>1.0</v>
      </c>
      <c r="BO49" s="138"/>
      <c r="BP49" s="138"/>
      <c r="BR49" s="140"/>
      <c r="BS49" s="152"/>
      <c r="BT49" s="152"/>
      <c r="BU49" s="152"/>
      <c r="BV49" s="217"/>
      <c r="BW49" s="218"/>
      <c r="BX49" s="218"/>
      <c r="BY49" s="218"/>
      <c r="BZ49" s="218"/>
      <c r="CA49" s="218"/>
      <c r="CB49" s="218"/>
      <c r="CC49" s="218"/>
      <c r="CD49" s="218"/>
      <c r="CE49" s="156">
        <f t="shared" si="20"/>
        <v>3</v>
      </c>
      <c r="CF49" s="190">
        <f t="shared" si="21"/>
        <v>37.5</v>
      </c>
      <c r="CG49" s="217"/>
      <c r="CH49" s="153"/>
      <c r="CI49" s="217"/>
      <c r="CJ49" s="219"/>
      <c r="CK49" s="219"/>
      <c r="CL49" s="219"/>
      <c r="CM49" s="219"/>
      <c r="CN49" s="217"/>
      <c r="CO49" s="221"/>
      <c r="CP49" s="221"/>
      <c r="CQ49" s="161"/>
      <c r="CR49" s="163">
        <f t="shared" si="22"/>
        <v>0</v>
      </c>
      <c r="CS49" s="194" t="str">
        <f t="shared" si="23"/>
        <v>#DIV/0!</v>
      </c>
      <c r="CT49" s="196"/>
      <c r="CU49" s="167">
        <f t="shared" si="24"/>
        <v>12.12121212</v>
      </c>
      <c r="CV49" s="169">
        <f t="shared" si="9"/>
        <v>4</v>
      </c>
      <c r="CW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10"/>
        <v>5</v>
      </c>
      <c r="E50" s="127">
        <f t="shared" si="11"/>
        <v>15.15151515</v>
      </c>
      <c r="F50" s="200">
        <f t="shared" si="12"/>
        <v>15.15151515</v>
      </c>
      <c r="G50" s="207">
        <f t="shared" si="13"/>
        <v>15.15151515</v>
      </c>
      <c r="H50" s="258"/>
      <c r="I50" s="258"/>
      <c r="J50" s="263"/>
      <c r="K50" s="263"/>
      <c r="L50" s="269">
        <v>1.0</v>
      </c>
      <c r="M50" s="263"/>
      <c r="N50" s="263"/>
      <c r="O50" s="269">
        <v>1.0</v>
      </c>
      <c r="P50" s="263"/>
      <c r="Q50" s="263"/>
      <c r="R50" s="135">
        <f t="shared" si="14"/>
        <v>2</v>
      </c>
      <c r="S50" s="137">
        <f t="shared" si="15"/>
        <v>40</v>
      </c>
      <c r="T50" s="138"/>
      <c r="U50" s="138"/>
      <c r="V50" s="138"/>
      <c r="W50" s="132"/>
      <c r="X50" s="132"/>
      <c r="Y50" s="138"/>
      <c r="Z50" s="151">
        <v>1.0</v>
      </c>
      <c r="AA50" s="138"/>
      <c r="AB50" s="233"/>
      <c r="AC50" s="140"/>
      <c r="AD50" s="140"/>
      <c r="AE50" s="141"/>
      <c r="AF50" s="234"/>
      <c r="AG50" s="234"/>
      <c r="AH50" s="234"/>
      <c r="AI50" s="239"/>
      <c r="AJ50" s="239"/>
      <c r="AK50" s="135">
        <f t="shared" si="16"/>
        <v>1</v>
      </c>
      <c r="AL50" s="183">
        <f t="shared" si="17"/>
        <v>9.090909091</v>
      </c>
      <c r="AM50" s="241"/>
      <c r="AN50" s="241"/>
      <c r="AO50" s="233"/>
      <c r="AP50" s="138"/>
      <c r="AQ50" s="138"/>
      <c r="AR50" s="132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85">
        <v>1.0</v>
      </c>
      <c r="BE50" s="133"/>
      <c r="BF50" s="133"/>
      <c r="BG50" s="133"/>
      <c r="BH50" s="135">
        <f t="shared" si="18"/>
        <v>1</v>
      </c>
      <c r="BI50" s="186">
        <f t="shared" si="19"/>
        <v>11.11111111</v>
      </c>
      <c r="BJ50" s="138"/>
      <c r="BK50" s="132"/>
      <c r="BL50" s="138"/>
      <c r="BM50" s="138"/>
      <c r="BN50" s="138"/>
      <c r="BO50" s="138"/>
      <c r="BP50" s="151">
        <v>1.0</v>
      </c>
      <c r="BR50" s="140"/>
      <c r="BS50" s="152"/>
      <c r="BT50" s="152"/>
      <c r="BU50" s="152"/>
      <c r="BV50" s="217"/>
      <c r="BW50" s="218"/>
      <c r="BX50" s="218"/>
      <c r="BY50" s="218"/>
      <c r="BZ50" s="218"/>
      <c r="CA50" s="218"/>
      <c r="CB50" s="218"/>
      <c r="CC50" s="218"/>
      <c r="CD50" s="218"/>
      <c r="CE50" s="156">
        <f t="shared" si="20"/>
        <v>1</v>
      </c>
      <c r="CF50" s="190">
        <f t="shared" si="21"/>
        <v>12.5</v>
      </c>
      <c r="CG50" s="233"/>
      <c r="CH50" s="153"/>
      <c r="CI50" s="217"/>
      <c r="CJ50" s="219"/>
      <c r="CK50" s="219"/>
      <c r="CL50" s="219"/>
      <c r="CM50" s="219"/>
      <c r="CN50" s="217"/>
      <c r="CO50" s="221"/>
      <c r="CP50" s="221"/>
      <c r="CQ50" s="161"/>
      <c r="CR50" s="163">
        <f t="shared" si="22"/>
        <v>0</v>
      </c>
      <c r="CS50" s="194" t="str">
        <f t="shared" si="23"/>
        <v>#DIV/0!</v>
      </c>
      <c r="CT50" s="196"/>
      <c r="CU50" s="167">
        <f t="shared" si="24"/>
        <v>15.15151515</v>
      </c>
      <c r="CV50" s="169">
        <f t="shared" si="9"/>
        <v>5</v>
      </c>
      <c r="CW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10"/>
        <v>10</v>
      </c>
      <c r="E51" s="127">
        <f t="shared" si="11"/>
        <v>30.3030303</v>
      </c>
      <c r="F51" s="200">
        <f t="shared" si="12"/>
        <v>30.3030303</v>
      </c>
      <c r="G51" s="177" t="str">
        <f t="shared" si="13"/>
        <v>  </v>
      </c>
      <c r="H51" s="258"/>
      <c r="I51" s="265"/>
      <c r="J51" s="266"/>
      <c r="K51" s="266"/>
      <c r="L51" s="266"/>
      <c r="M51" s="266"/>
      <c r="N51" s="266"/>
      <c r="O51" s="266"/>
      <c r="P51" s="266"/>
      <c r="Q51" s="266"/>
      <c r="R51" s="135">
        <f t="shared" si="14"/>
        <v>0</v>
      </c>
      <c r="S51" s="137">
        <f t="shared" si="15"/>
        <v>0</v>
      </c>
      <c r="T51" s="138"/>
      <c r="U51" s="138"/>
      <c r="V51" s="138"/>
      <c r="W51" s="132"/>
      <c r="X51" s="132"/>
      <c r="Y51" s="138"/>
      <c r="Z51" s="138"/>
      <c r="AA51" s="151">
        <v>1.0</v>
      </c>
      <c r="AB51" s="254">
        <v>1.0</v>
      </c>
      <c r="AC51" s="140"/>
      <c r="AD51" s="140"/>
      <c r="AE51" s="141"/>
      <c r="AF51" s="248"/>
      <c r="AG51" s="256">
        <v>1.0</v>
      </c>
      <c r="AH51" s="256">
        <v>1.0</v>
      </c>
      <c r="AI51" s="249"/>
      <c r="AJ51" s="249"/>
      <c r="AK51" s="135">
        <f t="shared" si="16"/>
        <v>4</v>
      </c>
      <c r="AL51" s="183">
        <f t="shared" si="17"/>
        <v>36.36363636</v>
      </c>
      <c r="AM51" s="251"/>
      <c r="AN51" s="251"/>
      <c r="AO51" s="247"/>
      <c r="AP51" s="138"/>
      <c r="AQ51" s="138"/>
      <c r="AR51" s="132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85">
        <v>1.0</v>
      </c>
      <c r="BG51" s="185">
        <v>1.0</v>
      </c>
      <c r="BH51" s="135">
        <f t="shared" si="18"/>
        <v>2</v>
      </c>
      <c r="BI51" s="186">
        <f t="shared" si="19"/>
        <v>22.22222222</v>
      </c>
      <c r="BJ51" s="138"/>
      <c r="BK51" s="170">
        <v>1.0</v>
      </c>
      <c r="BL51" s="138"/>
      <c r="BM51" s="138"/>
      <c r="BN51" s="151">
        <v>1.0</v>
      </c>
      <c r="BO51" s="151">
        <v>1.0</v>
      </c>
      <c r="BP51" s="138"/>
      <c r="BR51" s="140"/>
      <c r="BS51" s="187">
        <v>1.0</v>
      </c>
      <c r="BT51" s="152"/>
      <c r="BU51" s="152"/>
      <c r="BV51" s="217"/>
      <c r="BW51" s="218"/>
      <c r="BX51" s="218"/>
      <c r="BY51" s="218"/>
      <c r="BZ51" s="218"/>
      <c r="CA51" s="218"/>
      <c r="CB51" s="218"/>
      <c r="CC51" s="218"/>
      <c r="CD51" s="218"/>
      <c r="CE51" s="156">
        <f t="shared" si="20"/>
        <v>4</v>
      </c>
      <c r="CF51" s="190">
        <f t="shared" si="21"/>
        <v>50</v>
      </c>
      <c r="CG51" s="247"/>
      <c r="CH51" s="153"/>
      <c r="CI51" s="217"/>
      <c r="CJ51" s="219"/>
      <c r="CK51" s="219"/>
      <c r="CL51" s="219"/>
      <c r="CM51" s="219"/>
      <c r="CN51" s="217"/>
      <c r="CO51" s="221"/>
      <c r="CP51" s="221"/>
      <c r="CQ51" s="161"/>
      <c r="CR51" s="163">
        <f t="shared" si="22"/>
        <v>0</v>
      </c>
      <c r="CS51" s="194" t="str">
        <f t="shared" si="23"/>
        <v>#DIV/0!</v>
      </c>
      <c r="CT51" s="196"/>
      <c r="CU51" s="167">
        <f t="shared" si="24"/>
        <v>30.3030303</v>
      </c>
      <c r="CV51" s="169">
        <f t="shared" si="9"/>
        <v>10</v>
      </c>
      <c r="CW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10"/>
        <v>4</v>
      </c>
      <c r="E52" s="127">
        <f t="shared" si="11"/>
        <v>12.12121212</v>
      </c>
      <c r="F52" s="200">
        <f t="shared" si="12"/>
        <v>12.12121212</v>
      </c>
      <c r="G52" s="207">
        <f t="shared" si="13"/>
        <v>12.12121212</v>
      </c>
      <c r="H52" s="258"/>
      <c r="I52" s="258"/>
      <c r="J52" s="263"/>
      <c r="K52" s="269">
        <v>1.0</v>
      </c>
      <c r="L52" s="263"/>
      <c r="M52" s="263"/>
      <c r="N52" s="263"/>
      <c r="O52" s="263"/>
      <c r="P52" s="263"/>
      <c r="Q52" s="263"/>
      <c r="R52" s="135">
        <f t="shared" si="14"/>
        <v>1</v>
      </c>
      <c r="S52" s="137">
        <f t="shared" si="15"/>
        <v>20</v>
      </c>
      <c r="T52" s="138"/>
      <c r="U52" s="138"/>
      <c r="V52" s="138"/>
      <c r="W52" s="132"/>
      <c r="X52" s="132"/>
      <c r="Y52" s="138"/>
      <c r="Z52" s="138"/>
      <c r="AA52" s="151">
        <v>1.0</v>
      </c>
      <c r="AB52" s="209"/>
      <c r="AC52" s="140"/>
      <c r="AD52" s="140"/>
      <c r="AE52" s="141"/>
      <c r="AF52" s="210"/>
      <c r="AG52" s="210"/>
      <c r="AH52" s="210"/>
      <c r="AI52" s="212"/>
      <c r="AJ52" s="212"/>
      <c r="AK52" s="135">
        <f t="shared" si="16"/>
        <v>1</v>
      </c>
      <c r="AL52" s="183">
        <f t="shared" si="17"/>
        <v>9.090909091</v>
      </c>
      <c r="AM52" s="214"/>
      <c r="AN52" s="214"/>
      <c r="AO52" s="209"/>
      <c r="AP52" s="138"/>
      <c r="AQ52" s="138"/>
      <c r="AR52" s="132"/>
      <c r="AS52" s="133"/>
      <c r="AT52" s="133"/>
      <c r="AU52" s="133"/>
      <c r="AV52" s="133"/>
      <c r="AW52" s="185">
        <v>1.0</v>
      </c>
      <c r="AX52" s="133"/>
      <c r="AY52" s="133"/>
      <c r="AZ52" s="133"/>
      <c r="BA52" s="133"/>
      <c r="BB52" s="133"/>
      <c r="BC52" s="133"/>
      <c r="BD52" s="185">
        <v>1.0</v>
      </c>
      <c r="BE52" s="133"/>
      <c r="BF52" s="133"/>
      <c r="BG52" s="133"/>
      <c r="BH52" s="135">
        <f t="shared" si="18"/>
        <v>2</v>
      </c>
      <c r="BI52" s="186">
        <f t="shared" si="19"/>
        <v>22.22222222</v>
      </c>
      <c r="BJ52" s="138"/>
      <c r="BK52" s="132"/>
      <c r="BL52" s="138"/>
      <c r="BM52" s="138"/>
      <c r="BN52" s="138"/>
      <c r="BO52" s="138"/>
      <c r="BP52" s="138"/>
      <c r="BR52" s="140"/>
      <c r="BS52" s="152"/>
      <c r="BT52" s="152"/>
      <c r="BU52" s="152"/>
      <c r="BV52" s="217"/>
      <c r="BW52" s="218"/>
      <c r="BX52" s="218"/>
      <c r="BY52" s="218"/>
      <c r="BZ52" s="218"/>
      <c r="CA52" s="218"/>
      <c r="CB52" s="218"/>
      <c r="CC52" s="218"/>
      <c r="CD52" s="218"/>
      <c r="CE52" s="156">
        <f t="shared" si="20"/>
        <v>0</v>
      </c>
      <c r="CF52" s="190">
        <f t="shared" si="21"/>
        <v>0</v>
      </c>
      <c r="CG52" s="209"/>
      <c r="CH52" s="153"/>
      <c r="CI52" s="217"/>
      <c r="CJ52" s="219"/>
      <c r="CK52" s="219"/>
      <c r="CL52" s="219"/>
      <c r="CM52" s="219"/>
      <c r="CN52" s="217"/>
      <c r="CO52" s="221"/>
      <c r="CP52" s="221"/>
      <c r="CQ52" s="161"/>
      <c r="CR52" s="163">
        <f t="shared" si="22"/>
        <v>0</v>
      </c>
      <c r="CS52" s="194" t="str">
        <f t="shared" si="23"/>
        <v>#DIV/0!</v>
      </c>
      <c r="CT52" s="196"/>
      <c r="CU52" s="167">
        <f t="shared" si="24"/>
        <v>12.12121212</v>
      </c>
      <c r="CV52" s="169">
        <f t="shared" si="9"/>
        <v>4</v>
      </c>
      <c r="CW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10"/>
        <v>11</v>
      </c>
      <c r="E53" s="127">
        <f t="shared" si="11"/>
        <v>33.33333333</v>
      </c>
      <c r="F53" s="200">
        <f t="shared" si="12"/>
        <v>33.33333333</v>
      </c>
      <c r="G53" s="177" t="str">
        <f t="shared" si="13"/>
        <v>  </v>
      </c>
      <c r="H53" s="258"/>
      <c r="I53" s="258"/>
      <c r="J53" s="263"/>
      <c r="K53" s="263"/>
      <c r="L53" s="263"/>
      <c r="M53" s="263"/>
      <c r="N53" s="263"/>
      <c r="O53" s="263"/>
      <c r="P53" s="263"/>
      <c r="Q53" s="263"/>
      <c r="R53" s="135">
        <f t="shared" si="14"/>
        <v>0</v>
      </c>
      <c r="S53" s="137">
        <f t="shared" si="15"/>
        <v>0</v>
      </c>
      <c r="T53" s="138"/>
      <c r="U53" s="138"/>
      <c r="V53" s="138"/>
      <c r="W53" s="132"/>
      <c r="X53" s="132"/>
      <c r="Y53" s="138"/>
      <c r="Z53" s="138"/>
      <c r="AA53" s="151">
        <v>1.0</v>
      </c>
      <c r="AB53" s="225">
        <v>1.0</v>
      </c>
      <c r="AC53" s="140"/>
      <c r="AD53" s="140"/>
      <c r="AE53" s="320">
        <v>1.0</v>
      </c>
      <c r="AF53" s="210"/>
      <c r="AG53" s="211">
        <v>1.0</v>
      </c>
      <c r="AH53" s="210"/>
      <c r="AI53" s="212"/>
      <c r="AJ53" s="212"/>
      <c r="AK53" s="135">
        <f t="shared" si="16"/>
        <v>4</v>
      </c>
      <c r="AL53" s="183">
        <f t="shared" si="17"/>
        <v>36.36363636</v>
      </c>
      <c r="AM53" s="214"/>
      <c r="AN53" s="214"/>
      <c r="AO53" s="209"/>
      <c r="AP53" s="138"/>
      <c r="AQ53" s="138"/>
      <c r="AR53" s="132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85">
        <v>1.0</v>
      </c>
      <c r="BE53" s="133"/>
      <c r="BF53" s="185">
        <v>1.0</v>
      </c>
      <c r="BG53" s="185">
        <v>1.0</v>
      </c>
      <c r="BH53" s="135">
        <f t="shared" si="18"/>
        <v>3</v>
      </c>
      <c r="BI53" s="186">
        <f t="shared" si="19"/>
        <v>33.33333333</v>
      </c>
      <c r="BJ53" s="138"/>
      <c r="BK53" s="170">
        <v>1.0</v>
      </c>
      <c r="BL53" s="138"/>
      <c r="BM53" s="138"/>
      <c r="BN53" s="151">
        <v>1.0</v>
      </c>
      <c r="BO53" s="151">
        <v>1.0</v>
      </c>
      <c r="BP53" s="138"/>
      <c r="BR53" s="140"/>
      <c r="BS53" s="152"/>
      <c r="BT53" s="152"/>
      <c r="BU53" s="187">
        <v>1.0</v>
      </c>
      <c r="BV53" s="217"/>
      <c r="BW53" s="218"/>
      <c r="BX53" s="218"/>
      <c r="BY53" s="218"/>
      <c r="BZ53" s="218"/>
      <c r="CA53" s="218"/>
      <c r="CB53" s="218"/>
      <c r="CC53" s="218"/>
      <c r="CD53" s="218"/>
      <c r="CE53" s="156">
        <f t="shared" si="20"/>
        <v>4</v>
      </c>
      <c r="CF53" s="190">
        <f t="shared" si="21"/>
        <v>50</v>
      </c>
      <c r="CG53" s="209"/>
      <c r="CH53" s="153"/>
      <c r="CI53" s="217"/>
      <c r="CJ53" s="219"/>
      <c r="CK53" s="219"/>
      <c r="CL53" s="219"/>
      <c r="CM53" s="219"/>
      <c r="CN53" s="217"/>
      <c r="CO53" s="221"/>
      <c r="CP53" s="221"/>
      <c r="CQ53" s="161"/>
      <c r="CR53" s="163">
        <f t="shared" si="22"/>
        <v>0</v>
      </c>
      <c r="CS53" s="194" t="str">
        <f t="shared" si="23"/>
        <v>#DIV/0!</v>
      </c>
      <c r="CT53" s="196"/>
      <c r="CU53" s="167">
        <f t="shared" si="24"/>
        <v>33.33333333</v>
      </c>
      <c r="CV53" s="169">
        <f t="shared" si="9"/>
        <v>11</v>
      </c>
      <c r="CW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10"/>
        <v>1</v>
      </c>
      <c r="E54" s="127">
        <f t="shared" si="11"/>
        <v>3.03030303</v>
      </c>
      <c r="F54" s="200">
        <f t="shared" si="12"/>
        <v>3.03030303</v>
      </c>
      <c r="G54" s="207">
        <f t="shared" si="13"/>
        <v>3.03030303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4"/>
        <v>0</v>
      </c>
      <c r="S54" s="137">
        <f t="shared" si="15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2"/>
      <c r="AJ54" s="212"/>
      <c r="AK54" s="135">
        <f t="shared" si="16"/>
        <v>0</v>
      </c>
      <c r="AL54" s="183">
        <f t="shared" si="17"/>
        <v>0</v>
      </c>
      <c r="AM54" s="214"/>
      <c r="AN54" s="214"/>
      <c r="AO54" s="209"/>
      <c r="AP54" s="138"/>
      <c r="AQ54" s="138"/>
      <c r="AR54" s="132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5">
        <f t="shared" si="18"/>
        <v>0</v>
      </c>
      <c r="BI54" s="186">
        <f t="shared" si="19"/>
        <v>0</v>
      </c>
      <c r="BJ54" s="138"/>
      <c r="BK54" s="132"/>
      <c r="BL54" s="138"/>
      <c r="BM54" s="138"/>
      <c r="BN54" s="138"/>
      <c r="BO54" s="138"/>
      <c r="BP54" s="138"/>
      <c r="BR54" s="140"/>
      <c r="BS54" s="152"/>
      <c r="BT54" s="152"/>
      <c r="BU54" s="187">
        <v>1.0</v>
      </c>
      <c r="BV54" s="217"/>
      <c r="BW54" s="218"/>
      <c r="BX54" s="218"/>
      <c r="BY54" s="218"/>
      <c r="BZ54" s="218"/>
      <c r="CA54" s="218"/>
      <c r="CB54" s="218"/>
      <c r="CC54" s="218"/>
      <c r="CD54" s="218"/>
      <c r="CE54" s="156">
        <f t="shared" si="20"/>
        <v>1</v>
      </c>
      <c r="CF54" s="190">
        <f t="shared" si="21"/>
        <v>12.5</v>
      </c>
      <c r="CG54" s="209"/>
      <c r="CH54" s="153"/>
      <c r="CI54" s="217"/>
      <c r="CJ54" s="219"/>
      <c r="CK54" s="219"/>
      <c r="CL54" s="219"/>
      <c r="CM54" s="219"/>
      <c r="CN54" s="217"/>
      <c r="CO54" s="221"/>
      <c r="CP54" s="221"/>
      <c r="CQ54" s="161"/>
      <c r="CR54" s="163">
        <f t="shared" si="22"/>
        <v>0</v>
      </c>
      <c r="CS54" s="194" t="str">
        <f t="shared" si="23"/>
        <v>#DIV/0!</v>
      </c>
      <c r="CT54" s="196"/>
      <c r="CU54" s="167">
        <f t="shared" si="24"/>
        <v>3.03030303</v>
      </c>
      <c r="CV54" s="169">
        <f t="shared" si="9"/>
        <v>1</v>
      </c>
      <c r="CW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10"/>
        <v>4</v>
      </c>
      <c r="E55" s="127">
        <f t="shared" si="11"/>
        <v>12.12121212</v>
      </c>
      <c r="F55" s="200">
        <f t="shared" si="12"/>
        <v>12.12121212</v>
      </c>
      <c r="G55" s="207">
        <f t="shared" si="13"/>
        <v>12.12121212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4"/>
        <v>0</v>
      </c>
      <c r="S55" s="137">
        <f t="shared" si="15"/>
        <v>0</v>
      </c>
      <c r="T55" s="138"/>
      <c r="U55" s="138"/>
      <c r="V55" s="138"/>
      <c r="W55" s="132"/>
      <c r="X55" s="132"/>
      <c r="Y55" s="138"/>
      <c r="Z55" s="151">
        <v>1.0</v>
      </c>
      <c r="AA55" s="151">
        <v>1.0</v>
      </c>
      <c r="AB55" s="225">
        <v>1.0</v>
      </c>
      <c r="AC55" s="140"/>
      <c r="AD55" s="140"/>
      <c r="AE55" s="141"/>
      <c r="AF55" s="210"/>
      <c r="AG55" s="211">
        <v>1.0</v>
      </c>
      <c r="AH55" s="210"/>
      <c r="AI55" s="212"/>
      <c r="AJ55" s="212"/>
      <c r="AK55" s="135">
        <f t="shared" si="16"/>
        <v>4</v>
      </c>
      <c r="AL55" s="183">
        <f t="shared" si="17"/>
        <v>36.36363636</v>
      </c>
      <c r="AM55" s="214"/>
      <c r="AN55" s="214"/>
      <c r="AO55" s="209"/>
      <c r="AP55" s="138"/>
      <c r="AQ55" s="138"/>
      <c r="AR55" s="132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5">
        <f t="shared" si="18"/>
        <v>0</v>
      </c>
      <c r="BI55" s="186">
        <f t="shared" si="19"/>
        <v>0</v>
      </c>
      <c r="BJ55" s="138"/>
      <c r="BK55" s="132"/>
      <c r="BL55" s="138"/>
      <c r="BM55" s="138"/>
      <c r="BN55" s="138"/>
      <c r="BO55" s="138"/>
      <c r="BP55" s="138"/>
      <c r="BR55" s="140"/>
      <c r="BS55" s="152"/>
      <c r="BT55" s="152"/>
      <c r="BU55" s="152"/>
      <c r="BV55" s="217"/>
      <c r="BW55" s="218"/>
      <c r="BX55" s="218"/>
      <c r="BY55" s="218"/>
      <c r="BZ55" s="218"/>
      <c r="CA55" s="218"/>
      <c r="CB55" s="218"/>
      <c r="CC55" s="218"/>
      <c r="CD55" s="218"/>
      <c r="CE55" s="156">
        <f t="shared" si="20"/>
        <v>0</v>
      </c>
      <c r="CF55" s="190">
        <f t="shared" si="21"/>
        <v>0</v>
      </c>
      <c r="CG55" s="209"/>
      <c r="CH55" s="153"/>
      <c r="CI55" s="217"/>
      <c r="CJ55" s="219"/>
      <c r="CK55" s="219"/>
      <c r="CL55" s="219"/>
      <c r="CM55" s="219"/>
      <c r="CN55" s="217"/>
      <c r="CO55" s="221"/>
      <c r="CP55" s="221"/>
      <c r="CQ55" s="161"/>
      <c r="CR55" s="163">
        <f t="shared" si="22"/>
        <v>0</v>
      </c>
      <c r="CS55" s="194" t="str">
        <f t="shared" si="23"/>
        <v>#DIV/0!</v>
      </c>
      <c r="CT55" s="196"/>
      <c r="CU55" s="167">
        <f t="shared" si="24"/>
        <v>12.12121212</v>
      </c>
      <c r="CV55" s="169">
        <f t="shared" si="9"/>
        <v>4</v>
      </c>
      <c r="CW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10"/>
        <v>8</v>
      </c>
      <c r="E56" s="127">
        <f t="shared" si="11"/>
        <v>24.24242424</v>
      </c>
      <c r="F56" s="200">
        <f t="shared" si="12"/>
        <v>24.24242424</v>
      </c>
      <c r="G56" s="207">
        <f t="shared" si="13"/>
        <v>24.24242424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4"/>
        <v>0</v>
      </c>
      <c r="S56" s="137">
        <f t="shared" si="15"/>
        <v>0</v>
      </c>
      <c r="T56" s="138"/>
      <c r="U56" s="138"/>
      <c r="V56" s="151">
        <v>1.0</v>
      </c>
      <c r="W56" s="132"/>
      <c r="X56" s="132"/>
      <c r="Y56" s="138"/>
      <c r="Z56" s="151">
        <v>1.0</v>
      </c>
      <c r="AA56" s="138"/>
      <c r="AB56" s="209"/>
      <c r="AC56" s="140"/>
      <c r="AD56" s="150">
        <v>1.0</v>
      </c>
      <c r="AE56" s="141"/>
      <c r="AF56" s="210"/>
      <c r="AG56" s="211">
        <v>1.0</v>
      </c>
      <c r="AH56" s="210"/>
      <c r="AI56" s="212"/>
      <c r="AJ56" s="212"/>
      <c r="AK56" s="135">
        <f t="shared" si="16"/>
        <v>4</v>
      </c>
      <c r="AL56" s="183">
        <f t="shared" si="17"/>
        <v>36.36363636</v>
      </c>
      <c r="AM56" s="214"/>
      <c r="AN56" s="214"/>
      <c r="AO56" s="209"/>
      <c r="AP56" s="138"/>
      <c r="AQ56" s="138"/>
      <c r="AR56" s="132"/>
      <c r="AS56" s="133"/>
      <c r="AT56" s="133"/>
      <c r="AU56" s="133"/>
      <c r="AV56" s="133"/>
      <c r="AW56" s="185">
        <v>1.0</v>
      </c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5">
        <f t="shared" si="18"/>
        <v>1</v>
      </c>
      <c r="BI56" s="186">
        <f t="shared" si="19"/>
        <v>11.11111111</v>
      </c>
      <c r="BJ56" s="151">
        <v>1.0</v>
      </c>
      <c r="BK56" s="170">
        <v>1.0</v>
      </c>
      <c r="BL56" s="138"/>
      <c r="BM56" s="151">
        <v>1.0</v>
      </c>
      <c r="BN56" s="138"/>
      <c r="BO56" s="138"/>
      <c r="BP56" s="138"/>
      <c r="BR56" s="140"/>
      <c r="BS56" s="152"/>
      <c r="BT56" s="152"/>
      <c r="BU56" s="152"/>
      <c r="BV56" s="217"/>
      <c r="BW56" s="218"/>
      <c r="BX56" s="218"/>
      <c r="BY56" s="218"/>
      <c r="BZ56" s="218"/>
      <c r="CA56" s="218"/>
      <c r="CB56" s="218"/>
      <c r="CC56" s="218"/>
      <c r="CD56" s="218"/>
      <c r="CE56" s="156">
        <f t="shared" si="20"/>
        <v>3</v>
      </c>
      <c r="CF56" s="190">
        <f t="shared" si="21"/>
        <v>37.5</v>
      </c>
      <c r="CG56" s="209"/>
      <c r="CH56" s="153"/>
      <c r="CI56" s="217"/>
      <c r="CJ56" s="219"/>
      <c r="CK56" s="219"/>
      <c r="CL56" s="219"/>
      <c r="CM56" s="219"/>
      <c r="CN56" s="217"/>
      <c r="CO56" s="221"/>
      <c r="CP56" s="221"/>
      <c r="CQ56" s="161"/>
      <c r="CR56" s="163">
        <f t="shared" si="22"/>
        <v>0</v>
      </c>
      <c r="CS56" s="194" t="str">
        <f t="shared" si="23"/>
        <v>#DIV/0!</v>
      </c>
      <c r="CT56" s="196"/>
      <c r="CU56" s="167">
        <f t="shared" si="24"/>
        <v>24.24242424</v>
      </c>
      <c r="CV56" s="169">
        <f t="shared" si="9"/>
        <v>8</v>
      </c>
      <c r="CW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10"/>
        <v>10</v>
      </c>
      <c r="E57" s="127">
        <f t="shared" si="11"/>
        <v>30.3030303</v>
      </c>
      <c r="F57" s="200">
        <f t="shared" si="12"/>
        <v>30.3030303</v>
      </c>
      <c r="G57" s="177" t="str">
        <f t="shared" si="13"/>
        <v>  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4"/>
        <v>0</v>
      </c>
      <c r="S57" s="137">
        <f t="shared" si="15"/>
        <v>0</v>
      </c>
      <c r="T57" s="138"/>
      <c r="U57" s="138"/>
      <c r="V57" s="151">
        <v>1.0</v>
      </c>
      <c r="W57" s="132"/>
      <c r="X57" s="132"/>
      <c r="Y57" s="138"/>
      <c r="Z57" s="151">
        <v>1.0</v>
      </c>
      <c r="AA57" s="138"/>
      <c r="AB57" s="225">
        <v>1.0</v>
      </c>
      <c r="AC57" s="140"/>
      <c r="AD57" s="150">
        <v>1.0</v>
      </c>
      <c r="AE57" s="141"/>
      <c r="AF57" s="210"/>
      <c r="AG57" s="211">
        <v>1.0</v>
      </c>
      <c r="AH57" s="211">
        <v>1.0</v>
      </c>
      <c r="AI57" s="212"/>
      <c r="AJ57" s="212"/>
      <c r="AK57" s="135">
        <f t="shared" si="16"/>
        <v>6</v>
      </c>
      <c r="AL57" s="183">
        <f t="shared" si="17"/>
        <v>54.54545455</v>
      </c>
      <c r="AM57" s="214"/>
      <c r="AN57" s="214"/>
      <c r="AO57" s="209"/>
      <c r="AP57" s="138"/>
      <c r="AQ57" s="138"/>
      <c r="AR57" s="132"/>
      <c r="AS57" s="133"/>
      <c r="AT57" s="133"/>
      <c r="AU57" s="133"/>
      <c r="AV57" s="133"/>
      <c r="AW57" s="185">
        <v>1.0</v>
      </c>
      <c r="AX57" s="133"/>
      <c r="AY57" s="133"/>
      <c r="AZ57" s="133"/>
      <c r="BA57" s="133"/>
      <c r="BB57" s="133"/>
      <c r="BC57" s="133"/>
      <c r="BD57" s="185">
        <v>1.0</v>
      </c>
      <c r="BE57" s="133"/>
      <c r="BF57" s="133"/>
      <c r="BG57" s="133"/>
      <c r="BH57" s="135">
        <f t="shared" si="18"/>
        <v>2</v>
      </c>
      <c r="BI57" s="186">
        <f t="shared" si="19"/>
        <v>22.22222222</v>
      </c>
      <c r="BJ57" s="138"/>
      <c r="BK57" s="170">
        <v>1.0</v>
      </c>
      <c r="BL57" s="138"/>
      <c r="BM57" s="151">
        <v>1.0</v>
      </c>
      <c r="BN57" s="138"/>
      <c r="BO57" s="138"/>
      <c r="BP57" s="138"/>
      <c r="BR57" s="140"/>
      <c r="BS57" s="152"/>
      <c r="BT57" s="152"/>
      <c r="BU57" s="152"/>
      <c r="BV57" s="217"/>
      <c r="BW57" s="218"/>
      <c r="BX57" s="218"/>
      <c r="BY57" s="218"/>
      <c r="BZ57" s="218"/>
      <c r="CA57" s="218"/>
      <c r="CB57" s="218"/>
      <c r="CC57" s="218"/>
      <c r="CD57" s="218"/>
      <c r="CE57" s="156">
        <f t="shared" si="20"/>
        <v>2</v>
      </c>
      <c r="CF57" s="190">
        <f t="shared" si="21"/>
        <v>25</v>
      </c>
      <c r="CG57" s="209"/>
      <c r="CH57" s="153"/>
      <c r="CI57" s="217"/>
      <c r="CJ57" s="219"/>
      <c r="CK57" s="219"/>
      <c r="CL57" s="219"/>
      <c r="CM57" s="219"/>
      <c r="CN57" s="217"/>
      <c r="CO57" s="221"/>
      <c r="CP57" s="221"/>
      <c r="CQ57" s="161"/>
      <c r="CR57" s="163">
        <f t="shared" si="22"/>
        <v>0</v>
      </c>
      <c r="CS57" s="194" t="str">
        <f t="shared" si="23"/>
        <v>#DIV/0!</v>
      </c>
      <c r="CT57" s="196"/>
      <c r="CU57" s="167">
        <f t="shared" si="24"/>
        <v>30.3030303</v>
      </c>
      <c r="CV57" s="169">
        <f t="shared" si="9"/>
        <v>10</v>
      </c>
      <c r="CW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10"/>
        <v>14</v>
      </c>
      <c r="E58" s="127">
        <f t="shared" si="11"/>
        <v>42.42424242</v>
      </c>
      <c r="F58" s="200">
        <f t="shared" si="12"/>
        <v>42.42424242</v>
      </c>
      <c r="G58" s="177" t="str">
        <f t="shared" si="13"/>
        <v>  </v>
      </c>
      <c r="H58" s="258"/>
      <c r="I58" s="261"/>
      <c r="J58" s="268">
        <v>1.0</v>
      </c>
      <c r="K58" s="268">
        <v>1.0</v>
      </c>
      <c r="L58" s="262"/>
      <c r="M58" s="262"/>
      <c r="N58" s="262"/>
      <c r="O58" s="262"/>
      <c r="P58" s="262"/>
      <c r="Q58" s="262"/>
      <c r="R58" s="135">
        <f t="shared" si="14"/>
        <v>2</v>
      </c>
      <c r="S58" s="137">
        <f t="shared" si="15"/>
        <v>40</v>
      </c>
      <c r="T58" s="138"/>
      <c r="U58" s="138"/>
      <c r="V58" s="138"/>
      <c r="W58" s="132"/>
      <c r="X58" s="132"/>
      <c r="Y58" s="138"/>
      <c r="Z58" s="151">
        <v>1.0</v>
      </c>
      <c r="AA58" s="138"/>
      <c r="AB58" s="235">
        <v>1.0</v>
      </c>
      <c r="AC58" s="140"/>
      <c r="AD58" s="150">
        <v>1.0</v>
      </c>
      <c r="AE58" s="320">
        <v>1.0</v>
      </c>
      <c r="AF58" s="226"/>
      <c r="AG58" s="238">
        <v>1.0</v>
      </c>
      <c r="AH58" s="226"/>
      <c r="AI58" s="218"/>
      <c r="AJ58" s="218"/>
      <c r="AK58" s="135">
        <f t="shared" si="16"/>
        <v>5</v>
      </c>
      <c r="AL58" s="183">
        <f t="shared" si="17"/>
        <v>45.45454545</v>
      </c>
      <c r="AM58" s="228"/>
      <c r="AN58" s="228"/>
      <c r="AO58" s="217"/>
      <c r="AP58" s="138"/>
      <c r="AQ58" s="138"/>
      <c r="AR58" s="132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85">
        <v>1.0</v>
      </c>
      <c r="BG58" s="185">
        <v>1.0</v>
      </c>
      <c r="BH58" s="135">
        <f t="shared" si="18"/>
        <v>2</v>
      </c>
      <c r="BI58" s="186">
        <f t="shared" si="19"/>
        <v>22.22222222</v>
      </c>
      <c r="BJ58" s="138"/>
      <c r="BK58" s="170">
        <v>1.0</v>
      </c>
      <c r="BL58" s="138"/>
      <c r="BM58" s="151">
        <v>1.0</v>
      </c>
      <c r="BN58" s="151">
        <v>1.0</v>
      </c>
      <c r="BO58" s="138"/>
      <c r="BP58" s="138"/>
      <c r="BR58" s="140"/>
      <c r="BS58" s="187">
        <v>1.0</v>
      </c>
      <c r="BT58" s="152"/>
      <c r="BU58" s="187">
        <v>1.0</v>
      </c>
      <c r="BV58" s="217"/>
      <c r="BW58" s="218"/>
      <c r="BX58" s="218"/>
      <c r="BY58" s="218"/>
      <c r="BZ58" s="218"/>
      <c r="CA58" s="218"/>
      <c r="CB58" s="218"/>
      <c r="CC58" s="218"/>
      <c r="CD58" s="218"/>
      <c r="CE58" s="156">
        <f t="shared" si="20"/>
        <v>5</v>
      </c>
      <c r="CF58" s="190">
        <f t="shared" si="21"/>
        <v>62.5</v>
      </c>
      <c r="CG58" s="217"/>
      <c r="CH58" s="153"/>
      <c r="CI58" s="217"/>
      <c r="CJ58" s="219"/>
      <c r="CK58" s="219"/>
      <c r="CL58" s="219"/>
      <c r="CM58" s="219"/>
      <c r="CN58" s="217"/>
      <c r="CO58" s="221"/>
      <c r="CP58" s="221"/>
      <c r="CQ58" s="161"/>
      <c r="CR58" s="163">
        <f t="shared" si="22"/>
        <v>0</v>
      </c>
      <c r="CS58" s="194" t="str">
        <f t="shared" si="23"/>
        <v>#DIV/0!</v>
      </c>
      <c r="CT58" s="196"/>
      <c r="CU58" s="167">
        <f t="shared" si="24"/>
        <v>42.42424242</v>
      </c>
      <c r="CV58" s="169">
        <f t="shared" si="9"/>
        <v>14</v>
      </c>
      <c r="CW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10"/>
        <v>5</v>
      </c>
      <c r="E59" s="127">
        <f t="shared" si="11"/>
        <v>15.15151515</v>
      </c>
      <c r="F59" s="200">
        <f t="shared" si="12"/>
        <v>15.15151515</v>
      </c>
      <c r="G59" s="207">
        <f t="shared" si="13"/>
        <v>15.15151515</v>
      </c>
      <c r="H59" s="258"/>
      <c r="I59" s="261"/>
      <c r="J59" s="262"/>
      <c r="K59" s="262"/>
      <c r="L59" s="262"/>
      <c r="M59" s="262"/>
      <c r="N59" s="262"/>
      <c r="O59" s="262"/>
      <c r="P59" s="262"/>
      <c r="Q59" s="262"/>
      <c r="R59" s="135">
        <f t="shared" si="14"/>
        <v>0</v>
      </c>
      <c r="S59" s="137">
        <f t="shared" si="15"/>
        <v>0</v>
      </c>
      <c r="T59" s="138"/>
      <c r="U59" s="138"/>
      <c r="V59" s="138"/>
      <c r="W59" s="132"/>
      <c r="X59" s="132"/>
      <c r="Y59" s="138"/>
      <c r="Z59" s="138"/>
      <c r="AA59" s="138"/>
      <c r="AB59" s="235">
        <v>1.0</v>
      </c>
      <c r="AC59" s="140"/>
      <c r="AD59" s="140"/>
      <c r="AE59" s="141"/>
      <c r="AF59" s="226"/>
      <c r="AG59" s="226"/>
      <c r="AH59" s="238">
        <v>1.0</v>
      </c>
      <c r="AI59" s="218"/>
      <c r="AJ59" s="218"/>
      <c r="AK59" s="135">
        <f t="shared" si="16"/>
        <v>2</v>
      </c>
      <c r="AL59" s="183">
        <f t="shared" si="17"/>
        <v>18.18181818</v>
      </c>
      <c r="AM59" s="228"/>
      <c r="AN59" s="228"/>
      <c r="AO59" s="217"/>
      <c r="AP59" s="138"/>
      <c r="AQ59" s="138"/>
      <c r="AR59" s="132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5">
        <f t="shared" si="18"/>
        <v>0</v>
      </c>
      <c r="BI59" s="186">
        <f t="shared" si="19"/>
        <v>0</v>
      </c>
      <c r="BJ59" s="138"/>
      <c r="BK59" s="170">
        <v>1.0</v>
      </c>
      <c r="BL59" s="138"/>
      <c r="BM59" s="151">
        <v>1.0</v>
      </c>
      <c r="BN59" s="151">
        <v>1.0</v>
      </c>
      <c r="BO59" s="138"/>
      <c r="BP59" s="138"/>
      <c r="BR59" s="140"/>
      <c r="BS59" s="152"/>
      <c r="BT59" s="152"/>
      <c r="BU59" s="152"/>
      <c r="BV59" s="217"/>
      <c r="BW59" s="218"/>
      <c r="BX59" s="218"/>
      <c r="BY59" s="218"/>
      <c r="BZ59" s="218"/>
      <c r="CA59" s="218"/>
      <c r="CB59" s="218"/>
      <c r="CC59" s="218"/>
      <c r="CD59" s="218"/>
      <c r="CE59" s="156">
        <f t="shared" si="20"/>
        <v>3</v>
      </c>
      <c r="CF59" s="190">
        <f t="shared" si="21"/>
        <v>37.5</v>
      </c>
      <c r="CG59" s="217"/>
      <c r="CH59" s="153"/>
      <c r="CI59" s="217"/>
      <c r="CJ59" s="219"/>
      <c r="CK59" s="219"/>
      <c r="CL59" s="219"/>
      <c r="CM59" s="219"/>
      <c r="CN59" s="217"/>
      <c r="CO59" s="221"/>
      <c r="CP59" s="221"/>
      <c r="CQ59" s="161"/>
      <c r="CR59" s="163">
        <f t="shared" si="22"/>
        <v>0</v>
      </c>
      <c r="CS59" s="194" t="str">
        <f t="shared" si="23"/>
        <v>#DIV/0!</v>
      </c>
      <c r="CT59" s="196"/>
      <c r="CU59" s="167">
        <f t="shared" si="24"/>
        <v>15.15151515</v>
      </c>
      <c r="CV59" s="169">
        <f t="shared" si="9"/>
        <v>5</v>
      </c>
      <c r="CW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10"/>
        <v>5</v>
      </c>
      <c r="E60" s="127">
        <f t="shared" si="11"/>
        <v>15.15151515</v>
      </c>
      <c r="F60" s="200">
        <f t="shared" si="12"/>
        <v>15.15151515</v>
      </c>
      <c r="G60" s="207">
        <f t="shared" si="13"/>
        <v>15.15151515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4"/>
        <v>0</v>
      </c>
      <c r="S60" s="137">
        <f t="shared" si="15"/>
        <v>0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2"/>
      <c r="AJ60" s="212"/>
      <c r="AK60" s="135">
        <f t="shared" si="16"/>
        <v>0</v>
      </c>
      <c r="AL60" s="183">
        <f t="shared" si="17"/>
        <v>0</v>
      </c>
      <c r="AM60" s="214"/>
      <c r="AN60" s="214"/>
      <c r="AO60" s="209"/>
      <c r="AP60" s="138"/>
      <c r="AQ60" s="138"/>
      <c r="AR60" s="132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85">
        <v>1.0</v>
      </c>
      <c r="BG60" s="185">
        <v>1.0</v>
      </c>
      <c r="BH60" s="135">
        <f t="shared" si="18"/>
        <v>2</v>
      </c>
      <c r="BI60" s="186">
        <f t="shared" si="19"/>
        <v>22.22222222</v>
      </c>
      <c r="BJ60" s="138"/>
      <c r="BK60" s="132"/>
      <c r="BL60" s="138"/>
      <c r="BM60" s="151">
        <v>1.0</v>
      </c>
      <c r="BN60" s="151">
        <v>1.0</v>
      </c>
      <c r="BO60" s="151">
        <v>1.0</v>
      </c>
      <c r="BP60" s="138"/>
      <c r="BR60" s="140"/>
      <c r="BS60" s="152"/>
      <c r="BT60" s="152"/>
      <c r="BU60" s="152"/>
      <c r="BV60" s="217"/>
      <c r="BW60" s="218"/>
      <c r="BX60" s="218"/>
      <c r="BY60" s="218"/>
      <c r="BZ60" s="218"/>
      <c r="CA60" s="218"/>
      <c r="CB60" s="218"/>
      <c r="CC60" s="218"/>
      <c r="CD60" s="218"/>
      <c r="CE60" s="156">
        <f t="shared" si="20"/>
        <v>3</v>
      </c>
      <c r="CF60" s="190">
        <f t="shared" si="21"/>
        <v>37.5</v>
      </c>
      <c r="CG60" s="209"/>
      <c r="CH60" s="153"/>
      <c r="CI60" s="217"/>
      <c r="CJ60" s="219"/>
      <c r="CK60" s="219"/>
      <c r="CL60" s="219"/>
      <c r="CM60" s="219"/>
      <c r="CN60" s="217"/>
      <c r="CO60" s="221"/>
      <c r="CP60" s="221"/>
      <c r="CQ60" s="161"/>
      <c r="CR60" s="163">
        <f t="shared" si="22"/>
        <v>0</v>
      </c>
      <c r="CS60" s="194" t="str">
        <f t="shared" si="23"/>
        <v>#DIV/0!</v>
      </c>
      <c r="CT60" s="196"/>
      <c r="CU60" s="167">
        <f t="shared" si="24"/>
        <v>15.15151515</v>
      </c>
      <c r="CV60" s="169">
        <f t="shared" si="9"/>
        <v>5</v>
      </c>
      <c r="CW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10"/>
        <v>14</v>
      </c>
      <c r="E61" s="127">
        <f t="shared" si="11"/>
        <v>42.42424242</v>
      </c>
      <c r="F61" s="200">
        <f t="shared" si="12"/>
        <v>42.42424242</v>
      </c>
      <c r="G61" s="177" t="str">
        <f t="shared" si="13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4"/>
        <v>0</v>
      </c>
      <c r="S61" s="137">
        <f t="shared" si="15"/>
        <v>0</v>
      </c>
      <c r="T61" s="138"/>
      <c r="U61" s="138"/>
      <c r="V61" s="138"/>
      <c r="W61" s="132"/>
      <c r="X61" s="132"/>
      <c r="Y61" s="138"/>
      <c r="Z61" s="138"/>
      <c r="AA61" s="151">
        <v>1.0</v>
      </c>
      <c r="AB61" s="225">
        <v>1.0</v>
      </c>
      <c r="AC61" s="140"/>
      <c r="AD61" s="150">
        <v>1.0</v>
      </c>
      <c r="AE61" s="320">
        <v>1.0</v>
      </c>
      <c r="AF61" s="210"/>
      <c r="AG61" s="210"/>
      <c r="AH61" s="210"/>
      <c r="AI61" s="212"/>
      <c r="AJ61" s="212"/>
      <c r="AK61" s="135">
        <f t="shared" si="16"/>
        <v>4</v>
      </c>
      <c r="AL61" s="183">
        <f t="shared" si="17"/>
        <v>36.36363636</v>
      </c>
      <c r="AM61" s="214"/>
      <c r="AN61" s="214"/>
      <c r="AO61" s="209"/>
      <c r="AP61" s="138"/>
      <c r="AQ61" s="138"/>
      <c r="AR61" s="132"/>
      <c r="AS61" s="133"/>
      <c r="AT61" s="133"/>
      <c r="AU61" s="133"/>
      <c r="AV61" s="133"/>
      <c r="AW61" s="185">
        <v>1.0</v>
      </c>
      <c r="AX61" s="133"/>
      <c r="AY61" s="133"/>
      <c r="AZ61" s="133"/>
      <c r="BA61" s="185">
        <v>1.0</v>
      </c>
      <c r="BB61" s="133"/>
      <c r="BC61" s="133"/>
      <c r="BD61" s="185">
        <v>1.0</v>
      </c>
      <c r="BE61" s="133"/>
      <c r="BF61" s="133"/>
      <c r="BG61" s="185">
        <v>1.0</v>
      </c>
      <c r="BH61" s="135">
        <f t="shared" si="18"/>
        <v>4</v>
      </c>
      <c r="BI61" s="186">
        <f t="shared" si="19"/>
        <v>44.44444444</v>
      </c>
      <c r="BJ61" s="151">
        <v>1.0</v>
      </c>
      <c r="BK61" s="170">
        <v>1.0</v>
      </c>
      <c r="BL61" s="138"/>
      <c r="BM61" s="151">
        <v>1.0</v>
      </c>
      <c r="BN61" s="151">
        <v>1.0</v>
      </c>
      <c r="BO61" s="151">
        <v>1.0</v>
      </c>
      <c r="BP61" s="138"/>
      <c r="BR61" s="140"/>
      <c r="BS61" s="187">
        <v>1.0</v>
      </c>
      <c r="BT61" s="152"/>
      <c r="BU61" s="152"/>
      <c r="BV61" s="217"/>
      <c r="BW61" s="218"/>
      <c r="BX61" s="218"/>
      <c r="BY61" s="218"/>
      <c r="BZ61" s="218"/>
      <c r="CA61" s="218"/>
      <c r="CB61" s="218"/>
      <c r="CC61" s="218"/>
      <c r="CD61" s="218"/>
      <c r="CE61" s="156">
        <f t="shared" si="20"/>
        <v>6</v>
      </c>
      <c r="CF61" s="190">
        <f t="shared" si="21"/>
        <v>75</v>
      </c>
      <c r="CG61" s="209"/>
      <c r="CH61" s="153"/>
      <c r="CI61" s="217"/>
      <c r="CJ61" s="219"/>
      <c r="CK61" s="219"/>
      <c r="CL61" s="219"/>
      <c r="CM61" s="219"/>
      <c r="CN61" s="217"/>
      <c r="CO61" s="221"/>
      <c r="CP61" s="221"/>
      <c r="CQ61" s="161"/>
      <c r="CR61" s="163">
        <f t="shared" si="22"/>
        <v>0</v>
      </c>
      <c r="CS61" s="194" t="str">
        <f t="shared" si="23"/>
        <v>#DIV/0!</v>
      </c>
      <c r="CT61" s="196"/>
      <c r="CU61" s="167">
        <f t="shared" si="24"/>
        <v>42.42424242</v>
      </c>
      <c r="CV61" s="169">
        <f t="shared" si="9"/>
        <v>14</v>
      </c>
      <c r="CW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10"/>
        <v>7</v>
      </c>
      <c r="E62" s="127">
        <f t="shared" si="11"/>
        <v>21.21212121</v>
      </c>
      <c r="F62" s="200">
        <f t="shared" si="12"/>
        <v>21.21212121</v>
      </c>
      <c r="G62" s="207">
        <f t="shared" si="13"/>
        <v>21.21212121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4"/>
        <v>0</v>
      </c>
      <c r="S62" s="137">
        <f t="shared" si="15"/>
        <v>0</v>
      </c>
      <c r="T62" s="138"/>
      <c r="U62" s="151">
        <v>1.0</v>
      </c>
      <c r="V62" s="138"/>
      <c r="W62" s="132"/>
      <c r="X62" s="132"/>
      <c r="Y62" s="138"/>
      <c r="Z62" s="138"/>
      <c r="AA62" s="151">
        <v>1.0</v>
      </c>
      <c r="AB62" s="244">
        <v>1.0</v>
      </c>
      <c r="AC62" s="140"/>
      <c r="AD62" s="140"/>
      <c r="AE62" s="141"/>
      <c r="AF62" s="234"/>
      <c r="AG62" s="236">
        <v>1.0</v>
      </c>
      <c r="AH62" s="234"/>
      <c r="AI62" s="239"/>
      <c r="AJ62" s="239"/>
      <c r="AK62" s="135">
        <f t="shared" si="16"/>
        <v>4</v>
      </c>
      <c r="AL62" s="183">
        <f t="shared" si="17"/>
        <v>36.36363636</v>
      </c>
      <c r="AM62" s="241"/>
      <c r="AN62" s="241"/>
      <c r="AO62" s="233"/>
      <c r="AP62" s="138"/>
      <c r="AQ62" s="138"/>
      <c r="AR62" s="132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85">
        <v>1.0</v>
      </c>
      <c r="BG62" s="185">
        <v>1.0</v>
      </c>
      <c r="BH62" s="135">
        <f t="shared" si="18"/>
        <v>2</v>
      </c>
      <c r="BI62" s="186">
        <f t="shared" si="19"/>
        <v>22.22222222</v>
      </c>
      <c r="BJ62" s="138"/>
      <c r="BK62" s="132"/>
      <c r="BL62" s="138"/>
      <c r="BM62" s="151">
        <v>1.0</v>
      </c>
      <c r="BN62" s="138"/>
      <c r="BO62" s="138"/>
      <c r="BP62" s="138"/>
      <c r="BR62" s="140"/>
      <c r="BS62" s="152"/>
      <c r="BT62" s="152"/>
      <c r="BU62" s="152"/>
      <c r="BV62" s="217"/>
      <c r="BW62" s="218"/>
      <c r="BX62" s="218"/>
      <c r="BY62" s="218"/>
      <c r="BZ62" s="218"/>
      <c r="CA62" s="218"/>
      <c r="CB62" s="218"/>
      <c r="CC62" s="218"/>
      <c r="CD62" s="218"/>
      <c r="CE62" s="156">
        <f t="shared" si="20"/>
        <v>1</v>
      </c>
      <c r="CF62" s="190">
        <f t="shared" si="21"/>
        <v>12.5</v>
      </c>
      <c r="CG62" s="233"/>
      <c r="CH62" s="153"/>
      <c r="CI62" s="217"/>
      <c r="CJ62" s="219"/>
      <c r="CK62" s="219"/>
      <c r="CL62" s="219"/>
      <c r="CM62" s="219"/>
      <c r="CN62" s="217"/>
      <c r="CO62" s="221"/>
      <c r="CP62" s="221"/>
      <c r="CQ62" s="161"/>
      <c r="CR62" s="163">
        <f t="shared" si="22"/>
        <v>0</v>
      </c>
      <c r="CS62" s="194" t="str">
        <f t="shared" si="23"/>
        <v>#DIV/0!</v>
      </c>
      <c r="CT62" s="196"/>
      <c r="CU62" s="167">
        <f t="shared" si="24"/>
        <v>21.21212121</v>
      </c>
      <c r="CV62" s="169">
        <f t="shared" si="9"/>
        <v>7</v>
      </c>
      <c r="CW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10"/>
        <v>7</v>
      </c>
      <c r="E63" s="127">
        <f t="shared" si="11"/>
        <v>21.21212121</v>
      </c>
      <c r="F63" s="200">
        <f t="shared" si="12"/>
        <v>21.21212121</v>
      </c>
      <c r="G63" s="207">
        <f t="shared" si="13"/>
        <v>21.21212121</v>
      </c>
      <c r="H63" s="258"/>
      <c r="I63" s="258"/>
      <c r="J63" s="263"/>
      <c r="K63" s="263"/>
      <c r="L63" s="263"/>
      <c r="M63" s="263"/>
      <c r="N63" s="269">
        <v>1.0</v>
      </c>
      <c r="O63" s="263"/>
      <c r="P63" s="263"/>
      <c r="Q63" s="263"/>
      <c r="R63" s="135">
        <f t="shared" si="14"/>
        <v>1</v>
      </c>
      <c r="S63" s="137">
        <f t="shared" si="15"/>
        <v>20</v>
      </c>
      <c r="T63" s="138"/>
      <c r="U63" s="138"/>
      <c r="V63" s="138"/>
      <c r="W63" s="132"/>
      <c r="X63" s="132"/>
      <c r="Y63" s="138"/>
      <c r="Z63" s="138"/>
      <c r="AA63" s="138"/>
      <c r="AB63" s="225">
        <v>1.0</v>
      </c>
      <c r="AC63" s="140"/>
      <c r="AD63" s="150">
        <v>1.0</v>
      </c>
      <c r="AE63" s="141"/>
      <c r="AF63" s="210"/>
      <c r="AG63" s="210"/>
      <c r="AH63" s="211">
        <v>1.0</v>
      </c>
      <c r="AI63" s="212"/>
      <c r="AJ63" s="212"/>
      <c r="AK63" s="135">
        <f t="shared" si="16"/>
        <v>3</v>
      </c>
      <c r="AL63" s="183">
        <f t="shared" si="17"/>
        <v>27.27272727</v>
      </c>
      <c r="AM63" s="214"/>
      <c r="AN63" s="214"/>
      <c r="AO63" s="209"/>
      <c r="AP63" s="138"/>
      <c r="AQ63" s="138"/>
      <c r="AR63" s="132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85">
        <v>1.0</v>
      </c>
      <c r="BE63" s="133"/>
      <c r="BF63" s="133"/>
      <c r="BG63" s="185">
        <v>1.0</v>
      </c>
      <c r="BH63" s="135">
        <f t="shared" si="18"/>
        <v>2</v>
      </c>
      <c r="BI63" s="186">
        <f t="shared" si="19"/>
        <v>22.22222222</v>
      </c>
      <c r="BJ63" s="138"/>
      <c r="BK63" s="132"/>
      <c r="BL63" s="138"/>
      <c r="BM63" s="151">
        <v>1.0</v>
      </c>
      <c r="BN63" s="138"/>
      <c r="BO63" s="138"/>
      <c r="BP63" s="138"/>
      <c r="BR63" s="140"/>
      <c r="BS63" s="152"/>
      <c r="BT63" s="152"/>
      <c r="BU63" s="152"/>
      <c r="BV63" s="217"/>
      <c r="BW63" s="218"/>
      <c r="BX63" s="218"/>
      <c r="BY63" s="218"/>
      <c r="BZ63" s="218"/>
      <c r="CA63" s="218"/>
      <c r="CB63" s="218"/>
      <c r="CC63" s="218"/>
      <c r="CD63" s="218"/>
      <c r="CE63" s="156">
        <f t="shared" si="20"/>
        <v>1</v>
      </c>
      <c r="CF63" s="190">
        <f t="shared" si="21"/>
        <v>12.5</v>
      </c>
      <c r="CG63" s="209"/>
      <c r="CH63" s="153"/>
      <c r="CI63" s="217"/>
      <c r="CJ63" s="219"/>
      <c r="CK63" s="219"/>
      <c r="CL63" s="219"/>
      <c r="CM63" s="219"/>
      <c r="CN63" s="217"/>
      <c r="CO63" s="221"/>
      <c r="CP63" s="221"/>
      <c r="CQ63" s="161"/>
      <c r="CR63" s="163">
        <f t="shared" si="22"/>
        <v>0</v>
      </c>
      <c r="CS63" s="194" t="str">
        <f t="shared" si="23"/>
        <v>#DIV/0!</v>
      </c>
      <c r="CT63" s="196"/>
      <c r="CU63" s="167">
        <f t="shared" si="24"/>
        <v>21.21212121</v>
      </c>
      <c r="CV63" s="169">
        <f t="shared" si="9"/>
        <v>7</v>
      </c>
      <c r="CW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10"/>
        <v>1</v>
      </c>
      <c r="E64" s="127">
        <f t="shared" si="11"/>
        <v>3.03030303</v>
      </c>
      <c r="F64" s="200">
        <f t="shared" si="12"/>
        <v>3.03030303</v>
      </c>
      <c r="G64" s="207">
        <f t="shared" si="13"/>
        <v>3.03030303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4"/>
        <v>0</v>
      </c>
      <c r="S64" s="137">
        <f t="shared" si="15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2"/>
      <c r="AJ64" s="212"/>
      <c r="AK64" s="135">
        <f t="shared" si="16"/>
        <v>0</v>
      </c>
      <c r="AL64" s="183">
        <f t="shared" si="17"/>
        <v>0</v>
      </c>
      <c r="AM64" s="214"/>
      <c r="AN64" s="214"/>
      <c r="AO64" s="209"/>
      <c r="AP64" s="138"/>
      <c r="AQ64" s="138"/>
      <c r="AR64" s="132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5">
        <f t="shared" si="18"/>
        <v>0</v>
      </c>
      <c r="BI64" s="186">
        <f t="shared" si="19"/>
        <v>0</v>
      </c>
      <c r="BJ64" s="138"/>
      <c r="BK64" s="132"/>
      <c r="BL64" s="138"/>
      <c r="BM64" s="138"/>
      <c r="BN64" s="138"/>
      <c r="BO64" s="138"/>
      <c r="BP64" s="138"/>
      <c r="BR64" s="140"/>
      <c r="BS64" s="152"/>
      <c r="BT64" s="152"/>
      <c r="BU64" s="187">
        <v>1.0</v>
      </c>
      <c r="BV64" s="217"/>
      <c r="BW64" s="218"/>
      <c r="BX64" s="218"/>
      <c r="BY64" s="218"/>
      <c r="BZ64" s="218"/>
      <c r="CA64" s="218"/>
      <c r="CB64" s="218"/>
      <c r="CC64" s="218"/>
      <c r="CD64" s="218"/>
      <c r="CE64" s="156">
        <f t="shared" si="20"/>
        <v>1</v>
      </c>
      <c r="CF64" s="190">
        <f t="shared" si="21"/>
        <v>12.5</v>
      </c>
      <c r="CG64" s="209"/>
      <c r="CH64" s="153"/>
      <c r="CI64" s="217"/>
      <c r="CJ64" s="219"/>
      <c r="CK64" s="219"/>
      <c r="CL64" s="219"/>
      <c r="CM64" s="219"/>
      <c r="CN64" s="217"/>
      <c r="CO64" s="221"/>
      <c r="CP64" s="221"/>
      <c r="CQ64" s="161"/>
      <c r="CR64" s="163">
        <f t="shared" si="22"/>
        <v>0</v>
      </c>
      <c r="CS64" s="194" t="str">
        <f t="shared" si="23"/>
        <v>#DIV/0!</v>
      </c>
      <c r="CT64" s="196"/>
      <c r="CU64" s="167">
        <f t="shared" si="24"/>
        <v>3.03030303</v>
      </c>
      <c r="CV64" s="169">
        <f t="shared" si="9"/>
        <v>1</v>
      </c>
      <c r="CW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10"/>
        <v>0</v>
      </c>
      <c r="E65" s="127">
        <f t="shared" si="11"/>
        <v>0</v>
      </c>
      <c r="F65" s="200">
        <f t="shared" si="12"/>
        <v>0</v>
      </c>
      <c r="G65" s="207">
        <f t="shared" si="13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4"/>
        <v>0</v>
      </c>
      <c r="S65" s="137">
        <f t="shared" si="15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2"/>
      <c r="AJ65" s="212"/>
      <c r="AK65" s="135">
        <f t="shared" si="16"/>
        <v>0</v>
      </c>
      <c r="AL65" s="183">
        <f t="shared" si="17"/>
        <v>0</v>
      </c>
      <c r="AM65" s="214"/>
      <c r="AN65" s="214"/>
      <c r="AO65" s="209"/>
      <c r="AP65" s="138"/>
      <c r="AQ65" s="138"/>
      <c r="AR65" s="132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5">
        <f t="shared" si="18"/>
        <v>0</v>
      </c>
      <c r="BI65" s="186">
        <f t="shared" si="19"/>
        <v>0</v>
      </c>
      <c r="BJ65" s="138"/>
      <c r="BK65" s="132"/>
      <c r="BL65" s="138"/>
      <c r="BM65" s="138"/>
      <c r="BN65" s="138"/>
      <c r="BO65" s="138"/>
      <c r="BP65" s="138"/>
      <c r="BR65" s="140"/>
      <c r="BS65" s="152"/>
      <c r="BT65" s="152"/>
      <c r="BU65" s="152"/>
      <c r="BV65" s="217"/>
      <c r="BW65" s="218"/>
      <c r="BX65" s="218"/>
      <c r="BY65" s="218"/>
      <c r="BZ65" s="218"/>
      <c r="CA65" s="218"/>
      <c r="CB65" s="218"/>
      <c r="CC65" s="218"/>
      <c r="CD65" s="218"/>
      <c r="CE65" s="156">
        <f t="shared" si="20"/>
        <v>0</v>
      </c>
      <c r="CF65" s="190">
        <f t="shared" si="21"/>
        <v>0</v>
      </c>
      <c r="CG65" s="209"/>
      <c r="CH65" s="153"/>
      <c r="CI65" s="217"/>
      <c r="CJ65" s="219"/>
      <c r="CK65" s="219"/>
      <c r="CL65" s="219"/>
      <c r="CM65" s="219"/>
      <c r="CN65" s="217"/>
      <c r="CO65" s="221"/>
      <c r="CP65" s="221"/>
      <c r="CQ65" s="161"/>
      <c r="CR65" s="163">
        <f t="shared" si="22"/>
        <v>0</v>
      </c>
      <c r="CS65" s="194" t="str">
        <f t="shared" si="23"/>
        <v>#DIV/0!</v>
      </c>
      <c r="CT65" s="196"/>
      <c r="CU65" s="167">
        <f t="shared" si="24"/>
        <v>0</v>
      </c>
      <c r="CV65" s="169">
        <f t="shared" si="9"/>
        <v>0</v>
      </c>
      <c r="CW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10"/>
        <v>13</v>
      </c>
      <c r="E66" s="127">
        <f t="shared" si="11"/>
        <v>39.39393939</v>
      </c>
      <c r="F66" s="200">
        <f t="shared" si="12"/>
        <v>39.39393939</v>
      </c>
      <c r="G66" s="177" t="str">
        <f t="shared" si="13"/>
        <v>  </v>
      </c>
      <c r="H66" s="258"/>
      <c r="I66" s="258"/>
      <c r="J66" s="263"/>
      <c r="K66" s="263"/>
      <c r="L66" s="269">
        <v>1.0</v>
      </c>
      <c r="M66" s="263"/>
      <c r="N66" s="269">
        <v>1.0</v>
      </c>
      <c r="O66" s="263"/>
      <c r="P66" s="263"/>
      <c r="Q66" s="263"/>
      <c r="R66" s="135">
        <f t="shared" si="14"/>
        <v>2</v>
      </c>
      <c r="S66" s="137">
        <f t="shared" si="15"/>
        <v>40</v>
      </c>
      <c r="T66" s="138"/>
      <c r="U66" s="138"/>
      <c r="V66" s="138"/>
      <c r="W66" s="132"/>
      <c r="X66" s="132"/>
      <c r="Y66" s="138"/>
      <c r="Z66" s="138"/>
      <c r="AA66" s="138"/>
      <c r="AB66" s="225">
        <v>1.0</v>
      </c>
      <c r="AC66" s="140"/>
      <c r="AD66" s="150">
        <v>1.0</v>
      </c>
      <c r="AE66" s="141"/>
      <c r="AF66" s="210"/>
      <c r="AG66" s="210"/>
      <c r="AH66" s="211">
        <v>1.0</v>
      </c>
      <c r="AI66" s="212"/>
      <c r="AJ66" s="212"/>
      <c r="AK66" s="135">
        <f t="shared" si="16"/>
        <v>3</v>
      </c>
      <c r="AL66" s="183">
        <f t="shared" si="17"/>
        <v>27.27272727</v>
      </c>
      <c r="AM66" s="214"/>
      <c r="AN66" s="214"/>
      <c r="AO66" s="209"/>
      <c r="AP66" s="138"/>
      <c r="AQ66" s="138"/>
      <c r="AR66" s="132"/>
      <c r="AS66" s="133"/>
      <c r="AT66" s="133"/>
      <c r="AU66" s="133"/>
      <c r="AV66" s="133"/>
      <c r="AW66" s="185">
        <v>1.0</v>
      </c>
      <c r="AX66" s="133"/>
      <c r="AY66" s="133"/>
      <c r="AZ66" s="133"/>
      <c r="BA66" s="133"/>
      <c r="BB66" s="133"/>
      <c r="BC66" s="133"/>
      <c r="BD66" s="185">
        <v>1.0</v>
      </c>
      <c r="BE66" s="133"/>
      <c r="BF66" s="133"/>
      <c r="BG66" s="185">
        <v>1.0</v>
      </c>
      <c r="BH66" s="135">
        <f t="shared" si="18"/>
        <v>3</v>
      </c>
      <c r="BI66" s="186">
        <f t="shared" si="19"/>
        <v>33.33333333</v>
      </c>
      <c r="BJ66" s="151">
        <v>1.0</v>
      </c>
      <c r="BK66" s="170">
        <v>1.0</v>
      </c>
      <c r="BL66" s="138"/>
      <c r="BM66" s="151">
        <v>1.0</v>
      </c>
      <c r="BN66" s="151">
        <v>1.0</v>
      </c>
      <c r="BO66" s="138"/>
      <c r="BP66" s="151">
        <v>1.0</v>
      </c>
      <c r="BR66" s="140"/>
      <c r="BS66" s="152"/>
      <c r="BT66" s="152"/>
      <c r="BU66" s="152"/>
      <c r="BV66" s="217"/>
      <c r="BW66" s="218"/>
      <c r="BX66" s="218"/>
      <c r="BY66" s="218"/>
      <c r="BZ66" s="218"/>
      <c r="CA66" s="218"/>
      <c r="CB66" s="218"/>
      <c r="CC66" s="218"/>
      <c r="CD66" s="218"/>
      <c r="CE66" s="156">
        <f t="shared" si="20"/>
        <v>5</v>
      </c>
      <c r="CF66" s="190">
        <f t="shared" si="21"/>
        <v>62.5</v>
      </c>
      <c r="CG66" s="209"/>
      <c r="CH66" s="153"/>
      <c r="CI66" s="217"/>
      <c r="CJ66" s="219"/>
      <c r="CK66" s="219"/>
      <c r="CL66" s="219"/>
      <c r="CM66" s="219"/>
      <c r="CN66" s="217"/>
      <c r="CO66" s="221"/>
      <c r="CP66" s="221"/>
      <c r="CQ66" s="161"/>
      <c r="CR66" s="163">
        <f t="shared" si="22"/>
        <v>0</v>
      </c>
      <c r="CS66" s="194" t="str">
        <f t="shared" si="23"/>
        <v>#DIV/0!</v>
      </c>
      <c r="CT66" s="196"/>
      <c r="CU66" s="167">
        <f t="shared" si="24"/>
        <v>39.39393939</v>
      </c>
      <c r="CV66" s="169">
        <f t="shared" si="9"/>
        <v>13</v>
      </c>
      <c r="CW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10"/>
        <v>5</v>
      </c>
      <c r="E67" s="127">
        <f t="shared" si="11"/>
        <v>15.15151515</v>
      </c>
      <c r="F67" s="200">
        <f t="shared" si="12"/>
        <v>15.15151515</v>
      </c>
      <c r="G67" s="207">
        <f t="shared" si="13"/>
        <v>15.15151515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4"/>
        <v>0</v>
      </c>
      <c r="S67" s="137">
        <f t="shared" si="15"/>
        <v>0</v>
      </c>
      <c r="T67" s="138"/>
      <c r="U67" s="138"/>
      <c r="V67" s="138"/>
      <c r="W67" s="132"/>
      <c r="X67" s="132"/>
      <c r="Y67" s="138"/>
      <c r="Z67" s="138"/>
      <c r="AA67" s="138"/>
      <c r="AB67" s="244">
        <v>1.0</v>
      </c>
      <c r="AC67" s="140"/>
      <c r="AD67" s="140"/>
      <c r="AE67" s="141"/>
      <c r="AF67" s="234"/>
      <c r="AG67" s="234"/>
      <c r="AH67" s="234"/>
      <c r="AI67" s="239"/>
      <c r="AJ67" s="239"/>
      <c r="AK67" s="135">
        <f t="shared" si="16"/>
        <v>1</v>
      </c>
      <c r="AL67" s="183">
        <f t="shared" si="17"/>
        <v>9.090909091</v>
      </c>
      <c r="AM67" s="324">
        <v>1.0</v>
      </c>
      <c r="AN67" s="241"/>
      <c r="AO67" s="233"/>
      <c r="AP67" s="138"/>
      <c r="AQ67" s="138"/>
      <c r="AR67" s="132"/>
      <c r="AS67" s="133"/>
      <c r="AT67" s="133"/>
      <c r="AU67" s="133"/>
      <c r="AV67" s="133"/>
      <c r="AW67" s="185">
        <v>1.0</v>
      </c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5">
        <f t="shared" si="18"/>
        <v>2</v>
      </c>
      <c r="BI67" s="186">
        <f t="shared" si="19"/>
        <v>22.22222222</v>
      </c>
      <c r="BJ67" s="138"/>
      <c r="BK67" s="132"/>
      <c r="BL67" s="138"/>
      <c r="BM67" s="151">
        <v>1.0</v>
      </c>
      <c r="BN67" s="138"/>
      <c r="BO67" s="138"/>
      <c r="BP67" s="138"/>
      <c r="BR67" s="150">
        <v>1.0</v>
      </c>
      <c r="BS67" s="152"/>
      <c r="BT67" s="152"/>
      <c r="BU67" s="152"/>
      <c r="BV67" s="217"/>
      <c r="BW67" s="218"/>
      <c r="BX67" s="218"/>
      <c r="BY67" s="218"/>
      <c r="BZ67" s="218"/>
      <c r="CA67" s="218"/>
      <c r="CB67" s="218"/>
      <c r="CC67" s="218"/>
      <c r="CD67" s="218"/>
      <c r="CE67" s="156">
        <f t="shared" si="20"/>
        <v>2</v>
      </c>
      <c r="CF67" s="190">
        <f t="shared" si="21"/>
        <v>25</v>
      </c>
      <c r="CG67" s="233"/>
      <c r="CH67" s="153"/>
      <c r="CI67" s="217"/>
      <c r="CJ67" s="219"/>
      <c r="CK67" s="219"/>
      <c r="CL67" s="219"/>
      <c r="CM67" s="219"/>
      <c r="CN67" s="217"/>
      <c r="CO67" s="221"/>
      <c r="CP67" s="221"/>
      <c r="CQ67" s="161"/>
      <c r="CR67" s="163">
        <f t="shared" si="22"/>
        <v>0</v>
      </c>
      <c r="CS67" s="194" t="str">
        <f t="shared" si="23"/>
        <v>#DIV/0!</v>
      </c>
      <c r="CT67" s="196"/>
      <c r="CU67" s="167">
        <f t="shared" si="24"/>
        <v>15.15151515</v>
      </c>
      <c r="CV67" s="169">
        <f t="shared" si="9"/>
        <v>5</v>
      </c>
      <c r="CW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10"/>
        <v>1</v>
      </c>
      <c r="E68" s="127">
        <f t="shared" si="11"/>
        <v>3.03030303</v>
      </c>
      <c r="F68" s="200">
        <f t="shared" si="12"/>
        <v>3.03030303</v>
      </c>
      <c r="G68" s="207">
        <f t="shared" si="13"/>
        <v>3.03030303</v>
      </c>
      <c r="H68" s="258"/>
      <c r="I68" s="258"/>
      <c r="J68" s="263"/>
      <c r="K68" s="263"/>
      <c r="L68" s="263"/>
      <c r="M68" s="263"/>
      <c r="N68" s="263"/>
      <c r="O68" s="263"/>
      <c r="P68" s="263"/>
      <c r="Q68" s="263"/>
      <c r="R68" s="135">
        <f t="shared" si="14"/>
        <v>0</v>
      </c>
      <c r="S68" s="137">
        <f t="shared" si="15"/>
        <v>0</v>
      </c>
      <c r="T68" s="138"/>
      <c r="U68" s="138"/>
      <c r="V68" s="138"/>
      <c r="W68" s="132"/>
      <c r="X68" s="132"/>
      <c r="Y68" s="138"/>
      <c r="Z68" s="138"/>
      <c r="AA68" s="138"/>
      <c r="AB68" s="209"/>
      <c r="AC68" s="140"/>
      <c r="AD68" s="140"/>
      <c r="AE68" s="141"/>
      <c r="AF68" s="210"/>
      <c r="AG68" s="210"/>
      <c r="AH68" s="210"/>
      <c r="AI68" s="212"/>
      <c r="AJ68" s="212"/>
      <c r="AK68" s="135">
        <f t="shared" si="16"/>
        <v>0</v>
      </c>
      <c r="AL68" s="183">
        <f t="shared" si="17"/>
        <v>0</v>
      </c>
      <c r="AM68" s="214"/>
      <c r="AN68" s="214"/>
      <c r="AO68" s="209"/>
      <c r="AP68" s="138"/>
      <c r="AQ68" s="138"/>
      <c r="AR68" s="132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5">
        <f t="shared" si="18"/>
        <v>0</v>
      </c>
      <c r="BI68" s="186">
        <f t="shared" si="19"/>
        <v>0</v>
      </c>
      <c r="BJ68" s="138"/>
      <c r="BK68" s="132"/>
      <c r="BL68" s="138"/>
      <c r="BM68" s="138"/>
      <c r="BN68" s="138"/>
      <c r="BO68" s="138"/>
      <c r="BP68" s="138"/>
      <c r="BR68" s="140"/>
      <c r="BS68" s="187">
        <v>1.0</v>
      </c>
      <c r="BT68" s="152"/>
      <c r="BU68" s="152"/>
      <c r="BV68" s="217"/>
      <c r="BW68" s="218"/>
      <c r="BX68" s="218"/>
      <c r="BY68" s="218"/>
      <c r="BZ68" s="218"/>
      <c r="CA68" s="218"/>
      <c r="CB68" s="218"/>
      <c r="CC68" s="218"/>
      <c r="CD68" s="218"/>
      <c r="CE68" s="156">
        <f t="shared" si="20"/>
        <v>1</v>
      </c>
      <c r="CF68" s="190">
        <f t="shared" si="21"/>
        <v>12.5</v>
      </c>
      <c r="CG68" s="209"/>
      <c r="CH68" s="153"/>
      <c r="CI68" s="217"/>
      <c r="CJ68" s="219"/>
      <c r="CK68" s="219"/>
      <c r="CL68" s="219"/>
      <c r="CM68" s="219"/>
      <c r="CN68" s="217"/>
      <c r="CO68" s="221"/>
      <c r="CP68" s="221"/>
      <c r="CQ68" s="161"/>
      <c r="CR68" s="163">
        <f t="shared" si="22"/>
        <v>0</v>
      </c>
      <c r="CS68" s="194" t="str">
        <f t="shared" si="23"/>
        <v>#DIV/0!</v>
      </c>
      <c r="CT68" s="196"/>
      <c r="CU68" s="167">
        <f t="shared" si="24"/>
        <v>3.03030303</v>
      </c>
      <c r="CV68" s="169">
        <f t="shared" si="9"/>
        <v>1</v>
      </c>
      <c r="CW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10"/>
        <v>15</v>
      </c>
      <c r="E69" s="127">
        <f t="shared" si="11"/>
        <v>45.45454545</v>
      </c>
      <c r="F69" s="200">
        <f t="shared" si="12"/>
        <v>45.45454545</v>
      </c>
      <c r="G69" s="177" t="str">
        <f t="shared" si="13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4"/>
        <v>0</v>
      </c>
      <c r="S69" s="137">
        <f t="shared" si="15"/>
        <v>0</v>
      </c>
      <c r="T69" s="138"/>
      <c r="U69" s="138"/>
      <c r="V69" s="138"/>
      <c r="W69" s="132"/>
      <c r="X69" s="132"/>
      <c r="Y69" s="138"/>
      <c r="Z69" s="138"/>
      <c r="AA69" s="151">
        <v>1.0</v>
      </c>
      <c r="AB69" s="225">
        <v>1.0</v>
      </c>
      <c r="AC69" s="140"/>
      <c r="AD69" s="140"/>
      <c r="AE69" s="320">
        <v>1.0</v>
      </c>
      <c r="AF69" s="210"/>
      <c r="AG69" s="211">
        <v>1.0</v>
      </c>
      <c r="AH69" s="211">
        <v>1.0</v>
      </c>
      <c r="AI69" s="212"/>
      <c r="AJ69" s="212"/>
      <c r="AK69" s="135">
        <f t="shared" si="16"/>
        <v>5</v>
      </c>
      <c r="AL69" s="183">
        <f t="shared" si="17"/>
        <v>45.45454545</v>
      </c>
      <c r="AM69" s="214"/>
      <c r="AN69" s="214"/>
      <c r="AO69" s="209"/>
      <c r="AP69" s="138"/>
      <c r="AQ69" s="138"/>
      <c r="AR69" s="132"/>
      <c r="AS69" s="133"/>
      <c r="AT69" s="133"/>
      <c r="AU69" s="133"/>
      <c r="AV69" s="133"/>
      <c r="AW69" s="185">
        <v>1.0</v>
      </c>
      <c r="AX69" s="133"/>
      <c r="AY69" s="185">
        <v>1.0</v>
      </c>
      <c r="AZ69" s="133"/>
      <c r="BA69" s="185">
        <v>1.0</v>
      </c>
      <c r="BB69" s="133"/>
      <c r="BC69" s="133"/>
      <c r="BD69" s="185">
        <v>1.0</v>
      </c>
      <c r="BE69" s="133"/>
      <c r="BF69" s="185">
        <v>1.0</v>
      </c>
      <c r="BG69" s="185">
        <v>1.0</v>
      </c>
      <c r="BH69" s="135">
        <f t="shared" si="18"/>
        <v>6</v>
      </c>
      <c r="BI69" s="186">
        <f t="shared" si="19"/>
        <v>66.66666667</v>
      </c>
      <c r="BJ69" s="138"/>
      <c r="BK69" s="170">
        <v>1.0</v>
      </c>
      <c r="BL69" s="138"/>
      <c r="BM69" s="138"/>
      <c r="BN69" s="151">
        <v>1.0</v>
      </c>
      <c r="BO69" s="151">
        <v>1.0</v>
      </c>
      <c r="BP69" s="138"/>
      <c r="BR69" s="140"/>
      <c r="BS69" s="152"/>
      <c r="BT69" s="152"/>
      <c r="BU69" s="187">
        <v>1.0</v>
      </c>
      <c r="BV69" s="217"/>
      <c r="BW69" s="218"/>
      <c r="BX69" s="218"/>
      <c r="BY69" s="218"/>
      <c r="BZ69" s="218"/>
      <c r="CA69" s="218"/>
      <c r="CB69" s="218"/>
      <c r="CC69" s="218"/>
      <c r="CD69" s="218"/>
      <c r="CE69" s="156">
        <f t="shared" si="20"/>
        <v>4</v>
      </c>
      <c r="CF69" s="190">
        <f t="shared" si="21"/>
        <v>50</v>
      </c>
      <c r="CG69" s="209"/>
      <c r="CH69" s="153"/>
      <c r="CI69" s="217"/>
      <c r="CJ69" s="219"/>
      <c r="CK69" s="219"/>
      <c r="CL69" s="219"/>
      <c r="CM69" s="219"/>
      <c r="CN69" s="217"/>
      <c r="CO69" s="221"/>
      <c r="CP69" s="221"/>
      <c r="CQ69" s="161"/>
      <c r="CR69" s="163">
        <f t="shared" si="22"/>
        <v>0</v>
      </c>
      <c r="CS69" s="194" t="str">
        <f t="shared" si="23"/>
        <v>#DIV/0!</v>
      </c>
      <c r="CT69" s="196"/>
      <c r="CU69" s="167">
        <f t="shared" si="24"/>
        <v>45.45454545</v>
      </c>
      <c r="CV69" s="169">
        <f t="shared" si="9"/>
        <v>15</v>
      </c>
      <c r="CW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10"/>
        <v>2</v>
      </c>
      <c r="E70" s="127">
        <f t="shared" si="11"/>
        <v>6.060606061</v>
      </c>
      <c r="F70" s="200">
        <f t="shared" si="12"/>
        <v>6.060606061</v>
      </c>
      <c r="G70" s="207">
        <f t="shared" si="13"/>
        <v>6.060606061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4"/>
        <v>0</v>
      </c>
      <c r="S70" s="137">
        <f t="shared" si="15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2"/>
      <c r="AJ70" s="212"/>
      <c r="AK70" s="135">
        <f t="shared" si="16"/>
        <v>0</v>
      </c>
      <c r="AL70" s="183">
        <f t="shared" si="17"/>
        <v>0</v>
      </c>
      <c r="AM70" s="214"/>
      <c r="AN70" s="214"/>
      <c r="AO70" s="209"/>
      <c r="AP70" s="138"/>
      <c r="AQ70" s="138"/>
      <c r="AR70" s="132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85">
        <v>1.0</v>
      </c>
      <c r="BH70" s="135">
        <f t="shared" si="18"/>
        <v>1</v>
      </c>
      <c r="BI70" s="186">
        <f t="shared" si="19"/>
        <v>11.11111111</v>
      </c>
      <c r="BJ70" s="151">
        <v>1.0</v>
      </c>
      <c r="BK70" s="132"/>
      <c r="BL70" s="138"/>
      <c r="BM70" s="138"/>
      <c r="BN70" s="138"/>
      <c r="BO70" s="138"/>
      <c r="BP70" s="138"/>
      <c r="BR70" s="140"/>
      <c r="BS70" s="152"/>
      <c r="BT70" s="152"/>
      <c r="BU70" s="152"/>
      <c r="BV70" s="217"/>
      <c r="BW70" s="218"/>
      <c r="BX70" s="218"/>
      <c r="BY70" s="218"/>
      <c r="BZ70" s="218"/>
      <c r="CA70" s="218"/>
      <c r="CB70" s="218"/>
      <c r="CC70" s="218"/>
      <c r="CD70" s="218"/>
      <c r="CE70" s="156">
        <f t="shared" si="20"/>
        <v>1</v>
      </c>
      <c r="CF70" s="190">
        <f t="shared" si="21"/>
        <v>12.5</v>
      </c>
      <c r="CG70" s="209"/>
      <c r="CH70" s="153"/>
      <c r="CI70" s="217"/>
      <c r="CJ70" s="219"/>
      <c r="CK70" s="219"/>
      <c r="CL70" s="219"/>
      <c r="CM70" s="219"/>
      <c r="CN70" s="217"/>
      <c r="CO70" s="221"/>
      <c r="CP70" s="221"/>
      <c r="CQ70" s="161"/>
      <c r="CR70" s="163">
        <f t="shared" si="22"/>
        <v>0</v>
      </c>
      <c r="CS70" s="194" t="str">
        <f t="shared" si="23"/>
        <v>#DIV/0!</v>
      </c>
      <c r="CT70" s="196"/>
      <c r="CU70" s="167">
        <f t="shared" si="24"/>
        <v>6.060606061</v>
      </c>
      <c r="CV70" s="169">
        <f t="shared" si="9"/>
        <v>2</v>
      </c>
      <c r="CW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10"/>
        <v>1</v>
      </c>
      <c r="E71" s="127">
        <f t="shared" si="11"/>
        <v>3.03030303</v>
      </c>
      <c r="F71" s="200">
        <f t="shared" si="12"/>
        <v>3.03030303</v>
      </c>
      <c r="G71" s="207">
        <f t="shared" si="13"/>
        <v>3.03030303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4"/>
        <v>0</v>
      </c>
      <c r="S71" s="137">
        <f t="shared" si="15"/>
        <v>0</v>
      </c>
      <c r="T71" s="138"/>
      <c r="U71" s="138"/>
      <c r="V71" s="138"/>
      <c r="W71" s="132"/>
      <c r="X71" s="132"/>
      <c r="Y71" s="138"/>
      <c r="Z71" s="138"/>
      <c r="AA71" s="151">
        <v>1.0</v>
      </c>
      <c r="AB71" s="209"/>
      <c r="AC71" s="140"/>
      <c r="AD71" s="140"/>
      <c r="AE71" s="141"/>
      <c r="AF71" s="210"/>
      <c r="AG71" s="210"/>
      <c r="AH71" s="210"/>
      <c r="AI71" s="212"/>
      <c r="AJ71" s="212"/>
      <c r="AK71" s="135">
        <f t="shared" si="16"/>
        <v>1</v>
      </c>
      <c r="AL71" s="183">
        <f t="shared" si="17"/>
        <v>9.090909091</v>
      </c>
      <c r="AM71" s="214"/>
      <c r="AN71" s="214"/>
      <c r="AO71" s="209"/>
      <c r="AP71" s="138"/>
      <c r="AQ71" s="138"/>
      <c r="AR71" s="132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5">
        <f t="shared" si="18"/>
        <v>0</v>
      </c>
      <c r="BI71" s="186">
        <f t="shared" si="19"/>
        <v>0</v>
      </c>
      <c r="BJ71" s="138"/>
      <c r="BK71" s="132"/>
      <c r="BL71" s="138"/>
      <c r="BM71" s="138"/>
      <c r="BN71" s="138"/>
      <c r="BO71" s="138"/>
      <c r="BP71" s="138"/>
      <c r="BR71" s="140"/>
      <c r="BS71" s="152"/>
      <c r="BT71" s="152"/>
      <c r="BU71" s="152"/>
      <c r="BV71" s="217"/>
      <c r="BW71" s="218"/>
      <c r="BX71" s="218"/>
      <c r="BY71" s="218"/>
      <c r="BZ71" s="218"/>
      <c r="CA71" s="218"/>
      <c r="CB71" s="218"/>
      <c r="CC71" s="218"/>
      <c r="CD71" s="218"/>
      <c r="CE71" s="156">
        <f t="shared" si="20"/>
        <v>0</v>
      </c>
      <c r="CF71" s="190">
        <f t="shared" si="21"/>
        <v>0</v>
      </c>
      <c r="CG71" s="209"/>
      <c r="CH71" s="153"/>
      <c r="CI71" s="217"/>
      <c r="CJ71" s="219"/>
      <c r="CK71" s="219"/>
      <c r="CL71" s="219"/>
      <c r="CM71" s="219"/>
      <c r="CN71" s="217"/>
      <c r="CO71" s="221"/>
      <c r="CP71" s="221"/>
      <c r="CQ71" s="161"/>
      <c r="CR71" s="163">
        <f t="shared" si="22"/>
        <v>0</v>
      </c>
      <c r="CS71" s="194" t="str">
        <f t="shared" si="23"/>
        <v>#DIV/0!</v>
      </c>
      <c r="CT71" s="196"/>
      <c r="CU71" s="167">
        <f t="shared" si="24"/>
        <v>3.03030303</v>
      </c>
      <c r="CV71" s="169">
        <f t="shared" si="9"/>
        <v>1</v>
      </c>
      <c r="CW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10"/>
        <v>14</v>
      </c>
      <c r="E72" s="127">
        <f t="shared" si="11"/>
        <v>42.42424242</v>
      </c>
      <c r="F72" s="200">
        <f t="shared" si="12"/>
        <v>42.42424242</v>
      </c>
      <c r="G72" s="177" t="str">
        <f t="shared" si="13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4"/>
        <v>0</v>
      </c>
      <c r="S72" s="137">
        <f t="shared" si="15"/>
        <v>0</v>
      </c>
      <c r="T72" s="138"/>
      <c r="U72" s="138"/>
      <c r="V72" s="138"/>
      <c r="W72" s="132"/>
      <c r="X72" s="132"/>
      <c r="Y72" s="138"/>
      <c r="Z72" s="138"/>
      <c r="AA72" s="151">
        <v>1.0</v>
      </c>
      <c r="AB72" s="225">
        <v>1.0</v>
      </c>
      <c r="AC72" s="140"/>
      <c r="AD72" s="150">
        <v>1.0</v>
      </c>
      <c r="AE72" s="320">
        <v>1.0</v>
      </c>
      <c r="AF72" s="210"/>
      <c r="AG72" s="210"/>
      <c r="AH72" s="210"/>
      <c r="AI72" s="212"/>
      <c r="AJ72" s="212"/>
      <c r="AK72" s="135">
        <f t="shared" si="16"/>
        <v>4</v>
      </c>
      <c r="AL72" s="183">
        <f t="shared" si="17"/>
        <v>36.36363636</v>
      </c>
      <c r="AM72" s="214"/>
      <c r="AN72" s="214"/>
      <c r="AO72" s="209"/>
      <c r="AP72" s="138"/>
      <c r="AQ72" s="138"/>
      <c r="AR72" s="132"/>
      <c r="AS72" s="133"/>
      <c r="AT72" s="133"/>
      <c r="AU72" s="133"/>
      <c r="AV72" s="133"/>
      <c r="AW72" s="185">
        <v>1.0</v>
      </c>
      <c r="AX72" s="133"/>
      <c r="AY72" s="133"/>
      <c r="AZ72" s="133"/>
      <c r="BA72" s="185">
        <v>1.0</v>
      </c>
      <c r="BB72" s="133"/>
      <c r="BC72" s="133"/>
      <c r="BD72" s="185">
        <v>1.0</v>
      </c>
      <c r="BE72" s="133"/>
      <c r="BF72" s="133"/>
      <c r="BG72" s="185">
        <v>1.0</v>
      </c>
      <c r="BH72" s="135">
        <f t="shared" si="18"/>
        <v>4</v>
      </c>
      <c r="BI72" s="186">
        <f t="shared" si="19"/>
        <v>44.44444444</v>
      </c>
      <c r="BJ72" s="151">
        <v>1.0</v>
      </c>
      <c r="BK72" s="170">
        <v>1.0</v>
      </c>
      <c r="BL72" s="138"/>
      <c r="BM72" s="151">
        <v>1.0</v>
      </c>
      <c r="BN72" s="151">
        <v>1.0</v>
      </c>
      <c r="BO72" s="151">
        <v>1.0</v>
      </c>
      <c r="BP72" s="138"/>
      <c r="BR72" s="140"/>
      <c r="BS72" s="187">
        <v>1.0</v>
      </c>
      <c r="BT72" s="152"/>
      <c r="BU72" s="152"/>
      <c r="BV72" s="217"/>
      <c r="BW72" s="218"/>
      <c r="BX72" s="218"/>
      <c r="BY72" s="218"/>
      <c r="BZ72" s="218"/>
      <c r="CA72" s="218"/>
      <c r="CB72" s="218"/>
      <c r="CC72" s="218"/>
      <c r="CD72" s="218"/>
      <c r="CE72" s="156">
        <f t="shared" si="20"/>
        <v>6</v>
      </c>
      <c r="CF72" s="190">
        <f t="shared" si="21"/>
        <v>75</v>
      </c>
      <c r="CG72" s="209"/>
      <c r="CH72" s="153"/>
      <c r="CI72" s="217"/>
      <c r="CJ72" s="219"/>
      <c r="CK72" s="219"/>
      <c r="CL72" s="219"/>
      <c r="CM72" s="219"/>
      <c r="CN72" s="217"/>
      <c r="CO72" s="221"/>
      <c r="CP72" s="221"/>
      <c r="CQ72" s="161"/>
      <c r="CR72" s="163">
        <f t="shared" si="22"/>
        <v>0</v>
      </c>
      <c r="CS72" s="194" t="str">
        <f t="shared" si="23"/>
        <v>#DIV/0!</v>
      </c>
      <c r="CT72" s="196"/>
      <c r="CU72" s="167">
        <f t="shared" si="24"/>
        <v>42.42424242</v>
      </c>
      <c r="CV72" s="169">
        <f t="shared" si="9"/>
        <v>14</v>
      </c>
      <c r="CW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10"/>
        <v>9</v>
      </c>
      <c r="E73" s="127">
        <f t="shared" si="11"/>
        <v>27.27272727</v>
      </c>
      <c r="F73" s="200">
        <f t="shared" si="12"/>
        <v>27.27272727</v>
      </c>
      <c r="G73" s="207">
        <f t="shared" si="13"/>
        <v>27.27272727</v>
      </c>
      <c r="H73" s="258"/>
      <c r="I73" s="258"/>
      <c r="J73" s="263"/>
      <c r="K73" s="269">
        <v>1.0</v>
      </c>
      <c r="L73" s="263"/>
      <c r="M73" s="263"/>
      <c r="N73" s="263"/>
      <c r="O73" s="263"/>
      <c r="P73" s="263"/>
      <c r="Q73" s="263"/>
      <c r="R73" s="135">
        <f t="shared" si="14"/>
        <v>1</v>
      </c>
      <c r="S73" s="137">
        <f t="shared" si="15"/>
        <v>20</v>
      </c>
      <c r="T73" s="138"/>
      <c r="U73" s="151">
        <v>1.0</v>
      </c>
      <c r="V73" s="138"/>
      <c r="W73" s="132"/>
      <c r="X73" s="132"/>
      <c r="Y73" s="138"/>
      <c r="Z73" s="138"/>
      <c r="AA73" s="138"/>
      <c r="AB73" s="225">
        <v>1.0</v>
      </c>
      <c r="AC73" s="140"/>
      <c r="AD73" s="140"/>
      <c r="AE73" s="320">
        <v>1.0</v>
      </c>
      <c r="AF73" s="210"/>
      <c r="AG73" s="210"/>
      <c r="AH73" s="210"/>
      <c r="AI73" s="212"/>
      <c r="AJ73" s="212"/>
      <c r="AK73" s="135">
        <f t="shared" si="16"/>
        <v>3</v>
      </c>
      <c r="AL73" s="183">
        <f t="shared" si="17"/>
        <v>27.27272727</v>
      </c>
      <c r="AM73" s="214"/>
      <c r="AN73" s="214"/>
      <c r="AO73" s="209"/>
      <c r="AP73" s="138"/>
      <c r="AQ73" s="138"/>
      <c r="AR73" s="132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85">
        <v>1.0</v>
      </c>
      <c r="BE73" s="133"/>
      <c r="BF73" s="133"/>
      <c r="BG73" s="133"/>
      <c r="BH73" s="135">
        <f t="shared" si="18"/>
        <v>1</v>
      </c>
      <c r="BI73" s="186">
        <f t="shared" si="19"/>
        <v>11.11111111</v>
      </c>
      <c r="BJ73" s="151">
        <v>1.0</v>
      </c>
      <c r="BK73" s="170">
        <v>1.0</v>
      </c>
      <c r="BL73" s="138"/>
      <c r="BM73" s="151">
        <v>1.0</v>
      </c>
      <c r="BN73" s="138"/>
      <c r="BO73" s="138"/>
      <c r="BP73" s="138"/>
      <c r="BR73" s="140"/>
      <c r="BS73" s="152"/>
      <c r="BT73" s="152"/>
      <c r="BU73" s="187">
        <v>1.0</v>
      </c>
      <c r="BV73" s="217"/>
      <c r="BW73" s="218"/>
      <c r="BX73" s="218"/>
      <c r="BY73" s="218"/>
      <c r="BZ73" s="218"/>
      <c r="CA73" s="218"/>
      <c r="CB73" s="218"/>
      <c r="CC73" s="218"/>
      <c r="CD73" s="218"/>
      <c r="CE73" s="156">
        <f t="shared" si="20"/>
        <v>4</v>
      </c>
      <c r="CF73" s="190">
        <f t="shared" si="21"/>
        <v>50</v>
      </c>
      <c r="CG73" s="209"/>
      <c r="CH73" s="153"/>
      <c r="CI73" s="217"/>
      <c r="CJ73" s="219"/>
      <c r="CK73" s="219"/>
      <c r="CL73" s="219"/>
      <c r="CM73" s="219"/>
      <c r="CN73" s="217"/>
      <c r="CO73" s="221"/>
      <c r="CP73" s="221"/>
      <c r="CQ73" s="161"/>
      <c r="CR73" s="163">
        <f t="shared" si="22"/>
        <v>0</v>
      </c>
      <c r="CS73" s="194" t="str">
        <f t="shared" si="23"/>
        <v>#DIV/0!</v>
      </c>
      <c r="CT73" s="196"/>
      <c r="CU73" s="167">
        <f t="shared" si="24"/>
        <v>27.27272727</v>
      </c>
      <c r="CV73" s="169">
        <f t="shared" si="9"/>
        <v>9</v>
      </c>
      <c r="CW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10"/>
        <v>4</v>
      </c>
      <c r="E74" s="127">
        <f t="shared" si="11"/>
        <v>12.12121212</v>
      </c>
      <c r="F74" s="200">
        <f t="shared" si="12"/>
        <v>12.12121212</v>
      </c>
      <c r="G74" s="207">
        <f t="shared" si="13"/>
        <v>12.12121212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4"/>
        <v>0</v>
      </c>
      <c r="S74" s="137">
        <f t="shared" si="15"/>
        <v>0</v>
      </c>
      <c r="T74" s="138"/>
      <c r="U74" s="138"/>
      <c r="V74" s="138"/>
      <c r="W74" s="132"/>
      <c r="X74" s="132"/>
      <c r="Y74" s="138"/>
      <c r="Z74" s="151">
        <v>1.0</v>
      </c>
      <c r="AA74" s="151">
        <v>1.0</v>
      </c>
      <c r="AB74" s="209"/>
      <c r="AC74" s="140"/>
      <c r="AD74" s="150">
        <v>1.0</v>
      </c>
      <c r="AE74" s="141"/>
      <c r="AF74" s="210"/>
      <c r="AG74" s="210"/>
      <c r="AH74" s="211">
        <v>1.0</v>
      </c>
      <c r="AI74" s="212"/>
      <c r="AJ74" s="212"/>
      <c r="AK74" s="135">
        <f t="shared" si="16"/>
        <v>4</v>
      </c>
      <c r="AL74" s="183">
        <f t="shared" si="17"/>
        <v>36.36363636</v>
      </c>
      <c r="AM74" s="214"/>
      <c r="AN74" s="214"/>
      <c r="AO74" s="209"/>
      <c r="AP74" s="138"/>
      <c r="AQ74" s="138"/>
      <c r="AR74" s="132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5">
        <f t="shared" si="18"/>
        <v>0</v>
      </c>
      <c r="BI74" s="186">
        <f t="shared" si="19"/>
        <v>0</v>
      </c>
      <c r="BJ74" s="138"/>
      <c r="BK74" s="132"/>
      <c r="BL74" s="138"/>
      <c r="BM74" s="138"/>
      <c r="BN74" s="138"/>
      <c r="BO74" s="138"/>
      <c r="BP74" s="138"/>
      <c r="BR74" s="140"/>
      <c r="BS74" s="152"/>
      <c r="BT74" s="152"/>
      <c r="BU74" s="152"/>
      <c r="BV74" s="217"/>
      <c r="BW74" s="218"/>
      <c r="BX74" s="218"/>
      <c r="BY74" s="218"/>
      <c r="BZ74" s="218"/>
      <c r="CA74" s="218"/>
      <c r="CB74" s="218"/>
      <c r="CC74" s="218"/>
      <c r="CD74" s="218"/>
      <c r="CE74" s="156">
        <f t="shared" si="20"/>
        <v>0</v>
      </c>
      <c r="CF74" s="190">
        <f t="shared" si="21"/>
        <v>0</v>
      </c>
      <c r="CG74" s="209"/>
      <c r="CH74" s="153"/>
      <c r="CI74" s="217"/>
      <c r="CJ74" s="219"/>
      <c r="CK74" s="219"/>
      <c r="CL74" s="219"/>
      <c r="CM74" s="219"/>
      <c r="CN74" s="217"/>
      <c r="CO74" s="221"/>
      <c r="CP74" s="221"/>
      <c r="CQ74" s="161"/>
      <c r="CR74" s="163">
        <f t="shared" si="22"/>
        <v>0</v>
      </c>
      <c r="CS74" s="194" t="str">
        <f t="shared" si="23"/>
        <v>#DIV/0!</v>
      </c>
      <c r="CT74" s="196"/>
      <c r="CU74" s="167">
        <f t="shared" si="24"/>
        <v>12.12121212</v>
      </c>
      <c r="CV74" s="169">
        <f t="shared" si="9"/>
        <v>4</v>
      </c>
      <c r="CW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10"/>
        <v>9</v>
      </c>
      <c r="E75" s="127">
        <f t="shared" si="11"/>
        <v>27.27272727</v>
      </c>
      <c r="F75" s="200">
        <f t="shared" si="12"/>
        <v>27.27272727</v>
      </c>
      <c r="G75" s="207">
        <f t="shared" si="13"/>
        <v>27.27272727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4"/>
        <v>0</v>
      </c>
      <c r="S75" s="137">
        <f t="shared" si="15"/>
        <v>0</v>
      </c>
      <c r="T75" s="138"/>
      <c r="U75" s="138"/>
      <c r="V75" s="138"/>
      <c r="W75" s="132"/>
      <c r="X75" s="132"/>
      <c r="Y75" s="138"/>
      <c r="Z75" s="138"/>
      <c r="AA75" s="138"/>
      <c r="AB75" s="225">
        <v>1.0</v>
      </c>
      <c r="AC75" s="140"/>
      <c r="AD75" s="140"/>
      <c r="AE75" s="320">
        <v>1.0</v>
      </c>
      <c r="AF75" s="210"/>
      <c r="AG75" s="210"/>
      <c r="AH75" s="210"/>
      <c r="AI75" s="212"/>
      <c r="AJ75" s="212"/>
      <c r="AK75" s="135">
        <f t="shared" si="16"/>
        <v>2</v>
      </c>
      <c r="AL75" s="183">
        <f t="shared" si="17"/>
        <v>18.18181818</v>
      </c>
      <c r="AM75" s="322">
        <v>1.0</v>
      </c>
      <c r="AN75" s="214"/>
      <c r="AO75" s="209"/>
      <c r="AP75" s="138"/>
      <c r="AQ75" s="138"/>
      <c r="AR75" s="132"/>
      <c r="AS75" s="133"/>
      <c r="AT75" s="133"/>
      <c r="AU75" s="133"/>
      <c r="AV75" s="133"/>
      <c r="AW75" s="185">
        <v>1.0</v>
      </c>
      <c r="AX75" s="133"/>
      <c r="AY75" s="133"/>
      <c r="AZ75" s="133"/>
      <c r="BA75" s="133"/>
      <c r="BB75" s="133"/>
      <c r="BC75" s="133"/>
      <c r="BD75" s="133"/>
      <c r="BE75" s="133"/>
      <c r="BF75" s="185">
        <v>1.0</v>
      </c>
      <c r="BG75" s="185">
        <v>1.0</v>
      </c>
      <c r="BH75" s="135">
        <f t="shared" si="18"/>
        <v>4</v>
      </c>
      <c r="BI75" s="186">
        <f t="shared" si="19"/>
        <v>44.44444444</v>
      </c>
      <c r="BJ75" s="138"/>
      <c r="BK75" s="132"/>
      <c r="BL75" s="138"/>
      <c r="BM75" s="151">
        <v>1.0</v>
      </c>
      <c r="BN75" s="151">
        <v>1.0</v>
      </c>
      <c r="BO75" s="138"/>
      <c r="BP75" s="138"/>
      <c r="BR75" s="150">
        <v>1.0</v>
      </c>
      <c r="BS75" s="152"/>
      <c r="BT75" s="152"/>
      <c r="BU75" s="152"/>
      <c r="BV75" s="217"/>
      <c r="BW75" s="218"/>
      <c r="BX75" s="218"/>
      <c r="BY75" s="218"/>
      <c r="BZ75" s="218"/>
      <c r="CA75" s="218"/>
      <c r="CB75" s="218"/>
      <c r="CC75" s="218"/>
      <c r="CD75" s="218"/>
      <c r="CE75" s="156">
        <f t="shared" si="20"/>
        <v>3</v>
      </c>
      <c r="CF75" s="190">
        <f t="shared" si="21"/>
        <v>37.5</v>
      </c>
      <c r="CG75" s="209"/>
      <c r="CH75" s="153"/>
      <c r="CI75" s="217"/>
      <c r="CJ75" s="219"/>
      <c r="CK75" s="219"/>
      <c r="CL75" s="219"/>
      <c r="CM75" s="219"/>
      <c r="CN75" s="217"/>
      <c r="CO75" s="221"/>
      <c r="CP75" s="221"/>
      <c r="CQ75" s="161"/>
      <c r="CR75" s="163">
        <f t="shared" si="22"/>
        <v>0</v>
      </c>
      <c r="CS75" s="194" t="str">
        <f t="shared" si="23"/>
        <v>#DIV/0!</v>
      </c>
      <c r="CT75" s="196"/>
      <c r="CU75" s="167">
        <f t="shared" si="24"/>
        <v>27.27272727</v>
      </c>
      <c r="CV75" s="169">
        <f t="shared" si="9"/>
        <v>9</v>
      </c>
      <c r="CW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10"/>
        <v>6</v>
      </c>
      <c r="E76" s="127">
        <f t="shared" si="11"/>
        <v>18.18181818</v>
      </c>
      <c r="F76" s="200">
        <f t="shared" si="12"/>
        <v>18.18181818</v>
      </c>
      <c r="G76" s="207">
        <f t="shared" si="13"/>
        <v>18.18181818</v>
      </c>
      <c r="H76" s="273"/>
      <c r="I76" s="273"/>
      <c r="J76" s="274"/>
      <c r="K76" s="274"/>
      <c r="L76" s="302">
        <v>1.0</v>
      </c>
      <c r="M76" s="274"/>
      <c r="N76" s="274"/>
      <c r="O76" s="274"/>
      <c r="P76" s="274"/>
      <c r="Q76" s="274"/>
      <c r="R76" s="135">
        <f t="shared" si="14"/>
        <v>1</v>
      </c>
      <c r="S76" s="137">
        <f t="shared" si="15"/>
        <v>20</v>
      </c>
      <c r="T76" s="138"/>
      <c r="U76" s="138"/>
      <c r="V76" s="138"/>
      <c r="W76" s="132"/>
      <c r="X76" s="132"/>
      <c r="Y76" s="138"/>
      <c r="Z76" s="151">
        <v>1.0</v>
      </c>
      <c r="AA76" s="151">
        <v>1.0</v>
      </c>
      <c r="AB76" s="225">
        <v>1.0</v>
      </c>
      <c r="AC76" s="140"/>
      <c r="AD76" s="150">
        <v>1.0</v>
      </c>
      <c r="AE76" s="141"/>
      <c r="AF76" s="210"/>
      <c r="AG76" s="210"/>
      <c r="AH76" s="210"/>
      <c r="AI76" s="212"/>
      <c r="AJ76" s="212"/>
      <c r="AK76" s="135">
        <f t="shared" si="16"/>
        <v>4</v>
      </c>
      <c r="AL76" s="183">
        <f t="shared" si="17"/>
        <v>36.36363636</v>
      </c>
      <c r="AM76" s="214"/>
      <c r="AN76" s="214"/>
      <c r="AO76" s="209"/>
      <c r="AP76" s="138"/>
      <c r="AQ76" s="138"/>
      <c r="AR76" s="132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85">
        <v>1.0</v>
      </c>
      <c r="BE76" s="133"/>
      <c r="BF76" s="133"/>
      <c r="BG76" s="133"/>
      <c r="BH76" s="135">
        <f t="shared" si="18"/>
        <v>1</v>
      </c>
      <c r="BI76" s="186">
        <f t="shared" si="19"/>
        <v>11.11111111</v>
      </c>
      <c r="BJ76" s="138"/>
      <c r="BK76" s="132"/>
      <c r="BL76" s="138"/>
      <c r="BM76" s="138"/>
      <c r="BN76" s="138"/>
      <c r="BO76" s="138"/>
      <c r="BP76" s="138"/>
      <c r="BR76" s="140"/>
      <c r="BS76" s="152"/>
      <c r="BT76" s="152"/>
      <c r="BU76" s="152"/>
      <c r="BV76" s="217"/>
      <c r="BW76" s="218"/>
      <c r="BX76" s="218"/>
      <c r="BY76" s="218"/>
      <c r="BZ76" s="218"/>
      <c r="CA76" s="218"/>
      <c r="CB76" s="218"/>
      <c r="CC76" s="218"/>
      <c r="CD76" s="218"/>
      <c r="CE76" s="156">
        <f t="shared" si="20"/>
        <v>0</v>
      </c>
      <c r="CF76" s="190">
        <f t="shared" si="21"/>
        <v>0</v>
      </c>
      <c r="CG76" s="209"/>
      <c r="CH76" s="153"/>
      <c r="CI76" s="217"/>
      <c r="CJ76" s="219"/>
      <c r="CK76" s="219"/>
      <c r="CL76" s="219"/>
      <c r="CM76" s="219"/>
      <c r="CN76" s="217"/>
      <c r="CO76" s="221"/>
      <c r="CP76" s="221"/>
      <c r="CQ76" s="161"/>
      <c r="CR76" s="163">
        <f t="shared" si="22"/>
        <v>0</v>
      </c>
      <c r="CS76" s="194" t="str">
        <f t="shared" si="23"/>
        <v>#DIV/0!</v>
      </c>
      <c r="CT76" s="196"/>
      <c r="CU76" s="167">
        <f t="shared" si="24"/>
        <v>18.18181818</v>
      </c>
      <c r="CV76" s="169">
        <f t="shared" si="9"/>
        <v>6</v>
      </c>
      <c r="CW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10"/>
        <v>8</v>
      </c>
      <c r="E77" s="127">
        <f t="shared" si="11"/>
        <v>24.24242424</v>
      </c>
      <c r="F77" s="200">
        <f t="shared" si="12"/>
        <v>24.24242424</v>
      </c>
      <c r="G77" s="207">
        <f t="shared" si="13"/>
        <v>24.24242424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4"/>
        <v>0</v>
      </c>
      <c r="S77" s="137">
        <f t="shared" si="15"/>
        <v>0</v>
      </c>
      <c r="T77" s="138"/>
      <c r="U77" s="138"/>
      <c r="V77" s="138"/>
      <c r="W77" s="132"/>
      <c r="X77" s="132"/>
      <c r="Y77" s="138"/>
      <c r="Z77" s="151">
        <v>1.0</v>
      </c>
      <c r="AA77" s="138"/>
      <c r="AB77" s="209"/>
      <c r="AC77" s="140"/>
      <c r="AD77" s="140"/>
      <c r="AE77" s="141"/>
      <c r="AF77" s="210"/>
      <c r="AG77" s="211">
        <v>1.0</v>
      </c>
      <c r="AH77" s="211">
        <v>1.0</v>
      </c>
      <c r="AI77" s="212"/>
      <c r="AJ77" s="212"/>
      <c r="AK77" s="135">
        <f t="shared" si="16"/>
        <v>3</v>
      </c>
      <c r="AL77" s="183">
        <f t="shared" si="17"/>
        <v>27.27272727</v>
      </c>
      <c r="AM77" s="214"/>
      <c r="AN77" s="214"/>
      <c r="AO77" s="209"/>
      <c r="AP77" s="138"/>
      <c r="AQ77" s="138"/>
      <c r="AR77" s="132"/>
      <c r="AS77" s="133"/>
      <c r="AT77" s="133"/>
      <c r="AU77" s="133"/>
      <c r="AV77" s="133"/>
      <c r="AW77" s="133"/>
      <c r="AX77" s="133"/>
      <c r="AY77" s="133"/>
      <c r="AZ77" s="185">
        <v>1.0</v>
      </c>
      <c r="BA77" s="133"/>
      <c r="BB77" s="133"/>
      <c r="BC77" s="133"/>
      <c r="BD77" s="133"/>
      <c r="BE77" s="133"/>
      <c r="BF77" s="133"/>
      <c r="BG77" s="185">
        <v>1.0</v>
      </c>
      <c r="BH77" s="135">
        <f t="shared" si="18"/>
        <v>2</v>
      </c>
      <c r="BI77" s="186">
        <f t="shared" si="19"/>
        <v>22.22222222</v>
      </c>
      <c r="BJ77" s="151">
        <v>1.0</v>
      </c>
      <c r="BK77" s="132"/>
      <c r="BL77" s="138"/>
      <c r="BM77" s="151">
        <v>1.0</v>
      </c>
      <c r="BN77" s="138"/>
      <c r="BO77" s="151">
        <v>1.0</v>
      </c>
      <c r="BP77" s="138"/>
      <c r="BR77" s="140"/>
      <c r="BS77" s="152"/>
      <c r="BT77" s="152"/>
      <c r="BU77" s="152"/>
      <c r="BV77" s="217"/>
      <c r="BW77" s="218"/>
      <c r="BX77" s="218"/>
      <c r="BY77" s="218"/>
      <c r="BZ77" s="218"/>
      <c r="CA77" s="218"/>
      <c r="CB77" s="218"/>
      <c r="CC77" s="218"/>
      <c r="CD77" s="218"/>
      <c r="CE77" s="156">
        <f t="shared" si="20"/>
        <v>3</v>
      </c>
      <c r="CF77" s="190">
        <f t="shared" si="21"/>
        <v>37.5</v>
      </c>
      <c r="CG77" s="209"/>
      <c r="CH77" s="153"/>
      <c r="CI77" s="217"/>
      <c r="CJ77" s="219"/>
      <c r="CK77" s="219"/>
      <c r="CL77" s="219"/>
      <c r="CM77" s="219"/>
      <c r="CN77" s="217"/>
      <c r="CO77" s="221"/>
      <c r="CP77" s="221"/>
      <c r="CQ77" s="161"/>
      <c r="CR77" s="163">
        <f t="shared" si="22"/>
        <v>0</v>
      </c>
      <c r="CS77" s="194" t="str">
        <f t="shared" si="23"/>
        <v>#DIV/0!</v>
      </c>
      <c r="CT77" s="196"/>
      <c r="CU77" s="167">
        <f t="shared" si="24"/>
        <v>24.24242424</v>
      </c>
      <c r="CV77" s="169">
        <f t="shared" si="9"/>
        <v>8</v>
      </c>
      <c r="CW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10"/>
        <v>10</v>
      </c>
      <c r="E78" s="127">
        <f t="shared" si="11"/>
        <v>30.3030303</v>
      </c>
      <c r="F78" s="200">
        <f t="shared" si="12"/>
        <v>30.3030303</v>
      </c>
      <c r="G78" s="177" t="str">
        <f t="shared" si="13"/>
        <v>  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4"/>
        <v>0</v>
      </c>
      <c r="S78" s="137">
        <f t="shared" si="15"/>
        <v>0</v>
      </c>
      <c r="T78" s="138"/>
      <c r="U78" s="138"/>
      <c r="V78" s="138"/>
      <c r="W78" s="132"/>
      <c r="X78" s="132"/>
      <c r="Y78" s="138"/>
      <c r="Z78" s="138"/>
      <c r="AA78" s="138"/>
      <c r="AB78" s="225">
        <v>1.0</v>
      </c>
      <c r="AC78" s="140"/>
      <c r="AD78" s="150">
        <v>1.0</v>
      </c>
      <c r="AE78" s="320">
        <v>1.0</v>
      </c>
      <c r="AF78" s="210"/>
      <c r="AG78" s="210"/>
      <c r="AH78" s="210"/>
      <c r="AI78" s="212"/>
      <c r="AJ78" s="212"/>
      <c r="AK78" s="135">
        <f t="shared" si="16"/>
        <v>3</v>
      </c>
      <c r="AL78" s="183">
        <f t="shared" si="17"/>
        <v>27.27272727</v>
      </c>
      <c r="AM78" s="214"/>
      <c r="AN78" s="214"/>
      <c r="AO78" s="209"/>
      <c r="AP78" s="138"/>
      <c r="AQ78" s="138"/>
      <c r="AR78" s="132"/>
      <c r="AS78" s="133"/>
      <c r="AT78" s="133"/>
      <c r="AU78" s="133"/>
      <c r="AV78" s="133"/>
      <c r="AW78" s="133"/>
      <c r="AX78" s="133"/>
      <c r="AY78" s="133"/>
      <c r="AZ78" s="133"/>
      <c r="BA78" s="133"/>
      <c r="BB78" s="185">
        <v>1.0</v>
      </c>
      <c r="BC78" s="185"/>
      <c r="BD78" s="133"/>
      <c r="BE78" s="133"/>
      <c r="BF78" s="133"/>
      <c r="BG78" s="185">
        <v>1.0</v>
      </c>
      <c r="BH78" s="135">
        <f t="shared" si="18"/>
        <v>2</v>
      </c>
      <c r="BI78" s="186">
        <f t="shared" si="19"/>
        <v>22.22222222</v>
      </c>
      <c r="BJ78" s="151">
        <v>1.0</v>
      </c>
      <c r="BK78" s="170">
        <v>1.0</v>
      </c>
      <c r="BL78" s="138"/>
      <c r="BM78" s="138"/>
      <c r="BN78" s="151">
        <v>1.0</v>
      </c>
      <c r="BO78" s="151">
        <v>1.0</v>
      </c>
      <c r="BP78" s="138"/>
      <c r="BR78" s="140"/>
      <c r="BS78" s="187">
        <v>1.0</v>
      </c>
      <c r="BT78" s="152"/>
      <c r="BU78" s="152"/>
      <c r="BV78" s="217"/>
      <c r="BW78" s="218"/>
      <c r="BX78" s="218"/>
      <c r="BY78" s="218"/>
      <c r="BZ78" s="218"/>
      <c r="CA78" s="218"/>
      <c r="CB78" s="218"/>
      <c r="CC78" s="218"/>
      <c r="CD78" s="218"/>
      <c r="CE78" s="156">
        <f t="shared" si="20"/>
        <v>5</v>
      </c>
      <c r="CF78" s="190">
        <f t="shared" si="21"/>
        <v>62.5</v>
      </c>
      <c r="CG78" s="209"/>
      <c r="CH78" s="153"/>
      <c r="CI78" s="217"/>
      <c r="CJ78" s="219"/>
      <c r="CK78" s="219"/>
      <c r="CL78" s="219"/>
      <c r="CM78" s="219"/>
      <c r="CN78" s="217"/>
      <c r="CO78" s="221"/>
      <c r="CP78" s="221"/>
      <c r="CQ78" s="161"/>
      <c r="CR78" s="163">
        <f t="shared" si="22"/>
        <v>0</v>
      </c>
      <c r="CS78" s="194" t="str">
        <f t="shared" si="23"/>
        <v>#DIV/0!</v>
      </c>
      <c r="CT78" s="196"/>
      <c r="CU78" s="167">
        <f t="shared" si="24"/>
        <v>30.3030303</v>
      </c>
      <c r="CV78" s="169">
        <f t="shared" si="9"/>
        <v>10</v>
      </c>
      <c r="CW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10"/>
        <v>5</v>
      </c>
      <c r="E79" s="127">
        <f t="shared" si="11"/>
        <v>15.15151515</v>
      </c>
      <c r="F79" s="200">
        <f t="shared" si="12"/>
        <v>15.15151515</v>
      </c>
      <c r="G79" s="207">
        <f t="shared" si="13"/>
        <v>15.15151515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135">
        <f t="shared" si="14"/>
        <v>0</v>
      </c>
      <c r="S79" s="137">
        <f t="shared" si="15"/>
        <v>0</v>
      </c>
      <c r="T79" s="138"/>
      <c r="U79" s="138"/>
      <c r="V79" s="138"/>
      <c r="W79" s="132"/>
      <c r="X79" s="132"/>
      <c r="Y79" s="138"/>
      <c r="Z79" s="151">
        <v>1.0</v>
      </c>
      <c r="AA79" s="138"/>
      <c r="AB79" s="209"/>
      <c r="AC79" s="140"/>
      <c r="AD79" s="140"/>
      <c r="AE79" s="141"/>
      <c r="AF79" s="210"/>
      <c r="AG79" s="210"/>
      <c r="AH79" s="210"/>
      <c r="AI79" s="212"/>
      <c r="AJ79" s="212"/>
      <c r="AK79" s="135">
        <f t="shared" si="16"/>
        <v>1</v>
      </c>
      <c r="AL79" s="183">
        <f t="shared" si="17"/>
        <v>9.090909091</v>
      </c>
      <c r="AM79" s="214"/>
      <c r="AN79" s="214"/>
      <c r="AO79" s="209"/>
      <c r="AP79" s="138"/>
      <c r="AQ79" s="138"/>
      <c r="AR79" s="132"/>
      <c r="AS79" s="133"/>
      <c r="AT79" s="133"/>
      <c r="AU79" s="133"/>
      <c r="AV79" s="133"/>
      <c r="AW79" s="185">
        <v>1.0</v>
      </c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5">
        <f t="shared" si="18"/>
        <v>1</v>
      </c>
      <c r="BI79" s="186">
        <f t="shared" si="19"/>
        <v>11.11111111</v>
      </c>
      <c r="BJ79" s="151">
        <v>1.0</v>
      </c>
      <c r="BK79" s="170">
        <v>1.0</v>
      </c>
      <c r="BL79" s="138"/>
      <c r="BM79" s="138"/>
      <c r="BN79" s="138"/>
      <c r="BO79" s="151">
        <v>1.0</v>
      </c>
      <c r="BP79" s="138"/>
      <c r="BR79" s="140"/>
      <c r="BS79" s="152"/>
      <c r="BT79" s="152"/>
      <c r="BU79" s="152"/>
      <c r="BV79" s="217"/>
      <c r="BW79" s="218"/>
      <c r="BX79" s="218"/>
      <c r="BY79" s="218"/>
      <c r="BZ79" s="218"/>
      <c r="CA79" s="218"/>
      <c r="CB79" s="218"/>
      <c r="CC79" s="218"/>
      <c r="CD79" s="218"/>
      <c r="CE79" s="156">
        <f t="shared" si="20"/>
        <v>3</v>
      </c>
      <c r="CF79" s="190">
        <f t="shared" si="21"/>
        <v>37.5</v>
      </c>
      <c r="CG79" s="209"/>
      <c r="CH79" s="153"/>
      <c r="CI79" s="217"/>
      <c r="CJ79" s="219"/>
      <c r="CK79" s="219"/>
      <c r="CL79" s="219"/>
      <c r="CM79" s="219"/>
      <c r="CN79" s="217"/>
      <c r="CO79" s="221"/>
      <c r="CP79" s="221"/>
      <c r="CQ79" s="161"/>
      <c r="CR79" s="163">
        <f t="shared" si="22"/>
        <v>0</v>
      </c>
      <c r="CS79" s="194" t="str">
        <f t="shared" si="23"/>
        <v>#DIV/0!</v>
      </c>
      <c r="CT79" s="196"/>
      <c r="CU79" s="167">
        <f t="shared" si="24"/>
        <v>15.15151515</v>
      </c>
      <c r="CV79" s="169">
        <f t="shared" si="9"/>
        <v>5</v>
      </c>
      <c r="CW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10"/>
        <v>3</v>
      </c>
      <c r="E80" s="127">
        <f t="shared" si="11"/>
        <v>9.090909091</v>
      </c>
      <c r="F80" s="200">
        <f t="shared" si="12"/>
        <v>9.090909091</v>
      </c>
      <c r="G80" s="207">
        <f t="shared" si="13"/>
        <v>9.090909091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4"/>
        <v>0</v>
      </c>
      <c r="S80" s="137">
        <f t="shared" si="15"/>
        <v>0</v>
      </c>
      <c r="T80" s="138"/>
      <c r="U80" s="138"/>
      <c r="V80" s="138"/>
      <c r="W80" s="132"/>
      <c r="X80" s="132"/>
      <c r="Y80" s="138"/>
      <c r="Z80" s="138"/>
      <c r="AA80" s="138"/>
      <c r="AB80" s="209"/>
      <c r="AC80" s="140"/>
      <c r="AD80" s="140"/>
      <c r="AE80" s="141"/>
      <c r="AF80" s="210"/>
      <c r="AG80" s="211">
        <v>1.0</v>
      </c>
      <c r="AH80" s="210"/>
      <c r="AI80" s="212"/>
      <c r="AJ80" s="212"/>
      <c r="AK80" s="135">
        <f t="shared" si="16"/>
        <v>1</v>
      </c>
      <c r="AL80" s="183">
        <f t="shared" si="17"/>
        <v>9.090909091</v>
      </c>
      <c r="AM80" s="214"/>
      <c r="AN80" s="214"/>
      <c r="AO80" s="209"/>
      <c r="AP80" s="138"/>
      <c r="AQ80" s="138"/>
      <c r="AR80" s="132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5">
        <f t="shared" si="18"/>
        <v>0</v>
      </c>
      <c r="BI80" s="186">
        <f t="shared" si="19"/>
        <v>0</v>
      </c>
      <c r="BJ80" s="138"/>
      <c r="BK80" s="170">
        <v>1.0</v>
      </c>
      <c r="BL80" s="138"/>
      <c r="BM80" s="138"/>
      <c r="BN80" s="138"/>
      <c r="BO80" s="138"/>
      <c r="BP80" s="138"/>
      <c r="BR80" s="140"/>
      <c r="BS80" s="187">
        <v>1.0</v>
      </c>
      <c r="BT80" s="152"/>
      <c r="BU80" s="152"/>
      <c r="BV80" s="217"/>
      <c r="BW80" s="218"/>
      <c r="BX80" s="218"/>
      <c r="BY80" s="218"/>
      <c r="BZ80" s="218"/>
      <c r="CA80" s="218"/>
      <c r="CB80" s="218"/>
      <c r="CC80" s="218"/>
      <c r="CD80" s="218"/>
      <c r="CE80" s="156">
        <f t="shared" si="20"/>
        <v>2</v>
      </c>
      <c r="CF80" s="190">
        <f t="shared" si="21"/>
        <v>25</v>
      </c>
      <c r="CG80" s="209"/>
      <c r="CH80" s="153"/>
      <c r="CI80" s="217"/>
      <c r="CJ80" s="219"/>
      <c r="CK80" s="219"/>
      <c r="CL80" s="219"/>
      <c r="CM80" s="219"/>
      <c r="CN80" s="217"/>
      <c r="CO80" s="221"/>
      <c r="CP80" s="221"/>
      <c r="CQ80" s="161"/>
      <c r="CR80" s="163">
        <f t="shared" si="22"/>
        <v>0</v>
      </c>
      <c r="CS80" s="194" t="str">
        <f t="shared" si="23"/>
        <v>#DIV/0!</v>
      </c>
      <c r="CT80" s="196"/>
      <c r="CU80" s="167">
        <f t="shared" si="24"/>
        <v>9.090909091</v>
      </c>
      <c r="CV80" s="169">
        <f t="shared" si="9"/>
        <v>3</v>
      </c>
      <c r="CW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10"/>
        <v>4</v>
      </c>
      <c r="E81" s="127">
        <f t="shared" si="11"/>
        <v>12.12121212</v>
      </c>
      <c r="F81" s="200">
        <f t="shared" si="12"/>
        <v>12.12121212</v>
      </c>
      <c r="G81" s="207">
        <f t="shared" si="13"/>
        <v>12.12121212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4"/>
        <v>0</v>
      </c>
      <c r="S81" s="137">
        <f t="shared" si="15"/>
        <v>0</v>
      </c>
      <c r="T81" s="138"/>
      <c r="U81" s="138"/>
      <c r="V81" s="138"/>
      <c r="W81" s="132"/>
      <c r="X81" s="132"/>
      <c r="Y81" s="138"/>
      <c r="Z81" s="151">
        <v>1.0</v>
      </c>
      <c r="AA81" s="151">
        <v>1.0</v>
      </c>
      <c r="AB81" s="209"/>
      <c r="AC81" s="140"/>
      <c r="AD81" s="140"/>
      <c r="AE81" s="141"/>
      <c r="AF81" s="210"/>
      <c r="AG81" s="211">
        <v>1.0</v>
      </c>
      <c r="AH81" s="210"/>
      <c r="AI81" s="212"/>
      <c r="AJ81" s="212"/>
      <c r="AK81" s="135">
        <f t="shared" si="16"/>
        <v>3</v>
      </c>
      <c r="AL81" s="183">
        <f t="shared" si="17"/>
        <v>27.27272727</v>
      </c>
      <c r="AM81" s="214"/>
      <c r="AN81" s="214"/>
      <c r="AO81" s="209"/>
      <c r="AP81" s="138"/>
      <c r="AQ81" s="138"/>
      <c r="AR81" s="132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5">
        <f t="shared" si="18"/>
        <v>0</v>
      </c>
      <c r="BI81" s="186">
        <f t="shared" si="19"/>
        <v>0</v>
      </c>
      <c r="BJ81" s="151">
        <v>1.0</v>
      </c>
      <c r="BK81" s="132"/>
      <c r="BL81" s="138"/>
      <c r="BM81" s="138"/>
      <c r="BN81" s="138"/>
      <c r="BO81" s="138"/>
      <c r="BP81" s="138"/>
      <c r="BR81" s="140"/>
      <c r="BS81" s="152"/>
      <c r="BT81" s="152"/>
      <c r="BU81" s="152"/>
      <c r="BV81" s="217"/>
      <c r="BW81" s="218"/>
      <c r="BX81" s="218"/>
      <c r="BY81" s="218"/>
      <c r="BZ81" s="218"/>
      <c r="CA81" s="218"/>
      <c r="CB81" s="218"/>
      <c r="CC81" s="218"/>
      <c r="CD81" s="218"/>
      <c r="CE81" s="156">
        <f t="shared" si="20"/>
        <v>1</v>
      </c>
      <c r="CF81" s="190">
        <f t="shared" si="21"/>
        <v>12.5</v>
      </c>
      <c r="CG81" s="209"/>
      <c r="CH81" s="153"/>
      <c r="CI81" s="217"/>
      <c r="CJ81" s="219"/>
      <c r="CK81" s="219"/>
      <c r="CL81" s="219"/>
      <c r="CM81" s="219"/>
      <c r="CN81" s="217"/>
      <c r="CO81" s="221"/>
      <c r="CP81" s="221"/>
      <c r="CQ81" s="161"/>
      <c r="CR81" s="163">
        <f t="shared" si="22"/>
        <v>0</v>
      </c>
      <c r="CS81" s="194" t="str">
        <f t="shared" si="23"/>
        <v>#DIV/0!</v>
      </c>
      <c r="CT81" s="196"/>
      <c r="CU81" s="167">
        <f t="shared" si="24"/>
        <v>12.12121212</v>
      </c>
      <c r="CV81" s="169">
        <f t="shared" si="9"/>
        <v>4</v>
      </c>
      <c r="CW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10"/>
        <v>7</v>
      </c>
      <c r="E82" s="127">
        <f t="shared" si="11"/>
        <v>21.21212121</v>
      </c>
      <c r="F82" s="200">
        <f t="shared" si="12"/>
        <v>21.21212121</v>
      </c>
      <c r="G82" s="207">
        <f t="shared" si="13"/>
        <v>21.21212121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4"/>
        <v>0</v>
      </c>
      <c r="S82" s="137">
        <f t="shared" si="15"/>
        <v>0</v>
      </c>
      <c r="T82" s="138"/>
      <c r="U82" s="138"/>
      <c r="V82" s="138"/>
      <c r="W82" s="132"/>
      <c r="X82" s="132"/>
      <c r="Y82" s="138"/>
      <c r="Z82" s="151">
        <v>1.0</v>
      </c>
      <c r="AA82" s="138"/>
      <c r="AB82" s="225">
        <v>1.0</v>
      </c>
      <c r="AC82" s="140"/>
      <c r="AD82" s="150">
        <v>1.0</v>
      </c>
      <c r="AE82" s="141"/>
      <c r="AF82" s="210"/>
      <c r="AG82" s="210"/>
      <c r="AH82" s="210"/>
      <c r="AI82" s="212"/>
      <c r="AJ82" s="212"/>
      <c r="AK82" s="135">
        <f t="shared" si="16"/>
        <v>3</v>
      </c>
      <c r="AL82" s="183">
        <f t="shared" si="17"/>
        <v>27.27272727</v>
      </c>
      <c r="AM82" s="214"/>
      <c r="AN82" s="214"/>
      <c r="AO82" s="209"/>
      <c r="AP82" s="138"/>
      <c r="AQ82" s="138"/>
      <c r="AR82" s="132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85">
        <v>1.0</v>
      </c>
      <c r="BE82" s="133"/>
      <c r="BF82" s="133"/>
      <c r="BG82" s="133"/>
      <c r="BH82" s="135">
        <f t="shared" si="18"/>
        <v>1</v>
      </c>
      <c r="BI82" s="186">
        <f t="shared" si="19"/>
        <v>11.11111111</v>
      </c>
      <c r="BJ82" s="151">
        <v>1.0</v>
      </c>
      <c r="BK82" s="132"/>
      <c r="BL82" s="138"/>
      <c r="BM82" s="138"/>
      <c r="BN82" s="151">
        <v>1.0</v>
      </c>
      <c r="BO82" s="151">
        <v>1.0</v>
      </c>
      <c r="BP82" s="138"/>
      <c r="BR82" s="140"/>
      <c r="BS82" s="152"/>
      <c r="BT82" s="152"/>
      <c r="BU82" s="152"/>
      <c r="BV82" s="217"/>
      <c r="BW82" s="218"/>
      <c r="BX82" s="218"/>
      <c r="BY82" s="218"/>
      <c r="BZ82" s="218"/>
      <c r="CA82" s="218"/>
      <c r="CB82" s="218"/>
      <c r="CC82" s="218"/>
      <c r="CD82" s="218"/>
      <c r="CE82" s="156">
        <f t="shared" si="20"/>
        <v>3</v>
      </c>
      <c r="CF82" s="190">
        <f t="shared" si="21"/>
        <v>37.5</v>
      </c>
      <c r="CG82" s="209"/>
      <c r="CH82" s="153"/>
      <c r="CI82" s="217"/>
      <c r="CJ82" s="219"/>
      <c r="CK82" s="219"/>
      <c r="CL82" s="219"/>
      <c r="CM82" s="219"/>
      <c r="CN82" s="217"/>
      <c r="CO82" s="221"/>
      <c r="CP82" s="221"/>
      <c r="CQ82" s="161"/>
      <c r="CR82" s="163">
        <f t="shared" si="22"/>
        <v>0</v>
      </c>
      <c r="CS82" s="194" t="str">
        <f t="shared" si="23"/>
        <v>#DIV/0!</v>
      </c>
      <c r="CT82" s="196"/>
      <c r="CU82" s="167">
        <f t="shared" si="24"/>
        <v>21.21212121</v>
      </c>
      <c r="CV82" s="169">
        <f t="shared" si="9"/>
        <v>7</v>
      </c>
      <c r="CW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10"/>
        <v>0</v>
      </c>
      <c r="E83" s="127">
        <f t="shared" si="11"/>
        <v>0</v>
      </c>
      <c r="F83" s="200">
        <f t="shared" si="12"/>
        <v>0</v>
      </c>
      <c r="G83" s="207">
        <f t="shared" si="13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4"/>
        <v>0</v>
      </c>
      <c r="S83" s="137">
        <f t="shared" si="15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279"/>
      <c r="AJ83" s="279"/>
      <c r="AK83" s="135">
        <f t="shared" si="16"/>
        <v>0</v>
      </c>
      <c r="AL83" s="280">
        <f t="shared" si="17"/>
        <v>0</v>
      </c>
      <c r="AM83" s="32"/>
      <c r="AN83" s="32"/>
      <c r="AO83" s="209"/>
      <c r="AP83" s="138"/>
      <c r="AQ83" s="138"/>
      <c r="AR83" s="132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5">
        <f t="shared" si="18"/>
        <v>0</v>
      </c>
      <c r="BI83" s="281">
        <f t="shared" si="19"/>
        <v>0</v>
      </c>
      <c r="BJ83" s="138"/>
      <c r="BK83" s="132"/>
      <c r="BL83" s="138"/>
      <c r="BM83" s="138"/>
      <c r="BN83" s="138"/>
      <c r="BO83" s="138"/>
      <c r="BP83" s="138"/>
      <c r="BR83" s="140"/>
      <c r="BS83" s="152"/>
      <c r="BT83" s="152"/>
      <c r="BU83" s="152"/>
      <c r="BV83" s="217"/>
      <c r="BW83" s="218"/>
      <c r="BX83" s="218"/>
      <c r="BY83" s="218"/>
      <c r="BZ83" s="218"/>
      <c r="CA83" s="218"/>
      <c r="CB83" s="218"/>
      <c r="CC83" s="218"/>
      <c r="CD83" s="218"/>
      <c r="CE83" s="156">
        <f t="shared" si="20"/>
        <v>0</v>
      </c>
      <c r="CF83" s="282">
        <f t="shared" si="21"/>
        <v>0</v>
      </c>
      <c r="CG83" s="32"/>
      <c r="CH83" s="153"/>
      <c r="CI83" s="32"/>
      <c r="CJ83" s="32"/>
      <c r="CK83" s="32"/>
      <c r="CL83" s="32"/>
      <c r="CM83" s="32"/>
      <c r="CN83" s="32"/>
      <c r="CO83" s="32"/>
      <c r="CP83" s="32"/>
      <c r="CQ83" s="161"/>
      <c r="CR83" s="163">
        <f t="shared" si="22"/>
        <v>0</v>
      </c>
      <c r="CS83" s="194" t="str">
        <f t="shared" si="23"/>
        <v>#DIV/0!</v>
      </c>
      <c r="CT83" s="196"/>
      <c r="CU83" s="167">
        <f t="shared" si="24"/>
        <v>0</v>
      </c>
      <c r="CV83" s="169">
        <f t="shared" si="9"/>
        <v>0</v>
      </c>
      <c r="CW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10"/>
        <v>4</v>
      </c>
      <c r="E84" s="127">
        <f t="shared" si="11"/>
        <v>12.12121212</v>
      </c>
      <c r="F84" s="200">
        <f t="shared" si="12"/>
        <v>12.12121212</v>
      </c>
      <c r="G84" s="207">
        <f t="shared" si="13"/>
        <v>12.12121212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4"/>
        <v>0</v>
      </c>
      <c r="S84" s="137">
        <f t="shared" si="15"/>
        <v>0</v>
      </c>
      <c r="T84" s="138"/>
      <c r="U84" s="138"/>
      <c r="V84" s="138"/>
      <c r="W84" s="132"/>
      <c r="X84" s="132"/>
      <c r="Y84" s="138"/>
      <c r="Z84" s="138"/>
      <c r="AA84" s="138"/>
      <c r="AB84" s="290">
        <v>1.0</v>
      </c>
      <c r="AC84" s="140"/>
      <c r="AD84" s="140"/>
      <c r="AE84" s="320">
        <v>1.0</v>
      </c>
      <c r="AF84" s="32"/>
      <c r="AG84" s="32"/>
      <c r="AH84" s="32"/>
      <c r="AI84" s="279"/>
      <c r="AJ84" s="279"/>
      <c r="AK84" s="135">
        <f t="shared" si="16"/>
        <v>2</v>
      </c>
      <c r="AL84" s="280">
        <f t="shared" si="17"/>
        <v>18.18181818</v>
      </c>
      <c r="AM84" s="32"/>
      <c r="AN84" s="32"/>
      <c r="AO84" s="209"/>
      <c r="AP84" s="138"/>
      <c r="AQ84" s="138"/>
      <c r="AR84" s="132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5">
        <f t="shared" si="18"/>
        <v>0</v>
      </c>
      <c r="BI84" s="281">
        <f t="shared" si="19"/>
        <v>0</v>
      </c>
      <c r="BJ84" s="138"/>
      <c r="BK84" s="132"/>
      <c r="BL84" s="138"/>
      <c r="BM84" s="138"/>
      <c r="BN84" s="151">
        <v>1.0</v>
      </c>
      <c r="BO84" s="138"/>
      <c r="BP84" s="138"/>
      <c r="BR84" s="140"/>
      <c r="BS84" s="187">
        <v>1.0</v>
      </c>
      <c r="BT84" s="152"/>
      <c r="BU84" s="152"/>
      <c r="BV84" s="217"/>
      <c r="BW84" s="218"/>
      <c r="BX84" s="218"/>
      <c r="BY84" s="218"/>
      <c r="BZ84" s="218"/>
      <c r="CA84" s="218"/>
      <c r="CB84" s="218"/>
      <c r="CC84" s="218"/>
      <c r="CD84" s="218"/>
      <c r="CE84" s="156">
        <f t="shared" si="20"/>
        <v>2</v>
      </c>
      <c r="CF84" s="282">
        <f t="shared" si="21"/>
        <v>25</v>
      </c>
      <c r="CG84" s="32"/>
      <c r="CH84" s="153"/>
      <c r="CI84" s="32"/>
      <c r="CJ84" s="32"/>
      <c r="CK84" s="32"/>
      <c r="CL84" s="32"/>
      <c r="CM84" s="32"/>
      <c r="CN84" s="32"/>
      <c r="CO84" s="32"/>
      <c r="CP84" s="32"/>
      <c r="CQ84" s="161"/>
      <c r="CR84" s="163">
        <f t="shared" si="22"/>
        <v>0</v>
      </c>
      <c r="CS84" s="194" t="str">
        <f t="shared" si="23"/>
        <v>#DIV/0!</v>
      </c>
      <c r="CT84" s="196"/>
      <c r="CU84" s="167">
        <f t="shared" si="24"/>
        <v>12.12121212</v>
      </c>
      <c r="CV84" s="169">
        <f t="shared" si="9"/>
        <v>4</v>
      </c>
      <c r="CW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10"/>
        <v>3</v>
      </c>
      <c r="E85" s="127">
        <f t="shared" si="11"/>
        <v>9.090909091</v>
      </c>
      <c r="F85" s="200">
        <f t="shared" si="12"/>
        <v>9.090909091</v>
      </c>
      <c r="G85" s="207">
        <f t="shared" si="13"/>
        <v>9.090909091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4"/>
        <v>0</v>
      </c>
      <c r="S85" s="137">
        <f t="shared" si="15"/>
        <v>0</v>
      </c>
      <c r="T85" s="138"/>
      <c r="U85" s="138"/>
      <c r="V85" s="138"/>
      <c r="W85" s="132"/>
      <c r="X85" s="132"/>
      <c r="Y85" s="138"/>
      <c r="Z85" s="151">
        <v>1.0</v>
      </c>
      <c r="AA85" s="151">
        <v>1.0</v>
      </c>
      <c r="AB85" s="32"/>
      <c r="AC85" s="140"/>
      <c r="AD85" s="140"/>
      <c r="AE85" s="141"/>
      <c r="AF85" s="32"/>
      <c r="AG85" s="32"/>
      <c r="AH85" s="32"/>
      <c r="AI85" s="279"/>
      <c r="AJ85" s="279"/>
      <c r="AK85" s="135">
        <f t="shared" si="16"/>
        <v>2</v>
      </c>
      <c r="AL85" s="280">
        <f t="shared" si="17"/>
        <v>18.18181818</v>
      </c>
      <c r="AM85" s="32"/>
      <c r="AN85" s="32"/>
      <c r="AO85" s="32"/>
      <c r="AP85" s="138"/>
      <c r="AQ85" s="138"/>
      <c r="AR85" s="132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5">
        <f t="shared" si="18"/>
        <v>0</v>
      </c>
      <c r="BI85" s="281">
        <f t="shared" si="19"/>
        <v>0</v>
      </c>
      <c r="BJ85" s="138"/>
      <c r="BK85" s="132"/>
      <c r="BL85" s="138"/>
      <c r="BM85" s="138"/>
      <c r="BN85" s="138"/>
      <c r="BO85" s="138"/>
      <c r="BP85" s="151">
        <v>1.0</v>
      </c>
      <c r="BR85" s="140"/>
      <c r="BS85" s="152"/>
      <c r="BT85" s="152"/>
      <c r="BU85" s="152"/>
      <c r="BV85" s="217"/>
      <c r="BW85" s="218"/>
      <c r="BX85" s="218"/>
      <c r="BY85" s="218"/>
      <c r="BZ85" s="218"/>
      <c r="CA85" s="218"/>
      <c r="CB85" s="218"/>
      <c r="CC85" s="218"/>
      <c r="CD85" s="218"/>
      <c r="CE85" s="156">
        <f t="shared" si="20"/>
        <v>1</v>
      </c>
      <c r="CF85" s="282">
        <f t="shared" si="21"/>
        <v>12.5</v>
      </c>
      <c r="CG85" s="32"/>
      <c r="CH85" s="153"/>
      <c r="CI85" s="32"/>
      <c r="CJ85" s="32"/>
      <c r="CK85" s="32"/>
      <c r="CL85" s="32"/>
      <c r="CM85" s="32"/>
      <c r="CN85" s="32"/>
      <c r="CO85" s="32"/>
      <c r="CP85" s="32"/>
      <c r="CQ85" s="32"/>
      <c r="CR85" s="163">
        <f t="shared" si="22"/>
        <v>0</v>
      </c>
      <c r="CS85" s="194" t="str">
        <f t="shared" si="23"/>
        <v>#DIV/0!</v>
      </c>
      <c r="CT85" s="196"/>
      <c r="CU85" s="167">
        <f t="shared" si="24"/>
        <v>9.090909091</v>
      </c>
      <c r="CV85" s="169">
        <f t="shared" si="9"/>
        <v>3</v>
      </c>
      <c r="CW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10"/>
        <v>7</v>
      </c>
      <c r="E86" s="127">
        <f t="shared" si="11"/>
        <v>21.21212121</v>
      </c>
      <c r="F86" s="200">
        <f t="shared" si="12"/>
        <v>21.21212121</v>
      </c>
      <c r="G86" s="200">
        <f t="shared" si="13"/>
        <v>21.21212121</v>
      </c>
      <c r="H86" s="273"/>
      <c r="I86" s="273"/>
      <c r="J86" s="274"/>
      <c r="K86" s="302">
        <v>1.0</v>
      </c>
      <c r="L86" s="274"/>
      <c r="M86" s="274"/>
      <c r="N86" s="274"/>
      <c r="O86" s="302">
        <v>1.0</v>
      </c>
      <c r="P86" s="274"/>
      <c r="Q86" s="274"/>
      <c r="R86" s="135">
        <f t="shared" si="14"/>
        <v>2</v>
      </c>
      <c r="S86" s="137">
        <f t="shared" si="15"/>
        <v>40</v>
      </c>
      <c r="T86" s="138"/>
      <c r="U86" s="138"/>
      <c r="V86" s="138"/>
      <c r="W86" s="132"/>
      <c r="X86" s="132"/>
      <c r="Y86" s="138"/>
      <c r="Z86" s="151">
        <v>1.0</v>
      </c>
      <c r="AA86" s="138"/>
      <c r="AB86" s="32"/>
      <c r="AC86" s="140"/>
      <c r="AD86" s="150">
        <v>1.0</v>
      </c>
      <c r="AE86" s="141"/>
      <c r="AF86" s="32"/>
      <c r="AG86" s="32"/>
      <c r="AH86" s="32"/>
      <c r="AI86" s="279"/>
      <c r="AJ86" s="279"/>
      <c r="AK86" s="135">
        <f t="shared" si="16"/>
        <v>2</v>
      </c>
      <c r="AL86" s="280">
        <f t="shared" si="17"/>
        <v>18.18181818</v>
      </c>
      <c r="AM86" s="32"/>
      <c r="AN86" s="32"/>
      <c r="AO86" s="32"/>
      <c r="AP86" s="138"/>
      <c r="AQ86" s="138"/>
      <c r="AR86" s="132"/>
      <c r="AS86" s="133"/>
      <c r="AT86" s="133"/>
      <c r="AU86" s="133"/>
      <c r="AV86" s="133"/>
      <c r="AW86" s="185">
        <v>1.0</v>
      </c>
      <c r="AX86" s="133"/>
      <c r="AY86" s="133"/>
      <c r="AZ86" s="133"/>
      <c r="BA86" s="133"/>
      <c r="BB86" s="133"/>
      <c r="BC86" s="133"/>
      <c r="BD86" s="185">
        <v>1.0</v>
      </c>
      <c r="BE86" s="133"/>
      <c r="BF86" s="133"/>
      <c r="BG86" s="133"/>
      <c r="BH86" s="135">
        <f t="shared" si="18"/>
        <v>2</v>
      </c>
      <c r="BI86" s="281">
        <f t="shared" si="19"/>
        <v>22.22222222</v>
      </c>
      <c r="BJ86" s="138"/>
      <c r="BK86" s="170">
        <v>1.0</v>
      </c>
      <c r="BL86" s="138"/>
      <c r="BM86" s="138"/>
      <c r="BN86" s="138"/>
      <c r="BO86" s="138"/>
      <c r="BP86" s="138"/>
      <c r="BR86" s="140"/>
      <c r="BS86" s="152"/>
      <c r="BT86" s="152"/>
      <c r="BU86" s="152"/>
      <c r="BV86" s="217"/>
      <c r="BW86" s="218"/>
      <c r="BX86" s="218"/>
      <c r="BY86" s="218"/>
      <c r="BZ86" s="218"/>
      <c r="CA86" s="218"/>
      <c r="CB86" s="218"/>
      <c r="CC86" s="218"/>
      <c r="CD86" s="218"/>
      <c r="CE86" s="156">
        <f t="shared" si="20"/>
        <v>1</v>
      </c>
      <c r="CF86" s="282">
        <f t="shared" si="21"/>
        <v>12.5</v>
      </c>
      <c r="CG86" s="32"/>
      <c r="CH86" s="153"/>
      <c r="CI86" s="32"/>
      <c r="CJ86" s="32"/>
      <c r="CK86" s="32"/>
      <c r="CL86" s="32"/>
      <c r="CM86" s="32"/>
      <c r="CN86" s="32"/>
      <c r="CO86" s="32"/>
      <c r="CP86" s="32"/>
      <c r="CQ86" s="32"/>
      <c r="CR86" s="163">
        <f t="shared" si="22"/>
        <v>0</v>
      </c>
      <c r="CS86" s="194" t="str">
        <f t="shared" si="23"/>
        <v>#DIV/0!</v>
      </c>
      <c r="CT86" s="196"/>
      <c r="CU86" s="167">
        <f t="shared" si="24"/>
        <v>21.21212121</v>
      </c>
      <c r="CV86" s="169">
        <f t="shared" si="9"/>
        <v>7</v>
      </c>
      <c r="CW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10"/>
        <v>4</v>
      </c>
      <c r="E87" s="127">
        <f t="shared" si="11"/>
        <v>12.12121212</v>
      </c>
      <c r="F87" s="200">
        <f t="shared" si="12"/>
        <v>12.12121212</v>
      </c>
      <c r="G87" s="200">
        <f t="shared" si="13"/>
        <v>12.12121212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135">
        <f t="shared" si="14"/>
        <v>0</v>
      </c>
      <c r="S87" s="137">
        <f t="shared" si="15"/>
        <v>0</v>
      </c>
      <c r="T87" s="138"/>
      <c r="U87" s="151">
        <v>1.0</v>
      </c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290">
        <v>1.0</v>
      </c>
      <c r="AH87" s="32"/>
      <c r="AI87" s="279"/>
      <c r="AJ87" s="279"/>
      <c r="AK87" s="135">
        <f t="shared" si="16"/>
        <v>2</v>
      </c>
      <c r="AL87" s="280">
        <f t="shared" si="17"/>
        <v>18.18181818</v>
      </c>
      <c r="AM87" s="32"/>
      <c r="AN87" s="32"/>
      <c r="AO87" s="32"/>
      <c r="AP87" s="138"/>
      <c r="AQ87" s="138"/>
      <c r="AR87" s="132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5">
        <f t="shared" si="18"/>
        <v>0</v>
      </c>
      <c r="BI87" s="281">
        <f t="shared" si="19"/>
        <v>0</v>
      </c>
      <c r="BJ87" s="138"/>
      <c r="BK87" s="132"/>
      <c r="BL87" s="138"/>
      <c r="BM87" s="138"/>
      <c r="BN87" s="138"/>
      <c r="BO87" s="151">
        <v>1.0</v>
      </c>
      <c r="BP87" s="138"/>
      <c r="BR87" s="150">
        <v>1.0</v>
      </c>
      <c r="BS87" s="152"/>
      <c r="BT87" s="152"/>
      <c r="BU87" s="152"/>
      <c r="BV87" s="217"/>
      <c r="BW87" s="218"/>
      <c r="BX87" s="218"/>
      <c r="BY87" s="218"/>
      <c r="BZ87" s="218"/>
      <c r="CA87" s="218"/>
      <c r="CB87" s="218"/>
      <c r="CC87" s="218"/>
      <c r="CD87" s="218"/>
      <c r="CE87" s="156">
        <f t="shared" si="20"/>
        <v>2</v>
      </c>
      <c r="CF87" s="282">
        <f t="shared" si="21"/>
        <v>25</v>
      </c>
      <c r="CG87" s="32"/>
      <c r="CH87" s="153"/>
      <c r="CI87" s="32"/>
      <c r="CJ87" s="32"/>
      <c r="CK87" s="32"/>
      <c r="CL87" s="32"/>
      <c r="CM87" s="32"/>
      <c r="CN87" s="32"/>
      <c r="CO87" s="32"/>
      <c r="CP87" s="32"/>
      <c r="CQ87" s="32"/>
      <c r="CR87" s="163">
        <f t="shared" si="22"/>
        <v>0</v>
      </c>
      <c r="CS87" s="194" t="str">
        <f t="shared" si="23"/>
        <v>#DIV/0!</v>
      </c>
      <c r="CT87" s="196"/>
      <c r="CU87" s="167">
        <f t="shared" si="24"/>
        <v>12.12121212</v>
      </c>
      <c r="CV87" s="169">
        <f t="shared" si="9"/>
        <v>4</v>
      </c>
      <c r="CW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10"/>
        <v>6</v>
      </c>
      <c r="E88" s="127">
        <f t="shared" si="11"/>
        <v>18.18181818</v>
      </c>
      <c r="F88" s="200">
        <f t="shared" si="12"/>
        <v>18.18181818</v>
      </c>
      <c r="G88" s="200">
        <f t="shared" si="13"/>
        <v>18.18181818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4"/>
        <v>0</v>
      </c>
      <c r="S88" s="137">
        <f t="shared" si="15"/>
        <v>0</v>
      </c>
      <c r="T88" s="32"/>
      <c r="U88" s="32"/>
      <c r="V88" s="32"/>
      <c r="W88" s="132"/>
      <c r="X88" s="132"/>
      <c r="Y88" s="138"/>
      <c r="Z88" s="138"/>
      <c r="AA88" s="138"/>
      <c r="AB88" s="290">
        <v>1.0</v>
      </c>
      <c r="AC88" s="289"/>
      <c r="AD88" s="289"/>
      <c r="AE88" s="141"/>
      <c r="AF88" s="32"/>
      <c r="AG88" s="290">
        <v>1.0</v>
      </c>
      <c r="AH88" s="32"/>
      <c r="AI88" s="279"/>
      <c r="AJ88" s="279"/>
      <c r="AK88" s="135">
        <f t="shared" si="16"/>
        <v>2</v>
      </c>
      <c r="AL88" s="280">
        <f t="shared" si="17"/>
        <v>18.18181818</v>
      </c>
      <c r="AM88" s="32"/>
      <c r="AN88" s="32"/>
      <c r="AO88" s="32"/>
      <c r="AP88" s="138"/>
      <c r="AQ88" s="138"/>
      <c r="AR88" s="132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85">
        <v>1.0</v>
      </c>
      <c r="BE88" s="133"/>
      <c r="BF88" s="185">
        <v>1.0</v>
      </c>
      <c r="BG88" s="185">
        <v>1.0</v>
      </c>
      <c r="BH88" s="135">
        <f t="shared" si="18"/>
        <v>3</v>
      </c>
      <c r="BI88" s="281">
        <f t="shared" si="19"/>
        <v>33.33333333</v>
      </c>
      <c r="BJ88" s="151">
        <v>1.0</v>
      </c>
      <c r="BK88" s="132"/>
      <c r="BL88" s="138"/>
      <c r="BM88" s="138"/>
      <c r="BN88" s="138"/>
      <c r="BO88" s="138"/>
      <c r="BP88" s="138"/>
      <c r="BR88" s="140"/>
      <c r="BS88" s="152"/>
      <c r="BT88" s="152"/>
      <c r="BU88" s="152"/>
      <c r="BV88" s="32"/>
      <c r="BW88" s="279"/>
      <c r="BX88" s="279"/>
      <c r="BY88" s="279"/>
      <c r="BZ88" s="279"/>
      <c r="CA88" s="279"/>
      <c r="CB88" s="279"/>
      <c r="CC88" s="279"/>
      <c r="CD88" s="279"/>
      <c r="CE88" s="156">
        <f t="shared" si="20"/>
        <v>1</v>
      </c>
      <c r="CF88" s="282">
        <f t="shared" si="21"/>
        <v>12.5</v>
      </c>
      <c r="CG88" s="32"/>
      <c r="CH88" s="153"/>
      <c r="CI88" s="32"/>
      <c r="CJ88" s="32"/>
      <c r="CK88" s="32"/>
      <c r="CL88" s="32"/>
      <c r="CM88" s="32"/>
      <c r="CN88" s="32"/>
      <c r="CO88" s="32"/>
      <c r="CP88" s="32"/>
      <c r="CQ88" s="32"/>
      <c r="CR88" s="163">
        <f t="shared" si="22"/>
        <v>0</v>
      </c>
      <c r="CS88" s="194" t="str">
        <f t="shared" si="23"/>
        <v>#DIV/0!</v>
      </c>
      <c r="CT88" s="196"/>
      <c r="CU88" s="167">
        <f t="shared" si="24"/>
        <v>18.18181818</v>
      </c>
      <c r="CV88" s="169">
        <f t="shared" si="9"/>
        <v>6</v>
      </c>
      <c r="CW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10"/>
        <v>0</v>
      </c>
      <c r="E89" s="127">
        <f t="shared" si="11"/>
        <v>0</v>
      </c>
      <c r="F89" s="200">
        <f t="shared" si="12"/>
        <v>0</v>
      </c>
      <c r="G89" s="200">
        <f t="shared" si="13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4"/>
        <v>0</v>
      </c>
      <c r="S89" s="137">
        <f t="shared" si="15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279"/>
      <c r="AJ89" s="279"/>
      <c r="AK89" s="135">
        <f t="shared" si="16"/>
        <v>0</v>
      </c>
      <c r="AL89" s="280">
        <f t="shared" si="17"/>
        <v>0</v>
      </c>
      <c r="AM89" s="32"/>
      <c r="AN89" s="32"/>
      <c r="AO89" s="32"/>
      <c r="AP89" s="138"/>
      <c r="AQ89" s="138"/>
      <c r="AR89" s="132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5">
        <f t="shared" si="18"/>
        <v>0</v>
      </c>
      <c r="BI89" s="281">
        <f t="shared" si="19"/>
        <v>0</v>
      </c>
      <c r="BJ89" s="138"/>
      <c r="BK89" s="132"/>
      <c r="BL89" s="138"/>
      <c r="BM89" s="138"/>
      <c r="BN89" s="138"/>
      <c r="BO89" s="138"/>
      <c r="BP89" s="138"/>
      <c r="BR89" s="140"/>
      <c r="BS89" s="152"/>
      <c r="BT89" s="152"/>
      <c r="BU89" s="152"/>
      <c r="BV89" s="32"/>
      <c r="BW89" s="279"/>
      <c r="BX89" s="279"/>
      <c r="BY89" s="279"/>
      <c r="BZ89" s="279"/>
      <c r="CA89" s="279"/>
      <c r="CB89" s="279"/>
      <c r="CC89" s="279"/>
      <c r="CD89" s="279"/>
      <c r="CE89" s="156">
        <f t="shared" si="20"/>
        <v>0</v>
      </c>
      <c r="CF89" s="282">
        <f t="shared" si="21"/>
        <v>0</v>
      </c>
      <c r="CG89" s="32"/>
      <c r="CH89" s="153"/>
      <c r="CI89" s="32"/>
      <c r="CJ89" s="32"/>
      <c r="CK89" s="32"/>
      <c r="CL89" s="32"/>
      <c r="CM89" s="32"/>
      <c r="CN89" s="32"/>
      <c r="CO89" s="32"/>
      <c r="CP89" s="32"/>
      <c r="CQ89" s="32"/>
      <c r="CR89" s="163">
        <f t="shared" si="22"/>
        <v>0</v>
      </c>
      <c r="CS89" s="194" t="str">
        <f t="shared" si="23"/>
        <v>#DIV/0!</v>
      </c>
      <c r="CT89" s="196"/>
      <c r="CU89" s="167">
        <f t="shared" si="24"/>
        <v>0</v>
      </c>
      <c r="CV89" s="169">
        <f t="shared" si="9"/>
        <v>0</v>
      </c>
      <c r="CW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10"/>
        <v>12</v>
      </c>
      <c r="E90" s="127">
        <f t="shared" si="11"/>
        <v>36.36363636</v>
      </c>
      <c r="F90" s="200">
        <f t="shared" si="12"/>
        <v>36.36363636</v>
      </c>
      <c r="G90" s="175" t="str">
        <f t="shared" si="13"/>
        <v>  </v>
      </c>
      <c r="H90" s="287"/>
      <c r="I90" s="287"/>
      <c r="J90" s="288"/>
      <c r="K90" s="288"/>
      <c r="L90" s="304">
        <v>1.0</v>
      </c>
      <c r="M90" s="288"/>
      <c r="N90" s="288"/>
      <c r="O90" s="288"/>
      <c r="P90" s="288"/>
      <c r="Q90" s="288"/>
      <c r="R90" s="135">
        <f t="shared" si="14"/>
        <v>1</v>
      </c>
      <c r="S90" s="137">
        <f t="shared" si="15"/>
        <v>20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303">
        <v>1.0</v>
      </c>
      <c r="AE90" s="141"/>
      <c r="AF90" s="32"/>
      <c r="AG90" s="290">
        <v>1.0</v>
      </c>
      <c r="AH90" s="290">
        <v>1.0</v>
      </c>
      <c r="AI90" s="279"/>
      <c r="AJ90" s="279"/>
      <c r="AK90" s="135">
        <f t="shared" si="16"/>
        <v>3</v>
      </c>
      <c r="AL90" s="280">
        <f t="shared" si="17"/>
        <v>27.27272727</v>
      </c>
      <c r="AM90" s="32"/>
      <c r="AN90" s="32"/>
      <c r="AO90" s="32"/>
      <c r="AP90" s="138"/>
      <c r="AQ90" s="138"/>
      <c r="AR90" s="132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85">
        <v>1.0</v>
      </c>
      <c r="BE90" s="133"/>
      <c r="BF90" s="133"/>
      <c r="BG90" s="185">
        <v>1.0</v>
      </c>
      <c r="BH90" s="135">
        <f t="shared" si="18"/>
        <v>2</v>
      </c>
      <c r="BI90" s="281">
        <f t="shared" si="19"/>
        <v>22.22222222</v>
      </c>
      <c r="BJ90" s="151">
        <v>1.0</v>
      </c>
      <c r="BK90" s="170">
        <v>1.0</v>
      </c>
      <c r="BL90" s="138"/>
      <c r="BM90" s="151">
        <v>1.0</v>
      </c>
      <c r="BN90" s="151">
        <v>1.0</v>
      </c>
      <c r="BO90" s="151">
        <v>1.0</v>
      </c>
      <c r="BP90" s="151">
        <v>1.0</v>
      </c>
      <c r="BR90" s="140"/>
      <c r="BS90" s="152"/>
      <c r="BT90" s="152"/>
      <c r="BU90" s="152"/>
      <c r="BV90" s="32"/>
      <c r="BW90" s="279"/>
      <c r="BX90" s="279"/>
      <c r="BY90" s="279"/>
      <c r="BZ90" s="279"/>
      <c r="CA90" s="279"/>
      <c r="CB90" s="279"/>
      <c r="CC90" s="279"/>
      <c r="CD90" s="279"/>
      <c r="CE90" s="156">
        <f t="shared" si="20"/>
        <v>6</v>
      </c>
      <c r="CF90" s="282">
        <f t="shared" si="21"/>
        <v>75</v>
      </c>
      <c r="CG90" s="32"/>
      <c r="CH90" s="153"/>
      <c r="CI90" s="32"/>
      <c r="CJ90" s="32"/>
      <c r="CK90" s="32"/>
      <c r="CL90" s="32"/>
      <c r="CM90" s="32"/>
      <c r="CN90" s="32"/>
      <c r="CO90" s="32"/>
      <c r="CP90" s="32"/>
      <c r="CQ90" s="32"/>
      <c r="CR90" s="163">
        <f t="shared" si="22"/>
        <v>0</v>
      </c>
      <c r="CS90" s="194" t="str">
        <f t="shared" si="23"/>
        <v>#DIV/0!</v>
      </c>
      <c r="CT90" s="196"/>
      <c r="CU90" s="167">
        <f t="shared" si="24"/>
        <v>36.36363636</v>
      </c>
      <c r="CV90" s="169">
        <f t="shared" si="9"/>
        <v>12</v>
      </c>
      <c r="CW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10"/>
        <v>8</v>
      </c>
      <c r="E91" s="127">
        <f t="shared" si="11"/>
        <v>24.24242424</v>
      </c>
      <c r="F91" s="200">
        <f t="shared" si="12"/>
        <v>24.24242424</v>
      </c>
      <c r="G91" s="200">
        <f t="shared" si="13"/>
        <v>24.24242424</v>
      </c>
      <c r="H91" s="287"/>
      <c r="I91" s="287"/>
      <c r="J91" s="288"/>
      <c r="K91" s="288"/>
      <c r="L91" s="288"/>
      <c r="M91" s="288"/>
      <c r="N91" s="288"/>
      <c r="O91" s="288"/>
      <c r="P91" s="288"/>
      <c r="Q91" s="288"/>
      <c r="R91" s="135">
        <f t="shared" si="14"/>
        <v>0</v>
      </c>
      <c r="S91" s="137">
        <f t="shared" si="15"/>
        <v>0</v>
      </c>
      <c r="T91" s="32"/>
      <c r="U91" s="290">
        <v>1.0</v>
      </c>
      <c r="V91" s="32"/>
      <c r="W91" s="132"/>
      <c r="X91" s="132"/>
      <c r="Y91" s="138"/>
      <c r="Z91" s="138"/>
      <c r="AA91" s="151">
        <v>1.0</v>
      </c>
      <c r="AB91" s="290">
        <v>1.0</v>
      </c>
      <c r="AC91" s="289"/>
      <c r="AD91" s="289"/>
      <c r="AE91" s="141"/>
      <c r="AF91" s="32"/>
      <c r="AG91" s="290">
        <v>1.0</v>
      </c>
      <c r="AH91" s="32"/>
      <c r="AI91" s="279"/>
      <c r="AJ91" s="279"/>
      <c r="AK91" s="135">
        <f t="shared" si="16"/>
        <v>4</v>
      </c>
      <c r="AL91" s="280">
        <f t="shared" si="17"/>
        <v>36.36363636</v>
      </c>
      <c r="AM91" s="32"/>
      <c r="AN91" s="32"/>
      <c r="AO91" s="32"/>
      <c r="AP91" s="138"/>
      <c r="AQ91" s="138"/>
      <c r="AR91" s="132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85">
        <v>1.0</v>
      </c>
      <c r="BG91" s="185">
        <v>1.0</v>
      </c>
      <c r="BH91" s="135">
        <f t="shared" si="18"/>
        <v>2</v>
      </c>
      <c r="BI91" s="281">
        <f t="shared" si="19"/>
        <v>22.22222222</v>
      </c>
      <c r="BJ91" s="138"/>
      <c r="BK91" s="132"/>
      <c r="BL91" s="138"/>
      <c r="BM91" s="138"/>
      <c r="BN91" s="138"/>
      <c r="BO91" s="151">
        <v>1.0</v>
      </c>
      <c r="BP91" s="138"/>
      <c r="BR91" s="150">
        <v>1.0</v>
      </c>
      <c r="BS91" s="152"/>
      <c r="BT91" s="152"/>
      <c r="BU91" s="152"/>
      <c r="BV91" s="32"/>
      <c r="BW91" s="279"/>
      <c r="BX91" s="279"/>
      <c r="BY91" s="279"/>
      <c r="BZ91" s="279"/>
      <c r="CA91" s="279"/>
      <c r="CB91" s="279"/>
      <c r="CC91" s="279"/>
      <c r="CD91" s="279"/>
      <c r="CE91" s="156">
        <f t="shared" si="20"/>
        <v>2</v>
      </c>
      <c r="CF91" s="282">
        <f t="shared" si="21"/>
        <v>25</v>
      </c>
      <c r="CG91" s="32"/>
      <c r="CH91" s="153"/>
      <c r="CI91" s="32"/>
      <c r="CJ91" s="32"/>
      <c r="CK91" s="32"/>
      <c r="CL91" s="32"/>
      <c r="CM91" s="32"/>
      <c r="CN91" s="32"/>
      <c r="CO91" s="32"/>
      <c r="CP91" s="32"/>
      <c r="CQ91" s="32"/>
      <c r="CR91" s="163">
        <f t="shared" si="22"/>
        <v>0</v>
      </c>
      <c r="CS91" s="194" t="str">
        <f t="shared" si="23"/>
        <v>#DIV/0!</v>
      </c>
      <c r="CT91" s="196"/>
      <c r="CU91" s="167">
        <f t="shared" si="24"/>
        <v>24.24242424</v>
      </c>
      <c r="CV91" s="169">
        <f t="shared" si="9"/>
        <v>8</v>
      </c>
      <c r="CW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10"/>
        <v>11</v>
      </c>
      <c r="E92" s="127">
        <f t="shared" si="11"/>
        <v>33.33333333</v>
      </c>
      <c r="F92" s="200">
        <f t="shared" si="12"/>
        <v>33.33333333</v>
      </c>
      <c r="G92" s="200" t="str">
        <f t="shared" si="13"/>
        <v>  </v>
      </c>
      <c r="H92" s="287"/>
      <c r="I92" s="287"/>
      <c r="J92" s="288"/>
      <c r="K92" s="288"/>
      <c r="L92" s="288"/>
      <c r="M92" s="288"/>
      <c r="N92" s="304">
        <v>1.0</v>
      </c>
      <c r="O92" s="288"/>
      <c r="P92" s="288"/>
      <c r="Q92" s="288"/>
      <c r="R92" s="135">
        <f t="shared" si="14"/>
        <v>1</v>
      </c>
      <c r="S92" s="137">
        <f t="shared" si="15"/>
        <v>20</v>
      </c>
      <c r="T92" s="32"/>
      <c r="U92" s="32"/>
      <c r="V92" s="32"/>
      <c r="W92" s="32"/>
      <c r="X92" s="32"/>
      <c r="Y92" s="32"/>
      <c r="Z92" s="32"/>
      <c r="AA92" s="32"/>
      <c r="AB92" s="290">
        <v>1.0</v>
      </c>
      <c r="AC92" s="32"/>
      <c r="AD92" s="32"/>
      <c r="AE92" s="32"/>
      <c r="AF92" s="32"/>
      <c r="AG92" s="290">
        <v>1.0</v>
      </c>
      <c r="AH92" s="290">
        <v>1.0</v>
      </c>
      <c r="AI92" s="279"/>
      <c r="AJ92" s="279"/>
      <c r="AK92" s="135">
        <f t="shared" si="16"/>
        <v>3</v>
      </c>
      <c r="AL92" s="280">
        <f t="shared" si="17"/>
        <v>27.27272727</v>
      </c>
      <c r="AM92" s="32"/>
      <c r="AN92" s="32"/>
      <c r="AO92" s="32"/>
      <c r="AP92" s="32"/>
      <c r="AQ92" s="138"/>
      <c r="AR92" s="132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85">
        <v>1.0</v>
      </c>
      <c r="BE92" s="133"/>
      <c r="BF92" s="185">
        <v>1.0</v>
      </c>
      <c r="BG92" s="133"/>
      <c r="BH92" s="135">
        <f t="shared" si="18"/>
        <v>2</v>
      </c>
      <c r="BI92" s="281">
        <f t="shared" si="19"/>
        <v>22.22222222</v>
      </c>
      <c r="BJ92" s="138"/>
      <c r="BK92" s="170">
        <v>1.0</v>
      </c>
      <c r="BL92" s="138"/>
      <c r="BM92" s="151">
        <v>1.0</v>
      </c>
      <c r="BN92" s="151">
        <v>1.0</v>
      </c>
      <c r="BO92" s="151">
        <v>1.0</v>
      </c>
      <c r="BP92" s="151">
        <v>1.0</v>
      </c>
      <c r="BR92" s="140"/>
      <c r="BS92" s="152"/>
      <c r="BT92" s="152"/>
      <c r="BU92" s="152"/>
      <c r="BV92" s="32"/>
      <c r="BW92" s="279"/>
      <c r="BX92" s="279"/>
      <c r="BY92" s="279"/>
      <c r="BZ92" s="279"/>
      <c r="CA92" s="279"/>
      <c r="CB92" s="279"/>
      <c r="CC92" s="279"/>
      <c r="CD92" s="279"/>
      <c r="CE92" s="156">
        <f t="shared" si="20"/>
        <v>5</v>
      </c>
      <c r="CF92" s="282">
        <f t="shared" si="21"/>
        <v>62.5</v>
      </c>
      <c r="CG92" s="32"/>
      <c r="CH92" s="153"/>
      <c r="CI92" s="32"/>
      <c r="CJ92" s="32"/>
      <c r="CK92" s="32"/>
      <c r="CL92" s="32"/>
      <c r="CM92" s="32"/>
      <c r="CN92" s="32"/>
      <c r="CO92" s="32"/>
      <c r="CP92" s="32"/>
      <c r="CQ92" s="32"/>
      <c r="CR92" s="163">
        <f t="shared" si="22"/>
        <v>0</v>
      </c>
      <c r="CS92" s="194" t="str">
        <f t="shared" si="23"/>
        <v>#DIV/0!</v>
      </c>
      <c r="CT92" s="196"/>
      <c r="CU92" s="167">
        <f t="shared" si="24"/>
        <v>33.33333333</v>
      </c>
      <c r="CV92" s="169">
        <f t="shared" si="9"/>
        <v>11</v>
      </c>
      <c r="CW92" s="197"/>
    </row>
    <row r="93" ht="15.75" customHeight="1">
      <c r="A93" s="172">
        <v>84.0</v>
      </c>
      <c r="B93" s="298" t="s">
        <v>213</v>
      </c>
      <c r="C93" s="298"/>
      <c r="D93" s="284">
        <f t="shared" si="10"/>
        <v>0</v>
      </c>
      <c r="E93" s="127">
        <f t="shared" si="11"/>
        <v>0</v>
      </c>
      <c r="F93" s="200">
        <f t="shared" si="12"/>
        <v>0</v>
      </c>
      <c r="G93" s="200">
        <f t="shared" si="13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4"/>
        <v>0</v>
      </c>
      <c r="S93" s="137">
        <f t="shared" si="15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290"/>
      <c r="AI93" s="279"/>
      <c r="AJ93" s="279"/>
      <c r="AK93" s="135">
        <f t="shared" si="16"/>
        <v>0</v>
      </c>
      <c r="AL93" s="280">
        <f t="shared" si="17"/>
        <v>0</v>
      </c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135">
        <f t="shared" si="18"/>
        <v>0</v>
      </c>
      <c r="BI93" s="281">
        <f t="shared" si="19"/>
        <v>0</v>
      </c>
      <c r="BJ93" s="32"/>
      <c r="BK93" s="32"/>
      <c r="BL93" s="32"/>
      <c r="BM93" s="32"/>
      <c r="BN93" s="32"/>
      <c r="BO93" s="32"/>
      <c r="BP93" s="32"/>
      <c r="BR93" s="32"/>
      <c r="BS93" s="32"/>
      <c r="BT93" s="32"/>
      <c r="BU93" s="32"/>
      <c r="BV93" s="32"/>
      <c r="BW93" s="279"/>
      <c r="BX93" s="279"/>
      <c r="BY93" s="279"/>
      <c r="BZ93" s="279"/>
      <c r="CA93" s="279"/>
      <c r="CB93" s="279"/>
      <c r="CC93" s="279"/>
      <c r="CD93" s="279"/>
      <c r="CE93" s="156">
        <f t="shared" si="20"/>
        <v>0</v>
      </c>
      <c r="CF93" s="282">
        <f t="shared" si="21"/>
        <v>0</v>
      </c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163">
        <f t="shared" si="22"/>
        <v>0</v>
      </c>
      <c r="CS93" s="194" t="str">
        <f t="shared" si="23"/>
        <v>#DIV/0!</v>
      </c>
      <c r="CT93" s="196"/>
      <c r="CU93" s="167">
        <f t="shared" si="24"/>
        <v>0</v>
      </c>
      <c r="CV93" s="169">
        <f t="shared" si="9"/>
        <v>0</v>
      </c>
      <c r="CW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9"/>
      <c r="AL94" s="12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9"/>
      <c r="BI94" s="14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9"/>
      <c r="CF94" s="9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9"/>
      <c r="CW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9"/>
      <c r="AL95" s="12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9"/>
      <c r="BI95" s="14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9"/>
      <c r="CF95" s="9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9"/>
      <c r="CW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9"/>
      <c r="AL96" s="12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9"/>
      <c r="BI96" s="14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9"/>
      <c r="CF96" s="9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9"/>
      <c r="CW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9"/>
      <c r="AL97" s="12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9"/>
      <c r="BI97" s="14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9"/>
      <c r="CF97" s="9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9"/>
      <c r="CW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9"/>
      <c r="AL98" s="12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9"/>
      <c r="BI98" s="14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9"/>
      <c r="CF98" s="9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9"/>
      <c r="CW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9"/>
      <c r="AL99" s="12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9"/>
      <c r="BI99" s="14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9"/>
      <c r="CF99" s="9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9"/>
      <c r="CW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9"/>
      <c r="AL100" s="12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9"/>
      <c r="BI100" s="14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9"/>
      <c r="CF100" s="9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9"/>
      <c r="CW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9"/>
      <c r="AL101" s="12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9"/>
      <c r="BI101" s="14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9"/>
      <c r="CF101" s="9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9"/>
      <c r="CW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9"/>
      <c r="AL102" s="12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9"/>
      <c r="BI102" s="14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9"/>
      <c r="CF102" s="9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9"/>
      <c r="CW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9"/>
      <c r="AL103" s="12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9"/>
      <c r="BI103" s="14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9"/>
      <c r="CF103" s="9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9"/>
      <c r="CW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9"/>
      <c r="AL104" s="12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9"/>
      <c r="BI104" s="14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9"/>
      <c r="CF104" s="9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9"/>
      <c r="CW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9"/>
      <c r="AL105" s="12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9"/>
      <c r="BI105" s="14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9"/>
      <c r="CF105" s="9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9"/>
      <c r="CW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9"/>
      <c r="AL106" s="12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9"/>
      <c r="BI106" s="14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9"/>
      <c r="CF106" s="9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9"/>
      <c r="CW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9"/>
      <c r="AL107" s="12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9"/>
      <c r="BI107" s="14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9"/>
      <c r="CF107" s="9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9"/>
      <c r="CW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9"/>
      <c r="AL108" s="12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9"/>
      <c r="BI108" s="14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9"/>
      <c r="CF108" s="9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9"/>
      <c r="CW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9"/>
      <c r="AL109" s="12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9"/>
      <c r="BI109" s="14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9"/>
      <c r="CF109" s="9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9"/>
      <c r="CW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9"/>
      <c r="AL110" s="12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9"/>
      <c r="BI110" s="14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9"/>
      <c r="CF110" s="9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9"/>
      <c r="CW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9"/>
      <c r="AL111" s="12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9"/>
      <c r="BI111" s="14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9"/>
      <c r="CF111" s="9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9"/>
      <c r="CW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9"/>
      <c r="AL112" s="12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9"/>
      <c r="BI112" s="14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9"/>
      <c r="CF112" s="9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9"/>
      <c r="CW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9"/>
      <c r="AL113" s="12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9"/>
      <c r="BI113" s="14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9"/>
      <c r="CF113" s="9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9"/>
      <c r="CW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9"/>
      <c r="AL114" s="12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9"/>
      <c r="BI114" s="14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9"/>
      <c r="CF114" s="9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9"/>
      <c r="CW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9"/>
      <c r="AL115" s="12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9"/>
      <c r="BI115" s="14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9"/>
      <c r="CF115" s="9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9"/>
      <c r="CW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9"/>
      <c r="AL116" s="12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9"/>
      <c r="BI116" s="14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9"/>
      <c r="CF116" s="9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9"/>
      <c r="CW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9"/>
      <c r="AL117" s="12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9"/>
      <c r="BI117" s="14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9"/>
      <c r="CF117" s="9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9"/>
      <c r="CW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9"/>
      <c r="AL118" s="12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9"/>
      <c r="BI118" s="14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9"/>
      <c r="CF118" s="9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9"/>
      <c r="CW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9"/>
      <c r="AL119" s="12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9"/>
      <c r="BI119" s="14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9"/>
      <c r="CF119" s="9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9"/>
      <c r="CW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9"/>
      <c r="AL120" s="12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9"/>
      <c r="BI120" s="14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9"/>
      <c r="CF120" s="9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9"/>
      <c r="CW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9"/>
      <c r="AL121" s="12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9"/>
      <c r="BI121" s="14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9"/>
      <c r="CF121" s="9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9"/>
      <c r="CW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9"/>
      <c r="AL122" s="12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9"/>
      <c r="BI122" s="14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9"/>
      <c r="CF122" s="9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9"/>
      <c r="CW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9"/>
      <c r="AL123" s="12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9"/>
      <c r="BI123" s="14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9"/>
      <c r="CF123" s="9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9"/>
      <c r="CW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9"/>
      <c r="AL124" s="12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9"/>
      <c r="BI124" s="14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9"/>
      <c r="CF124" s="9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9"/>
      <c r="CW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9"/>
      <c r="AL125" s="12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9"/>
      <c r="BI125" s="14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9"/>
      <c r="CF125" s="9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9"/>
      <c r="CW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9"/>
      <c r="AL126" s="12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9"/>
      <c r="BI126" s="14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9"/>
      <c r="CF126" s="9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9"/>
      <c r="CW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9"/>
      <c r="AL127" s="12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9"/>
      <c r="BI127" s="14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9"/>
      <c r="CF127" s="9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9"/>
      <c r="CW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9"/>
      <c r="AL128" s="12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9"/>
      <c r="BI128" s="14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9"/>
      <c r="CF128" s="9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9"/>
      <c r="CW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9"/>
      <c r="AL129" s="12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9"/>
      <c r="BI129" s="14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9"/>
      <c r="CF129" s="9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9"/>
      <c r="CW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9"/>
      <c r="AL130" s="12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9"/>
      <c r="BI130" s="14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9"/>
      <c r="CF130" s="9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9"/>
      <c r="CW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9"/>
      <c r="AL131" s="12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9"/>
      <c r="BI131" s="14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9"/>
      <c r="CF131" s="9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9"/>
      <c r="CW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9"/>
      <c r="AL132" s="12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9"/>
      <c r="BI132" s="14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9"/>
      <c r="CF132" s="9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9"/>
      <c r="CW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9"/>
      <c r="AL133" s="12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9"/>
      <c r="BI133" s="14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9"/>
      <c r="CF133" s="9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9"/>
      <c r="CW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9"/>
      <c r="AL134" s="12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9"/>
      <c r="BI134" s="14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9"/>
      <c r="CF134" s="9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9"/>
      <c r="CW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9"/>
      <c r="AL135" s="12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9"/>
      <c r="BI135" s="14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9"/>
      <c r="CF135" s="9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9"/>
      <c r="CW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9"/>
      <c r="AL136" s="12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9"/>
      <c r="BI136" s="14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9"/>
      <c r="CF136" s="9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9"/>
      <c r="CW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9"/>
      <c r="AL137" s="12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9"/>
      <c r="BI137" s="14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9"/>
      <c r="CF137" s="9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9"/>
      <c r="CW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9"/>
      <c r="AL138" s="12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9"/>
      <c r="BI138" s="14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9"/>
      <c r="CF138" s="9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9"/>
      <c r="CW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9"/>
      <c r="AL139" s="12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9"/>
      <c r="BI139" s="14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9"/>
      <c r="CF139" s="9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9"/>
      <c r="CW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9"/>
      <c r="AL140" s="12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9"/>
      <c r="BI140" s="14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9"/>
      <c r="CF140" s="9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9"/>
      <c r="CW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9"/>
      <c r="AL141" s="12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9"/>
      <c r="BI141" s="14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9"/>
      <c r="CF141" s="9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9"/>
      <c r="CW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9"/>
      <c r="AL142" s="12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9"/>
      <c r="BI142" s="14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9"/>
      <c r="CF142" s="9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9"/>
      <c r="CW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9"/>
      <c r="AL143" s="12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9"/>
      <c r="BI143" s="14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9"/>
      <c r="CF143" s="9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9"/>
      <c r="CW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9"/>
      <c r="AL144" s="12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9"/>
      <c r="BI144" s="14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9"/>
      <c r="CF144" s="9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9"/>
      <c r="CW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9"/>
      <c r="AL145" s="12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9"/>
      <c r="BI145" s="14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9"/>
      <c r="CF145" s="9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9"/>
      <c r="CW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9"/>
      <c r="AL146" s="12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9"/>
      <c r="BI146" s="14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9"/>
      <c r="CF146" s="9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9"/>
      <c r="CW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9"/>
      <c r="AL147" s="12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9"/>
      <c r="BI147" s="14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9"/>
      <c r="CF147" s="9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9"/>
      <c r="CW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9"/>
      <c r="AL148" s="12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9"/>
      <c r="BI148" s="14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9"/>
      <c r="CF148" s="9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9"/>
      <c r="CW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9"/>
      <c r="AL149" s="12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9"/>
      <c r="BI149" s="14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9"/>
      <c r="CF149" s="9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9"/>
      <c r="CW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9"/>
      <c r="AL150" s="12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9"/>
      <c r="BI150" s="14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9"/>
      <c r="CF150" s="9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9"/>
      <c r="CW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9"/>
      <c r="AL151" s="12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9"/>
      <c r="BI151" s="14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9"/>
      <c r="CF151" s="9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9"/>
      <c r="CW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9"/>
      <c r="AL152" s="12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9"/>
      <c r="BI152" s="14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9"/>
      <c r="CF152" s="9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9"/>
      <c r="CW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9"/>
      <c r="AL153" s="12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9"/>
      <c r="BI153" s="14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9"/>
      <c r="CF153" s="9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9"/>
      <c r="CW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9"/>
      <c r="AL154" s="12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9"/>
      <c r="BI154" s="14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9"/>
      <c r="CF154" s="9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9"/>
      <c r="CW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9"/>
      <c r="AL155" s="12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9"/>
      <c r="BI155" s="14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9"/>
      <c r="CF155" s="9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9"/>
      <c r="CW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9"/>
      <c r="AL156" s="12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9"/>
      <c r="BI156" s="14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9"/>
      <c r="CF156" s="9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9"/>
      <c r="CW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9"/>
      <c r="AL157" s="12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9"/>
      <c r="BI157" s="14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9"/>
      <c r="CF157" s="9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9"/>
      <c r="CW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9"/>
      <c r="AL158" s="12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9"/>
      <c r="BI158" s="14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9"/>
      <c r="CF158" s="9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9"/>
      <c r="CW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9"/>
      <c r="AL159" s="12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9"/>
      <c r="BI159" s="14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9"/>
      <c r="CF159" s="9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9"/>
      <c r="CW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9"/>
      <c r="AL160" s="12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9"/>
      <c r="BI160" s="14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9"/>
      <c r="CF160" s="9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9"/>
      <c r="CW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9"/>
      <c r="AL161" s="12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9"/>
      <c r="BI161" s="14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9"/>
      <c r="CF161" s="9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9"/>
      <c r="CW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9"/>
      <c r="AL162" s="12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9"/>
      <c r="BI162" s="14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9"/>
      <c r="CF162" s="9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9"/>
      <c r="CW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9"/>
      <c r="AL163" s="12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9"/>
      <c r="BI163" s="14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9"/>
      <c r="CF163" s="9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9"/>
      <c r="CW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9"/>
      <c r="AL164" s="12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9"/>
      <c r="BI164" s="14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9"/>
      <c r="CF164" s="9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9"/>
      <c r="CW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9"/>
      <c r="AL165" s="12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9"/>
      <c r="BI165" s="14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9"/>
      <c r="CF165" s="9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9"/>
      <c r="CW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9"/>
      <c r="AL166" s="12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9"/>
      <c r="BI166" s="14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9"/>
      <c r="CF166" s="9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9"/>
      <c r="CW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9"/>
      <c r="AL167" s="12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9"/>
      <c r="BI167" s="14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9"/>
      <c r="CF167" s="9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9"/>
      <c r="CW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9"/>
      <c r="AL168" s="12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9"/>
      <c r="BI168" s="14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9"/>
      <c r="CF168" s="9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9"/>
      <c r="CW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9"/>
      <c r="AL169" s="12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9"/>
      <c r="BI169" s="14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9"/>
      <c r="CF169" s="9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9"/>
      <c r="CW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9"/>
      <c r="AL170" s="12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9"/>
      <c r="BI170" s="14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9"/>
      <c r="CF170" s="9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9"/>
      <c r="CW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9"/>
      <c r="AL171" s="12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9"/>
      <c r="BI171" s="14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9"/>
      <c r="CF171" s="9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9"/>
      <c r="CW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9"/>
      <c r="AL172" s="12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9"/>
      <c r="BI172" s="14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9"/>
      <c r="CF172" s="9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9"/>
      <c r="CW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9"/>
      <c r="AL173" s="12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9"/>
      <c r="BI173" s="14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9"/>
      <c r="CF173" s="9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9"/>
      <c r="CW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9"/>
      <c r="AL174" s="12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9"/>
      <c r="BI174" s="14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9"/>
      <c r="CF174" s="9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9"/>
      <c r="CW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9"/>
      <c r="AL175" s="12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9"/>
      <c r="BI175" s="14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9"/>
      <c r="CF175" s="9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9"/>
      <c r="CW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9"/>
      <c r="AL176" s="12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9"/>
      <c r="BI176" s="14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9"/>
      <c r="CF176" s="9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9"/>
      <c r="CW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9"/>
      <c r="AL177" s="12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9"/>
      <c r="BI177" s="14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9"/>
      <c r="CF177" s="9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9"/>
      <c r="CW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9"/>
      <c r="AL178" s="12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9"/>
      <c r="BI178" s="14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9"/>
      <c r="CF178" s="9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9"/>
      <c r="CW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9"/>
      <c r="AL179" s="12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9"/>
      <c r="BI179" s="14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9"/>
      <c r="CF179" s="9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9"/>
      <c r="CW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9"/>
      <c r="AL180" s="12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9"/>
      <c r="BI180" s="14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9"/>
      <c r="CF180" s="9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9"/>
      <c r="CW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9"/>
      <c r="AL181" s="12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9"/>
      <c r="BI181" s="14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9"/>
      <c r="CF181" s="9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9"/>
      <c r="CW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9"/>
      <c r="AL182" s="12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9"/>
      <c r="BI182" s="14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9"/>
      <c r="CF182" s="9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9"/>
      <c r="CW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9"/>
      <c r="AL183" s="12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9"/>
      <c r="BI183" s="14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9"/>
      <c r="CF183" s="9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9"/>
      <c r="CW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9"/>
      <c r="AL184" s="12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9"/>
      <c r="BI184" s="14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9"/>
      <c r="CF184" s="9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9"/>
      <c r="CW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9"/>
      <c r="AL185" s="12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9"/>
      <c r="BI185" s="14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9"/>
      <c r="CF185" s="9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9"/>
      <c r="CW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9"/>
      <c r="AL186" s="12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9"/>
      <c r="BI186" s="14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9"/>
      <c r="CF186" s="9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9"/>
      <c r="CW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9"/>
      <c r="AL187" s="12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9"/>
      <c r="BI187" s="14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9"/>
      <c r="CF187" s="9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9"/>
      <c r="CW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9"/>
      <c r="AL188" s="12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9"/>
      <c r="BI188" s="14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9"/>
      <c r="CF188" s="9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9"/>
      <c r="CW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9"/>
      <c r="AL189" s="12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9"/>
      <c r="BI189" s="14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9"/>
      <c r="CF189" s="9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9"/>
      <c r="CW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9"/>
      <c r="AL190" s="12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9"/>
      <c r="BI190" s="14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9"/>
      <c r="CF190" s="9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9"/>
      <c r="CW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9"/>
      <c r="AL191" s="12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9"/>
      <c r="BI191" s="14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9"/>
      <c r="CF191" s="9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9"/>
      <c r="CW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9"/>
      <c r="AL192" s="12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9"/>
      <c r="BI192" s="14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9"/>
      <c r="CF192" s="9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9"/>
      <c r="CW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9"/>
      <c r="AL193" s="12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9"/>
      <c r="BI193" s="14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9"/>
      <c r="CF193" s="9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9"/>
      <c r="CW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9"/>
      <c r="AL194" s="12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9"/>
      <c r="BI194" s="14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9"/>
      <c r="CF194" s="9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9"/>
      <c r="CW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9"/>
      <c r="AL195" s="12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9"/>
      <c r="BI195" s="14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9"/>
      <c r="CF195" s="9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9"/>
      <c r="CW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9"/>
      <c r="AL196" s="12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9"/>
      <c r="BI196" s="14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9"/>
      <c r="CF196" s="9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9"/>
      <c r="CW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9"/>
      <c r="AL197" s="12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9"/>
      <c r="BI197" s="14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9"/>
      <c r="CF197" s="9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9"/>
      <c r="CW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9"/>
      <c r="AL198" s="12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9"/>
      <c r="BI198" s="14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9"/>
      <c r="CF198" s="9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9"/>
      <c r="CW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9"/>
      <c r="AL199" s="12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9"/>
      <c r="BI199" s="14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9"/>
      <c r="CF199" s="9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9"/>
      <c r="CW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9"/>
      <c r="AL200" s="12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9"/>
      <c r="BI200" s="14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9"/>
      <c r="CF200" s="9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9"/>
      <c r="CW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9"/>
      <c r="AL201" s="12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9"/>
      <c r="BI201" s="14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9"/>
      <c r="CF201" s="9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9"/>
      <c r="CW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9"/>
      <c r="AL202" s="12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9"/>
      <c r="BI202" s="14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9"/>
      <c r="CF202" s="9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9"/>
      <c r="CW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9"/>
      <c r="AL203" s="12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9"/>
      <c r="BI203" s="14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9"/>
      <c r="CF203" s="9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9"/>
      <c r="CW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9"/>
      <c r="AL204" s="12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9"/>
      <c r="BI204" s="14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9"/>
      <c r="CF204" s="9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9"/>
      <c r="CW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9"/>
      <c r="AL205" s="12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9"/>
      <c r="BI205" s="14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9"/>
      <c r="CF205" s="9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9"/>
      <c r="CW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9"/>
      <c r="AL206" s="12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9"/>
      <c r="BI206" s="14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9"/>
      <c r="CF206" s="9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9"/>
      <c r="CW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9"/>
      <c r="AL207" s="12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9"/>
      <c r="BI207" s="14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9"/>
      <c r="CF207" s="9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9"/>
      <c r="CW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9"/>
      <c r="AL208" s="12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9"/>
      <c r="BI208" s="14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9"/>
      <c r="CF208" s="9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9"/>
      <c r="CW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9"/>
      <c r="AL209" s="12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9"/>
      <c r="BI209" s="14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9"/>
      <c r="CF209" s="9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9"/>
      <c r="CW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9"/>
      <c r="AL210" s="12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9"/>
      <c r="BI210" s="14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9"/>
      <c r="CF210" s="9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9"/>
      <c r="CW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9"/>
      <c r="AL211" s="12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9"/>
      <c r="BI211" s="14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9"/>
      <c r="CF211" s="9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9"/>
      <c r="CW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9"/>
      <c r="AL212" s="12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9"/>
      <c r="BI212" s="14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9"/>
      <c r="CF212" s="9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9"/>
      <c r="CW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9"/>
      <c r="AL213" s="12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9"/>
      <c r="BI213" s="14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9"/>
      <c r="CF213" s="9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9"/>
      <c r="CW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9"/>
      <c r="AL214" s="12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9"/>
      <c r="BI214" s="14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9"/>
      <c r="CF214" s="9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9"/>
      <c r="CW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9"/>
      <c r="AL215" s="12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9"/>
      <c r="BI215" s="14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9"/>
      <c r="CF215" s="9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9"/>
      <c r="CW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9"/>
      <c r="AL216" s="12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9"/>
      <c r="BI216" s="14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9"/>
      <c r="CF216" s="9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9"/>
      <c r="CW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9"/>
      <c r="AL217" s="12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9"/>
      <c r="BI217" s="14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9"/>
      <c r="CF217" s="9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9"/>
      <c r="CW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9"/>
      <c r="AL218" s="12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9"/>
      <c r="BI218" s="14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9"/>
      <c r="CF218" s="9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9"/>
      <c r="CW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9"/>
      <c r="AL219" s="12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9"/>
      <c r="BI219" s="14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9"/>
      <c r="CF219" s="9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9"/>
      <c r="CW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9"/>
      <c r="AL220" s="12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9"/>
      <c r="BI220" s="14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9"/>
      <c r="CF220" s="9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9"/>
      <c r="CW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9"/>
      <c r="AL221" s="12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9"/>
      <c r="BI221" s="14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9"/>
      <c r="CF221" s="9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9"/>
      <c r="CW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9"/>
      <c r="AL222" s="12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9"/>
      <c r="BI222" s="14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9"/>
      <c r="CF222" s="9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9"/>
      <c r="CW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9"/>
      <c r="AL223" s="12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9"/>
      <c r="BI223" s="14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9"/>
      <c r="CF223" s="9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9"/>
      <c r="CW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9"/>
      <c r="AL224" s="12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9"/>
      <c r="BI224" s="14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9"/>
      <c r="CF224" s="9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9"/>
      <c r="CW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9"/>
      <c r="AL225" s="12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9"/>
      <c r="BI225" s="14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9"/>
      <c r="CF225" s="9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9"/>
      <c r="CW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9"/>
      <c r="AL226" s="12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9"/>
      <c r="BI226" s="14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9"/>
      <c r="CF226" s="9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9"/>
      <c r="CW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9"/>
      <c r="AL227" s="12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9"/>
      <c r="BI227" s="14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9"/>
      <c r="CF227" s="9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9"/>
      <c r="CW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9"/>
      <c r="AL228" s="12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9"/>
      <c r="BI228" s="14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9"/>
      <c r="CF228" s="9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9"/>
      <c r="CW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9"/>
      <c r="AL229" s="12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9"/>
      <c r="BI229" s="14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9"/>
      <c r="CF229" s="9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9"/>
      <c r="CW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9"/>
      <c r="AL230" s="12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9"/>
      <c r="BI230" s="14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9"/>
      <c r="CF230" s="9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9"/>
      <c r="CW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9"/>
      <c r="AL231" s="12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9"/>
      <c r="BI231" s="14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9"/>
      <c r="CF231" s="9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9"/>
      <c r="CW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9"/>
      <c r="AL232" s="12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9"/>
      <c r="BI232" s="14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9"/>
      <c r="CF232" s="9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9"/>
      <c r="CW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9"/>
      <c r="AL233" s="12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9"/>
      <c r="BI233" s="14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9"/>
      <c r="CF233" s="9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9"/>
      <c r="CW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9"/>
      <c r="AL234" s="12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9"/>
      <c r="BI234" s="14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9"/>
      <c r="CF234" s="9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9"/>
      <c r="CW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9"/>
      <c r="AL235" s="12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9"/>
      <c r="BI235" s="14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9"/>
      <c r="CF235" s="9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9"/>
      <c r="CW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9"/>
      <c r="AL236" s="12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9"/>
      <c r="BI236" s="14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9"/>
      <c r="CF236" s="9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9"/>
      <c r="CW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9"/>
      <c r="AL237" s="12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9"/>
      <c r="BI237" s="14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9"/>
      <c r="CF237" s="9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9"/>
      <c r="CW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9"/>
      <c r="AL238" s="12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9"/>
      <c r="BI238" s="14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9"/>
      <c r="CF238" s="9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9"/>
      <c r="CW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9"/>
      <c r="AL239" s="12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9"/>
      <c r="BI239" s="14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9"/>
      <c r="CF239" s="9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9"/>
      <c r="CW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9"/>
      <c r="AL240" s="12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9"/>
      <c r="BI240" s="14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9"/>
      <c r="CF240" s="9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9"/>
      <c r="CW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9"/>
      <c r="AL241" s="12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9"/>
      <c r="BI241" s="14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9"/>
      <c r="CF241" s="9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9"/>
      <c r="CW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9"/>
      <c r="AL242" s="12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9"/>
      <c r="BI242" s="14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9"/>
      <c r="CF242" s="9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9"/>
      <c r="CW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9"/>
      <c r="AL243" s="12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9"/>
      <c r="BI243" s="14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9"/>
      <c r="CF243" s="9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9"/>
      <c r="CW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9"/>
      <c r="AL244" s="12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9"/>
      <c r="BI244" s="14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9"/>
      <c r="CF244" s="9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9"/>
      <c r="CW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9"/>
      <c r="AL245" s="12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9"/>
      <c r="BI245" s="14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9"/>
      <c r="CF245" s="9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9"/>
      <c r="CW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9"/>
      <c r="AL246" s="12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9"/>
      <c r="BI246" s="14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9"/>
      <c r="CF246" s="9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9"/>
      <c r="CW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9"/>
      <c r="AL247" s="12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9"/>
      <c r="BI247" s="14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9"/>
      <c r="CF247" s="9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9"/>
      <c r="CW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9"/>
      <c r="AL248" s="12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9"/>
      <c r="BI248" s="14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9"/>
      <c r="CF248" s="9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9"/>
      <c r="CW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9"/>
      <c r="AL249" s="12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9"/>
      <c r="BI249" s="14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9"/>
      <c r="CF249" s="9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9"/>
      <c r="CW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9"/>
      <c r="AL250" s="12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9"/>
      <c r="BI250" s="14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9"/>
      <c r="CF250" s="9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9"/>
      <c r="CW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9"/>
      <c r="AL251" s="12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9"/>
      <c r="BI251" s="14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9"/>
      <c r="CF251" s="9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9"/>
      <c r="CW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9"/>
      <c r="AL252" s="12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9"/>
      <c r="BI252" s="14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9"/>
      <c r="CF252" s="9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9"/>
      <c r="CW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9"/>
      <c r="AL253" s="12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9"/>
      <c r="BI253" s="14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9"/>
      <c r="CF253" s="9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9"/>
      <c r="CW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9"/>
      <c r="AL254" s="12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9"/>
      <c r="BI254" s="14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9"/>
      <c r="CF254" s="9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9"/>
      <c r="CW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9"/>
      <c r="AL255" s="12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9"/>
      <c r="BI255" s="14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9"/>
      <c r="CF255" s="9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9"/>
      <c r="CW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9"/>
      <c r="AL256" s="12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9"/>
      <c r="BI256" s="14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9"/>
      <c r="CF256" s="9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9"/>
      <c r="CW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9"/>
      <c r="AL257" s="12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9"/>
      <c r="BI257" s="14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9"/>
      <c r="CF257" s="9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9"/>
      <c r="CW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9"/>
      <c r="AL258" s="12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9"/>
      <c r="BI258" s="14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9"/>
      <c r="CF258" s="9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9"/>
      <c r="CW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9"/>
      <c r="AL259" s="12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9"/>
      <c r="BI259" s="14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9"/>
      <c r="CF259" s="9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9"/>
      <c r="CW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9"/>
      <c r="AL260" s="12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9"/>
      <c r="BI260" s="14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9"/>
      <c r="CF260" s="9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9"/>
      <c r="CW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9"/>
      <c r="AL261" s="12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9"/>
      <c r="BI261" s="14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9"/>
      <c r="CF261" s="9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9"/>
      <c r="CW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9"/>
      <c r="AL262" s="12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9"/>
      <c r="BI262" s="14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9"/>
      <c r="CF262" s="9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9"/>
      <c r="CW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9"/>
      <c r="AL263" s="12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9"/>
      <c r="BI263" s="14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9"/>
      <c r="CF263" s="9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9"/>
      <c r="CW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9"/>
      <c r="AL264" s="12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9"/>
      <c r="BI264" s="14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9"/>
      <c r="CF264" s="9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9"/>
      <c r="CW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9"/>
      <c r="AL265" s="12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9"/>
      <c r="BI265" s="14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9"/>
      <c r="CF265" s="9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9"/>
      <c r="CW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9"/>
      <c r="AL266" s="12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9"/>
      <c r="BI266" s="14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9"/>
      <c r="CF266" s="9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9"/>
      <c r="CW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9"/>
      <c r="AL267" s="12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9"/>
      <c r="BI267" s="14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9"/>
      <c r="CF267" s="9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9"/>
      <c r="CW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9"/>
      <c r="AL268" s="12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9"/>
      <c r="BI268" s="14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9"/>
      <c r="CF268" s="9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9"/>
      <c r="CW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9"/>
      <c r="AL269" s="12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9"/>
      <c r="BI269" s="14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9"/>
      <c r="CF269" s="9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9"/>
      <c r="CW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9"/>
      <c r="AL270" s="12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9"/>
      <c r="BI270" s="14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9"/>
      <c r="CF270" s="9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9"/>
      <c r="CW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9"/>
      <c r="AL271" s="12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9"/>
      <c r="BI271" s="14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9"/>
      <c r="CF271" s="9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9"/>
      <c r="CW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9"/>
      <c r="AL272" s="12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9"/>
      <c r="BI272" s="14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9"/>
      <c r="CF272" s="9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9"/>
      <c r="CW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9"/>
      <c r="AL273" s="12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9"/>
      <c r="BI273" s="14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9"/>
      <c r="CF273" s="9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9"/>
      <c r="CW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9"/>
      <c r="AL274" s="12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9"/>
      <c r="BI274" s="14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9"/>
      <c r="CF274" s="9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9"/>
      <c r="CW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9"/>
      <c r="AL275" s="12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9"/>
      <c r="BI275" s="14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9"/>
      <c r="CF275" s="9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9"/>
      <c r="CW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9"/>
      <c r="AL276" s="12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9"/>
      <c r="BI276" s="14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9"/>
      <c r="CF276" s="9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9"/>
      <c r="CW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9"/>
      <c r="AL277" s="12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9"/>
      <c r="BI277" s="14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9"/>
      <c r="CF277" s="9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9"/>
      <c r="CW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9"/>
      <c r="AL278" s="12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9"/>
      <c r="BI278" s="14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9"/>
      <c r="CF278" s="9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9"/>
      <c r="CW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9"/>
      <c r="AL279" s="12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9"/>
      <c r="BI279" s="14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9"/>
      <c r="CF279" s="9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9"/>
      <c r="CW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9"/>
      <c r="AL280" s="12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9"/>
      <c r="BI280" s="14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9"/>
      <c r="CF280" s="9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9"/>
      <c r="CW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9"/>
      <c r="AL281" s="12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9"/>
      <c r="BI281" s="14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9"/>
      <c r="CF281" s="9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9"/>
      <c r="CW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9"/>
      <c r="AL282" s="12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9"/>
      <c r="BI282" s="14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9"/>
      <c r="CF282" s="9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9"/>
      <c r="CW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9"/>
      <c r="AL283" s="12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9"/>
      <c r="BI283" s="14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9"/>
      <c r="CF283" s="9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9"/>
      <c r="CW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9"/>
      <c r="AL284" s="12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9"/>
      <c r="BI284" s="14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9"/>
      <c r="CF284" s="9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9"/>
      <c r="CW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9"/>
      <c r="AL285" s="12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9"/>
      <c r="BI285" s="14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9"/>
      <c r="CF285" s="9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9"/>
      <c r="CW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9"/>
      <c r="AL286" s="12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9"/>
      <c r="BI286" s="14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9"/>
      <c r="CF286" s="9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9"/>
      <c r="CW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Q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218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219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18" t="s">
        <v>220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221</v>
      </c>
      <c r="B9" s="90" t="s">
        <v>43</v>
      </c>
      <c r="C9" s="91" t="s">
        <v>44</v>
      </c>
      <c r="D9" s="94">
        <f>SUM(R9+AL9+BI9+CF9+CS9)</f>
        <v>24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5</v>
      </c>
      <c r="N9" s="99">
        <f t="shared" si="1"/>
        <v>9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2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26</v>
      </c>
      <c r="Y9" s="104">
        <f t="shared" si="2"/>
        <v>0</v>
      </c>
      <c r="Z9" s="104">
        <f t="shared" si="2"/>
        <v>38</v>
      </c>
      <c r="AA9" s="104">
        <f t="shared" si="2"/>
        <v>12</v>
      </c>
      <c r="AB9" s="104">
        <f t="shared" si="2"/>
        <v>40</v>
      </c>
      <c r="AC9" s="104">
        <f t="shared" si="2"/>
        <v>39</v>
      </c>
      <c r="AD9" s="104">
        <f t="shared" si="2"/>
        <v>0</v>
      </c>
      <c r="AE9" s="104">
        <f t="shared" si="2"/>
        <v>0</v>
      </c>
      <c r="AF9" s="104">
        <f t="shared" si="2"/>
        <v>0</v>
      </c>
      <c r="AG9" s="104">
        <f t="shared" si="2"/>
        <v>35</v>
      </c>
      <c r="AH9" s="104">
        <f t="shared" si="2"/>
        <v>20</v>
      </c>
      <c r="AI9" s="104">
        <f t="shared" si="2"/>
        <v>0</v>
      </c>
      <c r="AJ9" s="104">
        <f t="shared" si="2"/>
        <v>0</v>
      </c>
      <c r="AK9" s="104">
        <f t="shared" si="2"/>
        <v>0</v>
      </c>
      <c r="AL9" s="103">
        <f>COUNTIF(T9:AK9,"&gt;0")</f>
        <v>7</v>
      </c>
      <c r="AM9" s="107">
        <f>SUM(R9+AL9)</f>
        <v>9</v>
      </c>
      <c r="AN9" s="104">
        <f t="shared" ref="AN9:AU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321">
        <v>0.0</v>
      </c>
      <c r="AW9" s="104">
        <f>SUM(AW10:AW91)</f>
        <v>0</v>
      </c>
      <c r="AX9" s="321">
        <v>0.0</v>
      </c>
      <c r="AY9" s="321">
        <v>0.0</v>
      </c>
      <c r="AZ9" s="104">
        <f t="shared" ref="AZ9:BH9" si="4">SUM(AZ10:AZ91)</f>
        <v>5</v>
      </c>
      <c r="BA9" s="104">
        <f t="shared" si="4"/>
        <v>4</v>
      </c>
      <c r="BB9" s="104">
        <f t="shared" si="4"/>
        <v>4</v>
      </c>
      <c r="BC9" s="104">
        <f t="shared" si="4"/>
        <v>3</v>
      </c>
      <c r="BD9" s="104">
        <f t="shared" si="4"/>
        <v>0</v>
      </c>
      <c r="BE9" s="104">
        <f t="shared" si="4"/>
        <v>0</v>
      </c>
      <c r="BF9" s="104">
        <f t="shared" si="4"/>
        <v>29</v>
      </c>
      <c r="BG9" s="104">
        <f t="shared" si="4"/>
        <v>0</v>
      </c>
      <c r="BH9" s="104">
        <f t="shared" si="4"/>
        <v>30</v>
      </c>
      <c r="BI9" s="48">
        <f>COUNTIF(AN9:BH9,"&gt;0")</f>
        <v>6</v>
      </c>
      <c r="BJ9" s="55">
        <f>SUM(AM9+BI9)</f>
        <v>15</v>
      </c>
      <c r="BK9" s="109">
        <f t="shared" ref="BK9:BW9" si="5">SUM(BK10:BK91)</f>
        <v>5</v>
      </c>
      <c r="BL9" s="109">
        <f t="shared" si="5"/>
        <v>31</v>
      </c>
      <c r="BM9" s="109">
        <f t="shared" si="5"/>
        <v>35</v>
      </c>
      <c r="BN9" s="109">
        <f t="shared" si="5"/>
        <v>0</v>
      </c>
      <c r="BO9" s="109">
        <f t="shared" si="5"/>
        <v>0</v>
      </c>
      <c r="BP9" s="109">
        <f t="shared" si="5"/>
        <v>23</v>
      </c>
      <c r="BQ9" s="109">
        <f t="shared" si="5"/>
        <v>36</v>
      </c>
      <c r="BR9" s="109">
        <f t="shared" si="5"/>
        <v>44</v>
      </c>
      <c r="BS9" s="109">
        <f t="shared" si="5"/>
        <v>22</v>
      </c>
      <c r="BT9" s="109">
        <f t="shared" si="5"/>
        <v>30</v>
      </c>
      <c r="BU9" s="109">
        <f t="shared" si="5"/>
        <v>19</v>
      </c>
      <c r="BV9" s="109">
        <f t="shared" si="5"/>
        <v>0</v>
      </c>
      <c r="BW9" s="109">
        <f t="shared" si="5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9</v>
      </c>
      <c r="CG9" s="113">
        <f>SUM(BJ9+CF9)</f>
        <v>24</v>
      </c>
      <c r="CH9" s="112">
        <f t="shared" ref="CH9:CJ9" si="6">SUM(CH10:CH84)</f>
        <v>0</v>
      </c>
      <c r="CI9" s="112">
        <f t="shared" si="6"/>
        <v>0</v>
      </c>
      <c r="CJ9" s="112">
        <f t="shared" si="6"/>
        <v>0</v>
      </c>
      <c r="CK9" s="114">
        <f t="shared" ref="CK9:CN9" si="7">SUM(CK10:CK69)</f>
        <v>0</v>
      </c>
      <c r="CL9" s="114">
        <f t="shared" si="7"/>
        <v>0</v>
      </c>
      <c r="CM9" s="114">
        <f t="shared" si="7"/>
        <v>0</v>
      </c>
      <c r="CN9" s="114">
        <f t="shared" si="7"/>
        <v>0</v>
      </c>
      <c r="CO9" s="112">
        <f>SUM(CO10:CO84)</f>
        <v>0</v>
      </c>
      <c r="CP9" s="115">
        <f t="shared" ref="CP9:CR9" si="8">SUM(CP10:CP69)</f>
        <v>0</v>
      </c>
      <c r="CQ9" s="115">
        <f t="shared" si="8"/>
        <v>0</v>
      </c>
      <c r="CR9" s="115">
        <f t="shared" si="8"/>
        <v>0</v>
      </c>
      <c r="CS9" s="116">
        <f>COUNTIF(CH9:CR9,"&gt;0")</f>
        <v>0</v>
      </c>
      <c r="CT9" s="117">
        <f>SUM(CG9+CS9)</f>
        <v>24</v>
      </c>
      <c r="CU9" s="118"/>
      <c r="CV9" s="119">
        <f>SUM(R9+AL9+BI9+CF9+CS9+CU9)</f>
        <v>24</v>
      </c>
      <c r="CW9" s="120">
        <f t="shared" ref="CW9:CW93" si="9">SUM(R9+AL9+BI9+CF9+CS9+CU9)</f>
        <v>24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10">SUM(R10+AL10+BI10+CF10+CS10+CU10)</f>
        <v>4</v>
      </c>
      <c r="E10" s="127">
        <f t="shared" ref="E10:E93" si="11">(D10)/D$9*100</f>
        <v>16.66666667</v>
      </c>
      <c r="F10" s="128">
        <f t="shared" ref="F10:F93" si="12">IF(E10&lt;50,E10, "  ")</f>
        <v>16.66666667</v>
      </c>
      <c r="G10" s="130">
        <f t="shared" ref="G10:G93" si="13">IF(E10&lt;30,E10, "  ")</f>
        <v>16.66666667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4">SUM(H10:Q10)</f>
        <v>0</v>
      </c>
      <c r="S10" s="137">
        <f t="shared" ref="S10:S93" si="15">R10/R$9*100</f>
        <v>0</v>
      </c>
      <c r="T10" s="138"/>
      <c r="U10" s="138"/>
      <c r="V10" s="138"/>
      <c r="W10" s="132"/>
      <c r="X10" s="132"/>
      <c r="Y10" s="138"/>
      <c r="Z10" s="138"/>
      <c r="AA10" s="133"/>
      <c r="AB10" s="185">
        <v>1.0</v>
      </c>
      <c r="AC10" s="133"/>
      <c r="AD10" s="140"/>
      <c r="AE10" s="141"/>
      <c r="AF10" s="142"/>
      <c r="AG10" s="143">
        <v>1.0</v>
      </c>
      <c r="AH10" s="142"/>
      <c r="AI10" s="142"/>
      <c r="AJ10" s="142"/>
      <c r="AK10" s="142"/>
      <c r="AL10" s="135">
        <f t="shared" ref="AL10:AL93" si="16">SUM(T10:AK10)</f>
        <v>2</v>
      </c>
      <c r="AM10" s="137">
        <f t="shared" ref="AM10:AM93" si="17">AL10/AL$9*100</f>
        <v>28.57142857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8">SUM(AN10:BH10)</f>
        <v>0</v>
      </c>
      <c r="BJ10" s="149">
        <f t="shared" ref="BJ10:BJ93" si="19">BI10/BI$9*100</f>
        <v>0</v>
      </c>
      <c r="BK10" s="138"/>
      <c r="BL10" s="170">
        <v>1.0</v>
      </c>
      <c r="BM10" s="138"/>
      <c r="BN10" s="138"/>
      <c r="BO10" s="138"/>
      <c r="BP10" s="138"/>
      <c r="BQ10" s="138"/>
      <c r="BR10" s="150">
        <v>1.0</v>
      </c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20">SUM(BK10:BW10)</f>
        <v>2</v>
      </c>
      <c r="CG10" s="159">
        <f t="shared" ref="CG10:CG93" si="21">CF10/CF$9*100</f>
        <v>22.22222222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2">SUM(CH10:CR10)</f>
        <v>0</v>
      </c>
      <c r="CT10" s="165" t="str">
        <f t="shared" ref="CT10:CT93" si="23">CS10/CS$9*100</f>
        <v>#DIV/0!</v>
      </c>
      <c r="CU10" s="166"/>
      <c r="CV10" s="167">
        <f t="shared" ref="CV10:CV93" si="24">(D10)/D$9*100</f>
        <v>16.66666667</v>
      </c>
      <c r="CW10" s="169">
        <f t="shared" si="9"/>
        <v>4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10"/>
        <v>17</v>
      </c>
      <c r="E11" s="127">
        <f t="shared" si="11"/>
        <v>70.83333333</v>
      </c>
      <c r="F11" s="175" t="str">
        <f t="shared" si="12"/>
        <v>  </v>
      </c>
      <c r="G11" s="177" t="str">
        <f t="shared" si="13"/>
        <v>  </v>
      </c>
      <c r="H11" s="132"/>
      <c r="I11" s="178"/>
      <c r="J11" s="179"/>
      <c r="K11" s="179"/>
      <c r="L11" s="179"/>
      <c r="M11" s="191">
        <v>1.0</v>
      </c>
      <c r="N11" s="179"/>
      <c r="O11" s="179"/>
      <c r="P11" s="179"/>
      <c r="Q11" s="179"/>
      <c r="R11" s="135">
        <f t="shared" si="14"/>
        <v>1</v>
      </c>
      <c r="S11" s="137">
        <f t="shared" si="15"/>
        <v>50</v>
      </c>
      <c r="T11" s="138"/>
      <c r="U11" s="138"/>
      <c r="V11" s="138"/>
      <c r="W11" s="132"/>
      <c r="X11" s="170">
        <v>1.0</v>
      </c>
      <c r="Y11" s="138"/>
      <c r="Z11" s="151">
        <v>1.0</v>
      </c>
      <c r="AA11" s="185">
        <v>1.0</v>
      </c>
      <c r="AB11" s="185">
        <v>1.0</v>
      </c>
      <c r="AC11" s="185">
        <v>1.0</v>
      </c>
      <c r="AD11" s="140"/>
      <c r="AE11" s="141"/>
      <c r="AF11" s="180"/>
      <c r="AG11" s="181">
        <v>1.0</v>
      </c>
      <c r="AH11" s="181">
        <v>1.0</v>
      </c>
      <c r="AI11" s="180"/>
      <c r="AJ11" s="142"/>
      <c r="AK11" s="142"/>
      <c r="AL11" s="135">
        <f t="shared" si="16"/>
        <v>7</v>
      </c>
      <c r="AM11" s="183">
        <f t="shared" si="17"/>
        <v>100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85">
        <v>1.0</v>
      </c>
      <c r="AY11" s="133"/>
      <c r="AZ11" s="133"/>
      <c r="BA11" s="133"/>
      <c r="BB11" s="133"/>
      <c r="BC11" s="133"/>
      <c r="BD11" s="133"/>
      <c r="BE11" s="133"/>
      <c r="BF11" s="133"/>
      <c r="BG11" s="133"/>
      <c r="BH11" s="185">
        <v>1.0</v>
      </c>
      <c r="BI11" s="135">
        <f t="shared" si="18"/>
        <v>2</v>
      </c>
      <c r="BJ11" s="186">
        <f t="shared" si="19"/>
        <v>33.33333333</v>
      </c>
      <c r="BK11" s="138"/>
      <c r="BL11" s="170">
        <v>1.0</v>
      </c>
      <c r="BM11" s="151">
        <v>1.0</v>
      </c>
      <c r="BN11" s="138"/>
      <c r="BO11" s="138"/>
      <c r="BP11" s="138"/>
      <c r="BQ11" s="151">
        <v>1.0</v>
      </c>
      <c r="BR11" s="150">
        <v>1.0</v>
      </c>
      <c r="BS11" s="187">
        <v>1.0</v>
      </c>
      <c r="BT11" s="187">
        <v>1.0</v>
      </c>
      <c r="BU11" s="187">
        <v>1.0</v>
      </c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20"/>
        <v>7</v>
      </c>
      <c r="CG11" s="190">
        <f t="shared" si="21"/>
        <v>77.77777778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2"/>
        <v>0</v>
      </c>
      <c r="CT11" s="194" t="str">
        <f t="shared" si="23"/>
        <v>#DIV/0!</v>
      </c>
      <c r="CU11" s="196"/>
      <c r="CV11" s="167">
        <f t="shared" si="24"/>
        <v>70.83333333</v>
      </c>
      <c r="CW11" s="169">
        <f t="shared" si="9"/>
        <v>17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10"/>
        <v>6</v>
      </c>
      <c r="E12" s="127">
        <f t="shared" si="11"/>
        <v>25</v>
      </c>
      <c r="F12" s="200">
        <f t="shared" si="12"/>
        <v>25</v>
      </c>
      <c r="G12" s="207">
        <f t="shared" si="13"/>
        <v>25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4"/>
        <v>0</v>
      </c>
      <c r="S12" s="137">
        <f t="shared" si="15"/>
        <v>0</v>
      </c>
      <c r="T12" s="138"/>
      <c r="U12" s="138"/>
      <c r="V12" s="138"/>
      <c r="W12" s="132"/>
      <c r="X12" s="132"/>
      <c r="Y12" s="138"/>
      <c r="Z12" s="138"/>
      <c r="AA12" s="133"/>
      <c r="AB12" s="185">
        <v>1.0</v>
      </c>
      <c r="AC12" s="185">
        <v>1.0</v>
      </c>
      <c r="AD12" s="140"/>
      <c r="AE12" s="141"/>
      <c r="AF12" s="180"/>
      <c r="AG12" s="181">
        <v>1.0</v>
      </c>
      <c r="AH12" s="180"/>
      <c r="AI12" s="180"/>
      <c r="AJ12" s="142"/>
      <c r="AK12" s="142"/>
      <c r="AL12" s="135">
        <f t="shared" si="16"/>
        <v>3</v>
      </c>
      <c r="AM12" s="183">
        <f t="shared" si="17"/>
        <v>42.85714286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8"/>
        <v>0</v>
      </c>
      <c r="BJ12" s="186">
        <f t="shared" si="19"/>
        <v>0</v>
      </c>
      <c r="BK12" s="138"/>
      <c r="BL12" s="132"/>
      <c r="BM12" s="151">
        <v>1.0</v>
      </c>
      <c r="BN12" s="138"/>
      <c r="BO12" s="138"/>
      <c r="BP12" s="138"/>
      <c r="BQ12" s="138"/>
      <c r="BR12" s="150">
        <v>1.0</v>
      </c>
      <c r="BS12" s="152"/>
      <c r="BT12" s="187">
        <v>1.0</v>
      </c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20"/>
        <v>3</v>
      </c>
      <c r="CG12" s="190">
        <f t="shared" si="21"/>
        <v>33.33333333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2"/>
        <v>0</v>
      </c>
      <c r="CT12" s="194" t="str">
        <f t="shared" si="23"/>
        <v>#DIV/0!</v>
      </c>
      <c r="CU12" s="196"/>
      <c r="CV12" s="167">
        <f t="shared" si="24"/>
        <v>25</v>
      </c>
      <c r="CW12" s="169">
        <f t="shared" si="9"/>
        <v>6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10"/>
        <v>15</v>
      </c>
      <c r="E13" s="127">
        <f t="shared" si="11"/>
        <v>62.5</v>
      </c>
      <c r="F13" s="200" t="str">
        <f t="shared" si="12"/>
        <v>  </v>
      </c>
      <c r="G13" s="177" t="str">
        <f t="shared" si="13"/>
        <v>  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4"/>
        <v>0</v>
      </c>
      <c r="S13" s="137">
        <f t="shared" si="15"/>
        <v>0</v>
      </c>
      <c r="T13" s="138"/>
      <c r="U13" s="138"/>
      <c r="V13" s="138"/>
      <c r="W13" s="132"/>
      <c r="X13" s="132"/>
      <c r="Y13" s="138"/>
      <c r="Z13" s="138"/>
      <c r="AA13" s="133"/>
      <c r="AB13" s="185">
        <v>1.0</v>
      </c>
      <c r="AC13" s="185">
        <v>1.0</v>
      </c>
      <c r="AD13" s="140"/>
      <c r="AE13" s="141"/>
      <c r="AF13" s="210"/>
      <c r="AG13" s="211">
        <v>1.0</v>
      </c>
      <c r="AH13" s="210"/>
      <c r="AI13" s="210"/>
      <c r="AJ13" s="212"/>
      <c r="AK13" s="212"/>
      <c r="AL13" s="135">
        <f t="shared" si="16"/>
        <v>3</v>
      </c>
      <c r="AM13" s="183">
        <f t="shared" si="17"/>
        <v>42.85714286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85">
        <v>1.0</v>
      </c>
      <c r="AY13" s="133"/>
      <c r="AZ13" s="185">
        <v>1.0</v>
      </c>
      <c r="BA13" s="185">
        <v>1.0</v>
      </c>
      <c r="BB13" s="133"/>
      <c r="BC13" s="133"/>
      <c r="BD13" s="133"/>
      <c r="BE13" s="133"/>
      <c r="BF13" s="185">
        <v>1.0</v>
      </c>
      <c r="BG13" s="133"/>
      <c r="BH13" s="185">
        <v>1.0</v>
      </c>
      <c r="BI13" s="135">
        <f t="shared" si="18"/>
        <v>5</v>
      </c>
      <c r="BJ13" s="186">
        <f t="shared" si="19"/>
        <v>83.33333333</v>
      </c>
      <c r="BK13" s="138"/>
      <c r="BL13" s="170">
        <v>1.0</v>
      </c>
      <c r="BM13" s="151">
        <v>1.0</v>
      </c>
      <c r="BN13" s="138"/>
      <c r="BO13" s="138"/>
      <c r="BP13" s="151">
        <v>1.0</v>
      </c>
      <c r="BQ13" s="138"/>
      <c r="BR13" s="150">
        <v>1.0</v>
      </c>
      <c r="BS13" s="187">
        <v>1.0</v>
      </c>
      <c r="BT13" s="187">
        <v>1.0</v>
      </c>
      <c r="BU13" s="187">
        <v>1.0</v>
      </c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20"/>
        <v>7</v>
      </c>
      <c r="CG13" s="190">
        <f t="shared" si="21"/>
        <v>77.77777778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2"/>
        <v>0</v>
      </c>
      <c r="CT13" s="194" t="str">
        <f t="shared" si="23"/>
        <v>#DIV/0!</v>
      </c>
      <c r="CU13" s="222"/>
      <c r="CV13" s="167">
        <f t="shared" si="24"/>
        <v>62.5</v>
      </c>
      <c r="CW13" s="169">
        <f t="shared" si="9"/>
        <v>15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10"/>
        <v>12</v>
      </c>
      <c r="E14" s="127">
        <f t="shared" si="11"/>
        <v>50</v>
      </c>
      <c r="F14" s="175" t="str">
        <f t="shared" si="12"/>
        <v>  </v>
      </c>
      <c r="G14" s="177" t="str">
        <f t="shared" si="13"/>
        <v>  </v>
      </c>
      <c r="H14" s="178"/>
      <c r="I14" s="223"/>
      <c r="J14" s="224"/>
      <c r="K14" s="224"/>
      <c r="L14" s="224"/>
      <c r="M14" s="232">
        <v>1.0</v>
      </c>
      <c r="N14" s="232">
        <v>1.0</v>
      </c>
      <c r="O14" s="224"/>
      <c r="P14" s="224"/>
      <c r="Q14" s="224"/>
      <c r="R14" s="135">
        <f t="shared" si="14"/>
        <v>2</v>
      </c>
      <c r="S14" s="137">
        <f t="shared" si="15"/>
        <v>100</v>
      </c>
      <c r="T14" s="138"/>
      <c r="U14" s="138"/>
      <c r="V14" s="138"/>
      <c r="W14" s="132"/>
      <c r="X14" s="132"/>
      <c r="Y14" s="138"/>
      <c r="Z14" s="138"/>
      <c r="AA14" s="133"/>
      <c r="AB14" s="185">
        <v>1.0</v>
      </c>
      <c r="AC14" s="133"/>
      <c r="AD14" s="140"/>
      <c r="AE14" s="141"/>
      <c r="AF14" s="226"/>
      <c r="AG14" s="238">
        <v>1.0</v>
      </c>
      <c r="AH14" s="226"/>
      <c r="AI14" s="226"/>
      <c r="AJ14" s="218"/>
      <c r="AK14" s="218"/>
      <c r="AL14" s="135">
        <f t="shared" si="16"/>
        <v>2</v>
      </c>
      <c r="AM14" s="183">
        <f t="shared" si="17"/>
        <v>28.57142857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85">
        <v>1.0</v>
      </c>
      <c r="AY14" s="133"/>
      <c r="AZ14" s="133"/>
      <c r="BA14" s="133"/>
      <c r="BB14" s="133"/>
      <c r="BC14" s="133"/>
      <c r="BD14" s="133"/>
      <c r="BE14" s="133"/>
      <c r="BF14" s="185">
        <v>1.0</v>
      </c>
      <c r="BG14" s="133"/>
      <c r="BH14" s="133"/>
      <c r="BI14" s="135">
        <f t="shared" si="18"/>
        <v>2</v>
      </c>
      <c r="BJ14" s="186">
        <f t="shared" si="19"/>
        <v>33.33333333</v>
      </c>
      <c r="BK14" s="138"/>
      <c r="BL14" s="170">
        <v>1.0</v>
      </c>
      <c r="BM14" s="151">
        <v>1.0</v>
      </c>
      <c r="BN14" s="138"/>
      <c r="BO14" s="138"/>
      <c r="BP14" s="151">
        <v>1.0</v>
      </c>
      <c r="BQ14" s="151">
        <v>1.0</v>
      </c>
      <c r="BR14" s="150">
        <v>1.0</v>
      </c>
      <c r="BS14" s="187">
        <v>1.0</v>
      </c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20"/>
        <v>6</v>
      </c>
      <c r="CG14" s="190">
        <f t="shared" si="21"/>
        <v>66.66666667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2"/>
        <v>0</v>
      </c>
      <c r="CT14" s="194" t="str">
        <f t="shared" si="23"/>
        <v>#DIV/0!</v>
      </c>
      <c r="CU14" s="196"/>
      <c r="CV14" s="167">
        <f t="shared" si="24"/>
        <v>50</v>
      </c>
      <c r="CW14" s="169">
        <f t="shared" si="9"/>
        <v>12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10"/>
        <v>0</v>
      </c>
      <c r="E15" s="127">
        <f t="shared" si="11"/>
        <v>0</v>
      </c>
      <c r="F15" s="200">
        <f t="shared" si="12"/>
        <v>0</v>
      </c>
      <c r="G15" s="207">
        <f t="shared" si="13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4"/>
        <v>0</v>
      </c>
      <c r="S15" s="137">
        <f t="shared" si="15"/>
        <v>0</v>
      </c>
      <c r="T15" s="138"/>
      <c r="U15" s="138"/>
      <c r="V15" s="138"/>
      <c r="W15" s="132"/>
      <c r="X15" s="132"/>
      <c r="Y15" s="138"/>
      <c r="Z15" s="138"/>
      <c r="AA15" s="133"/>
      <c r="AB15" s="133"/>
      <c r="AC15" s="133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6"/>
        <v>0</v>
      </c>
      <c r="AM15" s="183">
        <f t="shared" si="17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8"/>
        <v>0</v>
      </c>
      <c r="BJ15" s="186">
        <f t="shared" si="19"/>
        <v>0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20"/>
        <v>0</v>
      </c>
      <c r="CG15" s="190">
        <f t="shared" si="21"/>
        <v>0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2"/>
        <v>0</v>
      </c>
      <c r="CT15" s="194" t="str">
        <f t="shared" si="23"/>
        <v>#DIV/0!</v>
      </c>
      <c r="CU15" s="196"/>
      <c r="CV15" s="167">
        <f t="shared" si="24"/>
        <v>0</v>
      </c>
      <c r="CW15" s="169">
        <f t="shared" si="9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10"/>
        <v>11</v>
      </c>
      <c r="E16" s="127">
        <f t="shared" si="11"/>
        <v>45.83333333</v>
      </c>
      <c r="F16" s="200">
        <f t="shared" si="12"/>
        <v>45.83333333</v>
      </c>
      <c r="G16" s="177" t="str">
        <f t="shared" si="13"/>
        <v>  </v>
      </c>
      <c r="H16" s="132"/>
      <c r="I16" s="178"/>
      <c r="J16" s="179"/>
      <c r="K16" s="179"/>
      <c r="L16" s="179"/>
      <c r="M16" s="191">
        <v>1.0</v>
      </c>
      <c r="N16" s="179"/>
      <c r="O16" s="179"/>
      <c r="P16" s="179"/>
      <c r="Q16" s="179"/>
      <c r="R16" s="135">
        <f t="shared" si="14"/>
        <v>1</v>
      </c>
      <c r="S16" s="137">
        <f t="shared" si="15"/>
        <v>50</v>
      </c>
      <c r="T16" s="138"/>
      <c r="U16" s="138"/>
      <c r="V16" s="138"/>
      <c r="W16" s="132"/>
      <c r="X16" s="132"/>
      <c r="Y16" s="138"/>
      <c r="Z16" s="138"/>
      <c r="AA16" s="133"/>
      <c r="AB16" s="133"/>
      <c r="AC16" s="133"/>
      <c r="AD16" s="140"/>
      <c r="AE16" s="141"/>
      <c r="AF16" s="234"/>
      <c r="AG16" s="236">
        <v>1.0</v>
      </c>
      <c r="AH16" s="234"/>
      <c r="AI16" s="234"/>
      <c r="AJ16" s="239"/>
      <c r="AK16" s="239"/>
      <c r="AL16" s="135">
        <f t="shared" si="16"/>
        <v>1</v>
      </c>
      <c r="AM16" s="183">
        <f t="shared" si="17"/>
        <v>14.28571429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85">
        <v>1.0</v>
      </c>
      <c r="BC16" s="133"/>
      <c r="BD16" s="133"/>
      <c r="BE16" s="133"/>
      <c r="BF16" s="185">
        <v>1.0</v>
      </c>
      <c r="BG16" s="133"/>
      <c r="BH16" s="185">
        <v>1.0</v>
      </c>
      <c r="BI16" s="135">
        <f t="shared" si="18"/>
        <v>3</v>
      </c>
      <c r="BJ16" s="186">
        <f t="shared" si="19"/>
        <v>50</v>
      </c>
      <c r="BK16" s="138"/>
      <c r="BL16" s="132"/>
      <c r="BM16" s="151">
        <v>1.0</v>
      </c>
      <c r="BN16" s="138"/>
      <c r="BO16" s="138"/>
      <c r="BP16" s="151">
        <v>1.0</v>
      </c>
      <c r="BQ16" s="151">
        <v>1.0</v>
      </c>
      <c r="BR16" s="150">
        <v>1.0</v>
      </c>
      <c r="BS16" s="152"/>
      <c r="BT16" s="187">
        <v>1.0</v>
      </c>
      <c r="BU16" s="187">
        <v>1.0</v>
      </c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20"/>
        <v>6</v>
      </c>
      <c r="CG16" s="190">
        <f t="shared" si="21"/>
        <v>66.66666667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2"/>
        <v>0</v>
      </c>
      <c r="CT16" s="194" t="str">
        <f t="shared" si="23"/>
        <v>#DIV/0!</v>
      </c>
      <c r="CU16" s="196"/>
      <c r="CV16" s="167">
        <f t="shared" si="24"/>
        <v>45.83333333</v>
      </c>
      <c r="CW16" s="169">
        <f t="shared" si="9"/>
        <v>11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10"/>
        <v>10</v>
      </c>
      <c r="E17" s="127">
        <f t="shared" si="11"/>
        <v>41.66666667</v>
      </c>
      <c r="F17" s="200">
        <f t="shared" si="12"/>
        <v>41.66666667</v>
      </c>
      <c r="G17" s="177" t="str">
        <f t="shared" si="13"/>
        <v>  </v>
      </c>
      <c r="H17" s="132"/>
      <c r="I17" s="178"/>
      <c r="J17" s="179"/>
      <c r="K17" s="179"/>
      <c r="L17" s="179"/>
      <c r="M17" s="191">
        <v>1.0</v>
      </c>
      <c r="N17" s="179"/>
      <c r="O17" s="179"/>
      <c r="P17" s="179"/>
      <c r="Q17" s="179"/>
      <c r="R17" s="135">
        <f t="shared" si="14"/>
        <v>1</v>
      </c>
      <c r="S17" s="137">
        <f t="shared" si="15"/>
        <v>50</v>
      </c>
      <c r="T17" s="138"/>
      <c r="U17" s="138"/>
      <c r="V17" s="138"/>
      <c r="W17" s="132"/>
      <c r="X17" s="132"/>
      <c r="Y17" s="138"/>
      <c r="Z17" s="138"/>
      <c r="AA17" s="133"/>
      <c r="AB17" s="185">
        <v>1.0</v>
      </c>
      <c r="AC17" s="133"/>
      <c r="AD17" s="140"/>
      <c r="AE17" s="141"/>
      <c r="AF17" s="226"/>
      <c r="AG17" s="238">
        <v>1.0</v>
      </c>
      <c r="AH17" s="226"/>
      <c r="AI17" s="226"/>
      <c r="AJ17" s="218"/>
      <c r="AK17" s="218"/>
      <c r="AL17" s="135">
        <f t="shared" si="16"/>
        <v>2</v>
      </c>
      <c r="AM17" s="183">
        <f t="shared" si="17"/>
        <v>28.57142857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85">
        <v>1.0</v>
      </c>
      <c r="BG17" s="133"/>
      <c r="BH17" s="133"/>
      <c r="BI17" s="135">
        <f t="shared" si="18"/>
        <v>1</v>
      </c>
      <c r="BJ17" s="186">
        <f t="shared" si="19"/>
        <v>16.66666667</v>
      </c>
      <c r="BK17" s="138"/>
      <c r="BL17" s="170">
        <v>1.0</v>
      </c>
      <c r="BM17" s="151">
        <v>1.0</v>
      </c>
      <c r="BN17" s="138"/>
      <c r="BO17" s="138"/>
      <c r="BP17" s="151">
        <v>1.0</v>
      </c>
      <c r="BQ17" s="151">
        <v>1.0</v>
      </c>
      <c r="BR17" s="150">
        <v>1.0</v>
      </c>
      <c r="BS17" s="187">
        <v>1.0</v>
      </c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20"/>
        <v>6</v>
      </c>
      <c r="CG17" s="190">
        <f t="shared" si="21"/>
        <v>66.66666667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2"/>
        <v>0</v>
      </c>
      <c r="CT17" s="194" t="str">
        <f t="shared" si="23"/>
        <v>#DIV/0!</v>
      </c>
      <c r="CU17" s="196"/>
      <c r="CV17" s="167">
        <f t="shared" si="24"/>
        <v>41.66666667</v>
      </c>
      <c r="CW17" s="169">
        <f t="shared" si="9"/>
        <v>10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10"/>
        <v>9</v>
      </c>
      <c r="E18" s="127">
        <f t="shared" si="11"/>
        <v>37.5</v>
      </c>
      <c r="F18" s="200">
        <f t="shared" si="12"/>
        <v>37.5</v>
      </c>
      <c r="G18" s="177" t="str">
        <f t="shared" si="13"/>
        <v>  </v>
      </c>
      <c r="H18" s="132"/>
      <c r="I18" s="132"/>
      <c r="J18" s="201"/>
      <c r="K18" s="201"/>
      <c r="L18" s="201"/>
      <c r="M18" s="245">
        <v>1.0</v>
      </c>
      <c r="N18" s="201"/>
      <c r="O18" s="201"/>
      <c r="P18" s="201"/>
      <c r="Q18" s="201"/>
      <c r="R18" s="135">
        <f t="shared" si="14"/>
        <v>1</v>
      </c>
      <c r="S18" s="137">
        <f t="shared" si="15"/>
        <v>50</v>
      </c>
      <c r="T18" s="138"/>
      <c r="U18" s="138"/>
      <c r="V18" s="138"/>
      <c r="W18" s="132"/>
      <c r="X18" s="132"/>
      <c r="Y18" s="138"/>
      <c r="Z18" s="138"/>
      <c r="AA18" s="133"/>
      <c r="AB18" s="133"/>
      <c r="AC18" s="133"/>
      <c r="AD18" s="140"/>
      <c r="AE18" s="141"/>
      <c r="AF18" s="210"/>
      <c r="AG18" s="211">
        <v>1.0</v>
      </c>
      <c r="AH18" s="211">
        <v>1.0</v>
      </c>
      <c r="AI18" s="210"/>
      <c r="AJ18" s="212"/>
      <c r="AK18" s="212"/>
      <c r="AL18" s="135">
        <f t="shared" si="16"/>
        <v>2</v>
      </c>
      <c r="AM18" s="183">
        <f t="shared" si="17"/>
        <v>28.57142857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85">
        <v>1.0</v>
      </c>
      <c r="AY18" s="133"/>
      <c r="AZ18" s="133"/>
      <c r="BA18" s="133"/>
      <c r="BB18" s="133"/>
      <c r="BC18" s="133"/>
      <c r="BD18" s="133"/>
      <c r="BE18" s="133"/>
      <c r="BF18" s="185">
        <v>1.0</v>
      </c>
      <c r="BG18" s="133"/>
      <c r="BH18" s="185">
        <v>1.0</v>
      </c>
      <c r="BI18" s="135">
        <f t="shared" si="18"/>
        <v>3</v>
      </c>
      <c r="BJ18" s="186">
        <f t="shared" si="19"/>
        <v>50</v>
      </c>
      <c r="BK18" s="138"/>
      <c r="BL18" s="132"/>
      <c r="BM18" s="151">
        <v>1.0</v>
      </c>
      <c r="BN18" s="138"/>
      <c r="BO18" s="138"/>
      <c r="BP18" s="138"/>
      <c r="BQ18" s="151">
        <v>1.0</v>
      </c>
      <c r="BR18" s="150">
        <v>1.0</v>
      </c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20"/>
        <v>3</v>
      </c>
      <c r="CG18" s="190">
        <f t="shared" si="21"/>
        <v>33.33333333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2"/>
        <v>0</v>
      </c>
      <c r="CT18" s="194" t="str">
        <f t="shared" si="23"/>
        <v>#DIV/0!</v>
      </c>
      <c r="CU18" s="196"/>
      <c r="CV18" s="167">
        <f t="shared" si="24"/>
        <v>37.5</v>
      </c>
      <c r="CW18" s="169">
        <f t="shared" si="9"/>
        <v>9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10"/>
        <v>9</v>
      </c>
      <c r="E19" s="127">
        <f t="shared" si="11"/>
        <v>37.5</v>
      </c>
      <c r="F19" s="200">
        <f t="shared" si="12"/>
        <v>37.5</v>
      </c>
      <c r="G19" s="177" t="str">
        <f t="shared" si="13"/>
        <v>  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4"/>
        <v>0</v>
      </c>
      <c r="S19" s="137">
        <f t="shared" si="15"/>
        <v>0</v>
      </c>
      <c r="T19" s="138"/>
      <c r="U19" s="138"/>
      <c r="V19" s="138"/>
      <c r="W19" s="132"/>
      <c r="X19" s="132"/>
      <c r="Y19" s="138"/>
      <c r="Z19" s="138"/>
      <c r="AA19" s="133"/>
      <c r="AB19" s="185"/>
      <c r="AC19" s="185">
        <v>1.0</v>
      </c>
      <c r="AD19" s="140"/>
      <c r="AE19" s="141"/>
      <c r="AF19" s="226"/>
      <c r="AG19" s="238">
        <v>1.0</v>
      </c>
      <c r="AH19" s="226"/>
      <c r="AI19" s="226"/>
      <c r="AJ19" s="218"/>
      <c r="AK19" s="218"/>
      <c r="AL19" s="135">
        <f t="shared" si="16"/>
        <v>2</v>
      </c>
      <c r="AM19" s="183">
        <f t="shared" si="17"/>
        <v>28.57142857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85">
        <v>1.0</v>
      </c>
      <c r="BA19" s="185">
        <v>1.0</v>
      </c>
      <c r="BB19" s="185">
        <v>1.0</v>
      </c>
      <c r="BC19" s="133"/>
      <c r="BD19" s="133"/>
      <c r="BE19" s="133"/>
      <c r="BF19" s="185">
        <v>1.0</v>
      </c>
      <c r="BG19" s="133"/>
      <c r="BH19" s="185">
        <v>1.0</v>
      </c>
      <c r="BI19" s="135">
        <f t="shared" si="18"/>
        <v>5</v>
      </c>
      <c r="BJ19" s="186">
        <f t="shared" si="19"/>
        <v>83.33333333</v>
      </c>
      <c r="BK19" s="138"/>
      <c r="BL19" s="132"/>
      <c r="BM19" s="138"/>
      <c r="BN19" s="138"/>
      <c r="BO19" s="138"/>
      <c r="BP19" s="138"/>
      <c r="BQ19" s="138"/>
      <c r="BR19" s="140"/>
      <c r="BS19" s="187">
        <v>1.0</v>
      </c>
      <c r="BT19" s="152"/>
      <c r="BU19" s="187">
        <v>1.0</v>
      </c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20"/>
        <v>2</v>
      </c>
      <c r="CG19" s="190">
        <f t="shared" si="21"/>
        <v>22.22222222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2"/>
        <v>0</v>
      </c>
      <c r="CT19" s="194" t="str">
        <f t="shared" si="23"/>
        <v>#DIV/0!</v>
      </c>
      <c r="CU19" s="196"/>
      <c r="CV19" s="167">
        <f t="shared" si="24"/>
        <v>37.5</v>
      </c>
      <c r="CW19" s="169">
        <f t="shared" si="9"/>
        <v>9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10"/>
        <v>7</v>
      </c>
      <c r="E20" s="127">
        <f t="shared" si="11"/>
        <v>29.16666667</v>
      </c>
      <c r="F20" s="200">
        <f t="shared" si="12"/>
        <v>29.16666667</v>
      </c>
      <c r="G20" s="207">
        <f t="shared" si="13"/>
        <v>29.16666667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135">
        <f t="shared" si="14"/>
        <v>0</v>
      </c>
      <c r="S20" s="137">
        <f t="shared" si="15"/>
        <v>0</v>
      </c>
      <c r="T20" s="138"/>
      <c r="U20" s="138"/>
      <c r="V20" s="138"/>
      <c r="W20" s="132"/>
      <c r="X20" s="132"/>
      <c r="Y20" s="138"/>
      <c r="Z20" s="138"/>
      <c r="AA20" s="133"/>
      <c r="AB20" s="185">
        <v>1.0</v>
      </c>
      <c r="AC20" s="185">
        <v>1.0</v>
      </c>
      <c r="AD20" s="140"/>
      <c r="AE20" s="141"/>
      <c r="AF20" s="210"/>
      <c r="AG20" s="211">
        <v>1.0</v>
      </c>
      <c r="AH20" s="210"/>
      <c r="AI20" s="210"/>
      <c r="AJ20" s="212"/>
      <c r="AK20" s="212"/>
      <c r="AL20" s="135">
        <f t="shared" si="16"/>
        <v>3</v>
      </c>
      <c r="AM20" s="183">
        <f t="shared" si="17"/>
        <v>42.85714286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85">
        <v>1.0</v>
      </c>
      <c r="BI20" s="135">
        <f t="shared" si="18"/>
        <v>1</v>
      </c>
      <c r="BJ20" s="186">
        <f t="shared" si="19"/>
        <v>16.66666667</v>
      </c>
      <c r="BK20" s="138"/>
      <c r="BL20" s="132"/>
      <c r="BM20" s="151">
        <v>1.0</v>
      </c>
      <c r="BN20" s="138"/>
      <c r="BO20" s="138"/>
      <c r="BP20" s="151">
        <v>1.0</v>
      </c>
      <c r="BQ20" s="138"/>
      <c r="BR20" s="150">
        <v>1.0</v>
      </c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20"/>
        <v>3</v>
      </c>
      <c r="CG20" s="190">
        <f t="shared" si="21"/>
        <v>33.33333333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2"/>
        <v>0</v>
      </c>
      <c r="CT20" s="194" t="str">
        <f t="shared" si="23"/>
        <v>#DIV/0!</v>
      </c>
      <c r="CU20" s="196"/>
      <c r="CV20" s="167">
        <f t="shared" si="24"/>
        <v>29.16666667</v>
      </c>
      <c r="CW20" s="169">
        <f t="shared" si="9"/>
        <v>7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10"/>
        <v>7</v>
      </c>
      <c r="E21" s="127">
        <f t="shared" si="11"/>
        <v>29.16666667</v>
      </c>
      <c r="F21" s="200">
        <f t="shared" si="12"/>
        <v>29.16666667</v>
      </c>
      <c r="G21" s="207">
        <f t="shared" si="13"/>
        <v>29.16666667</v>
      </c>
      <c r="H21" s="178"/>
      <c r="I21" s="132"/>
      <c r="J21" s="201"/>
      <c r="K21" s="201"/>
      <c r="L21" s="201"/>
      <c r="M21" s="201"/>
      <c r="N21" s="201"/>
      <c r="O21" s="201"/>
      <c r="P21" s="201"/>
      <c r="Q21" s="201"/>
      <c r="R21" s="135">
        <f t="shared" si="14"/>
        <v>0</v>
      </c>
      <c r="S21" s="137">
        <f t="shared" si="15"/>
        <v>0</v>
      </c>
      <c r="T21" s="138"/>
      <c r="U21" s="138"/>
      <c r="V21" s="138"/>
      <c r="W21" s="132"/>
      <c r="X21" s="132"/>
      <c r="Y21" s="138"/>
      <c r="Z21" s="138"/>
      <c r="AA21" s="133"/>
      <c r="AB21" s="185">
        <v>1.0</v>
      </c>
      <c r="AC21" s="133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6"/>
        <v>1</v>
      </c>
      <c r="AM21" s="183">
        <f t="shared" si="17"/>
        <v>14.28571429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85">
        <v>1.0</v>
      </c>
      <c r="AY21" s="133"/>
      <c r="AZ21" s="133"/>
      <c r="BA21" s="133"/>
      <c r="BB21" s="133"/>
      <c r="BC21" s="133"/>
      <c r="BD21" s="133"/>
      <c r="BE21" s="133"/>
      <c r="BF21" s="185">
        <v>1.0</v>
      </c>
      <c r="BG21" s="133"/>
      <c r="BH21" s="185">
        <v>1.0</v>
      </c>
      <c r="BI21" s="135">
        <f t="shared" si="18"/>
        <v>3</v>
      </c>
      <c r="BJ21" s="186">
        <f t="shared" si="19"/>
        <v>50</v>
      </c>
      <c r="BK21" s="138"/>
      <c r="BL21" s="132"/>
      <c r="BM21" s="151">
        <v>1.0</v>
      </c>
      <c r="BN21" s="138"/>
      <c r="BO21" s="138"/>
      <c r="BP21" s="138"/>
      <c r="BQ21" s="151">
        <v>1.0</v>
      </c>
      <c r="BR21" s="150">
        <v>1.0</v>
      </c>
      <c r="BS21" s="152"/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20"/>
        <v>3</v>
      </c>
      <c r="CG21" s="190">
        <f t="shared" si="21"/>
        <v>33.33333333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2"/>
        <v>0</v>
      </c>
      <c r="CT21" s="194" t="str">
        <f t="shared" si="23"/>
        <v>#DIV/0!</v>
      </c>
      <c r="CU21" s="196"/>
      <c r="CV21" s="167">
        <f t="shared" si="24"/>
        <v>29.16666667</v>
      </c>
      <c r="CW21" s="169">
        <f t="shared" si="9"/>
        <v>7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10"/>
        <v>8</v>
      </c>
      <c r="E22" s="127">
        <f t="shared" si="11"/>
        <v>33.33333333</v>
      </c>
      <c r="F22" s="200">
        <f t="shared" si="12"/>
        <v>33.33333333</v>
      </c>
      <c r="G22" s="177" t="str">
        <f t="shared" si="13"/>
        <v>  </v>
      </c>
      <c r="H22" s="132"/>
      <c r="I22" s="178"/>
      <c r="J22" s="179"/>
      <c r="K22" s="179"/>
      <c r="L22" s="179"/>
      <c r="M22" s="179"/>
      <c r="N22" s="179"/>
      <c r="O22" s="179"/>
      <c r="P22" s="179"/>
      <c r="Q22" s="179"/>
      <c r="R22" s="135">
        <f t="shared" si="14"/>
        <v>0</v>
      </c>
      <c r="S22" s="137">
        <f t="shared" si="15"/>
        <v>0</v>
      </c>
      <c r="T22" s="138"/>
      <c r="U22" s="138"/>
      <c r="V22" s="138"/>
      <c r="W22" s="132"/>
      <c r="X22" s="132"/>
      <c r="Y22" s="138"/>
      <c r="Z22" s="151">
        <v>1.0</v>
      </c>
      <c r="AA22" s="133"/>
      <c r="AB22" s="185">
        <v>1.0</v>
      </c>
      <c r="AC22" s="133"/>
      <c r="AD22" s="140"/>
      <c r="AE22" s="141"/>
      <c r="AF22" s="210"/>
      <c r="AG22" s="211">
        <v>1.0</v>
      </c>
      <c r="AH22" s="210"/>
      <c r="AI22" s="210"/>
      <c r="AJ22" s="212"/>
      <c r="AK22" s="212"/>
      <c r="AL22" s="135">
        <f t="shared" si="16"/>
        <v>3</v>
      </c>
      <c r="AM22" s="183">
        <f t="shared" si="17"/>
        <v>42.85714286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85">
        <v>1.0</v>
      </c>
      <c r="BG22" s="133"/>
      <c r="BH22" s="133"/>
      <c r="BI22" s="135">
        <f t="shared" si="18"/>
        <v>1</v>
      </c>
      <c r="BJ22" s="186">
        <f t="shared" si="19"/>
        <v>16.66666667</v>
      </c>
      <c r="BK22" s="138"/>
      <c r="BL22" s="170">
        <v>1.0</v>
      </c>
      <c r="BM22" s="138"/>
      <c r="BN22" s="138"/>
      <c r="BO22" s="138"/>
      <c r="BP22" s="151">
        <v>1.0</v>
      </c>
      <c r="BQ22" s="151">
        <v>1.0</v>
      </c>
      <c r="BR22" s="150">
        <v>1.0</v>
      </c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20"/>
        <v>4</v>
      </c>
      <c r="CG22" s="190">
        <f t="shared" si="21"/>
        <v>44.44444444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2"/>
        <v>0</v>
      </c>
      <c r="CT22" s="194" t="str">
        <f t="shared" si="23"/>
        <v>#DIV/0!</v>
      </c>
      <c r="CU22" s="196"/>
      <c r="CV22" s="167">
        <f t="shared" si="24"/>
        <v>33.33333333</v>
      </c>
      <c r="CW22" s="169">
        <f t="shared" si="9"/>
        <v>8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10"/>
        <v>3</v>
      </c>
      <c r="E23" s="127">
        <f t="shared" si="11"/>
        <v>12.5</v>
      </c>
      <c r="F23" s="200">
        <f t="shared" si="12"/>
        <v>12.5</v>
      </c>
      <c r="G23" s="207">
        <f t="shared" si="13"/>
        <v>12.5</v>
      </c>
      <c r="H23" s="132"/>
      <c r="I23" s="132"/>
      <c r="J23" s="201"/>
      <c r="K23" s="201"/>
      <c r="L23" s="201"/>
      <c r="M23" s="201"/>
      <c r="N23" s="201"/>
      <c r="O23" s="201"/>
      <c r="P23" s="201"/>
      <c r="Q23" s="201"/>
      <c r="R23" s="135">
        <f t="shared" si="14"/>
        <v>0</v>
      </c>
      <c r="S23" s="137">
        <f t="shared" si="15"/>
        <v>0</v>
      </c>
      <c r="T23" s="138"/>
      <c r="U23" s="138"/>
      <c r="V23" s="138"/>
      <c r="W23" s="132"/>
      <c r="X23" s="132"/>
      <c r="Y23" s="138"/>
      <c r="Z23" s="138"/>
      <c r="AA23" s="133"/>
      <c r="AB23" s="133"/>
      <c r="AC23" s="133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6"/>
        <v>0</v>
      </c>
      <c r="AM23" s="183">
        <f t="shared" si="17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8"/>
        <v>0</v>
      </c>
      <c r="BJ23" s="186">
        <f t="shared" si="19"/>
        <v>0</v>
      </c>
      <c r="BK23" s="138"/>
      <c r="BL23" s="132"/>
      <c r="BM23" s="138"/>
      <c r="BN23" s="138"/>
      <c r="BO23" s="138"/>
      <c r="BP23" s="151">
        <v>1.0</v>
      </c>
      <c r="BQ23" s="151">
        <v>1.0</v>
      </c>
      <c r="BR23" s="150">
        <v>1.0</v>
      </c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20"/>
        <v>3</v>
      </c>
      <c r="CG23" s="190">
        <f t="shared" si="21"/>
        <v>33.33333333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2"/>
        <v>0</v>
      </c>
      <c r="CT23" s="194" t="str">
        <f t="shared" si="23"/>
        <v>#DIV/0!</v>
      </c>
      <c r="CU23" s="196"/>
      <c r="CV23" s="167">
        <f t="shared" si="24"/>
        <v>12.5</v>
      </c>
      <c r="CW23" s="169">
        <f t="shared" si="9"/>
        <v>3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10"/>
        <v>7</v>
      </c>
      <c r="E24" s="127">
        <f t="shared" si="11"/>
        <v>29.16666667</v>
      </c>
      <c r="F24" s="200">
        <f t="shared" si="12"/>
        <v>29.16666667</v>
      </c>
      <c r="G24" s="207">
        <f t="shared" si="13"/>
        <v>29.16666667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4"/>
        <v>0</v>
      </c>
      <c r="S24" s="137">
        <f t="shared" si="15"/>
        <v>0</v>
      </c>
      <c r="T24" s="138"/>
      <c r="U24" s="138"/>
      <c r="V24" s="138"/>
      <c r="W24" s="132"/>
      <c r="X24" s="170">
        <v>1.0</v>
      </c>
      <c r="Y24" s="138"/>
      <c r="Z24" s="151">
        <v>1.0</v>
      </c>
      <c r="AA24" s="133"/>
      <c r="AB24" s="185">
        <v>1.0</v>
      </c>
      <c r="AC24" s="185">
        <v>1.0</v>
      </c>
      <c r="AD24" s="140"/>
      <c r="AE24" s="141"/>
      <c r="AF24" s="210"/>
      <c r="AG24" s="211">
        <v>1.0</v>
      </c>
      <c r="AH24" s="210"/>
      <c r="AI24" s="210"/>
      <c r="AJ24" s="212"/>
      <c r="AK24" s="212"/>
      <c r="AL24" s="135">
        <f t="shared" si="16"/>
        <v>5</v>
      </c>
      <c r="AM24" s="183">
        <f t="shared" si="17"/>
        <v>71.42857143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8"/>
        <v>0</v>
      </c>
      <c r="BJ24" s="186">
        <f t="shared" si="19"/>
        <v>0</v>
      </c>
      <c r="BK24" s="138"/>
      <c r="BL24" s="132"/>
      <c r="BM24" s="138"/>
      <c r="BN24" s="138"/>
      <c r="BO24" s="138"/>
      <c r="BP24" s="138"/>
      <c r="BQ24" s="138"/>
      <c r="BR24" s="150">
        <v>1.0</v>
      </c>
      <c r="BS24" s="152"/>
      <c r="BT24" s="187">
        <v>1.0</v>
      </c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20"/>
        <v>2</v>
      </c>
      <c r="CG24" s="190">
        <f t="shared" si="21"/>
        <v>22.22222222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2"/>
        <v>0</v>
      </c>
      <c r="CT24" s="194" t="str">
        <f t="shared" si="23"/>
        <v>#DIV/0!</v>
      </c>
      <c r="CU24" s="196"/>
      <c r="CV24" s="167">
        <f t="shared" si="24"/>
        <v>29.16666667</v>
      </c>
      <c r="CW24" s="169">
        <f t="shared" si="9"/>
        <v>7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10"/>
        <v>7</v>
      </c>
      <c r="E25" s="127">
        <f t="shared" si="11"/>
        <v>29.16666667</v>
      </c>
      <c r="F25" s="200">
        <f t="shared" si="12"/>
        <v>29.16666667</v>
      </c>
      <c r="G25" s="207">
        <f t="shared" si="13"/>
        <v>29.16666667</v>
      </c>
      <c r="H25" s="132"/>
      <c r="I25" s="178"/>
      <c r="J25" s="179"/>
      <c r="K25" s="179"/>
      <c r="L25" s="179"/>
      <c r="M25" s="179"/>
      <c r="N25" s="179"/>
      <c r="O25" s="179"/>
      <c r="P25" s="179"/>
      <c r="Q25" s="179"/>
      <c r="R25" s="135">
        <f t="shared" si="14"/>
        <v>0</v>
      </c>
      <c r="S25" s="137">
        <f t="shared" si="15"/>
        <v>0</v>
      </c>
      <c r="T25" s="138"/>
      <c r="U25" s="138"/>
      <c r="V25" s="138"/>
      <c r="W25" s="132"/>
      <c r="X25" s="170">
        <v>1.0</v>
      </c>
      <c r="Y25" s="138"/>
      <c r="Z25" s="151">
        <v>1.0</v>
      </c>
      <c r="AA25" s="133"/>
      <c r="AB25" s="185">
        <v>1.0</v>
      </c>
      <c r="AC25" s="133"/>
      <c r="AD25" s="140"/>
      <c r="AE25" s="141"/>
      <c r="AF25" s="248"/>
      <c r="AG25" s="248"/>
      <c r="AH25" s="248"/>
      <c r="AI25" s="248"/>
      <c r="AJ25" s="249"/>
      <c r="AK25" s="249"/>
      <c r="AL25" s="135">
        <f t="shared" si="16"/>
        <v>3</v>
      </c>
      <c r="AM25" s="183">
        <f t="shared" si="17"/>
        <v>42.85714286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85">
        <v>1.0</v>
      </c>
      <c r="BI25" s="135">
        <f t="shared" si="18"/>
        <v>1</v>
      </c>
      <c r="BJ25" s="186">
        <f t="shared" si="19"/>
        <v>16.66666667</v>
      </c>
      <c r="BK25" s="151">
        <v>1.0</v>
      </c>
      <c r="BL25" s="132"/>
      <c r="BM25" s="138"/>
      <c r="BN25" s="138"/>
      <c r="BO25" s="138"/>
      <c r="BP25" s="138"/>
      <c r="BQ25" s="138"/>
      <c r="BR25" s="140"/>
      <c r="BS25" s="152"/>
      <c r="BT25" s="187">
        <v>1.0</v>
      </c>
      <c r="BU25" s="187">
        <v>1.0</v>
      </c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20"/>
        <v>3</v>
      </c>
      <c r="CG25" s="190">
        <f t="shared" si="21"/>
        <v>33.33333333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2"/>
        <v>0</v>
      </c>
      <c r="CT25" s="194" t="str">
        <f t="shared" si="23"/>
        <v>#DIV/0!</v>
      </c>
      <c r="CU25" s="196"/>
      <c r="CV25" s="167">
        <f t="shared" si="24"/>
        <v>29.16666667</v>
      </c>
      <c r="CW25" s="169">
        <f t="shared" si="9"/>
        <v>7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10"/>
        <v>4</v>
      </c>
      <c r="E26" s="127">
        <f t="shared" si="11"/>
        <v>16.66666667</v>
      </c>
      <c r="F26" s="200">
        <f t="shared" si="12"/>
        <v>16.66666667</v>
      </c>
      <c r="G26" s="207">
        <f t="shared" si="13"/>
        <v>16.66666667</v>
      </c>
      <c r="H26" s="132"/>
      <c r="I26" s="132"/>
      <c r="J26" s="201"/>
      <c r="K26" s="201"/>
      <c r="L26" s="201"/>
      <c r="M26" s="201"/>
      <c r="N26" s="201"/>
      <c r="O26" s="201"/>
      <c r="P26" s="201"/>
      <c r="Q26" s="201"/>
      <c r="R26" s="135">
        <f t="shared" si="14"/>
        <v>0</v>
      </c>
      <c r="S26" s="137">
        <f t="shared" si="15"/>
        <v>0</v>
      </c>
      <c r="T26" s="138"/>
      <c r="U26" s="138"/>
      <c r="V26" s="138"/>
      <c r="W26" s="132"/>
      <c r="X26" s="132"/>
      <c r="Y26" s="138"/>
      <c r="Z26" s="151">
        <v>1.0</v>
      </c>
      <c r="AA26" s="185">
        <v>1.0</v>
      </c>
      <c r="AB26" s="185">
        <v>1.0</v>
      </c>
      <c r="AC26" s="133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6"/>
        <v>3</v>
      </c>
      <c r="AM26" s="183">
        <f t="shared" si="17"/>
        <v>42.85714286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8"/>
        <v>0</v>
      </c>
      <c r="BJ26" s="186">
        <f t="shared" si="19"/>
        <v>0</v>
      </c>
      <c r="BK26" s="138"/>
      <c r="BL26" s="132"/>
      <c r="BM26" s="138"/>
      <c r="BN26" s="138"/>
      <c r="BO26" s="138"/>
      <c r="BP26" s="138"/>
      <c r="BQ26" s="138"/>
      <c r="BR26" s="140"/>
      <c r="BS26" s="152"/>
      <c r="BT26" s="187">
        <v>1.0</v>
      </c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20"/>
        <v>1</v>
      </c>
      <c r="CG26" s="190">
        <f t="shared" si="21"/>
        <v>11.11111111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2"/>
        <v>0</v>
      </c>
      <c r="CT26" s="194" t="str">
        <f t="shared" si="23"/>
        <v>#DIV/0!</v>
      </c>
      <c r="CU26" s="196"/>
      <c r="CV26" s="167">
        <f t="shared" si="24"/>
        <v>16.66666667</v>
      </c>
      <c r="CW26" s="169">
        <f t="shared" si="9"/>
        <v>4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10"/>
        <v>4</v>
      </c>
      <c r="E27" s="127">
        <f t="shared" si="11"/>
        <v>16.66666667</v>
      </c>
      <c r="F27" s="200">
        <f t="shared" si="12"/>
        <v>16.66666667</v>
      </c>
      <c r="G27" s="207">
        <f t="shared" si="13"/>
        <v>16.66666667</v>
      </c>
      <c r="H27" s="132"/>
      <c r="I27" s="132"/>
      <c r="J27" s="201"/>
      <c r="K27" s="201"/>
      <c r="L27" s="201"/>
      <c r="M27" s="201"/>
      <c r="N27" s="201"/>
      <c r="O27" s="201"/>
      <c r="P27" s="201"/>
      <c r="Q27" s="201"/>
      <c r="R27" s="135">
        <f t="shared" si="14"/>
        <v>0</v>
      </c>
      <c r="S27" s="137">
        <f t="shared" si="15"/>
        <v>0</v>
      </c>
      <c r="T27" s="138"/>
      <c r="U27" s="138"/>
      <c r="V27" s="138"/>
      <c r="W27" s="132"/>
      <c r="X27" s="170">
        <v>1.0</v>
      </c>
      <c r="Y27" s="138"/>
      <c r="Z27" s="151">
        <v>1.0</v>
      </c>
      <c r="AA27" s="133"/>
      <c r="AB27" s="133"/>
      <c r="AC27" s="133"/>
      <c r="AD27" s="140"/>
      <c r="AE27" s="141"/>
      <c r="AF27" s="210"/>
      <c r="AG27" s="210"/>
      <c r="AH27" s="211">
        <v>1.0</v>
      </c>
      <c r="AI27" s="210"/>
      <c r="AJ27" s="212"/>
      <c r="AK27" s="212"/>
      <c r="AL27" s="135">
        <f t="shared" si="16"/>
        <v>3</v>
      </c>
      <c r="AM27" s="183">
        <f t="shared" si="17"/>
        <v>42.85714286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5">
        <f t="shared" si="18"/>
        <v>0</v>
      </c>
      <c r="BJ27" s="186">
        <f t="shared" si="19"/>
        <v>0</v>
      </c>
      <c r="BK27" s="138"/>
      <c r="BL27" s="132"/>
      <c r="BM27" s="138"/>
      <c r="BN27" s="138"/>
      <c r="BO27" s="138"/>
      <c r="BP27" s="138"/>
      <c r="BQ27" s="151">
        <v>1.0</v>
      </c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20"/>
        <v>1</v>
      </c>
      <c r="CG27" s="190">
        <f t="shared" si="21"/>
        <v>11.11111111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2"/>
        <v>0</v>
      </c>
      <c r="CT27" s="194" t="str">
        <f t="shared" si="23"/>
        <v>#DIV/0!</v>
      </c>
      <c r="CU27" s="196"/>
      <c r="CV27" s="167">
        <f t="shared" si="24"/>
        <v>16.66666667</v>
      </c>
      <c r="CW27" s="169">
        <f t="shared" si="9"/>
        <v>4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10"/>
        <v>5</v>
      </c>
      <c r="E28" s="127">
        <f t="shared" si="11"/>
        <v>20.83333333</v>
      </c>
      <c r="F28" s="200">
        <f t="shared" si="12"/>
        <v>20.83333333</v>
      </c>
      <c r="G28" s="207">
        <f t="shared" si="13"/>
        <v>20.83333333</v>
      </c>
      <c r="H28" s="132"/>
      <c r="I28" s="132"/>
      <c r="J28" s="201"/>
      <c r="K28" s="201"/>
      <c r="L28" s="201"/>
      <c r="M28" s="201"/>
      <c r="N28" s="201"/>
      <c r="O28" s="201"/>
      <c r="P28" s="201"/>
      <c r="Q28" s="201"/>
      <c r="R28" s="135">
        <f t="shared" si="14"/>
        <v>0</v>
      </c>
      <c r="S28" s="137">
        <f t="shared" si="15"/>
        <v>0</v>
      </c>
      <c r="T28" s="138"/>
      <c r="U28" s="138"/>
      <c r="V28" s="138"/>
      <c r="W28" s="132"/>
      <c r="X28" s="170">
        <v>1.0</v>
      </c>
      <c r="Y28" s="138"/>
      <c r="Z28" s="151">
        <v>1.0</v>
      </c>
      <c r="AA28" s="133"/>
      <c r="AB28" s="133"/>
      <c r="AC28" s="185">
        <v>1.0</v>
      </c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6"/>
        <v>3</v>
      </c>
      <c r="AM28" s="183">
        <f t="shared" si="17"/>
        <v>42.85714286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85">
        <v>1.0</v>
      </c>
      <c r="BI28" s="135">
        <f t="shared" si="18"/>
        <v>1</v>
      </c>
      <c r="BJ28" s="186">
        <f t="shared" si="19"/>
        <v>16.66666667</v>
      </c>
      <c r="BK28" s="138"/>
      <c r="BL28" s="132"/>
      <c r="BM28" s="138"/>
      <c r="BN28" s="138"/>
      <c r="BO28" s="138"/>
      <c r="BP28" s="138"/>
      <c r="BQ28" s="138"/>
      <c r="BR28" s="150">
        <v>1.0</v>
      </c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20"/>
        <v>1</v>
      </c>
      <c r="CG28" s="190">
        <f t="shared" si="21"/>
        <v>11.11111111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2"/>
        <v>0</v>
      </c>
      <c r="CT28" s="194" t="str">
        <f t="shared" si="23"/>
        <v>#DIV/0!</v>
      </c>
      <c r="CU28" s="196"/>
      <c r="CV28" s="167">
        <f t="shared" si="24"/>
        <v>20.83333333</v>
      </c>
      <c r="CW28" s="169">
        <f t="shared" si="9"/>
        <v>5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10"/>
        <v>20</v>
      </c>
      <c r="E29" s="127">
        <f t="shared" si="11"/>
        <v>83.33333333</v>
      </c>
      <c r="F29" s="175" t="str">
        <f t="shared" si="12"/>
        <v>  </v>
      </c>
      <c r="G29" s="177" t="str">
        <f t="shared" si="13"/>
        <v>  </v>
      </c>
      <c r="H29" s="132"/>
      <c r="I29" s="132"/>
      <c r="J29" s="201"/>
      <c r="K29" s="201"/>
      <c r="L29" s="201"/>
      <c r="M29" s="201"/>
      <c r="N29" s="245">
        <v>1.0</v>
      </c>
      <c r="O29" s="201"/>
      <c r="P29" s="201"/>
      <c r="Q29" s="201"/>
      <c r="R29" s="135">
        <f t="shared" si="14"/>
        <v>1</v>
      </c>
      <c r="S29" s="137">
        <f t="shared" si="15"/>
        <v>50</v>
      </c>
      <c r="T29" s="138"/>
      <c r="U29" s="138"/>
      <c r="V29" s="138"/>
      <c r="W29" s="132"/>
      <c r="X29" s="170">
        <v>1.0</v>
      </c>
      <c r="Y29" s="138"/>
      <c r="Z29" s="151">
        <v>1.0</v>
      </c>
      <c r="AA29" s="185">
        <v>1.0</v>
      </c>
      <c r="AB29" s="185">
        <v>1.0</v>
      </c>
      <c r="AC29" s="185">
        <v>1.0</v>
      </c>
      <c r="AD29" s="140"/>
      <c r="AE29" s="141"/>
      <c r="AF29" s="210"/>
      <c r="AG29" s="211">
        <v>1.0</v>
      </c>
      <c r="AH29" s="211">
        <v>1.0</v>
      </c>
      <c r="AI29" s="210"/>
      <c r="AJ29" s="212"/>
      <c r="AK29" s="212"/>
      <c r="AL29" s="135">
        <f t="shared" si="16"/>
        <v>7</v>
      </c>
      <c r="AM29" s="183">
        <f t="shared" si="17"/>
        <v>100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85">
        <v>1.0</v>
      </c>
      <c r="AY29" s="133"/>
      <c r="AZ29" s="185">
        <v>1.0</v>
      </c>
      <c r="BA29" s="185">
        <v>1.0</v>
      </c>
      <c r="BB29" s="185">
        <v>1.0</v>
      </c>
      <c r="BC29" s="133"/>
      <c r="BD29" s="133"/>
      <c r="BE29" s="133"/>
      <c r="BF29" s="185">
        <v>1.0</v>
      </c>
      <c r="BG29" s="133"/>
      <c r="BH29" s="133"/>
      <c r="BI29" s="135">
        <f t="shared" si="18"/>
        <v>5</v>
      </c>
      <c r="BJ29" s="186">
        <f t="shared" si="19"/>
        <v>83.33333333</v>
      </c>
      <c r="BK29" s="138"/>
      <c r="BL29" s="170">
        <v>1.0</v>
      </c>
      <c r="BM29" s="151">
        <v>1.0</v>
      </c>
      <c r="BN29" s="138"/>
      <c r="BO29" s="138"/>
      <c r="BP29" s="138"/>
      <c r="BQ29" s="151">
        <v>1.0</v>
      </c>
      <c r="BR29" s="150">
        <v>1.0</v>
      </c>
      <c r="BS29" s="187">
        <v>1.0</v>
      </c>
      <c r="BT29" s="187">
        <v>1.0</v>
      </c>
      <c r="BU29" s="187">
        <v>1.0</v>
      </c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20"/>
        <v>7</v>
      </c>
      <c r="CG29" s="190">
        <f t="shared" si="21"/>
        <v>77.77777778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2"/>
        <v>0</v>
      </c>
      <c r="CT29" s="194" t="str">
        <f t="shared" si="23"/>
        <v>#DIV/0!</v>
      </c>
      <c r="CU29" s="196"/>
      <c r="CV29" s="167">
        <f t="shared" si="24"/>
        <v>83.33333333</v>
      </c>
      <c r="CW29" s="169">
        <f t="shared" si="9"/>
        <v>20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10"/>
        <v>5</v>
      </c>
      <c r="E30" s="127">
        <f t="shared" si="11"/>
        <v>20.83333333</v>
      </c>
      <c r="F30" s="200">
        <f t="shared" si="12"/>
        <v>20.83333333</v>
      </c>
      <c r="G30" s="207">
        <f t="shared" si="13"/>
        <v>20.83333333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135">
        <f t="shared" si="14"/>
        <v>0</v>
      </c>
      <c r="S30" s="137">
        <f t="shared" si="15"/>
        <v>0</v>
      </c>
      <c r="T30" s="138"/>
      <c r="U30" s="138"/>
      <c r="V30" s="138"/>
      <c r="W30" s="132"/>
      <c r="X30" s="132"/>
      <c r="Y30" s="138"/>
      <c r="Z30" s="138"/>
      <c r="AA30" s="133"/>
      <c r="AB30" s="133"/>
      <c r="AC30" s="133"/>
      <c r="AD30" s="140"/>
      <c r="AE30" s="141"/>
      <c r="AF30" s="210"/>
      <c r="AG30" s="211">
        <v>1.0</v>
      </c>
      <c r="AH30" s="210"/>
      <c r="AI30" s="210"/>
      <c r="AJ30" s="212"/>
      <c r="AK30" s="212"/>
      <c r="AL30" s="135">
        <f t="shared" si="16"/>
        <v>1</v>
      </c>
      <c r="AM30" s="183">
        <f t="shared" si="17"/>
        <v>14.28571429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85">
        <v>1.0</v>
      </c>
      <c r="BG30" s="133"/>
      <c r="BH30" s="133"/>
      <c r="BI30" s="135">
        <f t="shared" si="18"/>
        <v>1</v>
      </c>
      <c r="BJ30" s="186">
        <f t="shared" si="19"/>
        <v>16.66666667</v>
      </c>
      <c r="BK30" s="138"/>
      <c r="BL30" s="132"/>
      <c r="BM30" s="151">
        <v>1.0</v>
      </c>
      <c r="BN30" s="138"/>
      <c r="BO30" s="138"/>
      <c r="BP30" s="151">
        <v>1.0</v>
      </c>
      <c r="BQ30" s="138"/>
      <c r="BR30" s="150">
        <v>1.0</v>
      </c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20"/>
        <v>3</v>
      </c>
      <c r="CG30" s="190">
        <f t="shared" si="21"/>
        <v>33.33333333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2"/>
        <v>0</v>
      </c>
      <c r="CT30" s="194" t="str">
        <f t="shared" si="23"/>
        <v>#DIV/0!</v>
      </c>
      <c r="CU30" s="196"/>
      <c r="CV30" s="167">
        <f t="shared" si="24"/>
        <v>20.83333333</v>
      </c>
      <c r="CW30" s="169">
        <f t="shared" si="9"/>
        <v>5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10"/>
        <v>7</v>
      </c>
      <c r="E31" s="127">
        <f t="shared" si="11"/>
        <v>29.16666667</v>
      </c>
      <c r="F31" s="200">
        <f t="shared" si="12"/>
        <v>29.16666667</v>
      </c>
      <c r="G31" s="207">
        <f t="shared" si="13"/>
        <v>29.16666667</v>
      </c>
      <c r="H31" s="132"/>
      <c r="I31" s="178"/>
      <c r="J31" s="179"/>
      <c r="K31" s="179"/>
      <c r="L31" s="179"/>
      <c r="M31" s="179"/>
      <c r="N31" s="179"/>
      <c r="O31" s="179"/>
      <c r="P31" s="179"/>
      <c r="Q31" s="179"/>
      <c r="R31" s="135">
        <f t="shared" si="14"/>
        <v>0</v>
      </c>
      <c r="S31" s="137">
        <f t="shared" si="15"/>
        <v>0</v>
      </c>
      <c r="T31" s="138"/>
      <c r="U31" s="138"/>
      <c r="V31" s="138"/>
      <c r="W31" s="132"/>
      <c r="X31" s="132"/>
      <c r="Y31" s="138"/>
      <c r="Z31" s="138"/>
      <c r="AA31" s="133"/>
      <c r="AB31" s="133"/>
      <c r="AC31" s="133"/>
      <c r="AD31" s="140"/>
      <c r="AE31" s="141"/>
      <c r="AF31" s="210"/>
      <c r="AG31" s="210"/>
      <c r="AH31" s="211">
        <v>1.0</v>
      </c>
      <c r="AI31" s="210"/>
      <c r="AJ31" s="212"/>
      <c r="AK31" s="212"/>
      <c r="AL31" s="135">
        <f t="shared" si="16"/>
        <v>1</v>
      </c>
      <c r="AM31" s="183">
        <f t="shared" si="17"/>
        <v>14.28571429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85">
        <v>1.0</v>
      </c>
      <c r="AY31" s="133"/>
      <c r="AZ31" s="133"/>
      <c r="BA31" s="133"/>
      <c r="BB31" s="133"/>
      <c r="BC31" s="133"/>
      <c r="BD31" s="133"/>
      <c r="BE31" s="133"/>
      <c r="BF31" s="185">
        <v>1.0</v>
      </c>
      <c r="BG31" s="133"/>
      <c r="BH31" s="185">
        <v>1.0</v>
      </c>
      <c r="BI31" s="135">
        <f t="shared" si="18"/>
        <v>3</v>
      </c>
      <c r="BJ31" s="186">
        <f t="shared" si="19"/>
        <v>50</v>
      </c>
      <c r="BK31" s="138"/>
      <c r="BL31" s="132"/>
      <c r="BM31" s="151">
        <v>1.0</v>
      </c>
      <c r="BN31" s="138"/>
      <c r="BO31" s="138"/>
      <c r="BP31" s="138"/>
      <c r="BQ31" s="151">
        <v>1.0</v>
      </c>
      <c r="BR31" s="150">
        <v>1.0</v>
      </c>
      <c r="BS31" s="152"/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20"/>
        <v>3</v>
      </c>
      <c r="CG31" s="190">
        <f t="shared" si="21"/>
        <v>33.33333333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2"/>
        <v>0</v>
      </c>
      <c r="CT31" s="194" t="str">
        <f t="shared" si="23"/>
        <v>#DIV/0!</v>
      </c>
      <c r="CU31" s="196"/>
      <c r="CV31" s="167">
        <f t="shared" si="24"/>
        <v>29.16666667</v>
      </c>
      <c r="CW31" s="169">
        <f t="shared" si="9"/>
        <v>7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10"/>
        <v>11</v>
      </c>
      <c r="E32" s="127">
        <f t="shared" si="11"/>
        <v>45.83333333</v>
      </c>
      <c r="F32" s="200">
        <f t="shared" si="12"/>
        <v>45.83333333</v>
      </c>
      <c r="G32" s="177" t="str">
        <f t="shared" si="13"/>
        <v>  </v>
      </c>
      <c r="H32" s="132"/>
      <c r="I32" s="178"/>
      <c r="J32" s="179"/>
      <c r="K32" s="179"/>
      <c r="L32" s="179"/>
      <c r="M32" s="179"/>
      <c r="N32" s="179"/>
      <c r="O32" s="179"/>
      <c r="P32" s="179"/>
      <c r="Q32" s="179"/>
      <c r="R32" s="135">
        <f t="shared" si="14"/>
        <v>0</v>
      </c>
      <c r="S32" s="137">
        <f t="shared" si="15"/>
        <v>0</v>
      </c>
      <c r="T32" s="138"/>
      <c r="U32" s="138"/>
      <c r="V32" s="138"/>
      <c r="W32" s="132"/>
      <c r="X32" s="132"/>
      <c r="Y32" s="138"/>
      <c r="Z32" s="138"/>
      <c r="AA32" s="133"/>
      <c r="AB32" s="185">
        <v>1.0</v>
      </c>
      <c r="AC32" s="133"/>
      <c r="AD32" s="140"/>
      <c r="AE32" s="141"/>
      <c r="AF32" s="234"/>
      <c r="AG32" s="236">
        <v>1.0</v>
      </c>
      <c r="AH32" s="236">
        <v>1.0</v>
      </c>
      <c r="AI32" s="234"/>
      <c r="AJ32" s="239"/>
      <c r="AK32" s="239"/>
      <c r="AL32" s="135">
        <f t="shared" si="16"/>
        <v>3</v>
      </c>
      <c r="AM32" s="183">
        <f t="shared" si="17"/>
        <v>42.85714286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85">
        <v>1.0</v>
      </c>
      <c r="AY32" s="133"/>
      <c r="AZ32" s="133"/>
      <c r="BA32" s="133"/>
      <c r="BB32" s="133"/>
      <c r="BC32" s="133"/>
      <c r="BD32" s="133"/>
      <c r="BE32" s="133"/>
      <c r="BF32" s="185">
        <v>1.0</v>
      </c>
      <c r="BG32" s="133"/>
      <c r="BH32" s="185">
        <v>1.0</v>
      </c>
      <c r="BI32" s="135">
        <f t="shared" si="18"/>
        <v>3</v>
      </c>
      <c r="BJ32" s="186">
        <f t="shared" si="19"/>
        <v>50</v>
      </c>
      <c r="BK32" s="138"/>
      <c r="BL32" s="132"/>
      <c r="BM32" s="151">
        <v>1.0</v>
      </c>
      <c r="BN32" s="138"/>
      <c r="BO32" s="138"/>
      <c r="BP32" s="138"/>
      <c r="BQ32" s="151">
        <v>1.0</v>
      </c>
      <c r="BR32" s="150">
        <v>1.0</v>
      </c>
      <c r="BS32" s="187">
        <v>1.0</v>
      </c>
      <c r="BT32" s="152"/>
      <c r="BU32" s="187">
        <v>1.0</v>
      </c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20"/>
        <v>5</v>
      </c>
      <c r="CG32" s="190">
        <f t="shared" si="21"/>
        <v>55.55555556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2"/>
        <v>0</v>
      </c>
      <c r="CT32" s="194" t="str">
        <f t="shared" si="23"/>
        <v>#DIV/0!</v>
      </c>
      <c r="CU32" s="196"/>
      <c r="CV32" s="167">
        <f t="shared" si="24"/>
        <v>45.83333333</v>
      </c>
      <c r="CW32" s="169">
        <f t="shared" si="9"/>
        <v>11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10"/>
        <v>9</v>
      </c>
      <c r="E33" s="127">
        <f t="shared" si="11"/>
        <v>37.5</v>
      </c>
      <c r="F33" s="200">
        <f t="shared" si="12"/>
        <v>37.5</v>
      </c>
      <c r="G33" s="177" t="str">
        <f t="shared" si="13"/>
        <v>  </v>
      </c>
      <c r="H33" s="132"/>
      <c r="I33" s="229"/>
      <c r="J33" s="231"/>
      <c r="K33" s="231"/>
      <c r="L33" s="231"/>
      <c r="M33" s="231"/>
      <c r="N33" s="231"/>
      <c r="O33" s="231"/>
      <c r="P33" s="231"/>
      <c r="Q33" s="231"/>
      <c r="R33" s="135">
        <f t="shared" si="14"/>
        <v>0</v>
      </c>
      <c r="S33" s="137">
        <f t="shared" si="15"/>
        <v>0</v>
      </c>
      <c r="T33" s="138"/>
      <c r="U33" s="138"/>
      <c r="V33" s="138"/>
      <c r="W33" s="132"/>
      <c r="X33" s="132"/>
      <c r="Y33" s="138"/>
      <c r="Z33" s="138"/>
      <c r="AA33" s="133"/>
      <c r="AB33" s="185">
        <v>1.0</v>
      </c>
      <c r="AC33" s="133"/>
      <c r="AD33" s="140"/>
      <c r="AE33" s="141"/>
      <c r="AF33" s="234"/>
      <c r="AG33" s="236">
        <v>1.0</v>
      </c>
      <c r="AH33" s="236">
        <v>1.0</v>
      </c>
      <c r="AI33" s="234"/>
      <c r="AJ33" s="239"/>
      <c r="AK33" s="239"/>
      <c r="AL33" s="135">
        <f t="shared" si="16"/>
        <v>3</v>
      </c>
      <c r="AM33" s="183">
        <f t="shared" si="17"/>
        <v>42.85714286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85">
        <v>1.0</v>
      </c>
      <c r="AY33" s="133"/>
      <c r="AZ33" s="133"/>
      <c r="BA33" s="133"/>
      <c r="BB33" s="133"/>
      <c r="BC33" s="133"/>
      <c r="BD33" s="133"/>
      <c r="BE33" s="133"/>
      <c r="BF33" s="185">
        <v>1.0</v>
      </c>
      <c r="BG33" s="133"/>
      <c r="BH33" s="185">
        <v>1.0</v>
      </c>
      <c r="BI33" s="135">
        <f t="shared" si="18"/>
        <v>3</v>
      </c>
      <c r="BJ33" s="186">
        <f t="shared" si="19"/>
        <v>50</v>
      </c>
      <c r="BK33" s="138"/>
      <c r="BL33" s="132"/>
      <c r="BM33" s="151">
        <v>1.0</v>
      </c>
      <c r="BN33" s="138"/>
      <c r="BO33" s="138"/>
      <c r="BP33" s="138"/>
      <c r="BQ33" s="151">
        <v>1.0</v>
      </c>
      <c r="BR33" s="150">
        <v>1.0</v>
      </c>
      <c r="BS33" s="152"/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20"/>
        <v>3</v>
      </c>
      <c r="CG33" s="190">
        <f t="shared" si="21"/>
        <v>33.33333333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2"/>
        <v>0</v>
      </c>
      <c r="CT33" s="194" t="str">
        <f t="shared" si="23"/>
        <v>#DIV/0!</v>
      </c>
      <c r="CU33" s="196"/>
      <c r="CV33" s="167">
        <f t="shared" si="24"/>
        <v>37.5</v>
      </c>
      <c r="CW33" s="169">
        <f t="shared" si="9"/>
        <v>9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10"/>
        <v>4</v>
      </c>
      <c r="E34" s="127">
        <f t="shared" si="11"/>
        <v>16.66666667</v>
      </c>
      <c r="F34" s="200">
        <f t="shared" si="12"/>
        <v>16.66666667</v>
      </c>
      <c r="G34" s="207">
        <f t="shared" si="13"/>
        <v>16.66666667</v>
      </c>
      <c r="H34" s="178"/>
      <c r="I34" s="132"/>
      <c r="J34" s="201"/>
      <c r="K34" s="201"/>
      <c r="L34" s="201"/>
      <c r="M34" s="201"/>
      <c r="N34" s="245">
        <v>1.0</v>
      </c>
      <c r="O34" s="201"/>
      <c r="P34" s="201"/>
      <c r="Q34" s="201"/>
      <c r="R34" s="135">
        <f t="shared" si="14"/>
        <v>1</v>
      </c>
      <c r="S34" s="137">
        <f t="shared" si="15"/>
        <v>50</v>
      </c>
      <c r="T34" s="138"/>
      <c r="U34" s="138"/>
      <c r="V34" s="138"/>
      <c r="W34" s="132"/>
      <c r="X34" s="132"/>
      <c r="Y34" s="138"/>
      <c r="Z34" s="151">
        <v>1.0</v>
      </c>
      <c r="AA34" s="133"/>
      <c r="AB34" s="133"/>
      <c r="AC34" s="185">
        <v>1.0</v>
      </c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6"/>
        <v>2</v>
      </c>
      <c r="AM34" s="183">
        <f t="shared" si="17"/>
        <v>28.57142857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8"/>
        <v>0</v>
      </c>
      <c r="BJ34" s="186">
        <f t="shared" si="19"/>
        <v>0</v>
      </c>
      <c r="BK34" s="138"/>
      <c r="BL34" s="132"/>
      <c r="BM34" s="138"/>
      <c r="BN34" s="138"/>
      <c r="BO34" s="138"/>
      <c r="BP34" s="138"/>
      <c r="BQ34" s="138"/>
      <c r="BR34" s="150">
        <v>1.0</v>
      </c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20"/>
        <v>1</v>
      </c>
      <c r="CG34" s="190">
        <f t="shared" si="21"/>
        <v>11.11111111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2"/>
        <v>0</v>
      </c>
      <c r="CT34" s="194" t="str">
        <f t="shared" si="23"/>
        <v>#DIV/0!</v>
      </c>
      <c r="CU34" s="196"/>
      <c r="CV34" s="167">
        <f t="shared" si="24"/>
        <v>16.66666667</v>
      </c>
      <c r="CW34" s="169">
        <f t="shared" si="9"/>
        <v>4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10"/>
        <v>16</v>
      </c>
      <c r="E35" s="127">
        <f t="shared" si="11"/>
        <v>66.66666667</v>
      </c>
      <c r="F35" s="175" t="str">
        <f t="shared" si="12"/>
        <v>  </v>
      </c>
      <c r="G35" s="177" t="str">
        <f t="shared" si="13"/>
        <v>  </v>
      </c>
      <c r="H35" s="132"/>
      <c r="I35" s="132"/>
      <c r="J35" s="201"/>
      <c r="K35" s="201"/>
      <c r="L35" s="201"/>
      <c r="M35" s="201"/>
      <c r="N35" s="245">
        <v>1.0</v>
      </c>
      <c r="O35" s="201"/>
      <c r="P35" s="201"/>
      <c r="Q35" s="201"/>
      <c r="R35" s="135">
        <f t="shared" si="14"/>
        <v>1</v>
      </c>
      <c r="S35" s="137">
        <f t="shared" si="15"/>
        <v>50</v>
      </c>
      <c r="T35" s="138"/>
      <c r="U35" s="138"/>
      <c r="V35" s="138"/>
      <c r="W35" s="132"/>
      <c r="X35" s="170">
        <v>1.0</v>
      </c>
      <c r="Y35" s="138"/>
      <c r="Z35" s="151">
        <v>1.0</v>
      </c>
      <c r="AA35" s="185">
        <v>1.0</v>
      </c>
      <c r="AB35" s="185">
        <v>1.0</v>
      </c>
      <c r="AC35" s="185">
        <v>1.0</v>
      </c>
      <c r="AD35" s="140"/>
      <c r="AE35" s="141"/>
      <c r="AF35" s="210"/>
      <c r="AG35" s="211">
        <v>1.0</v>
      </c>
      <c r="AH35" s="210"/>
      <c r="AI35" s="210"/>
      <c r="AJ35" s="212"/>
      <c r="AK35" s="212"/>
      <c r="AL35" s="135">
        <f t="shared" si="16"/>
        <v>6</v>
      </c>
      <c r="AM35" s="183">
        <f t="shared" si="17"/>
        <v>85.71428571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85">
        <v>1.0</v>
      </c>
      <c r="AY35" s="133"/>
      <c r="AZ35" s="133"/>
      <c r="BA35" s="133"/>
      <c r="BB35" s="133"/>
      <c r="BC35" s="133"/>
      <c r="BD35" s="133"/>
      <c r="BE35" s="133"/>
      <c r="BF35" s="185">
        <v>1.0</v>
      </c>
      <c r="BG35" s="133"/>
      <c r="BH35" s="185">
        <v>1.0</v>
      </c>
      <c r="BI35" s="135">
        <f t="shared" si="18"/>
        <v>3</v>
      </c>
      <c r="BJ35" s="186">
        <f t="shared" si="19"/>
        <v>50</v>
      </c>
      <c r="BK35" s="138"/>
      <c r="BL35" s="170">
        <v>1.0</v>
      </c>
      <c r="BM35" s="138"/>
      <c r="BN35" s="138"/>
      <c r="BO35" s="138"/>
      <c r="BP35" s="138"/>
      <c r="BQ35" s="151">
        <v>1.0</v>
      </c>
      <c r="BR35" s="150">
        <v>1.0</v>
      </c>
      <c r="BS35" s="187">
        <v>1.0</v>
      </c>
      <c r="BT35" s="187">
        <v>1.0</v>
      </c>
      <c r="BU35" s="187">
        <v>1.0</v>
      </c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20"/>
        <v>6</v>
      </c>
      <c r="CG35" s="190">
        <f t="shared" si="21"/>
        <v>66.66666667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2"/>
        <v>0</v>
      </c>
      <c r="CT35" s="194" t="str">
        <f t="shared" si="23"/>
        <v>#DIV/0!</v>
      </c>
      <c r="CU35" s="196"/>
      <c r="CV35" s="167">
        <f t="shared" si="24"/>
        <v>66.66666667</v>
      </c>
      <c r="CW35" s="169">
        <f t="shared" si="9"/>
        <v>16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10"/>
        <v>0</v>
      </c>
      <c r="E36" s="127">
        <f t="shared" si="11"/>
        <v>0</v>
      </c>
      <c r="F36" s="200">
        <f t="shared" si="12"/>
        <v>0</v>
      </c>
      <c r="G36" s="207">
        <f t="shared" si="13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4"/>
        <v>0</v>
      </c>
      <c r="S36" s="137">
        <f t="shared" si="15"/>
        <v>0</v>
      </c>
      <c r="T36" s="138"/>
      <c r="U36" s="138"/>
      <c r="V36" s="138"/>
      <c r="W36" s="132"/>
      <c r="X36" s="132"/>
      <c r="Y36" s="138"/>
      <c r="Z36" s="138"/>
      <c r="AA36" s="133"/>
      <c r="AB36" s="133"/>
      <c r="AC36" s="133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6"/>
        <v>0</v>
      </c>
      <c r="AM36" s="183">
        <f t="shared" si="17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8"/>
        <v>0</v>
      </c>
      <c r="BJ36" s="186">
        <f t="shared" si="19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20"/>
        <v>0</v>
      </c>
      <c r="CG36" s="190">
        <f t="shared" si="21"/>
        <v>0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2"/>
        <v>0</v>
      </c>
      <c r="CT36" s="194" t="str">
        <f t="shared" si="23"/>
        <v>#DIV/0!</v>
      </c>
      <c r="CU36" s="196"/>
      <c r="CV36" s="167">
        <f t="shared" si="24"/>
        <v>0</v>
      </c>
      <c r="CW36" s="169">
        <f t="shared" si="9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10"/>
        <v>2</v>
      </c>
      <c r="E37" s="127">
        <f t="shared" si="11"/>
        <v>8.333333333</v>
      </c>
      <c r="F37" s="200">
        <f t="shared" si="12"/>
        <v>8.333333333</v>
      </c>
      <c r="G37" s="207">
        <f t="shared" si="13"/>
        <v>8.333333333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135">
        <f t="shared" si="14"/>
        <v>0</v>
      </c>
      <c r="S37" s="137">
        <f t="shared" si="15"/>
        <v>0</v>
      </c>
      <c r="T37" s="138"/>
      <c r="U37" s="138"/>
      <c r="V37" s="138"/>
      <c r="W37" s="132"/>
      <c r="X37" s="132"/>
      <c r="Y37" s="138"/>
      <c r="Z37" s="138"/>
      <c r="AA37" s="133"/>
      <c r="AB37" s="133"/>
      <c r="AC37" s="133"/>
      <c r="AD37" s="140"/>
      <c r="AE37" s="141"/>
      <c r="AF37" s="210"/>
      <c r="AG37" s="210"/>
      <c r="AH37" s="210"/>
      <c r="AI37" s="210"/>
      <c r="AJ37" s="212"/>
      <c r="AK37" s="212"/>
      <c r="AL37" s="135">
        <f t="shared" si="16"/>
        <v>0</v>
      </c>
      <c r="AM37" s="183">
        <f t="shared" si="17"/>
        <v>0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85">
        <v>1.0</v>
      </c>
      <c r="BA37" s="133"/>
      <c r="BB37" s="133"/>
      <c r="BC37" s="133"/>
      <c r="BD37" s="133"/>
      <c r="BE37" s="133"/>
      <c r="BF37" s="133"/>
      <c r="BG37" s="133"/>
      <c r="BH37" s="185">
        <v>1.0</v>
      </c>
      <c r="BI37" s="135">
        <f t="shared" si="18"/>
        <v>2</v>
      </c>
      <c r="BJ37" s="186">
        <f t="shared" si="19"/>
        <v>33.33333333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20"/>
        <v>0</v>
      </c>
      <c r="CG37" s="190">
        <f t="shared" si="21"/>
        <v>0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2"/>
        <v>0</v>
      </c>
      <c r="CT37" s="194" t="str">
        <f t="shared" si="23"/>
        <v>#DIV/0!</v>
      </c>
      <c r="CU37" s="196"/>
      <c r="CV37" s="167">
        <f t="shared" si="24"/>
        <v>8.333333333</v>
      </c>
      <c r="CW37" s="169">
        <f t="shared" si="9"/>
        <v>2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10"/>
        <v>3</v>
      </c>
      <c r="E38" s="127">
        <f t="shared" si="11"/>
        <v>12.5</v>
      </c>
      <c r="F38" s="200">
        <f t="shared" si="12"/>
        <v>12.5</v>
      </c>
      <c r="G38" s="207">
        <f t="shared" si="13"/>
        <v>12.5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4"/>
        <v>0</v>
      </c>
      <c r="S38" s="137">
        <f t="shared" si="15"/>
        <v>0</v>
      </c>
      <c r="T38" s="138"/>
      <c r="U38" s="138"/>
      <c r="V38" s="138"/>
      <c r="W38" s="132"/>
      <c r="X38" s="132"/>
      <c r="Y38" s="138"/>
      <c r="Z38" s="138"/>
      <c r="AA38" s="133"/>
      <c r="AB38" s="133"/>
      <c r="AC38" s="133"/>
      <c r="AD38" s="140"/>
      <c r="AE38" s="141"/>
      <c r="AF38" s="210"/>
      <c r="AG38" s="211">
        <v>1.0</v>
      </c>
      <c r="AH38" s="210"/>
      <c r="AI38" s="210"/>
      <c r="AJ38" s="212"/>
      <c r="AK38" s="212"/>
      <c r="AL38" s="135">
        <f t="shared" si="16"/>
        <v>1</v>
      </c>
      <c r="AM38" s="183">
        <f t="shared" si="17"/>
        <v>14.28571429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8"/>
        <v>0</v>
      </c>
      <c r="BJ38" s="186">
        <f t="shared" si="19"/>
        <v>0</v>
      </c>
      <c r="BK38" s="138"/>
      <c r="BL38" s="132"/>
      <c r="BM38" s="138"/>
      <c r="BN38" s="138"/>
      <c r="BO38" s="138"/>
      <c r="BP38" s="138"/>
      <c r="BQ38" s="138"/>
      <c r="BR38" s="150">
        <v>1.0</v>
      </c>
      <c r="BS38" s="152"/>
      <c r="BT38" s="187">
        <v>1.0</v>
      </c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20"/>
        <v>2</v>
      </c>
      <c r="CG38" s="190">
        <f t="shared" si="21"/>
        <v>22.22222222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2"/>
        <v>0</v>
      </c>
      <c r="CT38" s="194" t="str">
        <f t="shared" si="23"/>
        <v>#DIV/0!</v>
      </c>
      <c r="CU38" s="196"/>
      <c r="CV38" s="167">
        <f t="shared" si="24"/>
        <v>12.5</v>
      </c>
      <c r="CW38" s="169">
        <f t="shared" si="9"/>
        <v>3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10"/>
        <v>3</v>
      </c>
      <c r="E39" s="127">
        <f t="shared" si="11"/>
        <v>12.5</v>
      </c>
      <c r="F39" s="200">
        <f t="shared" si="12"/>
        <v>12.5</v>
      </c>
      <c r="G39" s="207">
        <f t="shared" si="13"/>
        <v>12.5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4"/>
        <v>0</v>
      </c>
      <c r="S39" s="137">
        <f t="shared" si="15"/>
        <v>0</v>
      </c>
      <c r="T39" s="138"/>
      <c r="U39" s="138"/>
      <c r="V39" s="138"/>
      <c r="W39" s="132"/>
      <c r="X39" s="132"/>
      <c r="Y39" s="138"/>
      <c r="Z39" s="138"/>
      <c r="AA39" s="133"/>
      <c r="AB39" s="133"/>
      <c r="AC39" s="133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6"/>
        <v>0</v>
      </c>
      <c r="AM39" s="183">
        <f t="shared" si="17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8"/>
        <v>0</v>
      </c>
      <c r="BJ39" s="186">
        <f t="shared" si="19"/>
        <v>0</v>
      </c>
      <c r="BK39" s="138"/>
      <c r="BL39" s="170">
        <v>1.0</v>
      </c>
      <c r="BM39" s="151">
        <v>1.0</v>
      </c>
      <c r="BN39" s="138"/>
      <c r="BO39" s="138"/>
      <c r="BP39" s="138"/>
      <c r="BQ39" s="138"/>
      <c r="BR39" s="150">
        <v>1.0</v>
      </c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20"/>
        <v>3</v>
      </c>
      <c r="CG39" s="190">
        <f t="shared" si="21"/>
        <v>33.33333333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2"/>
        <v>0</v>
      </c>
      <c r="CT39" s="194" t="str">
        <f t="shared" si="23"/>
        <v>#DIV/0!</v>
      </c>
      <c r="CU39" s="196"/>
      <c r="CV39" s="167">
        <f t="shared" si="24"/>
        <v>12.5</v>
      </c>
      <c r="CW39" s="169">
        <f t="shared" si="9"/>
        <v>3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10"/>
        <v>6</v>
      </c>
      <c r="E40" s="127">
        <f t="shared" si="11"/>
        <v>25</v>
      </c>
      <c r="F40" s="200">
        <f t="shared" si="12"/>
        <v>25</v>
      </c>
      <c r="G40" s="207">
        <f t="shared" si="13"/>
        <v>25</v>
      </c>
      <c r="H40" s="132"/>
      <c r="I40" s="132"/>
      <c r="J40" s="201"/>
      <c r="K40" s="201"/>
      <c r="L40" s="201"/>
      <c r="M40" s="201"/>
      <c r="N40" s="201"/>
      <c r="O40" s="201"/>
      <c r="P40" s="201"/>
      <c r="Q40" s="201"/>
      <c r="R40" s="135">
        <f t="shared" si="14"/>
        <v>0</v>
      </c>
      <c r="S40" s="137">
        <f t="shared" si="15"/>
        <v>0</v>
      </c>
      <c r="T40" s="138"/>
      <c r="U40" s="138"/>
      <c r="V40" s="138"/>
      <c r="W40" s="132"/>
      <c r="X40" s="132"/>
      <c r="Y40" s="138"/>
      <c r="Z40" s="138"/>
      <c r="AA40" s="133"/>
      <c r="AB40" s="133"/>
      <c r="AC40" s="185">
        <v>1.0</v>
      </c>
      <c r="AD40" s="140"/>
      <c r="AE40" s="141"/>
      <c r="AF40" s="210"/>
      <c r="AG40" s="211">
        <v>1.0</v>
      </c>
      <c r="AH40" s="210"/>
      <c r="AI40" s="210"/>
      <c r="AJ40" s="212"/>
      <c r="AK40" s="212"/>
      <c r="AL40" s="135">
        <f t="shared" si="16"/>
        <v>2</v>
      </c>
      <c r="AM40" s="183">
        <f t="shared" si="17"/>
        <v>28.57142857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85">
        <v>1.0</v>
      </c>
      <c r="BI40" s="135">
        <f t="shared" si="18"/>
        <v>1</v>
      </c>
      <c r="BJ40" s="186">
        <f t="shared" si="19"/>
        <v>16.66666667</v>
      </c>
      <c r="BK40" s="138"/>
      <c r="BL40" s="170">
        <v>1.0</v>
      </c>
      <c r="BM40" s="151">
        <v>1.0</v>
      </c>
      <c r="BN40" s="138"/>
      <c r="BO40" s="138"/>
      <c r="BP40" s="138"/>
      <c r="BQ40" s="151">
        <v>1.0</v>
      </c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20"/>
        <v>3</v>
      </c>
      <c r="CG40" s="190">
        <f t="shared" si="21"/>
        <v>33.33333333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2"/>
        <v>0</v>
      </c>
      <c r="CT40" s="194" t="str">
        <f t="shared" si="23"/>
        <v>#DIV/0!</v>
      </c>
      <c r="CU40" s="196"/>
      <c r="CV40" s="167">
        <f t="shared" si="24"/>
        <v>25</v>
      </c>
      <c r="CW40" s="169">
        <f t="shared" si="9"/>
        <v>6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10"/>
        <v>6</v>
      </c>
      <c r="E41" s="127">
        <f t="shared" si="11"/>
        <v>25</v>
      </c>
      <c r="F41" s="200">
        <f t="shared" si="12"/>
        <v>25</v>
      </c>
      <c r="G41" s="207">
        <f t="shared" si="13"/>
        <v>25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4"/>
        <v>0</v>
      </c>
      <c r="S41" s="137">
        <f t="shared" si="15"/>
        <v>0</v>
      </c>
      <c r="T41" s="138"/>
      <c r="U41" s="138"/>
      <c r="V41" s="138"/>
      <c r="W41" s="132"/>
      <c r="X41" s="132"/>
      <c r="Y41" s="138"/>
      <c r="Z41" s="151">
        <v>1.0</v>
      </c>
      <c r="AA41" s="133"/>
      <c r="AB41" s="185">
        <v>1.0</v>
      </c>
      <c r="AC41" s="185">
        <v>1.0</v>
      </c>
      <c r="AD41" s="140"/>
      <c r="AE41" s="141"/>
      <c r="AF41" s="210"/>
      <c r="AG41" s="210"/>
      <c r="AH41" s="211">
        <v>1.0</v>
      </c>
      <c r="AI41" s="210"/>
      <c r="AJ41" s="212"/>
      <c r="AK41" s="212"/>
      <c r="AL41" s="135">
        <f t="shared" si="16"/>
        <v>4</v>
      </c>
      <c r="AM41" s="183">
        <f t="shared" si="17"/>
        <v>57.14285714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5">
        <f t="shared" si="18"/>
        <v>0</v>
      </c>
      <c r="BJ41" s="186">
        <f t="shared" si="19"/>
        <v>0</v>
      </c>
      <c r="BK41" s="138"/>
      <c r="BL41" s="170">
        <v>1.0</v>
      </c>
      <c r="BM41" s="138"/>
      <c r="BN41" s="138"/>
      <c r="BO41" s="138"/>
      <c r="BP41" s="138"/>
      <c r="BQ41" s="138"/>
      <c r="BR41" s="150">
        <v>1.0</v>
      </c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20"/>
        <v>2</v>
      </c>
      <c r="CG41" s="190">
        <f t="shared" si="21"/>
        <v>22.22222222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2"/>
        <v>0</v>
      </c>
      <c r="CT41" s="194" t="str">
        <f t="shared" si="23"/>
        <v>#DIV/0!</v>
      </c>
      <c r="CU41" s="196"/>
      <c r="CV41" s="167">
        <f t="shared" si="24"/>
        <v>25</v>
      </c>
      <c r="CW41" s="169">
        <f t="shared" si="9"/>
        <v>6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10"/>
        <v>2</v>
      </c>
      <c r="E42" s="127">
        <f t="shared" si="11"/>
        <v>8.333333333</v>
      </c>
      <c r="F42" s="200">
        <f t="shared" si="12"/>
        <v>8.333333333</v>
      </c>
      <c r="G42" s="207">
        <f t="shared" si="13"/>
        <v>8.333333333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4"/>
        <v>0</v>
      </c>
      <c r="S42" s="137">
        <f t="shared" si="15"/>
        <v>0</v>
      </c>
      <c r="T42" s="138"/>
      <c r="U42" s="138"/>
      <c r="V42" s="138"/>
      <c r="W42" s="132"/>
      <c r="X42" s="132"/>
      <c r="Y42" s="138"/>
      <c r="Z42" s="138"/>
      <c r="AA42" s="133"/>
      <c r="AB42" s="133"/>
      <c r="AC42" s="133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6"/>
        <v>0</v>
      </c>
      <c r="AM42" s="183">
        <f t="shared" si="17"/>
        <v>0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8"/>
        <v>0</v>
      </c>
      <c r="BJ42" s="186">
        <f t="shared" si="19"/>
        <v>0</v>
      </c>
      <c r="BK42" s="138"/>
      <c r="BL42" s="170">
        <v>1.0</v>
      </c>
      <c r="BM42" s="138"/>
      <c r="BN42" s="138"/>
      <c r="BO42" s="138"/>
      <c r="BP42" s="138"/>
      <c r="BQ42" s="138"/>
      <c r="BR42" s="140"/>
      <c r="BS42" s="152"/>
      <c r="BT42" s="152"/>
      <c r="BU42" s="187">
        <v>1.0</v>
      </c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20"/>
        <v>2</v>
      </c>
      <c r="CG42" s="190">
        <f t="shared" si="21"/>
        <v>22.22222222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2"/>
        <v>0</v>
      </c>
      <c r="CT42" s="194" t="str">
        <f t="shared" si="23"/>
        <v>#DIV/0!</v>
      </c>
      <c r="CU42" s="196"/>
      <c r="CV42" s="167">
        <f t="shared" si="24"/>
        <v>8.333333333</v>
      </c>
      <c r="CW42" s="169">
        <f t="shared" si="9"/>
        <v>2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10"/>
        <v>4</v>
      </c>
      <c r="E43" s="127">
        <f t="shared" si="11"/>
        <v>16.66666667</v>
      </c>
      <c r="F43" s="200">
        <f t="shared" si="12"/>
        <v>16.66666667</v>
      </c>
      <c r="G43" s="207">
        <f t="shared" si="13"/>
        <v>16.66666667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4"/>
        <v>0</v>
      </c>
      <c r="S43" s="137">
        <f t="shared" si="15"/>
        <v>0</v>
      </c>
      <c r="T43" s="138"/>
      <c r="U43" s="138"/>
      <c r="V43" s="138"/>
      <c r="W43" s="132"/>
      <c r="X43" s="132"/>
      <c r="Y43" s="138"/>
      <c r="Z43" s="138"/>
      <c r="AA43" s="133"/>
      <c r="AB43" s="185">
        <v>1.0</v>
      </c>
      <c r="AC43" s="133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6"/>
        <v>1</v>
      </c>
      <c r="AM43" s="183">
        <f t="shared" si="17"/>
        <v>14.28571429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5">
        <f t="shared" si="18"/>
        <v>0</v>
      </c>
      <c r="BJ43" s="186">
        <f t="shared" si="19"/>
        <v>0</v>
      </c>
      <c r="BK43" s="138"/>
      <c r="BL43" s="170">
        <v>1.0</v>
      </c>
      <c r="BM43" s="151">
        <v>1.0</v>
      </c>
      <c r="BN43" s="138"/>
      <c r="BO43" s="138"/>
      <c r="BP43" s="138"/>
      <c r="BQ43" s="138"/>
      <c r="BR43" s="150">
        <v>1.0</v>
      </c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20"/>
        <v>3</v>
      </c>
      <c r="CG43" s="190">
        <f t="shared" si="21"/>
        <v>33.33333333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2"/>
        <v>0</v>
      </c>
      <c r="CT43" s="194" t="str">
        <f t="shared" si="23"/>
        <v>#DIV/0!</v>
      </c>
      <c r="CU43" s="196"/>
      <c r="CV43" s="167">
        <f t="shared" si="24"/>
        <v>16.66666667</v>
      </c>
      <c r="CW43" s="169">
        <f t="shared" si="9"/>
        <v>4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10"/>
        <v>6</v>
      </c>
      <c r="E44" s="127">
        <f t="shared" si="11"/>
        <v>25</v>
      </c>
      <c r="F44" s="200">
        <f t="shared" si="12"/>
        <v>25</v>
      </c>
      <c r="G44" s="207">
        <f t="shared" si="13"/>
        <v>25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135">
        <f t="shared" si="14"/>
        <v>0</v>
      </c>
      <c r="S44" s="137">
        <f t="shared" si="15"/>
        <v>0</v>
      </c>
      <c r="T44" s="138"/>
      <c r="U44" s="138"/>
      <c r="V44" s="138"/>
      <c r="W44" s="132"/>
      <c r="X44" s="132"/>
      <c r="Y44" s="138"/>
      <c r="Z44" s="138"/>
      <c r="AA44" s="133"/>
      <c r="AB44" s="185">
        <v>1.0</v>
      </c>
      <c r="AC44" s="185">
        <v>1.0</v>
      </c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6"/>
        <v>2</v>
      </c>
      <c r="AM44" s="183">
        <f t="shared" si="17"/>
        <v>28.57142857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5">
        <f t="shared" si="18"/>
        <v>0</v>
      </c>
      <c r="BJ44" s="186">
        <f t="shared" si="19"/>
        <v>0</v>
      </c>
      <c r="BK44" s="138"/>
      <c r="BL44" s="170">
        <v>1.0</v>
      </c>
      <c r="BM44" s="151">
        <v>1.0</v>
      </c>
      <c r="BN44" s="138"/>
      <c r="BO44" s="138"/>
      <c r="BP44" s="138"/>
      <c r="BQ44" s="151">
        <v>1.0</v>
      </c>
      <c r="BR44" s="140"/>
      <c r="BS44" s="152"/>
      <c r="BT44" s="187">
        <v>1.0</v>
      </c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20"/>
        <v>4</v>
      </c>
      <c r="CG44" s="190">
        <f t="shared" si="21"/>
        <v>44.44444444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2"/>
        <v>0</v>
      </c>
      <c r="CT44" s="194" t="str">
        <f t="shared" si="23"/>
        <v>#DIV/0!</v>
      </c>
      <c r="CU44" s="196"/>
      <c r="CV44" s="167">
        <f t="shared" si="24"/>
        <v>25</v>
      </c>
      <c r="CW44" s="169">
        <f t="shared" si="9"/>
        <v>6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10"/>
        <v>0</v>
      </c>
      <c r="E45" s="127">
        <f t="shared" si="11"/>
        <v>0</v>
      </c>
      <c r="F45" s="200">
        <f t="shared" si="12"/>
        <v>0</v>
      </c>
      <c r="G45" s="207">
        <f t="shared" si="13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4"/>
        <v>0</v>
      </c>
      <c r="S45" s="137">
        <f t="shared" si="15"/>
        <v>0</v>
      </c>
      <c r="T45" s="138"/>
      <c r="U45" s="138"/>
      <c r="V45" s="138"/>
      <c r="W45" s="132"/>
      <c r="X45" s="132"/>
      <c r="Y45" s="138"/>
      <c r="Z45" s="138"/>
      <c r="AA45" s="133"/>
      <c r="AB45" s="133"/>
      <c r="AC45" s="133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6"/>
        <v>0</v>
      </c>
      <c r="AM45" s="183">
        <f t="shared" si="17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8"/>
        <v>0</v>
      </c>
      <c r="BJ45" s="186">
        <f t="shared" si="19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20"/>
        <v>0</v>
      </c>
      <c r="CG45" s="190">
        <f t="shared" si="21"/>
        <v>0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2"/>
        <v>0</v>
      </c>
      <c r="CT45" s="194" t="str">
        <f t="shared" si="23"/>
        <v>#DIV/0!</v>
      </c>
      <c r="CU45" s="196"/>
      <c r="CV45" s="167">
        <f t="shared" si="24"/>
        <v>0</v>
      </c>
      <c r="CW45" s="169">
        <f t="shared" si="9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10"/>
        <v>3</v>
      </c>
      <c r="E46" s="127">
        <f t="shared" si="11"/>
        <v>12.5</v>
      </c>
      <c r="F46" s="200">
        <f t="shared" si="12"/>
        <v>12.5</v>
      </c>
      <c r="G46" s="207">
        <f t="shared" si="13"/>
        <v>12.5</v>
      </c>
      <c r="H46" s="132"/>
      <c r="I46" s="132"/>
      <c r="J46" s="201"/>
      <c r="K46" s="201"/>
      <c r="L46" s="201"/>
      <c r="M46" s="201"/>
      <c r="N46" s="201"/>
      <c r="O46" s="201"/>
      <c r="P46" s="201"/>
      <c r="Q46" s="201"/>
      <c r="R46" s="135">
        <f t="shared" si="14"/>
        <v>0</v>
      </c>
      <c r="S46" s="137">
        <f t="shared" si="15"/>
        <v>0</v>
      </c>
      <c r="T46" s="138"/>
      <c r="U46" s="138"/>
      <c r="V46" s="138"/>
      <c r="W46" s="132"/>
      <c r="X46" s="132"/>
      <c r="Y46" s="138"/>
      <c r="Z46" s="138"/>
      <c r="AA46" s="133"/>
      <c r="AB46" s="133"/>
      <c r="AC46" s="185">
        <v>1.0</v>
      </c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6"/>
        <v>1</v>
      </c>
      <c r="AM46" s="183">
        <f t="shared" si="17"/>
        <v>14.28571429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85">
        <v>1.0</v>
      </c>
      <c r="BI46" s="135">
        <f t="shared" si="18"/>
        <v>1</v>
      </c>
      <c r="BJ46" s="186">
        <f t="shared" si="19"/>
        <v>16.66666667</v>
      </c>
      <c r="BK46" s="138"/>
      <c r="BL46" s="132"/>
      <c r="BM46" s="151">
        <v>1.0</v>
      </c>
      <c r="BN46" s="138"/>
      <c r="BO46" s="138"/>
      <c r="BP46" s="138"/>
      <c r="BQ46" s="138"/>
      <c r="BR46" s="140"/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20"/>
        <v>1</v>
      </c>
      <c r="CG46" s="190">
        <f t="shared" si="21"/>
        <v>11.11111111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2"/>
        <v>0</v>
      </c>
      <c r="CT46" s="194" t="str">
        <f t="shared" si="23"/>
        <v>#DIV/0!</v>
      </c>
      <c r="CU46" s="196"/>
      <c r="CV46" s="167">
        <f t="shared" si="24"/>
        <v>12.5</v>
      </c>
      <c r="CW46" s="169">
        <f t="shared" si="9"/>
        <v>3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10"/>
        <v>16</v>
      </c>
      <c r="E47" s="127">
        <f t="shared" si="11"/>
        <v>66.66666667</v>
      </c>
      <c r="F47" s="175" t="str">
        <f t="shared" si="12"/>
        <v>  </v>
      </c>
      <c r="G47" s="177" t="str">
        <f t="shared" si="13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4"/>
        <v>0</v>
      </c>
      <c r="S47" s="137">
        <f t="shared" si="15"/>
        <v>0</v>
      </c>
      <c r="T47" s="138"/>
      <c r="U47" s="138"/>
      <c r="V47" s="138"/>
      <c r="W47" s="132"/>
      <c r="X47" s="170">
        <v>1.0</v>
      </c>
      <c r="Y47" s="138"/>
      <c r="Z47" s="151">
        <v>1.0</v>
      </c>
      <c r="AA47" s="185">
        <v>1.0</v>
      </c>
      <c r="AB47" s="185">
        <v>1.0</v>
      </c>
      <c r="AC47" s="185">
        <v>1.0</v>
      </c>
      <c r="AD47" s="140"/>
      <c r="AE47" s="141"/>
      <c r="AF47" s="210"/>
      <c r="AG47" s="211">
        <v>1.0</v>
      </c>
      <c r="AH47" s="211">
        <v>1.0</v>
      </c>
      <c r="AI47" s="210"/>
      <c r="AJ47" s="212"/>
      <c r="AK47" s="212"/>
      <c r="AL47" s="135">
        <f t="shared" si="16"/>
        <v>7</v>
      </c>
      <c r="AM47" s="183">
        <f t="shared" si="17"/>
        <v>100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85">
        <v>1.0</v>
      </c>
      <c r="AY47" s="133"/>
      <c r="AZ47" s="133"/>
      <c r="BA47" s="133"/>
      <c r="BB47" s="133"/>
      <c r="BC47" s="133"/>
      <c r="BD47" s="133"/>
      <c r="BE47" s="133"/>
      <c r="BF47" s="133"/>
      <c r="BG47" s="133"/>
      <c r="BH47" s="185">
        <v>1.0</v>
      </c>
      <c r="BI47" s="135">
        <f t="shared" si="18"/>
        <v>2</v>
      </c>
      <c r="BJ47" s="186">
        <f t="shared" si="19"/>
        <v>33.33333333</v>
      </c>
      <c r="BK47" s="138"/>
      <c r="BL47" s="170">
        <v>1.0</v>
      </c>
      <c r="BM47" s="151">
        <v>1.0</v>
      </c>
      <c r="BN47" s="138"/>
      <c r="BO47" s="138"/>
      <c r="BP47" s="138"/>
      <c r="BQ47" s="151">
        <v>1.0</v>
      </c>
      <c r="BR47" s="150">
        <v>1.0</v>
      </c>
      <c r="BS47" s="187">
        <v>1.0</v>
      </c>
      <c r="BT47" s="187">
        <v>1.0</v>
      </c>
      <c r="BU47" s="187">
        <v>1.0</v>
      </c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20"/>
        <v>7</v>
      </c>
      <c r="CG47" s="190">
        <f t="shared" si="21"/>
        <v>77.77777778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2"/>
        <v>0</v>
      </c>
      <c r="CT47" s="194" t="str">
        <f t="shared" si="23"/>
        <v>#DIV/0!</v>
      </c>
      <c r="CU47" s="196"/>
      <c r="CV47" s="167">
        <f t="shared" si="24"/>
        <v>66.66666667</v>
      </c>
      <c r="CW47" s="169">
        <f t="shared" si="9"/>
        <v>16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10"/>
        <v>5</v>
      </c>
      <c r="E48" s="127">
        <f t="shared" si="11"/>
        <v>20.83333333</v>
      </c>
      <c r="F48" s="200">
        <f t="shared" si="12"/>
        <v>20.83333333</v>
      </c>
      <c r="G48" s="207">
        <f t="shared" si="13"/>
        <v>20.83333333</v>
      </c>
      <c r="H48" s="258"/>
      <c r="I48" s="259"/>
      <c r="J48" s="260"/>
      <c r="K48" s="260"/>
      <c r="L48" s="260"/>
      <c r="M48" s="260"/>
      <c r="N48" s="260"/>
      <c r="O48" s="260"/>
      <c r="P48" s="260"/>
      <c r="Q48" s="260"/>
      <c r="R48" s="135">
        <f t="shared" si="14"/>
        <v>0</v>
      </c>
      <c r="S48" s="137">
        <f t="shared" si="15"/>
        <v>0</v>
      </c>
      <c r="T48" s="138"/>
      <c r="U48" s="138"/>
      <c r="V48" s="138"/>
      <c r="W48" s="132"/>
      <c r="X48" s="170">
        <v>1.0</v>
      </c>
      <c r="Y48" s="138"/>
      <c r="Z48" s="151">
        <v>1.0</v>
      </c>
      <c r="AA48" s="133"/>
      <c r="AB48" s="133"/>
      <c r="AC48" s="133"/>
      <c r="AD48" s="140"/>
      <c r="AE48" s="141"/>
      <c r="AF48" s="210"/>
      <c r="AG48" s="210"/>
      <c r="AH48" s="211">
        <v>1.0</v>
      </c>
      <c r="AI48" s="210"/>
      <c r="AJ48" s="212"/>
      <c r="AK48" s="212"/>
      <c r="AL48" s="135">
        <f t="shared" si="16"/>
        <v>3</v>
      </c>
      <c r="AM48" s="183">
        <f t="shared" si="17"/>
        <v>42.85714286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8"/>
        <v>0</v>
      </c>
      <c r="BJ48" s="186">
        <f t="shared" si="19"/>
        <v>0</v>
      </c>
      <c r="BK48" s="138"/>
      <c r="BL48" s="132"/>
      <c r="BM48" s="138"/>
      <c r="BN48" s="138"/>
      <c r="BO48" s="138"/>
      <c r="BP48" s="138"/>
      <c r="BQ48" s="151">
        <v>1.0</v>
      </c>
      <c r="BR48" s="140"/>
      <c r="BS48" s="187">
        <v>1.0</v>
      </c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20"/>
        <v>2</v>
      </c>
      <c r="CG48" s="190">
        <f t="shared" si="21"/>
        <v>22.22222222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2"/>
        <v>0</v>
      </c>
      <c r="CT48" s="194" t="str">
        <f t="shared" si="23"/>
        <v>#DIV/0!</v>
      </c>
      <c r="CU48" s="196"/>
      <c r="CV48" s="167">
        <f t="shared" si="24"/>
        <v>20.83333333</v>
      </c>
      <c r="CW48" s="169">
        <f t="shared" si="9"/>
        <v>5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10"/>
        <v>6</v>
      </c>
      <c r="E49" s="127">
        <f t="shared" si="11"/>
        <v>25</v>
      </c>
      <c r="F49" s="200">
        <f t="shared" si="12"/>
        <v>25</v>
      </c>
      <c r="G49" s="207">
        <f t="shared" si="13"/>
        <v>25</v>
      </c>
      <c r="H49" s="258"/>
      <c r="I49" s="261"/>
      <c r="J49" s="262"/>
      <c r="K49" s="262"/>
      <c r="L49" s="262"/>
      <c r="M49" s="262"/>
      <c r="N49" s="262"/>
      <c r="O49" s="262"/>
      <c r="P49" s="262"/>
      <c r="Q49" s="262"/>
      <c r="R49" s="135">
        <f t="shared" si="14"/>
        <v>0</v>
      </c>
      <c r="S49" s="137">
        <f t="shared" si="15"/>
        <v>0</v>
      </c>
      <c r="T49" s="138"/>
      <c r="U49" s="138"/>
      <c r="V49" s="138"/>
      <c r="W49" s="132"/>
      <c r="X49" s="170">
        <v>1.0</v>
      </c>
      <c r="Y49" s="138"/>
      <c r="Z49" s="151">
        <v>1.0</v>
      </c>
      <c r="AA49" s="133"/>
      <c r="AB49" s="133"/>
      <c r="AC49" s="133"/>
      <c r="AD49" s="140"/>
      <c r="AE49" s="141"/>
      <c r="AF49" s="226"/>
      <c r="AG49" s="226"/>
      <c r="AH49" s="238">
        <v>1.0</v>
      </c>
      <c r="AI49" s="226"/>
      <c r="AJ49" s="218"/>
      <c r="AK49" s="218"/>
      <c r="AL49" s="135">
        <f t="shared" si="16"/>
        <v>3</v>
      </c>
      <c r="AM49" s="183">
        <f t="shared" si="17"/>
        <v>42.85714286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8"/>
        <v>0</v>
      </c>
      <c r="BJ49" s="186">
        <f t="shared" si="19"/>
        <v>0</v>
      </c>
      <c r="BK49" s="138"/>
      <c r="BL49" s="132"/>
      <c r="BM49" s="138"/>
      <c r="BN49" s="138"/>
      <c r="BO49" s="138"/>
      <c r="BP49" s="138"/>
      <c r="BQ49" s="151">
        <v>1.0</v>
      </c>
      <c r="BR49" s="150">
        <v>1.0</v>
      </c>
      <c r="BS49" s="187">
        <v>1.0</v>
      </c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20"/>
        <v>3</v>
      </c>
      <c r="CG49" s="190">
        <f t="shared" si="21"/>
        <v>33.33333333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2"/>
        <v>0</v>
      </c>
      <c r="CT49" s="194" t="str">
        <f t="shared" si="23"/>
        <v>#DIV/0!</v>
      </c>
      <c r="CU49" s="196"/>
      <c r="CV49" s="167">
        <f t="shared" si="24"/>
        <v>25</v>
      </c>
      <c r="CW49" s="169">
        <f t="shared" si="9"/>
        <v>6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10"/>
        <v>3</v>
      </c>
      <c r="E50" s="127">
        <f t="shared" si="11"/>
        <v>12.5</v>
      </c>
      <c r="F50" s="200">
        <f t="shared" si="12"/>
        <v>12.5</v>
      </c>
      <c r="G50" s="207">
        <f t="shared" si="13"/>
        <v>12.5</v>
      </c>
      <c r="H50" s="258"/>
      <c r="I50" s="258"/>
      <c r="J50" s="263"/>
      <c r="K50" s="263"/>
      <c r="L50" s="263"/>
      <c r="M50" s="263"/>
      <c r="N50" s="263"/>
      <c r="O50" s="263"/>
      <c r="P50" s="263"/>
      <c r="Q50" s="263"/>
      <c r="R50" s="135">
        <f t="shared" si="14"/>
        <v>0</v>
      </c>
      <c r="S50" s="137">
        <f t="shared" si="15"/>
        <v>0</v>
      </c>
      <c r="T50" s="138"/>
      <c r="U50" s="138"/>
      <c r="V50" s="138"/>
      <c r="W50" s="132"/>
      <c r="X50" s="170">
        <v>1.0</v>
      </c>
      <c r="Y50" s="138"/>
      <c r="Z50" s="138"/>
      <c r="AA50" s="133"/>
      <c r="AB50" s="133"/>
      <c r="AC50" s="133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6"/>
        <v>1</v>
      </c>
      <c r="AM50" s="183">
        <f t="shared" si="17"/>
        <v>14.28571429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5">
        <f t="shared" si="18"/>
        <v>0</v>
      </c>
      <c r="BJ50" s="186">
        <f t="shared" si="19"/>
        <v>0</v>
      </c>
      <c r="BK50" s="138"/>
      <c r="BL50" s="132"/>
      <c r="BM50" s="138"/>
      <c r="BN50" s="138"/>
      <c r="BO50" s="138"/>
      <c r="BP50" s="138"/>
      <c r="BQ50" s="151">
        <v>1.0</v>
      </c>
      <c r="BR50" s="140"/>
      <c r="BS50" s="152"/>
      <c r="BT50" s="187">
        <v>1.0</v>
      </c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20"/>
        <v>2</v>
      </c>
      <c r="CG50" s="190">
        <f t="shared" si="21"/>
        <v>22.22222222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2"/>
        <v>0</v>
      </c>
      <c r="CT50" s="194" t="str">
        <f t="shared" si="23"/>
        <v>#DIV/0!</v>
      </c>
      <c r="CU50" s="196"/>
      <c r="CV50" s="167">
        <f t="shared" si="24"/>
        <v>12.5</v>
      </c>
      <c r="CW50" s="169">
        <f t="shared" si="9"/>
        <v>3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10"/>
        <v>9</v>
      </c>
      <c r="E51" s="127">
        <f t="shared" si="11"/>
        <v>37.5</v>
      </c>
      <c r="F51" s="200">
        <f t="shared" si="12"/>
        <v>37.5</v>
      </c>
      <c r="G51" s="177" t="str">
        <f t="shared" si="13"/>
        <v>  </v>
      </c>
      <c r="H51" s="258"/>
      <c r="I51" s="265"/>
      <c r="J51" s="266"/>
      <c r="K51" s="266"/>
      <c r="L51" s="266"/>
      <c r="M51" s="266"/>
      <c r="N51" s="266"/>
      <c r="O51" s="266"/>
      <c r="P51" s="266"/>
      <c r="Q51" s="266"/>
      <c r="R51" s="135">
        <f t="shared" si="14"/>
        <v>0</v>
      </c>
      <c r="S51" s="137">
        <f t="shared" si="15"/>
        <v>0</v>
      </c>
      <c r="T51" s="138"/>
      <c r="U51" s="138"/>
      <c r="V51" s="138"/>
      <c r="W51" s="132"/>
      <c r="X51" s="132"/>
      <c r="Y51" s="138"/>
      <c r="Z51" s="151">
        <v>1.0</v>
      </c>
      <c r="AA51" s="185">
        <v>1.0</v>
      </c>
      <c r="AB51" s="185">
        <v>1.0</v>
      </c>
      <c r="AC51" s="185">
        <v>1.0</v>
      </c>
      <c r="AD51" s="140"/>
      <c r="AE51" s="141"/>
      <c r="AF51" s="248"/>
      <c r="AG51" s="256">
        <v>1.0</v>
      </c>
      <c r="AH51" s="248"/>
      <c r="AI51" s="248"/>
      <c r="AJ51" s="249"/>
      <c r="AK51" s="249"/>
      <c r="AL51" s="135">
        <f t="shared" si="16"/>
        <v>5</v>
      </c>
      <c r="AM51" s="183">
        <f t="shared" si="17"/>
        <v>71.42857143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85">
        <v>1.0</v>
      </c>
      <c r="BI51" s="135">
        <f t="shared" si="18"/>
        <v>1</v>
      </c>
      <c r="BJ51" s="186">
        <f t="shared" si="19"/>
        <v>16.66666667</v>
      </c>
      <c r="BK51" s="138"/>
      <c r="BL51" s="132"/>
      <c r="BM51" s="138"/>
      <c r="BN51" s="138"/>
      <c r="BO51" s="138"/>
      <c r="BP51" s="151">
        <v>1.0</v>
      </c>
      <c r="BQ51" s="138"/>
      <c r="BR51" s="140"/>
      <c r="BS51" s="152"/>
      <c r="BT51" s="187">
        <v>1.0</v>
      </c>
      <c r="BU51" s="187">
        <v>1.0</v>
      </c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20"/>
        <v>3</v>
      </c>
      <c r="CG51" s="190">
        <f t="shared" si="21"/>
        <v>33.33333333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2"/>
        <v>0</v>
      </c>
      <c r="CT51" s="194" t="str">
        <f t="shared" si="23"/>
        <v>#DIV/0!</v>
      </c>
      <c r="CU51" s="196"/>
      <c r="CV51" s="167">
        <f t="shared" si="24"/>
        <v>37.5</v>
      </c>
      <c r="CW51" s="169">
        <f t="shared" si="9"/>
        <v>9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10"/>
        <v>7</v>
      </c>
      <c r="E52" s="127">
        <f t="shared" si="11"/>
        <v>29.16666667</v>
      </c>
      <c r="F52" s="200">
        <f t="shared" si="12"/>
        <v>29.16666667</v>
      </c>
      <c r="G52" s="207">
        <f t="shared" si="13"/>
        <v>29.16666667</v>
      </c>
      <c r="H52" s="258"/>
      <c r="I52" s="258"/>
      <c r="J52" s="263"/>
      <c r="K52" s="263"/>
      <c r="L52" s="263"/>
      <c r="M52" s="263"/>
      <c r="N52" s="269">
        <v>1.0</v>
      </c>
      <c r="O52" s="263"/>
      <c r="P52" s="263"/>
      <c r="Q52" s="263"/>
      <c r="R52" s="135">
        <f t="shared" si="14"/>
        <v>1</v>
      </c>
      <c r="S52" s="137">
        <f t="shared" si="15"/>
        <v>50</v>
      </c>
      <c r="T52" s="138"/>
      <c r="U52" s="138"/>
      <c r="V52" s="138"/>
      <c r="W52" s="132"/>
      <c r="X52" s="132"/>
      <c r="Y52" s="138"/>
      <c r="Z52" s="151">
        <v>1.0</v>
      </c>
      <c r="AA52" s="185">
        <v>1.0</v>
      </c>
      <c r="AB52" s="133"/>
      <c r="AC52" s="185">
        <v>1.0</v>
      </c>
      <c r="AD52" s="140"/>
      <c r="AE52" s="141"/>
      <c r="AF52" s="210"/>
      <c r="AG52" s="211">
        <v>1.0</v>
      </c>
      <c r="AH52" s="211">
        <v>1.0</v>
      </c>
      <c r="AI52" s="210"/>
      <c r="AJ52" s="212"/>
      <c r="AK52" s="212"/>
      <c r="AL52" s="135">
        <f t="shared" si="16"/>
        <v>5</v>
      </c>
      <c r="AM52" s="183">
        <f t="shared" si="17"/>
        <v>71.42857143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85">
        <v>1.0</v>
      </c>
      <c r="BG52" s="133"/>
      <c r="BH52" s="133"/>
      <c r="BI52" s="135">
        <f t="shared" si="18"/>
        <v>1</v>
      </c>
      <c r="BJ52" s="186">
        <f t="shared" si="19"/>
        <v>16.66666667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20"/>
        <v>0</v>
      </c>
      <c r="CG52" s="190">
        <f t="shared" si="21"/>
        <v>0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2"/>
        <v>0</v>
      </c>
      <c r="CT52" s="194" t="str">
        <f t="shared" si="23"/>
        <v>#DIV/0!</v>
      </c>
      <c r="CU52" s="196"/>
      <c r="CV52" s="167">
        <f t="shared" si="24"/>
        <v>29.16666667</v>
      </c>
      <c r="CW52" s="169">
        <f t="shared" si="9"/>
        <v>7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10"/>
        <v>10</v>
      </c>
      <c r="E53" s="127">
        <f t="shared" si="11"/>
        <v>41.66666667</v>
      </c>
      <c r="F53" s="200">
        <f t="shared" si="12"/>
        <v>41.66666667</v>
      </c>
      <c r="G53" s="177" t="str">
        <f t="shared" si="13"/>
        <v>  </v>
      </c>
      <c r="H53" s="258"/>
      <c r="I53" s="258"/>
      <c r="J53" s="263"/>
      <c r="K53" s="263"/>
      <c r="L53" s="263"/>
      <c r="M53" s="263"/>
      <c r="N53" s="263"/>
      <c r="O53" s="263"/>
      <c r="P53" s="263"/>
      <c r="Q53" s="263"/>
      <c r="R53" s="135">
        <f t="shared" si="14"/>
        <v>0</v>
      </c>
      <c r="S53" s="137">
        <f t="shared" si="15"/>
        <v>0</v>
      </c>
      <c r="T53" s="138"/>
      <c r="U53" s="138"/>
      <c r="V53" s="138"/>
      <c r="W53" s="132"/>
      <c r="X53" s="132"/>
      <c r="Y53" s="138"/>
      <c r="Z53" s="151">
        <v>1.0</v>
      </c>
      <c r="AA53" s="133"/>
      <c r="AB53" s="185">
        <v>1.0</v>
      </c>
      <c r="AC53" s="185">
        <v>1.0</v>
      </c>
      <c r="AD53" s="140"/>
      <c r="AE53" s="141"/>
      <c r="AF53" s="210"/>
      <c r="AG53" s="211">
        <v>1.0</v>
      </c>
      <c r="AH53" s="210"/>
      <c r="AI53" s="210"/>
      <c r="AJ53" s="212"/>
      <c r="AK53" s="212"/>
      <c r="AL53" s="135">
        <f t="shared" si="16"/>
        <v>4</v>
      </c>
      <c r="AM53" s="183">
        <f t="shared" si="17"/>
        <v>57.14285714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85">
        <v>1.0</v>
      </c>
      <c r="BG53" s="133"/>
      <c r="BH53" s="185">
        <v>1.0</v>
      </c>
      <c r="BI53" s="135">
        <f t="shared" si="18"/>
        <v>2</v>
      </c>
      <c r="BJ53" s="186">
        <f t="shared" si="19"/>
        <v>33.33333333</v>
      </c>
      <c r="BK53" s="138"/>
      <c r="BL53" s="170">
        <v>1.0</v>
      </c>
      <c r="BM53" s="151">
        <v>1.0</v>
      </c>
      <c r="BN53" s="138"/>
      <c r="BO53" s="138"/>
      <c r="BP53" s="151">
        <v>1.0</v>
      </c>
      <c r="BQ53" s="151">
        <v>1.0</v>
      </c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20"/>
        <v>4</v>
      </c>
      <c r="CG53" s="190">
        <f t="shared" si="21"/>
        <v>44.44444444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2"/>
        <v>0</v>
      </c>
      <c r="CT53" s="194" t="str">
        <f t="shared" si="23"/>
        <v>#DIV/0!</v>
      </c>
      <c r="CU53" s="196"/>
      <c r="CV53" s="167">
        <f t="shared" si="24"/>
        <v>41.66666667</v>
      </c>
      <c r="CW53" s="169">
        <f t="shared" si="9"/>
        <v>10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10"/>
        <v>5</v>
      </c>
      <c r="E54" s="127">
        <f t="shared" si="11"/>
        <v>20.83333333</v>
      </c>
      <c r="F54" s="200">
        <f t="shared" si="12"/>
        <v>20.83333333</v>
      </c>
      <c r="G54" s="207">
        <f t="shared" si="13"/>
        <v>20.83333333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4"/>
        <v>0</v>
      </c>
      <c r="S54" s="137">
        <f t="shared" si="15"/>
        <v>0</v>
      </c>
      <c r="T54" s="138"/>
      <c r="U54" s="138"/>
      <c r="V54" s="138"/>
      <c r="W54" s="132"/>
      <c r="X54" s="132"/>
      <c r="Y54" s="138"/>
      <c r="Z54" s="138"/>
      <c r="AA54" s="133"/>
      <c r="AB54" s="133"/>
      <c r="AC54" s="133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6"/>
        <v>0</v>
      </c>
      <c r="AM54" s="183">
        <f t="shared" si="17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8"/>
        <v>0</v>
      </c>
      <c r="BJ54" s="186">
        <f t="shared" si="19"/>
        <v>0</v>
      </c>
      <c r="BK54" s="138"/>
      <c r="BL54" s="132"/>
      <c r="BM54" s="138"/>
      <c r="BN54" s="138"/>
      <c r="BO54" s="138"/>
      <c r="BP54" s="151">
        <v>1.0</v>
      </c>
      <c r="BQ54" s="151">
        <v>1.0</v>
      </c>
      <c r="BR54" s="150">
        <v>1.0</v>
      </c>
      <c r="BS54" s="187">
        <v>1.0</v>
      </c>
      <c r="BT54" s="187">
        <v>1.0</v>
      </c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20"/>
        <v>5</v>
      </c>
      <c r="CG54" s="190">
        <f t="shared" si="21"/>
        <v>55.55555556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2"/>
        <v>0</v>
      </c>
      <c r="CT54" s="194" t="str">
        <f t="shared" si="23"/>
        <v>#DIV/0!</v>
      </c>
      <c r="CU54" s="196"/>
      <c r="CV54" s="167">
        <f t="shared" si="24"/>
        <v>20.83333333</v>
      </c>
      <c r="CW54" s="169">
        <f t="shared" si="9"/>
        <v>5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10"/>
        <v>6</v>
      </c>
      <c r="E55" s="127">
        <f t="shared" si="11"/>
        <v>25</v>
      </c>
      <c r="F55" s="200">
        <f t="shared" si="12"/>
        <v>25</v>
      </c>
      <c r="G55" s="207">
        <f t="shared" si="13"/>
        <v>25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4"/>
        <v>0</v>
      </c>
      <c r="S55" s="137">
        <f t="shared" si="15"/>
        <v>0</v>
      </c>
      <c r="T55" s="138"/>
      <c r="U55" s="138"/>
      <c r="V55" s="138"/>
      <c r="W55" s="132"/>
      <c r="X55" s="170">
        <v>1.0</v>
      </c>
      <c r="Y55" s="138"/>
      <c r="Z55" s="151">
        <v>1.0</v>
      </c>
      <c r="AA55" s="133"/>
      <c r="AB55" s="185">
        <v>1.0</v>
      </c>
      <c r="AC55" s="185">
        <v>1.0</v>
      </c>
      <c r="AD55" s="140"/>
      <c r="AE55" s="141"/>
      <c r="AF55" s="210"/>
      <c r="AG55" s="211">
        <v>1.0</v>
      </c>
      <c r="AH55" s="210"/>
      <c r="AI55" s="210"/>
      <c r="AJ55" s="212"/>
      <c r="AK55" s="212"/>
      <c r="AL55" s="135">
        <f t="shared" si="16"/>
        <v>5</v>
      </c>
      <c r="AM55" s="183">
        <f t="shared" si="17"/>
        <v>71.42857143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8"/>
        <v>0</v>
      </c>
      <c r="BJ55" s="186">
        <f t="shared" si="19"/>
        <v>0</v>
      </c>
      <c r="BK55" s="138"/>
      <c r="BL55" s="132"/>
      <c r="BM55" s="138"/>
      <c r="BN55" s="138"/>
      <c r="BO55" s="138"/>
      <c r="BP55" s="138"/>
      <c r="BQ55" s="138"/>
      <c r="BR55" s="150">
        <v>1.0</v>
      </c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20"/>
        <v>1</v>
      </c>
      <c r="CG55" s="190">
        <f t="shared" si="21"/>
        <v>11.11111111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2"/>
        <v>0</v>
      </c>
      <c r="CT55" s="194" t="str">
        <f t="shared" si="23"/>
        <v>#DIV/0!</v>
      </c>
      <c r="CU55" s="196"/>
      <c r="CV55" s="167">
        <f t="shared" si="24"/>
        <v>25</v>
      </c>
      <c r="CW55" s="169">
        <f t="shared" si="9"/>
        <v>6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10"/>
        <v>8</v>
      </c>
      <c r="E56" s="127">
        <f t="shared" si="11"/>
        <v>33.33333333</v>
      </c>
      <c r="F56" s="200">
        <f t="shared" si="12"/>
        <v>33.33333333</v>
      </c>
      <c r="G56" s="207" t="str">
        <f t="shared" si="13"/>
        <v>  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4"/>
        <v>0</v>
      </c>
      <c r="S56" s="137">
        <f t="shared" si="15"/>
        <v>0</v>
      </c>
      <c r="T56" s="138"/>
      <c r="U56" s="138"/>
      <c r="V56" s="138"/>
      <c r="W56" s="132"/>
      <c r="X56" s="170">
        <v>1.0</v>
      </c>
      <c r="Y56" s="138"/>
      <c r="Z56" s="138"/>
      <c r="AA56" s="133"/>
      <c r="AB56" s="133"/>
      <c r="AC56" s="185">
        <v>1.0</v>
      </c>
      <c r="AD56" s="140"/>
      <c r="AE56" s="141"/>
      <c r="AF56" s="210"/>
      <c r="AG56" s="211">
        <v>1.0</v>
      </c>
      <c r="AH56" s="210"/>
      <c r="AI56" s="210"/>
      <c r="AJ56" s="212"/>
      <c r="AK56" s="212"/>
      <c r="AL56" s="135">
        <f t="shared" si="16"/>
        <v>3</v>
      </c>
      <c r="AM56" s="183">
        <f t="shared" si="17"/>
        <v>42.85714286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85">
        <v>1.0</v>
      </c>
      <c r="BI56" s="135">
        <f t="shared" si="18"/>
        <v>1</v>
      </c>
      <c r="BJ56" s="186">
        <f t="shared" si="19"/>
        <v>16.66666667</v>
      </c>
      <c r="BK56" s="151">
        <v>1.0</v>
      </c>
      <c r="BL56" s="170">
        <v>1.0</v>
      </c>
      <c r="BM56" s="138"/>
      <c r="BN56" s="138"/>
      <c r="BO56" s="138"/>
      <c r="BP56" s="138"/>
      <c r="BQ56" s="138"/>
      <c r="BR56" s="150">
        <v>1.0</v>
      </c>
      <c r="BS56" s="152"/>
      <c r="BT56" s="187">
        <v>1.0</v>
      </c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20"/>
        <v>4</v>
      </c>
      <c r="CG56" s="190">
        <f t="shared" si="21"/>
        <v>44.44444444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2"/>
        <v>0</v>
      </c>
      <c r="CT56" s="194" t="str">
        <f t="shared" si="23"/>
        <v>#DIV/0!</v>
      </c>
      <c r="CU56" s="196"/>
      <c r="CV56" s="167">
        <f t="shared" si="24"/>
        <v>33.33333333</v>
      </c>
      <c r="CW56" s="169">
        <f t="shared" si="9"/>
        <v>8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10"/>
        <v>8</v>
      </c>
      <c r="E57" s="127">
        <f t="shared" si="11"/>
        <v>33.33333333</v>
      </c>
      <c r="F57" s="200">
        <f t="shared" si="12"/>
        <v>33.33333333</v>
      </c>
      <c r="G57" s="177" t="str">
        <f t="shared" si="13"/>
        <v>  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4"/>
        <v>0</v>
      </c>
      <c r="S57" s="137">
        <f t="shared" si="15"/>
        <v>0</v>
      </c>
      <c r="T57" s="138"/>
      <c r="U57" s="138"/>
      <c r="V57" s="138"/>
      <c r="W57" s="132"/>
      <c r="X57" s="170">
        <v>1.0</v>
      </c>
      <c r="Y57" s="138"/>
      <c r="Z57" s="151">
        <v>1.0</v>
      </c>
      <c r="AA57" s="133"/>
      <c r="AB57" s="185">
        <v>1.0</v>
      </c>
      <c r="AC57" s="185">
        <v>1.0</v>
      </c>
      <c r="AD57" s="140"/>
      <c r="AE57" s="141"/>
      <c r="AF57" s="210"/>
      <c r="AG57" s="211">
        <v>1.0</v>
      </c>
      <c r="AH57" s="210"/>
      <c r="AI57" s="210"/>
      <c r="AJ57" s="212"/>
      <c r="AK57" s="212"/>
      <c r="AL57" s="135">
        <f t="shared" si="16"/>
        <v>5</v>
      </c>
      <c r="AM57" s="183">
        <f t="shared" si="17"/>
        <v>71.42857143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85">
        <v>1.0</v>
      </c>
      <c r="BG57" s="133"/>
      <c r="BH57" s="133"/>
      <c r="BI57" s="135">
        <f t="shared" si="18"/>
        <v>1</v>
      </c>
      <c r="BJ57" s="186">
        <f t="shared" si="19"/>
        <v>16.66666667</v>
      </c>
      <c r="BK57" s="138"/>
      <c r="BL57" s="170">
        <v>1.0</v>
      </c>
      <c r="BM57" s="138"/>
      <c r="BN57" s="138"/>
      <c r="BO57" s="138"/>
      <c r="BP57" s="138"/>
      <c r="BQ57" s="138"/>
      <c r="BR57" s="150">
        <v>1.0</v>
      </c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20"/>
        <v>2</v>
      </c>
      <c r="CG57" s="190">
        <f t="shared" si="21"/>
        <v>22.22222222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2"/>
        <v>0</v>
      </c>
      <c r="CT57" s="194" t="str">
        <f t="shared" si="23"/>
        <v>#DIV/0!</v>
      </c>
      <c r="CU57" s="196"/>
      <c r="CV57" s="167">
        <f t="shared" si="24"/>
        <v>33.33333333</v>
      </c>
      <c r="CW57" s="169">
        <f t="shared" si="9"/>
        <v>8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10"/>
        <v>10</v>
      </c>
      <c r="E58" s="127">
        <f t="shared" si="11"/>
        <v>41.66666667</v>
      </c>
      <c r="F58" s="200">
        <f t="shared" si="12"/>
        <v>41.66666667</v>
      </c>
      <c r="G58" s="177" t="str">
        <f t="shared" si="13"/>
        <v>  </v>
      </c>
      <c r="H58" s="258"/>
      <c r="I58" s="261"/>
      <c r="J58" s="262"/>
      <c r="K58" s="262"/>
      <c r="L58" s="262"/>
      <c r="M58" s="262"/>
      <c r="N58" s="262"/>
      <c r="O58" s="262"/>
      <c r="P58" s="262"/>
      <c r="Q58" s="262"/>
      <c r="R58" s="135">
        <f t="shared" si="14"/>
        <v>0</v>
      </c>
      <c r="S58" s="137">
        <f t="shared" si="15"/>
        <v>0</v>
      </c>
      <c r="T58" s="138"/>
      <c r="U58" s="138"/>
      <c r="V58" s="138"/>
      <c r="W58" s="132"/>
      <c r="X58" s="132"/>
      <c r="Y58" s="138"/>
      <c r="Z58" s="138"/>
      <c r="AA58" s="133"/>
      <c r="AB58" s="185">
        <v>1.0</v>
      </c>
      <c r="AC58" s="185">
        <v>1.0</v>
      </c>
      <c r="AD58" s="140"/>
      <c r="AE58" s="141"/>
      <c r="AF58" s="226"/>
      <c r="AG58" s="226"/>
      <c r="AH58" s="226"/>
      <c r="AI58" s="226"/>
      <c r="AJ58" s="218"/>
      <c r="AK58" s="218"/>
      <c r="AL58" s="135">
        <f t="shared" si="16"/>
        <v>2</v>
      </c>
      <c r="AM58" s="183">
        <f t="shared" si="17"/>
        <v>28.57142857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85">
        <v>1.0</v>
      </c>
      <c r="BG58" s="133"/>
      <c r="BH58" s="185">
        <v>1.0</v>
      </c>
      <c r="BI58" s="135">
        <f t="shared" si="18"/>
        <v>2</v>
      </c>
      <c r="BJ58" s="186">
        <f t="shared" si="19"/>
        <v>33.33333333</v>
      </c>
      <c r="BK58" s="138"/>
      <c r="BL58" s="170">
        <v>1.0</v>
      </c>
      <c r="BM58" s="151">
        <v>1.0</v>
      </c>
      <c r="BN58" s="138"/>
      <c r="BO58" s="138"/>
      <c r="BP58" s="138"/>
      <c r="BQ58" s="151">
        <v>1.0</v>
      </c>
      <c r="BR58" s="150">
        <v>1.0</v>
      </c>
      <c r="BS58" s="152"/>
      <c r="BT58" s="187">
        <v>1.0</v>
      </c>
      <c r="BU58" s="187">
        <v>1.0</v>
      </c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20"/>
        <v>6</v>
      </c>
      <c r="CG58" s="190">
        <f t="shared" si="21"/>
        <v>66.66666667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2"/>
        <v>0</v>
      </c>
      <c r="CT58" s="194" t="str">
        <f t="shared" si="23"/>
        <v>#DIV/0!</v>
      </c>
      <c r="CU58" s="196"/>
      <c r="CV58" s="167">
        <f t="shared" si="24"/>
        <v>41.66666667</v>
      </c>
      <c r="CW58" s="169">
        <f t="shared" si="9"/>
        <v>10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10"/>
        <v>5</v>
      </c>
      <c r="E59" s="127">
        <f t="shared" si="11"/>
        <v>20.83333333</v>
      </c>
      <c r="F59" s="200">
        <f t="shared" si="12"/>
        <v>20.83333333</v>
      </c>
      <c r="G59" s="207">
        <f t="shared" si="13"/>
        <v>20.83333333</v>
      </c>
      <c r="H59" s="258"/>
      <c r="I59" s="261"/>
      <c r="J59" s="262"/>
      <c r="K59" s="262"/>
      <c r="L59" s="262"/>
      <c r="M59" s="262"/>
      <c r="N59" s="262"/>
      <c r="O59" s="262"/>
      <c r="P59" s="262"/>
      <c r="Q59" s="262"/>
      <c r="R59" s="135">
        <f t="shared" si="14"/>
        <v>0</v>
      </c>
      <c r="S59" s="137">
        <f t="shared" si="15"/>
        <v>0</v>
      </c>
      <c r="T59" s="138"/>
      <c r="U59" s="138"/>
      <c r="V59" s="138"/>
      <c r="W59" s="132"/>
      <c r="X59" s="170">
        <v>1.0</v>
      </c>
      <c r="Y59" s="138"/>
      <c r="Z59" s="151">
        <v>1.0</v>
      </c>
      <c r="AA59" s="133"/>
      <c r="AB59" s="133"/>
      <c r="AC59" s="133"/>
      <c r="AD59" s="140"/>
      <c r="AE59" s="141"/>
      <c r="AF59" s="226"/>
      <c r="AG59" s="226"/>
      <c r="AH59" s="238">
        <v>1.0</v>
      </c>
      <c r="AI59" s="226"/>
      <c r="AJ59" s="218"/>
      <c r="AK59" s="218"/>
      <c r="AL59" s="135">
        <f t="shared" si="16"/>
        <v>3</v>
      </c>
      <c r="AM59" s="183">
        <f t="shared" si="17"/>
        <v>42.85714286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5">
        <f t="shared" si="18"/>
        <v>0</v>
      </c>
      <c r="BJ59" s="186">
        <f t="shared" si="19"/>
        <v>0</v>
      </c>
      <c r="BK59" s="138"/>
      <c r="BL59" s="132"/>
      <c r="BM59" s="138"/>
      <c r="BN59" s="138"/>
      <c r="BO59" s="138"/>
      <c r="BP59" s="138"/>
      <c r="BQ59" s="151">
        <v>1.0</v>
      </c>
      <c r="BR59" s="150">
        <v>1.0</v>
      </c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20"/>
        <v>2</v>
      </c>
      <c r="CG59" s="190">
        <f t="shared" si="21"/>
        <v>22.22222222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2"/>
        <v>0</v>
      </c>
      <c r="CT59" s="194" t="str">
        <f t="shared" si="23"/>
        <v>#DIV/0!</v>
      </c>
      <c r="CU59" s="196"/>
      <c r="CV59" s="167">
        <f t="shared" si="24"/>
        <v>20.83333333</v>
      </c>
      <c r="CW59" s="169">
        <f t="shared" si="9"/>
        <v>5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10"/>
        <v>4</v>
      </c>
      <c r="E60" s="127">
        <f t="shared" si="11"/>
        <v>16.66666667</v>
      </c>
      <c r="F60" s="200">
        <f t="shared" si="12"/>
        <v>16.66666667</v>
      </c>
      <c r="G60" s="207">
        <f t="shared" si="13"/>
        <v>16.66666667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4"/>
        <v>0</v>
      </c>
      <c r="S60" s="137">
        <f t="shared" si="15"/>
        <v>0</v>
      </c>
      <c r="T60" s="138"/>
      <c r="U60" s="138"/>
      <c r="V60" s="138"/>
      <c r="W60" s="132"/>
      <c r="X60" s="132"/>
      <c r="Y60" s="138"/>
      <c r="Z60" s="138"/>
      <c r="AA60" s="133"/>
      <c r="AB60" s="133"/>
      <c r="AC60" s="133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6"/>
        <v>0</v>
      </c>
      <c r="AM60" s="183">
        <f t="shared" si="17"/>
        <v>0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85">
        <v>1.0</v>
      </c>
      <c r="BG60" s="133"/>
      <c r="BH60" s="185">
        <v>1.0</v>
      </c>
      <c r="BI60" s="135">
        <f t="shared" si="18"/>
        <v>2</v>
      </c>
      <c r="BJ60" s="186">
        <f t="shared" si="19"/>
        <v>33.33333333</v>
      </c>
      <c r="BK60" s="138"/>
      <c r="BL60" s="132"/>
      <c r="BM60" s="151">
        <v>1.0</v>
      </c>
      <c r="BN60" s="138"/>
      <c r="BO60" s="138"/>
      <c r="BP60" s="151">
        <v>1.0</v>
      </c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20"/>
        <v>2</v>
      </c>
      <c r="CG60" s="190">
        <f t="shared" si="21"/>
        <v>22.22222222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2"/>
        <v>0</v>
      </c>
      <c r="CT60" s="194" t="str">
        <f t="shared" si="23"/>
        <v>#DIV/0!</v>
      </c>
      <c r="CU60" s="196"/>
      <c r="CV60" s="167">
        <f t="shared" si="24"/>
        <v>16.66666667</v>
      </c>
      <c r="CW60" s="169">
        <f t="shared" si="9"/>
        <v>4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10"/>
        <v>14</v>
      </c>
      <c r="E61" s="127">
        <f t="shared" si="11"/>
        <v>58.33333333</v>
      </c>
      <c r="F61" s="200" t="str">
        <f t="shared" si="12"/>
        <v>  </v>
      </c>
      <c r="G61" s="177" t="str">
        <f t="shared" si="13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4"/>
        <v>0</v>
      </c>
      <c r="S61" s="137">
        <f t="shared" si="15"/>
        <v>0</v>
      </c>
      <c r="T61" s="138"/>
      <c r="U61" s="138"/>
      <c r="V61" s="138"/>
      <c r="W61" s="132"/>
      <c r="X61" s="132"/>
      <c r="Y61" s="138"/>
      <c r="Z61" s="151">
        <v>1.0</v>
      </c>
      <c r="AA61" s="185">
        <v>1.0</v>
      </c>
      <c r="AB61" s="185">
        <v>1.0</v>
      </c>
      <c r="AC61" s="185">
        <v>1.0</v>
      </c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6"/>
        <v>4</v>
      </c>
      <c r="AM61" s="183">
        <f t="shared" si="17"/>
        <v>57.14285714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85"/>
      <c r="AY61" s="133"/>
      <c r="AZ61" s="133"/>
      <c r="BA61" s="133"/>
      <c r="BB61" s="133"/>
      <c r="BC61" s="133"/>
      <c r="BD61" s="133"/>
      <c r="BE61" s="133"/>
      <c r="BF61" s="185">
        <v>1.0</v>
      </c>
      <c r="BG61" s="133"/>
      <c r="BH61" s="185">
        <v>1.0</v>
      </c>
      <c r="BI61" s="135">
        <f t="shared" si="18"/>
        <v>2</v>
      </c>
      <c r="BJ61" s="186">
        <f t="shared" si="19"/>
        <v>33.33333333</v>
      </c>
      <c r="BK61" s="151">
        <v>1.0</v>
      </c>
      <c r="BL61" s="170">
        <v>1.0</v>
      </c>
      <c r="BM61" s="151">
        <v>1.0</v>
      </c>
      <c r="BN61" s="138"/>
      <c r="BO61" s="138"/>
      <c r="BP61" s="151">
        <v>1.0</v>
      </c>
      <c r="BQ61" s="151">
        <v>1.0</v>
      </c>
      <c r="BR61" s="140"/>
      <c r="BS61" s="187">
        <v>1.0</v>
      </c>
      <c r="BT61" s="187">
        <v>1.0</v>
      </c>
      <c r="BU61" s="187">
        <v>1.0</v>
      </c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20"/>
        <v>8</v>
      </c>
      <c r="CG61" s="190">
        <f t="shared" si="21"/>
        <v>88.88888889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2"/>
        <v>0</v>
      </c>
      <c r="CT61" s="194" t="str">
        <f t="shared" si="23"/>
        <v>#DIV/0!</v>
      </c>
      <c r="CU61" s="196"/>
      <c r="CV61" s="167">
        <f t="shared" si="24"/>
        <v>58.33333333</v>
      </c>
      <c r="CW61" s="169">
        <f t="shared" si="9"/>
        <v>14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10"/>
        <v>4</v>
      </c>
      <c r="E62" s="127">
        <f t="shared" si="11"/>
        <v>16.66666667</v>
      </c>
      <c r="F62" s="200">
        <f t="shared" si="12"/>
        <v>16.66666667</v>
      </c>
      <c r="G62" s="207">
        <f t="shared" si="13"/>
        <v>16.66666667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4"/>
        <v>0</v>
      </c>
      <c r="S62" s="137">
        <f t="shared" si="15"/>
        <v>0</v>
      </c>
      <c r="T62" s="138"/>
      <c r="U62" s="138"/>
      <c r="V62" s="138"/>
      <c r="W62" s="132"/>
      <c r="X62" s="132"/>
      <c r="Y62" s="138"/>
      <c r="Z62" s="151">
        <v>1.0</v>
      </c>
      <c r="AA62" s="185">
        <v>1.0</v>
      </c>
      <c r="AB62" s="185">
        <v>1.0</v>
      </c>
      <c r="AC62" s="133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6"/>
        <v>3</v>
      </c>
      <c r="AM62" s="183">
        <f t="shared" si="17"/>
        <v>42.85714286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8"/>
        <v>0</v>
      </c>
      <c r="BJ62" s="186">
        <f t="shared" si="19"/>
        <v>0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87">
        <v>1.0</v>
      </c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20"/>
        <v>1</v>
      </c>
      <c r="CG62" s="190">
        <f t="shared" si="21"/>
        <v>11.11111111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2"/>
        <v>0</v>
      </c>
      <c r="CT62" s="194" t="str">
        <f t="shared" si="23"/>
        <v>#DIV/0!</v>
      </c>
      <c r="CU62" s="196"/>
      <c r="CV62" s="167">
        <f t="shared" si="24"/>
        <v>16.66666667</v>
      </c>
      <c r="CW62" s="169">
        <f t="shared" si="9"/>
        <v>4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10"/>
        <v>4</v>
      </c>
      <c r="E63" s="127">
        <f t="shared" si="11"/>
        <v>16.66666667</v>
      </c>
      <c r="F63" s="200">
        <f t="shared" si="12"/>
        <v>16.66666667</v>
      </c>
      <c r="G63" s="207">
        <f t="shared" si="13"/>
        <v>16.66666667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135">
        <f t="shared" si="14"/>
        <v>0</v>
      </c>
      <c r="S63" s="137">
        <f t="shared" si="15"/>
        <v>0</v>
      </c>
      <c r="T63" s="138"/>
      <c r="U63" s="138"/>
      <c r="V63" s="138"/>
      <c r="W63" s="132"/>
      <c r="X63" s="132"/>
      <c r="Y63" s="138"/>
      <c r="Z63" s="138"/>
      <c r="AA63" s="133"/>
      <c r="AB63" s="185">
        <v>1.0</v>
      </c>
      <c r="AC63" s="185">
        <v>1.0</v>
      </c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6"/>
        <v>2</v>
      </c>
      <c r="AM63" s="183">
        <f t="shared" si="17"/>
        <v>28.57142857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8"/>
        <v>0</v>
      </c>
      <c r="BJ63" s="186">
        <f t="shared" si="19"/>
        <v>0</v>
      </c>
      <c r="BK63" s="138"/>
      <c r="BL63" s="132"/>
      <c r="BM63" s="151">
        <v>1.0</v>
      </c>
      <c r="BN63" s="138"/>
      <c r="BO63" s="138"/>
      <c r="BP63" s="151">
        <v>1.0</v>
      </c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20"/>
        <v>2</v>
      </c>
      <c r="CG63" s="190">
        <f t="shared" si="21"/>
        <v>22.22222222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2"/>
        <v>0</v>
      </c>
      <c r="CT63" s="194" t="str">
        <f t="shared" si="23"/>
        <v>#DIV/0!</v>
      </c>
      <c r="CU63" s="196"/>
      <c r="CV63" s="167">
        <f t="shared" si="24"/>
        <v>16.66666667</v>
      </c>
      <c r="CW63" s="169">
        <f t="shared" si="9"/>
        <v>4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10"/>
        <v>6</v>
      </c>
      <c r="E64" s="127">
        <f t="shared" si="11"/>
        <v>25</v>
      </c>
      <c r="F64" s="200">
        <f t="shared" si="12"/>
        <v>25</v>
      </c>
      <c r="G64" s="207">
        <f t="shared" si="13"/>
        <v>25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4"/>
        <v>0</v>
      </c>
      <c r="S64" s="137">
        <f t="shared" si="15"/>
        <v>0</v>
      </c>
      <c r="T64" s="138"/>
      <c r="U64" s="138"/>
      <c r="V64" s="138"/>
      <c r="W64" s="132"/>
      <c r="X64" s="132"/>
      <c r="Y64" s="138"/>
      <c r="Z64" s="138"/>
      <c r="AA64" s="133"/>
      <c r="AB64" s="133"/>
      <c r="AC64" s="133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6"/>
        <v>0</v>
      </c>
      <c r="AM64" s="183">
        <f t="shared" si="17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8"/>
        <v>0</v>
      </c>
      <c r="BJ64" s="186">
        <f t="shared" si="19"/>
        <v>0</v>
      </c>
      <c r="BK64" s="138"/>
      <c r="BL64" s="170">
        <v>1.0</v>
      </c>
      <c r="BM64" s="138"/>
      <c r="BN64" s="138"/>
      <c r="BO64" s="138"/>
      <c r="BP64" s="151">
        <v>1.0</v>
      </c>
      <c r="BQ64" s="151">
        <v>1.0</v>
      </c>
      <c r="BR64" s="150">
        <v>1.0</v>
      </c>
      <c r="BS64" s="187">
        <v>1.0</v>
      </c>
      <c r="BT64" s="187">
        <v>1.0</v>
      </c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20"/>
        <v>6</v>
      </c>
      <c r="CG64" s="190">
        <f t="shared" si="21"/>
        <v>66.66666667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2"/>
        <v>0</v>
      </c>
      <c r="CT64" s="194" t="str">
        <f t="shared" si="23"/>
        <v>#DIV/0!</v>
      </c>
      <c r="CU64" s="196"/>
      <c r="CV64" s="167">
        <f t="shared" si="24"/>
        <v>25</v>
      </c>
      <c r="CW64" s="169">
        <f t="shared" si="9"/>
        <v>6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10"/>
        <v>0</v>
      </c>
      <c r="E65" s="127">
        <f t="shared" si="11"/>
        <v>0</v>
      </c>
      <c r="F65" s="200">
        <f t="shared" si="12"/>
        <v>0</v>
      </c>
      <c r="G65" s="207">
        <f t="shared" si="13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4"/>
        <v>0</v>
      </c>
      <c r="S65" s="137">
        <f t="shared" si="15"/>
        <v>0</v>
      </c>
      <c r="T65" s="138"/>
      <c r="U65" s="138"/>
      <c r="V65" s="138"/>
      <c r="W65" s="132"/>
      <c r="X65" s="132"/>
      <c r="Y65" s="138"/>
      <c r="Z65" s="138"/>
      <c r="AA65" s="133"/>
      <c r="AB65" s="133"/>
      <c r="AC65" s="133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6"/>
        <v>0</v>
      </c>
      <c r="AM65" s="183">
        <f t="shared" si="17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8"/>
        <v>0</v>
      </c>
      <c r="BJ65" s="186">
        <f t="shared" si="19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20"/>
        <v>0</v>
      </c>
      <c r="CG65" s="190">
        <f t="shared" si="21"/>
        <v>0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2"/>
        <v>0</v>
      </c>
      <c r="CT65" s="194" t="str">
        <f t="shared" si="23"/>
        <v>#DIV/0!</v>
      </c>
      <c r="CU65" s="196"/>
      <c r="CV65" s="167">
        <f t="shared" si="24"/>
        <v>0</v>
      </c>
      <c r="CW65" s="169">
        <f t="shared" si="9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10"/>
        <v>11</v>
      </c>
      <c r="E66" s="127">
        <f t="shared" si="11"/>
        <v>45.83333333</v>
      </c>
      <c r="F66" s="200">
        <f t="shared" si="12"/>
        <v>45.83333333</v>
      </c>
      <c r="G66" s="177" t="str">
        <f t="shared" si="13"/>
        <v>  </v>
      </c>
      <c r="H66" s="258"/>
      <c r="I66" s="258"/>
      <c r="J66" s="263"/>
      <c r="K66" s="263"/>
      <c r="L66" s="263"/>
      <c r="M66" s="263"/>
      <c r="N66" s="269">
        <v>1.0</v>
      </c>
      <c r="O66" s="263"/>
      <c r="P66" s="263"/>
      <c r="Q66" s="263"/>
      <c r="R66" s="135">
        <f t="shared" si="14"/>
        <v>1</v>
      </c>
      <c r="S66" s="137">
        <f t="shared" si="15"/>
        <v>50</v>
      </c>
      <c r="T66" s="138"/>
      <c r="U66" s="138"/>
      <c r="V66" s="138"/>
      <c r="W66" s="132"/>
      <c r="X66" s="132"/>
      <c r="Y66" s="138"/>
      <c r="Z66" s="138"/>
      <c r="AA66" s="133"/>
      <c r="AB66" s="185">
        <v>1.0</v>
      </c>
      <c r="AC66" s="133"/>
      <c r="AD66" s="140"/>
      <c r="AE66" s="141"/>
      <c r="AF66" s="210"/>
      <c r="AG66" s="211">
        <v>1.0</v>
      </c>
      <c r="AH66" s="210"/>
      <c r="AI66" s="210"/>
      <c r="AJ66" s="212"/>
      <c r="AK66" s="212"/>
      <c r="AL66" s="135">
        <f t="shared" si="16"/>
        <v>2</v>
      </c>
      <c r="AM66" s="183">
        <f t="shared" si="17"/>
        <v>28.57142857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85">
        <v>1.0</v>
      </c>
      <c r="BG66" s="133"/>
      <c r="BH66" s="185">
        <v>1.0</v>
      </c>
      <c r="BI66" s="135">
        <f t="shared" si="18"/>
        <v>2</v>
      </c>
      <c r="BJ66" s="186">
        <f t="shared" si="19"/>
        <v>33.33333333</v>
      </c>
      <c r="BK66" s="138"/>
      <c r="BL66" s="170">
        <v>1.0</v>
      </c>
      <c r="BM66" s="151">
        <v>1.0</v>
      </c>
      <c r="BN66" s="138"/>
      <c r="BO66" s="138"/>
      <c r="BP66" s="151">
        <v>1.0</v>
      </c>
      <c r="BQ66" s="151">
        <v>1.0</v>
      </c>
      <c r="BR66" s="150">
        <v>1.0</v>
      </c>
      <c r="BS66" s="187">
        <v>1.0</v>
      </c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20"/>
        <v>6</v>
      </c>
      <c r="CG66" s="190">
        <f t="shared" si="21"/>
        <v>66.66666667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2"/>
        <v>0</v>
      </c>
      <c r="CT66" s="194" t="str">
        <f t="shared" si="23"/>
        <v>#DIV/0!</v>
      </c>
      <c r="CU66" s="196"/>
      <c r="CV66" s="167">
        <f t="shared" si="24"/>
        <v>45.83333333</v>
      </c>
      <c r="CW66" s="169">
        <f t="shared" si="9"/>
        <v>11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10"/>
        <v>3</v>
      </c>
      <c r="E67" s="127">
        <f t="shared" si="11"/>
        <v>12.5</v>
      </c>
      <c r="F67" s="200">
        <f t="shared" si="12"/>
        <v>12.5</v>
      </c>
      <c r="G67" s="207">
        <f t="shared" si="13"/>
        <v>12.5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4"/>
        <v>0</v>
      </c>
      <c r="S67" s="137">
        <f t="shared" si="15"/>
        <v>0</v>
      </c>
      <c r="T67" s="138"/>
      <c r="U67" s="138"/>
      <c r="V67" s="138"/>
      <c r="W67" s="132"/>
      <c r="X67" s="132"/>
      <c r="Y67" s="138"/>
      <c r="Z67" s="151">
        <v>1.0</v>
      </c>
      <c r="AA67" s="133"/>
      <c r="AB67" s="185">
        <v>1.0</v>
      </c>
      <c r="AC67" s="185">
        <v>1.0</v>
      </c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6"/>
        <v>3</v>
      </c>
      <c r="AM67" s="183">
        <f t="shared" si="17"/>
        <v>42.85714286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8"/>
        <v>0</v>
      </c>
      <c r="BJ67" s="186">
        <f t="shared" si="19"/>
        <v>0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20"/>
        <v>0</v>
      </c>
      <c r="CG67" s="190">
        <f t="shared" si="21"/>
        <v>0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2"/>
        <v>0</v>
      </c>
      <c r="CT67" s="194" t="str">
        <f t="shared" si="23"/>
        <v>#DIV/0!</v>
      </c>
      <c r="CU67" s="196"/>
      <c r="CV67" s="167">
        <f t="shared" si="24"/>
        <v>12.5</v>
      </c>
      <c r="CW67" s="169">
        <f t="shared" si="9"/>
        <v>3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10"/>
        <v>7</v>
      </c>
      <c r="E68" s="127">
        <f t="shared" si="11"/>
        <v>29.16666667</v>
      </c>
      <c r="F68" s="200">
        <f t="shared" si="12"/>
        <v>29.16666667</v>
      </c>
      <c r="G68" s="207">
        <f t="shared" si="13"/>
        <v>29.16666667</v>
      </c>
      <c r="H68" s="258"/>
      <c r="I68" s="258"/>
      <c r="J68" s="263"/>
      <c r="K68" s="263"/>
      <c r="L68" s="263"/>
      <c r="M68" s="263"/>
      <c r="N68" s="263"/>
      <c r="O68" s="263"/>
      <c r="P68" s="263"/>
      <c r="Q68" s="263"/>
      <c r="R68" s="135">
        <f t="shared" si="14"/>
        <v>0</v>
      </c>
      <c r="S68" s="137">
        <f t="shared" si="15"/>
        <v>0</v>
      </c>
      <c r="T68" s="138"/>
      <c r="U68" s="138"/>
      <c r="V68" s="138"/>
      <c r="W68" s="132"/>
      <c r="X68" s="170">
        <v>1.0</v>
      </c>
      <c r="Y68" s="138"/>
      <c r="Z68" s="151">
        <v>1.0</v>
      </c>
      <c r="AA68" s="133"/>
      <c r="AB68" s="133"/>
      <c r="AC68" s="185">
        <v>1.0</v>
      </c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6"/>
        <v>3</v>
      </c>
      <c r="AM68" s="183">
        <f t="shared" si="17"/>
        <v>42.85714286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8"/>
        <v>0</v>
      </c>
      <c r="BJ68" s="186">
        <f t="shared" si="19"/>
        <v>0</v>
      </c>
      <c r="BK68" s="138"/>
      <c r="BL68" s="132"/>
      <c r="BM68" s="151">
        <v>1.0</v>
      </c>
      <c r="BN68" s="138"/>
      <c r="BO68" s="138"/>
      <c r="BP68" s="138"/>
      <c r="BQ68" s="151">
        <v>1.0</v>
      </c>
      <c r="BR68" s="140"/>
      <c r="BS68" s="152"/>
      <c r="BT68" s="187">
        <v>1.0</v>
      </c>
      <c r="BU68" s="187">
        <v>1.0</v>
      </c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20"/>
        <v>4</v>
      </c>
      <c r="CG68" s="190">
        <f t="shared" si="21"/>
        <v>44.44444444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2"/>
        <v>0</v>
      </c>
      <c r="CT68" s="194" t="str">
        <f t="shared" si="23"/>
        <v>#DIV/0!</v>
      </c>
      <c r="CU68" s="196"/>
      <c r="CV68" s="167">
        <f t="shared" si="24"/>
        <v>29.16666667</v>
      </c>
      <c r="CW68" s="169">
        <f t="shared" si="9"/>
        <v>7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10"/>
        <v>15</v>
      </c>
      <c r="E69" s="127">
        <f t="shared" si="11"/>
        <v>62.5</v>
      </c>
      <c r="F69" s="200" t="str">
        <f t="shared" si="12"/>
        <v>  </v>
      </c>
      <c r="G69" s="177" t="str">
        <f t="shared" si="13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4"/>
        <v>0</v>
      </c>
      <c r="S69" s="137">
        <f t="shared" si="15"/>
        <v>0</v>
      </c>
      <c r="T69" s="138"/>
      <c r="U69" s="138"/>
      <c r="V69" s="138"/>
      <c r="W69" s="132"/>
      <c r="X69" s="170">
        <v>1.0</v>
      </c>
      <c r="Y69" s="138"/>
      <c r="Z69" s="151">
        <v>1.0</v>
      </c>
      <c r="AA69" s="133"/>
      <c r="AB69" s="185">
        <v>1.0</v>
      </c>
      <c r="AC69" s="185">
        <v>1.0</v>
      </c>
      <c r="AD69" s="140"/>
      <c r="AE69" s="141"/>
      <c r="AF69" s="210"/>
      <c r="AG69" s="211">
        <v>1.0</v>
      </c>
      <c r="AH69" s="211">
        <v>1.0</v>
      </c>
      <c r="AI69" s="210"/>
      <c r="AJ69" s="212"/>
      <c r="AK69" s="212"/>
      <c r="AL69" s="135">
        <f t="shared" si="16"/>
        <v>6</v>
      </c>
      <c r="AM69" s="183">
        <f t="shared" si="17"/>
        <v>85.71428571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85">
        <v>1.0</v>
      </c>
      <c r="BA69" s="185">
        <v>1.0</v>
      </c>
      <c r="BB69" s="185">
        <v>1.0</v>
      </c>
      <c r="BC69" s="133"/>
      <c r="BD69" s="133"/>
      <c r="BE69" s="133"/>
      <c r="BF69" s="185">
        <v>1.0</v>
      </c>
      <c r="BG69" s="133"/>
      <c r="BH69" s="185">
        <v>1.0</v>
      </c>
      <c r="BI69" s="135">
        <f t="shared" si="18"/>
        <v>5</v>
      </c>
      <c r="BJ69" s="186">
        <f t="shared" si="19"/>
        <v>83.33333333</v>
      </c>
      <c r="BK69" s="138"/>
      <c r="BL69" s="170">
        <v>1.0</v>
      </c>
      <c r="BM69" s="138"/>
      <c r="BN69" s="138"/>
      <c r="BO69" s="138"/>
      <c r="BP69" s="151">
        <v>1.0</v>
      </c>
      <c r="BQ69" s="151">
        <v>1.0</v>
      </c>
      <c r="BR69" s="150">
        <v>1.0</v>
      </c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20"/>
        <v>4</v>
      </c>
      <c r="CG69" s="190">
        <f t="shared" si="21"/>
        <v>44.44444444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2"/>
        <v>0</v>
      </c>
      <c r="CT69" s="194" t="str">
        <f t="shared" si="23"/>
        <v>#DIV/0!</v>
      </c>
      <c r="CU69" s="196"/>
      <c r="CV69" s="167">
        <f t="shared" si="24"/>
        <v>62.5</v>
      </c>
      <c r="CW69" s="169">
        <f t="shared" si="9"/>
        <v>15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10"/>
        <v>2</v>
      </c>
      <c r="E70" s="127">
        <f t="shared" si="11"/>
        <v>8.333333333</v>
      </c>
      <c r="F70" s="200">
        <f t="shared" si="12"/>
        <v>8.333333333</v>
      </c>
      <c r="G70" s="207">
        <f t="shared" si="13"/>
        <v>8.333333333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4"/>
        <v>0</v>
      </c>
      <c r="S70" s="137">
        <f t="shared" si="15"/>
        <v>0</v>
      </c>
      <c r="T70" s="138"/>
      <c r="U70" s="138"/>
      <c r="V70" s="138"/>
      <c r="W70" s="132"/>
      <c r="X70" s="132"/>
      <c r="Y70" s="138"/>
      <c r="Z70" s="138"/>
      <c r="AA70" s="133"/>
      <c r="AB70" s="133"/>
      <c r="AC70" s="185">
        <v>1.0</v>
      </c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6"/>
        <v>1</v>
      </c>
      <c r="AM70" s="183">
        <f t="shared" si="17"/>
        <v>14.28571429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85">
        <v>1.0</v>
      </c>
      <c r="BI70" s="135">
        <f t="shared" si="18"/>
        <v>1</v>
      </c>
      <c r="BJ70" s="186">
        <f t="shared" si="19"/>
        <v>16.66666667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20"/>
        <v>0</v>
      </c>
      <c r="CG70" s="190">
        <f t="shared" si="21"/>
        <v>0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2"/>
        <v>0</v>
      </c>
      <c r="CT70" s="194" t="str">
        <f t="shared" si="23"/>
        <v>#DIV/0!</v>
      </c>
      <c r="CU70" s="196"/>
      <c r="CV70" s="167">
        <f t="shared" si="24"/>
        <v>8.333333333</v>
      </c>
      <c r="CW70" s="169">
        <f t="shared" si="9"/>
        <v>2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10"/>
        <v>0</v>
      </c>
      <c r="E71" s="127">
        <f t="shared" si="11"/>
        <v>0</v>
      </c>
      <c r="F71" s="200">
        <f t="shared" si="12"/>
        <v>0</v>
      </c>
      <c r="G71" s="207">
        <f t="shared" si="13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4"/>
        <v>0</v>
      </c>
      <c r="S71" s="137">
        <f t="shared" si="15"/>
        <v>0</v>
      </c>
      <c r="T71" s="138"/>
      <c r="U71" s="138"/>
      <c r="V71" s="138"/>
      <c r="W71" s="132"/>
      <c r="X71" s="132"/>
      <c r="Y71" s="138"/>
      <c r="Z71" s="138"/>
      <c r="AA71" s="133"/>
      <c r="AB71" s="133"/>
      <c r="AC71" s="133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6"/>
        <v>0</v>
      </c>
      <c r="AM71" s="183">
        <f t="shared" si="17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8"/>
        <v>0</v>
      </c>
      <c r="BJ71" s="186">
        <f t="shared" si="19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20"/>
        <v>0</v>
      </c>
      <c r="CG71" s="190">
        <f t="shared" si="21"/>
        <v>0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2"/>
        <v>0</v>
      </c>
      <c r="CT71" s="194" t="str">
        <f t="shared" si="23"/>
        <v>#DIV/0!</v>
      </c>
      <c r="CU71" s="196"/>
      <c r="CV71" s="167">
        <f t="shared" si="24"/>
        <v>0</v>
      </c>
      <c r="CW71" s="169">
        <f t="shared" si="9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10"/>
        <v>14</v>
      </c>
      <c r="E72" s="127">
        <f t="shared" si="11"/>
        <v>58.33333333</v>
      </c>
      <c r="F72" s="200" t="str">
        <f t="shared" si="12"/>
        <v>  </v>
      </c>
      <c r="G72" s="177" t="str">
        <f t="shared" si="13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4"/>
        <v>0</v>
      </c>
      <c r="S72" s="137">
        <f t="shared" si="15"/>
        <v>0</v>
      </c>
      <c r="T72" s="138"/>
      <c r="U72" s="138"/>
      <c r="V72" s="138"/>
      <c r="W72" s="132"/>
      <c r="X72" s="132"/>
      <c r="Y72" s="138"/>
      <c r="Z72" s="151">
        <v>1.0</v>
      </c>
      <c r="AA72" s="185">
        <v>1.0</v>
      </c>
      <c r="AB72" s="185">
        <v>1.0</v>
      </c>
      <c r="AC72" s="185">
        <v>1.0</v>
      </c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6"/>
        <v>4</v>
      </c>
      <c r="AM72" s="183">
        <f t="shared" si="17"/>
        <v>57.14285714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85">
        <v>1.0</v>
      </c>
      <c r="BG72" s="133"/>
      <c r="BH72" s="185">
        <v>1.0</v>
      </c>
      <c r="BI72" s="135">
        <f t="shared" si="18"/>
        <v>2</v>
      </c>
      <c r="BJ72" s="186">
        <f t="shared" si="19"/>
        <v>33.33333333</v>
      </c>
      <c r="BK72" s="151">
        <v>1.0</v>
      </c>
      <c r="BL72" s="170">
        <v>1.0</v>
      </c>
      <c r="BM72" s="151">
        <v>1.0</v>
      </c>
      <c r="BN72" s="138"/>
      <c r="BO72" s="138"/>
      <c r="BP72" s="151">
        <v>1.0</v>
      </c>
      <c r="BQ72" s="151">
        <v>1.0</v>
      </c>
      <c r="BR72" s="140"/>
      <c r="BS72" s="187">
        <v>1.0</v>
      </c>
      <c r="BT72" s="187">
        <v>1.0</v>
      </c>
      <c r="BU72" s="187">
        <v>1.0</v>
      </c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20"/>
        <v>8</v>
      </c>
      <c r="CG72" s="190">
        <f t="shared" si="21"/>
        <v>88.88888889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2"/>
        <v>0</v>
      </c>
      <c r="CT72" s="194" t="str">
        <f t="shared" si="23"/>
        <v>#DIV/0!</v>
      </c>
      <c r="CU72" s="196"/>
      <c r="CV72" s="167">
        <f t="shared" si="24"/>
        <v>58.33333333</v>
      </c>
      <c r="CW72" s="169">
        <f t="shared" si="9"/>
        <v>14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10"/>
        <v>9</v>
      </c>
      <c r="E73" s="127">
        <f t="shared" si="11"/>
        <v>37.5</v>
      </c>
      <c r="F73" s="200">
        <f t="shared" si="12"/>
        <v>37.5</v>
      </c>
      <c r="G73" s="177" t="str">
        <f t="shared" si="13"/>
        <v>  </v>
      </c>
      <c r="H73" s="258"/>
      <c r="I73" s="258"/>
      <c r="J73" s="263"/>
      <c r="K73" s="263"/>
      <c r="L73" s="263"/>
      <c r="M73" s="263"/>
      <c r="N73" s="269">
        <v>1.0</v>
      </c>
      <c r="O73" s="263"/>
      <c r="P73" s="263"/>
      <c r="Q73" s="263"/>
      <c r="R73" s="135">
        <f t="shared" si="14"/>
        <v>1</v>
      </c>
      <c r="S73" s="137">
        <f t="shared" si="15"/>
        <v>50</v>
      </c>
      <c r="T73" s="138"/>
      <c r="U73" s="138"/>
      <c r="V73" s="138"/>
      <c r="W73" s="132"/>
      <c r="X73" s="170">
        <v>1.0</v>
      </c>
      <c r="Y73" s="138"/>
      <c r="Z73" s="151">
        <v>1.0</v>
      </c>
      <c r="AA73" s="185">
        <v>1.0</v>
      </c>
      <c r="AB73" s="185">
        <v>1.0</v>
      </c>
      <c r="AC73" s="185">
        <v>1.0</v>
      </c>
      <c r="AD73" s="140"/>
      <c r="AE73" s="141"/>
      <c r="AF73" s="210"/>
      <c r="AG73" s="211">
        <v>1.0</v>
      </c>
      <c r="AH73" s="211">
        <v>1.0</v>
      </c>
      <c r="AI73" s="210"/>
      <c r="AJ73" s="212"/>
      <c r="AK73" s="212"/>
      <c r="AL73" s="135">
        <f t="shared" si="16"/>
        <v>7</v>
      </c>
      <c r="AM73" s="183">
        <f t="shared" si="17"/>
        <v>100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5">
        <f t="shared" si="18"/>
        <v>0</v>
      </c>
      <c r="BJ73" s="186">
        <f t="shared" si="19"/>
        <v>0</v>
      </c>
      <c r="BK73" s="138"/>
      <c r="BL73" s="170">
        <v>1.0</v>
      </c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20"/>
        <v>1</v>
      </c>
      <c r="CG73" s="190">
        <f t="shared" si="21"/>
        <v>11.11111111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2"/>
        <v>0</v>
      </c>
      <c r="CT73" s="194" t="str">
        <f t="shared" si="23"/>
        <v>#DIV/0!</v>
      </c>
      <c r="CU73" s="196"/>
      <c r="CV73" s="167">
        <f t="shared" si="24"/>
        <v>37.5</v>
      </c>
      <c r="CW73" s="169">
        <f t="shared" si="9"/>
        <v>9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10"/>
        <v>4</v>
      </c>
      <c r="E74" s="127">
        <f t="shared" si="11"/>
        <v>16.66666667</v>
      </c>
      <c r="F74" s="200">
        <f t="shared" si="12"/>
        <v>16.66666667</v>
      </c>
      <c r="G74" s="207">
        <f t="shared" si="13"/>
        <v>16.66666667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4"/>
        <v>0</v>
      </c>
      <c r="S74" s="137">
        <f t="shared" si="15"/>
        <v>0</v>
      </c>
      <c r="T74" s="138"/>
      <c r="U74" s="138"/>
      <c r="V74" s="138"/>
      <c r="W74" s="132"/>
      <c r="X74" s="170">
        <v>1.0</v>
      </c>
      <c r="Y74" s="138"/>
      <c r="Z74" s="151">
        <v>1.0</v>
      </c>
      <c r="AA74" s="133"/>
      <c r="AB74" s="133"/>
      <c r="AC74" s="185">
        <v>1.0</v>
      </c>
      <c r="AD74" s="140"/>
      <c r="AE74" s="141"/>
      <c r="AF74" s="210"/>
      <c r="AG74" s="210"/>
      <c r="AH74" s="211">
        <v>1.0</v>
      </c>
      <c r="AI74" s="210"/>
      <c r="AJ74" s="212"/>
      <c r="AK74" s="212"/>
      <c r="AL74" s="135">
        <f t="shared" si="16"/>
        <v>4</v>
      </c>
      <c r="AM74" s="183">
        <f t="shared" si="17"/>
        <v>57.14285714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8"/>
        <v>0</v>
      </c>
      <c r="BJ74" s="186">
        <f t="shared" si="19"/>
        <v>0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20"/>
        <v>0</v>
      </c>
      <c r="CG74" s="190">
        <f t="shared" si="21"/>
        <v>0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2"/>
        <v>0</v>
      </c>
      <c r="CT74" s="194" t="str">
        <f t="shared" si="23"/>
        <v>#DIV/0!</v>
      </c>
      <c r="CU74" s="196"/>
      <c r="CV74" s="167">
        <f t="shared" si="24"/>
        <v>16.66666667</v>
      </c>
      <c r="CW74" s="169">
        <f t="shared" si="9"/>
        <v>4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10"/>
        <v>6</v>
      </c>
      <c r="E75" s="127">
        <f t="shared" si="11"/>
        <v>25</v>
      </c>
      <c r="F75" s="200">
        <f t="shared" si="12"/>
        <v>25</v>
      </c>
      <c r="G75" s="207">
        <f t="shared" si="13"/>
        <v>25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4"/>
        <v>0</v>
      </c>
      <c r="S75" s="137">
        <f t="shared" si="15"/>
        <v>0</v>
      </c>
      <c r="T75" s="138"/>
      <c r="U75" s="138"/>
      <c r="V75" s="138"/>
      <c r="W75" s="132"/>
      <c r="X75" s="132"/>
      <c r="Y75" s="138"/>
      <c r="Z75" s="151">
        <v>1.0</v>
      </c>
      <c r="AA75" s="133"/>
      <c r="AB75" s="185">
        <v>1.0</v>
      </c>
      <c r="AC75" s="185">
        <v>1.0</v>
      </c>
      <c r="AD75" s="140"/>
      <c r="AE75" s="141"/>
      <c r="AF75" s="210"/>
      <c r="AG75" s="210"/>
      <c r="AH75" s="211">
        <v>1.0</v>
      </c>
      <c r="AI75" s="210"/>
      <c r="AJ75" s="212"/>
      <c r="AK75" s="212"/>
      <c r="AL75" s="135">
        <f t="shared" si="16"/>
        <v>4</v>
      </c>
      <c r="AM75" s="183">
        <f t="shared" si="17"/>
        <v>57.14285714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85">
        <v>1.0</v>
      </c>
      <c r="BG75" s="133"/>
      <c r="BH75" s="133"/>
      <c r="BI75" s="135">
        <f t="shared" si="18"/>
        <v>1</v>
      </c>
      <c r="BJ75" s="186">
        <f t="shared" si="19"/>
        <v>16.66666667</v>
      </c>
      <c r="BK75" s="138"/>
      <c r="BL75" s="132"/>
      <c r="BM75" s="138"/>
      <c r="BN75" s="138"/>
      <c r="BO75" s="138"/>
      <c r="BP75" s="138"/>
      <c r="BQ75" s="138"/>
      <c r="BR75" s="150">
        <v>1.0</v>
      </c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20"/>
        <v>1</v>
      </c>
      <c r="CG75" s="190">
        <f t="shared" si="21"/>
        <v>11.11111111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2"/>
        <v>0</v>
      </c>
      <c r="CT75" s="194" t="str">
        <f t="shared" si="23"/>
        <v>#DIV/0!</v>
      </c>
      <c r="CU75" s="196"/>
      <c r="CV75" s="167">
        <f t="shared" si="24"/>
        <v>25</v>
      </c>
      <c r="CW75" s="169">
        <f t="shared" si="9"/>
        <v>6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10"/>
        <v>4</v>
      </c>
      <c r="E76" s="127">
        <f t="shared" si="11"/>
        <v>16.66666667</v>
      </c>
      <c r="F76" s="200">
        <f t="shared" si="12"/>
        <v>16.66666667</v>
      </c>
      <c r="G76" s="207">
        <f t="shared" si="13"/>
        <v>16.66666667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135">
        <f t="shared" si="14"/>
        <v>0</v>
      </c>
      <c r="S76" s="137">
        <f t="shared" si="15"/>
        <v>0</v>
      </c>
      <c r="T76" s="138"/>
      <c r="U76" s="138"/>
      <c r="V76" s="138"/>
      <c r="W76" s="132"/>
      <c r="X76" s="132"/>
      <c r="Y76" s="138"/>
      <c r="Z76" s="151">
        <v>1.0</v>
      </c>
      <c r="AA76" s="185">
        <v>1.0</v>
      </c>
      <c r="AB76" s="185">
        <v>1.0</v>
      </c>
      <c r="AC76" s="133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6"/>
        <v>3</v>
      </c>
      <c r="AM76" s="183">
        <f t="shared" si="17"/>
        <v>42.85714286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8"/>
        <v>0</v>
      </c>
      <c r="BJ76" s="186">
        <f t="shared" si="19"/>
        <v>0</v>
      </c>
      <c r="BK76" s="138"/>
      <c r="BL76" s="132"/>
      <c r="BM76" s="138"/>
      <c r="BN76" s="138"/>
      <c r="BO76" s="138"/>
      <c r="BP76" s="138"/>
      <c r="BQ76" s="138"/>
      <c r="BR76" s="140"/>
      <c r="BS76" s="152"/>
      <c r="BT76" s="187">
        <v>1.0</v>
      </c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20"/>
        <v>1</v>
      </c>
      <c r="CG76" s="190">
        <f t="shared" si="21"/>
        <v>11.11111111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2"/>
        <v>0</v>
      </c>
      <c r="CT76" s="194" t="str">
        <f t="shared" si="23"/>
        <v>#DIV/0!</v>
      </c>
      <c r="CU76" s="196"/>
      <c r="CV76" s="167">
        <f t="shared" si="24"/>
        <v>16.66666667</v>
      </c>
      <c r="CW76" s="169">
        <f t="shared" si="9"/>
        <v>4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10"/>
        <v>8</v>
      </c>
      <c r="E77" s="127">
        <f t="shared" si="11"/>
        <v>33.33333333</v>
      </c>
      <c r="F77" s="200">
        <f t="shared" si="12"/>
        <v>33.33333333</v>
      </c>
      <c r="G77" s="177" t="str">
        <f t="shared" si="13"/>
        <v>  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4"/>
        <v>0</v>
      </c>
      <c r="S77" s="137">
        <f t="shared" si="15"/>
        <v>0</v>
      </c>
      <c r="T77" s="138"/>
      <c r="U77" s="138"/>
      <c r="V77" s="138"/>
      <c r="W77" s="132"/>
      <c r="X77" s="170">
        <v>1.0</v>
      </c>
      <c r="Y77" s="138"/>
      <c r="Z77" s="138"/>
      <c r="AA77" s="133"/>
      <c r="AB77" s="133"/>
      <c r="AC77" s="185">
        <v>1.0</v>
      </c>
      <c r="AD77" s="140"/>
      <c r="AE77" s="141"/>
      <c r="AF77" s="210"/>
      <c r="AG77" s="211">
        <v>1.0</v>
      </c>
      <c r="AH77" s="210"/>
      <c r="AI77" s="210"/>
      <c r="AJ77" s="212"/>
      <c r="AK77" s="212"/>
      <c r="AL77" s="135">
        <f t="shared" si="16"/>
        <v>3</v>
      </c>
      <c r="AM77" s="183">
        <f t="shared" si="17"/>
        <v>42.85714286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85">
        <v>1.0</v>
      </c>
      <c r="BD77" s="133"/>
      <c r="BE77" s="133"/>
      <c r="BF77" s="133"/>
      <c r="BG77" s="133"/>
      <c r="BH77" s="185">
        <v>1.0</v>
      </c>
      <c r="BI77" s="135">
        <f t="shared" si="18"/>
        <v>2</v>
      </c>
      <c r="BJ77" s="186">
        <f t="shared" si="19"/>
        <v>33.33333333</v>
      </c>
      <c r="BK77" s="138"/>
      <c r="BL77" s="132"/>
      <c r="BM77" s="138"/>
      <c r="BN77" s="138"/>
      <c r="BO77" s="138"/>
      <c r="BP77" s="151">
        <v>1.0</v>
      </c>
      <c r="BQ77" s="138"/>
      <c r="BR77" s="150">
        <v>1.0</v>
      </c>
      <c r="BS77" s="152"/>
      <c r="BT77" s="187">
        <v>1.0</v>
      </c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20"/>
        <v>3</v>
      </c>
      <c r="CG77" s="190">
        <f t="shared" si="21"/>
        <v>33.33333333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2"/>
        <v>0</v>
      </c>
      <c r="CT77" s="194" t="str">
        <f t="shared" si="23"/>
        <v>#DIV/0!</v>
      </c>
      <c r="CU77" s="196"/>
      <c r="CV77" s="167">
        <f t="shared" si="24"/>
        <v>33.33333333</v>
      </c>
      <c r="CW77" s="169">
        <f t="shared" si="9"/>
        <v>8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10"/>
        <v>12</v>
      </c>
      <c r="E78" s="127">
        <f t="shared" si="11"/>
        <v>50</v>
      </c>
      <c r="F78" s="175" t="str">
        <f t="shared" si="12"/>
        <v>  </v>
      </c>
      <c r="G78" s="177" t="str">
        <f t="shared" si="13"/>
        <v>  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4"/>
        <v>0</v>
      </c>
      <c r="S78" s="137">
        <f t="shared" si="15"/>
        <v>0</v>
      </c>
      <c r="T78" s="138"/>
      <c r="U78" s="138"/>
      <c r="V78" s="138"/>
      <c r="W78" s="132"/>
      <c r="X78" s="170">
        <v>1.0</v>
      </c>
      <c r="Y78" s="138"/>
      <c r="Z78" s="151">
        <v>1.0</v>
      </c>
      <c r="AA78" s="133"/>
      <c r="AB78" s="185">
        <v>1.0</v>
      </c>
      <c r="AC78" s="185">
        <v>1.0</v>
      </c>
      <c r="AD78" s="140"/>
      <c r="AE78" s="141"/>
      <c r="AF78" s="210"/>
      <c r="AG78" s="210"/>
      <c r="AH78" s="210"/>
      <c r="AI78" s="210"/>
      <c r="AJ78" s="212"/>
      <c r="AK78" s="212"/>
      <c r="AL78" s="135">
        <f t="shared" si="16"/>
        <v>4</v>
      </c>
      <c r="AM78" s="183">
        <f t="shared" si="17"/>
        <v>57.14285714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85">
        <v>1.0</v>
      </c>
      <c r="BD78" s="133"/>
      <c r="BE78" s="133"/>
      <c r="BF78" s="133"/>
      <c r="BG78" s="133"/>
      <c r="BH78" s="185">
        <v>1.0</v>
      </c>
      <c r="BI78" s="135">
        <f t="shared" si="18"/>
        <v>2</v>
      </c>
      <c r="BJ78" s="186">
        <f t="shared" si="19"/>
        <v>33.33333333</v>
      </c>
      <c r="BK78" s="138"/>
      <c r="BL78" s="170">
        <v>1.0</v>
      </c>
      <c r="BM78" s="151">
        <v>1.0</v>
      </c>
      <c r="BN78" s="138"/>
      <c r="BO78" s="138"/>
      <c r="BP78" s="151">
        <v>1.0</v>
      </c>
      <c r="BQ78" s="138"/>
      <c r="BR78" s="150">
        <v>1.0</v>
      </c>
      <c r="BS78" s="187">
        <v>1.0</v>
      </c>
      <c r="BT78" s="187">
        <v>1.0</v>
      </c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20"/>
        <v>6</v>
      </c>
      <c r="CG78" s="190">
        <f t="shared" si="21"/>
        <v>66.66666667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2"/>
        <v>0</v>
      </c>
      <c r="CT78" s="194" t="str">
        <f t="shared" si="23"/>
        <v>#DIV/0!</v>
      </c>
      <c r="CU78" s="196"/>
      <c r="CV78" s="167">
        <f t="shared" si="24"/>
        <v>50</v>
      </c>
      <c r="CW78" s="169">
        <f t="shared" si="9"/>
        <v>12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10"/>
        <v>8</v>
      </c>
      <c r="E79" s="127">
        <f t="shared" si="11"/>
        <v>33.33333333</v>
      </c>
      <c r="F79" s="200">
        <f t="shared" si="12"/>
        <v>33.33333333</v>
      </c>
      <c r="G79" s="177" t="str">
        <f t="shared" si="13"/>
        <v>  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135">
        <f t="shared" si="14"/>
        <v>0</v>
      </c>
      <c r="S79" s="137">
        <f t="shared" si="15"/>
        <v>0</v>
      </c>
      <c r="T79" s="138"/>
      <c r="U79" s="138"/>
      <c r="V79" s="138"/>
      <c r="W79" s="132"/>
      <c r="X79" s="170">
        <v>1.0</v>
      </c>
      <c r="Y79" s="138"/>
      <c r="Z79" s="151">
        <v>1.0</v>
      </c>
      <c r="AA79" s="133"/>
      <c r="AB79" s="133"/>
      <c r="AC79" s="133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6"/>
        <v>2</v>
      </c>
      <c r="AM79" s="183">
        <f t="shared" si="17"/>
        <v>28.57142857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5">
        <f t="shared" si="18"/>
        <v>0</v>
      </c>
      <c r="BJ79" s="186">
        <f t="shared" si="19"/>
        <v>0</v>
      </c>
      <c r="BK79" s="138"/>
      <c r="BL79" s="170">
        <v>1.0</v>
      </c>
      <c r="BM79" s="151">
        <v>1.0</v>
      </c>
      <c r="BN79" s="138"/>
      <c r="BO79" s="138"/>
      <c r="BP79" s="151">
        <v>1.0</v>
      </c>
      <c r="BQ79" s="138"/>
      <c r="BR79" s="150">
        <v>1.0</v>
      </c>
      <c r="BS79" s="187">
        <v>1.0</v>
      </c>
      <c r="BT79" s="187">
        <v>1.0</v>
      </c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20"/>
        <v>6</v>
      </c>
      <c r="CG79" s="190">
        <f t="shared" si="21"/>
        <v>66.66666667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2"/>
        <v>0</v>
      </c>
      <c r="CT79" s="194" t="str">
        <f t="shared" si="23"/>
        <v>#DIV/0!</v>
      </c>
      <c r="CU79" s="196"/>
      <c r="CV79" s="167">
        <f t="shared" si="24"/>
        <v>33.33333333</v>
      </c>
      <c r="CW79" s="169">
        <f t="shared" si="9"/>
        <v>8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10"/>
        <v>10</v>
      </c>
      <c r="E80" s="127">
        <f t="shared" si="11"/>
        <v>41.66666667</v>
      </c>
      <c r="F80" s="200">
        <f t="shared" si="12"/>
        <v>41.66666667</v>
      </c>
      <c r="G80" s="177" t="str">
        <f t="shared" si="13"/>
        <v>  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4"/>
        <v>0</v>
      </c>
      <c r="S80" s="137">
        <f t="shared" si="15"/>
        <v>0</v>
      </c>
      <c r="T80" s="138"/>
      <c r="U80" s="138"/>
      <c r="V80" s="138"/>
      <c r="W80" s="132"/>
      <c r="X80" s="170">
        <v>1.0</v>
      </c>
      <c r="Y80" s="138"/>
      <c r="Z80" s="138"/>
      <c r="AA80" s="133"/>
      <c r="AB80" s="133"/>
      <c r="AC80" s="185">
        <v>1.0</v>
      </c>
      <c r="AD80" s="140"/>
      <c r="AE80" s="141"/>
      <c r="AF80" s="210"/>
      <c r="AG80" s="211">
        <v>1.0</v>
      </c>
      <c r="AH80" s="210"/>
      <c r="AI80" s="210"/>
      <c r="AJ80" s="212"/>
      <c r="AK80" s="212"/>
      <c r="AL80" s="135">
        <f t="shared" si="16"/>
        <v>3</v>
      </c>
      <c r="AM80" s="183">
        <f t="shared" si="17"/>
        <v>42.85714286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8"/>
        <v>0</v>
      </c>
      <c r="BJ80" s="186">
        <f t="shared" si="19"/>
        <v>0</v>
      </c>
      <c r="BK80" s="138"/>
      <c r="BL80" s="170">
        <v>1.0</v>
      </c>
      <c r="BM80" s="151">
        <v>1.0</v>
      </c>
      <c r="BN80" s="138"/>
      <c r="BO80" s="138"/>
      <c r="BP80" s="138"/>
      <c r="BQ80" s="151">
        <v>1.0</v>
      </c>
      <c r="BR80" s="150">
        <v>1.0</v>
      </c>
      <c r="BS80" s="187">
        <v>1.0</v>
      </c>
      <c r="BT80" s="187">
        <v>1.0</v>
      </c>
      <c r="BU80" s="187">
        <v>1.0</v>
      </c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20"/>
        <v>7</v>
      </c>
      <c r="CG80" s="190">
        <f t="shared" si="21"/>
        <v>77.77777778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2"/>
        <v>0</v>
      </c>
      <c r="CT80" s="194" t="str">
        <f t="shared" si="23"/>
        <v>#DIV/0!</v>
      </c>
      <c r="CU80" s="196"/>
      <c r="CV80" s="167">
        <f t="shared" si="24"/>
        <v>41.66666667</v>
      </c>
      <c r="CW80" s="169">
        <f t="shared" si="9"/>
        <v>10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10"/>
        <v>4</v>
      </c>
      <c r="E81" s="127">
        <f t="shared" si="11"/>
        <v>16.66666667</v>
      </c>
      <c r="F81" s="200">
        <f t="shared" si="12"/>
        <v>16.66666667</v>
      </c>
      <c r="G81" s="207">
        <f t="shared" si="13"/>
        <v>16.66666667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4"/>
        <v>0</v>
      </c>
      <c r="S81" s="137">
        <f t="shared" si="15"/>
        <v>0</v>
      </c>
      <c r="T81" s="138"/>
      <c r="U81" s="138"/>
      <c r="V81" s="138"/>
      <c r="W81" s="132"/>
      <c r="X81" s="132"/>
      <c r="Y81" s="138"/>
      <c r="Z81" s="151">
        <v>1.0</v>
      </c>
      <c r="AA81" s="133"/>
      <c r="AB81" s="133"/>
      <c r="AC81" s="133"/>
      <c r="AD81" s="140"/>
      <c r="AE81" s="141"/>
      <c r="AF81" s="210"/>
      <c r="AG81" s="211">
        <v>1.0</v>
      </c>
      <c r="AH81" s="211">
        <v>1.0</v>
      </c>
      <c r="AI81" s="210"/>
      <c r="AJ81" s="212"/>
      <c r="AK81" s="212"/>
      <c r="AL81" s="135">
        <f t="shared" si="16"/>
        <v>3</v>
      </c>
      <c r="AM81" s="183">
        <f t="shared" si="17"/>
        <v>42.85714286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8"/>
        <v>0</v>
      </c>
      <c r="BJ81" s="186">
        <f t="shared" si="19"/>
        <v>0</v>
      </c>
      <c r="BK81" s="138"/>
      <c r="BL81" s="132"/>
      <c r="BM81" s="138"/>
      <c r="BN81" s="138"/>
      <c r="BO81" s="138"/>
      <c r="BP81" s="138"/>
      <c r="BQ81" s="138"/>
      <c r="BR81" s="140"/>
      <c r="BS81" s="187">
        <v>1.0</v>
      </c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20"/>
        <v>1</v>
      </c>
      <c r="CG81" s="190">
        <f t="shared" si="21"/>
        <v>11.11111111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2"/>
        <v>0</v>
      </c>
      <c r="CT81" s="194" t="str">
        <f t="shared" si="23"/>
        <v>#DIV/0!</v>
      </c>
      <c r="CU81" s="196"/>
      <c r="CV81" s="167">
        <f t="shared" si="24"/>
        <v>16.66666667</v>
      </c>
      <c r="CW81" s="169">
        <f t="shared" si="9"/>
        <v>4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10"/>
        <v>11</v>
      </c>
      <c r="E82" s="127">
        <f t="shared" si="11"/>
        <v>45.83333333</v>
      </c>
      <c r="F82" s="200">
        <f t="shared" si="12"/>
        <v>45.83333333</v>
      </c>
      <c r="G82" s="177" t="str">
        <f t="shared" si="13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4"/>
        <v>0</v>
      </c>
      <c r="S82" s="137">
        <f t="shared" si="15"/>
        <v>0</v>
      </c>
      <c r="T82" s="138"/>
      <c r="U82" s="138"/>
      <c r="V82" s="138"/>
      <c r="W82" s="132"/>
      <c r="X82" s="170">
        <v>1.0</v>
      </c>
      <c r="Y82" s="138"/>
      <c r="Z82" s="151">
        <v>1.0</v>
      </c>
      <c r="AA82" s="133"/>
      <c r="AB82" s="185">
        <v>1.0</v>
      </c>
      <c r="AC82" s="185">
        <v>1.0</v>
      </c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6"/>
        <v>4</v>
      </c>
      <c r="AM82" s="183">
        <f t="shared" si="17"/>
        <v>57.14285714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85">
        <v>1.0</v>
      </c>
      <c r="BG82" s="133"/>
      <c r="BH82" s="133"/>
      <c r="BI82" s="135">
        <f t="shared" si="18"/>
        <v>1</v>
      </c>
      <c r="BJ82" s="186">
        <f t="shared" si="19"/>
        <v>16.66666667</v>
      </c>
      <c r="BK82" s="138"/>
      <c r="BL82" s="170">
        <v>1.0</v>
      </c>
      <c r="BM82" s="151">
        <v>1.0</v>
      </c>
      <c r="BN82" s="138"/>
      <c r="BO82" s="138"/>
      <c r="BP82" s="151">
        <v>1.0</v>
      </c>
      <c r="BQ82" s="138"/>
      <c r="BR82" s="150">
        <v>1.0</v>
      </c>
      <c r="BS82" s="187">
        <v>1.0</v>
      </c>
      <c r="BT82" s="187">
        <v>1.0</v>
      </c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20"/>
        <v>6</v>
      </c>
      <c r="CG82" s="190">
        <f t="shared" si="21"/>
        <v>66.66666667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2"/>
        <v>0</v>
      </c>
      <c r="CT82" s="194" t="str">
        <f t="shared" si="23"/>
        <v>#DIV/0!</v>
      </c>
      <c r="CU82" s="196"/>
      <c r="CV82" s="167">
        <f t="shared" si="24"/>
        <v>45.83333333</v>
      </c>
      <c r="CW82" s="169">
        <f t="shared" si="9"/>
        <v>11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10"/>
        <v>0</v>
      </c>
      <c r="E83" s="127">
        <f t="shared" si="11"/>
        <v>0</v>
      </c>
      <c r="F83" s="200">
        <f t="shared" si="12"/>
        <v>0</v>
      </c>
      <c r="G83" s="207">
        <f t="shared" si="13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4"/>
        <v>0</v>
      </c>
      <c r="S83" s="137">
        <f t="shared" si="15"/>
        <v>0</v>
      </c>
      <c r="T83" s="138"/>
      <c r="U83" s="138"/>
      <c r="V83" s="138"/>
      <c r="W83" s="132"/>
      <c r="X83" s="132"/>
      <c r="Y83" s="138"/>
      <c r="Z83" s="138"/>
      <c r="AA83" s="133"/>
      <c r="AB83" s="133"/>
      <c r="AC83" s="133"/>
      <c r="AD83" s="140"/>
      <c r="AE83" s="141"/>
      <c r="AF83" s="32"/>
      <c r="AG83" s="32"/>
      <c r="AH83" s="32"/>
      <c r="AI83" s="32"/>
      <c r="AJ83" s="279"/>
      <c r="AK83" s="279"/>
      <c r="AL83" s="135">
        <f t="shared" si="16"/>
        <v>0</v>
      </c>
      <c r="AM83" s="280">
        <f t="shared" si="17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8"/>
        <v>0</v>
      </c>
      <c r="BJ83" s="281">
        <f t="shared" si="19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20"/>
        <v>0</v>
      </c>
      <c r="CG83" s="282">
        <f t="shared" si="21"/>
        <v>0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2"/>
        <v>0</v>
      </c>
      <c r="CT83" s="194" t="str">
        <f t="shared" si="23"/>
        <v>#DIV/0!</v>
      </c>
      <c r="CU83" s="196"/>
      <c r="CV83" s="167">
        <f t="shared" si="24"/>
        <v>0</v>
      </c>
      <c r="CW83" s="169">
        <f t="shared" si="9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10"/>
        <v>10</v>
      </c>
      <c r="E84" s="127">
        <f t="shared" si="11"/>
        <v>41.66666667</v>
      </c>
      <c r="F84" s="200">
        <f t="shared" si="12"/>
        <v>41.66666667</v>
      </c>
      <c r="G84" s="177" t="str">
        <f t="shared" si="13"/>
        <v>  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4"/>
        <v>0</v>
      </c>
      <c r="S84" s="137">
        <f t="shared" si="15"/>
        <v>0</v>
      </c>
      <c r="T84" s="138"/>
      <c r="U84" s="138"/>
      <c r="V84" s="138"/>
      <c r="W84" s="132"/>
      <c r="X84" s="132"/>
      <c r="Y84" s="138"/>
      <c r="Z84" s="151">
        <v>1.0</v>
      </c>
      <c r="AA84" s="133"/>
      <c r="AB84" s="185">
        <v>1.0</v>
      </c>
      <c r="AC84" s="185">
        <v>1.0</v>
      </c>
      <c r="AD84" s="140"/>
      <c r="AE84" s="141"/>
      <c r="AF84" s="32"/>
      <c r="AG84" s="32"/>
      <c r="AH84" s="32"/>
      <c r="AI84" s="32"/>
      <c r="AJ84" s="279"/>
      <c r="AK84" s="279"/>
      <c r="AL84" s="135">
        <f t="shared" si="16"/>
        <v>3</v>
      </c>
      <c r="AM84" s="280">
        <f t="shared" si="17"/>
        <v>42.85714286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85">
        <v>1.0</v>
      </c>
      <c r="BD84" s="133"/>
      <c r="BE84" s="133"/>
      <c r="BF84" s="185">
        <v>1.0</v>
      </c>
      <c r="BG84" s="133"/>
      <c r="BH84" s="133"/>
      <c r="BI84" s="135">
        <f t="shared" si="18"/>
        <v>2</v>
      </c>
      <c r="BJ84" s="281">
        <f t="shared" si="19"/>
        <v>33.33333333</v>
      </c>
      <c r="BK84" s="138"/>
      <c r="BL84" s="132"/>
      <c r="BM84" s="151">
        <v>1.0</v>
      </c>
      <c r="BN84" s="138"/>
      <c r="BO84" s="138"/>
      <c r="BP84" s="138"/>
      <c r="BQ84" s="151">
        <v>1.0</v>
      </c>
      <c r="BR84" s="150">
        <v>1.0</v>
      </c>
      <c r="BS84" s="152"/>
      <c r="BT84" s="187">
        <v>1.0</v>
      </c>
      <c r="BU84" s="187">
        <v>1.0</v>
      </c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20"/>
        <v>5</v>
      </c>
      <c r="CG84" s="282">
        <f t="shared" si="21"/>
        <v>55.55555556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2"/>
        <v>0</v>
      </c>
      <c r="CT84" s="194" t="str">
        <f t="shared" si="23"/>
        <v>#DIV/0!</v>
      </c>
      <c r="CU84" s="196"/>
      <c r="CV84" s="167">
        <f t="shared" si="24"/>
        <v>41.66666667</v>
      </c>
      <c r="CW84" s="169">
        <f t="shared" si="9"/>
        <v>10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10"/>
        <v>3</v>
      </c>
      <c r="E85" s="127">
        <f t="shared" si="11"/>
        <v>12.5</v>
      </c>
      <c r="F85" s="200">
        <f t="shared" si="12"/>
        <v>12.5</v>
      </c>
      <c r="G85" s="207">
        <f t="shared" si="13"/>
        <v>12.5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4"/>
        <v>0</v>
      </c>
      <c r="S85" s="137">
        <f t="shared" si="15"/>
        <v>0</v>
      </c>
      <c r="T85" s="138"/>
      <c r="U85" s="138"/>
      <c r="V85" s="138"/>
      <c r="W85" s="132"/>
      <c r="X85" s="170">
        <v>1.0</v>
      </c>
      <c r="Y85" s="138"/>
      <c r="Z85" s="151">
        <v>1.0</v>
      </c>
      <c r="AA85" s="133"/>
      <c r="AB85" s="133"/>
      <c r="AC85" s="133"/>
      <c r="AD85" s="140"/>
      <c r="AE85" s="141"/>
      <c r="AF85" s="32"/>
      <c r="AG85" s="32"/>
      <c r="AH85" s="32"/>
      <c r="AI85" s="32"/>
      <c r="AJ85" s="279"/>
      <c r="AK85" s="279"/>
      <c r="AL85" s="135">
        <f t="shared" si="16"/>
        <v>2</v>
      </c>
      <c r="AM85" s="280">
        <f t="shared" si="17"/>
        <v>28.57142857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8"/>
        <v>0</v>
      </c>
      <c r="BJ85" s="281">
        <f t="shared" si="19"/>
        <v>0</v>
      </c>
      <c r="BK85" s="138"/>
      <c r="BL85" s="132"/>
      <c r="BM85" s="138"/>
      <c r="BN85" s="138"/>
      <c r="BO85" s="138"/>
      <c r="BP85" s="138"/>
      <c r="BQ85" s="151">
        <v>1.0</v>
      </c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20"/>
        <v>1</v>
      </c>
      <c r="CG85" s="282">
        <f t="shared" si="21"/>
        <v>11.11111111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2"/>
        <v>0</v>
      </c>
      <c r="CT85" s="194" t="str">
        <f t="shared" si="23"/>
        <v>#DIV/0!</v>
      </c>
      <c r="CU85" s="196"/>
      <c r="CV85" s="167">
        <f t="shared" si="24"/>
        <v>12.5</v>
      </c>
      <c r="CW85" s="169">
        <f t="shared" si="9"/>
        <v>3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10"/>
        <v>8</v>
      </c>
      <c r="E86" s="127">
        <f t="shared" si="11"/>
        <v>33.33333333</v>
      </c>
      <c r="F86" s="200">
        <f t="shared" si="12"/>
        <v>33.33333333</v>
      </c>
      <c r="G86" s="175" t="str">
        <f t="shared" si="13"/>
        <v>  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135">
        <f t="shared" si="14"/>
        <v>0</v>
      </c>
      <c r="S86" s="137">
        <f t="shared" si="15"/>
        <v>0</v>
      </c>
      <c r="T86" s="138"/>
      <c r="U86" s="138"/>
      <c r="V86" s="138"/>
      <c r="W86" s="132"/>
      <c r="X86" s="170">
        <v>1.0</v>
      </c>
      <c r="Y86" s="138"/>
      <c r="Z86" s="151">
        <v>1.0</v>
      </c>
      <c r="AA86" s="133"/>
      <c r="AB86" s="133"/>
      <c r="AC86" s="133"/>
      <c r="AD86" s="140"/>
      <c r="AE86" s="141"/>
      <c r="AF86" s="32"/>
      <c r="AG86" s="32"/>
      <c r="AH86" s="32"/>
      <c r="AI86" s="32"/>
      <c r="AJ86" s="279"/>
      <c r="AK86" s="279"/>
      <c r="AL86" s="135">
        <f t="shared" si="16"/>
        <v>2</v>
      </c>
      <c r="AM86" s="280">
        <f t="shared" si="17"/>
        <v>28.57142857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85">
        <v>1.0</v>
      </c>
      <c r="BG86" s="133"/>
      <c r="BH86" s="133"/>
      <c r="BI86" s="135">
        <f t="shared" si="18"/>
        <v>1</v>
      </c>
      <c r="BJ86" s="281">
        <f t="shared" si="19"/>
        <v>16.66666667</v>
      </c>
      <c r="BK86" s="138"/>
      <c r="BL86" s="170">
        <v>1.0</v>
      </c>
      <c r="BM86" s="151">
        <v>1.0</v>
      </c>
      <c r="BN86" s="138"/>
      <c r="BO86" s="138"/>
      <c r="BP86" s="138"/>
      <c r="BQ86" s="138"/>
      <c r="BR86" s="150">
        <v>1.0</v>
      </c>
      <c r="BS86" s="187">
        <v>1.0</v>
      </c>
      <c r="BT86" s="187">
        <v>1.0</v>
      </c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20"/>
        <v>5</v>
      </c>
      <c r="CG86" s="282">
        <f t="shared" si="21"/>
        <v>55.55555556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2"/>
        <v>0</v>
      </c>
      <c r="CT86" s="194" t="str">
        <f t="shared" si="23"/>
        <v>#DIV/0!</v>
      </c>
      <c r="CU86" s="196"/>
      <c r="CV86" s="167">
        <f t="shared" si="24"/>
        <v>33.33333333</v>
      </c>
      <c r="CW86" s="169">
        <f t="shared" si="9"/>
        <v>8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10"/>
        <v>2</v>
      </c>
      <c r="E87" s="127">
        <f t="shared" si="11"/>
        <v>8.333333333</v>
      </c>
      <c r="F87" s="200">
        <f t="shared" si="12"/>
        <v>8.333333333</v>
      </c>
      <c r="G87" s="200">
        <f t="shared" si="13"/>
        <v>8.333333333</v>
      </c>
      <c r="H87" s="273"/>
      <c r="I87" s="273"/>
      <c r="J87" s="274"/>
      <c r="K87" s="274"/>
      <c r="L87" s="274"/>
      <c r="M87" s="274"/>
      <c r="N87" s="302">
        <v>1.0</v>
      </c>
      <c r="O87" s="274"/>
      <c r="P87" s="274"/>
      <c r="Q87" s="274"/>
      <c r="R87" s="135">
        <f t="shared" si="14"/>
        <v>1</v>
      </c>
      <c r="S87" s="137">
        <f t="shared" si="15"/>
        <v>50</v>
      </c>
      <c r="T87" s="138"/>
      <c r="U87" s="138"/>
      <c r="V87" s="138"/>
      <c r="W87" s="132"/>
      <c r="X87" s="132"/>
      <c r="Y87" s="138"/>
      <c r="Z87" s="138"/>
      <c r="AA87" s="133"/>
      <c r="AB87" s="133"/>
      <c r="AC87" s="133"/>
      <c r="AD87" s="140"/>
      <c r="AE87" s="141"/>
      <c r="AF87" s="32"/>
      <c r="AG87" s="32"/>
      <c r="AH87" s="32"/>
      <c r="AI87" s="32"/>
      <c r="AJ87" s="279"/>
      <c r="AK87" s="279"/>
      <c r="AL87" s="135">
        <f t="shared" si="16"/>
        <v>0</v>
      </c>
      <c r="AM87" s="280">
        <f t="shared" si="17"/>
        <v>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8"/>
        <v>0</v>
      </c>
      <c r="BJ87" s="281">
        <f t="shared" si="19"/>
        <v>0</v>
      </c>
      <c r="BK87" s="138"/>
      <c r="BL87" s="132"/>
      <c r="BM87" s="138"/>
      <c r="BN87" s="138"/>
      <c r="BO87" s="138"/>
      <c r="BP87" s="138"/>
      <c r="BQ87" s="151">
        <v>1.0</v>
      </c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20"/>
        <v>1</v>
      </c>
      <c r="CG87" s="282">
        <f t="shared" si="21"/>
        <v>11.11111111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2"/>
        <v>0</v>
      </c>
      <c r="CT87" s="194" t="str">
        <f t="shared" si="23"/>
        <v>#DIV/0!</v>
      </c>
      <c r="CU87" s="196"/>
      <c r="CV87" s="167">
        <f t="shared" si="24"/>
        <v>8.333333333</v>
      </c>
      <c r="CW87" s="169">
        <f t="shared" si="9"/>
        <v>2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10"/>
        <v>5</v>
      </c>
      <c r="E88" s="127">
        <f t="shared" si="11"/>
        <v>20.83333333</v>
      </c>
      <c r="F88" s="200">
        <f t="shared" si="12"/>
        <v>20.83333333</v>
      </c>
      <c r="G88" s="200">
        <f t="shared" si="13"/>
        <v>20.83333333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4"/>
        <v>0</v>
      </c>
      <c r="S88" s="137">
        <f t="shared" si="15"/>
        <v>0</v>
      </c>
      <c r="T88" s="32"/>
      <c r="U88" s="32"/>
      <c r="V88" s="32"/>
      <c r="W88" s="132"/>
      <c r="X88" s="132"/>
      <c r="Y88" s="138"/>
      <c r="Z88" s="138"/>
      <c r="AA88" s="133"/>
      <c r="AB88" s="133"/>
      <c r="AC88" s="185">
        <v>1.0</v>
      </c>
      <c r="AD88" s="289"/>
      <c r="AE88" s="141"/>
      <c r="AF88" s="32"/>
      <c r="AG88" s="290">
        <v>1.0</v>
      </c>
      <c r="AH88" s="290">
        <v>1.0</v>
      </c>
      <c r="AI88" s="32"/>
      <c r="AJ88" s="279"/>
      <c r="AK88" s="279"/>
      <c r="AL88" s="135">
        <f t="shared" si="16"/>
        <v>3</v>
      </c>
      <c r="AM88" s="280">
        <f t="shared" si="17"/>
        <v>42.85714286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85">
        <v>1.0</v>
      </c>
      <c r="BG88" s="133"/>
      <c r="BH88" s="185">
        <v>1.0</v>
      </c>
      <c r="BI88" s="135">
        <f t="shared" si="18"/>
        <v>2</v>
      </c>
      <c r="BJ88" s="281">
        <f t="shared" si="19"/>
        <v>33.33333333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20"/>
        <v>0</v>
      </c>
      <c r="CG88" s="282">
        <f t="shared" si="21"/>
        <v>0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2"/>
        <v>0</v>
      </c>
      <c r="CT88" s="194" t="str">
        <f t="shared" si="23"/>
        <v>#DIV/0!</v>
      </c>
      <c r="CU88" s="196"/>
      <c r="CV88" s="167">
        <f t="shared" si="24"/>
        <v>20.83333333</v>
      </c>
      <c r="CW88" s="169">
        <f t="shared" si="9"/>
        <v>5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10"/>
        <v>0</v>
      </c>
      <c r="E89" s="127">
        <f t="shared" si="11"/>
        <v>0</v>
      </c>
      <c r="F89" s="200">
        <f t="shared" si="12"/>
        <v>0</v>
      </c>
      <c r="G89" s="200">
        <f t="shared" si="13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4"/>
        <v>0</v>
      </c>
      <c r="S89" s="137">
        <f t="shared" si="15"/>
        <v>0</v>
      </c>
      <c r="T89" s="32"/>
      <c r="U89" s="32"/>
      <c r="V89" s="32"/>
      <c r="W89" s="132"/>
      <c r="X89" s="132"/>
      <c r="Y89" s="138"/>
      <c r="Z89" s="138"/>
      <c r="AA89" s="133"/>
      <c r="AB89" s="133"/>
      <c r="AC89" s="133"/>
      <c r="AD89" s="289"/>
      <c r="AE89" s="141"/>
      <c r="AF89" s="32"/>
      <c r="AG89" s="32"/>
      <c r="AH89" s="32"/>
      <c r="AI89" s="32"/>
      <c r="AJ89" s="279"/>
      <c r="AK89" s="279"/>
      <c r="AL89" s="135">
        <f t="shared" si="16"/>
        <v>0</v>
      </c>
      <c r="AM89" s="280">
        <f t="shared" si="17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8"/>
        <v>0</v>
      </c>
      <c r="BJ89" s="281">
        <f t="shared" si="19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20"/>
        <v>0</v>
      </c>
      <c r="CG89" s="282">
        <f t="shared" si="21"/>
        <v>0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2"/>
        <v>0</v>
      </c>
      <c r="CT89" s="194" t="str">
        <f t="shared" si="23"/>
        <v>#DIV/0!</v>
      </c>
      <c r="CU89" s="196"/>
      <c r="CV89" s="167">
        <f t="shared" si="24"/>
        <v>0</v>
      </c>
      <c r="CW89" s="169">
        <f t="shared" si="9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10"/>
        <v>9</v>
      </c>
      <c r="E90" s="127">
        <f t="shared" si="11"/>
        <v>37.5</v>
      </c>
      <c r="F90" s="200">
        <f t="shared" si="12"/>
        <v>37.5</v>
      </c>
      <c r="G90" s="175" t="str">
        <f t="shared" si="13"/>
        <v>  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4"/>
        <v>0</v>
      </c>
      <c r="S90" s="137">
        <f t="shared" si="15"/>
        <v>0</v>
      </c>
      <c r="T90" s="32"/>
      <c r="U90" s="32"/>
      <c r="V90" s="32"/>
      <c r="W90" s="132"/>
      <c r="X90" s="132"/>
      <c r="Y90" s="138"/>
      <c r="Z90" s="138"/>
      <c r="AA90" s="133"/>
      <c r="AB90" s="133"/>
      <c r="AC90" s="133"/>
      <c r="AD90" s="289"/>
      <c r="AE90" s="141"/>
      <c r="AF90" s="32"/>
      <c r="AG90" s="290">
        <v>1.0</v>
      </c>
      <c r="AH90" s="290">
        <v>1.0</v>
      </c>
      <c r="AI90" s="32"/>
      <c r="AJ90" s="279"/>
      <c r="AK90" s="279"/>
      <c r="AL90" s="135">
        <f t="shared" si="16"/>
        <v>2</v>
      </c>
      <c r="AM90" s="280">
        <f t="shared" si="17"/>
        <v>28.57142857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85">
        <v>1.0</v>
      </c>
      <c r="BG90" s="133"/>
      <c r="BH90" s="133"/>
      <c r="BI90" s="135">
        <f t="shared" si="18"/>
        <v>1</v>
      </c>
      <c r="BJ90" s="281">
        <f t="shared" si="19"/>
        <v>16.66666667</v>
      </c>
      <c r="BK90" s="151">
        <v>1.0</v>
      </c>
      <c r="BL90" s="170">
        <v>1.0</v>
      </c>
      <c r="BM90" s="138"/>
      <c r="BN90" s="138"/>
      <c r="BO90" s="138"/>
      <c r="BP90" s="151">
        <v>1.0</v>
      </c>
      <c r="BQ90" s="151">
        <v>1.0</v>
      </c>
      <c r="BR90" s="140"/>
      <c r="BS90" s="152"/>
      <c r="BT90" s="187">
        <v>1.0</v>
      </c>
      <c r="BU90" s="187">
        <v>1.0</v>
      </c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20"/>
        <v>6</v>
      </c>
      <c r="CG90" s="282">
        <f t="shared" si="21"/>
        <v>66.66666667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2"/>
        <v>0</v>
      </c>
      <c r="CT90" s="194" t="str">
        <f t="shared" si="23"/>
        <v>#DIV/0!</v>
      </c>
      <c r="CU90" s="196"/>
      <c r="CV90" s="167">
        <f t="shared" si="24"/>
        <v>37.5</v>
      </c>
      <c r="CW90" s="169">
        <f t="shared" si="9"/>
        <v>9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10"/>
        <v>6</v>
      </c>
      <c r="E91" s="127">
        <f t="shared" si="11"/>
        <v>25</v>
      </c>
      <c r="F91" s="200">
        <f t="shared" si="12"/>
        <v>25</v>
      </c>
      <c r="G91" s="200">
        <f t="shared" si="13"/>
        <v>25</v>
      </c>
      <c r="H91" s="287"/>
      <c r="I91" s="287"/>
      <c r="J91" s="288"/>
      <c r="K91" s="288"/>
      <c r="L91" s="288"/>
      <c r="M91" s="288"/>
      <c r="N91" s="304">
        <v>1.0</v>
      </c>
      <c r="O91" s="288"/>
      <c r="P91" s="288"/>
      <c r="Q91" s="288"/>
      <c r="R91" s="135">
        <f t="shared" si="14"/>
        <v>1</v>
      </c>
      <c r="S91" s="137">
        <f t="shared" si="15"/>
        <v>50</v>
      </c>
      <c r="T91" s="32"/>
      <c r="U91" s="32"/>
      <c r="V91" s="32"/>
      <c r="W91" s="132"/>
      <c r="X91" s="132"/>
      <c r="Y91" s="138"/>
      <c r="Z91" s="151">
        <v>1.0</v>
      </c>
      <c r="AA91" s="133"/>
      <c r="AB91" s="185">
        <v>1.0</v>
      </c>
      <c r="AC91" s="185">
        <v>1.0</v>
      </c>
      <c r="AD91" s="289"/>
      <c r="AE91" s="141"/>
      <c r="AF91" s="32"/>
      <c r="AG91" s="32"/>
      <c r="AH91" s="32"/>
      <c r="AI91" s="32"/>
      <c r="AJ91" s="279"/>
      <c r="AK91" s="279"/>
      <c r="AL91" s="135">
        <f t="shared" si="16"/>
        <v>3</v>
      </c>
      <c r="AM91" s="280">
        <f t="shared" si="17"/>
        <v>42.85714286</v>
      </c>
      <c r="AN91" s="32"/>
      <c r="AO91" s="32"/>
      <c r="AP91" s="32"/>
      <c r="AQ91" s="138"/>
      <c r="AR91" s="138"/>
      <c r="AS91" s="132"/>
      <c r="AT91" s="133"/>
      <c r="AU91" s="133"/>
      <c r="AV91" s="328"/>
      <c r="AW91" s="132"/>
      <c r="AX91" s="328"/>
      <c r="AY91" s="170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8"/>
        <v>0</v>
      </c>
      <c r="BJ91" s="281">
        <f t="shared" si="19"/>
        <v>0</v>
      </c>
      <c r="BK91" s="138"/>
      <c r="BL91" s="132"/>
      <c r="BM91" s="151">
        <v>1.0</v>
      </c>
      <c r="BN91" s="138"/>
      <c r="BO91" s="138"/>
      <c r="BP91" s="138"/>
      <c r="BQ91" s="151">
        <v>1.0</v>
      </c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20"/>
        <v>2</v>
      </c>
      <c r="CG91" s="282">
        <f t="shared" si="21"/>
        <v>22.22222222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2"/>
        <v>0</v>
      </c>
      <c r="CT91" s="194" t="str">
        <f t="shared" si="23"/>
        <v>#DIV/0!</v>
      </c>
      <c r="CU91" s="196"/>
      <c r="CV91" s="167">
        <f t="shared" si="24"/>
        <v>25</v>
      </c>
      <c r="CW91" s="169">
        <f t="shared" si="9"/>
        <v>6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10"/>
        <v>7</v>
      </c>
      <c r="E92" s="127">
        <f t="shared" si="11"/>
        <v>29.16666667</v>
      </c>
      <c r="F92" s="200">
        <f t="shared" si="12"/>
        <v>29.16666667</v>
      </c>
      <c r="G92" s="200">
        <f t="shared" si="13"/>
        <v>29.16666667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4"/>
        <v>0</v>
      </c>
      <c r="S92" s="137">
        <f t="shared" si="15"/>
        <v>0</v>
      </c>
      <c r="T92" s="32"/>
      <c r="U92" s="32"/>
      <c r="V92" s="32"/>
      <c r="W92" s="32"/>
      <c r="X92" s="32"/>
      <c r="Y92" s="32"/>
      <c r="Z92" s="32"/>
      <c r="AA92" s="133"/>
      <c r="AB92" s="185">
        <v>1.0</v>
      </c>
      <c r="AC92" s="133"/>
      <c r="AD92" s="32"/>
      <c r="AE92" s="32"/>
      <c r="AF92" s="32"/>
      <c r="AG92" s="290">
        <v>1.0</v>
      </c>
      <c r="AH92" s="32"/>
      <c r="AI92" s="32"/>
      <c r="AJ92" s="279"/>
      <c r="AK92" s="279"/>
      <c r="AL92" s="135">
        <f t="shared" si="16"/>
        <v>2</v>
      </c>
      <c r="AM92" s="280">
        <f t="shared" si="17"/>
        <v>28.57142857</v>
      </c>
      <c r="AN92" s="32"/>
      <c r="AO92" s="32"/>
      <c r="AP92" s="32"/>
      <c r="AQ92" s="32"/>
      <c r="AR92" s="138"/>
      <c r="AS92" s="132"/>
      <c r="AT92" s="133"/>
      <c r="AU92" s="133"/>
      <c r="AV92" s="328"/>
      <c r="AW92" s="132"/>
      <c r="AX92" s="328"/>
      <c r="AY92" s="132"/>
      <c r="AZ92" s="133"/>
      <c r="BA92" s="133"/>
      <c r="BB92" s="133"/>
      <c r="BC92" s="133"/>
      <c r="BD92" s="133"/>
      <c r="BE92" s="133"/>
      <c r="BF92" s="185">
        <v>1.0</v>
      </c>
      <c r="BG92" s="133"/>
      <c r="BH92" s="133"/>
      <c r="BI92" s="135">
        <f t="shared" si="18"/>
        <v>1</v>
      </c>
      <c r="BJ92" s="281">
        <f t="shared" si="19"/>
        <v>16.66666667</v>
      </c>
      <c r="BK92" s="138"/>
      <c r="BL92" s="170">
        <v>1.0</v>
      </c>
      <c r="BM92" s="138"/>
      <c r="BN92" s="138"/>
      <c r="BO92" s="138"/>
      <c r="BP92" s="151">
        <v>1.0</v>
      </c>
      <c r="BQ92" s="151">
        <v>1.0</v>
      </c>
      <c r="BR92" s="150">
        <v>1.0</v>
      </c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20"/>
        <v>4</v>
      </c>
      <c r="CG92" s="282">
        <f t="shared" si="21"/>
        <v>44.44444444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2"/>
        <v>0</v>
      </c>
      <c r="CT92" s="194" t="str">
        <f t="shared" si="23"/>
        <v>#DIV/0!</v>
      </c>
      <c r="CU92" s="196"/>
      <c r="CV92" s="167">
        <f t="shared" si="24"/>
        <v>29.16666667</v>
      </c>
      <c r="CW92" s="169">
        <f t="shared" si="9"/>
        <v>7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10"/>
        <v>0</v>
      </c>
      <c r="E93" s="127">
        <f t="shared" si="11"/>
        <v>0</v>
      </c>
      <c r="F93" s="200">
        <f t="shared" si="12"/>
        <v>0</v>
      </c>
      <c r="G93" s="200">
        <f t="shared" si="13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4"/>
        <v>0</v>
      </c>
      <c r="S93" s="137">
        <f t="shared" si="15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6"/>
        <v>0</v>
      </c>
      <c r="AM93" s="280">
        <f t="shared" si="17"/>
        <v>0</v>
      </c>
      <c r="AN93" s="32"/>
      <c r="AO93" s="32"/>
      <c r="AP93" s="32"/>
      <c r="AQ93" s="32"/>
      <c r="AR93" s="32"/>
      <c r="AS93" s="32"/>
      <c r="AT93" s="32"/>
      <c r="AU93" s="32"/>
      <c r="AV93" s="328"/>
      <c r="AW93" s="32"/>
      <c r="AX93" s="328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8"/>
        <v>0</v>
      </c>
      <c r="BJ93" s="281">
        <f t="shared" si="19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20"/>
        <v>0</v>
      </c>
      <c r="CG93" s="282">
        <f t="shared" si="21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2"/>
        <v>0</v>
      </c>
      <c r="CT93" s="194" t="str">
        <f t="shared" si="23"/>
        <v>#DIV/0!</v>
      </c>
      <c r="CU93" s="196"/>
      <c r="CV93" s="167">
        <f t="shared" si="24"/>
        <v>0</v>
      </c>
      <c r="CW93" s="169">
        <f t="shared" si="9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222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18" t="s">
        <v>223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/>
      <c r="I7" s="43"/>
      <c r="J7" s="43"/>
      <c r="K7" s="43"/>
      <c r="L7" s="43"/>
      <c r="M7" s="43"/>
      <c r="N7" s="45">
        <v>1.0</v>
      </c>
      <c r="O7" s="43"/>
      <c r="P7" s="43"/>
      <c r="Q7" s="43"/>
      <c r="R7" s="47"/>
      <c r="S7" s="47"/>
      <c r="T7" s="46"/>
      <c r="U7" s="46"/>
      <c r="V7" s="46"/>
      <c r="W7" s="46"/>
      <c r="X7" s="49">
        <v>2.0</v>
      </c>
      <c r="Y7" s="46"/>
      <c r="Z7" s="49">
        <v>3.0</v>
      </c>
      <c r="AA7" s="46"/>
      <c r="AB7" s="46"/>
      <c r="AC7" s="49">
        <v>4.0</v>
      </c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226</v>
      </c>
      <c r="B9" s="90" t="s">
        <v>43</v>
      </c>
      <c r="C9" s="91" t="s">
        <v>44</v>
      </c>
      <c r="D9" s="94">
        <f>SUM(R9+AL9+BI9+CF9+CS9)</f>
        <v>5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16</v>
      </c>
      <c r="N9" s="99">
        <f t="shared" si="1"/>
        <v>6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2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33</v>
      </c>
      <c r="Y9" s="104">
        <f t="shared" si="2"/>
        <v>0</v>
      </c>
      <c r="Z9" s="104">
        <f t="shared" si="2"/>
        <v>42</v>
      </c>
      <c r="AA9" s="104">
        <f t="shared" si="2"/>
        <v>0</v>
      </c>
      <c r="AB9" s="104">
        <f t="shared" si="2"/>
        <v>0</v>
      </c>
      <c r="AC9" s="104">
        <f t="shared" si="2"/>
        <v>44</v>
      </c>
      <c r="AD9" s="104">
        <f t="shared" si="2"/>
        <v>0</v>
      </c>
      <c r="AE9" s="104">
        <f t="shared" si="2"/>
        <v>0</v>
      </c>
      <c r="AF9" s="104">
        <f t="shared" si="2"/>
        <v>0</v>
      </c>
      <c r="AG9" s="104">
        <f t="shared" si="2"/>
        <v>0</v>
      </c>
      <c r="AH9" s="104">
        <f t="shared" si="2"/>
        <v>0</v>
      </c>
      <c r="AI9" s="104">
        <f t="shared" si="2"/>
        <v>0</v>
      </c>
      <c r="AJ9" s="104">
        <f t="shared" si="2"/>
        <v>0</v>
      </c>
      <c r="AK9" s="104">
        <f t="shared" si="2"/>
        <v>0</v>
      </c>
      <c r="AL9" s="103">
        <f>COUNTIF(T9:AK9,"&gt;0")</f>
        <v>3</v>
      </c>
      <c r="AM9" s="107">
        <f>SUM(R9+AL9)</f>
        <v>5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0</v>
      </c>
      <c r="AY9" s="104">
        <f t="shared" si="3"/>
        <v>0</v>
      </c>
      <c r="AZ9" s="104">
        <f t="shared" si="3"/>
        <v>0</v>
      </c>
      <c r="BA9" s="104">
        <f t="shared" si="3"/>
        <v>0</v>
      </c>
      <c r="BB9" s="104">
        <f t="shared" si="3"/>
        <v>0</v>
      </c>
      <c r="BC9" s="104">
        <f t="shared" si="3"/>
        <v>0</v>
      </c>
      <c r="BD9" s="104">
        <f t="shared" si="3"/>
        <v>0</v>
      </c>
      <c r="BE9" s="104">
        <f t="shared" si="3"/>
        <v>0</v>
      </c>
      <c r="BF9" s="104">
        <f t="shared" si="3"/>
        <v>0</v>
      </c>
      <c r="BG9" s="104">
        <f t="shared" si="3"/>
        <v>0</v>
      </c>
      <c r="BH9" s="104">
        <f t="shared" si="3"/>
        <v>0</v>
      </c>
      <c r="BI9" s="48">
        <f>COUNTIF(AN9:BH9,"&gt;0")</f>
        <v>0</v>
      </c>
      <c r="BJ9" s="55">
        <f>SUM(AM9+BI9)</f>
        <v>5</v>
      </c>
      <c r="BK9" s="109">
        <f t="shared" ref="BK9:BW9" si="4">SUM(BK10:BK91)</f>
        <v>0</v>
      </c>
      <c r="BL9" s="109">
        <f t="shared" si="4"/>
        <v>0</v>
      </c>
      <c r="BM9" s="109">
        <f t="shared" si="4"/>
        <v>0</v>
      </c>
      <c r="BN9" s="109">
        <f t="shared" si="4"/>
        <v>0</v>
      </c>
      <c r="BO9" s="109">
        <f t="shared" si="4"/>
        <v>0</v>
      </c>
      <c r="BP9" s="109">
        <f t="shared" si="4"/>
        <v>0</v>
      </c>
      <c r="BQ9" s="109">
        <f t="shared" si="4"/>
        <v>0</v>
      </c>
      <c r="BR9" s="109">
        <f t="shared" si="4"/>
        <v>0</v>
      </c>
      <c r="BS9" s="109">
        <f t="shared" si="4"/>
        <v>0</v>
      </c>
      <c r="BT9" s="109">
        <f t="shared" si="4"/>
        <v>0</v>
      </c>
      <c r="BU9" s="109">
        <f t="shared" si="4"/>
        <v>0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0</v>
      </c>
      <c r="CG9" s="113">
        <f>SUM(BJ9+CF9)</f>
        <v>5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5</v>
      </c>
      <c r="CU9" s="118"/>
      <c r="CV9" s="119">
        <f>SUM(R9+AL9+BI9+CF9+CS9+CU9)</f>
        <v>5</v>
      </c>
      <c r="CW9" s="120">
        <f t="shared" ref="CW9:CW93" si="8">SUM(R9+AL9+BI9+CF9+CS9+CU9)</f>
        <v>5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0</v>
      </c>
      <c r="E10" s="127">
        <f t="shared" ref="E10:E93" si="10">(D10)/D$9*100</f>
        <v>0</v>
      </c>
      <c r="F10" s="128">
        <f t="shared" ref="F10:F93" si="11">IF(E10&lt;50,E10, "  ")</f>
        <v>0</v>
      </c>
      <c r="G10" s="130">
        <f t="shared" ref="G10:G93" si="12">IF(E10&lt;30,E10, "  ")</f>
        <v>0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>
        <f t="shared" ref="S10:S93" si="14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2"/>
      <c r="AI10" s="142"/>
      <c r="AJ10" s="142"/>
      <c r="AK10" s="142"/>
      <c r="AL10" s="135">
        <f t="shared" ref="AL10:AL93" si="15">SUM(T10:AK10)</f>
        <v>0</v>
      </c>
      <c r="AM10" s="137">
        <f t="shared" ref="AM10:AM93" si="16">AL10/AL$9*100</f>
        <v>0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 t="str">
        <f t="shared" ref="BJ10:BJ93" si="18">BI10/BI$9*100</f>
        <v>#DIV/0!</v>
      </c>
      <c r="BK10" s="138"/>
      <c r="BL10" s="132"/>
      <c r="BM10" s="138"/>
      <c r="BN10" s="138"/>
      <c r="BO10" s="138"/>
      <c r="BP10" s="138"/>
      <c r="BQ10" s="138"/>
      <c r="BR10" s="140"/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0</v>
      </c>
      <c r="CG10" s="159" t="str">
        <f t="shared" ref="CG10:CG93" si="20">CF10/CF$9*100</f>
        <v>#DIV/0!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0</v>
      </c>
      <c r="CW10" s="169">
        <f t="shared" si="8"/>
        <v>0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4</v>
      </c>
      <c r="E11" s="127">
        <f t="shared" si="10"/>
        <v>80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79"/>
      <c r="K11" s="179"/>
      <c r="L11" s="179"/>
      <c r="M11" s="191">
        <v>1.0</v>
      </c>
      <c r="N11" s="179"/>
      <c r="O11" s="179"/>
      <c r="P11" s="179"/>
      <c r="Q11" s="179"/>
      <c r="R11" s="135">
        <f t="shared" si="13"/>
        <v>1</v>
      </c>
      <c r="S11" s="137">
        <f t="shared" si="14"/>
        <v>50</v>
      </c>
      <c r="T11" s="138"/>
      <c r="U11" s="138"/>
      <c r="V11" s="138"/>
      <c r="W11" s="132"/>
      <c r="X11" s="170">
        <v>1.0</v>
      </c>
      <c r="Y11" s="138"/>
      <c r="Z11" s="151">
        <v>1.0</v>
      </c>
      <c r="AA11" s="138"/>
      <c r="AB11" s="138"/>
      <c r="AC11" s="150">
        <v>1.0</v>
      </c>
      <c r="AD11" s="140"/>
      <c r="AE11" s="141"/>
      <c r="AF11" s="180"/>
      <c r="AG11" s="180"/>
      <c r="AH11" s="180"/>
      <c r="AI11" s="180"/>
      <c r="AJ11" s="142"/>
      <c r="AK11" s="142"/>
      <c r="AL11" s="135">
        <f t="shared" si="15"/>
        <v>3</v>
      </c>
      <c r="AM11" s="183">
        <f t="shared" si="16"/>
        <v>100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5">
        <f t="shared" si="17"/>
        <v>0</v>
      </c>
      <c r="BJ11" s="186" t="str">
        <f t="shared" si="18"/>
        <v>#DIV/0!</v>
      </c>
      <c r="BK11" s="138"/>
      <c r="BL11" s="132"/>
      <c r="BM11" s="138"/>
      <c r="BN11" s="138"/>
      <c r="BO11" s="138"/>
      <c r="BP11" s="138"/>
      <c r="BQ11" s="138"/>
      <c r="BR11" s="140"/>
      <c r="BS11" s="152"/>
      <c r="BT11" s="152"/>
      <c r="BU11" s="152"/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0</v>
      </c>
      <c r="CG11" s="190" t="str">
        <f t="shared" si="20"/>
        <v>#DIV/0!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80</v>
      </c>
      <c r="CW11" s="169">
        <f t="shared" si="8"/>
        <v>4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1</v>
      </c>
      <c r="E12" s="127">
        <f t="shared" si="10"/>
        <v>20</v>
      </c>
      <c r="F12" s="200">
        <f t="shared" si="11"/>
        <v>20</v>
      </c>
      <c r="G12" s="207">
        <f t="shared" si="12"/>
        <v>20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3"/>
        <v>0</v>
      </c>
      <c r="S12" s="137">
        <f t="shared" si="14"/>
        <v>0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50">
        <v>1.0</v>
      </c>
      <c r="AD12" s="140"/>
      <c r="AE12" s="141"/>
      <c r="AF12" s="180"/>
      <c r="AG12" s="180"/>
      <c r="AH12" s="180"/>
      <c r="AI12" s="180"/>
      <c r="AJ12" s="142"/>
      <c r="AK12" s="142"/>
      <c r="AL12" s="135">
        <f t="shared" si="15"/>
        <v>1</v>
      </c>
      <c r="AM12" s="183">
        <f t="shared" si="16"/>
        <v>33.33333333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7"/>
        <v>0</v>
      </c>
      <c r="BJ12" s="186" t="str">
        <f t="shared" si="18"/>
        <v>#DIV/0!</v>
      </c>
      <c r="BK12" s="138"/>
      <c r="BL12" s="132"/>
      <c r="BM12" s="138"/>
      <c r="BN12" s="138"/>
      <c r="BO12" s="138"/>
      <c r="BP12" s="138"/>
      <c r="BQ12" s="138"/>
      <c r="BR12" s="140"/>
      <c r="BS12" s="152"/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0</v>
      </c>
      <c r="CG12" s="190" t="str">
        <f t="shared" si="20"/>
        <v>#DIV/0!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20</v>
      </c>
      <c r="CW12" s="169">
        <f t="shared" si="8"/>
        <v>1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1</v>
      </c>
      <c r="E13" s="127">
        <f t="shared" si="10"/>
        <v>20</v>
      </c>
      <c r="F13" s="200">
        <f t="shared" si="11"/>
        <v>20</v>
      </c>
      <c r="G13" s="207">
        <f t="shared" si="12"/>
        <v>20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3"/>
        <v>0</v>
      </c>
      <c r="S13" s="137">
        <f t="shared" si="14"/>
        <v>0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50">
        <v>1.0</v>
      </c>
      <c r="AD13" s="140"/>
      <c r="AE13" s="141"/>
      <c r="AF13" s="210"/>
      <c r="AG13" s="210"/>
      <c r="AH13" s="210"/>
      <c r="AI13" s="210"/>
      <c r="AJ13" s="212"/>
      <c r="AK13" s="212"/>
      <c r="AL13" s="135">
        <f t="shared" si="15"/>
        <v>1</v>
      </c>
      <c r="AM13" s="183">
        <f t="shared" si="16"/>
        <v>33.33333333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5">
        <f t="shared" si="17"/>
        <v>0</v>
      </c>
      <c r="BJ13" s="186" t="str">
        <f t="shared" si="18"/>
        <v>#DIV/0!</v>
      </c>
      <c r="BK13" s="138"/>
      <c r="BL13" s="132"/>
      <c r="BM13" s="138"/>
      <c r="BN13" s="138"/>
      <c r="BO13" s="138"/>
      <c r="BP13" s="138"/>
      <c r="BQ13" s="138"/>
      <c r="BR13" s="140"/>
      <c r="BS13" s="152"/>
      <c r="BT13" s="152"/>
      <c r="BU13" s="152"/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0</v>
      </c>
      <c r="CG13" s="190" t="str">
        <f t="shared" si="20"/>
        <v>#DIV/0!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20</v>
      </c>
      <c r="CW13" s="169">
        <f t="shared" si="8"/>
        <v>1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3</v>
      </c>
      <c r="E14" s="127">
        <f t="shared" si="10"/>
        <v>60</v>
      </c>
      <c r="F14" s="175" t="str">
        <f t="shared" si="11"/>
        <v>  </v>
      </c>
      <c r="G14" s="177" t="str">
        <f t="shared" si="12"/>
        <v>  </v>
      </c>
      <c r="H14" s="178"/>
      <c r="I14" s="223"/>
      <c r="J14" s="224"/>
      <c r="K14" s="224"/>
      <c r="L14" s="224"/>
      <c r="M14" s="232">
        <v>1.0</v>
      </c>
      <c r="N14" s="232">
        <v>1.0</v>
      </c>
      <c r="O14" s="224"/>
      <c r="P14" s="224"/>
      <c r="Q14" s="224"/>
      <c r="R14" s="135">
        <f t="shared" si="13"/>
        <v>2</v>
      </c>
      <c r="S14" s="137">
        <f t="shared" si="14"/>
        <v>100</v>
      </c>
      <c r="T14" s="138"/>
      <c r="U14" s="138"/>
      <c r="V14" s="138"/>
      <c r="W14" s="132"/>
      <c r="X14" s="132"/>
      <c r="Y14" s="138"/>
      <c r="Z14" s="151">
        <v>1.0</v>
      </c>
      <c r="AA14" s="138"/>
      <c r="AB14" s="217"/>
      <c r="AC14" s="140"/>
      <c r="AD14" s="140"/>
      <c r="AE14" s="141"/>
      <c r="AF14" s="226"/>
      <c r="AG14" s="226"/>
      <c r="AH14" s="226"/>
      <c r="AI14" s="226"/>
      <c r="AJ14" s="218"/>
      <c r="AK14" s="218"/>
      <c r="AL14" s="135">
        <f t="shared" si="15"/>
        <v>1</v>
      </c>
      <c r="AM14" s="183">
        <f t="shared" si="16"/>
        <v>33.33333333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5">
        <f t="shared" si="17"/>
        <v>0</v>
      </c>
      <c r="BJ14" s="186" t="str">
        <f t="shared" si="18"/>
        <v>#DIV/0!</v>
      </c>
      <c r="BK14" s="138"/>
      <c r="BL14" s="132"/>
      <c r="BM14" s="138"/>
      <c r="BN14" s="138"/>
      <c r="BO14" s="138"/>
      <c r="BP14" s="138"/>
      <c r="BQ14" s="138"/>
      <c r="BR14" s="140"/>
      <c r="BS14" s="152"/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0</v>
      </c>
      <c r="CG14" s="190" t="str">
        <f t="shared" si="20"/>
        <v>#DIV/0!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60</v>
      </c>
      <c r="CW14" s="169">
        <f t="shared" si="8"/>
        <v>3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3"/>
        <v>0</v>
      </c>
      <c r="S15" s="137">
        <f t="shared" si="14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 t="str">
        <f t="shared" si="18"/>
        <v>#DIV/0!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 t="str">
        <f t="shared" si="20"/>
        <v>#DIV/0!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0</v>
      </c>
      <c r="E16" s="127">
        <f t="shared" si="10"/>
        <v>0</v>
      </c>
      <c r="F16" s="200">
        <f t="shared" si="11"/>
        <v>0</v>
      </c>
      <c r="G16" s="207">
        <f t="shared" si="12"/>
        <v>0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3"/>
        <v>0</v>
      </c>
      <c r="S16" s="137">
        <f t="shared" si="14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4"/>
      <c r="AI16" s="234"/>
      <c r="AJ16" s="239"/>
      <c r="AK16" s="239"/>
      <c r="AL16" s="135">
        <f t="shared" si="15"/>
        <v>0</v>
      </c>
      <c r="AM16" s="183">
        <f t="shared" si="16"/>
        <v>0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5">
        <f t="shared" si="17"/>
        <v>0</v>
      </c>
      <c r="BJ16" s="186" t="str">
        <f t="shared" si="18"/>
        <v>#DIV/0!</v>
      </c>
      <c r="BK16" s="138"/>
      <c r="BL16" s="132"/>
      <c r="BM16" s="138"/>
      <c r="BN16" s="138"/>
      <c r="BO16" s="138"/>
      <c r="BP16" s="138"/>
      <c r="BQ16" s="138"/>
      <c r="BR16" s="140"/>
      <c r="BS16" s="152"/>
      <c r="BT16" s="152"/>
      <c r="BU16" s="152"/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0</v>
      </c>
      <c r="CG16" s="190" t="str">
        <f t="shared" si="20"/>
        <v>#DIV/0!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0</v>
      </c>
      <c r="CW16" s="169">
        <f t="shared" si="8"/>
        <v>0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3</v>
      </c>
      <c r="E17" s="127">
        <f t="shared" si="10"/>
        <v>60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79"/>
      <c r="M17" s="191">
        <v>1.0</v>
      </c>
      <c r="N17" s="191"/>
      <c r="O17" s="179"/>
      <c r="P17" s="179"/>
      <c r="Q17" s="179"/>
      <c r="R17" s="135">
        <f t="shared" si="13"/>
        <v>1</v>
      </c>
      <c r="S17" s="137">
        <f t="shared" si="14"/>
        <v>50</v>
      </c>
      <c r="T17" s="138"/>
      <c r="U17" s="138"/>
      <c r="V17" s="138"/>
      <c r="W17" s="132"/>
      <c r="X17" s="170">
        <v>1.0</v>
      </c>
      <c r="Y17" s="138"/>
      <c r="Z17" s="138"/>
      <c r="AA17" s="138"/>
      <c r="AB17" s="217"/>
      <c r="AC17" s="150">
        <v>1.0</v>
      </c>
      <c r="AD17" s="140"/>
      <c r="AE17" s="141"/>
      <c r="AF17" s="226"/>
      <c r="AG17" s="226"/>
      <c r="AH17" s="226"/>
      <c r="AI17" s="226"/>
      <c r="AJ17" s="218"/>
      <c r="AK17" s="218"/>
      <c r="AL17" s="135">
        <f t="shared" si="15"/>
        <v>2</v>
      </c>
      <c r="AM17" s="183">
        <f t="shared" si="16"/>
        <v>66.66666667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5">
        <f t="shared" si="17"/>
        <v>0</v>
      </c>
      <c r="BJ17" s="186" t="str">
        <f t="shared" si="18"/>
        <v>#DIV/0!</v>
      </c>
      <c r="BK17" s="138"/>
      <c r="BL17" s="132"/>
      <c r="BM17" s="138"/>
      <c r="BN17" s="138"/>
      <c r="BO17" s="138"/>
      <c r="BP17" s="138"/>
      <c r="BQ17" s="138"/>
      <c r="BR17" s="140"/>
      <c r="BS17" s="152"/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0</v>
      </c>
      <c r="CG17" s="190" t="str">
        <f t="shared" si="20"/>
        <v>#DIV/0!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60</v>
      </c>
      <c r="CW17" s="169">
        <f t="shared" si="8"/>
        <v>3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0</v>
      </c>
      <c r="E18" s="127">
        <f t="shared" si="10"/>
        <v>0</v>
      </c>
      <c r="F18" s="200">
        <f t="shared" si="11"/>
        <v>0</v>
      </c>
      <c r="G18" s="207">
        <f t="shared" si="12"/>
        <v>0</v>
      </c>
      <c r="H18" s="132"/>
      <c r="I18" s="132"/>
      <c r="J18" s="201"/>
      <c r="K18" s="201"/>
      <c r="L18" s="201"/>
      <c r="M18" s="201"/>
      <c r="N18" s="201"/>
      <c r="O18" s="201"/>
      <c r="P18" s="201"/>
      <c r="Q18" s="201"/>
      <c r="R18" s="135">
        <f t="shared" si="13"/>
        <v>0</v>
      </c>
      <c r="S18" s="137">
        <f t="shared" si="14"/>
        <v>0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0"/>
      <c r="AI18" s="210"/>
      <c r="AJ18" s="212"/>
      <c r="AK18" s="212"/>
      <c r="AL18" s="135">
        <f t="shared" si="15"/>
        <v>0</v>
      </c>
      <c r="AM18" s="183">
        <f t="shared" si="16"/>
        <v>0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5">
        <f t="shared" si="17"/>
        <v>0</v>
      </c>
      <c r="BJ18" s="186" t="str">
        <f t="shared" si="18"/>
        <v>#DIV/0!</v>
      </c>
      <c r="BK18" s="138"/>
      <c r="BL18" s="132"/>
      <c r="BM18" s="138"/>
      <c r="BN18" s="138"/>
      <c r="BO18" s="138"/>
      <c r="BP18" s="138"/>
      <c r="BQ18" s="138"/>
      <c r="BR18" s="140"/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0</v>
      </c>
      <c r="CG18" s="190" t="str">
        <f t="shared" si="20"/>
        <v>#DIV/0!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0</v>
      </c>
      <c r="CW18" s="169">
        <f t="shared" si="8"/>
        <v>0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1</v>
      </c>
      <c r="E19" s="127">
        <f t="shared" si="10"/>
        <v>20</v>
      </c>
      <c r="F19" s="200">
        <f t="shared" si="11"/>
        <v>20</v>
      </c>
      <c r="G19" s="207">
        <f t="shared" si="12"/>
        <v>20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3"/>
        <v>0</v>
      </c>
      <c r="S19" s="137">
        <f t="shared" si="14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50">
        <v>1.0</v>
      </c>
      <c r="AD19" s="140"/>
      <c r="AE19" s="141"/>
      <c r="AF19" s="226"/>
      <c r="AG19" s="226"/>
      <c r="AH19" s="226"/>
      <c r="AI19" s="226"/>
      <c r="AJ19" s="218"/>
      <c r="AK19" s="218"/>
      <c r="AL19" s="135">
        <f t="shared" si="15"/>
        <v>1</v>
      </c>
      <c r="AM19" s="183">
        <f t="shared" si="16"/>
        <v>33.33333333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5">
        <f t="shared" si="17"/>
        <v>0</v>
      </c>
      <c r="BJ19" s="186" t="str">
        <f t="shared" si="18"/>
        <v>#DIV/0!</v>
      </c>
      <c r="BK19" s="138"/>
      <c r="BL19" s="132"/>
      <c r="BM19" s="138"/>
      <c r="BN19" s="138"/>
      <c r="BO19" s="138"/>
      <c r="BP19" s="138"/>
      <c r="BQ19" s="138"/>
      <c r="BR19" s="140"/>
      <c r="BS19" s="152"/>
      <c r="BT19" s="152"/>
      <c r="BU19" s="152"/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0</v>
      </c>
      <c r="CG19" s="190" t="str">
        <f t="shared" si="20"/>
        <v>#DIV/0!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20</v>
      </c>
      <c r="CW19" s="169">
        <f t="shared" si="8"/>
        <v>1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1</v>
      </c>
      <c r="E20" s="127">
        <f t="shared" si="10"/>
        <v>20</v>
      </c>
      <c r="F20" s="200">
        <f t="shared" si="11"/>
        <v>20</v>
      </c>
      <c r="G20" s="207">
        <f t="shared" si="12"/>
        <v>20</v>
      </c>
      <c r="H20" s="132"/>
      <c r="I20" s="132"/>
      <c r="J20" s="201"/>
      <c r="K20" s="201"/>
      <c r="L20" s="201"/>
      <c r="M20" s="201"/>
      <c r="N20" s="245"/>
      <c r="O20" s="201"/>
      <c r="P20" s="201"/>
      <c r="Q20" s="201"/>
      <c r="R20" s="135">
        <f t="shared" si="13"/>
        <v>0</v>
      </c>
      <c r="S20" s="137">
        <f t="shared" si="14"/>
        <v>0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50">
        <v>1.0</v>
      </c>
      <c r="AD20" s="140"/>
      <c r="AE20" s="141"/>
      <c r="AF20" s="210"/>
      <c r="AG20" s="210"/>
      <c r="AH20" s="210"/>
      <c r="AI20" s="210"/>
      <c r="AJ20" s="212"/>
      <c r="AK20" s="212"/>
      <c r="AL20" s="135">
        <f t="shared" si="15"/>
        <v>1</v>
      </c>
      <c r="AM20" s="183">
        <f t="shared" si="16"/>
        <v>33.33333333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5">
        <f t="shared" si="17"/>
        <v>0</v>
      </c>
      <c r="BJ20" s="186" t="str">
        <f t="shared" si="18"/>
        <v>#DIV/0!</v>
      </c>
      <c r="BK20" s="138"/>
      <c r="BL20" s="132"/>
      <c r="BM20" s="138"/>
      <c r="BN20" s="138"/>
      <c r="BO20" s="138"/>
      <c r="BP20" s="138"/>
      <c r="BQ20" s="138"/>
      <c r="BR20" s="140"/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0</v>
      </c>
      <c r="CG20" s="190" t="str">
        <f t="shared" si="20"/>
        <v>#DIV/0!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20</v>
      </c>
      <c r="CW20" s="169">
        <f t="shared" si="8"/>
        <v>1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0</v>
      </c>
      <c r="E21" s="127">
        <f t="shared" si="10"/>
        <v>0</v>
      </c>
      <c r="F21" s="200">
        <f t="shared" si="11"/>
        <v>0</v>
      </c>
      <c r="G21" s="207">
        <f t="shared" si="12"/>
        <v>0</v>
      </c>
      <c r="H21" s="178"/>
      <c r="I21" s="132"/>
      <c r="J21" s="201"/>
      <c r="K21" s="201"/>
      <c r="L21" s="201"/>
      <c r="M21" s="201"/>
      <c r="N21" s="245"/>
      <c r="O21" s="201"/>
      <c r="P21" s="201"/>
      <c r="Q21" s="201"/>
      <c r="R21" s="135">
        <f t="shared" si="13"/>
        <v>0</v>
      </c>
      <c r="S21" s="137">
        <f t="shared" si="14"/>
        <v>0</v>
      </c>
      <c r="T21" s="138"/>
      <c r="U21" s="138"/>
      <c r="V21" s="138"/>
      <c r="W21" s="132"/>
      <c r="X21" s="132"/>
      <c r="Y21" s="138"/>
      <c r="Z21" s="138"/>
      <c r="AA21" s="138"/>
      <c r="AB21" s="209"/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0</v>
      </c>
      <c r="AM21" s="183">
        <f t="shared" si="16"/>
        <v>0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5">
        <f t="shared" si="17"/>
        <v>0</v>
      </c>
      <c r="BJ21" s="186" t="str">
        <f t="shared" si="18"/>
        <v>#DIV/0!</v>
      </c>
      <c r="BK21" s="138"/>
      <c r="BL21" s="132"/>
      <c r="BM21" s="138"/>
      <c r="BN21" s="138"/>
      <c r="BO21" s="138"/>
      <c r="BP21" s="138"/>
      <c r="BQ21" s="138"/>
      <c r="BR21" s="140"/>
      <c r="BS21" s="152"/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0</v>
      </c>
      <c r="CG21" s="190" t="str">
        <f t="shared" si="20"/>
        <v>#DIV/0!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0</v>
      </c>
      <c r="CW21" s="169">
        <f t="shared" si="8"/>
        <v>0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1</v>
      </c>
      <c r="E22" s="127">
        <f t="shared" si="10"/>
        <v>20</v>
      </c>
      <c r="F22" s="200">
        <f t="shared" si="11"/>
        <v>20</v>
      </c>
      <c r="G22" s="207">
        <f t="shared" si="12"/>
        <v>20</v>
      </c>
      <c r="H22" s="132"/>
      <c r="I22" s="178"/>
      <c r="J22" s="179"/>
      <c r="K22" s="179"/>
      <c r="L22" s="179"/>
      <c r="M22" s="179"/>
      <c r="N22" s="191"/>
      <c r="O22" s="179"/>
      <c r="P22" s="179"/>
      <c r="Q22" s="179"/>
      <c r="R22" s="135">
        <f t="shared" si="13"/>
        <v>0</v>
      </c>
      <c r="S22" s="137">
        <f t="shared" si="14"/>
        <v>0</v>
      </c>
      <c r="T22" s="138"/>
      <c r="U22" s="138"/>
      <c r="V22" s="138"/>
      <c r="W22" s="132"/>
      <c r="X22" s="132"/>
      <c r="Y22" s="138"/>
      <c r="Z22" s="151">
        <v>1.0</v>
      </c>
      <c r="AA22" s="138"/>
      <c r="AB22" s="209"/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1</v>
      </c>
      <c r="AM22" s="183">
        <f t="shared" si="16"/>
        <v>33.33333333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5">
        <f t="shared" si="17"/>
        <v>0</v>
      </c>
      <c r="BJ22" s="186" t="str">
        <f t="shared" si="18"/>
        <v>#DIV/0!</v>
      </c>
      <c r="BK22" s="138"/>
      <c r="BL22" s="132"/>
      <c r="BM22" s="138"/>
      <c r="BN22" s="138"/>
      <c r="BO22" s="138"/>
      <c r="BP22" s="138"/>
      <c r="BQ22" s="138"/>
      <c r="BR22" s="140"/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0</v>
      </c>
      <c r="CG22" s="190" t="str">
        <f t="shared" si="20"/>
        <v>#DIV/0!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20</v>
      </c>
      <c r="CW22" s="169">
        <f t="shared" si="8"/>
        <v>1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0</v>
      </c>
      <c r="E23" s="127">
        <f t="shared" si="10"/>
        <v>0</v>
      </c>
      <c r="F23" s="200">
        <f t="shared" si="11"/>
        <v>0</v>
      </c>
      <c r="G23" s="207">
        <f t="shared" si="12"/>
        <v>0</v>
      </c>
      <c r="H23" s="132"/>
      <c r="I23" s="132"/>
      <c r="J23" s="201"/>
      <c r="K23" s="201"/>
      <c r="L23" s="201"/>
      <c r="M23" s="201"/>
      <c r="N23" s="201"/>
      <c r="O23" s="201"/>
      <c r="P23" s="201"/>
      <c r="Q23" s="201"/>
      <c r="R23" s="135">
        <f t="shared" si="13"/>
        <v>0</v>
      </c>
      <c r="S23" s="137">
        <f t="shared" si="14"/>
        <v>0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>
        <f t="shared" si="16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 t="str">
        <f t="shared" si="18"/>
        <v>#DIV/0!</v>
      </c>
      <c r="BK23" s="138"/>
      <c r="BL23" s="132"/>
      <c r="BM23" s="138"/>
      <c r="BN23" s="138"/>
      <c r="BO23" s="138"/>
      <c r="BP23" s="138"/>
      <c r="BQ23" s="138"/>
      <c r="BR23" s="140"/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0</v>
      </c>
      <c r="CG23" s="190" t="str">
        <f t="shared" si="20"/>
        <v>#DIV/0!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0</v>
      </c>
      <c r="CW23" s="169">
        <f t="shared" si="8"/>
        <v>0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3</v>
      </c>
      <c r="E24" s="127">
        <f t="shared" si="10"/>
        <v>60</v>
      </c>
      <c r="F24" s="175" t="str">
        <f t="shared" si="11"/>
        <v>  </v>
      </c>
      <c r="G24" s="177" t="str">
        <f t="shared" si="12"/>
        <v>  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3"/>
        <v>0</v>
      </c>
      <c r="S24" s="137">
        <f t="shared" si="14"/>
        <v>0</v>
      </c>
      <c r="T24" s="138"/>
      <c r="U24" s="138"/>
      <c r="V24" s="138"/>
      <c r="W24" s="132"/>
      <c r="X24" s="170">
        <v>1.0</v>
      </c>
      <c r="Y24" s="138"/>
      <c r="Z24" s="151">
        <v>1.0</v>
      </c>
      <c r="AA24" s="138"/>
      <c r="AB24" s="209"/>
      <c r="AC24" s="150">
        <v>1.0</v>
      </c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3</v>
      </c>
      <c r="AM24" s="183">
        <f t="shared" si="16"/>
        <v>100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7"/>
        <v>0</v>
      </c>
      <c r="BJ24" s="186" t="str">
        <f t="shared" si="18"/>
        <v>#DIV/0!</v>
      </c>
      <c r="BK24" s="138"/>
      <c r="BL24" s="132"/>
      <c r="BM24" s="138"/>
      <c r="BN24" s="138"/>
      <c r="BO24" s="138"/>
      <c r="BP24" s="138"/>
      <c r="BQ24" s="138"/>
      <c r="BR24" s="140"/>
      <c r="BS24" s="152"/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0</v>
      </c>
      <c r="CG24" s="190" t="str">
        <f t="shared" si="20"/>
        <v>#DIV/0!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60</v>
      </c>
      <c r="CW24" s="169">
        <f t="shared" si="8"/>
        <v>3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3</v>
      </c>
      <c r="E25" s="127">
        <f t="shared" si="10"/>
        <v>60</v>
      </c>
      <c r="F25" s="175" t="str">
        <f t="shared" si="11"/>
        <v>  </v>
      </c>
      <c r="G25" s="177" t="str">
        <f t="shared" si="12"/>
        <v>  </v>
      </c>
      <c r="H25" s="132"/>
      <c r="I25" s="178"/>
      <c r="J25" s="179"/>
      <c r="K25" s="179"/>
      <c r="L25" s="179"/>
      <c r="M25" s="191">
        <v>1.0</v>
      </c>
      <c r="N25" s="179"/>
      <c r="O25" s="179"/>
      <c r="P25" s="179"/>
      <c r="Q25" s="179"/>
      <c r="R25" s="135">
        <f t="shared" si="13"/>
        <v>1</v>
      </c>
      <c r="S25" s="137">
        <f t="shared" si="14"/>
        <v>50</v>
      </c>
      <c r="T25" s="138"/>
      <c r="U25" s="138"/>
      <c r="V25" s="138"/>
      <c r="W25" s="132"/>
      <c r="X25" s="170">
        <v>1.0</v>
      </c>
      <c r="Y25" s="138"/>
      <c r="Z25" s="151">
        <v>1.0</v>
      </c>
      <c r="AA25" s="138"/>
      <c r="AB25" s="247"/>
      <c r="AC25" s="140"/>
      <c r="AD25" s="140"/>
      <c r="AE25" s="141"/>
      <c r="AF25" s="248"/>
      <c r="AG25" s="248"/>
      <c r="AH25" s="248"/>
      <c r="AI25" s="248"/>
      <c r="AJ25" s="249"/>
      <c r="AK25" s="249"/>
      <c r="AL25" s="135">
        <f t="shared" si="15"/>
        <v>2</v>
      </c>
      <c r="AM25" s="183">
        <f t="shared" si="16"/>
        <v>66.66666667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5">
        <f t="shared" si="17"/>
        <v>0</v>
      </c>
      <c r="BJ25" s="186" t="str">
        <f t="shared" si="18"/>
        <v>#DIV/0!</v>
      </c>
      <c r="BK25" s="138"/>
      <c r="BL25" s="132"/>
      <c r="BM25" s="138"/>
      <c r="BN25" s="138"/>
      <c r="BO25" s="138"/>
      <c r="BP25" s="138"/>
      <c r="BQ25" s="138"/>
      <c r="BR25" s="140"/>
      <c r="BS25" s="152"/>
      <c r="BT25" s="152"/>
      <c r="BU25" s="152"/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0</v>
      </c>
      <c r="CG25" s="190" t="str">
        <f t="shared" si="20"/>
        <v>#DIV/0!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60</v>
      </c>
      <c r="CW25" s="169">
        <f t="shared" si="8"/>
        <v>3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3</v>
      </c>
      <c r="E26" s="127">
        <f t="shared" si="10"/>
        <v>60</v>
      </c>
      <c r="F26" s="200" t="str">
        <f t="shared" si="11"/>
        <v>  </v>
      </c>
      <c r="G26" s="177" t="str">
        <f t="shared" si="12"/>
        <v>  </v>
      </c>
      <c r="H26" s="132"/>
      <c r="I26" s="132"/>
      <c r="J26" s="201"/>
      <c r="K26" s="201"/>
      <c r="L26" s="201"/>
      <c r="M26" s="245">
        <v>1.0</v>
      </c>
      <c r="N26" s="201"/>
      <c r="O26" s="201"/>
      <c r="P26" s="201"/>
      <c r="Q26" s="201"/>
      <c r="R26" s="135">
        <f t="shared" si="13"/>
        <v>1</v>
      </c>
      <c r="S26" s="137">
        <f t="shared" si="14"/>
        <v>50</v>
      </c>
      <c r="T26" s="138"/>
      <c r="U26" s="138"/>
      <c r="V26" s="138"/>
      <c r="W26" s="132"/>
      <c r="X26" s="170">
        <v>1.0</v>
      </c>
      <c r="Y26" s="138"/>
      <c r="Z26" s="151">
        <v>1.0</v>
      </c>
      <c r="AA26" s="138"/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2</v>
      </c>
      <c r="AM26" s="183">
        <f t="shared" si="16"/>
        <v>66.66666667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7"/>
        <v>0</v>
      </c>
      <c r="BJ26" s="186" t="str">
        <f t="shared" si="18"/>
        <v>#DIV/0!</v>
      </c>
      <c r="BK26" s="138"/>
      <c r="BL26" s="132"/>
      <c r="BM26" s="138"/>
      <c r="BN26" s="138"/>
      <c r="BO26" s="138"/>
      <c r="BP26" s="138"/>
      <c r="BQ26" s="138"/>
      <c r="BR26" s="140"/>
      <c r="BS26" s="152"/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0</v>
      </c>
      <c r="CG26" s="190" t="str">
        <f t="shared" si="20"/>
        <v>#DIV/0!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60</v>
      </c>
      <c r="CW26" s="169">
        <f t="shared" si="8"/>
        <v>3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2</v>
      </c>
      <c r="E27" s="127">
        <f t="shared" si="10"/>
        <v>40</v>
      </c>
      <c r="F27" s="200">
        <f t="shared" si="11"/>
        <v>40</v>
      </c>
      <c r="G27" s="177" t="str">
        <f t="shared" si="12"/>
        <v>  </v>
      </c>
      <c r="H27" s="132"/>
      <c r="I27" s="132"/>
      <c r="J27" s="201"/>
      <c r="K27" s="201"/>
      <c r="L27" s="201"/>
      <c r="M27" s="201"/>
      <c r="N27" s="201"/>
      <c r="O27" s="201"/>
      <c r="P27" s="201"/>
      <c r="Q27" s="201"/>
      <c r="R27" s="135">
        <f t="shared" si="13"/>
        <v>0</v>
      </c>
      <c r="S27" s="137">
        <f t="shared" si="14"/>
        <v>0</v>
      </c>
      <c r="T27" s="138"/>
      <c r="U27" s="138"/>
      <c r="V27" s="138"/>
      <c r="W27" s="132"/>
      <c r="X27" s="170">
        <v>1.0</v>
      </c>
      <c r="Y27" s="138"/>
      <c r="Z27" s="151">
        <v>1.0</v>
      </c>
      <c r="AA27" s="138"/>
      <c r="AB27" s="209"/>
      <c r="AC27" s="140"/>
      <c r="AD27" s="140"/>
      <c r="AE27" s="141"/>
      <c r="AF27" s="210"/>
      <c r="AG27" s="210"/>
      <c r="AH27" s="210"/>
      <c r="AI27" s="210"/>
      <c r="AJ27" s="212"/>
      <c r="AK27" s="212"/>
      <c r="AL27" s="135">
        <f t="shared" si="15"/>
        <v>2</v>
      </c>
      <c r="AM27" s="183">
        <f t="shared" si="16"/>
        <v>66.66666667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5">
        <f t="shared" si="17"/>
        <v>0</v>
      </c>
      <c r="BJ27" s="186" t="str">
        <f t="shared" si="18"/>
        <v>#DIV/0!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0</v>
      </c>
      <c r="CG27" s="190" t="str">
        <f t="shared" si="20"/>
        <v>#DIV/0!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40</v>
      </c>
      <c r="CW27" s="169">
        <f t="shared" si="8"/>
        <v>2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4</v>
      </c>
      <c r="E28" s="127">
        <f t="shared" si="10"/>
        <v>80</v>
      </c>
      <c r="F28" s="175" t="str">
        <f t="shared" si="11"/>
        <v>  </v>
      </c>
      <c r="G28" s="177" t="str">
        <f t="shared" si="12"/>
        <v>  </v>
      </c>
      <c r="H28" s="132"/>
      <c r="I28" s="132"/>
      <c r="J28" s="201"/>
      <c r="K28" s="201"/>
      <c r="L28" s="201"/>
      <c r="M28" s="245">
        <v>1.0</v>
      </c>
      <c r="N28" s="201"/>
      <c r="O28" s="201"/>
      <c r="P28" s="201"/>
      <c r="Q28" s="201"/>
      <c r="R28" s="135">
        <f t="shared" si="13"/>
        <v>1</v>
      </c>
      <c r="S28" s="137">
        <f t="shared" si="14"/>
        <v>50</v>
      </c>
      <c r="T28" s="138"/>
      <c r="U28" s="138"/>
      <c r="V28" s="138"/>
      <c r="W28" s="132"/>
      <c r="X28" s="170">
        <v>1.0</v>
      </c>
      <c r="Y28" s="138"/>
      <c r="Z28" s="151">
        <v>1.0</v>
      </c>
      <c r="AA28" s="138"/>
      <c r="AB28" s="209"/>
      <c r="AC28" s="150">
        <v>1.0</v>
      </c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3</v>
      </c>
      <c r="AM28" s="183">
        <f t="shared" si="16"/>
        <v>100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5">
        <f t="shared" si="17"/>
        <v>0</v>
      </c>
      <c r="BJ28" s="186" t="str">
        <f t="shared" si="18"/>
        <v>#DIV/0!</v>
      </c>
      <c r="BK28" s="138"/>
      <c r="BL28" s="132"/>
      <c r="BM28" s="138"/>
      <c r="BN28" s="138"/>
      <c r="BO28" s="138"/>
      <c r="BP28" s="138"/>
      <c r="BQ28" s="138"/>
      <c r="BR28" s="140"/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0</v>
      </c>
      <c r="CG28" s="190" t="str">
        <f t="shared" si="20"/>
        <v>#DIV/0!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80</v>
      </c>
      <c r="CW28" s="169">
        <f t="shared" si="8"/>
        <v>4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5</v>
      </c>
      <c r="E29" s="127">
        <f t="shared" si="10"/>
        <v>100</v>
      </c>
      <c r="F29" s="175" t="str">
        <f t="shared" si="11"/>
        <v>  </v>
      </c>
      <c r="G29" s="177" t="str">
        <f t="shared" si="12"/>
        <v>  </v>
      </c>
      <c r="H29" s="132"/>
      <c r="I29" s="132"/>
      <c r="J29" s="201"/>
      <c r="K29" s="201"/>
      <c r="L29" s="201"/>
      <c r="M29" s="245">
        <v>1.0</v>
      </c>
      <c r="N29" s="245">
        <v>1.0</v>
      </c>
      <c r="O29" s="201"/>
      <c r="P29" s="201"/>
      <c r="Q29" s="201"/>
      <c r="R29" s="135">
        <f t="shared" si="13"/>
        <v>2</v>
      </c>
      <c r="S29" s="137">
        <f t="shared" si="14"/>
        <v>100</v>
      </c>
      <c r="T29" s="138"/>
      <c r="U29" s="138"/>
      <c r="V29" s="138"/>
      <c r="W29" s="132"/>
      <c r="X29" s="170">
        <v>1.0</v>
      </c>
      <c r="Y29" s="138"/>
      <c r="Z29" s="151">
        <v>1.0</v>
      </c>
      <c r="AA29" s="138"/>
      <c r="AB29" s="209"/>
      <c r="AC29" s="150">
        <v>1.0</v>
      </c>
      <c r="AD29" s="140"/>
      <c r="AE29" s="141"/>
      <c r="AF29" s="210"/>
      <c r="AG29" s="210"/>
      <c r="AH29" s="210"/>
      <c r="AI29" s="210"/>
      <c r="AJ29" s="212"/>
      <c r="AK29" s="212"/>
      <c r="AL29" s="135">
        <f t="shared" si="15"/>
        <v>3</v>
      </c>
      <c r="AM29" s="183">
        <f t="shared" si="16"/>
        <v>100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5">
        <f t="shared" si="17"/>
        <v>0</v>
      </c>
      <c r="BJ29" s="186" t="str">
        <f t="shared" si="18"/>
        <v>#DIV/0!</v>
      </c>
      <c r="BK29" s="138"/>
      <c r="BL29" s="132"/>
      <c r="BM29" s="138"/>
      <c r="BN29" s="138"/>
      <c r="BO29" s="138"/>
      <c r="BP29" s="138"/>
      <c r="BQ29" s="138"/>
      <c r="BR29" s="140"/>
      <c r="BS29" s="152"/>
      <c r="BT29" s="152"/>
      <c r="BU29" s="152"/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0</v>
      </c>
      <c r="CG29" s="190" t="str">
        <f t="shared" si="20"/>
        <v>#DIV/0!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100</v>
      </c>
      <c r="CW29" s="169">
        <f t="shared" si="8"/>
        <v>5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1</v>
      </c>
      <c r="E30" s="127">
        <f t="shared" si="10"/>
        <v>20</v>
      </c>
      <c r="F30" s="200">
        <f t="shared" si="11"/>
        <v>20</v>
      </c>
      <c r="G30" s="207">
        <f t="shared" si="12"/>
        <v>20</v>
      </c>
      <c r="H30" s="132"/>
      <c r="I30" s="178"/>
      <c r="J30" s="179"/>
      <c r="K30" s="179"/>
      <c r="L30" s="179"/>
      <c r="M30" s="179"/>
      <c r="N30" s="191"/>
      <c r="O30" s="179"/>
      <c r="P30" s="179"/>
      <c r="Q30" s="179"/>
      <c r="R30" s="135">
        <f t="shared" si="13"/>
        <v>0</v>
      </c>
      <c r="S30" s="137">
        <f t="shared" si="14"/>
        <v>0</v>
      </c>
      <c r="T30" s="138"/>
      <c r="U30" s="138"/>
      <c r="V30" s="138"/>
      <c r="W30" s="132"/>
      <c r="X30" s="132"/>
      <c r="Y30" s="138"/>
      <c r="Z30" s="151">
        <v>1.0</v>
      </c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1</v>
      </c>
      <c r="AM30" s="183">
        <f t="shared" si="16"/>
        <v>33.33333333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5">
        <f t="shared" si="17"/>
        <v>0</v>
      </c>
      <c r="BJ30" s="186" t="str">
        <f t="shared" si="18"/>
        <v>#DIV/0!</v>
      </c>
      <c r="BK30" s="138"/>
      <c r="BL30" s="132"/>
      <c r="BM30" s="138"/>
      <c r="BN30" s="138"/>
      <c r="BO30" s="138"/>
      <c r="BP30" s="138"/>
      <c r="BQ30" s="138"/>
      <c r="BR30" s="140"/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0</v>
      </c>
      <c r="CG30" s="190" t="str">
        <f t="shared" si="20"/>
        <v>#DIV/0!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20</v>
      </c>
      <c r="CW30" s="169">
        <f t="shared" si="8"/>
        <v>1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1</v>
      </c>
      <c r="E31" s="127">
        <f t="shared" si="10"/>
        <v>20</v>
      </c>
      <c r="F31" s="200">
        <f t="shared" si="11"/>
        <v>20</v>
      </c>
      <c r="G31" s="207">
        <f t="shared" si="12"/>
        <v>20</v>
      </c>
      <c r="H31" s="132"/>
      <c r="I31" s="178"/>
      <c r="J31" s="179"/>
      <c r="K31" s="179"/>
      <c r="L31" s="179"/>
      <c r="M31" s="179"/>
      <c r="N31" s="191"/>
      <c r="O31" s="179"/>
      <c r="P31" s="179"/>
      <c r="Q31" s="179"/>
      <c r="R31" s="135">
        <f t="shared" si="13"/>
        <v>0</v>
      </c>
      <c r="S31" s="137">
        <f t="shared" si="14"/>
        <v>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50">
        <v>1.0</v>
      </c>
      <c r="AD31" s="140"/>
      <c r="AE31" s="141"/>
      <c r="AF31" s="210"/>
      <c r="AG31" s="210"/>
      <c r="AH31" s="210"/>
      <c r="AI31" s="210"/>
      <c r="AJ31" s="212"/>
      <c r="AK31" s="212"/>
      <c r="AL31" s="135">
        <f t="shared" si="15"/>
        <v>1</v>
      </c>
      <c r="AM31" s="183">
        <f t="shared" si="16"/>
        <v>33.33333333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5">
        <f t="shared" si="17"/>
        <v>0</v>
      </c>
      <c r="BJ31" s="186" t="str">
        <f t="shared" si="18"/>
        <v>#DIV/0!</v>
      </c>
      <c r="BK31" s="138"/>
      <c r="BL31" s="132"/>
      <c r="BM31" s="138"/>
      <c r="BN31" s="138"/>
      <c r="BO31" s="138"/>
      <c r="BP31" s="138"/>
      <c r="BQ31" s="138"/>
      <c r="BR31" s="140"/>
      <c r="BS31" s="152"/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0</v>
      </c>
      <c r="CG31" s="190" t="str">
        <f t="shared" si="20"/>
        <v>#DIV/0!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20</v>
      </c>
      <c r="CW31" s="169">
        <f t="shared" si="8"/>
        <v>1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2</v>
      </c>
      <c r="E32" s="127">
        <f t="shared" si="10"/>
        <v>40</v>
      </c>
      <c r="F32" s="200">
        <f t="shared" si="11"/>
        <v>40</v>
      </c>
      <c r="G32" s="177" t="str">
        <f t="shared" si="12"/>
        <v>  </v>
      </c>
      <c r="H32" s="132"/>
      <c r="I32" s="178"/>
      <c r="J32" s="179"/>
      <c r="K32" s="179"/>
      <c r="L32" s="179"/>
      <c r="M32" s="179"/>
      <c r="N32" s="191"/>
      <c r="O32" s="179"/>
      <c r="P32" s="179"/>
      <c r="Q32" s="179"/>
      <c r="R32" s="135">
        <f t="shared" si="13"/>
        <v>0</v>
      </c>
      <c r="S32" s="137">
        <f t="shared" si="14"/>
        <v>0</v>
      </c>
      <c r="T32" s="138"/>
      <c r="U32" s="138"/>
      <c r="V32" s="138"/>
      <c r="W32" s="132"/>
      <c r="X32" s="170">
        <v>1.0</v>
      </c>
      <c r="Y32" s="138"/>
      <c r="Z32" s="138"/>
      <c r="AA32" s="138"/>
      <c r="AB32" s="233"/>
      <c r="AC32" s="150">
        <v>1.0</v>
      </c>
      <c r="AD32" s="140"/>
      <c r="AE32" s="141"/>
      <c r="AF32" s="234"/>
      <c r="AG32" s="234"/>
      <c r="AH32" s="234"/>
      <c r="AI32" s="234"/>
      <c r="AJ32" s="239"/>
      <c r="AK32" s="239"/>
      <c r="AL32" s="135">
        <f t="shared" si="15"/>
        <v>2</v>
      </c>
      <c r="AM32" s="183">
        <f t="shared" si="16"/>
        <v>66.66666667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5">
        <f t="shared" si="17"/>
        <v>0</v>
      </c>
      <c r="BJ32" s="186" t="str">
        <f t="shared" si="18"/>
        <v>#DIV/0!</v>
      </c>
      <c r="BK32" s="138"/>
      <c r="BL32" s="132"/>
      <c r="BM32" s="138"/>
      <c r="BN32" s="138"/>
      <c r="BO32" s="138"/>
      <c r="BP32" s="138"/>
      <c r="BQ32" s="138"/>
      <c r="BR32" s="140"/>
      <c r="BS32" s="152"/>
      <c r="BT32" s="152"/>
      <c r="BU32" s="152"/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0</v>
      </c>
      <c r="CG32" s="190" t="str">
        <f t="shared" si="20"/>
        <v>#DIV/0!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40</v>
      </c>
      <c r="CW32" s="169">
        <f t="shared" si="8"/>
        <v>2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1</v>
      </c>
      <c r="E33" s="127">
        <f t="shared" si="10"/>
        <v>20</v>
      </c>
      <c r="F33" s="200">
        <f t="shared" si="11"/>
        <v>20</v>
      </c>
      <c r="G33" s="207">
        <f t="shared" si="12"/>
        <v>20</v>
      </c>
      <c r="H33" s="132"/>
      <c r="I33" s="229"/>
      <c r="J33" s="231"/>
      <c r="K33" s="231"/>
      <c r="L33" s="231"/>
      <c r="M33" s="231"/>
      <c r="N33" s="257"/>
      <c r="O33" s="231"/>
      <c r="P33" s="231"/>
      <c r="Q33" s="231"/>
      <c r="R33" s="135">
        <f t="shared" si="13"/>
        <v>0</v>
      </c>
      <c r="S33" s="137">
        <f t="shared" si="14"/>
        <v>0</v>
      </c>
      <c r="T33" s="138"/>
      <c r="U33" s="138"/>
      <c r="V33" s="138"/>
      <c r="W33" s="132"/>
      <c r="X33" s="132"/>
      <c r="Y33" s="138"/>
      <c r="Z33" s="138"/>
      <c r="AA33" s="138"/>
      <c r="AB33" s="233"/>
      <c r="AC33" s="150">
        <v>1.0</v>
      </c>
      <c r="AD33" s="140"/>
      <c r="AE33" s="141"/>
      <c r="AF33" s="234"/>
      <c r="AG33" s="234"/>
      <c r="AH33" s="234"/>
      <c r="AI33" s="234"/>
      <c r="AJ33" s="239"/>
      <c r="AK33" s="239"/>
      <c r="AL33" s="135">
        <f t="shared" si="15"/>
        <v>1</v>
      </c>
      <c r="AM33" s="183">
        <f t="shared" si="16"/>
        <v>33.33333333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5">
        <f t="shared" si="17"/>
        <v>0</v>
      </c>
      <c r="BJ33" s="186" t="str">
        <f t="shared" si="18"/>
        <v>#DIV/0!</v>
      </c>
      <c r="BK33" s="138"/>
      <c r="BL33" s="132"/>
      <c r="BM33" s="138"/>
      <c r="BN33" s="138"/>
      <c r="BO33" s="138"/>
      <c r="BP33" s="138"/>
      <c r="BQ33" s="138"/>
      <c r="BR33" s="140"/>
      <c r="BS33" s="152"/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0</v>
      </c>
      <c r="CG33" s="190" t="str">
        <f t="shared" si="20"/>
        <v>#DIV/0!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20</v>
      </c>
      <c r="CW33" s="169">
        <f t="shared" si="8"/>
        <v>1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2</v>
      </c>
      <c r="E34" s="127">
        <f t="shared" si="10"/>
        <v>40</v>
      </c>
      <c r="F34" s="200">
        <f t="shared" si="11"/>
        <v>40</v>
      </c>
      <c r="G34" s="177" t="str">
        <f t="shared" si="12"/>
        <v>  </v>
      </c>
      <c r="H34" s="178"/>
      <c r="I34" s="132"/>
      <c r="J34" s="201"/>
      <c r="K34" s="201"/>
      <c r="L34" s="201"/>
      <c r="M34" s="201"/>
      <c r="N34" s="245"/>
      <c r="O34" s="201"/>
      <c r="P34" s="201"/>
      <c r="Q34" s="201"/>
      <c r="R34" s="135">
        <f t="shared" si="13"/>
        <v>0</v>
      </c>
      <c r="S34" s="137">
        <f t="shared" si="14"/>
        <v>0</v>
      </c>
      <c r="T34" s="138"/>
      <c r="U34" s="138"/>
      <c r="V34" s="138"/>
      <c r="W34" s="132"/>
      <c r="X34" s="170">
        <v>1.0</v>
      </c>
      <c r="Y34" s="138"/>
      <c r="Z34" s="138"/>
      <c r="AA34" s="138"/>
      <c r="AB34" s="209"/>
      <c r="AC34" s="150">
        <v>1.0</v>
      </c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2</v>
      </c>
      <c r="AM34" s="183">
        <f t="shared" si="16"/>
        <v>66.66666667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7"/>
        <v>0</v>
      </c>
      <c r="BJ34" s="186" t="str">
        <f t="shared" si="18"/>
        <v>#DIV/0!</v>
      </c>
      <c r="BK34" s="138"/>
      <c r="BL34" s="132"/>
      <c r="BM34" s="138"/>
      <c r="BN34" s="138"/>
      <c r="BO34" s="138"/>
      <c r="BP34" s="138"/>
      <c r="BQ34" s="138"/>
      <c r="BR34" s="140"/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0</v>
      </c>
      <c r="CG34" s="190" t="str">
        <f t="shared" si="20"/>
        <v>#DIV/0!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40</v>
      </c>
      <c r="CW34" s="169">
        <f t="shared" si="8"/>
        <v>2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5</v>
      </c>
      <c r="E35" s="127">
        <f t="shared" si="10"/>
        <v>100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01"/>
      <c r="K35" s="201"/>
      <c r="L35" s="201"/>
      <c r="M35" s="245">
        <v>1.0</v>
      </c>
      <c r="N35" s="245">
        <v>1.0</v>
      </c>
      <c r="O35" s="201"/>
      <c r="P35" s="201"/>
      <c r="Q35" s="201"/>
      <c r="R35" s="135">
        <f t="shared" si="13"/>
        <v>2</v>
      </c>
      <c r="S35" s="137">
        <f t="shared" si="14"/>
        <v>100</v>
      </c>
      <c r="T35" s="138"/>
      <c r="U35" s="138"/>
      <c r="V35" s="138"/>
      <c r="W35" s="132"/>
      <c r="X35" s="170">
        <v>1.0</v>
      </c>
      <c r="Y35" s="138"/>
      <c r="Z35" s="151">
        <v>1.0</v>
      </c>
      <c r="AA35" s="138"/>
      <c r="AB35" s="209"/>
      <c r="AC35" s="150">
        <v>1.0</v>
      </c>
      <c r="AD35" s="140"/>
      <c r="AE35" s="141"/>
      <c r="AF35" s="210"/>
      <c r="AG35" s="210"/>
      <c r="AH35" s="210"/>
      <c r="AI35" s="210"/>
      <c r="AJ35" s="212"/>
      <c r="AK35" s="212"/>
      <c r="AL35" s="135">
        <f t="shared" si="15"/>
        <v>3</v>
      </c>
      <c r="AM35" s="183">
        <f t="shared" si="16"/>
        <v>100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5">
        <f t="shared" si="17"/>
        <v>0</v>
      </c>
      <c r="BJ35" s="186" t="str">
        <f t="shared" si="18"/>
        <v>#DIV/0!</v>
      </c>
      <c r="BK35" s="138"/>
      <c r="BL35" s="132"/>
      <c r="BM35" s="138"/>
      <c r="BN35" s="138"/>
      <c r="BO35" s="138"/>
      <c r="BP35" s="138"/>
      <c r="BQ35" s="138"/>
      <c r="BR35" s="140"/>
      <c r="BS35" s="152"/>
      <c r="BT35" s="152"/>
      <c r="BU35" s="152"/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0</v>
      </c>
      <c r="CG35" s="190" t="str">
        <f t="shared" si="20"/>
        <v>#DIV/0!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100</v>
      </c>
      <c r="CW35" s="169">
        <f t="shared" si="8"/>
        <v>5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3"/>
        <v>0</v>
      </c>
      <c r="S36" s="137">
        <f t="shared" si="14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 t="str">
        <f t="shared" si="18"/>
        <v>#DIV/0!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 t="str">
        <f t="shared" si="20"/>
        <v>#DIV/0!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0</v>
      </c>
      <c r="E37" s="127">
        <f t="shared" si="10"/>
        <v>0</v>
      </c>
      <c r="F37" s="200">
        <f t="shared" si="11"/>
        <v>0</v>
      </c>
      <c r="G37" s="207">
        <f t="shared" si="12"/>
        <v>0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135">
        <f t="shared" si="13"/>
        <v>0</v>
      </c>
      <c r="S37" s="137">
        <f t="shared" si="14"/>
        <v>0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40"/>
      <c r="AE37" s="141"/>
      <c r="AF37" s="210"/>
      <c r="AG37" s="210"/>
      <c r="AH37" s="210"/>
      <c r="AI37" s="210"/>
      <c r="AJ37" s="212"/>
      <c r="AK37" s="212"/>
      <c r="AL37" s="135">
        <f t="shared" si="15"/>
        <v>0</v>
      </c>
      <c r="AM37" s="183">
        <f t="shared" si="16"/>
        <v>0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5">
        <f t="shared" si="17"/>
        <v>0</v>
      </c>
      <c r="BJ37" s="186" t="str">
        <f t="shared" si="18"/>
        <v>#DIV/0!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 t="str">
        <f t="shared" si="20"/>
        <v>#DIV/0!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0</v>
      </c>
      <c r="CW37" s="169">
        <f t="shared" si="8"/>
        <v>0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1</v>
      </c>
      <c r="E38" s="127">
        <f t="shared" si="10"/>
        <v>20</v>
      </c>
      <c r="F38" s="200">
        <f t="shared" si="11"/>
        <v>20</v>
      </c>
      <c r="G38" s="207">
        <f t="shared" si="12"/>
        <v>20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3"/>
        <v>0</v>
      </c>
      <c r="S38" s="137">
        <f t="shared" si="14"/>
        <v>0</v>
      </c>
      <c r="T38" s="138"/>
      <c r="U38" s="138"/>
      <c r="V38" s="138"/>
      <c r="W38" s="132"/>
      <c r="X38" s="170">
        <v>1.0</v>
      </c>
      <c r="Y38" s="138"/>
      <c r="Z38" s="138"/>
      <c r="AA38" s="138"/>
      <c r="AB38" s="209"/>
      <c r="AC38" s="140"/>
      <c r="AD38" s="140"/>
      <c r="AE38" s="141"/>
      <c r="AF38" s="210"/>
      <c r="AG38" s="210"/>
      <c r="AH38" s="210"/>
      <c r="AI38" s="210"/>
      <c r="AJ38" s="212"/>
      <c r="AK38" s="212"/>
      <c r="AL38" s="135">
        <f t="shared" si="15"/>
        <v>1</v>
      </c>
      <c r="AM38" s="183">
        <f t="shared" si="16"/>
        <v>33.33333333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7"/>
        <v>0</v>
      </c>
      <c r="BJ38" s="186" t="str">
        <f t="shared" si="18"/>
        <v>#DIV/0!</v>
      </c>
      <c r="BK38" s="138"/>
      <c r="BL38" s="132"/>
      <c r="BM38" s="138"/>
      <c r="BN38" s="138"/>
      <c r="BO38" s="138"/>
      <c r="BP38" s="138"/>
      <c r="BQ38" s="138"/>
      <c r="BR38" s="140"/>
      <c r="BS38" s="152"/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0</v>
      </c>
      <c r="CG38" s="190" t="str">
        <f t="shared" si="20"/>
        <v>#DIV/0!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20</v>
      </c>
      <c r="CW38" s="169">
        <f t="shared" si="8"/>
        <v>1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0</v>
      </c>
      <c r="E39" s="127">
        <f t="shared" si="10"/>
        <v>0</v>
      </c>
      <c r="F39" s="200">
        <f t="shared" si="11"/>
        <v>0</v>
      </c>
      <c r="G39" s="207">
        <f t="shared" si="12"/>
        <v>0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3"/>
        <v>0</v>
      </c>
      <c r="S39" s="137">
        <f t="shared" si="14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 t="str">
        <f t="shared" si="18"/>
        <v>#DIV/0!</v>
      </c>
      <c r="BK39" s="138"/>
      <c r="BL39" s="132"/>
      <c r="BM39" s="138"/>
      <c r="BN39" s="138"/>
      <c r="BO39" s="138"/>
      <c r="BP39" s="138"/>
      <c r="BQ39" s="138"/>
      <c r="BR39" s="140"/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0</v>
      </c>
      <c r="CG39" s="190" t="str">
        <f t="shared" si="20"/>
        <v>#DIV/0!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0</v>
      </c>
      <c r="CW39" s="169">
        <f t="shared" si="8"/>
        <v>0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2</v>
      </c>
      <c r="E40" s="127">
        <f t="shared" si="10"/>
        <v>40</v>
      </c>
      <c r="F40" s="200">
        <f t="shared" si="11"/>
        <v>40</v>
      </c>
      <c r="G40" s="177" t="str">
        <f t="shared" si="12"/>
        <v>  </v>
      </c>
      <c r="H40" s="132"/>
      <c r="I40" s="132"/>
      <c r="J40" s="201"/>
      <c r="K40" s="201"/>
      <c r="L40" s="201"/>
      <c r="M40" s="245">
        <v>1.0</v>
      </c>
      <c r="N40" s="201"/>
      <c r="O40" s="201"/>
      <c r="P40" s="201"/>
      <c r="Q40" s="201"/>
      <c r="R40" s="135">
        <f t="shared" si="13"/>
        <v>1</v>
      </c>
      <c r="S40" s="137">
        <f t="shared" si="14"/>
        <v>50</v>
      </c>
      <c r="T40" s="138"/>
      <c r="U40" s="138"/>
      <c r="V40" s="138"/>
      <c r="W40" s="132"/>
      <c r="X40" s="132"/>
      <c r="Y40" s="138"/>
      <c r="Z40" s="138"/>
      <c r="AA40" s="138"/>
      <c r="AB40" s="209"/>
      <c r="AC40" s="150">
        <v>1.0</v>
      </c>
      <c r="AD40" s="140"/>
      <c r="AE40" s="141"/>
      <c r="AF40" s="210"/>
      <c r="AG40" s="210"/>
      <c r="AH40" s="210"/>
      <c r="AI40" s="210"/>
      <c r="AJ40" s="212"/>
      <c r="AK40" s="212"/>
      <c r="AL40" s="135">
        <f t="shared" si="15"/>
        <v>1</v>
      </c>
      <c r="AM40" s="183">
        <f t="shared" si="16"/>
        <v>33.33333333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5">
        <f t="shared" si="17"/>
        <v>0</v>
      </c>
      <c r="BJ40" s="186" t="str">
        <f t="shared" si="18"/>
        <v>#DIV/0!</v>
      </c>
      <c r="BK40" s="138"/>
      <c r="BL40" s="132"/>
      <c r="BM40" s="138"/>
      <c r="BN40" s="138"/>
      <c r="BO40" s="138"/>
      <c r="BP40" s="138"/>
      <c r="BQ40" s="138"/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0</v>
      </c>
      <c r="CG40" s="190" t="str">
        <f t="shared" si="20"/>
        <v>#DIV/0!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40</v>
      </c>
      <c r="CW40" s="169">
        <f t="shared" si="8"/>
        <v>2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2</v>
      </c>
      <c r="E41" s="127">
        <f t="shared" si="10"/>
        <v>40</v>
      </c>
      <c r="F41" s="200">
        <f t="shared" si="11"/>
        <v>40</v>
      </c>
      <c r="G41" s="177" t="str">
        <f t="shared" si="12"/>
        <v>  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3"/>
        <v>0</v>
      </c>
      <c r="S41" s="137">
        <f t="shared" si="14"/>
        <v>0</v>
      </c>
      <c r="T41" s="138"/>
      <c r="U41" s="138"/>
      <c r="V41" s="138"/>
      <c r="W41" s="132"/>
      <c r="X41" s="132"/>
      <c r="Y41" s="138"/>
      <c r="Z41" s="151">
        <v>1.0</v>
      </c>
      <c r="AA41" s="138"/>
      <c r="AB41" s="209"/>
      <c r="AC41" s="150">
        <v>1.0</v>
      </c>
      <c r="AD41" s="140"/>
      <c r="AE41" s="141"/>
      <c r="AF41" s="210"/>
      <c r="AG41" s="210"/>
      <c r="AH41" s="210"/>
      <c r="AI41" s="210"/>
      <c r="AJ41" s="212"/>
      <c r="AK41" s="212"/>
      <c r="AL41" s="135">
        <f t="shared" si="15"/>
        <v>2</v>
      </c>
      <c r="AM41" s="183">
        <f t="shared" si="16"/>
        <v>66.66666667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5">
        <f t="shared" si="17"/>
        <v>0</v>
      </c>
      <c r="BJ41" s="186" t="str">
        <f t="shared" si="18"/>
        <v>#DIV/0!</v>
      </c>
      <c r="BK41" s="138"/>
      <c r="BL41" s="132"/>
      <c r="BM41" s="138"/>
      <c r="BN41" s="138"/>
      <c r="BO41" s="138"/>
      <c r="BP41" s="138"/>
      <c r="BQ41" s="138"/>
      <c r="BR41" s="140"/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0</v>
      </c>
      <c r="CG41" s="190" t="str">
        <f t="shared" si="20"/>
        <v>#DIV/0!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40</v>
      </c>
      <c r="CW41" s="169">
        <f t="shared" si="8"/>
        <v>2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1</v>
      </c>
      <c r="E42" s="127">
        <f t="shared" si="10"/>
        <v>20</v>
      </c>
      <c r="F42" s="200">
        <f t="shared" si="11"/>
        <v>20</v>
      </c>
      <c r="G42" s="207">
        <f t="shared" si="12"/>
        <v>20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3"/>
        <v>0</v>
      </c>
      <c r="S42" s="137">
        <f t="shared" si="14"/>
        <v>0</v>
      </c>
      <c r="T42" s="138"/>
      <c r="U42" s="138"/>
      <c r="V42" s="138"/>
      <c r="W42" s="132"/>
      <c r="X42" s="132"/>
      <c r="Y42" s="138"/>
      <c r="Z42" s="151">
        <v>1.0</v>
      </c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1</v>
      </c>
      <c r="AM42" s="183">
        <f t="shared" si="16"/>
        <v>33.33333333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 t="str">
        <f t="shared" si="18"/>
        <v>#DIV/0!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52"/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0</v>
      </c>
      <c r="CG42" s="190" t="str">
        <f t="shared" si="20"/>
        <v>#DIV/0!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20</v>
      </c>
      <c r="CW42" s="169">
        <f t="shared" si="8"/>
        <v>1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1</v>
      </c>
      <c r="E43" s="127">
        <f t="shared" si="10"/>
        <v>20</v>
      </c>
      <c r="F43" s="200">
        <f t="shared" si="11"/>
        <v>20</v>
      </c>
      <c r="G43" s="207">
        <f t="shared" si="12"/>
        <v>20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3"/>
        <v>0</v>
      </c>
      <c r="S43" s="137">
        <f t="shared" si="14"/>
        <v>0</v>
      </c>
      <c r="T43" s="138"/>
      <c r="U43" s="138"/>
      <c r="V43" s="138"/>
      <c r="W43" s="132"/>
      <c r="X43" s="132"/>
      <c r="Y43" s="138"/>
      <c r="Z43" s="151">
        <v>1.0</v>
      </c>
      <c r="AA43" s="138"/>
      <c r="AB43" s="217"/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1</v>
      </c>
      <c r="AM43" s="183">
        <f t="shared" si="16"/>
        <v>33.33333333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5">
        <f t="shared" si="17"/>
        <v>0</v>
      </c>
      <c r="BJ43" s="186" t="str">
        <f t="shared" si="18"/>
        <v>#DIV/0!</v>
      </c>
      <c r="BK43" s="138"/>
      <c r="BL43" s="132"/>
      <c r="BM43" s="138"/>
      <c r="BN43" s="138"/>
      <c r="BO43" s="138"/>
      <c r="BP43" s="138"/>
      <c r="BQ43" s="138"/>
      <c r="BR43" s="140"/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0</v>
      </c>
      <c r="CG43" s="190" t="str">
        <f t="shared" si="20"/>
        <v>#DIV/0!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20</v>
      </c>
      <c r="CW43" s="169">
        <f t="shared" si="8"/>
        <v>1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3</v>
      </c>
      <c r="E44" s="127">
        <f t="shared" si="10"/>
        <v>60</v>
      </c>
      <c r="F44" s="175" t="str">
        <f t="shared" si="11"/>
        <v>  </v>
      </c>
      <c r="G44" s="177" t="str">
        <f t="shared" si="12"/>
        <v>  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135">
        <f t="shared" si="13"/>
        <v>0</v>
      </c>
      <c r="S44" s="137">
        <f t="shared" si="14"/>
        <v>0</v>
      </c>
      <c r="T44" s="138"/>
      <c r="U44" s="138"/>
      <c r="V44" s="138"/>
      <c r="W44" s="132"/>
      <c r="X44" s="170">
        <v>1.0</v>
      </c>
      <c r="Y44" s="138"/>
      <c r="Z44" s="151">
        <v>1.0</v>
      </c>
      <c r="AA44" s="138"/>
      <c r="AB44" s="217"/>
      <c r="AC44" s="150">
        <v>1.0</v>
      </c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3</v>
      </c>
      <c r="AM44" s="183">
        <f t="shared" si="16"/>
        <v>100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5">
        <f t="shared" si="17"/>
        <v>0</v>
      </c>
      <c r="BJ44" s="186" t="str">
        <f t="shared" si="18"/>
        <v>#DIV/0!</v>
      </c>
      <c r="BK44" s="138"/>
      <c r="BL44" s="132"/>
      <c r="BM44" s="138"/>
      <c r="BN44" s="138"/>
      <c r="BO44" s="138"/>
      <c r="BP44" s="138"/>
      <c r="BQ44" s="138"/>
      <c r="BR44" s="140"/>
      <c r="BS44" s="152"/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0</v>
      </c>
      <c r="CG44" s="190" t="str">
        <f t="shared" si="20"/>
        <v>#DIV/0!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60</v>
      </c>
      <c r="CW44" s="169">
        <f t="shared" si="8"/>
        <v>3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3"/>
        <v>0</v>
      </c>
      <c r="S45" s="137">
        <f t="shared" si="14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 t="str">
        <f t="shared" si="18"/>
        <v>#DIV/0!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 t="str">
        <f t="shared" si="20"/>
        <v>#DIV/0!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2</v>
      </c>
      <c r="E46" s="127">
        <f t="shared" si="10"/>
        <v>40</v>
      </c>
      <c r="F46" s="200">
        <f t="shared" si="11"/>
        <v>40</v>
      </c>
      <c r="G46" s="207" t="str">
        <f t="shared" si="12"/>
        <v>  </v>
      </c>
      <c r="H46" s="132"/>
      <c r="I46" s="132"/>
      <c r="J46" s="201"/>
      <c r="K46" s="201"/>
      <c r="L46" s="201"/>
      <c r="M46" s="245">
        <v>1.0</v>
      </c>
      <c r="N46" s="201"/>
      <c r="O46" s="201"/>
      <c r="P46" s="201"/>
      <c r="Q46" s="201"/>
      <c r="R46" s="135">
        <f t="shared" si="13"/>
        <v>1</v>
      </c>
      <c r="S46" s="137">
        <f t="shared" si="14"/>
        <v>50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50">
        <v>1.0</v>
      </c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5"/>
        <v>1</v>
      </c>
      <c r="AM46" s="183">
        <f t="shared" si="16"/>
        <v>33.33333333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5">
        <f t="shared" si="17"/>
        <v>0</v>
      </c>
      <c r="BJ46" s="186" t="str">
        <f t="shared" si="18"/>
        <v>#DIV/0!</v>
      </c>
      <c r="BK46" s="138"/>
      <c r="BL46" s="132"/>
      <c r="BM46" s="138"/>
      <c r="BN46" s="138"/>
      <c r="BO46" s="138"/>
      <c r="BP46" s="138"/>
      <c r="BQ46" s="138"/>
      <c r="BR46" s="140"/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0</v>
      </c>
      <c r="CG46" s="190" t="str">
        <f t="shared" si="20"/>
        <v>#DIV/0!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40</v>
      </c>
      <c r="CW46" s="169">
        <f t="shared" si="8"/>
        <v>2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3</v>
      </c>
      <c r="E47" s="127">
        <f t="shared" si="10"/>
        <v>60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3"/>
        <v>0</v>
      </c>
      <c r="S47" s="137">
        <f t="shared" si="14"/>
        <v>0</v>
      </c>
      <c r="T47" s="138"/>
      <c r="U47" s="138"/>
      <c r="V47" s="138"/>
      <c r="W47" s="132"/>
      <c r="X47" s="170">
        <v>1.0</v>
      </c>
      <c r="Y47" s="138"/>
      <c r="Z47" s="151">
        <v>1.0</v>
      </c>
      <c r="AA47" s="138"/>
      <c r="AB47" s="209"/>
      <c r="AC47" s="150">
        <v>1.0</v>
      </c>
      <c r="AD47" s="140"/>
      <c r="AE47" s="141"/>
      <c r="AF47" s="210"/>
      <c r="AG47" s="210"/>
      <c r="AH47" s="210"/>
      <c r="AI47" s="210"/>
      <c r="AJ47" s="212"/>
      <c r="AK47" s="212"/>
      <c r="AL47" s="135">
        <f t="shared" si="15"/>
        <v>3</v>
      </c>
      <c r="AM47" s="183">
        <f t="shared" si="16"/>
        <v>100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5">
        <f t="shared" si="17"/>
        <v>0</v>
      </c>
      <c r="BJ47" s="186" t="str">
        <f t="shared" si="18"/>
        <v>#DIV/0!</v>
      </c>
      <c r="BK47" s="138"/>
      <c r="BL47" s="132"/>
      <c r="BM47" s="138"/>
      <c r="BN47" s="138"/>
      <c r="BO47" s="138"/>
      <c r="BP47" s="138"/>
      <c r="BQ47" s="138"/>
      <c r="BR47" s="140"/>
      <c r="BS47" s="152"/>
      <c r="BT47" s="152"/>
      <c r="BU47" s="152"/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0</v>
      </c>
      <c r="CG47" s="190" t="str">
        <f t="shared" si="20"/>
        <v>#DIV/0!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60</v>
      </c>
      <c r="CW47" s="169">
        <f t="shared" si="8"/>
        <v>3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2</v>
      </c>
      <c r="E48" s="127">
        <f t="shared" si="10"/>
        <v>40</v>
      </c>
      <c r="F48" s="200">
        <f t="shared" si="11"/>
        <v>40</v>
      </c>
      <c r="G48" s="177" t="str">
        <f t="shared" si="12"/>
        <v>  </v>
      </c>
      <c r="H48" s="258"/>
      <c r="I48" s="259"/>
      <c r="J48" s="260"/>
      <c r="K48" s="260"/>
      <c r="L48" s="260"/>
      <c r="M48" s="260"/>
      <c r="N48" s="260"/>
      <c r="O48" s="260"/>
      <c r="P48" s="260"/>
      <c r="Q48" s="260"/>
      <c r="R48" s="135">
        <f t="shared" si="13"/>
        <v>0</v>
      </c>
      <c r="S48" s="137">
        <f t="shared" si="14"/>
        <v>0</v>
      </c>
      <c r="T48" s="138"/>
      <c r="U48" s="138"/>
      <c r="V48" s="138"/>
      <c r="W48" s="132"/>
      <c r="X48" s="170">
        <v>1.0</v>
      </c>
      <c r="Y48" s="138"/>
      <c r="Z48" s="151">
        <v>1.0</v>
      </c>
      <c r="AA48" s="138"/>
      <c r="AB48" s="209"/>
      <c r="AC48" s="140"/>
      <c r="AD48" s="140"/>
      <c r="AE48" s="141"/>
      <c r="AF48" s="210"/>
      <c r="AG48" s="210"/>
      <c r="AH48" s="210"/>
      <c r="AI48" s="210"/>
      <c r="AJ48" s="212"/>
      <c r="AK48" s="212"/>
      <c r="AL48" s="135">
        <f t="shared" si="15"/>
        <v>2</v>
      </c>
      <c r="AM48" s="183">
        <f t="shared" si="16"/>
        <v>66.66666667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 t="str">
        <f t="shared" si="18"/>
        <v>#DIV/0!</v>
      </c>
      <c r="BK48" s="138"/>
      <c r="BL48" s="132"/>
      <c r="BM48" s="138"/>
      <c r="BN48" s="138"/>
      <c r="BO48" s="138"/>
      <c r="BP48" s="138"/>
      <c r="BQ48" s="138"/>
      <c r="BR48" s="140"/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0</v>
      </c>
      <c r="CG48" s="190" t="str">
        <f t="shared" si="20"/>
        <v>#DIV/0!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40</v>
      </c>
      <c r="CW48" s="169">
        <f t="shared" si="8"/>
        <v>2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2</v>
      </c>
      <c r="E49" s="127">
        <f t="shared" si="10"/>
        <v>40</v>
      </c>
      <c r="F49" s="200">
        <f t="shared" si="11"/>
        <v>40</v>
      </c>
      <c r="G49" s="177" t="str">
        <f t="shared" si="12"/>
        <v>  </v>
      </c>
      <c r="H49" s="258"/>
      <c r="I49" s="261"/>
      <c r="J49" s="262"/>
      <c r="K49" s="262"/>
      <c r="L49" s="262"/>
      <c r="M49" s="262"/>
      <c r="N49" s="262"/>
      <c r="O49" s="262"/>
      <c r="P49" s="262"/>
      <c r="Q49" s="262"/>
      <c r="R49" s="135">
        <f t="shared" si="13"/>
        <v>0</v>
      </c>
      <c r="S49" s="137">
        <f t="shared" si="14"/>
        <v>0</v>
      </c>
      <c r="T49" s="138"/>
      <c r="U49" s="138"/>
      <c r="V49" s="138"/>
      <c r="W49" s="132"/>
      <c r="X49" s="170">
        <v>1.0</v>
      </c>
      <c r="Y49" s="138"/>
      <c r="Z49" s="151">
        <v>1.0</v>
      </c>
      <c r="AA49" s="138"/>
      <c r="AB49" s="217"/>
      <c r="AC49" s="140"/>
      <c r="AD49" s="140"/>
      <c r="AE49" s="141"/>
      <c r="AF49" s="226"/>
      <c r="AG49" s="226"/>
      <c r="AH49" s="226"/>
      <c r="AI49" s="226"/>
      <c r="AJ49" s="218"/>
      <c r="AK49" s="218"/>
      <c r="AL49" s="135">
        <f t="shared" si="15"/>
        <v>2</v>
      </c>
      <c r="AM49" s="183">
        <f t="shared" si="16"/>
        <v>66.66666667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 t="str">
        <f t="shared" si="18"/>
        <v>#DIV/0!</v>
      </c>
      <c r="BK49" s="138"/>
      <c r="BL49" s="132"/>
      <c r="BM49" s="138"/>
      <c r="BN49" s="138"/>
      <c r="BO49" s="138"/>
      <c r="BP49" s="138"/>
      <c r="BQ49" s="138"/>
      <c r="BR49" s="140"/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0</v>
      </c>
      <c r="CG49" s="190" t="str">
        <f t="shared" si="20"/>
        <v>#DIV/0!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40</v>
      </c>
      <c r="CW49" s="169">
        <f t="shared" si="8"/>
        <v>2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1</v>
      </c>
      <c r="E50" s="127">
        <f t="shared" si="10"/>
        <v>20</v>
      </c>
      <c r="F50" s="200">
        <f t="shared" si="11"/>
        <v>20</v>
      </c>
      <c r="G50" s="207">
        <f t="shared" si="12"/>
        <v>20</v>
      </c>
      <c r="H50" s="258"/>
      <c r="I50" s="258"/>
      <c r="J50" s="263"/>
      <c r="K50" s="263"/>
      <c r="L50" s="263"/>
      <c r="M50" s="263"/>
      <c r="N50" s="263"/>
      <c r="O50" s="263"/>
      <c r="P50" s="263"/>
      <c r="Q50" s="263"/>
      <c r="R50" s="135">
        <f t="shared" si="13"/>
        <v>0</v>
      </c>
      <c r="S50" s="137">
        <f t="shared" si="14"/>
        <v>0</v>
      </c>
      <c r="T50" s="138"/>
      <c r="U50" s="138"/>
      <c r="V50" s="138"/>
      <c r="W50" s="132"/>
      <c r="X50" s="170">
        <v>1.0</v>
      </c>
      <c r="Y50" s="138"/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1</v>
      </c>
      <c r="AM50" s="183">
        <f t="shared" si="16"/>
        <v>33.33333333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5">
        <f t="shared" si="17"/>
        <v>0</v>
      </c>
      <c r="BJ50" s="186" t="str">
        <f t="shared" si="18"/>
        <v>#DIV/0!</v>
      </c>
      <c r="BK50" s="138"/>
      <c r="BL50" s="132"/>
      <c r="BM50" s="138"/>
      <c r="BN50" s="138"/>
      <c r="BO50" s="138"/>
      <c r="BP50" s="138"/>
      <c r="BQ50" s="138"/>
      <c r="BR50" s="140"/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0</v>
      </c>
      <c r="CG50" s="190" t="str">
        <f t="shared" si="20"/>
        <v>#DIV/0!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20</v>
      </c>
      <c r="CW50" s="169">
        <f t="shared" si="8"/>
        <v>1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2</v>
      </c>
      <c r="E51" s="127">
        <f t="shared" si="10"/>
        <v>40</v>
      </c>
      <c r="F51" s="200">
        <f t="shared" si="11"/>
        <v>40</v>
      </c>
      <c r="G51" s="177" t="str">
        <f t="shared" si="12"/>
        <v>  </v>
      </c>
      <c r="H51" s="258"/>
      <c r="I51" s="265"/>
      <c r="J51" s="266"/>
      <c r="K51" s="266"/>
      <c r="L51" s="266"/>
      <c r="M51" s="266"/>
      <c r="N51" s="266"/>
      <c r="O51" s="266"/>
      <c r="P51" s="266"/>
      <c r="Q51" s="266"/>
      <c r="R51" s="135">
        <f t="shared" si="13"/>
        <v>0</v>
      </c>
      <c r="S51" s="137">
        <f t="shared" si="14"/>
        <v>0</v>
      </c>
      <c r="T51" s="138"/>
      <c r="U51" s="138"/>
      <c r="V51" s="138"/>
      <c r="W51" s="132"/>
      <c r="X51" s="132"/>
      <c r="Y51" s="138"/>
      <c r="Z51" s="151">
        <v>1.0</v>
      </c>
      <c r="AA51" s="138"/>
      <c r="AB51" s="247"/>
      <c r="AC51" s="150">
        <v>1.0</v>
      </c>
      <c r="AD51" s="140"/>
      <c r="AE51" s="141"/>
      <c r="AF51" s="248"/>
      <c r="AG51" s="248"/>
      <c r="AH51" s="248"/>
      <c r="AI51" s="248"/>
      <c r="AJ51" s="249"/>
      <c r="AK51" s="249"/>
      <c r="AL51" s="135">
        <f t="shared" si="15"/>
        <v>2</v>
      </c>
      <c r="AM51" s="183">
        <f t="shared" si="16"/>
        <v>66.66666667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5">
        <f t="shared" si="17"/>
        <v>0</v>
      </c>
      <c r="BJ51" s="186" t="str">
        <f t="shared" si="18"/>
        <v>#DIV/0!</v>
      </c>
      <c r="BK51" s="138"/>
      <c r="BL51" s="132"/>
      <c r="BM51" s="138"/>
      <c r="BN51" s="138"/>
      <c r="BO51" s="138"/>
      <c r="BP51" s="138"/>
      <c r="BQ51" s="138"/>
      <c r="BR51" s="140"/>
      <c r="BS51" s="152"/>
      <c r="BT51" s="152"/>
      <c r="BU51" s="152"/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0</v>
      </c>
      <c r="CG51" s="190" t="str">
        <f t="shared" si="20"/>
        <v>#DIV/0!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40</v>
      </c>
      <c r="CW51" s="169">
        <f t="shared" si="8"/>
        <v>2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2</v>
      </c>
      <c r="E52" s="127">
        <f t="shared" si="10"/>
        <v>40</v>
      </c>
      <c r="F52" s="200">
        <f t="shared" si="11"/>
        <v>40</v>
      </c>
      <c r="G52" s="177" t="str">
        <f t="shared" si="12"/>
        <v>  </v>
      </c>
      <c r="H52" s="258"/>
      <c r="I52" s="258"/>
      <c r="J52" s="263"/>
      <c r="K52" s="263"/>
      <c r="L52" s="263"/>
      <c r="M52" s="263"/>
      <c r="N52" s="263"/>
      <c r="O52" s="263"/>
      <c r="P52" s="263"/>
      <c r="Q52" s="263"/>
      <c r="R52" s="135">
        <f t="shared" si="13"/>
        <v>0</v>
      </c>
      <c r="S52" s="137">
        <f t="shared" si="14"/>
        <v>0</v>
      </c>
      <c r="T52" s="138"/>
      <c r="U52" s="138"/>
      <c r="V52" s="138"/>
      <c r="W52" s="132"/>
      <c r="X52" s="132"/>
      <c r="Y52" s="138"/>
      <c r="Z52" s="151">
        <v>1.0</v>
      </c>
      <c r="AA52" s="138"/>
      <c r="AB52" s="209"/>
      <c r="AC52" s="150">
        <v>1.0</v>
      </c>
      <c r="AD52" s="140"/>
      <c r="AE52" s="141"/>
      <c r="AF52" s="210"/>
      <c r="AG52" s="210"/>
      <c r="AH52" s="210"/>
      <c r="AI52" s="210"/>
      <c r="AJ52" s="212"/>
      <c r="AK52" s="212"/>
      <c r="AL52" s="135">
        <f t="shared" si="15"/>
        <v>2</v>
      </c>
      <c r="AM52" s="183">
        <f t="shared" si="16"/>
        <v>66.66666667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5">
        <f t="shared" si="17"/>
        <v>0</v>
      </c>
      <c r="BJ52" s="186" t="str">
        <f t="shared" si="18"/>
        <v>#DIV/0!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 t="str">
        <f t="shared" si="20"/>
        <v>#DIV/0!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40</v>
      </c>
      <c r="CW52" s="169">
        <f t="shared" si="8"/>
        <v>2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3</v>
      </c>
      <c r="E53" s="127">
        <f t="shared" si="10"/>
        <v>60</v>
      </c>
      <c r="F53" s="175" t="str">
        <f t="shared" si="11"/>
        <v>  </v>
      </c>
      <c r="G53" s="177" t="str">
        <f t="shared" si="12"/>
        <v>  </v>
      </c>
      <c r="H53" s="258"/>
      <c r="I53" s="258"/>
      <c r="J53" s="263"/>
      <c r="K53" s="263"/>
      <c r="L53" s="263"/>
      <c r="M53" s="269">
        <v>1.0</v>
      </c>
      <c r="N53" s="263"/>
      <c r="O53" s="263"/>
      <c r="P53" s="263"/>
      <c r="Q53" s="263"/>
      <c r="R53" s="135">
        <f t="shared" si="13"/>
        <v>1</v>
      </c>
      <c r="S53" s="137">
        <f t="shared" si="14"/>
        <v>50</v>
      </c>
      <c r="T53" s="138"/>
      <c r="U53" s="138"/>
      <c r="V53" s="138"/>
      <c r="W53" s="132"/>
      <c r="X53" s="132"/>
      <c r="Y53" s="138"/>
      <c r="Z53" s="151">
        <v>1.0</v>
      </c>
      <c r="AA53" s="138"/>
      <c r="AB53" s="209"/>
      <c r="AC53" s="150">
        <v>1.0</v>
      </c>
      <c r="AD53" s="140"/>
      <c r="AE53" s="141"/>
      <c r="AF53" s="210"/>
      <c r="AG53" s="210"/>
      <c r="AH53" s="210"/>
      <c r="AI53" s="210"/>
      <c r="AJ53" s="212"/>
      <c r="AK53" s="212"/>
      <c r="AL53" s="135">
        <f t="shared" si="15"/>
        <v>2</v>
      </c>
      <c r="AM53" s="183">
        <f t="shared" si="16"/>
        <v>66.66666667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5">
        <f t="shared" si="17"/>
        <v>0</v>
      </c>
      <c r="BJ53" s="186" t="str">
        <f t="shared" si="18"/>
        <v>#DIV/0!</v>
      </c>
      <c r="BK53" s="138"/>
      <c r="BL53" s="132"/>
      <c r="BM53" s="138"/>
      <c r="BN53" s="138"/>
      <c r="BO53" s="138"/>
      <c r="BP53" s="138"/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0</v>
      </c>
      <c r="CG53" s="190" t="str">
        <f t="shared" si="20"/>
        <v>#DIV/0!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60</v>
      </c>
      <c r="CW53" s="169">
        <f t="shared" si="8"/>
        <v>3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0</v>
      </c>
      <c r="E54" s="127">
        <f t="shared" si="10"/>
        <v>0</v>
      </c>
      <c r="F54" s="200">
        <f t="shared" si="11"/>
        <v>0</v>
      </c>
      <c r="G54" s="207">
        <f t="shared" si="12"/>
        <v>0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3"/>
        <v>0</v>
      </c>
      <c r="S54" s="137">
        <f t="shared" si="14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 t="str">
        <f t="shared" si="18"/>
        <v>#DIV/0!</v>
      </c>
      <c r="BK54" s="138"/>
      <c r="BL54" s="132"/>
      <c r="BM54" s="138"/>
      <c r="BN54" s="138"/>
      <c r="BO54" s="138"/>
      <c r="BP54" s="138"/>
      <c r="BQ54" s="138"/>
      <c r="BR54" s="140"/>
      <c r="BS54" s="152"/>
      <c r="BT54" s="152"/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0</v>
      </c>
      <c r="CG54" s="190" t="str">
        <f t="shared" si="20"/>
        <v>#DIV/0!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0</v>
      </c>
      <c r="CW54" s="169">
        <f t="shared" si="8"/>
        <v>0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3</v>
      </c>
      <c r="E55" s="127">
        <f t="shared" si="10"/>
        <v>60</v>
      </c>
      <c r="F55" s="200" t="str">
        <f t="shared" si="11"/>
        <v>  </v>
      </c>
      <c r="G55" s="207" t="str">
        <f t="shared" si="12"/>
        <v>  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3"/>
        <v>0</v>
      </c>
      <c r="S55" s="137">
        <f t="shared" si="14"/>
        <v>0</v>
      </c>
      <c r="T55" s="138"/>
      <c r="U55" s="138"/>
      <c r="V55" s="138"/>
      <c r="W55" s="132"/>
      <c r="X55" s="170">
        <v>1.0</v>
      </c>
      <c r="Y55" s="138"/>
      <c r="Z55" s="151">
        <v>1.0</v>
      </c>
      <c r="AA55" s="138"/>
      <c r="AB55" s="209"/>
      <c r="AC55" s="150">
        <v>1.0</v>
      </c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3</v>
      </c>
      <c r="AM55" s="183">
        <f t="shared" si="16"/>
        <v>100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 t="str">
        <f t="shared" si="18"/>
        <v>#DIV/0!</v>
      </c>
      <c r="BK55" s="138"/>
      <c r="BL55" s="132"/>
      <c r="BM55" s="138"/>
      <c r="BN55" s="138"/>
      <c r="BO55" s="138"/>
      <c r="BP55" s="138"/>
      <c r="BQ55" s="138"/>
      <c r="BR55" s="140"/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0</v>
      </c>
      <c r="CG55" s="190" t="str">
        <f t="shared" si="20"/>
        <v>#DIV/0!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60</v>
      </c>
      <c r="CW55" s="169">
        <f t="shared" si="8"/>
        <v>3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2</v>
      </c>
      <c r="E56" s="127">
        <f t="shared" si="10"/>
        <v>40</v>
      </c>
      <c r="F56" s="200">
        <f t="shared" si="11"/>
        <v>40</v>
      </c>
      <c r="G56" s="207" t="str">
        <f t="shared" si="12"/>
        <v>  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3"/>
        <v>0</v>
      </c>
      <c r="S56" s="137">
        <f t="shared" si="14"/>
        <v>0</v>
      </c>
      <c r="T56" s="138"/>
      <c r="U56" s="138"/>
      <c r="V56" s="138"/>
      <c r="W56" s="132"/>
      <c r="X56" s="170">
        <v>1.0</v>
      </c>
      <c r="Y56" s="138"/>
      <c r="Z56" s="138"/>
      <c r="AA56" s="138"/>
      <c r="AB56" s="209"/>
      <c r="AC56" s="150">
        <v>1.0</v>
      </c>
      <c r="AD56" s="140"/>
      <c r="AE56" s="141"/>
      <c r="AF56" s="210"/>
      <c r="AG56" s="210"/>
      <c r="AH56" s="210"/>
      <c r="AI56" s="210"/>
      <c r="AJ56" s="212"/>
      <c r="AK56" s="212"/>
      <c r="AL56" s="135">
        <f t="shared" si="15"/>
        <v>2</v>
      </c>
      <c r="AM56" s="183">
        <f t="shared" si="16"/>
        <v>66.66666667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5">
        <f t="shared" si="17"/>
        <v>0</v>
      </c>
      <c r="BJ56" s="186" t="str">
        <f t="shared" si="18"/>
        <v>#DIV/0!</v>
      </c>
      <c r="BK56" s="138"/>
      <c r="BL56" s="132"/>
      <c r="BM56" s="138"/>
      <c r="BN56" s="138"/>
      <c r="BO56" s="138"/>
      <c r="BP56" s="138"/>
      <c r="BQ56" s="138"/>
      <c r="BR56" s="140"/>
      <c r="BS56" s="152"/>
      <c r="BT56" s="152"/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0</v>
      </c>
      <c r="CG56" s="190" t="str">
        <f t="shared" si="20"/>
        <v>#DIV/0!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40</v>
      </c>
      <c r="CW56" s="169">
        <f t="shared" si="8"/>
        <v>2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3</v>
      </c>
      <c r="E57" s="127">
        <f t="shared" si="10"/>
        <v>60</v>
      </c>
      <c r="F57" s="200" t="str">
        <f t="shared" si="11"/>
        <v>  </v>
      </c>
      <c r="G57" s="177" t="str">
        <f t="shared" si="12"/>
        <v>  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3"/>
        <v>0</v>
      </c>
      <c r="S57" s="137">
        <f t="shared" si="14"/>
        <v>0</v>
      </c>
      <c r="T57" s="138"/>
      <c r="U57" s="138"/>
      <c r="V57" s="138"/>
      <c r="W57" s="132"/>
      <c r="X57" s="170">
        <v>1.0</v>
      </c>
      <c r="Y57" s="138"/>
      <c r="Z57" s="151">
        <v>1.0</v>
      </c>
      <c r="AA57" s="138"/>
      <c r="AB57" s="209"/>
      <c r="AC57" s="150">
        <v>1.0</v>
      </c>
      <c r="AD57" s="140"/>
      <c r="AE57" s="141"/>
      <c r="AF57" s="210"/>
      <c r="AG57" s="210"/>
      <c r="AH57" s="210"/>
      <c r="AI57" s="210"/>
      <c r="AJ57" s="212"/>
      <c r="AK57" s="212"/>
      <c r="AL57" s="135">
        <f t="shared" si="15"/>
        <v>3</v>
      </c>
      <c r="AM57" s="183">
        <f t="shared" si="16"/>
        <v>100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5">
        <f t="shared" si="17"/>
        <v>0</v>
      </c>
      <c r="BJ57" s="186" t="str">
        <f t="shared" si="18"/>
        <v>#DIV/0!</v>
      </c>
      <c r="BK57" s="138"/>
      <c r="BL57" s="132"/>
      <c r="BM57" s="138"/>
      <c r="BN57" s="138"/>
      <c r="BO57" s="138"/>
      <c r="BP57" s="138"/>
      <c r="BQ57" s="138"/>
      <c r="BR57" s="140"/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0</v>
      </c>
      <c r="CG57" s="190" t="str">
        <f t="shared" si="20"/>
        <v>#DIV/0!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60</v>
      </c>
      <c r="CW57" s="169">
        <f t="shared" si="8"/>
        <v>3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1</v>
      </c>
      <c r="E58" s="127">
        <f t="shared" si="10"/>
        <v>20</v>
      </c>
      <c r="F58" s="200">
        <f t="shared" si="11"/>
        <v>20</v>
      </c>
      <c r="G58" s="207">
        <f t="shared" si="12"/>
        <v>20</v>
      </c>
      <c r="H58" s="258"/>
      <c r="I58" s="261"/>
      <c r="J58" s="262"/>
      <c r="K58" s="262"/>
      <c r="L58" s="262"/>
      <c r="M58" s="262"/>
      <c r="N58" s="262"/>
      <c r="O58" s="262"/>
      <c r="P58" s="262"/>
      <c r="Q58" s="262"/>
      <c r="R58" s="135">
        <f t="shared" si="13"/>
        <v>0</v>
      </c>
      <c r="S58" s="137">
        <f t="shared" si="14"/>
        <v>0</v>
      </c>
      <c r="T58" s="138"/>
      <c r="U58" s="138"/>
      <c r="V58" s="138"/>
      <c r="W58" s="132"/>
      <c r="X58" s="132"/>
      <c r="Y58" s="138"/>
      <c r="Z58" s="138"/>
      <c r="AA58" s="138"/>
      <c r="AB58" s="217"/>
      <c r="AC58" s="150">
        <v>1.0</v>
      </c>
      <c r="AD58" s="140"/>
      <c r="AE58" s="141"/>
      <c r="AF58" s="226"/>
      <c r="AG58" s="226"/>
      <c r="AH58" s="226"/>
      <c r="AI58" s="226"/>
      <c r="AJ58" s="218"/>
      <c r="AK58" s="218"/>
      <c r="AL58" s="135">
        <f t="shared" si="15"/>
        <v>1</v>
      </c>
      <c r="AM58" s="183">
        <f t="shared" si="16"/>
        <v>33.33333333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5">
        <f t="shared" si="17"/>
        <v>0</v>
      </c>
      <c r="BJ58" s="186" t="str">
        <f t="shared" si="18"/>
        <v>#DIV/0!</v>
      </c>
      <c r="BK58" s="138"/>
      <c r="BL58" s="132"/>
      <c r="BM58" s="138"/>
      <c r="BN58" s="138"/>
      <c r="BO58" s="138"/>
      <c r="BP58" s="138"/>
      <c r="BQ58" s="138"/>
      <c r="BR58" s="140"/>
      <c r="BS58" s="152"/>
      <c r="BT58" s="152"/>
      <c r="BU58" s="152"/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0</v>
      </c>
      <c r="CG58" s="190" t="str">
        <f t="shared" si="20"/>
        <v>#DIV/0!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20</v>
      </c>
      <c r="CW58" s="169">
        <f t="shared" si="8"/>
        <v>1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2</v>
      </c>
      <c r="E59" s="127">
        <f t="shared" si="10"/>
        <v>40</v>
      </c>
      <c r="F59" s="200">
        <f t="shared" si="11"/>
        <v>40</v>
      </c>
      <c r="G59" s="177" t="str">
        <f t="shared" si="12"/>
        <v>  </v>
      </c>
      <c r="H59" s="258"/>
      <c r="I59" s="261"/>
      <c r="J59" s="262"/>
      <c r="K59" s="262"/>
      <c r="L59" s="262"/>
      <c r="M59" s="262"/>
      <c r="N59" s="262"/>
      <c r="O59" s="262"/>
      <c r="P59" s="262"/>
      <c r="Q59" s="262"/>
      <c r="R59" s="135">
        <f t="shared" si="13"/>
        <v>0</v>
      </c>
      <c r="S59" s="137">
        <f t="shared" si="14"/>
        <v>0</v>
      </c>
      <c r="T59" s="138"/>
      <c r="U59" s="138"/>
      <c r="V59" s="138"/>
      <c r="W59" s="132"/>
      <c r="X59" s="170">
        <v>1.0</v>
      </c>
      <c r="Y59" s="138"/>
      <c r="Z59" s="151">
        <v>1.0</v>
      </c>
      <c r="AA59" s="138"/>
      <c r="AB59" s="217"/>
      <c r="AC59" s="140"/>
      <c r="AD59" s="140"/>
      <c r="AE59" s="141"/>
      <c r="AF59" s="226"/>
      <c r="AG59" s="226"/>
      <c r="AH59" s="226"/>
      <c r="AI59" s="226"/>
      <c r="AJ59" s="218"/>
      <c r="AK59" s="218"/>
      <c r="AL59" s="135">
        <f t="shared" si="15"/>
        <v>2</v>
      </c>
      <c r="AM59" s="183">
        <f t="shared" si="16"/>
        <v>66.66666667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5">
        <f t="shared" si="17"/>
        <v>0</v>
      </c>
      <c r="BJ59" s="186" t="str">
        <f t="shared" si="18"/>
        <v>#DIV/0!</v>
      </c>
      <c r="BK59" s="138"/>
      <c r="BL59" s="132"/>
      <c r="BM59" s="138"/>
      <c r="BN59" s="138"/>
      <c r="BO59" s="138"/>
      <c r="BP59" s="138"/>
      <c r="BQ59" s="138"/>
      <c r="BR59" s="140"/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0</v>
      </c>
      <c r="CG59" s="190" t="str">
        <f t="shared" si="20"/>
        <v>#DIV/0!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40</v>
      </c>
      <c r="CW59" s="169">
        <f t="shared" si="8"/>
        <v>2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0</v>
      </c>
      <c r="E60" s="127">
        <f t="shared" si="10"/>
        <v>0</v>
      </c>
      <c r="F60" s="200">
        <f t="shared" si="11"/>
        <v>0</v>
      </c>
      <c r="G60" s="207">
        <f t="shared" si="12"/>
        <v>0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3"/>
        <v>0</v>
      </c>
      <c r="S60" s="137">
        <f t="shared" si="14"/>
        <v>0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0</v>
      </c>
      <c r="AM60" s="183">
        <f t="shared" si="16"/>
        <v>0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5">
        <f t="shared" si="17"/>
        <v>0</v>
      </c>
      <c r="BJ60" s="186" t="str">
        <f t="shared" si="18"/>
        <v>#DIV/0!</v>
      </c>
      <c r="BK60" s="138"/>
      <c r="BL60" s="132"/>
      <c r="BM60" s="138"/>
      <c r="BN60" s="138"/>
      <c r="BO60" s="138"/>
      <c r="BP60" s="138"/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0</v>
      </c>
      <c r="CG60" s="190" t="str">
        <f t="shared" si="20"/>
        <v>#DIV/0!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0</v>
      </c>
      <c r="CW60" s="169">
        <f t="shared" si="8"/>
        <v>0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2</v>
      </c>
      <c r="E61" s="127">
        <f t="shared" si="10"/>
        <v>40</v>
      </c>
      <c r="F61" s="200">
        <f t="shared" si="11"/>
        <v>40</v>
      </c>
      <c r="G61" s="177" t="str">
        <f t="shared" si="12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3"/>
        <v>0</v>
      </c>
      <c r="S61" s="137">
        <f t="shared" si="14"/>
        <v>0</v>
      </c>
      <c r="T61" s="138"/>
      <c r="U61" s="138"/>
      <c r="V61" s="138"/>
      <c r="W61" s="132"/>
      <c r="X61" s="132"/>
      <c r="Y61" s="138"/>
      <c r="Z61" s="151">
        <v>1.0</v>
      </c>
      <c r="AA61" s="138"/>
      <c r="AB61" s="209"/>
      <c r="AC61" s="150">
        <v>1.0</v>
      </c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5"/>
        <v>2</v>
      </c>
      <c r="AM61" s="183">
        <f t="shared" si="16"/>
        <v>66.66666667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5">
        <f t="shared" si="17"/>
        <v>0</v>
      </c>
      <c r="BJ61" s="186" t="str">
        <f t="shared" si="18"/>
        <v>#DIV/0!</v>
      </c>
      <c r="BK61" s="138"/>
      <c r="BL61" s="132"/>
      <c r="BM61" s="138"/>
      <c r="BN61" s="138"/>
      <c r="BO61" s="138"/>
      <c r="BP61" s="138"/>
      <c r="BQ61" s="138"/>
      <c r="BR61" s="140"/>
      <c r="BS61" s="152"/>
      <c r="BT61" s="152"/>
      <c r="BU61" s="152"/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0</v>
      </c>
      <c r="CG61" s="190" t="str">
        <f t="shared" si="20"/>
        <v>#DIV/0!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40</v>
      </c>
      <c r="CW61" s="169">
        <f t="shared" si="8"/>
        <v>2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1</v>
      </c>
      <c r="E62" s="127">
        <f t="shared" si="10"/>
        <v>20</v>
      </c>
      <c r="F62" s="200">
        <f t="shared" si="11"/>
        <v>20</v>
      </c>
      <c r="G62" s="207">
        <f t="shared" si="12"/>
        <v>20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3"/>
        <v>0</v>
      </c>
      <c r="S62" s="137">
        <f t="shared" si="14"/>
        <v>0</v>
      </c>
      <c r="T62" s="138"/>
      <c r="U62" s="138"/>
      <c r="V62" s="138"/>
      <c r="W62" s="132"/>
      <c r="X62" s="132"/>
      <c r="Y62" s="138"/>
      <c r="Z62" s="151">
        <v>1.0</v>
      </c>
      <c r="AA62" s="138"/>
      <c r="AB62" s="233"/>
      <c r="AC62" s="140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5"/>
        <v>1</v>
      </c>
      <c r="AM62" s="183">
        <f t="shared" si="16"/>
        <v>33.33333333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 t="str">
        <f t="shared" si="18"/>
        <v>#DIV/0!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52"/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0</v>
      </c>
      <c r="CG62" s="190" t="str">
        <f t="shared" si="20"/>
        <v>#DIV/0!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20</v>
      </c>
      <c r="CW62" s="169">
        <f t="shared" si="8"/>
        <v>1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1</v>
      </c>
      <c r="E63" s="127">
        <f t="shared" si="10"/>
        <v>20</v>
      </c>
      <c r="F63" s="200">
        <f t="shared" si="11"/>
        <v>20</v>
      </c>
      <c r="G63" s="207">
        <f t="shared" si="12"/>
        <v>20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135">
        <f t="shared" si="13"/>
        <v>0</v>
      </c>
      <c r="S63" s="137">
        <f t="shared" si="14"/>
        <v>0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50">
        <v>1.0</v>
      </c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1</v>
      </c>
      <c r="AM63" s="183">
        <f t="shared" si="16"/>
        <v>33.33333333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7"/>
        <v>0</v>
      </c>
      <c r="BJ63" s="186" t="str">
        <f t="shared" si="18"/>
        <v>#DIV/0!</v>
      </c>
      <c r="BK63" s="138"/>
      <c r="BL63" s="132"/>
      <c r="BM63" s="138"/>
      <c r="BN63" s="138"/>
      <c r="BO63" s="138"/>
      <c r="BP63" s="138"/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0</v>
      </c>
      <c r="CG63" s="190" t="str">
        <f t="shared" si="20"/>
        <v>#DIV/0!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20</v>
      </c>
      <c r="CW63" s="169">
        <f t="shared" si="8"/>
        <v>1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0</v>
      </c>
      <c r="E64" s="127">
        <f t="shared" si="10"/>
        <v>0</v>
      </c>
      <c r="F64" s="200">
        <f t="shared" si="11"/>
        <v>0</v>
      </c>
      <c r="G64" s="207">
        <f t="shared" si="12"/>
        <v>0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3"/>
        <v>0</v>
      </c>
      <c r="S64" s="137">
        <f t="shared" si="14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 t="str">
        <f t="shared" si="18"/>
        <v>#DIV/0!</v>
      </c>
      <c r="BK64" s="138"/>
      <c r="BL64" s="132"/>
      <c r="BM64" s="138"/>
      <c r="BN64" s="138"/>
      <c r="BO64" s="138"/>
      <c r="BP64" s="138"/>
      <c r="BQ64" s="138"/>
      <c r="BR64" s="140"/>
      <c r="BS64" s="152"/>
      <c r="BT64" s="152"/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0</v>
      </c>
      <c r="CG64" s="190" t="str">
        <f t="shared" si="20"/>
        <v>#DIV/0!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0</v>
      </c>
      <c r="CW64" s="169">
        <f t="shared" si="8"/>
        <v>0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3"/>
        <v>0</v>
      </c>
      <c r="S65" s="137">
        <f t="shared" si="14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 t="str">
        <f t="shared" si="18"/>
        <v>#DIV/0!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 t="str">
        <f t="shared" si="20"/>
        <v>#DIV/0!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3</v>
      </c>
      <c r="E66" s="127">
        <f t="shared" si="10"/>
        <v>60</v>
      </c>
      <c r="F66" s="175" t="str">
        <f t="shared" si="11"/>
        <v>  </v>
      </c>
      <c r="G66" s="177" t="str">
        <f t="shared" si="12"/>
        <v>  </v>
      </c>
      <c r="H66" s="258"/>
      <c r="I66" s="258"/>
      <c r="J66" s="263"/>
      <c r="K66" s="263"/>
      <c r="L66" s="263"/>
      <c r="M66" s="269">
        <v>1.0</v>
      </c>
      <c r="N66" s="269">
        <v>1.0</v>
      </c>
      <c r="O66" s="263"/>
      <c r="P66" s="263"/>
      <c r="Q66" s="263"/>
      <c r="R66" s="135">
        <f t="shared" si="13"/>
        <v>2</v>
      </c>
      <c r="S66" s="137">
        <f t="shared" si="14"/>
        <v>100</v>
      </c>
      <c r="T66" s="138"/>
      <c r="U66" s="138"/>
      <c r="V66" s="138"/>
      <c r="W66" s="132"/>
      <c r="X66" s="132"/>
      <c r="Y66" s="138"/>
      <c r="Z66" s="138"/>
      <c r="AA66" s="138"/>
      <c r="AB66" s="209"/>
      <c r="AC66" s="150">
        <v>1.0</v>
      </c>
      <c r="AD66" s="140"/>
      <c r="AE66" s="141"/>
      <c r="AF66" s="210"/>
      <c r="AG66" s="210"/>
      <c r="AH66" s="210"/>
      <c r="AI66" s="210"/>
      <c r="AJ66" s="212"/>
      <c r="AK66" s="212"/>
      <c r="AL66" s="135">
        <f t="shared" si="15"/>
        <v>1</v>
      </c>
      <c r="AM66" s="183">
        <f t="shared" si="16"/>
        <v>33.33333333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5">
        <f t="shared" si="17"/>
        <v>0</v>
      </c>
      <c r="BJ66" s="186" t="str">
        <f t="shared" si="18"/>
        <v>#DIV/0!</v>
      </c>
      <c r="BK66" s="138"/>
      <c r="BL66" s="132"/>
      <c r="BM66" s="138"/>
      <c r="BN66" s="138"/>
      <c r="BO66" s="138"/>
      <c r="BP66" s="138"/>
      <c r="BQ66" s="138"/>
      <c r="BR66" s="140"/>
      <c r="BS66" s="152"/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0</v>
      </c>
      <c r="CG66" s="190" t="str">
        <f t="shared" si="20"/>
        <v>#DIV/0!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60</v>
      </c>
      <c r="CW66" s="169">
        <f t="shared" si="8"/>
        <v>3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2</v>
      </c>
      <c r="E67" s="127">
        <f t="shared" si="10"/>
        <v>40</v>
      </c>
      <c r="F67" s="200">
        <f t="shared" si="11"/>
        <v>40</v>
      </c>
      <c r="G67" s="177" t="str">
        <f t="shared" si="12"/>
        <v>  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3"/>
        <v>0</v>
      </c>
      <c r="S67" s="137">
        <f t="shared" si="14"/>
        <v>0</v>
      </c>
      <c r="T67" s="138"/>
      <c r="U67" s="138"/>
      <c r="V67" s="138"/>
      <c r="W67" s="132"/>
      <c r="X67" s="132"/>
      <c r="Y67" s="138"/>
      <c r="Z67" s="151">
        <v>1.0</v>
      </c>
      <c r="AA67" s="138"/>
      <c r="AB67" s="233"/>
      <c r="AC67" s="150">
        <v>1.0</v>
      </c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2</v>
      </c>
      <c r="AM67" s="183">
        <f t="shared" si="16"/>
        <v>66.66666667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0</v>
      </c>
      <c r="BJ67" s="186" t="str">
        <f t="shared" si="18"/>
        <v>#DIV/0!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0</v>
      </c>
      <c r="CG67" s="190" t="str">
        <f t="shared" si="20"/>
        <v>#DIV/0!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40</v>
      </c>
      <c r="CW67" s="169">
        <f t="shared" si="8"/>
        <v>2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3</v>
      </c>
      <c r="E68" s="127">
        <f t="shared" si="10"/>
        <v>60</v>
      </c>
      <c r="F68" s="175" t="str">
        <f t="shared" si="11"/>
        <v>  </v>
      </c>
      <c r="G68" s="177" t="str">
        <f t="shared" si="12"/>
        <v>  </v>
      </c>
      <c r="H68" s="258"/>
      <c r="I68" s="258"/>
      <c r="J68" s="263"/>
      <c r="K68" s="263"/>
      <c r="L68" s="263"/>
      <c r="M68" s="263"/>
      <c r="N68" s="263"/>
      <c r="O68" s="263"/>
      <c r="P68" s="263"/>
      <c r="Q68" s="263"/>
      <c r="R68" s="135">
        <f t="shared" si="13"/>
        <v>0</v>
      </c>
      <c r="S68" s="137">
        <f t="shared" si="14"/>
        <v>0</v>
      </c>
      <c r="T68" s="138"/>
      <c r="U68" s="138"/>
      <c r="V68" s="138"/>
      <c r="W68" s="132"/>
      <c r="X68" s="170">
        <v>1.0</v>
      </c>
      <c r="Y68" s="138"/>
      <c r="Z68" s="151">
        <v>1.0</v>
      </c>
      <c r="AA68" s="138"/>
      <c r="AB68" s="209"/>
      <c r="AC68" s="150">
        <v>1.0</v>
      </c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3</v>
      </c>
      <c r="AM68" s="183">
        <f t="shared" si="16"/>
        <v>100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 t="str">
        <f t="shared" si="18"/>
        <v>#DIV/0!</v>
      </c>
      <c r="BK68" s="138"/>
      <c r="BL68" s="132"/>
      <c r="BM68" s="138"/>
      <c r="BN68" s="138"/>
      <c r="BO68" s="138"/>
      <c r="BP68" s="138"/>
      <c r="BQ68" s="138"/>
      <c r="BR68" s="140"/>
      <c r="BS68" s="152"/>
      <c r="BT68" s="152"/>
      <c r="BU68" s="152"/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0</v>
      </c>
      <c r="CG68" s="190" t="str">
        <f t="shared" si="20"/>
        <v>#DIV/0!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60</v>
      </c>
      <c r="CW68" s="169">
        <f t="shared" si="8"/>
        <v>3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3</v>
      </c>
      <c r="E69" s="127">
        <f t="shared" si="10"/>
        <v>60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>
        <f t="shared" si="14"/>
        <v>0</v>
      </c>
      <c r="T69" s="138"/>
      <c r="U69" s="138"/>
      <c r="V69" s="138"/>
      <c r="W69" s="132"/>
      <c r="X69" s="170">
        <v>1.0</v>
      </c>
      <c r="Y69" s="138"/>
      <c r="Z69" s="151">
        <v>1.0</v>
      </c>
      <c r="AA69" s="138"/>
      <c r="AB69" s="209"/>
      <c r="AC69" s="150">
        <v>1.0</v>
      </c>
      <c r="AD69" s="140"/>
      <c r="AE69" s="141"/>
      <c r="AF69" s="210"/>
      <c r="AG69" s="210"/>
      <c r="AH69" s="210"/>
      <c r="AI69" s="210"/>
      <c r="AJ69" s="212"/>
      <c r="AK69" s="212"/>
      <c r="AL69" s="135">
        <f t="shared" si="15"/>
        <v>3</v>
      </c>
      <c r="AM69" s="183">
        <f t="shared" si="16"/>
        <v>100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5">
        <f t="shared" si="17"/>
        <v>0</v>
      </c>
      <c r="BJ69" s="186" t="str">
        <f t="shared" si="18"/>
        <v>#DIV/0!</v>
      </c>
      <c r="BK69" s="138"/>
      <c r="BL69" s="132"/>
      <c r="BM69" s="138"/>
      <c r="BN69" s="138"/>
      <c r="BO69" s="138"/>
      <c r="BP69" s="138"/>
      <c r="BQ69" s="138"/>
      <c r="BR69" s="140"/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0</v>
      </c>
      <c r="CG69" s="190" t="str">
        <f t="shared" si="20"/>
        <v>#DIV/0!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60</v>
      </c>
      <c r="CW69" s="169">
        <f t="shared" si="8"/>
        <v>3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1</v>
      </c>
      <c r="E70" s="127">
        <f t="shared" si="10"/>
        <v>20</v>
      </c>
      <c r="F70" s="200">
        <f t="shared" si="11"/>
        <v>20</v>
      </c>
      <c r="G70" s="207">
        <f t="shared" si="12"/>
        <v>20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>
        <f t="shared" si="14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50">
        <v>1.0</v>
      </c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5"/>
        <v>1</v>
      </c>
      <c r="AM70" s="183">
        <f t="shared" si="16"/>
        <v>33.33333333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5">
        <f t="shared" si="17"/>
        <v>0</v>
      </c>
      <c r="BJ70" s="186" t="str">
        <f t="shared" si="18"/>
        <v>#DIV/0!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 t="str">
        <f t="shared" si="20"/>
        <v>#DIV/0!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20</v>
      </c>
      <c r="CW70" s="169">
        <f t="shared" si="8"/>
        <v>1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>
        <f t="shared" si="14"/>
        <v>0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 t="str">
        <f t="shared" si="18"/>
        <v>#DIV/0!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 t="str">
        <f t="shared" si="20"/>
        <v>#DIV/0!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2</v>
      </c>
      <c r="E72" s="127">
        <f t="shared" si="10"/>
        <v>40</v>
      </c>
      <c r="F72" s="200">
        <f t="shared" si="11"/>
        <v>40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>
        <f t="shared" si="14"/>
        <v>0</v>
      </c>
      <c r="T72" s="138"/>
      <c r="U72" s="138"/>
      <c r="V72" s="138"/>
      <c r="W72" s="132"/>
      <c r="X72" s="132"/>
      <c r="Y72" s="138"/>
      <c r="Z72" s="151">
        <v>1.0</v>
      </c>
      <c r="AA72" s="138"/>
      <c r="AB72" s="209"/>
      <c r="AC72" s="150">
        <v>1.0</v>
      </c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5"/>
        <v>2</v>
      </c>
      <c r="AM72" s="183">
        <f t="shared" si="16"/>
        <v>66.66666667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5">
        <f t="shared" si="17"/>
        <v>0</v>
      </c>
      <c r="BJ72" s="186" t="str">
        <f t="shared" si="18"/>
        <v>#DIV/0!</v>
      </c>
      <c r="BK72" s="138"/>
      <c r="BL72" s="132"/>
      <c r="BM72" s="138"/>
      <c r="BN72" s="138"/>
      <c r="BO72" s="138"/>
      <c r="BP72" s="138"/>
      <c r="BQ72" s="138"/>
      <c r="BR72" s="140"/>
      <c r="BS72" s="152"/>
      <c r="BT72" s="152"/>
      <c r="BU72" s="152"/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0</v>
      </c>
      <c r="CG72" s="190" t="str">
        <f t="shared" si="20"/>
        <v>#DIV/0!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40</v>
      </c>
      <c r="CW72" s="169">
        <f t="shared" si="8"/>
        <v>2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4</v>
      </c>
      <c r="E73" s="127">
        <f t="shared" si="10"/>
        <v>80</v>
      </c>
      <c r="F73" s="200" t="str">
        <f t="shared" si="11"/>
        <v>  </v>
      </c>
      <c r="G73" s="177" t="str">
        <f t="shared" si="12"/>
        <v>  </v>
      </c>
      <c r="H73" s="258"/>
      <c r="I73" s="258"/>
      <c r="J73" s="263"/>
      <c r="K73" s="263"/>
      <c r="L73" s="263"/>
      <c r="M73" s="269">
        <v>1.0</v>
      </c>
      <c r="N73" s="263"/>
      <c r="O73" s="263"/>
      <c r="P73" s="263"/>
      <c r="Q73" s="263"/>
      <c r="R73" s="135">
        <f t="shared" si="13"/>
        <v>1</v>
      </c>
      <c r="S73" s="137">
        <f t="shared" si="14"/>
        <v>50</v>
      </c>
      <c r="T73" s="138"/>
      <c r="U73" s="138"/>
      <c r="V73" s="138"/>
      <c r="W73" s="132"/>
      <c r="X73" s="170">
        <v>1.0</v>
      </c>
      <c r="Y73" s="138"/>
      <c r="Z73" s="151">
        <v>1.0</v>
      </c>
      <c r="AA73" s="138"/>
      <c r="AB73" s="209"/>
      <c r="AC73" s="150">
        <v>1.0</v>
      </c>
      <c r="AD73" s="140"/>
      <c r="AE73" s="141"/>
      <c r="AF73" s="210"/>
      <c r="AG73" s="210"/>
      <c r="AH73" s="210"/>
      <c r="AI73" s="210"/>
      <c r="AJ73" s="212"/>
      <c r="AK73" s="212"/>
      <c r="AL73" s="135">
        <f t="shared" si="15"/>
        <v>3</v>
      </c>
      <c r="AM73" s="183">
        <f t="shared" si="16"/>
        <v>100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5">
        <f t="shared" si="17"/>
        <v>0</v>
      </c>
      <c r="BJ73" s="186" t="str">
        <f t="shared" si="18"/>
        <v>#DIV/0!</v>
      </c>
      <c r="BK73" s="138"/>
      <c r="BL73" s="132"/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0</v>
      </c>
      <c r="CG73" s="190" t="str">
        <f t="shared" si="20"/>
        <v>#DIV/0!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80</v>
      </c>
      <c r="CW73" s="169">
        <f t="shared" si="8"/>
        <v>4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3</v>
      </c>
      <c r="E74" s="127">
        <f t="shared" si="10"/>
        <v>60</v>
      </c>
      <c r="F74" s="200" t="str">
        <f t="shared" si="11"/>
        <v>  </v>
      </c>
      <c r="G74" s="177" t="str">
        <f t="shared" si="12"/>
        <v>  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>
        <f t="shared" si="14"/>
        <v>0</v>
      </c>
      <c r="T74" s="138"/>
      <c r="U74" s="138"/>
      <c r="V74" s="138"/>
      <c r="W74" s="132"/>
      <c r="X74" s="170">
        <v>1.0</v>
      </c>
      <c r="Y74" s="138"/>
      <c r="Z74" s="151">
        <v>1.0</v>
      </c>
      <c r="AA74" s="138"/>
      <c r="AB74" s="209"/>
      <c r="AC74" s="150">
        <v>1.0</v>
      </c>
      <c r="AD74" s="140"/>
      <c r="AE74" s="141"/>
      <c r="AF74" s="210"/>
      <c r="AG74" s="210"/>
      <c r="AH74" s="210"/>
      <c r="AI74" s="210"/>
      <c r="AJ74" s="212"/>
      <c r="AK74" s="212"/>
      <c r="AL74" s="135">
        <f t="shared" si="15"/>
        <v>3</v>
      </c>
      <c r="AM74" s="183">
        <f t="shared" si="16"/>
        <v>100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 t="str">
        <f t="shared" si="18"/>
        <v>#DIV/0!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0</v>
      </c>
      <c r="CG74" s="190" t="str">
        <f t="shared" si="20"/>
        <v>#DIV/0!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60</v>
      </c>
      <c r="CW74" s="169">
        <f t="shared" si="8"/>
        <v>3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2</v>
      </c>
      <c r="E75" s="127">
        <f t="shared" si="10"/>
        <v>40</v>
      </c>
      <c r="F75" s="200">
        <f t="shared" si="11"/>
        <v>40</v>
      </c>
      <c r="G75" s="207" t="str">
        <f t="shared" si="12"/>
        <v>  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>
        <f t="shared" si="14"/>
        <v>0</v>
      </c>
      <c r="T75" s="138"/>
      <c r="U75" s="138"/>
      <c r="V75" s="138"/>
      <c r="W75" s="132"/>
      <c r="X75" s="132"/>
      <c r="Y75" s="138"/>
      <c r="Z75" s="151">
        <v>1.0</v>
      </c>
      <c r="AA75" s="138"/>
      <c r="AB75" s="209"/>
      <c r="AC75" s="150">
        <v>1.0</v>
      </c>
      <c r="AD75" s="140"/>
      <c r="AE75" s="141"/>
      <c r="AF75" s="210"/>
      <c r="AG75" s="210"/>
      <c r="AH75" s="210"/>
      <c r="AI75" s="210"/>
      <c r="AJ75" s="212"/>
      <c r="AK75" s="212"/>
      <c r="AL75" s="135">
        <f t="shared" si="15"/>
        <v>2</v>
      </c>
      <c r="AM75" s="183">
        <f t="shared" si="16"/>
        <v>66.66666667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5">
        <f t="shared" si="17"/>
        <v>0</v>
      </c>
      <c r="BJ75" s="186" t="str">
        <f t="shared" si="18"/>
        <v>#DIV/0!</v>
      </c>
      <c r="BK75" s="138"/>
      <c r="BL75" s="132"/>
      <c r="BM75" s="138"/>
      <c r="BN75" s="138"/>
      <c r="BO75" s="138"/>
      <c r="BP75" s="138"/>
      <c r="BQ75" s="138"/>
      <c r="BR75" s="140"/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0</v>
      </c>
      <c r="CG75" s="190" t="str">
        <f t="shared" si="20"/>
        <v>#DIV/0!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40</v>
      </c>
      <c r="CW75" s="169">
        <f t="shared" si="8"/>
        <v>2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3</v>
      </c>
      <c r="E76" s="127">
        <f t="shared" si="10"/>
        <v>60</v>
      </c>
      <c r="F76" s="175" t="str">
        <f t="shared" si="11"/>
        <v>  </v>
      </c>
      <c r="G76" s="177" t="str">
        <f t="shared" si="12"/>
        <v>  </v>
      </c>
      <c r="H76" s="273"/>
      <c r="I76" s="273"/>
      <c r="J76" s="274"/>
      <c r="K76" s="274"/>
      <c r="L76" s="274"/>
      <c r="M76" s="302">
        <v>1.0</v>
      </c>
      <c r="N76" s="274"/>
      <c r="O76" s="274"/>
      <c r="P76" s="274"/>
      <c r="Q76" s="274"/>
      <c r="R76" s="135">
        <f t="shared" si="13"/>
        <v>1</v>
      </c>
      <c r="S76" s="137">
        <f t="shared" si="14"/>
        <v>50</v>
      </c>
      <c r="T76" s="138"/>
      <c r="U76" s="138"/>
      <c r="V76" s="138"/>
      <c r="W76" s="132"/>
      <c r="X76" s="170">
        <v>1.0</v>
      </c>
      <c r="Y76" s="138"/>
      <c r="Z76" s="151">
        <v>1.0</v>
      </c>
      <c r="AA76" s="138"/>
      <c r="AB76" s="209"/>
      <c r="AC76" s="140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5"/>
        <v>2</v>
      </c>
      <c r="AM76" s="183">
        <f t="shared" si="16"/>
        <v>66.66666667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7"/>
        <v>0</v>
      </c>
      <c r="BJ76" s="186" t="str">
        <f t="shared" si="18"/>
        <v>#DIV/0!</v>
      </c>
      <c r="BK76" s="138"/>
      <c r="BL76" s="132"/>
      <c r="BM76" s="138"/>
      <c r="BN76" s="138"/>
      <c r="BO76" s="138"/>
      <c r="BP76" s="138"/>
      <c r="BQ76" s="138"/>
      <c r="BR76" s="140"/>
      <c r="BS76" s="152"/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0</v>
      </c>
      <c r="CG76" s="190" t="str">
        <f t="shared" si="20"/>
        <v>#DIV/0!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60</v>
      </c>
      <c r="CW76" s="169">
        <f t="shared" si="8"/>
        <v>3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2</v>
      </c>
      <c r="E77" s="127">
        <f t="shared" si="10"/>
        <v>40</v>
      </c>
      <c r="F77" s="200">
        <f t="shared" si="11"/>
        <v>40</v>
      </c>
      <c r="G77" s="177" t="str">
        <f t="shared" si="12"/>
        <v>  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>
        <f t="shared" si="14"/>
        <v>0</v>
      </c>
      <c r="T77" s="138"/>
      <c r="U77" s="138"/>
      <c r="V77" s="138"/>
      <c r="W77" s="132"/>
      <c r="X77" s="170">
        <v>1.0</v>
      </c>
      <c r="Y77" s="138"/>
      <c r="Z77" s="138"/>
      <c r="AA77" s="138"/>
      <c r="AB77" s="209"/>
      <c r="AC77" s="150">
        <v>1.0</v>
      </c>
      <c r="AD77" s="140"/>
      <c r="AE77" s="141"/>
      <c r="AF77" s="210"/>
      <c r="AG77" s="210"/>
      <c r="AH77" s="210"/>
      <c r="AI77" s="210"/>
      <c r="AJ77" s="212"/>
      <c r="AK77" s="212"/>
      <c r="AL77" s="135">
        <f t="shared" si="15"/>
        <v>2</v>
      </c>
      <c r="AM77" s="183">
        <f t="shared" si="16"/>
        <v>66.66666667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5">
        <f t="shared" si="17"/>
        <v>0</v>
      </c>
      <c r="BJ77" s="186" t="str">
        <f t="shared" si="18"/>
        <v>#DIV/0!</v>
      </c>
      <c r="BK77" s="138"/>
      <c r="BL77" s="132"/>
      <c r="BM77" s="138"/>
      <c r="BN77" s="138"/>
      <c r="BO77" s="138"/>
      <c r="BP77" s="138"/>
      <c r="BQ77" s="138"/>
      <c r="BR77" s="140"/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0</v>
      </c>
      <c r="CG77" s="190" t="str">
        <f t="shared" si="20"/>
        <v>#DIV/0!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40</v>
      </c>
      <c r="CW77" s="169">
        <f t="shared" si="8"/>
        <v>2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3</v>
      </c>
      <c r="E78" s="127">
        <f t="shared" si="10"/>
        <v>60</v>
      </c>
      <c r="F78" s="175" t="str">
        <f t="shared" si="11"/>
        <v>  </v>
      </c>
      <c r="G78" s="177" t="str">
        <f t="shared" si="12"/>
        <v>  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3"/>
        <v>0</v>
      </c>
      <c r="S78" s="137">
        <f t="shared" si="14"/>
        <v>0</v>
      </c>
      <c r="T78" s="138"/>
      <c r="U78" s="138"/>
      <c r="V78" s="138"/>
      <c r="W78" s="132"/>
      <c r="X78" s="170">
        <v>1.0</v>
      </c>
      <c r="Y78" s="138"/>
      <c r="Z78" s="151">
        <v>1.0</v>
      </c>
      <c r="AA78" s="138"/>
      <c r="AB78" s="209"/>
      <c r="AC78" s="150">
        <v>1.0</v>
      </c>
      <c r="AD78" s="140"/>
      <c r="AE78" s="141"/>
      <c r="AF78" s="210"/>
      <c r="AG78" s="210"/>
      <c r="AH78" s="210"/>
      <c r="AI78" s="210"/>
      <c r="AJ78" s="212"/>
      <c r="AK78" s="212"/>
      <c r="AL78" s="135">
        <f t="shared" si="15"/>
        <v>3</v>
      </c>
      <c r="AM78" s="183">
        <f t="shared" si="16"/>
        <v>100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5">
        <f t="shared" si="17"/>
        <v>0</v>
      </c>
      <c r="BJ78" s="186" t="str">
        <f t="shared" si="18"/>
        <v>#DIV/0!</v>
      </c>
      <c r="BK78" s="138"/>
      <c r="BL78" s="132"/>
      <c r="BM78" s="138"/>
      <c r="BN78" s="138"/>
      <c r="BO78" s="138"/>
      <c r="BP78" s="138"/>
      <c r="BQ78" s="138"/>
      <c r="BR78" s="140"/>
      <c r="BS78" s="152"/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0</v>
      </c>
      <c r="CG78" s="190" t="str">
        <f t="shared" si="20"/>
        <v>#DIV/0!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60</v>
      </c>
      <c r="CW78" s="169">
        <f t="shared" si="8"/>
        <v>3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3</v>
      </c>
      <c r="E79" s="127">
        <f t="shared" si="10"/>
        <v>60</v>
      </c>
      <c r="F79" s="200" t="str">
        <f t="shared" si="11"/>
        <v>  </v>
      </c>
      <c r="G79" s="177" t="str">
        <f t="shared" si="12"/>
        <v>  </v>
      </c>
      <c r="H79" s="273"/>
      <c r="I79" s="273"/>
      <c r="J79" s="274"/>
      <c r="K79" s="274"/>
      <c r="L79" s="274"/>
      <c r="M79" s="302">
        <v>1.0</v>
      </c>
      <c r="N79" s="274"/>
      <c r="O79" s="274"/>
      <c r="P79" s="274"/>
      <c r="Q79" s="274"/>
      <c r="R79" s="135">
        <f t="shared" si="13"/>
        <v>1</v>
      </c>
      <c r="S79" s="137">
        <f t="shared" si="14"/>
        <v>50</v>
      </c>
      <c r="T79" s="138"/>
      <c r="U79" s="138"/>
      <c r="V79" s="138"/>
      <c r="W79" s="132"/>
      <c r="X79" s="170">
        <v>1.0</v>
      </c>
      <c r="Y79" s="138"/>
      <c r="Z79" s="151">
        <v>1.0</v>
      </c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2</v>
      </c>
      <c r="AM79" s="183">
        <f t="shared" si="16"/>
        <v>66.66666667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5">
        <f t="shared" si="17"/>
        <v>0</v>
      </c>
      <c r="BJ79" s="186" t="str">
        <f t="shared" si="18"/>
        <v>#DIV/0!</v>
      </c>
      <c r="BK79" s="138"/>
      <c r="BL79" s="132"/>
      <c r="BM79" s="138"/>
      <c r="BN79" s="138"/>
      <c r="BO79" s="138"/>
      <c r="BP79" s="138"/>
      <c r="BQ79" s="138"/>
      <c r="BR79" s="140"/>
      <c r="BS79" s="152"/>
      <c r="BT79" s="152"/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0</v>
      </c>
      <c r="CG79" s="190" t="str">
        <f t="shared" si="20"/>
        <v>#DIV/0!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60</v>
      </c>
      <c r="CW79" s="169">
        <f t="shared" si="8"/>
        <v>3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2</v>
      </c>
      <c r="E80" s="127">
        <f t="shared" si="10"/>
        <v>40</v>
      </c>
      <c r="F80" s="200">
        <f t="shared" si="11"/>
        <v>40</v>
      </c>
      <c r="G80" s="177" t="str">
        <f t="shared" si="12"/>
        <v>  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>
        <f t="shared" si="14"/>
        <v>0</v>
      </c>
      <c r="T80" s="138"/>
      <c r="U80" s="138"/>
      <c r="V80" s="138"/>
      <c r="W80" s="132"/>
      <c r="X80" s="170">
        <v>1.0</v>
      </c>
      <c r="Y80" s="138"/>
      <c r="Z80" s="138"/>
      <c r="AA80" s="138"/>
      <c r="AB80" s="209"/>
      <c r="AC80" s="150">
        <v>1.0</v>
      </c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2</v>
      </c>
      <c r="AM80" s="183">
        <f t="shared" si="16"/>
        <v>66.66666667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 t="str">
        <f t="shared" si="18"/>
        <v>#DIV/0!</v>
      </c>
      <c r="BK80" s="138"/>
      <c r="BL80" s="132"/>
      <c r="BM80" s="138"/>
      <c r="BN80" s="138"/>
      <c r="BO80" s="138"/>
      <c r="BP80" s="138"/>
      <c r="BQ80" s="138"/>
      <c r="BR80" s="140"/>
      <c r="BS80" s="152"/>
      <c r="BT80" s="152"/>
      <c r="BU80" s="152"/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0</v>
      </c>
      <c r="CG80" s="190" t="str">
        <f t="shared" si="20"/>
        <v>#DIV/0!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40</v>
      </c>
      <c r="CW80" s="169">
        <f t="shared" si="8"/>
        <v>2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1</v>
      </c>
      <c r="E81" s="127">
        <f t="shared" si="10"/>
        <v>20</v>
      </c>
      <c r="F81" s="200">
        <f t="shared" si="11"/>
        <v>20</v>
      </c>
      <c r="G81" s="207">
        <f t="shared" si="12"/>
        <v>20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>
        <f t="shared" si="14"/>
        <v>0</v>
      </c>
      <c r="T81" s="138"/>
      <c r="U81" s="138"/>
      <c r="V81" s="138"/>
      <c r="W81" s="132"/>
      <c r="X81" s="132"/>
      <c r="Y81" s="138"/>
      <c r="Z81" s="151">
        <v>1.0</v>
      </c>
      <c r="AA81" s="138"/>
      <c r="AB81" s="209"/>
      <c r="AC81" s="140"/>
      <c r="AD81" s="140"/>
      <c r="AE81" s="141"/>
      <c r="AF81" s="210"/>
      <c r="AG81" s="210"/>
      <c r="AH81" s="210"/>
      <c r="AI81" s="210"/>
      <c r="AJ81" s="212"/>
      <c r="AK81" s="212"/>
      <c r="AL81" s="135">
        <f t="shared" si="15"/>
        <v>1</v>
      </c>
      <c r="AM81" s="183">
        <f t="shared" si="16"/>
        <v>33.33333333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 t="str">
        <f t="shared" si="18"/>
        <v>#DIV/0!</v>
      </c>
      <c r="BK81" s="138"/>
      <c r="BL81" s="132"/>
      <c r="BM81" s="138"/>
      <c r="BN81" s="138"/>
      <c r="BO81" s="138"/>
      <c r="BP81" s="138"/>
      <c r="BQ81" s="138"/>
      <c r="BR81" s="140"/>
      <c r="BS81" s="152"/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0</v>
      </c>
      <c r="CG81" s="190" t="str">
        <f t="shared" si="20"/>
        <v>#DIV/0!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20</v>
      </c>
      <c r="CW81" s="169">
        <f t="shared" si="8"/>
        <v>1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3</v>
      </c>
      <c r="E82" s="127">
        <f t="shared" si="10"/>
        <v>60</v>
      </c>
      <c r="F82" s="175" t="str">
        <f t="shared" si="11"/>
        <v>  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>
        <f t="shared" si="14"/>
        <v>0</v>
      </c>
      <c r="T82" s="138"/>
      <c r="U82" s="138"/>
      <c r="V82" s="138"/>
      <c r="W82" s="132"/>
      <c r="X82" s="170">
        <v>1.0</v>
      </c>
      <c r="Y82" s="138"/>
      <c r="Z82" s="151">
        <v>1.0</v>
      </c>
      <c r="AA82" s="138"/>
      <c r="AB82" s="209"/>
      <c r="AC82" s="150">
        <v>1.0</v>
      </c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3</v>
      </c>
      <c r="AM82" s="183">
        <f t="shared" si="16"/>
        <v>100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5">
        <f t="shared" si="17"/>
        <v>0</v>
      </c>
      <c r="BJ82" s="186" t="str">
        <f t="shared" si="18"/>
        <v>#DIV/0!</v>
      </c>
      <c r="BK82" s="138"/>
      <c r="BL82" s="132"/>
      <c r="BM82" s="138"/>
      <c r="BN82" s="138"/>
      <c r="BO82" s="138"/>
      <c r="BP82" s="138"/>
      <c r="BQ82" s="138"/>
      <c r="BR82" s="140"/>
      <c r="BS82" s="152"/>
      <c r="BT82" s="152"/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0</v>
      </c>
      <c r="CG82" s="190" t="str">
        <f t="shared" si="20"/>
        <v>#DIV/0!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60</v>
      </c>
      <c r="CW82" s="169">
        <f t="shared" si="8"/>
        <v>3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>
        <f t="shared" si="14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 t="str">
        <f t="shared" si="18"/>
        <v>#DIV/0!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 t="str">
        <f t="shared" si="20"/>
        <v>#DIV/0!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2</v>
      </c>
      <c r="E84" s="127">
        <f t="shared" si="10"/>
        <v>40</v>
      </c>
      <c r="F84" s="200">
        <f t="shared" si="11"/>
        <v>40</v>
      </c>
      <c r="G84" s="177" t="str">
        <f t="shared" si="12"/>
        <v>  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>
        <f t="shared" si="14"/>
        <v>0</v>
      </c>
      <c r="T84" s="138"/>
      <c r="U84" s="138"/>
      <c r="V84" s="138"/>
      <c r="W84" s="132"/>
      <c r="X84" s="132"/>
      <c r="Y84" s="138"/>
      <c r="Z84" s="151">
        <v>1.0</v>
      </c>
      <c r="AA84" s="138"/>
      <c r="AB84" s="32"/>
      <c r="AC84" s="150">
        <v>1.0</v>
      </c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2</v>
      </c>
      <c r="AM84" s="280">
        <f t="shared" si="16"/>
        <v>66.66666667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5">
        <f t="shared" si="17"/>
        <v>0</v>
      </c>
      <c r="BJ84" s="281" t="str">
        <f t="shared" si="18"/>
        <v>#DIV/0!</v>
      </c>
      <c r="BK84" s="138"/>
      <c r="BL84" s="132"/>
      <c r="BM84" s="138"/>
      <c r="BN84" s="138"/>
      <c r="BO84" s="138"/>
      <c r="BP84" s="138"/>
      <c r="BQ84" s="138"/>
      <c r="BR84" s="140"/>
      <c r="BS84" s="152"/>
      <c r="BT84" s="152"/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0</v>
      </c>
      <c r="CG84" s="282" t="str">
        <f t="shared" si="20"/>
        <v>#DIV/0!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40</v>
      </c>
      <c r="CW84" s="169">
        <f t="shared" si="8"/>
        <v>2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2</v>
      </c>
      <c r="E85" s="127">
        <f t="shared" si="10"/>
        <v>40</v>
      </c>
      <c r="F85" s="200">
        <f t="shared" si="11"/>
        <v>40</v>
      </c>
      <c r="G85" s="177" t="str">
        <f t="shared" si="12"/>
        <v>  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>
        <f t="shared" si="14"/>
        <v>0</v>
      </c>
      <c r="T85" s="138"/>
      <c r="U85" s="138"/>
      <c r="V85" s="138"/>
      <c r="W85" s="132"/>
      <c r="X85" s="170">
        <v>1.0</v>
      </c>
      <c r="Y85" s="138"/>
      <c r="Z85" s="151">
        <v>1.0</v>
      </c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2</v>
      </c>
      <c r="AM85" s="280">
        <f t="shared" si="16"/>
        <v>66.66666667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7"/>
        <v>0</v>
      </c>
      <c r="BJ85" s="281" t="str">
        <f t="shared" si="18"/>
        <v>#DIV/0!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 t="str">
        <f t="shared" si="20"/>
        <v>#DIV/0!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40</v>
      </c>
      <c r="CW85" s="169">
        <f t="shared" si="8"/>
        <v>2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3</v>
      </c>
      <c r="E86" s="127">
        <f t="shared" si="10"/>
        <v>60</v>
      </c>
      <c r="F86" s="200" t="str">
        <f t="shared" si="11"/>
        <v>  </v>
      </c>
      <c r="G86" s="175" t="str">
        <f t="shared" si="12"/>
        <v>  </v>
      </c>
      <c r="H86" s="273"/>
      <c r="I86" s="273"/>
      <c r="J86" s="274"/>
      <c r="K86" s="274"/>
      <c r="L86" s="274"/>
      <c r="M86" s="302">
        <v>1.0</v>
      </c>
      <c r="N86" s="274"/>
      <c r="O86" s="274"/>
      <c r="P86" s="274"/>
      <c r="Q86" s="274"/>
      <c r="R86" s="135">
        <f t="shared" si="13"/>
        <v>1</v>
      </c>
      <c r="S86" s="137">
        <f t="shared" si="14"/>
        <v>50</v>
      </c>
      <c r="T86" s="138"/>
      <c r="U86" s="138"/>
      <c r="V86" s="138"/>
      <c r="W86" s="132"/>
      <c r="X86" s="170">
        <v>1.0</v>
      </c>
      <c r="Y86" s="138"/>
      <c r="Z86" s="151">
        <v>1.0</v>
      </c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2</v>
      </c>
      <c r="AM86" s="280">
        <f t="shared" si="16"/>
        <v>66.66666667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5">
        <f t="shared" si="17"/>
        <v>0</v>
      </c>
      <c r="BJ86" s="281" t="str">
        <f t="shared" si="18"/>
        <v>#DIV/0!</v>
      </c>
      <c r="BK86" s="138"/>
      <c r="BL86" s="132"/>
      <c r="BM86" s="138"/>
      <c r="BN86" s="138"/>
      <c r="BO86" s="138"/>
      <c r="BP86" s="138"/>
      <c r="BQ86" s="138"/>
      <c r="BR86" s="140"/>
      <c r="BS86" s="152"/>
      <c r="BT86" s="152"/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0</v>
      </c>
      <c r="CG86" s="282" t="str">
        <f t="shared" si="20"/>
        <v>#DIV/0!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60</v>
      </c>
      <c r="CW86" s="169">
        <f t="shared" si="8"/>
        <v>3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1</v>
      </c>
      <c r="E87" s="127">
        <f t="shared" si="10"/>
        <v>20</v>
      </c>
      <c r="F87" s="200">
        <f t="shared" si="11"/>
        <v>20</v>
      </c>
      <c r="G87" s="200">
        <f t="shared" si="12"/>
        <v>20</v>
      </c>
      <c r="H87" s="273"/>
      <c r="I87" s="273"/>
      <c r="J87" s="274"/>
      <c r="K87" s="274"/>
      <c r="L87" s="274"/>
      <c r="M87" s="274"/>
      <c r="N87" s="302">
        <v>1.0</v>
      </c>
      <c r="O87" s="274"/>
      <c r="P87" s="274"/>
      <c r="Q87" s="274"/>
      <c r="R87" s="135">
        <f t="shared" si="13"/>
        <v>1</v>
      </c>
      <c r="S87" s="137">
        <f t="shared" si="14"/>
        <v>50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>
        <f t="shared" si="16"/>
        <v>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 t="str">
        <f t="shared" si="18"/>
        <v>#DIV/0!</v>
      </c>
      <c r="BK87" s="138"/>
      <c r="BL87" s="132"/>
      <c r="BM87" s="138"/>
      <c r="BN87" s="138"/>
      <c r="BO87" s="138"/>
      <c r="BP87" s="138"/>
      <c r="BQ87" s="138"/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0</v>
      </c>
      <c r="CG87" s="282" t="str">
        <f t="shared" si="20"/>
        <v>#DIV/0!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20</v>
      </c>
      <c r="CW87" s="169">
        <f t="shared" si="8"/>
        <v>1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1</v>
      </c>
      <c r="E88" s="127">
        <f t="shared" si="10"/>
        <v>20</v>
      </c>
      <c r="F88" s="200">
        <f t="shared" si="11"/>
        <v>20</v>
      </c>
      <c r="G88" s="200">
        <f t="shared" si="12"/>
        <v>20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>
        <f t="shared" si="14"/>
        <v>0</v>
      </c>
      <c r="T88" s="32"/>
      <c r="U88" s="32"/>
      <c r="V88" s="32"/>
      <c r="W88" s="132"/>
      <c r="X88" s="132"/>
      <c r="Y88" s="138"/>
      <c r="Z88" s="138"/>
      <c r="AA88" s="138"/>
      <c r="AB88" s="32"/>
      <c r="AC88" s="303">
        <v>1.0</v>
      </c>
      <c r="AD88" s="289"/>
      <c r="AE88" s="141"/>
      <c r="AF88" s="32"/>
      <c r="AG88" s="32"/>
      <c r="AH88" s="32"/>
      <c r="AI88" s="32"/>
      <c r="AJ88" s="279"/>
      <c r="AK88" s="279"/>
      <c r="AL88" s="135">
        <f t="shared" si="15"/>
        <v>1</v>
      </c>
      <c r="AM88" s="280">
        <f t="shared" si="16"/>
        <v>33.33333333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5">
        <f t="shared" si="17"/>
        <v>0</v>
      </c>
      <c r="BJ88" s="281" t="str">
        <f t="shared" si="18"/>
        <v>#DIV/0!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 t="str">
        <f t="shared" si="20"/>
        <v>#DIV/0!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20</v>
      </c>
      <c r="CW88" s="169">
        <f t="shared" si="8"/>
        <v>1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>
        <f t="shared" si="14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 t="str">
        <f t="shared" si="18"/>
        <v>#DIV/0!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 t="str">
        <f t="shared" si="20"/>
        <v>#DIV/0!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0</v>
      </c>
      <c r="E90" s="127">
        <f t="shared" si="10"/>
        <v>0</v>
      </c>
      <c r="F90" s="200">
        <f t="shared" si="11"/>
        <v>0</v>
      </c>
      <c r="G90" s="200">
        <f t="shared" si="12"/>
        <v>0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3"/>
        <v>0</v>
      </c>
      <c r="S90" s="137">
        <f t="shared" si="14"/>
        <v>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32"/>
      <c r="AH90" s="32"/>
      <c r="AI90" s="32"/>
      <c r="AJ90" s="279"/>
      <c r="AK90" s="279"/>
      <c r="AL90" s="135">
        <f t="shared" si="15"/>
        <v>0</v>
      </c>
      <c r="AM90" s="280">
        <f t="shared" si="16"/>
        <v>0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5">
        <f t="shared" si="17"/>
        <v>0</v>
      </c>
      <c r="BJ90" s="281" t="str">
        <f t="shared" si="18"/>
        <v>#DIV/0!</v>
      </c>
      <c r="BK90" s="138"/>
      <c r="BL90" s="132"/>
      <c r="BM90" s="138"/>
      <c r="BN90" s="138"/>
      <c r="BO90" s="138"/>
      <c r="BP90" s="138"/>
      <c r="BQ90" s="138"/>
      <c r="BR90" s="140"/>
      <c r="BS90" s="152"/>
      <c r="BT90" s="152"/>
      <c r="BU90" s="152"/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0</v>
      </c>
      <c r="CG90" s="282" t="str">
        <f t="shared" si="20"/>
        <v>#DIV/0!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0</v>
      </c>
      <c r="CW90" s="169">
        <f t="shared" si="8"/>
        <v>0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3</v>
      </c>
      <c r="E91" s="127">
        <f t="shared" si="10"/>
        <v>60</v>
      </c>
      <c r="F91" s="200" t="str">
        <f t="shared" si="11"/>
        <v>  </v>
      </c>
      <c r="G91" s="200" t="str">
        <f t="shared" si="12"/>
        <v>  </v>
      </c>
      <c r="H91" s="287"/>
      <c r="I91" s="287"/>
      <c r="J91" s="288"/>
      <c r="K91" s="288"/>
      <c r="L91" s="288"/>
      <c r="M91" s="288"/>
      <c r="N91" s="304">
        <v>1.0</v>
      </c>
      <c r="O91" s="288"/>
      <c r="P91" s="288"/>
      <c r="Q91" s="288"/>
      <c r="R91" s="135">
        <f t="shared" si="13"/>
        <v>1</v>
      </c>
      <c r="S91" s="137">
        <f t="shared" si="14"/>
        <v>50</v>
      </c>
      <c r="T91" s="32"/>
      <c r="U91" s="32"/>
      <c r="V91" s="32"/>
      <c r="W91" s="132"/>
      <c r="X91" s="132"/>
      <c r="Y91" s="138"/>
      <c r="Z91" s="151">
        <v>1.0</v>
      </c>
      <c r="AA91" s="138"/>
      <c r="AB91" s="32"/>
      <c r="AC91" s="303">
        <v>1.0</v>
      </c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2</v>
      </c>
      <c r="AM91" s="280">
        <f t="shared" si="16"/>
        <v>66.66666667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 t="str">
        <f t="shared" si="18"/>
        <v>#DIV/0!</v>
      </c>
      <c r="BK91" s="138"/>
      <c r="BL91" s="132"/>
      <c r="BM91" s="138"/>
      <c r="BN91" s="138"/>
      <c r="BO91" s="138"/>
      <c r="BP91" s="138"/>
      <c r="BQ91" s="138"/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0</v>
      </c>
      <c r="CG91" s="282" t="str">
        <f t="shared" si="20"/>
        <v>#DIV/0!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60</v>
      </c>
      <c r="CW91" s="169">
        <f t="shared" si="8"/>
        <v>3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0</v>
      </c>
      <c r="E92" s="127">
        <f t="shared" si="10"/>
        <v>0</v>
      </c>
      <c r="F92" s="200">
        <f t="shared" si="11"/>
        <v>0</v>
      </c>
      <c r="G92" s="200">
        <f t="shared" si="12"/>
        <v>0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3"/>
        <v>0</v>
      </c>
      <c r="S92" s="137">
        <f t="shared" si="14"/>
        <v>0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0</v>
      </c>
      <c r="AM92" s="280">
        <f t="shared" si="16"/>
        <v>0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5">
        <f t="shared" si="17"/>
        <v>0</v>
      </c>
      <c r="BJ92" s="281" t="str">
        <f t="shared" si="18"/>
        <v>#DIV/0!</v>
      </c>
      <c r="BK92" s="138"/>
      <c r="BL92" s="132"/>
      <c r="BM92" s="138"/>
      <c r="BN92" s="138"/>
      <c r="BO92" s="138"/>
      <c r="BP92" s="138"/>
      <c r="BQ92" s="138"/>
      <c r="BR92" s="140"/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0</v>
      </c>
      <c r="CG92" s="282" t="str">
        <f t="shared" si="20"/>
        <v>#DIV/0!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0</v>
      </c>
      <c r="CW92" s="169">
        <f t="shared" si="8"/>
        <v>0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>
        <f t="shared" si="1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 t="str">
        <f t="shared" si="18"/>
        <v>#DIV/0!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 t="str">
        <f t="shared" si="20"/>
        <v>#DIV/0!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224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18" t="s">
        <v>225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227</v>
      </c>
      <c r="B9" s="90" t="s">
        <v>43</v>
      </c>
      <c r="C9" s="91" t="s">
        <v>44</v>
      </c>
      <c r="D9" s="94">
        <f>SUM(R9+AL9+BI9+CF9+CS9)</f>
        <v>17</v>
      </c>
      <c r="E9" s="95"/>
      <c r="F9" s="97"/>
      <c r="G9" s="97"/>
      <c r="H9" s="99">
        <f t="shared" ref="H9:Q9" si="1">SUM(H10:H92)</f>
        <v>4</v>
      </c>
      <c r="I9" s="99">
        <f t="shared" si="1"/>
        <v>4</v>
      </c>
      <c r="J9" s="99">
        <f t="shared" si="1"/>
        <v>6</v>
      </c>
      <c r="K9" s="99">
        <f t="shared" si="1"/>
        <v>0</v>
      </c>
      <c r="L9" s="99">
        <f t="shared" si="1"/>
        <v>16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4</v>
      </c>
      <c r="S9" s="103">
        <f>COUNTIF(H9:I9,"&gt;0")</f>
        <v>2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23</v>
      </c>
      <c r="Y9" s="104">
        <f t="shared" si="2"/>
        <v>0</v>
      </c>
      <c r="Z9" s="104">
        <f t="shared" si="2"/>
        <v>0</v>
      </c>
      <c r="AA9" s="104">
        <f t="shared" si="2"/>
        <v>23</v>
      </c>
      <c r="AB9" s="104">
        <f t="shared" si="2"/>
        <v>0</v>
      </c>
      <c r="AC9" s="104">
        <f t="shared" si="2"/>
        <v>0</v>
      </c>
      <c r="AD9" s="104">
        <f t="shared" si="2"/>
        <v>0</v>
      </c>
      <c r="AE9" s="104">
        <f t="shared" si="2"/>
        <v>0</v>
      </c>
      <c r="AF9" s="104">
        <f t="shared" si="2"/>
        <v>8</v>
      </c>
      <c r="AG9" s="104">
        <f t="shared" si="2"/>
        <v>0</v>
      </c>
      <c r="AH9" s="104">
        <f t="shared" si="2"/>
        <v>20</v>
      </c>
      <c r="AI9" s="104">
        <f t="shared" si="2"/>
        <v>0</v>
      </c>
      <c r="AJ9" s="104">
        <f t="shared" si="2"/>
        <v>0</v>
      </c>
      <c r="AK9" s="104">
        <f t="shared" si="2"/>
        <v>0</v>
      </c>
      <c r="AL9" s="103">
        <f>COUNTIF(T9:AK9,"&gt;0")</f>
        <v>4</v>
      </c>
      <c r="AM9" s="107">
        <f>SUM(R9+AL9)</f>
        <v>8</v>
      </c>
      <c r="AN9" s="104">
        <f t="shared" ref="AN9:BH9" si="3">SUM(AN10:AN91)</f>
        <v>4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0</v>
      </c>
      <c r="AY9" s="104">
        <f t="shared" si="3"/>
        <v>0</v>
      </c>
      <c r="AZ9" s="104">
        <f t="shared" si="3"/>
        <v>0</v>
      </c>
      <c r="BA9" s="104">
        <f t="shared" si="3"/>
        <v>4</v>
      </c>
      <c r="BB9" s="104">
        <f t="shared" si="3"/>
        <v>0</v>
      </c>
      <c r="BC9" s="104">
        <f t="shared" si="3"/>
        <v>0</v>
      </c>
      <c r="BD9" s="104">
        <f t="shared" si="3"/>
        <v>0</v>
      </c>
      <c r="BE9" s="104">
        <f t="shared" si="3"/>
        <v>0</v>
      </c>
      <c r="BF9" s="104">
        <f t="shared" si="3"/>
        <v>32</v>
      </c>
      <c r="BG9" s="104">
        <f t="shared" si="3"/>
        <v>0</v>
      </c>
      <c r="BH9" s="104">
        <f t="shared" si="3"/>
        <v>29</v>
      </c>
      <c r="BI9" s="48">
        <f>COUNTIF(AN9:BH9,"&gt;0")</f>
        <v>4</v>
      </c>
      <c r="BJ9" s="55">
        <f>SUM(AM9+BI9)</f>
        <v>12</v>
      </c>
      <c r="BK9" s="109">
        <f t="shared" ref="BK9:BW9" si="4">SUM(BK10:BK91)</f>
        <v>8</v>
      </c>
      <c r="BL9" s="109">
        <f t="shared" si="4"/>
        <v>0</v>
      </c>
      <c r="BM9" s="109">
        <f t="shared" si="4"/>
        <v>33</v>
      </c>
      <c r="BN9" s="109">
        <f t="shared" si="4"/>
        <v>0</v>
      </c>
      <c r="BO9" s="109">
        <f t="shared" si="4"/>
        <v>0</v>
      </c>
      <c r="BP9" s="109">
        <f t="shared" si="4"/>
        <v>22</v>
      </c>
      <c r="BQ9" s="109">
        <f t="shared" si="4"/>
        <v>0</v>
      </c>
      <c r="BR9" s="109">
        <f t="shared" si="4"/>
        <v>48</v>
      </c>
      <c r="BS9" s="109">
        <f t="shared" si="4"/>
        <v>0</v>
      </c>
      <c r="BT9" s="109">
        <f t="shared" si="4"/>
        <v>0</v>
      </c>
      <c r="BU9" s="109">
        <f t="shared" si="4"/>
        <v>47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5</v>
      </c>
      <c r="CG9" s="113">
        <f>SUM(BJ9+CF9)</f>
        <v>17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17</v>
      </c>
      <c r="CU9" s="118"/>
      <c r="CV9" s="119">
        <f>SUM(R9+AL9+BI9+CF9+CS9+CU9)</f>
        <v>17</v>
      </c>
      <c r="CW9" s="120">
        <f t="shared" ref="CW9:CW93" si="8">SUM(R9+AL9+BI9+CF9+CS9+CU9)</f>
        <v>17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1</v>
      </c>
      <c r="E10" s="127">
        <f t="shared" ref="E10:E93" si="10">(D10)/D$9*100</f>
        <v>5.882352941</v>
      </c>
      <c r="F10" s="128">
        <f t="shared" ref="F10:F93" si="11">IF(E10&lt;50,E10, "  ")</f>
        <v>5.882352941</v>
      </c>
      <c r="G10" s="130">
        <f t="shared" ref="G10:G93" si="12">IF(E10&lt;30,E10, "  ")</f>
        <v>5.882352941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>
        <f t="shared" ref="S10:S93" si="14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2"/>
      <c r="AI10" s="142"/>
      <c r="AJ10" s="142"/>
      <c r="AK10" s="142"/>
      <c r="AL10" s="135">
        <f t="shared" ref="AL10:AL93" si="15">SUM(T10:AK10)</f>
        <v>0</v>
      </c>
      <c r="AM10" s="137">
        <f t="shared" ref="AM10:AM93" si="16">AL10/AL$9*100</f>
        <v>0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32"/>
      <c r="BM10" s="138"/>
      <c r="BN10" s="138"/>
      <c r="BO10" s="138"/>
      <c r="BP10" s="138"/>
      <c r="BQ10" s="138"/>
      <c r="BR10" s="150">
        <v>1.0</v>
      </c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1</v>
      </c>
      <c r="CG10" s="159">
        <f t="shared" ref="CG10:CG93" si="20">CF10/CF$9*100</f>
        <v>20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5.882352941</v>
      </c>
      <c r="CW10" s="169">
        <f t="shared" si="8"/>
        <v>1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10</v>
      </c>
      <c r="E11" s="127">
        <f t="shared" si="10"/>
        <v>58.82352941</v>
      </c>
      <c r="F11" s="175" t="str">
        <f t="shared" si="11"/>
        <v>  </v>
      </c>
      <c r="G11" s="177" t="str">
        <f t="shared" si="12"/>
        <v>  </v>
      </c>
      <c r="H11" s="170">
        <v>1.0</v>
      </c>
      <c r="I11" s="325"/>
      <c r="J11" s="326">
        <v>1.0</v>
      </c>
      <c r="K11" s="325"/>
      <c r="L11" s="191">
        <v>1.0</v>
      </c>
      <c r="M11" s="179"/>
      <c r="N11" s="179"/>
      <c r="O11" s="179"/>
      <c r="P11" s="179"/>
      <c r="Q11" s="179"/>
      <c r="R11" s="135">
        <f t="shared" si="13"/>
        <v>3</v>
      </c>
      <c r="S11" s="137">
        <f t="shared" si="14"/>
        <v>75</v>
      </c>
      <c r="T11" s="138"/>
      <c r="U11" s="138"/>
      <c r="V11" s="138"/>
      <c r="W11" s="132"/>
      <c r="X11" s="170">
        <v>1.0</v>
      </c>
      <c r="Y11" s="138"/>
      <c r="Z11" s="138"/>
      <c r="AA11" s="151">
        <v>1.0</v>
      </c>
      <c r="AB11" s="138"/>
      <c r="AC11" s="140"/>
      <c r="AD11" s="140"/>
      <c r="AE11" s="141"/>
      <c r="AF11" s="180"/>
      <c r="AG11" s="180"/>
      <c r="AH11" s="181">
        <v>1.0</v>
      </c>
      <c r="AI11" s="180"/>
      <c r="AJ11" s="142"/>
      <c r="AK11" s="142"/>
      <c r="AL11" s="135">
        <f t="shared" si="15"/>
        <v>3</v>
      </c>
      <c r="AM11" s="183">
        <f t="shared" si="16"/>
        <v>75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85">
        <v>1.0</v>
      </c>
      <c r="BI11" s="135">
        <f t="shared" si="17"/>
        <v>1</v>
      </c>
      <c r="BJ11" s="186">
        <f t="shared" si="18"/>
        <v>25</v>
      </c>
      <c r="BK11" s="138"/>
      <c r="BL11" s="132"/>
      <c r="BM11" s="151">
        <v>1.0</v>
      </c>
      <c r="BN11" s="138"/>
      <c r="BO11" s="138"/>
      <c r="BP11" s="138"/>
      <c r="BQ11" s="138"/>
      <c r="BR11" s="150">
        <v>1.0</v>
      </c>
      <c r="BS11" s="152"/>
      <c r="BT11" s="152"/>
      <c r="BU11" s="187">
        <v>1.0</v>
      </c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3</v>
      </c>
      <c r="CG11" s="190">
        <f t="shared" si="20"/>
        <v>60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58.82352941</v>
      </c>
      <c r="CW11" s="169">
        <f t="shared" si="8"/>
        <v>10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2</v>
      </c>
      <c r="E12" s="127">
        <f t="shared" si="10"/>
        <v>11.76470588</v>
      </c>
      <c r="F12" s="200">
        <f t="shared" si="11"/>
        <v>11.76470588</v>
      </c>
      <c r="G12" s="207">
        <f t="shared" si="12"/>
        <v>11.76470588</v>
      </c>
      <c r="H12" s="132"/>
      <c r="I12" s="132"/>
      <c r="J12" s="273"/>
      <c r="K12" s="132"/>
      <c r="L12" s="201"/>
      <c r="M12" s="201"/>
      <c r="N12" s="201"/>
      <c r="O12" s="201"/>
      <c r="P12" s="201"/>
      <c r="Q12" s="201"/>
      <c r="R12" s="135">
        <f t="shared" si="13"/>
        <v>0</v>
      </c>
      <c r="S12" s="137">
        <f t="shared" si="14"/>
        <v>0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1">
        <v>1.0</v>
      </c>
      <c r="AG12" s="180"/>
      <c r="AH12" s="180"/>
      <c r="AI12" s="180"/>
      <c r="AJ12" s="142"/>
      <c r="AK12" s="142"/>
      <c r="AL12" s="135">
        <f t="shared" si="15"/>
        <v>1</v>
      </c>
      <c r="AM12" s="183">
        <f t="shared" si="16"/>
        <v>25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7"/>
        <v>0</v>
      </c>
      <c r="BJ12" s="186">
        <f t="shared" si="18"/>
        <v>0</v>
      </c>
      <c r="BK12" s="138"/>
      <c r="BL12" s="132"/>
      <c r="BM12" s="138"/>
      <c r="BN12" s="138"/>
      <c r="BO12" s="138"/>
      <c r="BP12" s="138"/>
      <c r="BQ12" s="138"/>
      <c r="BR12" s="150">
        <v>1.0</v>
      </c>
      <c r="BS12" s="152"/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1</v>
      </c>
      <c r="CG12" s="190">
        <f t="shared" si="20"/>
        <v>20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11.76470588</v>
      </c>
      <c r="CW12" s="169">
        <f t="shared" si="8"/>
        <v>2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8</v>
      </c>
      <c r="E13" s="127">
        <f t="shared" si="10"/>
        <v>47.05882353</v>
      </c>
      <c r="F13" s="200">
        <f t="shared" si="11"/>
        <v>47.05882353</v>
      </c>
      <c r="G13" s="177" t="str">
        <f t="shared" si="12"/>
        <v>  </v>
      </c>
      <c r="H13" s="132"/>
      <c r="I13" s="132"/>
      <c r="J13" s="273"/>
      <c r="K13" s="132"/>
      <c r="L13" s="201"/>
      <c r="M13" s="201"/>
      <c r="N13" s="201"/>
      <c r="O13" s="201"/>
      <c r="P13" s="201"/>
      <c r="Q13" s="201"/>
      <c r="R13" s="135">
        <f t="shared" si="13"/>
        <v>0</v>
      </c>
      <c r="S13" s="137">
        <f t="shared" si="14"/>
        <v>0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1">
        <v>1.0</v>
      </c>
      <c r="AG13" s="210"/>
      <c r="AH13" s="210"/>
      <c r="AI13" s="210"/>
      <c r="AJ13" s="212"/>
      <c r="AK13" s="212"/>
      <c r="AL13" s="135">
        <f t="shared" si="15"/>
        <v>1</v>
      </c>
      <c r="AM13" s="183">
        <f t="shared" si="16"/>
        <v>25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85">
        <v>1.0</v>
      </c>
      <c r="BB13" s="133"/>
      <c r="BC13" s="133"/>
      <c r="BD13" s="133"/>
      <c r="BE13" s="133"/>
      <c r="BF13" s="185">
        <v>1.0</v>
      </c>
      <c r="BG13" s="133"/>
      <c r="BH13" s="185">
        <v>1.0</v>
      </c>
      <c r="BI13" s="135">
        <f t="shared" si="17"/>
        <v>3</v>
      </c>
      <c r="BJ13" s="186">
        <f t="shared" si="18"/>
        <v>75</v>
      </c>
      <c r="BK13" s="138"/>
      <c r="BL13" s="132"/>
      <c r="BM13" s="151">
        <v>1.0</v>
      </c>
      <c r="BN13" s="138"/>
      <c r="BO13" s="138"/>
      <c r="BP13" s="151">
        <v>1.0</v>
      </c>
      <c r="BQ13" s="138"/>
      <c r="BR13" s="150">
        <v>1.0</v>
      </c>
      <c r="BS13" s="152"/>
      <c r="BT13" s="152"/>
      <c r="BU13" s="187">
        <v>1.0</v>
      </c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4</v>
      </c>
      <c r="CG13" s="190">
        <f t="shared" si="20"/>
        <v>80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47.05882353</v>
      </c>
      <c r="CW13" s="169">
        <f t="shared" si="8"/>
        <v>8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6</v>
      </c>
      <c r="E14" s="127">
        <f t="shared" si="10"/>
        <v>35.29411765</v>
      </c>
      <c r="F14" s="200">
        <f t="shared" si="11"/>
        <v>35.29411765</v>
      </c>
      <c r="G14" s="177" t="str">
        <f t="shared" si="12"/>
        <v>  </v>
      </c>
      <c r="H14" s="178"/>
      <c r="I14" s="223"/>
      <c r="J14" s="273"/>
      <c r="K14" s="223"/>
      <c r="L14" s="224"/>
      <c r="M14" s="224"/>
      <c r="N14" s="224"/>
      <c r="O14" s="224"/>
      <c r="P14" s="224"/>
      <c r="Q14" s="224"/>
      <c r="R14" s="135">
        <f t="shared" si="13"/>
        <v>0</v>
      </c>
      <c r="S14" s="137">
        <f t="shared" si="14"/>
        <v>0</v>
      </c>
      <c r="T14" s="138"/>
      <c r="U14" s="138"/>
      <c r="V14" s="138"/>
      <c r="W14" s="132"/>
      <c r="X14" s="132"/>
      <c r="Y14" s="138"/>
      <c r="Z14" s="138"/>
      <c r="AA14" s="138"/>
      <c r="AB14" s="217"/>
      <c r="AC14" s="140"/>
      <c r="AD14" s="140"/>
      <c r="AE14" s="141"/>
      <c r="AF14" s="238">
        <v>1.0</v>
      </c>
      <c r="AG14" s="226"/>
      <c r="AH14" s="226"/>
      <c r="AI14" s="226"/>
      <c r="AJ14" s="218"/>
      <c r="AK14" s="218"/>
      <c r="AL14" s="135">
        <f t="shared" si="15"/>
        <v>1</v>
      </c>
      <c r="AM14" s="183">
        <f t="shared" si="16"/>
        <v>25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85">
        <v>1.0</v>
      </c>
      <c r="BG14" s="133"/>
      <c r="BH14" s="133"/>
      <c r="BI14" s="135">
        <f t="shared" si="17"/>
        <v>1</v>
      </c>
      <c r="BJ14" s="186">
        <f t="shared" si="18"/>
        <v>25</v>
      </c>
      <c r="BK14" s="151">
        <v>1.0</v>
      </c>
      <c r="BL14" s="132"/>
      <c r="BM14" s="151">
        <v>1.0</v>
      </c>
      <c r="BN14" s="138"/>
      <c r="BO14" s="138"/>
      <c r="BP14" s="138"/>
      <c r="BQ14" s="138"/>
      <c r="BR14" s="150">
        <v>1.0</v>
      </c>
      <c r="BS14" s="152"/>
      <c r="BT14" s="152"/>
      <c r="BU14" s="187">
        <v>1.0</v>
      </c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4</v>
      </c>
      <c r="CG14" s="190">
        <f t="shared" si="20"/>
        <v>80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35.29411765</v>
      </c>
      <c r="CW14" s="169">
        <f t="shared" si="8"/>
        <v>6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73"/>
      <c r="K15" s="229"/>
      <c r="L15" s="231"/>
      <c r="M15" s="231"/>
      <c r="N15" s="231"/>
      <c r="O15" s="231"/>
      <c r="P15" s="231"/>
      <c r="Q15" s="231"/>
      <c r="R15" s="135">
        <f t="shared" si="13"/>
        <v>0</v>
      </c>
      <c r="S15" s="137">
        <f t="shared" si="14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8"/>
      <c r="BN15" s="138"/>
      <c r="BO15" s="138"/>
      <c r="BP15" s="138"/>
      <c r="BQ15" s="138"/>
      <c r="BR15" s="15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>
        <f t="shared" si="20"/>
        <v>0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6</v>
      </c>
      <c r="E16" s="127">
        <f t="shared" si="10"/>
        <v>35.29411765</v>
      </c>
      <c r="F16" s="200">
        <f t="shared" si="11"/>
        <v>35.29411765</v>
      </c>
      <c r="G16" s="177" t="str">
        <f t="shared" si="12"/>
        <v>  </v>
      </c>
      <c r="H16" s="132"/>
      <c r="I16" s="178"/>
      <c r="J16" s="273"/>
      <c r="K16" s="178"/>
      <c r="L16" s="179"/>
      <c r="M16" s="179"/>
      <c r="N16" s="179"/>
      <c r="O16" s="179"/>
      <c r="P16" s="179"/>
      <c r="Q16" s="179"/>
      <c r="R16" s="135">
        <f t="shared" si="13"/>
        <v>0</v>
      </c>
      <c r="S16" s="137">
        <f t="shared" si="14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4"/>
      <c r="AI16" s="234"/>
      <c r="AJ16" s="239"/>
      <c r="AK16" s="239"/>
      <c r="AL16" s="135">
        <f t="shared" si="15"/>
        <v>0</v>
      </c>
      <c r="AM16" s="183">
        <f t="shared" si="16"/>
        <v>0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85">
        <v>1.0</v>
      </c>
      <c r="BG16" s="133"/>
      <c r="BH16" s="185">
        <v>1.0</v>
      </c>
      <c r="BI16" s="135">
        <f t="shared" si="17"/>
        <v>2</v>
      </c>
      <c r="BJ16" s="186">
        <f t="shared" si="18"/>
        <v>50</v>
      </c>
      <c r="BK16" s="138"/>
      <c r="BL16" s="132"/>
      <c r="BM16" s="151">
        <v>1.0</v>
      </c>
      <c r="BN16" s="138"/>
      <c r="BO16" s="138"/>
      <c r="BP16" s="151">
        <v>1.0</v>
      </c>
      <c r="BQ16" s="138"/>
      <c r="BR16" s="150">
        <v>1.0</v>
      </c>
      <c r="BS16" s="152"/>
      <c r="BT16" s="152"/>
      <c r="BU16" s="187">
        <v>1.0</v>
      </c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4</v>
      </c>
      <c r="CG16" s="190">
        <f t="shared" si="20"/>
        <v>80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35.29411765</v>
      </c>
      <c r="CW16" s="169">
        <f t="shared" si="8"/>
        <v>6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5</v>
      </c>
      <c r="E17" s="127">
        <f t="shared" si="10"/>
        <v>29.41176471</v>
      </c>
      <c r="F17" s="200">
        <f t="shared" si="11"/>
        <v>29.41176471</v>
      </c>
      <c r="G17" s="207">
        <f t="shared" si="12"/>
        <v>29.41176471</v>
      </c>
      <c r="H17" s="132"/>
      <c r="I17" s="178"/>
      <c r="J17" s="273"/>
      <c r="K17" s="178"/>
      <c r="L17" s="179"/>
      <c r="M17" s="179"/>
      <c r="N17" s="179"/>
      <c r="O17" s="179"/>
      <c r="P17" s="179"/>
      <c r="Q17" s="179"/>
      <c r="R17" s="135">
        <f t="shared" si="13"/>
        <v>0</v>
      </c>
      <c r="S17" s="137">
        <f t="shared" si="14"/>
        <v>0</v>
      </c>
      <c r="T17" s="138"/>
      <c r="U17" s="138"/>
      <c r="V17" s="138"/>
      <c r="W17" s="132"/>
      <c r="X17" s="132"/>
      <c r="Y17" s="138"/>
      <c r="Z17" s="138"/>
      <c r="AA17" s="138"/>
      <c r="AB17" s="217"/>
      <c r="AC17" s="140"/>
      <c r="AD17" s="140"/>
      <c r="AE17" s="141"/>
      <c r="AF17" s="238">
        <v>1.0</v>
      </c>
      <c r="AG17" s="226"/>
      <c r="AH17" s="226"/>
      <c r="AI17" s="226"/>
      <c r="AJ17" s="218"/>
      <c r="AK17" s="218"/>
      <c r="AL17" s="135">
        <f t="shared" si="15"/>
        <v>1</v>
      </c>
      <c r="AM17" s="183">
        <f t="shared" si="16"/>
        <v>25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85">
        <v>1.0</v>
      </c>
      <c r="BG17" s="133"/>
      <c r="BH17" s="133"/>
      <c r="BI17" s="135">
        <f t="shared" si="17"/>
        <v>1</v>
      </c>
      <c r="BJ17" s="186">
        <f t="shared" si="18"/>
        <v>25</v>
      </c>
      <c r="BK17" s="151">
        <v>1.0</v>
      </c>
      <c r="BL17" s="132"/>
      <c r="BM17" s="138"/>
      <c r="BN17" s="138"/>
      <c r="BO17" s="138"/>
      <c r="BP17" s="138"/>
      <c r="BQ17" s="138"/>
      <c r="BR17" s="150">
        <v>1.0</v>
      </c>
      <c r="BS17" s="152"/>
      <c r="BT17" s="152"/>
      <c r="BU17" s="187">
        <v>1.0</v>
      </c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3</v>
      </c>
      <c r="CG17" s="190">
        <f t="shared" si="20"/>
        <v>60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29.41176471</v>
      </c>
      <c r="CW17" s="169">
        <f t="shared" si="8"/>
        <v>5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5</v>
      </c>
      <c r="E18" s="127">
        <f t="shared" si="10"/>
        <v>29.41176471</v>
      </c>
      <c r="F18" s="200">
        <f t="shared" si="11"/>
        <v>29.41176471</v>
      </c>
      <c r="G18" s="207">
        <f t="shared" si="12"/>
        <v>29.41176471</v>
      </c>
      <c r="H18" s="132"/>
      <c r="I18" s="132"/>
      <c r="J18" s="273"/>
      <c r="K18" s="132"/>
      <c r="L18" s="201"/>
      <c r="M18" s="201"/>
      <c r="N18" s="201"/>
      <c r="O18" s="201"/>
      <c r="P18" s="201"/>
      <c r="Q18" s="201"/>
      <c r="R18" s="135">
        <f t="shared" si="13"/>
        <v>0</v>
      </c>
      <c r="S18" s="137">
        <f t="shared" si="14"/>
        <v>0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1">
        <v>1.0</v>
      </c>
      <c r="AI18" s="210"/>
      <c r="AJ18" s="212"/>
      <c r="AK18" s="212"/>
      <c r="AL18" s="135">
        <f t="shared" si="15"/>
        <v>1</v>
      </c>
      <c r="AM18" s="183">
        <f t="shared" si="16"/>
        <v>25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85">
        <v>1.0</v>
      </c>
      <c r="BG18" s="133"/>
      <c r="BH18" s="185">
        <v>1.0</v>
      </c>
      <c r="BI18" s="135">
        <f t="shared" si="17"/>
        <v>2</v>
      </c>
      <c r="BJ18" s="186">
        <f t="shared" si="18"/>
        <v>50</v>
      </c>
      <c r="BK18" s="138"/>
      <c r="BL18" s="132"/>
      <c r="BM18" s="151">
        <v>1.0</v>
      </c>
      <c r="BN18" s="138"/>
      <c r="BO18" s="138"/>
      <c r="BP18" s="138"/>
      <c r="BQ18" s="138"/>
      <c r="BR18" s="150">
        <v>1.0</v>
      </c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2</v>
      </c>
      <c r="CG18" s="190">
        <f t="shared" si="20"/>
        <v>40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29.41176471</v>
      </c>
      <c r="CW18" s="169">
        <f t="shared" si="8"/>
        <v>5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3</v>
      </c>
      <c r="E19" s="127">
        <f t="shared" si="10"/>
        <v>17.64705882</v>
      </c>
      <c r="F19" s="200">
        <f t="shared" si="11"/>
        <v>17.64705882</v>
      </c>
      <c r="G19" s="207">
        <f t="shared" si="12"/>
        <v>17.64705882</v>
      </c>
      <c r="H19" s="132"/>
      <c r="I19" s="132"/>
      <c r="J19" s="273"/>
      <c r="K19" s="132"/>
      <c r="L19" s="201"/>
      <c r="M19" s="201"/>
      <c r="N19" s="201"/>
      <c r="O19" s="201"/>
      <c r="P19" s="201"/>
      <c r="Q19" s="201"/>
      <c r="R19" s="135">
        <f t="shared" si="13"/>
        <v>0</v>
      </c>
      <c r="S19" s="137">
        <f t="shared" si="14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40"/>
      <c r="AE19" s="141"/>
      <c r="AF19" s="226"/>
      <c r="AG19" s="226"/>
      <c r="AH19" s="226"/>
      <c r="AI19" s="226"/>
      <c r="AJ19" s="218"/>
      <c r="AK19" s="218"/>
      <c r="AL19" s="135">
        <f t="shared" si="15"/>
        <v>0</v>
      </c>
      <c r="AM19" s="183">
        <f t="shared" si="16"/>
        <v>0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85">
        <v>1.0</v>
      </c>
      <c r="BB19" s="133"/>
      <c r="BC19" s="133"/>
      <c r="BD19" s="133"/>
      <c r="BE19" s="133"/>
      <c r="BF19" s="185">
        <v>1.0</v>
      </c>
      <c r="BG19" s="133"/>
      <c r="BH19" s="133"/>
      <c r="BI19" s="135">
        <f t="shared" si="17"/>
        <v>2</v>
      </c>
      <c r="BJ19" s="186">
        <f t="shared" si="18"/>
        <v>50</v>
      </c>
      <c r="BK19" s="138"/>
      <c r="BL19" s="132"/>
      <c r="BM19" s="138"/>
      <c r="BN19" s="138"/>
      <c r="BO19" s="138"/>
      <c r="BP19" s="138"/>
      <c r="BQ19" s="138"/>
      <c r="BR19" s="140"/>
      <c r="BS19" s="152"/>
      <c r="BT19" s="152"/>
      <c r="BU19" s="187">
        <v>1.0</v>
      </c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1</v>
      </c>
      <c r="CG19" s="190">
        <f t="shared" si="20"/>
        <v>20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17.64705882</v>
      </c>
      <c r="CW19" s="169">
        <f t="shared" si="8"/>
        <v>3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5</v>
      </c>
      <c r="E20" s="127">
        <f t="shared" si="10"/>
        <v>29.41176471</v>
      </c>
      <c r="F20" s="200">
        <f t="shared" si="11"/>
        <v>29.41176471</v>
      </c>
      <c r="G20" s="207">
        <f t="shared" si="12"/>
        <v>29.41176471</v>
      </c>
      <c r="H20" s="132"/>
      <c r="I20" s="132"/>
      <c r="J20" s="273"/>
      <c r="K20" s="132"/>
      <c r="L20" s="201"/>
      <c r="M20" s="201"/>
      <c r="N20" s="201"/>
      <c r="O20" s="201"/>
      <c r="P20" s="201"/>
      <c r="Q20" s="201"/>
      <c r="R20" s="135">
        <f t="shared" si="13"/>
        <v>0</v>
      </c>
      <c r="S20" s="137">
        <f t="shared" si="14"/>
        <v>0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0"/>
      <c r="AH20" s="210"/>
      <c r="AI20" s="210"/>
      <c r="AJ20" s="212"/>
      <c r="AK20" s="212"/>
      <c r="AL20" s="135">
        <f t="shared" si="15"/>
        <v>0</v>
      </c>
      <c r="AM20" s="183">
        <f t="shared" si="16"/>
        <v>0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85">
        <v>1.0</v>
      </c>
      <c r="BI20" s="135">
        <f t="shared" si="17"/>
        <v>1</v>
      </c>
      <c r="BJ20" s="186">
        <f t="shared" si="18"/>
        <v>25</v>
      </c>
      <c r="BK20" s="138"/>
      <c r="BL20" s="132"/>
      <c r="BM20" s="151">
        <v>1.0</v>
      </c>
      <c r="BN20" s="138"/>
      <c r="BO20" s="138"/>
      <c r="BP20" s="151">
        <v>1.0</v>
      </c>
      <c r="BQ20" s="138"/>
      <c r="BR20" s="150">
        <v>1.0</v>
      </c>
      <c r="BS20" s="152"/>
      <c r="BT20" s="152"/>
      <c r="BU20" s="187">
        <v>1.0</v>
      </c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4</v>
      </c>
      <c r="CG20" s="190">
        <f t="shared" si="20"/>
        <v>80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29.41176471</v>
      </c>
      <c r="CW20" s="169">
        <f t="shared" si="8"/>
        <v>5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5</v>
      </c>
      <c r="E21" s="127">
        <f t="shared" si="10"/>
        <v>29.41176471</v>
      </c>
      <c r="F21" s="200">
        <f t="shared" si="11"/>
        <v>29.41176471</v>
      </c>
      <c r="G21" s="207">
        <f t="shared" si="12"/>
        <v>29.41176471</v>
      </c>
      <c r="H21" s="178"/>
      <c r="I21" s="132"/>
      <c r="J21" s="273"/>
      <c r="K21" s="132"/>
      <c r="L21" s="201"/>
      <c r="M21" s="201"/>
      <c r="N21" s="201"/>
      <c r="O21" s="201"/>
      <c r="P21" s="201"/>
      <c r="Q21" s="201"/>
      <c r="R21" s="135">
        <f t="shared" si="13"/>
        <v>0</v>
      </c>
      <c r="S21" s="137">
        <f t="shared" si="14"/>
        <v>0</v>
      </c>
      <c r="T21" s="138"/>
      <c r="U21" s="138"/>
      <c r="V21" s="138"/>
      <c r="W21" s="132"/>
      <c r="X21" s="132"/>
      <c r="Y21" s="138"/>
      <c r="Z21" s="138"/>
      <c r="AA21" s="138"/>
      <c r="AB21" s="209"/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0</v>
      </c>
      <c r="AM21" s="183">
        <f t="shared" si="16"/>
        <v>0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85">
        <v>1.0</v>
      </c>
      <c r="BG21" s="133"/>
      <c r="BH21" s="185">
        <v>1.0</v>
      </c>
      <c r="BI21" s="135">
        <f t="shared" si="17"/>
        <v>2</v>
      </c>
      <c r="BJ21" s="186">
        <f t="shared" si="18"/>
        <v>50</v>
      </c>
      <c r="BK21" s="138"/>
      <c r="BL21" s="132"/>
      <c r="BM21" s="151">
        <v>1.0</v>
      </c>
      <c r="BN21" s="138"/>
      <c r="BO21" s="138"/>
      <c r="BP21" s="138"/>
      <c r="BQ21" s="138"/>
      <c r="BR21" s="150">
        <v>1.0</v>
      </c>
      <c r="BS21" s="152"/>
      <c r="BT21" s="152"/>
      <c r="BU21" s="187">
        <v>1.0</v>
      </c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3</v>
      </c>
      <c r="CG21" s="190">
        <f t="shared" si="20"/>
        <v>60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29.41176471</v>
      </c>
      <c r="CW21" s="169">
        <f t="shared" si="8"/>
        <v>5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5</v>
      </c>
      <c r="E22" s="127">
        <f t="shared" si="10"/>
        <v>29.41176471</v>
      </c>
      <c r="F22" s="200">
        <f t="shared" si="11"/>
        <v>29.41176471</v>
      </c>
      <c r="G22" s="207">
        <f t="shared" si="12"/>
        <v>29.41176471</v>
      </c>
      <c r="H22" s="132"/>
      <c r="I22" s="178"/>
      <c r="J22" s="273"/>
      <c r="K22" s="178"/>
      <c r="L22" s="191">
        <v>1.0</v>
      </c>
      <c r="M22" s="179"/>
      <c r="N22" s="179"/>
      <c r="O22" s="179"/>
      <c r="P22" s="179"/>
      <c r="Q22" s="179"/>
      <c r="R22" s="135">
        <f t="shared" si="13"/>
        <v>1</v>
      </c>
      <c r="S22" s="137">
        <f t="shared" si="14"/>
        <v>25</v>
      </c>
      <c r="T22" s="138"/>
      <c r="U22" s="138"/>
      <c r="V22" s="138"/>
      <c r="W22" s="132"/>
      <c r="X22" s="132"/>
      <c r="Y22" s="138"/>
      <c r="Z22" s="138"/>
      <c r="AA22" s="138"/>
      <c r="AB22" s="209"/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0</v>
      </c>
      <c r="AM22" s="183">
        <f t="shared" si="16"/>
        <v>0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85">
        <v>1.0</v>
      </c>
      <c r="BG22" s="133"/>
      <c r="BH22" s="133"/>
      <c r="BI22" s="135">
        <f t="shared" si="17"/>
        <v>1</v>
      </c>
      <c r="BJ22" s="186">
        <f t="shared" si="18"/>
        <v>25</v>
      </c>
      <c r="BK22" s="138"/>
      <c r="BL22" s="132"/>
      <c r="BM22" s="138"/>
      <c r="BN22" s="138"/>
      <c r="BO22" s="138"/>
      <c r="BP22" s="151">
        <v>1.0</v>
      </c>
      <c r="BQ22" s="138"/>
      <c r="BR22" s="150">
        <v>1.0</v>
      </c>
      <c r="BS22" s="152"/>
      <c r="BT22" s="152"/>
      <c r="BU22" s="187">
        <v>1.0</v>
      </c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3</v>
      </c>
      <c r="CG22" s="190">
        <f t="shared" si="20"/>
        <v>60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29.41176471</v>
      </c>
      <c r="CW22" s="169">
        <f t="shared" si="8"/>
        <v>5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5</v>
      </c>
      <c r="E23" s="127">
        <f t="shared" si="10"/>
        <v>29.41176471</v>
      </c>
      <c r="F23" s="200">
        <f t="shared" si="11"/>
        <v>29.41176471</v>
      </c>
      <c r="G23" s="207">
        <f t="shared" si="12"/>
        <v>29.41176471</v>
      </c>
      <c r="H23" s="132"/>
      <c r="I23" s="170">
        <v>1.0</v>
      </c>
      <c r="J23" s="273"/>
      <c r="K23" s="132"/>
      <c r="L23" s="245">
        <v>1.0</v>
      </c>
      <c r="M23" s="201"/>
      <c r="N23" s="201"/>
      <c r="O23" s="201"/>
      <c r="P23" s="201"/>
      <c r="Q23" s="201"/>
      <c r="R23" s="135">
        <f t="shared" si="13"/>
        <v>2</v>
      </c>
      <c r="S23" s="137">
        <f t="shared" si="14"/>
        <v>50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>
        <f t="shared" si="16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>
        <f t="shared" si="18"/>
        <v>0</v>
      </c>
      <c r="BK23" s="138"/>
      <c r="BL23" s="132"/>
      <c r="BM23" s="138"/>
      <c r="BN23" s="138"/>
      <c r="BO23" s="138"/>
      <c r="BP23" s="151">
        <v>1.0</v>
      </c>
      <c r="BQ23" s="138"/>
      <c r="BR23" s="150">
        <v>1.0</v>
      </c>
      <c r="BS23" s="152"/>
      <c r="BT23" s="152"/>
      <c r="BU23" s="187">
        <v>1.0</v>
      </c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3</v>
      </c>
      <c r="CG23" s="190">
        <f t="shared" si="20"/>
        <v>60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29.41176471</v>
      </c>
      <c r="CW23" s="169">
        <f t="shared" si="8"/>
        <v>5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1</v>
      </c>
      <c r="E24" s="127">
        <f t="shared" si="10"/>
        <v>5.882352941</v>
      </c>
      <c r="F24" s="200">
        <f t="shared" si="11"/>
        <v>5.882352941</v>
      </c>
      <c r="G24" s="207">
        <f t="shared" si="12"/>
        <v>5.882352941</v>
      </c>
      <c r="H24" s="132"/>
      <c r="I24" s="178"/>
      <c r="J24" s="273"/>
      <c r="K24" s="178"/>
      <c r="L24" s="179"/>
      <c r="M24" s="179"/>
      <c r="N24" s="179"/>
      <c r="O24" s="179"/>
      <c r="P24" s="179"/>
      <c r="Q24" s="179"/>
      <c r="R24" s="135">
        <f t="shared" si="13"/>
        <v>0</v>
      </c>
      <c r="S24" s="137">
        <f t="shared" si="14"/>
        <v>0</v>
      </c>
      <c r="T24" s="138"/>
      <c r="U24" s="138"/>
      <c r="V24" s="138"/>
      <c r="W24" s="132"/>
      <c r="X24" s="132"/>
      <c r="Y24" s="138"/>
      <c r="Z24" s="138"/>
      <c r="AA24" s="138"/>
      <c r="AB24" s="209"/>
      <c r="AC24" s="140"/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0</v>
      </c>
      <c r="AM24" s="183">
        <f t="shared" si="16"/>
        <v>0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7"/>
        <v>0</v>
      </c>
      <c r="BJ24" s="186">
        <f t="shared" si="18"/>
        <v>0</v>
      </c>
      <c r="BK24" s="138"/>
      <c r="BL24" s="132"/>
      <c r="BM24" s="138"/>
      <c r="BN24" s="138"/>
      <c r="BO24" s="138"/>
      <c r="BP24" s="138"/>
      <c r="BQ24" s="138"/>
      <c r="BR24" s="150">
        <v>1.0</v>
      </c>
      <c r="BS24" s="152"/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1</v>
      </c>
      <c r="CG24" s="190">
        <f t="shared" si="20"/>
        <v>20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5.882352941</v>
      </c>
      <c r="CW24" s="169">
        <f t="shared" si="8"/>
        <v>1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7</v>
      </c>
      <c r="E25" s="127">
        <f t="shared" si="10"/>
        <v>41.17647059</v>
      </c>
      <c r="F25" s="200">
        <f t="shared" si="11"/>
        <v>41.17647059</v>
      </c>
      <c r="G25" s="177" t="str">
        <f t="shared" si="12"/>
        <v>  </v>
      </c>
      <c r="H25" s="170">
        <v>1.0</v>
      </c>
      <c r="I25" s="178"/>
      <c r="J25" s="273"/>
      <c r="K25" s="178"/>
      <c r="L25" s="191">
        <v>1.0</v>
      </c>
      <c r="M25" s="179"/>
      <c r="N25" s="179"/>
      <c r="O25" s="179"/>
      <c r="P25" s="179"/>
      <c r="Q25" s="179"/>
      <c r="R25" s="135">
        <f t="shared" si="13"/>
        <v>2</v>
      </c>
      <c r="S25" s="137">
        <f t="shared" si="14"/>
        <v>50</v>
      </c>
      <c r="T25" s="138"/>
      <c r="U25" s="138"/>
      <c r="V25" s="138"/>
      <c r="W25" s="132"/>
      <c r="X25" s="170">
        <v>1.0</v>
      </c>
      <c r="Y25" s="138"/>
      <c r="Z25" s="138"/>
      <c r="AA25" s="138"/>
      <c r="AB25" s="247"/>
      <c r="AC25" s="140"/>
      <c r="AD25" s="140"/>
      <c r="AE25" s="141"/>
      <c r="AF25" s="248"/>
      <c r="AG25" s="248"/>
      <c r="AH25" s="248"/>
      <c r="AI25" s="248"/>
      <c r="AJ25" s="249"/>
      <c r="AK25" s="249"/>
      <c r="AL25" s="135">
        <f t="shared" si="15"/>
        <v>1</v>
      </c>
      <c r="AM25" s="183">
        <f t="shared" si="16"/>
        <v>25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85">
        <v>1.0</v>
      </c>
      <c r="BI25" s="135">
        <f t="shared" si="17"/>
        <v>1</v>
      </c>
      <c r="BJ25" s="186">
        <f t="shared" si="18"/>
        <v>25</v>
      </c>
      <c r="BK25" s="151">
        <v>1.0</v>
      </c>
      <c r="BL25" s="132"/>
      <c r="BM25" s="138"/>
      <c r="BN25" s="138"/>
      <c r="BO25" s="138"/>
      <c r="BP25" s="138"/>
      <c r="BQ25" s="138"/>
      <c r="BR25" s="150">
        <v>1.0</v>
      </c>
      <c r="BS25" s="152"/>
      <c r="BT25" s="152"/>
      <c r="BU25" s="187">
        <v>1.0</v>
      </c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3</v>
      </c>
      <c r="CG25" s="190">
        <f t="shared" si="20"/>
        <v>60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41.17647059</v>
      </c>
      <c r="CW25" s="169">
        <f t="shared" si="8"/>
        <v>7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3</v>
      </c>
      <c r="E26" s="127">
        <f t="shared" si="10"/>
        <v>17.64705882</v>
      </c>
      <c r="F26" s="200">
        <f t="shared" si="11"/>
        <v>17.64705882</v>
      </c>
      <c r="G26" s="207">
        <f t="shared" si="12"/>
        <v>17.64705882</v>
      </c>
      <c r="H26" s="170">
        <v>1.0</v>
      </c>
      <c r="I26" s="132"/>
      <c r="J26" s="273"/>
      <c r="K26" s="132"/>
      <c r="L26" s="201"/>
      <c r="M26" s="201"/>
      <c r="N26" s="201"/>
      <c r="O26" s="201"/>
      <c r="P26" s="201"/>
      <c r="Q26" s="201"/>
      <c r="R26" s="135">
        <f t="shared" si="13"/>
        <v>1</v>
      </c>
      <c r="S26" s="137">
        <f t="shared" si="14"/>
        <v>25</v>
      </c>
      <c r="T26" s="138"/>
      <c r="U26" s="138"/>
      <c r="V26" s="138"/>
      <c r="W26" s="132"/>
      <c r="X26" s="132"/>
      <c r="Y26" s="138"/>
      <c r="Z26" s="138"/>
      <c r="AA26" s="151">
        <v>1.0</v>
      </c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1</v>
      </c>
      <c r="AM26" s="183">
        <f t="shared" si="16"/>
        <v>25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7"/>
        <v>0</v>
      </c>
      <c r="BJ26" s="186">
        <f t="shared" si="18"/>
        <v>0</v>
      </c>
      <c r="BK26" s="138"/>
      <c r="BL26" s="132"/>
      <c r="BM26" s="138"/>
      <c r="BN26" s="138"/>
      <c r="BO26" s="138"/>
      <c r="BP26" s="138"/>
      <c r="BQ26" s="138"/>
      <c r="BR26" s="150">
        <v>1.0</v>
      </c>
      <c r="BS26" s="152"/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1</v>
      </c>
      <c r="CG26" s="190">
        <f t="shared" si="20"/>
        <v>20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17.64705882</v>
      </c>
      <c r="CW26" s="169">
        <f t="shared" si="8"/>
        <v>3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5</v>
      </c>
      <c r="E27" s="127">
        <f t="shared" si="10"/>
        <v>29.41176471</v>
      </c>
      <c r="F27" s="200">
        <f t="shared" si="11"/>
        <v>29.41176471</v>
      </c>
      <c r="G27" s="207">
        <f t="shared" si="12"/>
        <v>29.41176471</v>
      </c>
      <c r="H27" s="132"/>
      <c r="I27" s="132"/>
      <c r="J27" s="273"/>
      <c r="K27" s="132"/>
      <c r="L27" s="245">
        <v>1.0</v>
      </c>
      <c r="M27" s="201"/>
      <c r="N27" s="201"/>
      <c r="O27" s="201"/>
      <c r="P27" s="201"/>
      <c r="Q27" s="201"/>
      <c r="R27" s="135">
        <f t="shared" si="13"/>
        <v>1</v>
      </c>
      <c r="S27" s="137">
        <f t="shared" si="14"/>
        <v>25</v>
      </c>
      <c r="T27" s="138"/>
      <c r="U27" s="138"/>
      <c r="V27" s="138"/>
      <c r="W27" s="132"/>
      <c r="X27" s="170">
        <v>1.0</v>
      </c>
      <c r="Y27" s="138"/>
      <c r="Z27" s="138"/>
      <c r="AA27" s="138"/>
      <c r="AB27" s="209"/>
      <c r="AC27" s="140"/>
      <c r="AD27" s="140"/>
      <c r="AE27" s="141"/>
      <c r="AF27" s="211">
        <v>1.0</v>
      </c>
      <c r="AG27" s="210"/>
      <c r="AH27" s="211">
        <v>1.0</v>
      </c>
      <c r="AI27" s="210"/>
      <c r="AJ27" s="212"/>
      <c r="AK27" s="212"/>
      <c r="AL27" s="135">
        <f t="shared" si="15"/>
        <v>3</v>
      </c>
      <c r="AM27" s="183">
        <f t="shared" si="16"/>
        <v>75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5">
        <f t="shared" si="17"/>
        <v>0</v>
      </c>
      <c r="BJ27" s="186">
        <f t="shared" si="18"/>
        <v>0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87">
        <v>1.0</v>
      </c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1</v>
      </c>
      <c r="CG27" s="190">
        <f t="shared" si="20"/>
        <v>20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29.41176471</v>
      </c>
      <c r="CW27" s="169">
        <f t="shared" si="8"/>
        <v>5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2</v>
      </c>
      <c r="E28" s="127">
        <f t="shared" si="10"/>
        <v>11.76470588</v>
      </c>
      <c r="F28" s="200">
        <f t="shared" si="11"/>
        <v>11.76470588</v>
      </c>
      <c r="G28" s="207">
        <f t="shared" si="12"/>
        <v>11.76470588</v>
      </c>
      <c r="H28" s="132"/>
      <c r="I28" s="132"/>
      <c r="J28" s="273"/>
      <c r="K28" s="132"/>
      <c r="L28" s="201"/>
      <c r="M28" s="201"/>
      <c r="N28" s="201"/>
      <c r="O28" s="201"/>
      <c r="P28" s="201"/>
      <c r="Q28" s="201"/>
      <c r="R28" s="135">
        <f t="shared" si="13"/>
        <v>0</v>
      </c>
      <c r="S28" s="137">
        <f t="shared" si="14"/>
        <v>0</v>
      </c>
      <c r="T28" s="138"/>
      <c r="U28" s="138"/>
      <c r="V28" s="138"/>
      <c r="W28" s="132"/>
      <c r="X28" s="132"/>
      <c r="Y28" s="138"/>
      <c r="Z28" s="138"/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0</v>
      </c>
      <c r="AM28" s="183">
        <f t="shared" si="16"/>
        <v>0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85">
        <v>1.0</v>
      </c>
      <c r="BI28" s="135">
        <f t="shared" si="17"/>
        <v>1</v>
      </c>
      <c r="BJ28" s="186">
        <f t="shared" si="18"/>
        <v>25</v>
      </c>
      <c r="BK28" s="138"/>
      <c r="BL28" s="132"/>
      <c r="BM28" s="138"/>
      <c r="BN28" s="138"/>
      <c r="BO28" s="138"/>
      <c r="BP28" s="138"/>
      <c r="BQ28" s="138"/>
      <c r="BR28" s="150">
        <v>1.0</v>
      </c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1</v>
      </c>
      <c r="CG28" s="190">
        <f t="shared" si="20"/>
        <v>20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11.76470588</v>
      </c>
      <c r="CW28" s="169">
        <f t="shared" si="8"/>
        <v>2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10</v>
      </c>
      <c r="E29" s="127">
        <f t="shared" si="10"/>
        <v>58.82352941</v>
      </c>
      <c r="F29" s="175" t="str">
        <f t="shared" si="11"/>
        <v>  </v>
      </c>
      <c r="G29" s="177" t="str">
        <f t="shared" si="12"/>
        <v>  </v>
      </c>
      <c r="H29" s="132"/>
      <c r="I29" s="170"/>
      <c r="J29" s="327">
        <v>1.0</v>
      </c>
      <c r="K29" s="170"/>
      <c r="L29" s="245">
        <v>1.0</v>
      </c>
      <c r="M29" s="201"/>
      <c r="N29" s="201"/>
      <c r="O29" s="201"/>
      <c r="P29" s="201"/>
      <c r="Q29" s="201"/>
      <c r="R29" s="135">
        <f t="shared" si="13"/>
        <v>2</v>
      </c>
      <c r="S29" s="137">
        <f t="shared" si="14"/>
        <v>50</v>
      </c>
      <c r="T29" s="138"/>
      <c r="U29" s="138"/>
      <c r="V29" s="138"/>
      <c r="W29" s="132"/>
      <c r="X29" s="170">
        <v>1.0</v>
      </c>
      <c r="Y29" s="138"/>
      <c r="Z29" s="138"/>
      <c r="AA29" s="151">
        <v>1.0</v>
      </c>
      <c r="AB29" s="209"/>
      <c r="AC29" s="140"/>
      <c r="AD29" s="140"/>
      <c r="AE29" s="141"/>
      <c r="AF29" s="210"/>
      <c r="AG29" s="210"/>
      <c r="AH29" s="211">
        <v>1.0</v>
      </c>
      <c r="AI29" s="210"/>
      <c r="AJ29" s="212"/>
      <c r="AK29" s="212"/>
      <c r="AL29" s="135">
        <f t="shared" si="15"/>
        <v>3</v>
      </c>
      <c r="AM29" s="183">
        <f t="shared" si="16"/>
        <v>75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33"/>
      <c r="BA29" s="185">
        <v>1.0</v>
      </c>
      <c r="BB29" s="133"/>
      <c r="BC29" s="133"/>
      <c r="BD29" s="133"/>
      <c r="BE29" s="133"/>
      <c r="BF29" s="185">
        <v>1.0</v>
      </c>
      <c r="BG29" s="133"/>
      <c r="BH29" s="133"/>
      <c r="BI29" s="135">
        <f t="shared" si="17"/>
        <v>2</v>
      </c>
      <c r="BJ29" s="186">
        <f t="shared" si="18"/>
        <v>50</v>
      </c>
      <c r="BK29" s="138"/>
      <c r="BL29" s="132"/>
      <c r="BM29" s="151">
        <v>1.0</v>
      </c>
      <c r="BN29" s="138"/>
      <c r="BO29" s="138"/>
      <c r="BP29" s="138"/>
      <c r="BQ29" s="138"/>
      <c r="BR29" s="150">
        <v>1.0</v>
      </c>
      <c r="BS29" s="152"/>
      <c r="BT29" s="152"/>
      <c r="BU29" s="187">
        <v>1.0</v>
      </c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3</v>
      </c>
      <c r="CG29" s="190">
        <f t="shared" si="20"/>
        <v>60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58.82352941</v>
      </c>
      <c r="CW29" s="169">
        <f t="shared" si="8"/>
        <v>10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6</v>
      </c>
      <c r="E30" s="127">
        <f t="shared" si="10"/>
        <v>35.29411765</v>
      </c>
      <c r="F30" s="200">
        <f t="shared" si="11"/>
        <v>35.29411765</v>
      </c>
      <c r="G30" s="177" t="str">
        <f t="shared" si="12"/>
        <v>  </v>
      </c>
      <c r="H30" s="132"/>
      <c r="I30" s="325">
        <v>1.0</v>
      </c>
      <c r="J30" s="273"/>
      <c r="K30" s="178"/>
      <c r="L30" s="179"/>
      <c r="M30" s="179"/>
      <c r="N30" s="179"/>
      <c r="O30" s="179"/>
      <c r="P30" s="179"/>
      <c r="Q30" s="179"/>
      <c r="R30" s="135">
        <f t="shared" si="13"/>
        <v>1</v>
      </c>
      <c r="S30" s="137">
        <f t="shared" si="14"/>
        <v>25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0</v>
      </c>
      <c r="AM30" s="183">
        <f t="shared" si="16"/>
        <v>0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85">
        <v>1.0</v>
      </c>
      <c r="BG30" s="133"/>
      <c r="BH30" s="133"/>
      <c r="BI30" s="135">
        <f t="shared" si="17"/>
        <v>1</v>
      </c>
      <c r="BJ30" s="186">
        <f t="shared" si="18"/>
        <v>25</v>
      </c>
      <c r="BK30" s="138"/>
      <c r="BL30" s="132"/>
      <c r="BM30" s="151">
        <v>1.0</v>
      </c>
      <c r="BN30" s="138"/>
      <c r="BO30" s="138"/>
      <c r="BP30" s="151">
        <v>1.0</v>
      </c>
      <c r="BQ30" s="138"/>
      <c r="BR30" s="150">
        <v>1.0</v>
      </c>
      <c r="BS30" s="152"/>
      <c r="BT30" s="152"/>
      <c r="BU30" s="187">
        <v>1.0</v>
      </c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4</v>
      </c>
      <c r="CG30" s="190">
        <f t="shared" si="20"/>
        <v>80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35.29411765</v>
      </c>
      <c r="CW30" s="169">
        <f t="shared" si="8"/>
        <v>6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6</v>
      </c>
      <c r="E31" s="127">
        <f t="shared" si="10"/>
        <v>35.29411765</v>
      </c>
      <c r="F31" s="200">
        <f t="shared" si="11"/>
        <v>35.29411765</v>
      </c>
      <c r="G31" s="177" t="str">
        <f t="shared" si="12"/>
        <v>  </v>
      </c>
      <c r="H31" s="132"/>
      <c r="I31" s="178"/>
      <c r="J31" s="273"/>
      <c r="K31" s="178"/>
      <c r="L31" s="179"/>
      <c r="M31" s="179"/>
      <c r="N31" s="179"/>
      <c r="O31" s="179"/>
      <c r="P31" s="179"/>
      <c r="Q31" s="179"/>
      <c r="R31" s="135">
        <f t="shared" si="13"/>
        <v>0</v>
      </c>
      <c r="S31" s="137">
        <f t="shared" si="14"/>
        <v>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1">
        <v>1.0</v>
      </c>
      <c r="AI31" s="210"/>
      <c r="AJ31" s="212"/>
      <c r="AK31" s="212"/>
      <c r="AL31" s="135">
        <f t="shared" si="15"/>
        <v>1</v>
      </c>
      <c r="AM31" s="183">
        <f t="shared" si="16"/>
        <v>25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85">
        <v>1.0</v>
      </c>
      <c r="BG31" s="133"/>
      <c r="BH31" s="185">
        <v>1.0</v>
      </c>
      <c r="BI31" s="135">
        <f t="shared" si="17"/>
        <v>2</v>
      </c>
      <c r="BJ31" s="186">
        <f t="shared" si="18"/>
        <v>50</v>
      </c>
      <c r="BK31" s="138"/>
      <c r="BL31" s="132"/>
      <c r="BM31" s="151">
        <v>1.0</v>
      </c>
      <c r="BN31" s="138"/>
      <c r="BO31" s="138"/>
      <c r="BP31" s="138"/>
      <c r="BQ31" s="138"/>
      <c r="BR31" s="150">
        <v>1.0</v>
      </c>
      <c r="BS31" s="152"/>
      <c r="BT31" s="152"/>
      <c r="BU31" s="187">
        <v>1.0</v>
      </c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3</v>
      </c>
      <c r="CG31" s="190">
        <f t="shared" si="20"/>
        <v>60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35.29411765</v>
      </c>
      <c r="CW31" s="169">
        <f t="shared" si="8"/>
        <v>6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6</v>
      </c>
      <c r="E32" s="127">
        <f t="shared" si="10"/>
        <v>35.29411765</v>
      </c>
      <c r="F32" s="200">
        <f t="shared" si="11"/>
        <v>35.29411765</v>
      </c>
      <c r="G32" s="177" t="str">
        <f t="shared" si="12"/>
        <v>  </v>
      </c>
      <c r="H32" s="132"/>
      <c r="I32" s="178"/>
      <c r="J32" s="273"/>
      <c r="K32" s="178"/>
      <c r="L32" s="179"/>
      <c r="M32" s="179"/>
      <c r="N32" s="179"/>
      <c r="O32" s="179"/>
      <c r="P32" s="179"/>
      <c r="Q32" s="179"/>
      <c r="R32" s="135">
        <f t="shared" si="13"/>
        <v>0</v>
      </c>
      <c r="S32" s="137">
        <f t="shared" si="14"/>
        <v>0</v>
      </c>
      <c r="T32" s="138"/>
      <c r="U32" s="138"/>
      <c r="V32" s="138"/>
      <c r="W32" s="132"/>
      <c r="X32" s="132"/>
      <c r="Y32" s="138"/>
      <c r="Z32" s="138"/>
      <c r="AA32" s="138"/>
      <c r="AB32" s="233"/>
      <c r="AC32" s="140"/>
      <c r="AD32" s="140"/>
      <c r="AE32" s="141"/>
      <c r="AF32" s="234"/>
      <c r="AG32" s="234"/>
      <c r="AH32" s="236">
        <v>1.0</v>
      </c>
      <c r="AI32" s="234"/>
      <c r="AJ32" s="239"/>
      <c r="AK32" s="239"/>
      <c r="AL32" s="135">
        <f t="shared" si="15"/>
        <v>1</v>
      </c>
      <c r="AM32" s="183">
        <f t="shared" si="16"/>
        <v>25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85">
        <v>1.0</v>
      </c>
      <c r="BG32" s="133"/>
      <c r="BH32" s="185">
        <v>1.0</v>
      </c>
      <c r="BI32" s="135">
        <f t="shared" si="17"/>
        <v>2</v>
      </c>
      <c r="BJ32" s="186">
        <f t="shared" si="18"/>
        <v>50</v>
      </c>
      <c r="BK32" s="138"/>
      <c r="BL32" s="132"/>
      <c r="BM32" s="151">
        <v>1.0</v>
      </c>
      <c r="BN32" s="138"/>
      <c r="BO32" s="138"/>
      <c r="BP32" s="138"/>
      <c r="BQ32" s="138"/>
      <c r="BR32" s="150">
        <v>1.0</v>
      </c>
      <c r="BS32" s="152"/>
      <c r="BT32" s="152"/>
      <c r="BU32" s="187">
        <v>1.0</v>
      </c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3</v>
      </c>
      <c r="CG32" s="190">
        <f t="shared" si="20"/>
        <v>60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35.29411765</v>
      </c>
      <c r="CW32" s="169">
        <f t="shared" si="8"/>
        <v>6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6</v>
      </c>
      <c r="E33" s="127">
        <f t="shared" si="10"/>
        <v>35.29411765</v>
      </c>
      <c r="F33" s="200">
        <f t="shared" si="11"/>
        <v>35.29411765</v>
      </c>
      <c r="G33" s="177" t="str">
        <f t="shared" si="12"/>
        <v>  </v>
      </c>
      <c r="H33" s="132"/>
      <c r="I33" s="229"/>
      <c r="J33" s="273"/>
      <c r="K33" s="229"/>
      <c r="L33" s="231"/>
      <c r="M33" s="231"/>
      <c r="N33" s="231"/>
      <c r="O33" s="231"/>
      <c r="P33" s="231"/>
      <c r="Q33" s="231"/>
      <c r="R33" s="135">
        <f t="shared" si="13"/>
        <v>0</v>
      </c>
      <c r="S33" s="137">
        <f t="shared" si="14"/>
        <v>0</v>
      </c>
      <c r="T33" s="138"/>
      <c r="U33" s="138"/>
      <c r="V33" s="138"/>
      <c r="W33" s="132"/>
      <c r="X33" s="132"/>
      <c r="Y33" s="138"/>
      <c r="Z33" s="138"/>
      <c r="AA33" s="138"/>
      <c r="AB33" s="233"/>
      <c r="AC33" s="140"/>
      <c r="AD33" s="140"/>
      <c r="AE33" s="141"/>
      <c r="AF33" s="234"/>
      <c r="AG33" s="234"/>
      <c r="AH33" s="236">
        <v>1.0</v>
      </c>
      <c r="AI33" s="234"/>
      <c r="AJ33" s="239"/>
      <c r="AK33" s="239"/>
      <c r="AL33" s="135">
        <f t="shared" si="15"/>
        <v>1</v>
      </c>
      <c r="AM33" s="183">
        <f t="shared" si="16"/>
        <v>25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85">
        <v>1.0</v>
      </c>
      <c r="BG33" s="133"/>
      <c r="BH33" s="185">
        <v>1.0</v>
      </c>
      <c r="BI33" s="135">
        <f t="shared" si="17"/>
        <v>2</v>
      </c>
      <c r="BJ33" s="186">
        <f t="shared" si="18"/>
        <v>50</v>
      </c>
      <c r="BK33" s="138"/>
      <c r="BL33" s="132"/>
      <c r="BM33" s="151">
        <v>1.0</v>
      </c>
      <c r="BN33" s="138"/>
      <c r="BO33" s="138"/>
      <c r="BP33" s="138"/>
      <c r="BQ33" s="138"/>
      <c r="BR33" s="150">
        <v>1.0</v>
      </c>
      <c r="BS33" s="152"/>
      <c r="BT33" s="152"/>
      <c r="BU33" s="187">
        <v>1.0</v>
      </c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3</v>
      </c>
      <c r="CG33" s="190">
        <f t="shared" si="20"/>
        <v>60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35.29411765</v>
      </c>
      <c r="CW33" s="169">
        <f t="shared" si="8"/>
        <v>6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0</v>
      </c>
      <c r="E34" s="127">
        <f t="shared" si="10"/>
        <v>0</v>
      </c>
      <c r="F34" s="200">
        <f t="shared" si="11"/>
        <v>0</v>
      </c>
      <c r="G34" s="207">
        <f t="shared" si="12"/>
        <v>0</v>
      </c>
      <c r="H34" s="178"/>
      <c r="I34" s="132"/>
      <c r="J34" s="273"/>
      <c r="K34" s="132"/>
      <c r="L34" s="201"/>
      <c r="M34" s="201"/>
      <c r="N34" s="201"/>
      <c r="O34" s="201"/>
      <c r="P34" s="201"/>
      <c r="Q34" s="201"/>
      <c r="R34" s="135">
        <f t="shared" si="13"/>
        <v>0</v>
      </c>
      <c r="S34" s="137">
        <f t="shared" si="14"/>
        <v>0</v>
      </c>
      <c r="T34" s="138"/>
      <c r="U34" s="138"/>
      <c r="V34" s="138"/>
      <c r="W34" s="132"/>
      <c r="X34" s="132"/>
      <c r="Y34" s="138"/>
      <c r="Z34" s="138"/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0</v>
      </c>
      <c r="AM34" s="183">
        <f t="shared" si="16"/>
        <v>0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7"/>
        <v>0</v>
      </c>
      <c r="BJ34" s="186">
        <f t="shared" si="18"/>
        <v>0</v>
      </c>
      <c r="BK34" s="138"/>
      <c r="BL34" s="132"/>
      <c r="BM34" s="138"/>
      <c r="BN34" s="138"/>
      <c r="BO34" s="138"/>
      <c r="BP34" s="138"/>
      <c r="BQ34" s="138"/>
      <c r="BR34" s="140"/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0</v>
      </c>
      <c r="CG34" s="190">
        <f t="shared" si="20"/>
        <v>0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0</v>
      </c>
      <c r="CW34" s="169">
        <f t="shared" si="8"/>
        <v>0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9</v>
      </c>
      <c r="E35" s="127">
        <f t="shared" si="10"/>
        <v>52.94117647</v>
      </c>
      <c r="F35" s="175" t="str">
        <f t="shared" si="11"/>
        <v>  </v>
      </c>
      <c r="G35" s="177" t="str">
        <f t="shared" si="12"/>
        <v>  </v>
      </c>
      <c r="H35" s="170">
        <v>1.0</v>
      </c>
      <c r="I35" s="170"/>
      <c r="J35" s="327">
        <v>1.0</v>
      </c>
      <c r="K35" s="170"/>
      <c r="L35" s="245">
        <v>1.0</v>
      </c>
      <c r="M35" s="201"/>
      <c r="N35" s="201"/>
      <c r="O35" s="201"/>
      <c r="P35" s="201"/>
      <c r="Q35" s="201"/>
      <c r="R35" s="135">
        <f t="shared" si="13"/>
        <v>3</v>
      </c>
      <c r="S35" s="137">
        <f t="shared" si="14"/>
        <v>75</v>
      </c>
      <c r="T35" s="138"/>
      <c r="U35" s="138"/>
      <c r="V35" s="138"/>
      <c r="W35" s="132"/>
      <c r="X35" s="170">
        <v>1.0</v>
      </c>
      <c r="Y35" s="138"/>
      <c r="Z35" s="138"/>
      <c r="AA35" s="151">
        <v>1.0</v>
      </c>
      <c r="AB35" s="209"/>
      <c r="AC35" s="140"/>
      <c r="AD35" s="140"/>
      <c r="AE35" s="141"/>
      <c r="AF35" s="210"/>
      <c r="AG35" s="210"/>
      <c r="AH35" s="210"/>
      <c r="AI35" s="210"/>
      <c r="AJ35" s="212"/>
      <c r="AK35" s="212"/>
      <c r="AL35" s="135">
        <f t="shared" si="15"/>
        <v>2</v>
      </c>
      <c r="AM35" s="183">
        <f t="shared" si="16"/>
        <v>50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85">
        <v>1.0</v>
      </c>
      <c r="BG35" s="133"/>
      <c r="BH35" s="185">
        <v>1.0</v>
      </c>
      <c r="BI35" s="135">
        <f t="shared" si="17"/>
        <v>2</v>
      </c>
      <c r="BJ35" s="186">
        <f t="shared" si="18"/>
        <v>50</v>
      </c>
      <c r="BK35" s="138"/>
      <c r="BL35" s="132"/>
      <c r="BM35" s="138"/>
      <c r="BN35" s="138"/>
      <c r="BO35" s="138"/>
      <c r="BP35" s="138"/>
      <c r="BQ35" s="138"/>
      <c r="BR35" s="150">
        <v>1.0</v>
      </c>
      <c r="BS35" s="152"/>
      <c r="BT35" s="152"/>
      <c r="BU35" s="187">
        <v>1.0</v>
      </c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2</v>
      </c>
      <c r="CG35" s="190">
        <f t="shared" si="20"/>
        <v>40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52.94117647</v>
      </c>
      <c r="CW35" s="169">
        <f t="shared" si="8"/>
        <v>9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273"/>
      <c r="K36" s="178"/>
      <c r="L36" s="179"/>
      <c r="M36" s="179"/>
      <c r="N36" s="179"/>
      <c r="O36" s="179"/>
      <c r="P36" s="179"/>
      <c r="Q36" s="179"/>
      <c r="R36" s="135">
        <f t="shared" si="13"/>
        <v>0</v>
      </c>
      <c r="S36" s="137">
        <f t="shared" si="14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>
        <f t="shared" si="20"/>
        <v>0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1</v>
      </c>
      <c r="E37" s="127">
        <f t="shared" si="10"/>
        <v>5.882352941</v>
      </c>
      <c r="F37" s="200">
        <f t="shared" si="11"/>
        <v>5.882352941</v>
      </c>
      <c r="G37" s="207">
        <f t="shared" si="12"/>
        <v>5.882352941</v>
      </c>
      <c r="H37" s="132"/>
      <c r="I37" s="178"/>
      <c r="J37" s="273"/>
      <c r="K37" s="178"/>
      <c r="L37" s="179"/>
      <c r="M37" s="179"/>
      <c r="N37" s="179"/>
      <c r="O37" s="179"/>
      <c r="P37" s="179"/>
      <c r="Q37" s="179"/>
      <c r="R37" s="135">
        <f t="shared" si="13"/>
        <v>0</v>
      </c>
      <c r="S37" s="137">
        <f t="shared" si="14"/>
        <v>0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40"/>
      <c r="AE37" s="141"/>
      <c r="AF37" s="210"/>
      <c r="AG37" s="210"/>
      <c r="AH37" s="210"/>
      <c r="AI37" s="210"/>
      <c r="AJ37" s="212"/>
      <c r="AK37" s="212"/>
      <c r="AL37" s="135">
        <f t="shared" si="15"/>
        <v>0</v>
      </c>
      <c r="AM37" s="183">
        <f t="shared" si="16"/>
        <v>0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85">
        <v>1.0</v>
      </c>
      <c r="BI37" s="135">
        <f t="shared" si="17"/>
        <v>1</v>
      </c>
      <c r="BJ37" s="186">
        <f t="shared" si="18"/>
        <v>25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>
        <f t="shared" si="20"/>
        <v>0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5.882352941</v>
      </c>
      <c r="CW37" s="169">
        <f t="shared" si="8"/>
        <v>1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3</v>
      </c>
      <c r="E38" s="127">
        <f t="shared" si="10"/>
        <v>17.64705882</v>
      </c>
      <c r="F38" s="200">
        <f t="shared" si="11"/>
        <v>17.64705882</v>
      </c>
      <c r="G38" s="207">
        <f t="shared" si="12"/>
        <v>17.64705882</v>
      </c>
      <c r="H38" s="132"/>
      <c r="I38" s="178"/>
      <c r="J38" s="273"/>
      <c r="K38" s="178"/>
      <c r="L38" s="179"/>
      <c r="M38" s="179"/>
      <c r="N38" s="179"/>
      <c r="O38" s="179"/>
      <c r="P38" s="179"/>
      <c r="Q38" s="179"/>
      <c r="R38" s="135">
        <f t="shared" si="13"/>
        <v>0</v>
      </c>
      <c r="S38" s="137">
        <f t="shared" si="14"/>
        <v>0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40"/>
      <c r="AE38" s="141"/>
      <c r="AF38" s="211">
        <v>1.0</v>
      </c>
      <c r="AG38" s="210"/>
      <c r="AH38" s="210"/>
      <c r="AI38" s="210"/>
      <c r="AJ38" s="212"/>
      <c r="AK38" s="212"/>
      <c r="AL38" s="135">
        <f t="shared" si="15"/>
        <v>1</v>
      </c>
      <c r="AM38" s="183">
        <f t="shared" si="16"/>
        <v>25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7"/>
        <v>0</v>
      </c>
      <c r="BJ38" s="186">
        <f t="shared" si="18"/>
        <v>0</v>
      </c>
      <c r="BK38" s="138"/>
      <c r="BL38" s="132"/>
      <c r="BM38" s="138"/>
      <c r="BN38" s="138"/>
      <c r="BO38" s="138"/>
      <c r="BP38" s="138"/>
      <c r="BQ38" s="138"/>
      <c r="BR38" s="150">
        <v>1.0</v>
      </c>
      <c r="BS38" s="152"/>
      <c r="BT38" s="152"/>
      <c r="BU38" s="187">
        <v>1.0</v>
      </c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2</v>
      </c>
      <c r="CG38" s="190">
        <f t="shared" si="20"/>
        <v>40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17.64705882</v>
      </c>
      <c r="CW38" s="169">
        <f t="shared" si="8"/>
        <v>3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2</v>
      </c>
      <c r="E39" s="127">
        <f t="shared" si="10"/>
        <v>11.76470588</v>
      </c>
      <c r="F39" s="200">
        <f t="shared" si="11"/>
        <v>11.76470588</v>
      </c>
      <c r="G39" s="207">
        <f t="shared" si="12"/>
        <v>11.76470588</v>
      </c>
      <c r="H39" s="132"/>
      <c r="I39" s="132"/>
      <c r="J39" s="273"/>
      <c r="K39" s="132"/>
      <c r="L39" s="201"/>
      <c r="M39" s="201"/>
      <c r="N39" s="201"/>
      <c r="O39" s="201"/>
      <c r="P39" s="201"/>
      <c r="Q39" s="201"/>
      <c r="R39" s="135">
        <f t="shared" si="13"/>
        <v>0</v>
      </c>
      <c r="S39" s="137">
        <f t="shared" si="14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>
        <f t="shared" si="18"/>
        <v>0</v>
      </c>
      <c r="BK39" s="138"/>
      <c r="BL39" s="132"/>
      <c r="BM39" s="151">
        <v>1.0</v>
      </c>
      <c r="BN39" s="138"/>
      <c r="BO39" s="138"/>
      <c r="BP39" s="138"/>
      <c r="BQ39" s="138"/>
      <c r="BR39" s="150">
        <v>1.0</v>
      </c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2</v>
      </c>
      <c r="CG39" s="190">
        <f t="shared" si="20"/>
        <v>40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11.76470588</v>
      </c>
      <c r="CW39" s="169">
        <f t="shared" si="8"/>
        <v>2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3</v>
      </c>
      <c r="E40" s="127">
        <f t="shared" si="10"/>
        <v>17.64705882</v>
      </c>
      <c r="F40" s="200">
        <f t="shared" si="11"/>
        <v>17.64705882</v>
      </c>
      <c r="G40" s="207">
        <f t="shared" si="12"/>
        <v>17.64705882</v>
      </c>
      <c r="H40" s="132"/>
      <c r="I40" s="132"/>
      <c r="J40" s="273"/>
      <c r="K40" s="132"/>
      <c r="L40" s="201"/>
      <c r="M40" s="201"/>
      <c r="N40" s="201"/>
      <c r="O40" s="201"/>
      <c r="P40" s="201"/>
      <c r="Q40" s="201"/>
      <c r="R40" s="135">
        <f t="shared" si="13"/>
        <v>0</v>
      </c>
      <c r="S40" s="137">
        <f t="shared" si="14"/>
        <v>0</v>
      </c>
      <c r="T40" s="138"/>
      <c r="U40" s="138"/>
      <c r="V40" s="138"/>
      <c r="W40" s="132"/>
      <c r="X40" s="132"/>
      <c r="Y40" s="138"/>
      <c r="Z40" s="138"/>
      <c r="AA40" s="151">
        <v>1.0</v>
      </c>
      <c r="AB40" s="209"/>
      <c r="AC40" s="140"/>
      <c r="AD40" s="140"/>
      <c r="AE40" s="141"/>
      <c r="AF40" s="210"/>
      <c r="AG40" s="210"/>
      <c r="AH40" s="210"/>
      <c r="AI40" s="210"/>
      <c r="AJ40" s="212"/>
      <c r="AK40" s="212"/>
      <c r="AL40" s="135">
        <f t="shared" si="15"/>
        <v>1</v>
      </c>
      <c r="AM40" s="183">
        <f t="shared" si="16"/>
        <v>25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85">
        <v>1.0</v>
      </c>
      <c r="BI40" s="135">
        <f t="shared" si="17"/>
        <v>1</v>
      </c>
      <c r="BJ40" s="186">
        <f t="shared" si="18"/>
        <v>25</v>
      </c>
      <c r="BK40" s="138"/>
      <c r="BL40" s="132"/>
      <c r="BM40" s="151">
        <v>1.0</v>
      </c>
      <c r="BN40" s="138"/>
      <c r="BO40" s="138"/>
      <c r="BP40" s="138"/>
      <c r="BQ40" s="138"/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1</v>
      </c>
      <c r="CG40" s="190">
        <f t="shared" si="20"/>
        <v>20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17.64705882</v>
      </c>
      <c r="CW40" s="169">
        <f t="shared" si="8"/>
        <v>3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5</v>
      </c>
      <c r="E41" s="127">
        <f t="shared" si="10"/>
        <v>29.41176471</v>
      </c>
      <c r="F41" s="200">
        <f t="shared" si="11"/>
        <v>29.41176471</v>
      </c>
      <c r="G41" s="207">
        <f t="shared" si="12"/>
        <v>29.41176471</v>
      </c>
      <c r="H41" s="178"/>
      <c r="I41" s="178"/>
      <c r="J41" s="273"/>
      <c r="K41" s="178"/>
      <c r="L41" s="179"/>
      <c r="M41" s="179"/>
      <c r="N41" s="179"/>
      <c r="O41" s="179"/>
      <c r="P41" s="179"/>
      <c r="Q41" s="179"/>
      <c r="R41" s="135">
        <f t="shared" si="13"/>
        <v>0</v>
      </c>
      <c r="S41" s="137">
        <f t="shared" si="14"/>
        <v>0</v>
      </c>
      <c r="T41" s="138"/>
      <c r="U41" s="138"/>
      <c r="V41" s="138"/>
      <c r="W41" s="132"/>
      <c r="X41" s="132"/>
      <c r="Y41" s="138"/>
      <c r="Z41" s="138"/>
      <c r="AA41" s="151">
        <v>1.0</v>
      </c>
      <c r="AB41" s="209"/>
      <c r="AC41" s="140"/>
      <c r="AD41" s="140"/>
      <c r="AE41" s="141"/>
      <c r="AF41" s="210"/>
      <c r="AG41" s="210"/>
      <c r="AH41" s="211">
        <v>1.0</v>
      </c>
      <c r="AI41" s="210"/>
      <c r="AJ41" s="212"/>
      <c r="AK41" s="212"/>
      <c r="AL41" s="135">
        <f t="shared" si="15"/>
        <v>2</v>
      </c>
      <c r="AM41" s="183">
        <f t="shared" si="16"/>
        <v>50</v>
      </c>
      <c r="AN41" s="322">
        <v>1.0</v>
      </c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5">
        <f t="shared" si="17"/>
        <v>1</v>
      </c>
      <c r="BJ41" s="186">
        <f t="shared" si="18"/>
        <v>25</v>
      </c>
      <c r="BK41" s="138"/>
      <c r="BL41" s="132"/>
      <c r="BM41" s="138"/>
      <c r="BN41" s="138"/>
      <c r="BO41" s="138"/>
      <c r="BP41" s="138"/>
      <c r="BQ41" s="138"/>
      <c r="BR41" s="150">
        <v>1.0</v>
      </c>
      <c r="BS41" s="152"/>
      <c r="BT41" s="152"/>
      <c r="BU41" s="187">
        <v>1.0</v>
      </c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2</v>
      </c>
      <c r="CG41" s="190">
        <f t="shared" si="20"/>
        <v>40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29.41176471</v>
      </c>
      <c r="CW41" s="169">
        <f t="shared" si="8"/>
        <v>5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1</v>
      </c>
      <c r="E42" s="127">
        <f t="shared" si="10"/>
        <v>5.882352941</v>
      </c>
      <c r="F42" s="200">
        <f t="shared" si="11"/>
        <v>5.882352941</v>
      </c>
      <c r="G42" s="207">
        <f t="shared" si="12"/>
        <v>5.882352941</v>
      </c>
      <c r="H42" s="132"/>
      <c r="I42" s="132"/>
      <c r="J42" s="273"/>
      <c r="K42" s="132"/>
      <c r="L42" s="201"/>
      <c r="M42" s="201"/>
      <c r="N42" s="201"/>
      <c r="O42" s="201"/>
      <c r="P42" s="201"/>
      <c r="Q42" s="201"/>
      <c r="R42" s="135">
        <f t="shared" si="13"/>
        <v>0</v>
      </c>
      <c r="S42" s="137">
        <f t="shared" si="14"/>
        <v>0</v>
      </c>
      <c r="T42" s="138"/>
      <c r="U42" s="138"/>
      <c r="V42" s="138"/>
      <c r="W42" s="132"/>
      <c r="X42" s="132"/>
      <c r="Y42" s="138"/>
      <c r="Z42" s="138"/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0</v>
      </c>
      <c r="AM42" s="183">
        <f t="shared" si="16"/>
        <v>0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>
        <f t="shared" si="18"/>
        <v>0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87">
        <v>1.0</v>
      </c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1</v>
      </c>
      <c r="CG42" s="190">
        <f t="shared" si="20"/>
        <v>20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5.882352941</v>
      </c>
      <c r="CW42" s="169">
        <f t="shared" si="8"/>
        <v>1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6</v>
      </c>
      <c r="E43" s="127">
        <f t="shared" si="10"/>
        <v>35.29411765</v>
      </c>
      <c r="F43" s="200">
        <f t="shared" si="11"/>
        <v>35.29411765</v>
      </c>
      <c r="G43" s="177" t="str">
        <f t="shared" si="12"/>
        <v>  </v>
      </c>
      <c r="H43" s="132"/>
      <c r="I43" s="132"/>
      <c r="J43" s="273"/>
      <c r="K43" s="132"/>
      <c r="L43" s="201"/>
      <c r="M43" s="201"/>
      <c r="N43" s="201"/>
      <c r="O43" s="201"/>
      <c r="P43" s="201"/>
      <c r="Q43" s="201"/>
      <c r="R43" s="135">
        <f t="shared" si="13"/>
        <v>0</v>
      </c>
      <c r="S43" s="137">
        <f t="shared" si="14"/>
        <v>0</v>
      </c>
      <c r="T43" s="138"/>
      <c r="U43" s="138"/>
      <c r="V43" s="138"/>
      <c r="W43" s="132"/>
      <c r="X43" s="132"/>
      <c r="Y43" s="138"/>
      <c r="Z43" s="138"/>
      <c r="AA43" s="151">
        <v>1.0</v>
      </c>
      <c r="AB43" s="217"/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1</v>
      </c>
      <c r="AM43" s="183">
        <f t="shared" si="16"/>
        <v>25</v>
      </c>
      <c r="AN43" s="323">
        <v>1.0</v>
      </c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85">
        <v>1.0</v>
      </c>
      <c r="BG43" s="133"/>
      <c r="BH43" s="133"/>
      <c r="BI43" s="135">
        <f t="shared" si="17"/>
        <v>2</v>
      </c>
      <c r="BJ43" s="186">
        <f t="shared" si="18"/>
        <v>50</v>
      </c>
      <c r="BK43" s="138"/>
      <c r="BL43" s="132"/>
      <c r="BM43" s="151">
        <v>1.0</v>
      </c>
      <c r="BN43" s="138"/>
      <c r="BO43" s="138"/>
      <c r="BP43" s="138"/>
      <c r="BQ43" s="138"/>
      <c r="BR43" s="150">
        <v>1.0</v>
      </c>
      <c r="BS43" s="152"/>
      <c r="BT43" s="152"/>
      <c r="BU43" s="187">
        <v>1.0</v>
      </c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3</v>
      </c>
      <c r="CG43" s="190">
        <f t="shared" si="20"/>
        <v>60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35.29411765</v>
      </c>
      <c r="CW43" s="169">
        <f t="shared" si="8"/>
        <v>6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3</v>
      </c>
      <c r="E44" s="127">
        <f t="shared" si="10"/>
        <v>17.64705882</v>
      </c>
      <c r="F44" s="200">
        <f t="shared" si="11"/>
        <v>17.64705882</v>
      </c>
      <c r="G44" s="207">
        <f t="shared" si="12"/>
        <v>17.64705882</v>
      </c>
      <c r="H44" s="132"/>
      <c r="I44" s="132"/>
      <c r="J44" s="273"/>
      <c r="K44" s="132"/>
      <c r="L44" s="201"/>
      <c r="M44" s="201"/>
      <c r="N44" s="201"/>
      <c r="O44" s="201"/>
      <c r="P44" s="201"/>
      <c r="Q44" s="201"/>
      <c r="R44" s="135">
        <f t="shared" si="13"/>
        <v>0</v>
      </c>
      <c r="S44" s="137">
        <f t="shared" si="14"/>
        <v>0</v>
      </c>
      <c r="T44" s="138"/>
      <c r="U44" s="138"/>
      <c r="V44" s="138"/>
      <c r="W44" s="132"/>
      <c r="X44" s="132"/>
      <c r="Y44" s="138"/>
      <c r="Z44" s="138"/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0</v>
      </c>
      <c r="AM44" s="183">
        <f t="shared" si="16"/>
        <v>0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5">
        <f t="shared" si="17"/>
        <v>0</v>
      </c>
      <c r="BJ44" s="186">
        <f t="shared" si="18"/>
        <v>0</v>
      </c>
      <c r="BK44" s="138"/>
      <c r="BL44" s="132"/>
      <c r="BM44" s="151">
        <v>1.0</v>
      </c>
      <c r="BN44" s="138"/>
      <c r="BO44" s="138"/>
      <c r="BP44" s="138"/>
      <c r="BQ44" s="138"/>
      <c r="BR44" s="150">
        <v>1.0</v>
      </c>
      <c r="BS44" s="152"/>
      <c r="BT44" s="152"/>
      <c r="BU44" s="187">
        <v>1.0</v>
      </c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3</v>
      </c>
      <c r="CG44" s="190">
        <f t="shared" si="20"/>
        <v>60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17.64705882</v>
      </c>
      <c r="CW44" s="169">
        <f t="shared" si="8"/>
        <v>3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73"/>
      <c r="K45" s="132"/>
      <c r="L45" s="201"/>
      <c r="M45" s="201"/>
      <c r="N45" s="201"/>
      <c r="O45" s="201"/>
      <c r="P45" s="201"/>
      <c r="Q45" s="201"/>
      <c r="R45" s="135">
        <f t="shared" si="13"/>
        <v>0</v>
      </c>
      <c r="S45" s="137">
        <f t="shared" si="14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>
        <f t="shared" si="20"/>
        <v>0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4</v>
      </c>
      <c r="E46" s="127">
        <f t="shared" si="10"/>
        <v>23.52941176</v>
      </c>
      <c r="F46" s="200">
        <f t="shared" si="11"/>
        <v>23.52941176</v>
      </c>
      <c r="G46" s="207">
        <f t="shared" si="12"/>
        <v>23.52941176</v>
      </c>
      <c r="H46" s="132"/>
      <c r="I46" s="132"/>
      <c r="J46" s="273"/>
      <c r="K46" s="132"/>
      <c r="L46" s="201"/>
      <c r="M46" s="201"/>
      <c r="N46" s="201"/>
      <c r="O46" s="201"/>
      <c r="P46" s="201"/>
      <c r="Q46" s="201"/>
      <c r="R46" s="135">
        <f t="shared" si="13"/>
        <v>0</v>
      </c>
      <c r="S46" s="137">
        <f t="shared" si="14"/>
        <v>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5"/>
        <v>0</v>
      </c>
      <c r="AM46" s="183">
        <f t="shared" si="16"/>
        <v>0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85">
        <v>1.0</v>
      </c>
      <c r="BI46" s="135">
        <f t="shared" si="17"/>
        <v>1</v>
      </c>
      <c r="BJ46" s="186">
        <f t="shared" si="18"/>
        <v>25</v>
      </c>
      <c r="BK46" s="138"/>
      <c r="BL46" s="132"/>
      <c r="BM46" s="151">
        <v>1.0</v>
      </c>
      <c r="BN46" s="138"/>
      <c r="BO46" s="138"/>
      <c r="BP46" s="138"/>
      <c r="BQ46" s="138"/>
      <c r="BR46" s="150">
        <v>1.0</v>
      </c>
      <c r="BS46" s="152"/>
      <c r="BT46" s="152"/>
      <c r="BU46" s="187">
        <v>1.0</v>
      </c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3</v>
      </c>
      <c r="CG46" s="190">
        <f t="shared" si="20"/>
        <v>60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23.52941176</v>
      </c>
      <c r="CW46" s="169">
        <f t="shared" si="8"/>
        <v>4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7</v>
      </c>
      <c r="E47" s="127">
        <f t="shared" si="10"/>
        <v>41.17647059</v>
      </c>
      <c r="F47" s="200">
        <f t="shared" si="11"/>
        <v>41.17647059</v>
      </c>
      <c r="G47" s="177" t="str">
        <f t="shared" si="12"/>
        <v>  </v>
      </c>
      <c r="H47" s="178"/>
      <c r="I47" s="229"/>
      <c r="J47" s="273"/>
      <c r="K47" s="229"/>
      <c r="L47" s="231"/>
      <c r="M47" s="231"/>
      <c r="N47" s="231"/>
      <c r="O47" s="231"/>
      <c r="P47" s="231"/>
      <c r="Q47" s="231"/>
      <c r="R47" s="135">
        <f t="shared" si="13"/>
        <v>0</v>
      </c>
      <c r="S47" s="137">
        <f t="shared" si="14"/>
        <v>0</v>
      </c>
      <c r="T47" s="138"/>
      <c r="U47" s="138"/>
      <c r="V47" s="138"/>
      <c r="W47" s="132"/>
      <c r="X47" s="170">
        <v>1.0</v>
      </c>
      <c r="Y47" s="138"/>
      <c r="Z47" s="138"/>
      <c r="AA47" s="151">
        <v>1.0</v>
      </c>
      <c r="AB47" s="209"/>
      <c r="AC47" s="140"/>
      <c r="AD47" s="140"/>
      <c r="AE47" s="141"/>
      <c r="AF47" s="210"/>
      <c r="AG47" s="210"/>
      <c r="AH47" s="211">
        <v>1.0</v>
      </c>
      <c r="AI47" s="210"/>
      <c r="AJ47" s="212"/>
      <c r="AK47" s="212"/>
      <c r="AL47" s="135">
        <f t="shared" si="15"/>
        <v>3</v>
      </c>
      <c r="AM47" s="183">
        <f t="shared" si="16"/>
        <v>75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85">
        <v>1.0</v>
      </c>
      <c r="BI47" s="135">
        <f t="shared" si="17"/>
        <v>1</v>
      </c>
      <c r="BJ47" s="186">
        <f t="shared" si="18"/>
        <v>25</v>
      </c>
      <c r="BK47" s="138"/>
      <c r="BL47" s="132"/>
      <c r="BM47" s="151">
        <v>1.0</v>
      </c>
      <c r="BN47" s="138"/>
      <c r="BO47" s="138"/>
      <c r="BP47" s="138"/>
      <c r="BQ47" s="138"/>
      <c r="BR47" s="150">
        <v>1.0</v>
      </c>
      <c r="BS47" s="152"/>
      <c r="BT47" s="152"/>
      <c r="BU47" s="187">
        <v>1.0</v>
      </c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3</v>
      </c>
      <c r="CG47" s="190">
        <f t="shared" si="20"/>
        <v>60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41.17647059</v>
      </c>
      <c r="CW47" s="169">
        <f t="shared" si="8"/>
        <v>7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5</v>
      </c>
      <c r="E48" s="127">
        <f t="shared" si="10"/>
        <v>29.41176471</v>
      </c>
      <c r="F48" s="200">
        <f t="shared" si="11"/>
        <v>29.41176471</v>
      </c>
      <c r="G48" s="207">
        <f t="shared" si="12"/>
        <v>29.41176471</v>
      </c>
      <c r="H48" s="258"/>
      <c r="I48" s="259"/>
      <c r="J48" s="329"/>
      <c r="K48" s="259"/>
      <c r="L48" s="267">
        <v>1.0</v>
      </c>
      <c r="M48" s="260"/>
      <c r="N48" s="260"/>
      <c r="O48" s="260"/>
      <c r="P48" s="260"/>
      <c r="Q48" s="260"/>
      <c r="R48" s="135">
        <f t="shared" si="13"/>
        <v>1</v>
      </c>
      <c r="S48" s="137">
        <f t="shared" si="14"/>
        <v>25</v>
      </c>
      <c r="T48" s="138"/>
      <c r="U48" s="138"/>
      <c r="V48" s="138"/>
      <c r="W48" s="132"/>
      <c r="X48" s="170">
        <v>1.0</v>
      </c>
      <c r="Y48" s="138"/>
      <c r="Z48" s="138"/>
      <c r="AA48" s="138"/>
      <c r="AB48" s="209"/>
      <c r="AC48" s="140"/>
      <c r="AD48" s="140"/>
      <c r="AE48" s="141"/>
      <c r="AF48" s="210"/>
      <c r="AG48" s="210"/>
      <c r="AH48" s="211">
        <v>1.0</v>
      </c>
      <c r="AI48" s="210"/>
      <c r="AJ48" s="212"/>
      <c r="AK48" s="212"/>
      <c r="AL48" s="135">
        <f t="shared" si="15"/>
        <v>2</v>
      </c>
      <c r="AM48" s="183">
        <f t="shared" si="16"/>
        <v>50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>
        <f t="shared" si="18"/>
        <v>0</v>
      </c>
      <c r="BK48" s="138"/>
      <c r="BL48" s="132"/>
      <c r="BM48" s="138"/>
      <c r="BN48" s="138"/>
      <c r="BO48" s="138"/>
      <c r="BP48" s="138"/>
      <c r="BQ48" s="138"/>
      <c r="BR48" s="150">
        <v>1.0</v>
      </c>
      <c r="BS48" s="152"/>
      <c r="BT48" s="152"/>
      <c r="BU48" s="187">
        <v>1.0</v>
      </c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2</v>
      </c>
      <c r="CG48" s="190">
        <f t="shared" si="20"/>
        <v>40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29.41176471</v>
      </c>
      <c r="CW48" s="169">
        <f t="shared" si="8"/>
        <v>5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5</v>
      </c>
      <c r="E49" s="127">
        <f t="shared" si="10"/>
        <v>29.41176471</v>
      </c>
      <c r="F49" s="200">
        <f t="shared" si="11"/>
        <v>29.41176471</v>
      </c>
      <c r="G49" s="207">
        <f t="shared" si="12"/>
        <v>29.41176471</v>
      </c>
      <c r="H49" s="258"/>
      <c r="I49" s="261"/>
      <c r="J49" s="329"/>
      <c r="K49" s="261"/>
      <c r="L49" s="268">
        <v>1.0</v>
      </c>
      <c r="M49" s="262"/>
      <c r="N49" s="262"/>
      <c r="O49" s="262"/>
      <c r="P49" s="262"/>
      <c r="Q49" s="262"/>
      <c r="R49" s="135">
        <f t="shared" si="13"/>
        <v>1</v>
      </c>
      <c r="S49" s="137">
        <f t="shared" si="14"/>
        <v>25</v>
      </c>
      <c r="T49" s="138"/>
      <c r="U49" s="138"/>
      <c r="V49" s="138"/>
      <c r="W49" s="132"/>
      <c r="X49" s="170">
        <v>1.0</v>
      </c>
      <c r="Y49" s="138"/>
      <c r="Z49" s="138"/>
      <c r="AA49" s="138"/>
      <c r="AB49" s="217"/>
      <c r="AC49" s="140"/>
      <c r="AD49" s="140"/>
      <c r="AE49" s="141"/>
      <c r="AF49" s="226"/>
      <c r="AG49" s="226"/>
      <c r="AH49" s="238">
        <v>1.0</v>
      </c>
      <c r="AI49" s="226"/>
      <c r="AJ49" s="218"/>
      <c r="AK49" s="218"/>
      <c r="AL49" s="135">
        <f t="shared" si="15"/>
        <v>2</v>
      </c>
      <c r="AM49" s="183">
        <f t="shared" si="16"/>
        <v>50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>
        <f t="shared" si="18"/>
        <v>0</v>
      </c>
      <c r="BK49" s="138"/>
      <c r="BL49" s="132"/>
      <c r="BM49" s="138"/>
      <c r="BN49" s="138"/>
      <c r="BO49" s="138"/>
      <c r="BP49" s="138"/>
      <c r="BQ49" s="138"/>
      <c r="BR49" s="150">
        <v>1.0</v>
      </c>
      <c r="BS49" s="152"/>
      <c r="BT49" s="152"/>
      <c r="BU49" s="187">
        <v>1.0</v>
      </c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2</v>
      </c>
      <c r="CG49" s="190">
        <f t="shared" si="20"/>
        <v>40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29.41176471</v>
      </c>
      <c r="CW49" s="169">
        <f t="shared" si="8"/>
        <v>5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3</v>
      </c>
      <c r="E50" s="127">
        <f t="shared" si="10"/>
        <v>17.64705882</v>
      </c>
      <c r="F50" s="200">
        <f t="shared" si="11"/>
        <v>17.64705882</v>
      </c>
      <c r="G50" s="207">
        <f t="shared" si="12"/>
        <v>17.64705882</v>
      </c>
      <c r="H50" s="258"/>
      <c r="I50" s="330"/>
      <c r="J50" s="331">
        <v>1.0</v>
      </c>
      <c r="K50" s="330"/>
      <c r="L50" s="269">
        <v>1.0</v>
      </c>
      <c r="M50" s="263"/>
      <c r="N50" s="263"/>
      <c r="O50" s="263"/>
      <c r="P50" s="263"/>
      <c r="Q50" s="263"/>
      <c r="R50" s="135">
        <f t="shared" si="13"/>
        <v>2</v>
      </c>
      <c r="S50" s="137">
        <f t="shared" si="14"/>
        <v>50</v>
      </c>
      <c r="T50" s="138"/>
      <c r="U50" s="138"/>
      <c r="V50" s="138"/>
      <c r="W50" s="132"/>
      <c r="X50" s="170">
        <v>1.0</v>
      </c>
      <c r="Y50" s="138"/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1</v>
      </c>
      <c r="AM50" s="183">
        <f t="shared" si="16"/>
        <v>25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5">
        <f t="shared" si="17"/>
        <v>0</v>
      </c>
      <c r="BJ50" s="186">
        <f t="shared" si="18"/>
        <v>0</v>
      </c>
      <c r="BK50" s="138"/>
      <c r="BL50" s="132"/>
      <c r="BM50" s="138"/>
      <c r="BN50" s="138"/>
      <c r="BO50" s="138"/>
      <c r="BP50" s="138"/>
      <c r="BQ50" s="138"/>
      <c r="BR50" s="140"/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0</v>
      </c>
      <c r="CG50" s="190">
        <f t="shared" si="20"/>
        <v>0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17.64705882</v>
      </c>
      <c r="CW50" s="169">
        <f t="shared" si="8"/>
        <v>3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5</v>
      </c>
      <c r="E51" s="127">
        <f t="shared" si="10"/>
        <v>29.41176471</v>
      </c>
      <c r="F51" s="200">
        <f t="shared" si="11"/>
        <v>29.41176471</v>
      </c>
      <c r="G51" s="207">
        <f t="shared" si="12"/>
        <v>29.41176471</v>
      </c>
      <c r="H51" s="258"/>
      <c r="I51" s="265"/>
      <c r="J51" s="329"/>
      <c r="K51" s="265"/>
      <c r="L51" s="270">
        <v>1.0</v>
      </c>
      <c r="M51" s="266"/>
      <c r="N51" s="266"/>
      <c r="O51" s="266"/>
      <c r="P51" s="266"/>
      <c r="Q51" s="266"/>
      <c r="R51" s="135">
        <f t="shared" si="13"/>
        <v>1</v>
      </c>
      <c r="S51" s="137">
        <f t="shared" si="14"/>
        <v>25</v>
      </c>
      <c r="T51" s="138"/>
      <c r="U51" s="138"/>
      <c r="V51" s="138"/>
      <c r="W51" s="132"/>
      <c r="X51" s="132"/>
      <c r="Y51" s="138"/>
      <c r="Z51" s="138"/>
      <c r="AA51" s="151">
        <v>1.0</v>
      </c>
      <c r="AB51" s="247"/>
      <c r="AC51" s="140"/>
      <c r="AD51" s="140"/>
      <c r="AE51" s="141"/>
      <c r="AF51" s="248"/>
      <c r="AG51" s="248"/>
      <c r="AH51" s="248"/>
      <c r="AI51" s="248"/>
      <c r="AJ51" s="249"/>
      <c r="AK51" s="249"/>
      <c r="AL51" s="135">
        <f t="shared" si="15"/>
        <v>1</v>
      </c>
      <c r="AM51" s="183">
        <f t="shared" si="16"/>
        <v>25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85">
        <v>1.0</v>
      </c>
      <c r="BI51" s="135">
        <f t="shared" si="17"/>
        <v>1</v>
      </c>
      <c r="BJ51" s="186">
        <f t="shared" si="18"/>
        <v>25</v>
      </c>
      <c r="BK51" s="138"/>
      <c r="BL51" s="132"/>
      <c r="BM51" s="138"/>
      <c r="BN51" s="138"/>
      <c r="BO51" s="138"/>
      <c r="BP51" s="151">
        <v>1.0</v>
      </c>
      <c r="BQ51" s="138"/>
      <c r="BR51" s="140"/>
      <c r="BS51" s="152"/>
      <c r="BT51" s="152"/>
      <c r="BU51" s="187">
        <v>1.0</v>
      </c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2</v>
      </c>
      <c r="CG51" s="190">
        <f t="shared" si="20"/>
        <v>40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29.41176471</v>
      </c>
      <c r="CW51" s="169">
        <f t="shared" si="8"/>
        <v>5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4</v>
      </c>
      <c r="E52" s="127">
        <f t="shared" si="10"/>
        <v>23.52941176</v>
      </c>
      <c r="F52" s="200">
        <f t="shared" si="11"/>
        <v>23.52941176</v>
      </c>
      <c r="G52" s="207">
        <f t="shared" si="12"/>
        <v>23.52941176</v>
      </c>
      <c r="H52" s="258"/>
      <c r="I52" s="258"/>
      <c r="J52" s="329"/>
      <c r="K52" s="258"/>
      <c r="L52" s="269">
        <v>1.0</v>
      </c>
      <c r="M52" s="263"/>
      <c r="N52" s="263"/>
      <c r="O52" s="263"/>
      <c r="P52" s="263"/>
      <c r="Q52" s="263"/>
      <c r="R52" s="135">
        <f t="shared" si="13"/>
        <v>1</v>
      </c>
      <c r="S52" s="137">
        <f t="shared" si="14"/>
        <v>25</v>
      </c>
      <c r="T52" s="138"/>
      <c r="U52" s="138"/>
      <c r="V52" s="138"/>
      <c r="W52" s="132"/>
      <c r="X52" s="132"/>
      <c r="Y52" s="138"/>
      <c r="Z52" s="138"/>
      <c r="AA52" s="151">
        <v>1.0</v>
      </c>
      <c r="AB52" s="209"/>
      <c r="AC52" s="140"/>
      <c r="AD52" s="140"/>
      <c r="AE52" s="141"/>
      <c r="AF52" s="210"/>
      <c r="AG52" s="210"/>
      <c r="AH52" s="211">
        <v>1.0</v>
      </c>
      <c r="AI52" s="210"/>
      <c r="AJ52" s="212"/>
      <c r="AK52" s="212"/>
      <c r="AL52" s="135">
        <f t="shared" si="15"/>
        <v>2</v>
      </c>
      <c r="AM52" s="183">
        <f t="shared" si="16"/>
        <v>50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85">
        <v>1.0</v>
      </c>
      <c r="BG52" s="133"/>
      <c r="BH52" s="133"/>
      <c r="BI52" s="135">
        <f t="shared" si="17"/>
        <v>1</v>
      </c>
      <c r="BJ52" s="186">
        <f t="shared" si="18"/>
        <v>25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>
        <f t="shared" si="20"/>
        <v>0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23.52941176</v>
      </c>
      <c r="CW52" s="169">
        <f t="shared" si="8"/>
        <v>4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6</v>
      </c>
      <c r="E53" s="127">
        <f t="shared" si="10"/>
        <v>35.29411765</v>
      </c>
      <c r="F53" s="200">
        <f t="shared" si="11"/>
        <v>35.29411765</v>
      </c>
      <c r="G53" s="177" t="str">
        <f t="shared" si="12"/>
        <v>  </v>
      </c>
      <c r="H53" s="258"/>
      <c r="I53" s="258"/>
      <c r="J53" s="329"/>
      <c r="K53" s="258"/>
      <c r="L53" s="269">
        <v>1.0</v>
      </c>
      <c r="M53" s="263"/>
      <c r="N53" s="263"/>
      <c r="O53" s="263"/>
      <c r="P53" s="263"/>
      <c r="Q53" s="263"/>
      <c r="R53" s="135">
        <f t="shared" si="13"/>
        <v>1</v>
      </c>
      <c r="S53" s="137">
        <f t="shared" si="14"/>
        <v>25</v>
      </c>
      <c r="T53" s="138"/>
      <c r="U53" s="138"/>
      <c r="V53" s="138"/>
      <c r="W53" s="132"/>
      <c r="X53" s="132"/>
      <c r="Y53" s="138"/>
      <c r="Z53" s="138"/>
      <c r="AA53" s="151">
        <v>1.0</v>
      </c>
      <c r="AB53" s="209"/>
      <c r="AC53" s="140"/>
      <c r="AD53" s="140"/>
      <c r="AE53" s="141"/>
      <c r="AF53" s="210"/>
      <c r="AG53" s="210"/>
      <c r="AH53" s="210"/>
      <c r="AI53" s="210"/>
      <c r="AJ53" s="212"/>
      <c r="AK53" s="212"/>
      <c r="AL53" s="135">
        <f t="shared" si="15"/>
        <v>1</v>
      </c>
      <c r="AM53" s="183">
        <f t="shared" si="16"/>
        <v>25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85">
        <v>1.0</v>
      </c>
      <c r="BG53" s="133"/>
      <c r="BH53" s="185">
        <v>1.0</v>
      </c>
      <c r="BI53" s="135">
        <f t="shared" si="17"/>
        <v>2</v>
      </c>
      <c r="BJ53" s="186">
        <f t="shared" si="18"/>
        <v>50</v>
      </c>
      <c r="BK53" s="138"/>
      <c r="BL53" s="132"/>
      <c r="BM53" s="151">
        <v>1.0</v>
      </c>
      <c r="BN53" s="138"/>
      <c r="BO53" s="138"/>
      <c r="BP53" s="151">
        <v>1.0</v>
      </c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2</v>
      </c>
      <c r="CG53" s="190">
        <f t="shared" si="20"/>
        <v>40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35.29411765</v>
      </c>
      <c r="CW53" s="169">
        <f t="shared" si="8"/>
        <v>6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3</v>
      </c>
      <c r="E54" s="127">
        <f t="shared" si="10"/>
        <v>17.64705882</v>
      </c>
      <c r="F54" s="200">
        <f t="shared" si="11"/>
        <v>17.64705882</v>
      </c>
      <c r="G54" s="207">
        <f t="shared" si="12"/>
        <v>17.64705882</v>
      </c>
      <c r="H54" s="265"/>
      <c r="I54" s="258"/>
      <c r="J54" s="329"/>
      <c r="K54" s="258"/>
      <c r="L54" s="263"/>
      <c r="M54" s="263"/>
      <c r="N54" s="263"/>
      <c r="O54" s="263"/>
      <c r="P54" s="263"/>
      <c r="Q54" s="263"/>
      <c r="R54" s="135">
        <f t="shared" si="13"/>
        <v>0</v>
      </c>
      <c r="S54" s="137">
        <f t="shared" si="14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>
        <f t="shared" si="18"/>
        <v>0</v>
      </c>
      <c r="BK54" s="138"/>
      <c r="BL54" s="132"/>
      <c r="BM54" s="151">
        <v>1.0</v>
      </c>
      <c r="BN54" s="138"/>
      <c r="BO54" s="138"/>
      <c r="BP54" s="151">
        <v>1.0</v>
      </c>
      <c r="BQ54" s="138"/>
      <c r="BR54" s="150">
        <v>1.0</v>
      </c>
      <c r="BS54" s="152"/>
      <c r="BT54" s="152"/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3</v>
      </c>
      <c r="CG54" s="190">
        <f t="shared" si="20"/>
        <v>60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17.64705882</v>
      </c>
      <c r="CW54" s="169">
        <f t="shared" si="8"/>
        <v>3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4</v>
      </c>
      <c r="E55" s="127">
        <f t="shared" si="10"/>
        <v>23.52941176</v>
      </c>
      <c r="F55" s="200">
        <f t="shared" si="11"/>
        <v>23.52941176</v>
      </c>
      <c r="G55" s="207">
        <f t="shared" si="12"/>
        <v>23.52941176</v>
      </c>
      <c r="H55" s="258"/>
      <c r="I55" s="259"/>
      <c r="J55" s="329"/>
      <c r="K55" s="259"/>
      <c r="L55" s="260"/>
      <c r="M55" s="260"/>
      <c r="N55" s="260"/>
      <c r="O55" s="260"/>
      <c r="P55" s="260"/>
      <c r="Q55" s="260"/>
      <c r="R55" s="135">
        <f t="shared" si="13"/>
        <v>0</v>
      </c>
      <c r="S55" s="137">
        <f t="shared" si="14"/>
        <v>0</v>
      </c>
      <c r="T55" s="138"/>
      <c r="U55" s="138"/>
      <c r="V55" s="138"/>
      <c r="W55" s="132"/>
      <c r="X55" s="170">
        <v>1.0</v>
      </c>
      <c r="Y55" s="138"/>
      <c r="Z55" s="138"/>
      <c r="AA55" s="151">
        <v>1.0</v>
      </c>
      <c r="AB55" s="209"/>
      <c r="AC55" s="140"/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2</v>
      </c>
      <c r="AM55" s="183">
        <f t="shared" si="16"/>
        <v>50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>
        <f t="shared" si="18"/>
        <v>0</v>
      </c>
      <c r="BK55" s="138"/>
      <c r="BL55" s="132"/>
      <c r="BM55" s="138"/>
      <c r="BN55" s="138"/>
      <c r="BO55" s="138"/>
      <c r="BP55" s="138"/>
      <c r="BQ55" s="138"/>
      <c r="BR55" s="150">
        <v>1.0</v>
      </c>
      <c r="BS55" s="152"/>
      <c r="BT55" s="152"/>
      <c r="BU55" s="187">
        <v>1.0</v>
      </c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2</v>
      </c>
      <c r="CG55" s="190">
        <f t="shared" si="20"/>
        <v>40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23.52941176</v>
      </c>
      <c r="CW55" s="169">
        <f t="shared" si="8"/>
        <v>4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4</v>
      </c>
      <c r="E56" s="127">
        <f t="shared" si="10"/>
        <v>23.52941176</v>
      </c>
      <c r="F56" s="200">
        <f t="shared" si="11"/>
        <v>23.52941176</v>
      </c>
      <c r="G56" s="207">
        <f t="shared" si="12"/>
        <v>23.52941176</v>
      </c>
      <c r="H56" s="258"/>
      <c r="I56" s="265"/>
      <c r="J56" s="329"/>
      <c r="K56" s="265"/>
      <c r="L56" s="266"/>
      <c r="M56" s="266"/>
      <c r="N56" s="266"/>
      <c r="O56" s="266"/>
      <c r="P56" s="266"/>
      <c r="Q56" s="266"/>
      <c r="R56" s="135">
        <f t="shared" si="13"/>
        <v>0</v>
      </c>
      <c r="S56" s="137">
        <f t="shared" si="14"/>
        <v>0</v>
      </c>
      <c r="T56" s="138"/>
      <c r="U56" s="138"/>
      <c r="V56" s="138"/>
      <c r="W56" s="132"/>
      <c r="X56" s="170">
        <v>1.0</v>
      </c>
      <c r="Y56" s="138"/>
      <c r="Z56" s="138"/>
      <c r="AA56" s="138"/>
      <c r="AB56" s="209"/>
      <c r="AC56" s="140"/>
      <c r="AD56" s="140"/>
      <c r="AE56" s="141"/>
      <c r="AF56" s="210"/>
      <c r="AG56" s="210"/>
      <c r="AH56" s="210"/>
      <c r="AI56" s="210"/>
      <c r="AJ56" s="212"/>
      <c r="AK56" s="212"/>
      <c r="AL56" s="135">
        <f t="shared" si="15"/>
        <v>1</v>
      </c>
      <c r="AM56" s="183">
        <f t="shared" si="16"/>
        <v>25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85">
        <v>1.0</v>
      </c>
      <c r="BI56" s="135">
        <f t="shared" si="17"/>
        <v>1</v>
      </c>
      <c r="BJ56" s="186">
        <f t="shared" si="18"/>
        <v>25</v>
      </c>
      <c r="BK56" s="151">
        <v>1.0</v>
      </c>
      <c r="BL56" s="132"/>
      <c r="BM56" s="138"/>
      <c r="BN56" s="138"/>
      <c r="BO56" s="138"/>
      <c r="BP56" s="138"/>
      <c r="BQ56" s="138"/>
      <c r="BR56" s="140"/>
      <c r="BS56" s="152"/>
      <c r="BT56" s="152"/>
      <c r="BU56" s="187">
        <v>1.0</v>
      </c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2</v>
      </c>
      <c r="CG56" s="190">
        <f t="shared" si="20"/>
        <v>40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23.52941176</v>
      </c>
      <c r="CW56" s="169">
        <f t="shared" si="8"/>
        <v>4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4</v>
      </c>
      <c r="E57" s="127">
        <f t="shared" si="10"/>
        <v>23.52941176</v>
      </c>
      <c r="F57" s="200">
        <f t="shared" si="11"/>
        <v>23.52941176</v>
      </c>
      <c r="G57" s="207">
        <f t="shared" si="12"/>
        <v>23.52941176</v>
      </c>
      <c r="H57" s="258"/>
      <c r="I57" s="258"/>
      <c r="J57" s="329"/>
      <c r="K57" s="258"/>
      <c r="L57" s="263"/>
      <c r="M57" s="263"/>
      <c r="N57" s="263"/>
      <c r="O57" s="263"/>
      <c r="P57" s="263"/>
      <c r="Q57" s="263"/>
      <c r="R57" s="135">
        <f t="shared" si="13"/>
        <v>0</v>
      </c>
      <c r="S57" s="137">
        <f t="shared" si="14"/>
        <v>0</v>
      </c>
      <c r="T57" s="138"/>
      <c r="U57" s="138"/>
      <c r="V57" s="138"/>
      <c r="W57" s="132"/>
      <c r="X57" s="170">
        <v>1.0</v>
      </c>
      <c r="Y57" s="138"/>
      <c r="Z57" s="138"/>
      <c r="AA57" s="138"/>
      <c r="AB57" s="209"/>
      <c r="AC57" s="140"/>
      <c r="AD57" s="140"/>
      <c r="AE57" s="141"/>
      <c r="AF57" s="210"/>
      <c r="AG57" s="210"/>
      <c r="AH57" s="210"/>
      <c r="AI57" s="210"/>
      <c r="AJ57" s="212"/>
      <c r="AK57" s="212"/>
      <c r="AL57" s="135">
        <f t="shared" si="15"/>
        <v>1</v>
      </c>
      <c r="AM57" s="183">
        <f t="shared" si="16"/>
        <v>25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85">
        <v>1.0</v>
      </c>
      <c r="BG57" s="133"/>
      <c r="BH57" s="133"/>
      <c r="BI57" s="135">
        <f t="shared" si="17"/>
        <v>1</v>
      </c>
      <c r="BJ57" s="186">
        <f t="shared" si="18"/>
        <v>25</v>
      </c>
      <c r="BK57" s="138"/>
      <c r="BL57" s="132"/>
      <c r="BM57" s="138"/>
      <c r="BN57" s="138"/>
      <c r="BO57" s="138"/>
      <c r="BP57" s="138"/>
      <c r="BQ57" s="138"/>
      <c r="BR57" s="150">
        <v>1.0</v>
      </c>
      <c r="BS57" s="152"/>
      <c r="BT57" s="152"/>
      <c r="BU57" s="187">
        <v>1.0</v>
      </c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2</v>
      </c>
      <c r="CG57" s="190">
        <f t="shared" si="20"/>
        <v>40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23.52941176</v>
      </c>
      <c r="CW57" s="169">
        <f t="shared" si="8"/>
        <v>4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6</v>
      </c>
      <c r="E58" s="127">
        <f t="shared" si="10"/>
        <v>35.29411765</v>
      </c>
      <c r="F58" s="200">
        <f t="shared" si="11"/>
        <v>35.29411765</v>
      </c>
      <c r="G58" s="177" t="str">
        <f t="shared" si="12"/>
        <v>  </v>
      </c>
      <c r="H58" s="258"/>
      <c r="I58" s="332"/>
      <c r="J58" s="333">
        <v>1.0</v>
      </c>
      <c r="K58" s="332"/>
      <c r="L58" s="262"/>
      <c r="M58" s="262"/>
      <c r="N58" s="262"/>
      <c r="O58" s="262"/>
      <c r="P58" s="262"/>
      <c r="Q58" s="262"/>
      <c r="R58" s="135">
        <f t="shared" si="13"/>
        <v>1</v>
      </c>
      <c r="S58" s="137">
        <f t="shared" si="14"/>
        <v>25</v>
      </c>
      <c r="T58" s="138"/>
      <c r="U58" s="138"/>
      <c r="V58" s="138"/>
      <c r="W58" s="132"/>
      <c r="X58" s="132"/>
      <c r="Y58" s="138"/>
      <c r="Z58" s="138"/>
      <c r="AA58" s="138"/>
      <c r="AB58" s="217"/>
      <c r="AC58" s="140"/>
      <c r="AD58" s="140"/>
      <c r="AE58" s="141"/>
      <c r="AF58" s="226"/>
      <c r="AG58" s="226"/>
      <c r="AH58" s="226"/>
      <c r="AI58" s="226"/>
      <c r="AJ58" s="218"/>
      <c r="AK58" s="218"/>
      <c r="AL58" s="135">
        <f t="shared" si="15"/>
        <v>0</v>
      </c>
      <c r="AM58" s="183">
        <f t="shared" si="16"/>
        <v>0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85">
        <v>1.0</v>
      </c>
      <c r="BG58" s="133"/>
      <c r="BH58" s="185">
        <v>1.0</v>
      </c>
      <c r="BI58" s="135">
        <f t="shared" si="17"/>
        <v>2</v>
      </c>
      <c r="BJ58" s="186">
        <f t="shared" si="18"/>
        <v>50</v>
      </c>
      <c r="BK58" s="138"/>
      <c r="BL58" s="132"/>
      <c r="BM58" s="151">
        <v>1.0</v>
      </c>
      <c r="BN58" s="138"/>
      <c r="BO58" s="138"/>
      <c r="BP58" s="138"/>
      <c r="BQ58" s="138"/>
      <c r="BR58" s="150">
        <v>1.0</v>
      </c>
      <c r="BS58" s="152"/>
      <c r="BT58" s="152"/>
      <c r="BU58" s="187">
        <v>1.0</v>
      </c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3</v>
      </c>
      <c r="CG58" s="190">
        <f t="shared" si="20"/>
        <v>60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35.29411765</v>
      </c>
      <c r="CW58" s="169">
        <f t="shared" si="8"/>
        <v>6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4</v>
      </c>
      <c r="E59" s="127">
        <f t="shared" si="10"/>
        <v>23.52941176</v>
      </c>
      <c r="F59" s="200">
        <f t="shared" si="11"/>
        <v>23.52941176</v>
      </c>
      <c r="G59" s="207">
        <f t="shared" si="12"/>
        <v>23.52941176</v>
      </c>
      <c r="H59" s="258"/>
      <c r="I59" s="261"/>
      <c r="J59" s="329"/>
      <c r="K59" s="261"/>
      <c r="L59" s="268">
        <v>1.0</v>
      </c>
      <c r="M59" s="262"/>
      <c r="N59" s="262"/>
      <c r="O59" s="262"/>
      <c r="P59" s="262"/>
      <c r="Q59" s="262"/>
      <c r="R59" s="135">
        <f t="shared" si="13"/>
        <v>1</v>
      </c>
      <c r="S59" s="137">
        <f t="shared" si="14"/>
        <v>25</v>
      </c>
      <c r="T59" s="138"/>
      <c r="U59" s="138"/>
      <c r="V59" s="138"/>
      <c r="W59" s="132"/>
      <c r="X59" s="170">
        <v>1.0</v>
      </c>
      <c r="Y59" s="138"/>
      <c r="Z59" s="138"/>
      <c r="AA59" s="138"/>
      <c r="AB59" s="217"/>
      <c r="AC59" s="140"/>
      <c r="AD59" s="140"/>
      <c r="AE59" s="141"/>
      <c r="AF59" s="226"/>
      <c r="AG59" s="226"/>
      <c r="AH59" s="238">
        <v>1.0</v>
      </c>
      <c r="AI59" s="226"/>
      <c r="AJ59" s="218"/>
      <c r="AK59" s="218"/>
      <c r="AL59" s="135">
        <f t="shared" si="15"/>
        <v>2</v>
      </c>
      <c r="AM59" s="183">
        <f t="shared" si="16"/>
        <v>50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5">
        <f t="shared" si="17"/>
        <v>0</v>
      </c>
      <c r="BJ59" s="186">
        <f t="shared" si="18"/>
        <v>0</v>
      </c>
      <c r="BK59" s="138"/>
      <c r="BL59" s="132"/>
      <c r="BM59" s="138"/>
      <c r="BN59" s="138"/>
      <c r="BO59" s="138"/>
      <c r="BP59" s="138"/>
      <c r="BQ59" s="138"/>
      <c r="BR59" s="150">
        <v>1.0</v>
      </c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1</v>
      </c>
      <c r="CG59" s="190">
        <f t="shared" si="20"/>
        <v>20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23.52941176</v>
      </c>
      <c r="CW59" s="169">
        <f t="shared" si="8"/>
        <v>4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5</v>
      </c>
      <c r="E60" s="127">
        <f t="shared" si="10"/>
        <v>29.41176471</v>
      </c>
      <c r="F60" s="200">
        <f t="shared" si="11"/>
        <v>29.41176471</v>
      </c>
      <c r="G60" s="207">
        <f t="shared" si="12"/>
        <v>29.41176471</v>
      </c>
      <c r="H60" s="258"/>
      <c r="I60" s="334">
        <v>1.0</v>
      </c>
      <c r="J60" s="329"/>
      <c r="K60" s="265"/>
      <c r="L60" s="266"/>
      <c r="M60" s="266"/>
      <c r="N60" s="266"/>
      <c r="O60" s="266"/>
      <c r="P60" s="266"/>
      <c r="Q60" s="266"/>
      <c r="R60" s="135">
        <f t="shared" si="13"/>
        <v>1</v>
      </c>
      <c r="S60" s="137">
        <f t="shared" si="14"/>
        <v>25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0</v>
      </c>
      <c r="AM60" s="183">
        <f t="shared" si="16"/>
        <v>0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85">
        <v>1.0</v>
      </c>
      <c r="BG60" s="133"/>
      <c r="BH60" s="185">
        <v>1.0</v>
      </c>
      <c r="BI60" s="135">
        <f t="shared" si="17"/>
        <v>2</v>
      </c>
      <c r="BJ60" s="186">
        <f t="shared" si="18"/>
        <v>50</v>
      </c>
      <c r="BK60" s="138"/>
      <c r="BL60" s="132"/>
      <c r="BM60" s="151">
        <v>1.0</v>
      </c>
      <c r="BN60" s="138"/>
      <c r="BO60" s="138"/>
      <c r="BP60" s="151">
        <v>1.0</v>
      </c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2</v>
      </c>
      <c r="CG60" s="190">
        <f t="shared" si="20"/>
        <v>40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29.41176471</v>
      </c>
      <c r="CW60" s="169">
        <f t="shared" si="8"/>
        <v>5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7</v>
      </c>
      <c r="E61" s="127">
        <f t="shared" si="10"/>
        <v>41.17647059</v>
      </c>
      <c r="F61" s="200">
        <f t="shared" si="11"/>
        <v>41.17647059</v>
      </c>
      <c r="G61" s="177" t="str">
        <f t="shared" si="12"/>
        <v>  </v>
      </c>
      <c r="H61" s="265"/>
      <c r="I61" s="258"/>
      <c r="J61" s="329"/>
      <c r="K61" s="258"/>
      <c r="L61" s="263"/>
      <c r="M61" s="263"/>
      <c r="N61" s="263"/>
      <c r="O61" s="263"/>
      <c r="P61" s="263"/>
      <c r="Q61" s="263"/>
      <c r="R61" s="135">
        <f t="shared" si="13"/>
        <v>0</v>
      </c>
      <c r="S61" s="137">
        <f t="shared" si="14"/>
        <v>0</v>
      </c>
      <c r="T61" s="138"/>
      <c r="U61" s="138"/>
      <c r="V61" s="138"/>
      <c r="W61" s="132"/>
      <c r="X61" s="132"/>
      <c r="Y61" s="138"/>
      <c r="Z61" s="138"/>
      <c r="AA61" s="151">
        <v>1.0</v>
      </c>
      <c r="AB61" s="209"/>
      <c r="AC61" s="140"/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5"/>
        <v>1</v>
      </c>
      <c r="AM61" s="183">
        <f t="shared" si="16"/>
        <v>25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85">
        <v>1.0</v>
      </c>
      <c r="BG61" s="133"/>
      <c r="BH61" s="185">
        <v>1.0</v>
      </c>
      <c r="BI61" s="135">
        <f t="shared" si="17"/>
        <v>2</v>
      </c>
      <c r="BJ61" s="186">
        <f t="shared" si="18"/>
        <v>50</v>
      </c>
      <c r="BK61" s="151">
        <v>1.0</v>
      </c>
      <c r="BL61" s="132"/>
      <c r="BM61" s="151">
        <v>1.0</v>
      </c>
      <c r="BN61" s="138"/>
      <c r="BO61" s="138"/>
      <c r="BP61" s="151">
        <v>1.0</v>
      </c>
      <c r="BQ61" s="138"/>
      <c r="BR61" s="140"/>
      <c r="BS61" s="152"/>
      <c r="BT61" s="152"/>
      <c r="BU61" s="187">
        <v>1.0</v>
      </c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4</v>
      </c>
      <c r="CG61" s="190">
        <f t="shared" si="20"/>
        <v>80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41.17647059</v>
      </c>
      <c r="CW61" s="169">
        <f t="shared" si="8"/>
        <v>7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2</v>
      </c>
      <c r="E62" s="127">
        <f t="shared" si="10"/>
        <v>11.76470588</v>
      </c>
      <c r="F62" s="200">
        <f t="shared" si="11"/>
        <v>11.76470588</v>
      </c>
      <c r="G62" s="207">
        <f t="shared" si="12"/>
        <v>11.76470588</v>
      </c>
      <c r="H62" s="258"/>
      <c r="I62" s="258"/>
      <c r="J62" s="329"/>
      <c r="K62" s="258"/>
      <c r="L62" s="263"/>
      <c r="M62" s="263"/>
      <c r="N62" s="263"/>
      <c r="O62" s="263"/>
      <c r="P62" s="263"/>
      <c r="Q62" s="263"/>
      <c r="R62" s="135">
        <f t="shared" si="13"/>
        <v>0</v>
      </c>
      <c r="S62" s="137">
        <f t="shared" si="14"/>
        <v>0</v>
      </c>
      <c r="T62" s="138"/>
      <c r="U62" s="138"/>
      <c r="V62" s="138"/>
      <c r="W62" s="132"/>
      <c r="X62" s="132"/>
      <c r="Y62" s="138"/>
      <c r="Z62" s="138"/>
      <c r="AA62" s="151">
        <v>1.0</v>
      </c>
      <c r="AB62" s="233"/>
      <c r="AC62" s="140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5"/>
        <v>1</v>
      </c>
      <c r="AM62" s="183">
        <f t="shared" si="16"/>
        <v>25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>
        <f t="shared" si="18"/>
        <v>0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87">
        <v>1.0</v>
      </c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1</v>
      </c>
      <c r="CG62" s="190">
        <f t="shared" si="20"/>
        <v>20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11.76470588</v>
      </c>
      <c r="CW62" s="169">
        <f t="shared" si="8"/>
        <v>2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2</v>
      </c>
      <c r="E63" s="127">
        <f t="shared" si="10"/>
        <v>11.76470588</v>
      </c>
      <c r="F63" s="200">
        <f t="shared" si="11"/>
        <v>11.76470588</v>
      </c>
      <c r="G63" s="207">
        <f t="shared" si="12"/>
        <v>11.76470588</v>
      </c>
      <c r="H63" s="258"/>
      <c r="I63" s="258"/>
      <c r="J63" s="329"/>
      <c r="K63" s="258"/>
      <c r="L63" s="263"/>
      <c r="M63" s="263"/>
      <c r="N63" s="263"/>
      <c r="O63" s="263"/>
      <c r="P63" s="263"/>
      <c r="Q63" s="263"/>
      <c r="R63" s="135">
        <f t="shared" si="13"/>
        <v>0</v>
      </c>
      <c r="S63" s="137">
        <f t="shared" si="14"/>
        <v>0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0</v>
      </c>
      <c r="AM63" s="183">
        <f t="shared" si="16"/>
        <v>0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7"/>
        <v>0</v>
      </c>
      <c r="BJ63" s="186">
        <f t="shared" si="18"/>
        <v>0</v>
      </c>
      <c r="BK63" s="138"/>
      <c r="BL63" s="132"/>
      <c r="BM63" s="151">
        <v>1.0</v>
      </c>
      <c r="BN63" s="138"/>
      <c r="BO63" s="138"/>
      <c r="BP63" s="151">
        <v>1.0</v>
      </c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2</v>
      </c>
      <c r="CG63" s="190">
        <f t="shared" si="20"/>
        <v>40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11.76470588</v>
      </c>
      <c r="CW63" s="169">
        <f t="shared" si="8"/>
        <v>2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3</v>
      </c>
      <c r="E64" s="127">
        <f t="shared" si="10"/>
        <v>17.64705882</v>
      </c>
      <c r="F64" s="200">
        <f t="shared" si="11"/>
        <v>17.64705882</v>
      </c>
      <c r="G64" s="207">
        <f t="shared" si="12"/>
        <v>17.64705882</v>
      </c>
      <c r="H64" s="258"/>
      <c r="I64" s="258"/>
      <c r="J64" s="329"/>
      <c r="K64" s="258"/>
      <c r="L64" s="263"/>
      <c r="M64" s="263"/>
      <c r="N64" s="263"/>
      <c r="O64" s="263"/>
      <c r="P64" s="263"/>
      <c r="Q64" s="263"/>
      <c r="R64" s="135">
        <f t="shared" si="13"/>
        <v>0</v>
      </c>
      <c r="S64" s="137">
        <f t="shared" si="14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>
        <f t="shared" si="18"/>
        <v>0</v>
      </c>
      <c r="BK64" s="138"/>
      <c r="BL64" s="132"/>
      <c r="BM64" s="151">
        <v>1.0</v>
      </c>
      <c r="BN64" s="138"/>
      <c r="BO64" s="138"/>
      <c r="BP64" s="151">
        <v>1.0</v>
      </c>
      <c r="BQ64" s="138"/>
      <c r="BR64" s="150">
        <v>1.0</v>
      </c>
      <c r="BS64" s="152"/>
      <c r="BT64" s="152"/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3</v>
      </c>
      <c r="CG64" s="190">
        <f t="shared" si="20"/>
        <v>60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17.64705882</v>
      </c>
      <c r="CW64" s="169">
        <f t="shared" si="8"/>
        <v>3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329"/>
      <c r="K65" s="258"/>
      <c r="L65" s="263"/>
      <c r="M65" s="263"/>
      <c r="N65" s="263"/>
      <c r="O65" s="263"/>
      <c r="P65" s="263"/>
      <c r="Q65" s="263"/>
      <c r="R65" s="135">
        <f t="shared" si="13"/>
        <v>0</v>
      </c>
      <c r="S65" s="137">
        <f t="shared" si="14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>
        <f t="shared" si="20"/>
        <v>0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7</v>
      </c>
      <c r="E66" s="127">
        <f t="shared" si="10"/>
        <v>41.17647059</v>
      </c>
      <c r="F66" s="200">
        <f t="shared" si="11"/>
        <v>41.17647059</v>
      </c>
      <c r="G66" s="177" t="str">
        <f t="shared" si="12"/>
        <v>  </v>
      </c>
      <c r="H66" s="258"/>
      <c r="I66" s="258"/>
      <c r="J66" s="329"/>
      <c r="K66" s="258"/>
      <c r="L66" s="263"/>
      <c r="M66" s="263"/>
      <c r="N66" s="263"/>
      <c r="O66" s="263"/>
      <c r="P66" s="263"/>
      <c r="Q66" s="263"/>
      <c r="R66" s="135">
        <f t="shared" si="13"/>
        <v>0</v>
      </c>
      <c r="S66" s="137">
        <f t="shared" si="14"/>
        <v>0</v>
      </c>
      <c r="T66" s="138"/>
      <c r="U66" s="138"/>
      <c r="V66" s="138"/>
      <c r="W66" s="132"/>
      <c r="X66" s="132"/>
      <c r="Y66" s="138"/>
      <c r="Z66" s="138"/>
      <c r="AA66" s="138"/>
      <c r="AB66" s="209"/>
      <c r="AC66" s="140"/>
      <c r="AD66" s="140"/>
      <c r="AE66" s="141"/>
      <c r="AF66" s="211">
        <v>1.0</v>
      </c>
      <c r="AG66" s="210"/>
      <c r="AH66" s="210"/>
      <c r="AI66" s="210"/>
      <c r="AJ66" s="212"/>
      <c r="AK66" s="212"/>
      <c r="AL66" s="135">
        <f t="shared" si="15"/>
        <v>1</v>
      </c>
      <c r="AM66" s="183">
        <f t="shared" si="16"/>
        <v>25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85">
        <v>1.0</v>
      </c>
      <c r="BG66" s="133"/>
      <c r="BH66" s="185">
        <v>1.0</v>
      </c>
      <c r="BI66" s="135">
        <f t="shared" si="17"/>
        <v>2</v>
      </c>
      <c r="BJ66" s="186">
        <f t="shared" si="18"/>
        <v>50</v>
      </c>
      <c r="BK66" s="151">
        <v>1.0</v>
      </c>
      <c r="BL66" s="132"/>
      <c r="BM66" s="151">
        <v>1.0</v>
      </c>
      <c r="BN66" s="138"/>
      <c r="BO66" s="138"/>
      <c r="BP66" s="138"/>
      <c r="BQ66" s="138"/>
      <c r="BR66" s="150">
        <v>1.0</v>
      </c>
      <c r="BS66" s="152"/>
      <c r="BT66" s="152"/>
      <c r="BU66" s="187">
        <v>1.0</v>
      </c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4</v>
      </c>
      <c r="CG66" s="190">
        <f t="shared" si="20"/>
        <v>80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41.17647059</v>
      </c>
      <c r="CW66" s="169">
        <f t="shared" si="8"/>
        <v>7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1</v>
      </c>
      <c r="E67" s="127">
        <f t="shared" si="10"/>
        <v>5.882352941</v>
      </c>
      <c r="F67" s="200">
        <f t="shared" si="11"/>
        <v>5.882352941</v>
      </c>
      <c r="G67" s="207">
        <f t="shared" si="12"/>
        <v>5.882352941</v>
      </c>
      <c r="H67" s="265"/>
      <c r="I67" s="265"/>
      <c r="J67" s="329"/>
      <c r="K67" s="265"/>
      <c r="L67" s="266"/>
      <c r="M67" s="266"/>
      <c r="N67" s="266"/>
      <c r="O67" s="266"/>
      <c r="P67" s="266"/>
      <c r="Q67" s="266"/>
      <c r="R67" s="135">
        <f t="shared" si="13"/>
        <v>0</v>
      </c>
      <c r="S67" s="137">
        <f t="shared" si="14"/>
        <v>0</v>
      </c>
      <c r="T67" s="138"/>
      <c r="U67" s="138"/>
      <c r="V67" s="138"/>
      <c r="W67" s="132"/>
      <c r="X67" s="132"/>
      <c r="Y67" s="138"/>
      <c r="Z67" s="138"/>
      <c r="AA67" s="138"/>
      <c r="AB67" s="233"/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0</v>
      </c>
      <c r="AM67" s="183">
        <f t="shared" si="16"/>
        <v>0</v>
      </c>
      <c r="AN67" s="324">
        <v>1.0</v>
      </c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1</v>
      </c>
      <c r="BJ67" s="186">
        <f t="shared" si="18"/>
        <v>25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0</v>
      </c>
      <c r="CG67" s="190">
        <f t="shared" si="20"/>
        <v>0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5.882352941</v>
      </c>
      <c r="CW67" s="169">
        <f t="shared" si="8"/>
        <v>1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5</v>
      </c>
      <c r="E68" s="127">
        <f t="shared" si="10"/>
        <v>29.41176471</v>
      </c>
      <c r="F68" s="200">
        <f t="shared" si="11"/>
        <v>29.41176471</v>
      </c>
      <c r="G68" s="207">
        <f t="shared" si="12"/>
        <v>29.41176471</v>
      </c>
      <c r="H68" s="258"/>
      <c r="I68" s="330">
        <v>1.0</v>
      </c>
      <c r="J68" s="331">
        <v>1.0</v>
      </c>
      <c r="K68" s="330"/>
      <c r="L68" s="269">
        <v>1.0</v>
      </c>
      <c r="M68" s="263"/>
      <c r="N68" s="263"/>
      <c r="O68" s="263"/>
      <c r="P68" s="263"/>
      <c r="Q68" s="263"/>
      <c r="R68" s="135">
        <f t="shared" si="13"/>
        <v>3</v>
      </c>
      <c r="S68" s="137">
        <f t="shared" si="14"/>
        <v>75</v>
      </c>
      <c r="T68" s="138"/>
      <c r="U68" s="138"/>
      <c r="V68" s="138"/>
      <c r="W68" s="132"/>
      <c r="X68" s="170">
        <v>1.0</v>
      </c>
      <c r="Y68" s="138"/>
      <c r="Z68" s="138"/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1</v>
      </c>
      <c r="AM68" s="183">
        <f t="shared" si="16"/>
        <v>25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>
        <f t="shared" si="18"/>
        <v>0</v>
      </c>
      <c r="BK68" s="138"/>
      <c r="BL68" s="132"/>
      <c r="BM68" s="138"/>
      <c r="BN68" s="138"/>
      <c r="BO68" s="138"/>
      <c r="BP68" s="138"/>
      <c r="BQ68" s="138"/>
      <c r="BR68" s="140"/>
      <c r="BS68" s="152"/>
      <c r="BT68" s="152"/>
      <c r="BU68" s="187">
        <v>1.0</v>
      </c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1</v>
      </c>
      <c r="CG68" s="190">
        <f t="shared" si="20"/>
        <v>20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29.41176471</v>
      </c>
      <c r="CW68" s="169">
        <f t="shared" si="8"/>
        <v>5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9</v>
      </c>
      <c r="E69" s="127">
        <f t="shared" si="10"/>
        <v>52.94117647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>
        <f t="shared" si="14"/>
        <v>0</v>
      </c>
      <c r="T69" s="138"/>
      <c r="U69" s="138"/>
      <c r="V69" s="138"/>
      <c r="W69" s="132"/>
      <c r="X69" s="170">
        <v>1.0</v>
      </c>
      <c r="Y69" s="138"/>
      <c r="Z69" s="138"/>
      <c r="AA69" s="151">
        <v>1.0</v>
      </c>
      <c r="AB69" s="209"/>
      <c r="AC69" s="140"/>
      <c r="AD69" s="140"/>
      <c r="AE69" s="141"/>
      <c r="AF69" s="210"/>
      <c r="AG69" s="210"/>
      <c r="AH69" s="211">
        <v>1.0</v>
      </c>
      <c r="AI69" s="210"/>
      <c r="AJ69" s="212"/>
      <c r="AK69" s="212"/>
      <c r="AL69" s="135">
        <f t="shared" si="15"/>
        <v>3</v>
      </c>
      <c r="AM69" s="183">
        <f t="shared" si="16"/>
        <v>75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85">
        <v>1.0</v>
      </c>
      <c r="BB69" s="133"/>
      <c r="BC69" s="133"/>
      <c r="BD69" s="133"/>
      <c r="BE69" s="133"/>
      <c r="BF69" s="185">
        <v>1.0</v>
      </c>
      <c r="BG69" s="133"/>
      <c r="BH69" s="185">
        <v>1.0</v>
      </c>
      <c r="BI69" s="135">
        <f t="shared" si="17"/>
        <v>3</v>
      </c>
      <c r="BJ69" s="186">
        <f t="shared" si="18"/>
        <v>75</v>
      </c>
      <c r="BK69" s="138"/>
      <c r="BL69" s="132"/>
      <c r="BM69" s="138"/>
      <c r="BN69" s="138"/>
      <c r="BO69" s="138"/>
      <c r="BP69" s="151">
        <v>1.0</v>
      </c>
      <c r="BQ69" s="138"/>
      <c r="BR69" s="150">
        <v>1.0</v>
      </c>
      <c r="BS69" s="152"/>
      <c r="BT69" s="152"/>
      <c r="BU69" s="187">
        <v>1.0</v>
      </c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3</v>
      </c>
      <c r="CG69" s="190">
        <f t="shared" si="20"/>
        <v>60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52.94117647</v>
      </c>
      <c r="CW69" s="169">
        <f t="shared" si="8"/>
        <v>9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1</v>
      </c>
      <c r="E70" s="127">
        <f t="shared" si="10"/>
        <v>5.882352941</v>
      </c>
      <c r="F70" s="200">
        <f t="shared" si="11"/>
        <v>5.882352941</v>
      </c>
      <c r="G70" s="207">
        <f t="shared" si="12"/>
        <v>5.882352941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>
        <f t="shared" si="14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5"/>
        <v>0</v>
      </c>
      <c r="AM70" s="183">
        <f t="shared" si="16"/>
        <v>0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85">
        <v>1.0</v>
      </c>
      <c r="BI70" s="135">
        <f t="shared" si="17"/>
        <v>1</v>
      </c>
      <c r="BJ70" s="186">
        <f t="shared" si="18"/>
        <v>25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>
        <f t="shared" si="20"/>
        <v>0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5.882352941</v>
      </c>
      <c r="CW70" s="169">
        <f t="shared" si="8"/>
        <v>1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>
        <f t="shared" si="14"/>
        <v>0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>
        <f t="shared" si="20"/>
        <v>0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7</v>
      </c>
      <c r="E72" s="127">
        <f t="shared" si="10"/>
        <v>41.17647059</v>
      </c>
      <c r="F72" s="200">
        <f t="shared" si="11"/>
        <v>41.17647059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>
        <f t="shared" si="14"/>
        <v>0</v>
      </c>
      <c r="T72" s="138"/>
      <c r="U72" s="138"/>
      <c r="V72" s="138"/>
      <c r="W72" s="132"/>
      <c r="X72" s="132"/>
      <c r="Y72" s="138"/>
      <c r="Z72" s="138"/>
      <c r="AA72" s="151">
        <v>1.0</v>
      </c>
      <c r="AB72" s="209"/>
      <c r="AC72" s="140"/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5"/>
        <v>1</v>
      </c>
      <c r="AM72" s="183">
        <f t="shared" si="16"/>
        <v>25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85">
        <v>1.0</v>
      </c>
      <c r="BG72" s="133"/>
      <c r="BH72" s="185">
        <v>1.0</v>
      </c>
      <c r="BI72" s="135">
        <f t="shared" si="17"/>
        <v>2</v>
      </c>
      <c r="BJ72" s="186">
        <f t="shared" si="18"/>
        <v>50</v>
      </c>
      <c r="BK72" s="151">
        <v>1.0</v>
      </c>
      <c r="BL72" s="132"/>
      <c r="BM72" s="151">
        <v>1.0</v>
      </c>
      <c r="BN72" s="138"/>
      <c r="BO72" s="138"/>
      <c r="BP72" s="151">
        <v>1.0</v>
      </c>
      <c r="BQ72" s="138"/>
      <c r="BR72" s="140"/>
      <c r="BS72" s="152"/>
      <c r="BT72" s="152"/>
      <c r="BU72" s="187">
        <v>1.0</v>
      </c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4</v>
      </c>
      <c r="CG72" s="190">
        <f t="shared" si="20"/>
        <v>80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41.17647059</v>
      </c>
      <c r="CW72" s="169">
        <f t="shared" si="8"/>
        <v>7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3</v>
      </c>
      <c r="E73" s="127">
        <f t="shared" si="10"/>
        <v>17.64705882</v>
      </c>
      <c r="F73" s="200">
        <f t="shared" si="11"/>
        <v>17.64705882</v>
      </c>
      <c r="G73" s="207">
        <f t="shared" si="12"/>
        <v>17.64705882</v>
      </c>
      <c r="H73" s="258"/>
      <c r="I73" s="258"/>
      <c r="J73" s="263"/>
      <c r="K73" s="263"/>
      <c r="L73" s="263"/>
      <c r="M73" s="263"/>
      <c r="N73" s="263"/>
      <c r="O73" s="263"/>
      <c r="P73" s="263"/>
      <c r="Q73" s="263"/>
      <c r="R73" s="135">
        <f t="shared" si="13"/>
        <v>0</v>
      </c>
      <c r="S73" s="137">
        <f t="shared" si="14"/>
        <v>0</v>
      </c>
      <c r="T73" s="138"/>
      <c r="U73" s="138"/>
      <c r="V73" s="138"/>
      <c r="W73" s="132"/>
      <c r="X73" s="170">
        <v>1.0</v>
      </c>
      <c r="Y73" s="138"/>
      <c r="Z73" s="138"/>
      <c r="AA73" s="151">
        <v>1.0</v>
      </c>
      <c r="AB73" s="209"/>
      <c r="AC73" s="140"/>
      <c r="AD73" s="140"/>
      <c r="AE73" s="141"/>
      <c r="AF73" s="210"/>
      <c r="AG73" s="210"/>
      <c r="AH73" s="211">
        <v>1.0</v>
      </c>
      <c r="AI73" s="210"/>
      <c r="AJ73" s="212"/>
      <c r="AK73" s="212"/>
      <c r="AL73" s="135">
        <f t="shared" si="15"/>
        <v>3</v>
      </c>
      <c r="AM73" s="183">
        <f t="shared" si="16"/>
        <v>75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5">
        <f t="shared" si="17"/>
        <v>0</v>
      </c>
      <c r="BJ73" s="186">
        <f t="shared" si="18"/>
        <v>0</v>
      </c>
      <c r="BK73" s="138"/>
      <c r="BL73" s="132"/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0</v>
      </c>
      <c r="CG73" s="190">
        <f t="shared" si="20"/>
        <v>0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17.64705882</v>
      </c>
      <c r="CW73" s="169">
        <f t="shared" si="8"/>
        <v>3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4</v>
      </c>
      <c r="E74" s="127">
        <f t="shared" si="10"/>
        <v>23.52941176</v>
      </c>
      <c r="F74" s="200">
        <f t="shared" si="11"/>
        <v>23.52941176</v>
      </c>
      <c r="G74" s="207">
        <f t="shared" si="12"/>
        <v>23.52941176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>
        <f t="shared" si="14"/>
        <v>0</v>
      </c>
      <c r="T74" s="138"/>
      <c r="U74" s="138"/>
      <c r="V74" s="138"/>
      <c r="W74" s="132"/>
      <c r="X74" s="170">
        <v>1.0</v>
      </c>
      <c r="Y74" s="138"/>
      <c r="Z74" s="138"/>
      <c r="AA74" s="151">
        <v>1.0</v>
      </c>
      <c r="AB74" s="209"/>
      <c r="AC74" s="140"/>
      <c r="AD74" s="140"/>
      <c r="AE74" s="141"/>
      <c r="AF74" s="210"/>
      <c r="AG74" s="210"/>
      <c r="AH74" s="211">
        <v>1.0</v>
      </c>
      <c r="AI74" s="210"/>
      <c r="AJ74" s="212"/>
      <c r="AK74" s="212"/>
      <c r="AL74" s="135">
        <f t="shared" si="15"/>
        <v>3</v>
      </c>
      <c r="AM74" s="183">
        <f t="shared" si="16"/>
        <v>75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>
        <f t="shared" si="18"/>
        <v>0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87">
        <v>1.0</v>
      </c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1</v>
      </c>
      <c r="CG74" s="190">
        <f t="shared" si="20"/>
        <v>20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23.52941176</v>
      </c>
      <c r="CW74" s="169">
        <f t="shared" si="8"/>
        <v>4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6</v>
      </c>
      <c r="E75" s="127">
        <f t="shared" si="10"/>
        <v>35.29411765</v>
      </c>
      <c r="F75" s="200">
        <f t="shared" si="11"/>
        <v>35.29411765</v>
      </c>
      <c r="G75" s="207" t="str">
        <f t="shared" si="12"/>
        <v>  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>
        <f t="shared" si="14"/>
        <v>0</v>
      </c>
      <c r="T75" s="138"/>
      <c r="U75" s="138"/>
      <c r="V75" s="138"/>
      <c r="W75" s="132"/>
      <c r="X75" s="132"/>
      <c r="Y75" s="138"/>
      <c r="Z75" s="138"/>
      <c r="AA75" s="151">
        <v>1.0</v>
      </c>
      <c r="AB75" s="209"/>
      <c r="AC75" s="140"/>
      <c r="AD75" s="140"/>
      <c r="AE75" s="141"/>
      <c r="AF75" s="210"/>
      <c r="AG75" s="210"/>
      <c r="AH75" s="211">
        <v>1.0</v>
      </c>
      <c r="AI75" s="210"/>
      <c r="AJ75" s="212"/>
      <c r="AK75" s="212"/>
      <c r="AL75" s="135">
        <f t="shared" si="15"/>
        <v>2</v>
      </c>
      <c r="AM75" s="183">
        <f t="shared" si="16"/>
        <v>50</v>
      </c>
      <c r="AN75" s="322">
        <v>1.0</v>
      </c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85">
        <v>1.0</v>
      </c>
      <c r="BG75" s="133"/>
      <c r="BH75" s="133"/>
      <c r="BI75" s="135">
        <f t="shared" si="17"/>
        <v>2</v>
      </c>
      <c r="BJ75" s="186">
        <f t="shared" si="18"/>
        <v>50</v>
      </c>
      <c r="BK75" s="138"/>
      <c r="BL75" s="132"/>
      <c r="BM75" s="138"/>
      <c r="BN75" s="138"/>
      <c r="BO75" s="138"/>
      <c r="BP75" s="138"/>
      <c r="BQ75" s="138"/>
      <c r="BR75" s="150">
        <v>1.0</v>
      </c>
      <c r="BS75" s="152"/>
      <c r="BT75" s="152"/>
      <c r="BU75" s="187">
        <v>1.0</v>
      </c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2</v>
      </c>
      <c r="CG75" s="190">
        <f t="shared" si="20"/>
        <v>40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35.29411765</v>
      </c>
      <c r="CW75" s="169">
        <f t="shared" si="8"/>
        <v>6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2</v>
      </c>
      <c r="E76" s="127">
        <f t="shared" si="10"/>
        <v>11.76470588</v>
      </c>
      <c r="F76" s="200">
        <f t="shared" si="11"/>
        <v>11.76470588</v>
      </c>
      <c r="G76" s="207">
        <f t="shared" si="12"/>
        <v>11.76470588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135">
        <f t="shared" si="13"/>
        <v>0</v>
      </c>
      <c r="S76" s="137">
        <f t="shared" si="14"/>
        <v>0</v>
      </c>
      <c r="T76" s="138"/>
      <c r="U76" s="138"/>
      <c r="V76" s="138"/>
      <c r="W76" s="132"/>
      <c r="X76" s="132"/>
      <c r="Y76" s="138"/>
      <c r="Z76" s="138"/>
      <c r="AA76" s="151">
        <v>1.0</v>
      </c>
      <c r="AB76" s="209"/>
      <c r="AC76" s="140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5"/>
        <v>1</v>
      </c>
      <c r="AM76" s="183">
        <f t="shared" si="16"/>
        <v>25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7"/>
        <v>0</v>
      </c>
      <c r="BJ76" s="186">
        <f t="shared" si="18"/>
        <v>0</v>
      </c>
      <c r="BK76" s="138"/>
      <c r="BL76" s="132"/>
      <c r="BM76" s="138"/>
      <c r="BN76" s="138"/>
      <c r="BO76" s="138"/>
      <c r="BP76" s="138"/>
      <c r="BQ76" s="138"/>
      <c r="BR76" s="150">
        <v>1.0</v>
      </c>
      <c r="BS76" s="152"/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1</v>
      </c>
      <c r="CG76" s="190">
        <f t="shared" si="20"/>
        <v>20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11.76470588</v>
      </c>
      <c r="CW76" s="169">
        <f t="shared" si="8"/>
        <v>2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3</v>
      </c>
      <c r="E77" s="127">
        <f t="shared" si="10"/>
        <v>17.64705882</v>
      </c>
      <c r="F77" s="200">
        <f t="shared" si="11"/>
        <v>17.64705882</v>
      </c>
      <c r="G77" s="207">
        <f t="shared" si="12"/>
        <v>17.64705882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>
        <f t="shared" si="14"/>
        <v>0</v>
      </c>
      <c r="T77" s="138"/>
      <c r="U77" s="138"/>
      <c r="V77" s="138"/>
      <c r="W77" s="132"/>
      <c r="X77" s="132"/>
      <c r="Y77" s="138"/>
      <c r="Z77" s="138"/>
      <c r="AA77" s="138"/>
      <c r="AB77" s="209"/>
      <c r="AC77" s="140"/>
      <c r="AD77" s="140"/>
      <c r="AE77" s="141"/>
      <c r="AF77" s="210"/>
      <c r="AG77" s="210"/>
      <c r="AH77" s="210"/>
      <c r="AI77" s="210"/>
      <c r="AJ77" s="212"/>
      <c r="AK77" s="212"/>
      <c r="AL77" s="135">
        <f t="shared" si="15"/>
        <v>0</v>
      </c>
      <c r="AM77" s="183">
        <f t="shared" si="16"/>
        <v>0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85">
        <v>1.0</v>
      </c>
      <c r="BI77" s="135">
        <f t="shared" si="17"/>
        <v>1</v>
      </c>
      <c r="BJ77" s="186">
        <f t="shared" si="18"/>
        <v>25</v>
      </c>
      <c r="BK77" s="138"/>
      <c r="BL77" s="132"/>
      <c r="BM77" s="138"/>
      <c r="BN77" s="138"/>
      <c r="BO77" s="138"/>
      <c r="BP77" s="151">
        <v>1.0</v>
      </c>
      <c r="BQ77" s="138"/>
      <c r="BR77" s="150">
        <v>1.0</v>
      </c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2</v>
      </c>
      <c r="CG77" s="190">
        <f t="shared" si="20"/>
        <v>40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17.64705882</v>
      </c>
      <c r="CW77" s="169">
        <f t="shared" si="8"/>
        <v>3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5</v>
      </c>
      <c r="E78" s="127">
        <f t="shared" si="10"/>
        <v>29.41176471</v>
      </c>
      <c r="F78" s="200">
        <f t="shared" si="11"/>
        <v>29.41176471</v>
      </c>
      <c r="G78" s="207">
        <f t="shared" si="12"/>
        <v>29.41176471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3"/>
        <v>0</v>
      </c>
      <c r="S78" s="137">
        <f t="shared" si="14"/>
        <v>0</v>
      </c>
      <c r="T78" s="138"/>
      <c r="U78" s="138"/>
      <c r="V78" s="138"/>
      <c r="W78" s="132"/>
      <c r="X78" s="170">
        <v>1.0</v>
      </c>
      <c r="Y78" s="138"/>
      <c r="Z78" s="138"/>
      <c r="AA78" s="138"/>
      <c r="AB78" s="209"/>
      <c r="AC78" s="140"/>
      <c r="AD78" s="140"/>
      <c r="AE78" s="141"/>
      <c r="AF78" s="210"/>
      <c r="AG78" s="210"/>
      <c r="AH78" s="210"/>
      <c r="AI78" s="210"/>
      <c r="AJ78" s="212"/>
      <c r="AK78" s="212"/>
      <c r="AL78" s="135">
        <f t="shared" si="15"/>
        <v>1</v>
      </c>
      <c r="AM78" s="183">
        <f t="shared" si="16"/>
        <v>25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85">
        <v>1.0</v>
      </c>
      <c r="BI78" s="135">
        <f t="shared" si="17"/>
        <v>1</v>
      </c>
      <c r="BJ78" s="186">
        <f t="shared" si="18"/>
        <v>25</v>
      </c>
      <c r="BK78" s="138"/>
      <c r="BL78" s="132"/>
      <c r="BM78" s="151">
        <v>1.0</v>
      </c>
      <c r="BN78" s="138"/>
      <c r="BO78" s="138"/>
      <c r="BP78" s="151">
        <v>1.0</v>
      </c>
      <c r="BQ78" s="138"/>
      <c r="BR78" s="150">
        <v>1.0</v>
      </c>
      <c r="BS78" s="152"/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3</v>
      </c>
      <c r="CG78" s="190">
        <f t="shared" si="20"/>
        <v>60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29.41176471</v>
      </c>
      <c r="CW78" s="169">
        <f t="shared" si="8"/>
        <v>5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6</v>
      </c>
      <c r="E79" s="127">
        <f t="shared" si="10"/>
        <v>35.29411765</v>
      </c>
      <c r="F79" s="200">
        <f t="shared" si="11"/>
        <v>35.29411765</v>
      </c>
      <c r="G79" s="177" t="str">
        <f t="shared" si="12"/>
        <v>  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135">
        <f t="shared" si="13"/>
        <v>0</v>
      </c>
      <c r="S79" s="137">
        <f t="shared" si="14"/>
        <v>0</v>
      </c>
      <c r="T79" s="138"/>
      <c r="U79" s="138"/>
      <c r="V79" s="138"/>
      <c r="W79" s="132"/>
      <c r="X79" s="170">
        <v>1.0</v>
      </c>
      <c r="Y79" s="138"/>
      <c r="Z79" s="138"/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1</v>
      </c>
      <c r="AM79" s="183">
        <f t="shared" si="16"/>
        <v>25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85">
        <v>1.0</v>
      </c>
      <c r="BG79" s="133"/>
      <c r="BH79" s="133"/>
      <c r="BI79" s="135">
        <f t="shared" si="17"/>
        <v>1</v>
      </c>
      <c r="BJ79" s="186">
        <f t="shared" si="18"/>
        <v>25</v>
      </c>
      <c r="BK79" s="138"/>
      <c r="BL79" s="132"/>
      <c r="BM79" s="151">
        <v>1.0</v>
      </c>
      <c r="BN79" s="138"/>
      <c r="BO79" s="138"/>
      <c r="BP79" s="151">
        <v>1.0</v>
      </c>
      <c r="BQ79" s="138"/>
      <c r="BR79" s="150">
        <v>1.0</v>
      </c>
      <c r="BS79" s="152"/>
      <c r="BT79" s="152"/>
      <c r="BU79" s="187">
        <v>1.0</v>
      </c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4</v>
      </c>
      <c r="CG79" s="190">
        <f t="shared" si="20"/>
        <v>80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35.29411765</v>
      </c>
      <c r="CW79" s="169">
        <f t="shared" si="8"/>
        <v>6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4</v>
      </c>
      <c r="E80" s="127">
        <f t="shared" si="10"/>
        <v>23.52941176</v>
      </c>
      <c r="F80" s="200">
        <f t="shared" si="11"/>
        <v>23.52941176</v>
      </c>
      <c r="G80" s="207">
        <f t="shared" si="12"/>
        <v>23.52941176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>
        <f t="shared" si="14"/>
        <v>0</v>
      </c>
      <c r="T80" s="138"/>
      <c r="U80" s="138"/>
      <c r="V80" s="138"/>
      <c r="W80" s="132"/>
      <c r="X80" s="170">
        <v>1.0</v>
      </c>
      <c r="Y80" s="138"/>
      <c r="Z80" s="138"/>
      <c r="AA80" s="138"/>
      <c r="AB80" s="209"/>
      <c r="AC80" s="140"/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1</v>
      </c>
      <c r="AM80" s="183">
        <f t="shared" si="16"/>
        <v>25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>
        <f t="shared" si="18"/>
        <v>0</v>
      </c>
      <c r="BK80" s="138"/>
      <c r="BL80" s="132"/>
      <c r="BM80" s="151">
        <v>1.0</v>
      </c>
      <c r="BN80" s="138"/>
      <c r="BO80" s="138"/>
      <c r="BP80" s="138"/>
      <c r="BQ80" s="138"/>
      <c r="BR80" s="150">
        <v>1.0</v>
      </c>
      <c r="BS80" s="152"/>
      <c r="BT80" s="152"/>
      <c r="BU80" s="187">
        <v>1.0</v>
      </c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3</v>
      </c>
      <c r="CG80" s="190">
        <f t="shared" si="20"/>
        <v>60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23.52941176</v>
      </c>
      <c r="CW80" s="169">
        <f t="shared" si="8"/>
        <v>4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2</v>
      </c>
      <c r="E81" s="127">
        <f t="shared" si="10"/>
        <v>11.76470588</v>
      </c>
      <c r="F81" s="200">
        <f t="shared" si="11"/>
        <v>11.76470588</v>
      </c>
      <c r="G81" s="207">
        <f t="shared" si="12"/>
        <v>11.76470588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>
        <f t="shared" si="14"/>
        <v>0</v>
      </c>
      <c r="T81" s="138"/>
      <c r="U81" s="138"/>
      <c r="V81" s="138"/>
      <c r="W81" s="132"/>
      <c r="X81" s="132"/>
      <c r="Y81" s="138"/>
      <c r="Z81" s="138"/>
      <c r="AA81" s="151">
        <v>1.0</v>
      </c>
      <c r="AB81" s="209"/>
      <c r="AC81" s="140"/>
      <c r="AD81" s="140"/>
      <c r="AE81" s="141"/>
      <c r="AF81" s="210"/>
      <c r="AG81" s="210"/>
      <c r="AH81" s="211">
        <v>1.0</v>
      </c>
      <c r="AI81" s="210"/>
      <c r="AJ81" s="212"/>
      <c r="AK81" s="212"/>
      <c r="AL81" s="135">
        <f t="shared" si="15"/>
        <v>2</v>
      </c>
      <c r="AM81" s="183">
        <f t="shared" si="16"/>
        <v>50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>
        <f t="shared" si="18"/>
        <v>0</v>
      </c>
      <c r="BK81" s="138"/>
      <c r="BL81" s="132"/>
      <c r="BM81" s="138"/>
      <c r="BN81" s="138"/>
      <c r="BO81" s="138"/>
      <c r="BP81" s="138"/>
      <c r="BQ81" s="138"/>
      <c r="BR81" s="140"/>
      <c r="BS81" s="152"/>
      <c r="BT81" s="152"/>
      <c r="BU81" s="187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0</v>
      </c>
      <c r="CG81" s="190">
        <f t="shared" si="20"/>
        <v>0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11.76470588</v>
      </c>
      <c r="CW81" s="169">
        <f t="shared" si="8"/>
        <v>2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6</v>
      </c>
      <c r="E82" s="127">
        <f t="shared" si="10"/>
        <v>35.29411765</v>
      </c>
      <c r="F82" s="200">
        <f t="shared" si="11"/>
        <v>35.29411765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>
        <f t="shared" si="14"/>
        <v>0</v>
      </c>
      <c r="T82" s="138"/>
      <c r="U82" s="138"/>
      <c r="V82" s="138"/>
      <c r="W82" s="132"/>
      <c r="X82" s="170">
        <v>1.0</v>
      </c>
      <c r="Y82" s="138"/>
      <c r="Z82" s="138"/>
      <c r="AA82" s="138"/>
      <c r="AB82" s="209"/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1</v>
      </c>
      <c r="AM82" s="183">
        <f t="shared" si="16"/>
        <v>25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85">
        <v>1.0</v>
      </c>
      <c r="BG82" s="133"/>
      <c r="BH82" s="133"/>
      <c r="BI82" s="135">
        <f t="shared" si="17"/>
        <v>1</v>
      </c>
      <c r="BJ82" s="186">
        <f t="shared" si="18"/>
        <v>25</v>
      </c>
      <c r="BK82" s="138"/>
      <c r="BL82" s="132"/>
      <c r="BM82" s="151">
        <v>1.0</v>
      </c>
      <c r="BN82" s="138"/>
      <c r="BO82" s="138"/>
      <c r="BP82" s="151">
        <v>1.0</v>
      </c>
      <c r="BQ82" s="138"/>
      <c r="BR82" s="150">
        <v>1.0</v>
      </c>
      <c r="BS82" s="152"/>
      <c r="BT82" s="152"/>
      <c r="BU82" s="187">
        <v>1.0</v>
      </c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4</v>
      </c>
      <c r="CG82" s="190">
        <f t="shared" si="20"/>
        <v>80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35.29411765</v>
      </c>
      <c r="CW82" s="169">
        <f t="shared" si="8"/>
        <v>6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>
        <f t="shared" si="14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>
        <f t="shared" si="20"/>
        <v>0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4</v>
      </c>
      <c r="E84" s="127">
        <f t="shared" si="10"/>
        <v>23.52941176</v>
      </c>
      <c r="F84" s="200">
        <f t="shared" si="11"/>
        <v>23.52941176</v>
      </c>
      <c r="G84" s="207">
        <f t="shared" si="12"/>
        <v>23.52941176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>
        <f t="shared" si="14"/>
        <v>0</v>
      </c>
      <c r="T84" s="138"/>
      <c r="U84" s="138"/>
      <c r="V84" s="138"/>
      <c r="W84" s="132"/>
      <c r="X84" s="132"/>
      <c r="Y84" s="138"/>
      <c r="Z84" s="138"/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0</v>
      </c>
      <c r="AM84" s="280">
        <f t="shared" si="16"/>
        <v>0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85">
        <v>1.0</v>
      </c>
      <c r="BG84" s="133"/>
      <c r="BH84" s="133"/>
      <c r="BI84" s="135">
        <f t="shared" si="17"/>
        <v>1</v>
      </c>
      <c r="BJ84" s="281">
        <f t="shared" si="18"/>
        <v>25</v>
      </c>
      <c r="BK84" s="138"/>
      <c r="BL84" s="132"/>
      <c r="BM84" s="151">
        <v>1.0</v>
      </c>
      <c r="BN84" s="138"/>
      <c r="BO84" s="138"/>
      <c r="BP84" s="138"/>
      <c r="BQ84" s="138"/>
      <c r="BR84" s="150">
        <v>1.0</v>
      </c>
      <c r="BS84" s="152"/>
      <c r="BT84" s="152"/>
      <c r="BU84" s="187">
        <v>1.0</v>
      </c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3</v>
      </c>
      <c r="CG84" s="282">
        <f t="shared" si="20"/>
        <v>60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23.52941176</v>
      </c>
      <c r="CW84" s="169">
        <f t="shared" si="8"/>
        <v>4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3</v>
      </c>
      <c r="E85" s="127">
        <f t="shared" si="10"/>
        <v>17.64705882</v>
      </c>
      <c r="F85" s="200">
        <f t="shared" si="11"/>
        <v>17.64705882</v>
      </c>
      <c r="G85" s="207">
        <f t="shared" si="12"/>
        <v>17.64705882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>
        <f t="shared" si="14"/>
        <v>0</v>
      </c>
      <c r="T85" s="138"/>
      <c r="U85" s="138"/>
      <c r="V85" s="138"/>
      <c r="W85" s="132"/>
      <c r="X85" s="170">
        <v>1.0</v>
      </c>
      <c r="Y85" s="138"/>
      <c r="Z85" s="138"/>
      <c r="AA85" s="151">
        <v>1.0</v>
      </c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2</v>
      </c>
      <c r="AM85" s="280">
        <f t="shared" si="16"/>
        <v>50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85">
        <v>1.0</v>
      </c>
      <c r="BG85" s="133"/>
      <c r="BH85" s="133"/>
      <c r="BI85" s="135">
        <f t="shared" si="17"/>
        <v>1</v>
      </c>
      <c r="BJ85" s="281">
        <f t="shared" si="18"/>
        <v>25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>
        <f t="shared" si="20"/>
        <v>0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17.64705882</v>
      </c>
      <c r="CW85" s="169">
        <f t="shared" si="8"/>
        <v>3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5</v>
      </c>
      <c r="E86" s="127">
        <f t="shared" si="10"/>
        <v>29.41176471</v>
      </c>
      <c r="F86" s="200">
        <f t="shared" si="11"/>
        <v>29.41176471</v>
      </c>
      <c r="G86" s="200">
        <f t="shared" si="12"/>
        <v>29.41176471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135">
        <f t="shared" si="13"/>
        <v>0</v>
      </c>
      <c r="S86" s="137">
        <f t="shared" si="14"/>
        <v>0</v>
      </c>
      <c r="T86" s="138"/>
      <c r="U86" s="138"/>
      <c r="V86" s="138"/>
      <c r="W86" s="132"/>
      <c r="X86" s="170">
        <v>1.0</v>
      </c>
      <c r="Y86" s="138"/>
      <c r="Z86" s="138"/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1</v>
      </c>
      <c r="AM86" s="280">
        <f t="shared" si="16"/>
        <v>25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85">
        <v>1.0</v>
      </c>
      <c r="BG86" s="133"/>
      <c r="BH86" s="133"/>
      <c r="BI86" s="135">
        <f t="shared" si="17"/>
        <v>1</v>
      </c>
      <c r="BJ86" s="281">
        <f t="shared" si="18"/>
        <v>25</v>
      </c>
      <c r="BK86" s="138"/>
      <c r="BL86" s="132"/>
      <c r="BM86" s="151">
        <v>1.0</v>
      </c>
      <c r="BN86" s="138"/>
      <c r="BO86" s="138"/>
      <c r="BP86" s="138"/>
      <c r="BQ86" s="138"/>
      <c r="BR86" s="150">
        <v>1.0</v>
      </c>
      <c r="BS86" s="152"/>
      <c r="BT86" s="152"/>
      <c r="BU86" s="187">
        <v>1.0</v>
      </c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3</v>
      </c>
      <c r="CG86" s="282">
        <f t="shared" si="20"/>
        <v>60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29.41176471</v>
      </c>
      <c r="CW86" s="169">
        <f t="shared" si="8"/>
        <v>5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1</v>
      </c>
      <c r="E87" s="127">
        <f t="shared" si="10"/>
        <v>5.882352941</v>
      </c>
      <c r="F87" s="200">
        <f t="shared" si="11"/>
        <v>5.882352941</v>
      </c>
      <c r="G87" s="200">
        <f t="shared" si="12"/>
        <v>5.882352941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135">
        <f t="shared" si="13"/>
        <v>0</v>
      </c>
      <c r="S87" s="137">
        <f t="shared" si="14"/>
        <v>0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>
        <f t="shared" si="16"/>
        <v>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>
        <f t="shared" si="18"/>
        <v>0</v>
      </c>
      <c r="BK87" s="138"/>
      <c r="BL87" s="132"/>
      <c r="BM87" s="138"/>
      <c r="BN87" s="138"/>
      <c r="BO87" s="138"/>
      <c r="BP87" s="151">
        <v>1.0</v>
      </c>
      <c r="BQ87" s="138"/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1</v>
      </c>
      <c r="CG87" s="282">
        <f t="shared" si="20"/>
        <v>20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5.882352941</v>
      </c>
      <c r="CW87" s="169">
        <f t="shared" si="8"/>
        <v>1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4</v>
      </c>
      <c r="E88" s="127">
        <f t="shared" si="10"/>
        <v>23.52941176</v>
      </c>
      <c r="F88" s="200">
        <f t="shared" si="11"/>
        <v>23.52941176</v>
      </c>
      <c r="G88" s="200">
        <f t="shared" si="12"/>
        <v>23.52941176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>
        <f t="shared" si="14"/>
        <v>0</v>
      </c>
      <c r="T88" s="32"/>
      <c r="U88" s="32"/>
      <c r="V88" s="32"/>
      <c r="W88" s="132"/>
      <c r="X88" s="132"/>
      <c r="Y88" s="138"/>
      <c r="Z88" s="138"/>
      <c r="AA88" s="138"/>
      <c r="AB88" s="32"/>
      <c r="AC88" s="289"/>
      <c r="AD88" s="289"/>
      <c r="AE88" s="141"/>
      <c r="AF88" s="32"/>
      <c r="AG88" s="32"/>
      <c r="AH88" s="290">
        <v>1.0</v>
      </c>
      <c r="AI88" s="32"/>
      <c r="AJ88" s="279"/>
      <c r="AK88" s="279"/>
      <c r="AL88" s="135">
        <f t="shared" si="15"/>
        <v>1</v>
      </c>
      <c r="AM88" s="280">
        <f t="shared" si="16"/>
        <v>25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85">
        <v>1.0</v>
      </c>
      <c r="BG88" s="133"/>
      <c r="BH88" s="185">
        <v>1.0</v>
      </c>
      <c r="BI88" s="135">
        <f t="shared" si="17"/>
        <v>2</v>
      </c>
      <c r="BJ88" s="281">
        <f t="shared" si="18"/>
        <v>50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87">
        <v>1.0</v>
      </c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1</v>
      </c>
      <c r="CG88" s="282">
        <f t="shared" si="20"/>
        <v>20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23.52941176</v>
      </c>
      <c r="CW88" s="169">
        <f t="shared" si="8"/>
        <v>4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>
        <f t="shared" si="14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>
        <f t="shared" si="20"/>
        <v>0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6</v>
      </c>
      <c r="E90" s="127">
        <f t="shared" si="10"/>
        <v>35.29411765</v>
      </c>
      <c r="F90" s="200">
        <f t="shared" si="11"/>
        <v>35.29411765</v>
      </c>
      <c r="G90" s="175" t="str">
        <f t="shared" si="12"/>
        <v>  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3"/>
        <v>0</v>
      </c>
      <c r="S90" s="137">
        <f t="shared" si="14"/>
        <v>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290">
        <v>1.0</v>
      </c>
      <c r="AG90" s="32"/>
      <c r="AH90" s="290">
        <v>1.0</v>
      </c>
      <c r="AI90" s="32"/>
      <c r="AJ90" s="279"/>
      <c r="AK90" s="279"/>
      <c r="AL90" s="135">
        <f t="shared" si="15"/>
        <v>2</v>
      </c>
      <c r="AM90" s="280">
        <f t="shared" si="16"/>
        <v>50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85">
        <v>1.0</v>
      </c>
      <c r="BG90" s="133"/>
      <c r="BH90" s="133"/>
      <c r="BI90" s="135">
        <f t="shared" si="17"/>
        <v>1</v>
      </c>
      <c r="BJ90" s="281">
        <f t="shared" si="18"/>
        <v>25</v>
      </c>
      <c r="BK90" s="151">
        <v>1.0</v>
      </c>
      <c r="BL90" s="132"/>
      <c r="BM90" s="138"/>
      <c r="BN90" s="138"/>
      <c r="BO90" s="138"/>
      <c r="BP90" s="151">
        <v>1.0</v>
      </c>
      <c r="BQ90" s="138"/>
      <c r="BR90" s="140"/>
      <c r="BS90" s="152"/>
      <c r="BT90" s="152"/>
      <c r="BU90" s="187">
        <v>1.0</v>
      </c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3</v>
      </c>
      <c r="CG90" s="282">
        <f t="shared" si="20"/>
        <v>60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35.29411765</v>
      </c>
      <c r="CW90" s="169">
        <f t="shared" si="8"/>
        <v>6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3</v>
      </c>
      <c r="E91" s="127">
        <f t="shared" si="10"/>
        <v>17.64705882</v>
      </c>
      <c r="F91" s="200">
        <f t="shared" si="11"/>
        <v>17.64705882</v>
      </c>
      <c r="G91" s="200">
        <f t="shared" si="12"/>
        <v>17.64705882</v>
      </c>
      <c r="H91" s="287"/>
      <c r="I91" s="287"/>
      <c r="J91" s="288"/>
      <c r="K91" s="288"/>
      <c r="L91" s="304">
        <v>1.0</v>
      </c>
      <c r="M91" s="288"/>
      <c r="N91" s="288"/>
      <c r="O91" s="288"/>
      <c r="P91" s="288"/>
      <c r="Q91" s="288"/>
      <c r="R91" s="135">
        <f t="shared" si="13"/>
        <v>1</v>
      </c>
      <c r="S91" s="137">
        <f t="shared" si="14"/>
        <v>25</v>
      </c>
      <c r="T91" s="32"/>
      <c r="U91" s="32"/>
      <c r="V91" s="32"/>
      <c r="W91" s="132"/>
      <c r="X91" s="132"/>
      <c r="Y91" s="138"/>
      <c r="Z91" s="138"/>
      <c r="AA91" s="151">
        <v>1.0</v>
      </c>
      <c r="AB91" s="32"/>
      <c r="AC91" s="289"/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1</v>
      </c>
      <c r="AM91" s="280">
        <f t="shared" si="16"/>
        <v>25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>
        <f t="shared" si="18"/>
        <v>0</v>
      </c>
      <c r="BK91" s="138"/>
      <c r="BL91" s="132"/>
      <c r="BM91" s="138"/>
      <c r="BN91" s="138"/>
      <c r="BO91" s="138"/>
      <c r="BP91" s="151">
        <v>1.0</v>
      </c>
      <c r="BQ91" s="138"/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1</v>
      </c>
      <c r="CG91" s="282">
        <f t="shared" si="20"/>
        <v>20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17.64705882</v>
      </c>
      <c r="CW91" s="169">
        <f t="shared" si="8"/>
        <v>3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4</v>
      </c>
      <c r="E92" s="127">
        <f t="shared" si="10"/>
        <v>23.52941176</v>
      </c>
      <c r="F92" s="200">
        <f t="shared" si="11"/>
        <v>23.52941176</v>
      </c>
      <c r="G92" s="200">
        <f t="shared" si="12"/>
        <v>23.52941176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3"/>
        <v>0</v>
      </c>
      <c r="S92" s="137">
        <f t="shared" si="14"/>
        <v>0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0</v>
      </c>
      <c r="AM92" s="280">
        <f t="shared" si="16"/>
        <v>0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85">
        <v>1.0</v>
      </c>
      <c r="BG92" s="133"/>
      <c r="BH92" s="133"/>
      <c r="BI92" s="135">
        <f t="shared" si="17"/>
        <v>1</v>
      </c>
      <c r="BJ92" s="281">
        <f t="shared" si="18"/>
        <v>25</v>
      </c>
      <c r="BK92" s="138"/>
      <c r="BL92" s="132"/>
      <c r="BM92" s="138"/>
      <c r="BN92" s="138"/>
      <c r="BO92" s="138"/>
      <c r="BP92" s="151">
        <v>1.0</v>
      </c>
      <c r="BQ92" s="138"/>
      <c r="BR92" s="150">
        <v>1.0</v>
      </c>
      <c r="BS92" s="152"/>
      <c r="BT92" s="152"/>
      <c r="BU92" s="187">
        <v>1.0</v>
      </c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3</v>
      </c>
      <c r="CG92" s="282">
        <f t="shared" si="20"/>
        <v>60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23.52941176</v>
      </c>
      <c r="CW92" s="169">
        <f t="shared" si="8"/>
        <v>4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>
        <f t="shared" si="1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>
        <f t="shared" si="20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228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35" t="s">
        <v>229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230</v>
      </c>
      <c r="B9" s="90" t="s">
        <v>43</v>
      </c>
      <c r="C9" s="91" t="s">
        <v>44</v>
      </c>
      <c r="D9" s="94">
        <f>SUM(R9+AL9+BI9+CF9+CS9)</f>
        <v>0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COUNTIF(H9:I9,"&gt;0")</f>
        <v>0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0</v>
      </c>
      <c r="Y9" s="104">
        <f t="shared" si="2"/>
        <v>0</v>
      </c>
      <c r="Z9" s="104">
        <f t="shared" si="2"/>
        <v>0</v>
      </c>
      <c r="AA9" s="104">
        <f t="shared" si="2"/>
        <v>0</v>
      </c>
      <c r="AB9" s="104">
        <f t="shared" si="2"/>
        <v>0</v>
      </c>
      <c r="AC9" s="104">
        <f t="shared" si="2"/>
        <v>0</v>
      </c>
      <c r="AD9" s="104">
        <f t="shared" si="2"/>
        <v>0</v>
      </c>
      <c r="AE9" s="104">
        <f t="shared" si="2"/>
        <v>0</v>
      </c>
      <c r="AF9" s="104">
        <f t="shared" si="2"/>
        <v>0</v>
      </c>
      <c r="AG9" s="104">
        <f t="shared" si="2"/>
        <v>0</v>
      </c>
      <c r="AH9" s="104">
        <f t="shared" si="2"/>
        <v>0</v>
      </c>
      <c r="AI9" s="104">
        <f t="shared" si="2"/>
        <v>0</v>
      </c>
      <c r="AJ9" s="104">
        <f t="shared" si="2"/>
        <v>0</v>
      </c>
      <c r="AK9" s="104">
        <f t="shared" si="2"/>
        <v>0</v>
      </c>
      <c r="AL9" s="103">
        <f>COUNTIF(T9:AI9,"&gt;0")</f>
        <v>0</v>
      </c>
      <c r="AM9" s="107">
        <f>SUM(R9+AL9)</f>
        <v>0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0</v>
      </c>
      <c r="AY9" s="104">
        <f t="shared" si="3"/>
        <v>0</v>
      </c>
      <c r="AZ9" s="104">
        <f t="shared" si="3"/>
        <v>0</v>
      </c>
      <c r="BA9" s="104">
        <f t="shared" si="3"/>
        <v>0</v>
      </c>
      <c r="BB9" s="104">
        <f t="shared" si="3"/>
        <v>0</v>
      </c>
      <c r="BC9" s="104">
        <f t="shared" si="3"/>
        <v>0</v>
      </c>
      <c r="BD9" s="104">
        <f t="shared" si="3"/>
        <v>0</v>
      </c>
      <c r="BE9" s="104">
        <f t="shared" si="3"/>
        <v>0</v>
      </c>
      <c r="BF9" s="104">
        <f t="shared" si="3"/>
        <v>0</v>
      </c>
      <c r="BG9" s="104">
        <f t="shared" si="3"/>
        <v>0</v>
      </c>
      <c r="BH9" s="104">
        <f t="shared" si="3"/>
        <v>0</v>
      </c>
      <c r="BI9" s="48">
        <f>COUNTIF(AN9:AS9,"&gt;0")</f>
        <v>0</v>
      </c>
      <c r="BJ9" s="55">
        <f>SUM(AM9+BI9)</f>
        <v>0</v>
      </c>
      <c r="BK9" s="109">
        <f t="shared" ref="BK9:BW9" si="4">SUM(BK10:BK91)</f>
        <v>0</v>
      </c>
      <c r="BL9" s="109">
        <f t="shared" si="4"/>
        <v>0</v>
      </c>
      <c r="BM9" s="109">
        <f t="shared" si="4"/>
        <v>0</v>
      </c>
      <c r="BN9" s="109">
        <f t="shared" si="4"/>
        <v>0</v>
      </c>
      <c r="BO9" s="109">
        <f t="shared" si="4"/>
        <v>0</v>
      </c>
      <c r="BP9" s="109">
        <f t="shared" si="4"/>
        <v>0</v>
      </c>
      <c r="BQ9" s="109">
        <f t="shared" si="4"/>
        <v>0</v>
      </c>
      <c r="BR9" s="109">
        <f t="shared" si="4"/>
        <v>0</v>
      </c>
      <c r="BS9" s="109">
        <f t="shared" si="4"/>
        <v>0</v>
      </c>
      <c r="BT9" s="109">
        <f t="shared" si="4"/>
        <v>0</v>
      </c>
      <c r="BU9" s="109">
        <f t="shared" si="4"/>
        <v>0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0</v>
      </c>
      <c r="CG9" s="113">
        <f>SUM(BJ9+CF9)</f>
        <v>0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0</v>
      </c>
      <c r="CU9" s="118"/>
      <c r="CV9" s="119">
        <f>SUM(R9+AL9+BI9+CF9+CS9+CU9)</f>
        <v>0</v>
      </c>
      <c r="CW9" s="120">
        <f t="shared" ref="CW9:CW93" si="8">SUM(R9+AL9+BI9+CF9+CS9+CU9)</f>
        <v>0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0</v>
      </c>
      <c r="E10" s="127" t="str">
        <f t="shared" ref="E10:E93" si="10">(D10)/D$9*100</f>
        <v>#DIV/0!</v>
      </c>
      <c r="F10" s="128" t="str">
        <f t="shared" ref="F10:F93" si="11">IF(E10&lt;50,E10, "  ")</f>
        <v>#DIV/0!</v>
      </c>
      <c r="G10" s="336" t="str">
        <f t="shared" ref="G10:G93" si="12">IF(E10&lt;30,E10, "  ")</f>
        <v>#DIV/0!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SUM(H10:I10)</f>
        <v>0</v>
      </c>
      <c r="S10" s="137" t="str">
        <f t="shared" ref="S10:S93" si="14">R10/R$9*100</f>
        <v>#DIV/0!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2"/>
      <c r="AI10" s="142"/>
      <c r="AJ10" s="142"/>
      <c r="AK10" s="142"/>
      <c r="AL10" s="135">
        <f t="shared" ref="AL10:AL93" si="15">SUM(T10:AI10)</f>
        <v>0</v>
      </c>
      <c r="AM10" s="137" t="str">
        <f t="shared" ref="AM10:AM93" si="16">AL10/AL$9*100</f>
        <v>#DIV/0!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SUM(AN10:AS10)</f>
        <v>0</v>
      </c>
      <c r="BJ10" s="149" t="str">
        <f t="shared" ref="BJ10:BJ93" si="18">BI10/BI$9*100</f>
        <v>#DIV/0!</v>
      </c>
      <c r="BK10" s="138"/>
      <c r="BL10" s="132"/>
      <c r="BM10" s="138"/>
      <c r="BN10" s="138"/>
      <c r="BO10" s="138"/>
      <c r="BP10" s="138"/>
      <c r="BQ10" s="138"/>
      <c r="BR10" s="140"/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0</v>
      </c>
      <c r="CG10" s="159" t="str">
        <f t="shared" ref="CG10:CG93" si="20">CF10/CF$9*100</f>
        <v>#DIV/0!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 t="str">
        <f t="shared" ref="CV10:CV93" si="23">(D10)/D$9*100</f>
        <v>#DIV/0!</v>
      </c>
      <c r="CW10" s="169">
        <f t="shared" si="8"/>
        <v>0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0</v>
      </c>
      <c r="E11" s="127" t="str">
        <f t="shared" si="10"/>
        <v>#DIV/0!</v>
      </c>
      <c r="F11" s="175" t="str">
        <f t="shared" si="11"/>
        <v>#DIV/0!</v>
      </c>
      <c r="G11" s="177" t="str">
        <f t="shared" si="12"/>
        <v>#DIV/0!</v>
      </c>
      <c r="H11" s="132"/>
      <c r="I11" s="178"/>
      <c r="J11" s="179"/>
      <c r="K11" s="179"/>
      <c r="L11" s="179"/>
      <c r="M11" s="179"/>
      <c r="N11" s="179"/>
      <c r="O11" s="179"/>
      <c r="P11" s="179"/>
      <c r="Q11" s="179"/>
      <c r="R11" s="337">
        <f t="shared" si="13"/>
        <v>0</v>
      </c>
      <c r="S11" s="137" t="str">
        <f t="shared" si="14"/>
        <v>#DIV/0!</v>
      </c>
      <c r="T11" s="138"/>
      <c r="U11" s="138"/>
      <c r="V11" s="138"/>
      <c r="W11" s="132"/>
      <c r="X11" s="132"/>
      <c r="Y11" s="138"/>
      <c r="Z11" s="138"/>
      <c r="AA11" s="138"/>
      <c r="AB11" s="138"/>
      <c r="AC11" s="140"/>
      <c r="AD11" s="140"/>
      <c r="AE11" s="141"/>
      <c r="AF11" s="180"/>
      <c r="AG11" s="180"/>
      <c r="AH11" s="180"/>
      <c r="AI11" s="180"/>
      <c r="AJ11" s="142"/>
      <c r="AK11" s="142"/>
      <c r="AL11" s="135">
        <f t="shared" si="15"/>
        <v>0</v>
      </c>
      <c r="AM11" s="183" t="str">
        <f t="shared" si="16"/>
        <v>#DIV/0!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5">
        <f t="shared" si="17"/>
        <v>0</v>
      </c>
      <c r="BJ11" s="186" t="str">
        <f t="shared" si="18"/>
        <v>#DIV/0!</v>
      </c>
      <c r="BK11" s="138"/>
      <c r="BL11" s="132"/>
      <c r="BM11" s="138"/>
      <c r="BN11" s="138"/>
      <c r="BO11" s="138"/>
      <c r="BP11" s="138"/>
      <c r="BQ11" s="138"/>
      <c r="BR11" s="140"/>
      <c r="BS11" s="152"/>
      <c r="BT11" s="152"/>
      <c r="BU11" s="152"/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0</v>
      </c>
      <c r="CG11" s="190" t="str">
        <f t="shared" si="20"/>
        <v>#DIV/0!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 t="str">
        <f t="shared" si="23"/>
        <v>#DIV/0!</v>
      </c>
      <c r="CW11" s="169">
        <f t="shared" si="8"/>
        <v>0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0</v>
      </c>
      <c r="E12" s="127" t="str">
        <f t="shared" si="10"/>
        <v>#DIV/0!</v>
      </c>
      <c r="F12" s="200" t="str">
        <f t="shared" si="11"/>
        <v>#DIV/0!</v>
      </c>
      <c r="G12" s="177" t="str">
        <f t="shared" si="12"/>
        <v>#DIV/0!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337">
        <f t="shared" si="13"/>
        <v>0</v>
      </c>
      <c r="S12" s="137" t="str">
        <f t="shared" si="14"/>
        <v>#DIV/0!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0"/>
      <c r="AG12" s="180"/>
      <c r="AH12" s="180"/>
      <c r="AI12" s="180"/>
      <c r="AJ12" s="142"/>
      <c r="AK12" s="142"/>
      <c r="AL12" s="135">
        <f t="shared" si="15"/>
        <v>0</v>
      </c>
      <c r="AM12" s="183" t="str">
        <f t="shared" si="16"/>
        <v>#DIV/0!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7"/>
        <v>0</v>
      </c>
      <c r="BJ12" s="186" t="str">
        <f t="shared" si="18"/>
        <v>#DIV/0!</v>
      </c>
      <c r="BK12" s="138"/>
      <c r="BL12" s="132"/>
      <c r="BM12" s="138"/>
      <c r="BN12" s="138"/>
      <c r="BO12" s="138"/>
      <c r="BP12" s="138"/>
      <c r="BQ12" s="138"/>
      <c r="BR12" s="140"/>
      <c r="BS12" s="152"/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0</v>
      </c>
      <c r="CG12" s="190" t="str">
        <f t="shared" si="20"/>
        <v>#DIV/0!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 t="str">
        <f t="shared" si="23"/>
        <v>#DIV/0!</v>
      </c>
      <c r="CW12" s="169">
        <f t="shared" si="8"/>
        <v>0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0</v>
      </c>
      <c r="E13" s="127" t="str">
        <f t="shared" si="10"/>
        <v>#DIV/0!</v>
      </c>
      <c r="F13" s="200" t="str">
        <f t="shared" si="11"/>
        <v>#DIV/0!</v>
      </c>
      <c r="G13" s="177" t="str">
        <f t="shared" si="12"/>
        <v>#DIV/0!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337">
        <f t="shared" si="13"/>
        <v>0</v>
      </c>
      <c r="S13" s="137" t="str">
        <f t="shared" si="14"/>
        <v>#DIV/0!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0"/>
      <c r="AG13" s="210"/>
      <c r="AH13" s="210"/>
      <c r="AI13" s="210"/>
      <c r="AJ13" s="212"/>
      <c r="AK13" s="212"/>
      <c r="AL13" s="135">
        <f t="shared" si="15"/>
        <v>0</v>
      </c>
      <c r="AM13" s="183" t="str">
        <f t="shared" si="16"/>
        <v>#DIV/0!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5">
        <f t="shared" si="17"/>
        <v>0</v>
      </c>
      <c r="BJ13" s="186" t="str">
        <f t="shared" si="18"/>
        <v>#DIV/0!</v>
      </c>
      <c r="BK13" s="138"/>
      <c r="BL13" s="132"/>
      <c r="BM13" s="138"/>
      <c r="BN13" s="138"/>
      <c r="BO13" s="138"/>
      <c r="BP13" s="138"/>
      <c r="BQ13" s="138"/>
      <c r="BR13" s="140"/>
      <c r="BS13" s="152"/>
      <c r="BT13" s="152"/>
      <c r="BU13" s="152"/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0</v>
      </c>
      <c r="CG13" s="190" t="str">
        <f t="shared" si="20"/>
        <v>#DIV/0!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 t="str">
        <f t="shared" si="23"/>
        <v>#DIV/0!</v>
      </c>
      <c r="CW13" s="169">
        <f t="shared" si="8"/>
        <v>0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0</v>
      </c>
      <c r="E14" s="127" t="str">
        <f t="shared" si="10"/>
        <v>#DIV/0!</v>
      </c>
      <c r="F14" s="175" t="str">
        <f t="shared" si="11"/>
        <v>#DIV/0!</v>
      </c>
      <c r="G14" s="177" t="str">
        <f t="shared" si="12"/>
        <v>#DIV/0!</v>
      </c>
      <c r="H14" s="178"/>
      <c r="I14" s="223"/>
      <c r="J14" s="224"/>
      <c r="K14" s="224"/>
      <c r="L14" s="224"/>
      <c r="M14" s="224"/>
      <c r="N14" s="224"/>
      <c r="O14" s="224"/>
      <c r="P14" s="224"/>
      <c r="Q14" s="224"/>
      <c r="R14" s="337">
        <f t="shared" si="13"/>
        <v>0</v>
      </c>
      <c r="S14" s="137" t="str">
        <f t="shared" si="14"/>
        <v>#DIV/0!</v>
      </c>
      <c r="T14" s="138"/>
      <c r="U14" s="138"/>
      <c r="V14" s="138"/>
      <c r="W14" s="132"/>
      <c r="X14" s="132"/>
      <c r="Y14" s="138"/>
      <c r="Z14" s="138"/>
      <c r="AA14" s="138"/>
      <c r="AB14" s="217"/>
      <c r="AC14" s="140"/>
      <c r="AD14" s="140"/>
      <c r="AE14" s="141"/>
      <c r="AF14" s="226"/>
      <c r="AG14" s="226"/>
      <c r="AH14" s="226"/>
      <c r="AI14" s="226"/>
      <c r="AJ14" s="218"/>
      <c r="AK14" s="218"/>
      <c r="AL14" s="135">
        <f t="shared" si="15"/>
        <v>0</v>
      </c>
      <c r="AM14" s="183" t="str">
        <f t="shared" si="16"/>
        <v>#DIV/0!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5">
        <f t="shared" si="17"/>
        <v>0</v>
      </c>
      <c r="BJ14" s="186" t="str">
        <f t="shared" si="18"/>
        <v>#DIV/0!</v>
      </c>
      <c r="BK14" s="138"/>
      <c r="BL14" s="132"/>
      <c r="BM14" s="138"/>
      <c r="BN14" s="138"/>
      <c r="BO14" s="138"/>
      <c r="BP14" s="138"/>
      <c r="BQ14" s="138"/>
      <c r="BR14" s="140"/>
      <c r="BS14" s="152"/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0</v>
      </c>
      <c r="CG14" s="190" t="str">
        <f t="shared" si="20"/>
        <v>#DIV/0!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 t="str">
        <f t="shared" si="23"/>
        <v>#DIV/0!</v>
      </c>
      <c r="CW14" s="169">
        <f t="shared" si="8"/>
        <v>0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 t="str">
        <f t="shared" si="10"/>
        <v>#DIV/0!</v>
      </c>
      <c r="F15" s="200" t="str">
        <f t="shared" si="11"/>
        <v>#DIV/0!</v>
      </c>
      <c r="G15" s="207" t="str">
        <f t="shared" si="12"/>
        <v>#DIV/0!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337">
        <f t="shared" si="13"/>
        <v>0</v>
      </c>
      <c r="S15" s="137" t="str">
        <f t="shared" si="14"/>
        <v>#DIV/0!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 t="str">
        <f t="shared" si="16"/>
        <v>#DIV/0!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 t="str">
        <f t="shared" si="18"/>
        <v>#DIV/0!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 t="str">
        <f t="shared" si="20"/>
        <v>#DIV/0!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 t="str">
        <f t="shared" si="23"/>
        <v>#DIV/0!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0</v>
      </c>
      <c r="E16" s="127" t="str">
        <f t="shared" si="10"/>
        <v>#DIV/0!</v>
      </c>
      <c r="F16" s="200" t="str">
        <f t="shared" si="11"/>
        <v>#DIV/0!</v>
      </c>
      <c r="G16" s="177" t="str">
        <f t="shared" si="12"/>
        <v>#DIV/0!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337">
        <f t="shared" si="13"/>
        <v>0</v>
      </c>
      <c r="S16" s="137" t="str">
        <f t="shared" si="14"/>
        <v>#DIV/0!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4"/>
      <c r="AI16" s="234"/>
      <c r="AJ16" s="239"/>
      <c r="AK16" s="239"/>
      <c r="AL16" s="135">
        <f t="shared" si="15"/>
        <v>0</v>
      </c>
      <c r="AM16" s="183" t="str">
        <f t="shared" si="16"/>
        <v>#DIV/0!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5">
        <f t="shared" si="17"/>
        <v>0</v>
      </c>
      <c r="BJ16" s="186" t="str">
        <f t="shared" si="18"/>
        <v>#DIV/0!</v>
      </c>
      <c r="BK16" s="138"/>
      <c r="BL16" s="132"/>
      <c r="BM16" s="138"/>
      <c r="BN16" s="138"/>
      <c r="BO16" s="138"/>
      <c r="BP16" s="138"/>
      <c r="BQ16" s="138"/>
      <c r="BR16" s="140"/>
      <c r="BS16" s="152"/>
      <c r="BT16" s="152"/>
      <c r="BU16" s="152"/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0</v>
      </c>
      <c r="CG16" s="190" t="str">
        <f t="shared" si="20"/>
        <v>#DIV/0!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 t="str">
        <f t="shared" si="23"/>
        <v>#DIV/0!</v>
      </c>
      <c r="CW16" s="169">
        <f t="shared" si="8"/>
        <v>0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0</v>
      </c>
      <c r="E17" s="127" t="str">
        <f t="shared" si="10"/>
        <v>#DIV/0!</v>
      </c>
      <c r="F17" s="175" t="str">
        <f t="shared" si="11"/>
        <v>#DIV/0!</v>
      </c>
      <c r="G17" s="177" t="str">
        <f t="shared" si="12"/>
        <v>#DIV/0!</v>
      </c>
      <c r="H17" s="132"/>
      <c r="I17" s="178"/>
      <c r="J17" s="179"/>
      <c r="K17" s="179"/>
      <c r="L17" s="179"/>
      <c r="M17" s="179"/>
      <c r="N17" s="179"/>
      <c r="O17" s="179"/>
      <c r="P17" s="179"/>
      <c r="Q17" s="179"/>
      <c r="R17" s="337">
        <f t="shared" si="13"/>
        <v>0</v>
      </c>
      <c r="S17" s="137" t="str">
        <f t="shared" si="14"/>
        <v>#DIV/0!</v>
      </c>
      <c r="T17" s="138"/>
      <c r="U17" s="138"/>
      <c r="V17" s="138"/>
      <c r="W17" s="132"/>
      <c r="X17" s="132"/>
      <c r="Y17" s="138"/>
      <c r="Z17" s="138"/>
      <c r="AA17" s="138"/>
      <c r="AB17" s="217"/>
      <c r="AC17" s="140"/>
      <c r="AD17" s="140"/>
      <c r="AE17" s="141"/>
      <c r="AF17" s="226"/>
      <c r="AG17" s="226"/>
      <c r="AH17" s="226"/>
      <c r="AI17" s="226"/>
      <c r="AJ17" s="218"/>
      <c r="AK17" s="218"/>
      <c r="AL17" s="135">
        <f t="shared" si="15"/>
        <v>0</v>
      </c>
      <c r="AM17" s="183" t="str">
        <f t="shared" si="16"/>
        <v>#DIV/0!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5">
        <f t="shared" si="17"/>
        <v>0</v>
      </c>
      <c r="BJ17" s="186" t="str">
        <f t="shared" si="18"/>
        <v>#DIV/0!</v>
      </c>
      <c r="BK17" s="138"/>
      <c r="BL17" s="132"/>
      <c r="BM17" s="138"/>
      <c r="BN17" s="138"/>
      <c r="BO17" s="138"/>
      <c r="BP17" s="138"/>
      <c r="BQ17" s="138"/>
      <c r="BR17" s="140"/>
      <c r="BS17" s="152"/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0</v>
      </c>
      <c r="CG17" s="190" t="str">
        <f t="shared" si="20"/>
        <v>#DIV/0!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 t="str">
        <f t="shared" si="23"/>
        <v>#DIV/0!</v>
      </c>
      <c r="CW17" s="169">
        <f t="shared" si="8"/>
        <v>0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0</v>
      </c>
      <c r="E18" s="127" t="str">
        <f t="shared" si="10"/>
        <v>#DIV/0!</v>
      </c>
      <c r="F18" s="200" t="str">
        <f t="shared" si="11"/>
        <v>#DIV/0!</v>
      </c>
      <c r="G18" s="177" t="str">
        <f t="shared" si="12"/>
        <v>#DIV/0!</v>
      </c>
      <c r="H18" s="132"/>
      <c r="I18" s="132"/>
      <c r="J18" s="201"/>
      <c r="K18" s="201"/>
      <c r="L18" s="201"/>
      <c r="M18" s="201"/>
      <c r="N18" s="201"/>
      <c r="O18" s="201"/>
      <c r="P18" s="201"/>
      <c r="Q18" s="201"/>
      <c r="R18" s="337">
        <f t="shared" si="13"/>
        <v>0</v>
      </c>
      <c r="S18" s="137" t="str">
        <f t="shared" si="14"/>
        <v>#DIV/0!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0"/>
      <c r="AI18" s="210"/>
      <c r="AJ18" s="212"/>
      <c r="AK18" s="212"/>
      <c r="AL18" s="135">
        <f t="shared" si="15"/>
        <v>0</v>
      </c>
      <c r="AM18" s="183" t="str">
        <f t="shared" si="16"/>
        <v>#DIV/0!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5">
        <f t="shared" si="17"/>
        <v>0</v>
      </c>
      <c r="BJ18" s="186" t="str">
        <f t="shared" si="18"/>
        <v>#DIV/0!</v>
      </c>
      <c r="BK18" s="138"/>
      <c r="BL18" s="132"/>
      <c r="BM18" s="138"/>
      <c r="BN18" s="138"/>
      <c r="BO18" s="138"/>
      <c r="BP18" s="138"/>
      <c r="BQ18" s="138"/>
      <c r="BR18" s="140"/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0</v>
      </c>
      <c r="CG18" s="190" t="str">
        <f t="shared" si="20"/>
        <v>#DIV/0!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 t="str">
        <f t="shared" si="23"/>
        <v>#DIV/0!</v>
      </c>
      <c r="CW18" s="169">
        <f t="shared" si="8"/>
        <v>0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0</v>
      </c>
      <c r="E19" s="127" t="str">
        <f t="shared" si="10"/>
        <v>#DIV/0!</v>
      </c>
      <c r="F19" s="175" t="str">
        <f t="shared" si="11"/>
        <v>#DIV/0!</v>
      </c>
      <c r="G19" s="177" t="str">
        <f t="shared" si="12"/>
        <v>#DIV/0!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337">
        <f t="shared" si="13"/>
        <v>0</v>
      </c>
      <c r="S19" s="137" t="str">
        <f t="shared" si="14"/>
        <v>#DIV/0!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40"/>
      <c r="AE19" s="141"/>
      <c r="AF19" s="226"/>
      <c r="AG19" s="226"/>
      <c r="AH19" s="226"/>
      <c r="AI19" s="226"/>
      <c r="AJ19" s="218"/>
      <c r="AK19" s="218"/>
      <c r="AL19" s="135">
        <f t="shared" si="15"/>
        <v>0</v>
      </c>
      <c r="AM19" s="183" t="str">
        <f t="shared" si="16"/>
        <v>#DIV/0!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5">
        <f t="shared" si="17"/>
        <v>0</v>
      </c>
      <c r="BJ19" s="186" t="str">
        <f t="shared" si="18"/>
        <v>#DIV/0!</v>
      </c>
      <c r="BK19" s="138"/>
      <c r="BL19" s="132"/>
      <c r="BM19" s="138"/>
      <c r="BN19" s="138"/>
      <c r="BO19" s="138"/>
      <c r="BP19" s="138"/>
      <c r="BQ19" s="138"/>
      <c r="BR19" s="140"/>
      <c r="BS19" s="152"/>
      <c r="BT19" s="152"/>
      <c r="BU19" s="152"/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0</v>
      </c>
      <c r="CG19" s="190" t="str">
        <f t="shared" si="20"/>
        <v>#DIV/0!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 t="str">
        <f t="shared" si="23"/>
        <v>#DIV/0!</v>
      </c>
      <c r="CW19" s="169">
        <f t="shared" si="8"/>
        <v>0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0</v>
      </c>
      <c r="E20" s="127" t="str">
        <f t="shared" si="10"/>
        <v>#DIV/0!</v>
      </c>
      <c r="F20" s="200" t="str">
        <f t="shared" si="11"/>
        <v>#DIV/0!</v>
      </c>
      <c r="G20" s="177" t="str">
        <f t="shared" si="12"/>
        <v>#DIV/0!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337">
        <f t="shared" si="13"/>
        <v>0</v>
      </c>
      <c r="S20" s="137" t="str">
        <f t="shared" si="14"/>
        <v>#DIV/0!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0"/>
      <c r="AH20" s="210"/>
      <c r="AI20" s="210"/>
      <c r="AJ20" s="212"/>
      <c r="AK20" s="212"/>
      <c r="AL20" s="135">
        <f t="shared" si="15"/>
        <v>0</v>
      </c>
      <c r="AM20" s="183" t="str">
        <f t="shared" si="16"/>
        <v>#DIV/0!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5">
        <f t="shared" si="17"/>
        <v>0</v>
      </c>
      <c r="BJ20" s="186" t="str">
        <f t="shared" si="18"/>
        <v>#DIV/0!</v>
      </c>
      <c r="BK20" s="138"/>
      <c r="BL20" s="132"/>
      <c r="BM20" s="138"/>
      <c r="BN20" s="138"/>
      <c r="BO20" s="138"/>
      <c r="BP20" s="138"/>
      <c r="BQ20" s="138"/>
      <c r="BR20" s="140"/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0</v>
      </c>
      <c r="CG20" s="190" t="str">
        <f t="shared" si="20"/>
        <v>#DIV/0!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 t="str">
        <f t="shared" si="23"/>
        <v>#DIV/0!</v>
      </c>
      <c r="CW20" s="169">
        <f t="shared" si="8"/>
        <v>0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0</v>
      </c>
      <c r="E21" s="127" t="str">
        <f t="shared" si="10"/>
        <v>#DIV/0!</v>
      </c>
      <c r="F21" s="200" t="str">
        <f t="shared" si="11"/>
        <v>#DIV/0!</v>
      </c>
      <c r="G21" s="177" t="str">
        <f t="shared" si="12"/>
        <v>#DIV/0!</v>
      </c>
      <c r="H21" s="178"/>
      <c r="I21" s="132"/>
      <c r="J21" s="201"/>
      <c r="K21" s="201"/>
      <c r="L21" s="201"/>
      <c r="M21" s="201"/>
      <c r="N21" s="201"/>
      <c r="O21" s="201"/>
      <c r="P21" s="201"/>
      <c r="Q21" s="201"/>
      <c r="R21" s="337">
        <f t="shared" si="13"/>
        <v>0</v>
      </c>
      <c r="S21" s="137" t="str">
        <f t="shared" si="14"/>
        <v>#DIV/0!</v>
      </c>
      <c r="T21" s="138"/>
      <c r="U21" s="138"/>
      <c r="V21" s="138"/>
      <c r="W21" s="132"/>
      <c r="X21" s="132"/>
      <c r="Y21" s="138"/>
      <c r="Z21" s="138"/>
      <c r="AA21" s="138"/>
      <c r="AB21" s="209"/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0</v>
      </c>
      <c r="AM21" s="183" t="str">
        <f t="shared" si="16"/>
        <v>#DIV/0!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5">
        <f t="shared" si="17"/>
        <v>0</v>
      </c>
      <c r="BJ21" s="186" t="str">
        <f t="shared" si="18"/>
        <v>#DIV/0!</v>
      </c>
      <c r="BK21" s="138"/>
      <c r="BL21" s="132"/>
      <c r="BM21" s="138"/>
      <c r="BN21" s="138"/>
      <c r="BO21" s="138"/>
      <c r="BP21" s="138"/>
      <c r="BQ21" s="138"/>
      <c r="BR21" s="140"/>
      <c r="BS21" s="152"/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0</v>
      </c>
      <c r="CG21" s="190" t="str">
        <f t="shared" si="20"/>
        <v>#DIV/0!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 t="str">
        <f t="shared" si="23"/>
        <v>#DIV/0!</v>
      </c>
      <c r="CW21" s="169">
        <f t="shared" si="8"/>
        <v>0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0</v>
      </c>
      <c r="E22" s="127" t="str">
        <f t="shared" si="10"/>
        <v>#DIV/0!</v>
      </c>
      <c r="F22" s="200" t="str">
        <f t="shared" si="11"/>
        <v>#DIV/0!</v>
      </c>
      <c r="G22" s="177" t="str">
        <f t="shared" si="12"/>
        <v>#DIV/0!</v>
      </c>
      <c r="H22" s="132"/>
      <c r="I22" s="178"/>
      <c r="J22" s="179"/>
      <c r="K22" s="179"/>
      <c r="L22" s="179"/>
      <c r="M22" s="179"/>
      <c r="N22" s="179"/>
      <c r="O22" s="179"/>
      <c r="P22" s="179"/>
      <c r="Q22" s="179"/>
      <c r="R22" s="337">
        <f t="shared" si="13"/>
        <v>0</v>
      </c>
      <c r="S22" s="137" t="str">
        <f t="shared" si="14"/>
        <v>#DIV/0!</v>
      </c>
      <c r="T22" s="138"/>
      <c r="U22" s="138"/>
      <c r="V22" s="138"/>
      <c r="W22" s="132"/>
      <c r="X22" s="132"/>
      <c r="Y22" s="138"/>
      <c r="Z22" s="138"/>
      <c r="AA22" s="138"/>
      <c r="AB22" s="209"/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0</v>
      </c>
      <c r="AM22" s="183" t="str">
        <f t="shared" si="16"/>
        <v>#DIV/0!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5">
        <f t="shared" si="17"/>
        <v>0</v>
      </c>
      <c r="BJ22" s="186" t="str">
        <f t="shared" si="18"/>
        <v>#DIV/0!</v>
      </c>
      <c r="BK22" s="138"/>
      <c r="BL22" s="132"/>
      <c r="BM22" s="138"/>
      <c r="BN22" s="138"/>
      <c r="BO22" s="138"/>
      <c r="BP22" s="138"/>
      <c r="BQ22" s="138"/>
      <c r="BR22" s="140"/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0</v>
      </c>
      <c r="CG22" s="190" t="str">
        <f t="shared" si="20"/>
        <v>#DIV/0!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 t="str">
        <f t="shared" si="23"/>
        <v>#DIV/0!</v>
      </c>
      <c r="CW22" s="169">
        <f t="shared" si="8"/>
        <v>0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0</v>
      </c>
      <c r="E23" s="127" t="str">
        <f t="shared" si="10"/>
        <v>#DIV/0!</v>
      </c>
      <c r="F23" s="175" t="str">
        <f t="shared" si="11"/>
        <v>#DIV/0!</v>
      </c>
      <c r="G23" s="177" t="str">
        <f t="shared" si="12"/>
        <v>#DIV/0!</v>
      </c>
      <c r="H23" s="132"/>
      <c r="I23" s="132"/>
      <c r="J23" s="201"/>
      <c r="K23" s="201"/>
      <c r="L23" s="201"/>
      <c r="M23" s="201"/>
      <c r="N23" s="201"/>
      <c r="O23" s="201"/>
      <c r="P23" s="201"/>
      <c r="Q23" s="201"/>
      <c r="R23" s="337">
        <f t="shared" si="13"/>
        <v>0</v>
      </c>
      <c r="S23" s="137" t="str">
        <f t="shared" si="14"/>
        <v>#DIV/0!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 t="str">
        <f t="shared" si="16"/>
        <v>#DIV/0!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 t="str">
        <f t="shared" si="18"/>
        <v>#DIV/0!</v>
      </c>
      <c r="BK23" s="138"/>
      <c r="BL23" s="132"/>
      <c r="BM23" s="138"/>
      <c r="BN23" s="138"/>
      <c r="BO23" s="138"/>
      <c r="BP23" s="138"/>
      <c r="BQ23" s="138"/>
      <c r="BR23" s="140"/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0</v>
      </c>
      <c r="CG23" s="190" t="str">
        <f t="shared" si="20"/>
        <v>#DIV/0!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 t="str">
        <f t="shared" si="23"/>
        <v>#DIV/0!</v>
      </c>
      <c r="CW23" s="169">
        <f t="shared" si="8"/>
        <v>0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0</v>
      </c>
      <c r="E24" s="127" t="str">
        <f t="shared" si="10"/>
        <v>#DIV/0!</v>
      </c>
      <c r="F24" s="175" t="str">
        <f t="shared" si="11"/>
        <v>#DIV/0!</v>
      </c>
      <c r="G24" s="177" t="str">
        <f t="shared" si="12"/>
        <v>#DIV/0!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337">
        <f t="shared" si="13"/>
        <v>0</v>
      </c>
      <c r="S24" s="137" t="str">
        <f t="shared" si="14"/>
        <v>#DIV/0!</v>
      </c>
      <c r="T24" s="138"/>
      <c r="U24" s="138"/>
      <c r="V24" s="138"/>
      <c r="W24" s="132"/>
      <c r="X24" s="132"/>
      <c r="Y24" s="138"/>
      <c r="Z24" s="138"/>
      <c r="AA24" s="138"/>
      <c r="AB24" s="209"/>
      <c r="AC24" s="140"/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0</v>
      </c>
      <c r="AM24" s="183" t="str">
        <f t="shared" si="16"/>
        <v>#DIV/0!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7"/>
        <v>0</v>
      </c>
      <c r="BJ24" s="186" t="str">
        <f t="shared" si="18"/>
        <v>#DIV/0!</v>
      </c>
      <c r="BK24" s="138"/>
      <c r="BL24" s="132"/>
      <c r="BM24" s="138"/>
      <c r="BN24" s="138"/>
      <c r="BO24" s="138"/>
      <c r="BP24" s="138"/>
      <c r="BQ24" s="138"/>
      <c r="BR24" s="140"/>
      <c r="BS24" s="152"/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0</v>
      </c>
      <c r="CG24" s="190" t="str">
        <f t="shared" si="20"/>
        <v>#DIV/0!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 t="str">
        <f t="shared" si="23"/>
        <v>#DIV/0!</v>
      </c>
      <c r="CW24" s="169">
        <f t="shared" si="8"/>
        <v>0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0</v>
      </c>
      <c r="E25" s="127" t="str">
        <f t="shared" si="10"/>
        <v>#DIV/0!</v>
      </c>
      <c r="F25" s="175" t="str">
        <f t="shared" si="11"/>
        <v>#DIV/0!</v>
      </c>
      <c r="G25" s="177" t="str">
        <f t="shared" si="12"/>
        <v>#DIV/0!</v>
      </c>
      <c r="H25" s="132"/>
      <c r="I25" s="178"/>
      <c r="J25" s="179"/>
      <c r="K25" s="179"/>
      <c r="L25" s="179"/>
      <c r="M25" s="179"/>
      <c r="N25" s="179"/>
      <c r="O25" s="179"/>
      <c r="P25" s="179"/>
      <c r="Q25" s="179"/>
      <c r="R25" s="337">
        <f t="shared" si="13"/>
        <v>0</v>
      </c>
      <c r="S25" s="137" t="str">
        <f t="shared" si="14"/>
        <v>#DIV/0!</v>
      </c>
      <c r="T25" s="138"/>
      <c r="U25" s="138"/>
      <c r="V25" s="138"/>
      <c r="W25" s="132"/>
      <c r="X25" s="132"/>
      <c r="Y25" s="138"/>
      <c r="Z25" s="138"/>
      <c r="AA25" s="138"/>
      <c r="AB25" s="247"/>
      <c r="AC25" s="140"/>
      <c r="AD25" s="140"/>
      <c r="AE25" s="141"/>
      <c r="AF25" s="248"/>
      <c r="AG25" s="248"/>
      <c r="AH25" s="248"/>
      <c r="AI25" s="248"/>
      <c r="AJ25" s="249"/>
      <c r="AK25" s="249"/>
      <c r="AL25" s="135">
        <f t="shared" si="15"/>
        <v>0</v>
      </c>
      <c r="AM25" s="183" t="str">
        <f t="shared" si="16"/>
        <v>#DIV/0!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5">
        <f t="shared" si="17"/>
        <v>0</v>
      </c>
      <c r="BJ25" s="186" t="str">
        <f t="shared" si="18"/>
        <v>#DIV/0!</v>
      </c>
      <c r="BK25" s="138"/>
      <c r="BL25" s="132"/>
      <c r="BM25" s="138"/>
      <c r="BN25" s="138"/>
      <c r="BO25" s="138"/>
      <c r="BP25" s="138"/>
      <c r="BQ25" s="138"/>
      <c r="BR25" s="140"/>
      <c r="BS25" s="152"/>
      <c r="BT25" s="152"/>
      <c r="BU25" s="152"/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0</v>
      </c>
      <c r="CG25" s="190" t="str">
        <f t="shared" si="20"/>
        <v>#DIV/0!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 t="str">
        <f t="shared" si="23"/>
        <v>#DIV/0!</v>
      </c>
      <c r="CW25" s="169">
        <f t="shared" si="8"/>
        <v>0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0</v>
      </c>
      <c r="E26" s="127" t="str">
        <f t="shared" si="10"/>
        <v>#DIV/0!</v>
      </c>
      <c r="F26" s="200" t="str">
        <f t="shared" si="11"/>
        <v>#DIV/0!</v>
      </c>
      <c r="G26" s="177" t="str">
        <f t="shared" si="12"/>
        <v>#DIV/0!</v>
      </c>
      <c r="H26" s="132"/>
      <c r="I26" s="132"/>
      <c r="J26" s="201"/>
      <c r="K26" s="201"/>
      <c r="L26" s="201"/>
      <c r="M26" s="201"/>
      <c r="N26" s="201"/>
      <c r="O26" s="201"/>
      <c r="P26" s="201"/>
      <c r="Q26" s="201"/>
      <c r="R26" s="337">
        <f t="shared" si="13"/>
        <v>0</v>
      </c>
      <c r="S26" s="137" t="str">
        <f t="shared" si="14"/>
        <v>#DIV/0!</v>
      </c>
      <c r="T26" s="138"/>
      <c r="U26" s="138"/>
      <c r="V26" s="138"/>
      <c r="W26" s="132"/>
      <c r="X26" s="132"/>
      <c r="Y26" s="138"/>
      <c r="Z26" s="138"/>
      <c r="AA26" s="138"/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0</v>
      </c>
      <c r="AM26" s="183" t="str">
        <f t="shared" si="16"/>
        <v>#DIV/0!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7"/>
        <v>0</v>
      </c>
      <c r="BJ26" s="186" t="str">
        <f t="shared" si="18"/>
        <v>#DIV/0!</v>
      </c>
      <c r="BK26" s="138"/>
      <c r="BL26" s="132"/>
      <c r="BM26" s="138"/>
      <c r="BN26" s="138"/>
      <c r="BO26" s="138"/>
      <c r="BP26" s="138"/>
      <c r="BQ26" s="138"/>
      <c r="BR26" s="140"/>
      <c r="BS26" s="152"/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0</v>
      </c>
      <c r="CG26" s="190" t="str">
        <f t="shared" si="20"/>
        <v>#DIV/0!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 t="str">
        <f t="shared" si="23"/>
        <v>#DIV/0!</v>
      </c>
      <c r="CW26" s="169">
        <f t="shared" si="8"/>
        <v>0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0</v>
      </c>
      <c r="E27" s="127" t="str">
        <f t="shared" si="10"/>
        <v>#DIV/0!</v>
      </c>
      <c r="F27" s="175" t="str">
        <f t="shared" si="11"/>
        <v>#DIV/0!</v>
      </c>
      <c r="G27" s="177" t="str">
        <f t="shared" si="12"/>
        <v>#DIV/0!</v>
      </c>
      <c r="H27" s="132"/>
      <c r="I27" s="132"/>
      <c r="J27" s="201"/>
      <c r="K27" s="201"/>
      <c r="L27" s="201"/>
      <c r="M27" s="201"/>
      <c r="N27" s="201"/>
      <c r="O27" s="201"/>
      <c r="P27" s="201"/>
      <c r="Q27" s="201"/>
      <c r="R27" s="337">
        <f t="shared" si="13"/>
        <v>0</v>
      </c>
      <c r="S27" s="137" t="str">
        <f t="shared" si="14"/>
        <v>#DIV/0!</v>
      </c>
      <c r="T27" s="138"/>
      <c r="U27" s="138"/>
      <c r="V27" s="138"/>
      <c r="W27" s="132"/>
      <c r="X27" s="132"/>
      <c r="Y27" s="138"/>
      <c r="Z27" s="138"/>
      <c r="AA27" s="138"/>
      <c r="AB27" s="209"/>
      <c r="AC27" s="140"/>
      <c r="AD27" s="140"/>
      <c r="AE27" s="141"/>
      <c r="AF27" s="210"/>
      <c r="AG27" s="210"/>
      <c r="AH27" s="210"/>
      <c r="AI27" s="210"/>
      <c r="AJ27" s="212"/>
      <c r="AK27" s="212"/>
      <c r="AL27" s="135">
        <f t="shared" si="15"/>
        <v>0</v>
      </c>
      <c r="AM27" s="183" t="str">
        <f t="shared" si="16"/>
        <v>#DIV/0!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5">
        <f t="shared" si="17"/>
        <v>0</v>
      </c>
      <c r="BJ27" s="186" t="str">
        <f t="shared" si="18"/>
        <v>#DIV/0!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0</v>
      </c>
      <c r="CG27" s="190" t="str">
        <f t="shared" si="20"/>
        <v>#DIV/0!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 t="str">
        <f t="shared" si="23"/>
        <v>#DIV/0!</v>
      </c>
      <c r="CW27" s="169">
        <f t="shared" si="8"/>
        <v>0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0</v>
      </c>
      <c r="E28" s="127" t="str">
        <f t="shared" si="10"/>
        <v>#DIV/0!</v>
      </c>
      <c r="F28" s="175" t="str">
        <f t="shared" si="11"/>
        <v>#DIV/0!</v>
      </c>
      <c r="G28" s="177" t="str">
        <f t="shared" si="12"/>
        <v>#DIV/0!</v>
      </c>
      <c r="H28" s="132"/>
      <c r="I28" s="132"/>
      <c r="J28" s="201"/>
      <c r="K28" s="201"/>
      <c r="L28" s="201"/>
      <c r="M28" s="201"/>
      <c r="N28" s="201"/>
      <c r="O28" s="201"/>
      <c r="P28" s="201"/>
      <c r="Q28" s="201"/>
      <c r="R28" s="337">
        <f t="shared" si="13"/>
        <v>0</v>
      </c>
      <c r="S28" s="137" t="str">
        <f t="shared" si="14"/>
        <v>#DIV/0!</v>
      </c>
      <c r="T28" s="138"/>
      <c r="U28" s="138"/>
      <c r="V28" s="138"/>
      <c r="W28" s="132"/>
      <c r="X28" s="132"/>
      <c r="Y28" s="138"/>
      <c r="Z28" s="138"/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0</v>
      </c>
      <c r="AM28" s="183" t="str">
        <f t="shared" si="16"/>
        <v>#DIV/0!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5">
        <f t="shared" si="17"/>
        <v>0</v>
      </c>
      <c r="BJ28" s="186" t="str">
        <f t="shared" si="18"/>
        <v>#DIV/0!</v>
      </c>
      <c r="BK28" s="138"/>
      <c r="BL28" s="132"/>
      <c r="BM28" s="138"/>
      <c r="BN28" s="138"/>
      <c r="BO28" s="138"/>
      <c r="BP28" s="138"/>
      <c r="BQ28" s="138"/>
      <c r="BR28" s="140"/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0</v>
      </c>
      <c r="CG28" s="190" t="str">
        <f t="shared" si="20"/>
        <v>#DIV/0!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 t="str">
        <f t="shared" si="23"/>
        <v>#DIV/0!</v>
      </c>
      <c r="CW28" s="169">
        <f t="shared" si="8"/>
        <v>0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0</v>
      </c>
      <c r="E29" s="127" t="str">
        <f t="shared" si="10"/>
        <v>#DIV/0!</v>
      </c>
      <c r="F29" s="175" t="str">
        <f t="shared" si="11"/>
        <v>#DIV/0!</v>
      </c>
      <c r="G29" s="177" t="str">
        <f t="shared" si="12"/>
        <v>#DIV/0!</v>
      </c>
      <c r="H29" s="132"/>
      <c r="I29" s="132"/>
      <c r="J29" s="201"/>
      <c r="K29" s="201"/>
      <c r="L29" s="201"/>
      <c r="M29" s="201"/>
      <c r="N29" s="201"/>
      <c r="O29" s="201"/>
      <c r="P29" s="201"/>
      <c r="Q29" s="201"/>
      <c r="R29" s="337">
        <f t="shared" si="13"/>
        <v>0</v>
      </c>
      <c r="S29" s="137" t="str">
        <f t="shared" si="14"/>
        <v>#DIV/0!</v>
      </c>
      <c r="T29" s="138"/>
      <c r="U29" s="138"/>
      <c r="V29" s="138"/>
      <c r="W29" s="132"/>
      <c r="X29" s="132"/>
      <c r="Y29" s="138"/>
      <c r="Z29" s="138"/>
      <c r="AA29" s="138"/>
      <c r="AB29" s="209"/>
      <c r="AC29" s="140"/>
      <c r="AD29" s="140"/>
      <c r="AE29" s="141"/>
      <c r="AF29" s="210"/>
      <c r="AG29" s="210"/>
      <c r="AH29" s="210"/>
      <c r="AI29" s="210"/>
      <c r="AJ29" s="212"/>
      <c r="AK29" s="212"/>
      <c r="AL29" s="135">
        <f t="shared" si="15"/>
        <v>0</v>
      </c>
      <c r="AM29" s="183" t="str">
        <f t="shared" si="16"/>
        <v>#DIV/0!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5">
        <f t="shared" si="17"/>
        <v>0</v>
      </c>
      <c r="BJ29" s="186" t="str">
        <f t="shared" si="18"/>
        <v>#DIV/0!</v>
      </c>
      <c r="BK29" s="138"/>
      <c r="BL29" s="132"/>
      <c r="BM29" s="138"/>
      <c r="BN29" s="138"/>
      <c r="BO29" s="138"/>
      <c r="BP29" s="138"/>
      <c r="BQ29" s="138"/>
      <c r="BR29" s="140"/>
      <c r="BS29" s="152"/>
      <c r="BT29" s="152"/>
      <c r="BU29" s="152"/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0</v>
      </c>
      <c r="CG29" s="190" t="str">
        <f t="shared" si="20"/>
        <v>#DIV/0!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 t="str">
        <f t="shared" si="23"/>
        <v>#DIV/0!</v>
      </c>
      <c r="CW29" s="169">
        <f t="shared" si="8"/>
        <v>0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0</v>
      </c>
      <c r="E30" s="127" t="str">
        <f t="shared" si="10"/>
        <v>#DIV/0!</v>
      </c>
      <c r="F30" s="200" t="str">
        <f t="shared" si="11"/>
        <v>#DIV/0!</v>
      </c>
      <c r="G30" s="177" t="str">
        <f t="shared" si="12"/>
        <v>#DIV/0!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337">
        <f t="shared" si="13"/>
        <v>0</v>
      </c>
      <c r="S30" s="137" t="str">
        <f t="shared" si="14"/>
        <v>#DIV/0!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0</v>
      </c>
      <c r="AM30" s="183" t="str">
        <f t="shared" si="16"/>
        <v>#DIV/0!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5">
        <f t="shared" si="17"/>
        <v>0</v>
      </c>
      <c r="BJ30" s="186" t="str">
        <f t="shared" si="18"/>
        <v>#DIV/0!</v>
      </c>
      <c r="BK30" s="138"/>
      <c r="BL30" s="132"/>
      <c r="BM30" s="138"/>
      <c r="BN30" s="138"/>
      <c r="BO30" s="138"/>
      <c r="BP30" s="138"/>
      <c r="BQ30" s="138"/>
      <c r="BR30" s="140"/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0</v>
      </c>
      <c r="CG30" s="190" t="str">
        <f t="shared" si="20"/>
        <v>#DIV/0!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 t="str">
        <f t="shared" si="23"/>
        <v>#DIV/0!</v>
      </c>
      <c r="CW30" s="169">
        <f t="shared" si="8"/>
        <v>0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0</v>
      </c>
      <c r="E31" s="127" t="str">
        <f t="shared" si="10"/>
        <v>#DIV/0!</v>
      </c>
      <c r="F31" s="200" t="str">
        <f t="shared" si="11"/>
        <v>#DIV/0!</v>
      </c>
      <c r="G31" s="177" t="str">
        <f t="shared" si="12"/>
        <v>#DIV/0!</v>
      </c>
      <c r="H31" s="132"/>
      <c r="I31" s="178"/>
      <c r="J31" s="179"/>
      <c r="K31" s="179"/>
      <c r="L31" s="179"/>
      <c r="M31" s="179"/>
      <c r="N31" s="179"/>
      <c r="O31" s="179"/>
      <c r="P31" s="179"/>
      <c r="Q31" s="179"/>
      <c r="R31" s="337">
        <f t="shared" si="13"/>
        <v>0</v>
      </c>
      <c r="S31" s="137" t="str">
        <f t="shared" si="14"/>
        <v>#DIV/0!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0"/>
      <c r="AI31" s="210"/>
      <c r="AJ31" s="212"/>
      <c r="AK31" s="212"/>
      <c r="AL31" s="135">
        <f t="shared" si="15"/>
        <v>0</v>
      </c>
      <c r="AM31" s="183" t="str">
        <f t="shared" si="16"/>
        <v>#DIV/0!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5">
        <f t="shared" si="17"/>
        <v>0</v>
      </c>
      <c r="BJ31" s="186" t="str">
        <f t="shared" si="18"/>
        <v>#DIV/0!</v>
      </c>
      <c r="BK31" s="138"/>
      <c r="BL31" s="132"/>
      <c r="BM31" s="138"/>
      <c r="BN31" s="138"/>
      <c r="BO31" s="138"/>
      <c r="BP31" s="138"/>
      <c r="BQ31" s="138"/>
      <c r="BR31" s="140"/>
      <c r="BS31" s="152"/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0</v>
      </c>
      <c r="CG31" s="190" t="str">
        <f t="shared" si="20"/>
        <v>#DIV/0!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 t="str">
        <f t="shared" si="23"/>
        <v>#DIV/0!</v>
      </c>
      <c r="CW31" s="169">
        <f t="shared" si="8"/>
        <v>0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0</v>
      </c>
      <c r="E32" s="127" t="str">
        <f t="shared" si="10"/>
        <v>#DIV/0!</v>
      </c>
      <c r="F32" s="175" t="str">
        <f t="shared" si="11"/>
        <v>#DIV/0!</v>
      </c>
      <c r="G32" s="177" t="str">
        <f t="shared" si="12"/>
        <v>#DIV/0!</v>
      </c>
      <c r="H32" s="132"/>
      <c r="I32" s="178"/>
      <c r="J32" s="179"/>
      <c r="K32" s="179"/>
      <c r="L32" s="179"/>
      <c r="M32" s="179"/>
      <c r="N32" s="179"/>
      <c r="O32" s="179"/>
      <c r="P32" s="179"/>
      <c r="Q32" s="179"/>
      <c r="R32" s="337">
        <f t="shared" si="13"/>
        <v>0</v>
      </c>
      <c r="S32" s="137" t="str">
        <f t="shared" si="14"/>
        <v>#DIV/0!</v>
      </c>
      <c r="T32" s="138"/>
      <c r="U32" s="138"/>
      <c r="V32" s="138"/>
      <c r="W32" s="132"/>
      <c r="X32" s="132"/>
      <c r="Y32" s="138"/>
      <c r="Z32" s="138"/>
      <c r="AA32" s="138"/>
      <c r="AB32" s="233"/>
      <c r="AC32" s="140"/>
      <c r="AD32" s="140"/>
      <c r="AE32" s="141"/>
      <c r="AF32" s="234"/>
      <c r="AG32" s="234"/>
      <c r="AH32" s="234"/>
      <c r="AI32" s="234"/>
      <c r="AJ32" s="239"/>
      <c r="AK32" s="239"/>
      <c r="AL32" s="135">
        <f t="shared" si="15"/>
        <v>0</v>
      </c>
      <c r="AM32" s="183" t="str">
        <f t="shared" si="16"/>
        <v>#DIV/0!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5">
        <f t="shared" si="17"/>
        <v>0</v>
      </c>
      <c r="BJ32" s="186" t="str">
        <f t="shared" si="18"/>
        <v>#DIV/0!</v>
      </c>
      <c r="BK32" s="138"/>
      <c r="BL32" s="132"/>
      <c r="BM32" s="138"/>
      <c r="BN32" s="138"/>
      <c r="BO32" s="138"/>
      <c r="BP32" s="138"/>
      <c r="BQ32" s="138"/>
      <c r="BR32" s="140"/>
      <c r="BS32" s="152"/>
      <c r="BT32" s="152"/>
      <c r="BU32" s="152"/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0</v>
      </c>
      <c r="CG32" s="190" t="str">
        <f t="shared" si="20"/>
        <v>#DIV/0!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 t="str">
        <f t="shared" si="23"/>
        <v>#DIV/0!</v>
      </c>
      <c r="CW32" s="169">
        <f t="shared" si="8"/>
        <v>0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0</v>
      </c>
      <c r="E33" s="127" t="str">
        <f t="shared" si="10"/>
        <v>#DIV/0!</v>
      </c>
      <c r="F33" s="175" t="str">
        <f t="shared" si="11"/>
        <v>#DIV/0!</v>
      </c>
      <c r="G33" s="177" t="str">
        <f t="shared" si="12"/>
        <v>#DIV/0!</v>
      </c>
      <c r="H33" s="132"/>
      <c r="I33" s="229"/>
      <c r="J33" s="231"/>
      <c r="K33" s="231"/>
      <c r="L33" s="231"/>
      <c r="M33" s="231"/>
      <c r="N33" s="231"/>
      <c r="O33" s="231"/>
      <c r="P33" s="231"/>
      <c r="Q33" s="231"/>
      <c r="R33" s="337">
        <f t="shared" si="13"/>
        <v>0</v>
      </c>
      <c r="S33" s="137" t="str">
        <f t="shared" si="14"/>
        <v>#DIV/0!</v>
      </c>
      <c r="T33" s="138"/>
      <c r="U33" s="138"/>
      <c r="V33" s="138"/>
      <c r="W33" s="132"/>
      <c r="X33" s="132"/>
      <c r="Y33" s="138"/>
      <c r="Z33" s="138"/>
      <c r="AA33" s="138"/>
      <c r="AB33" s="233"/>
      <c r="AC33" s="140"/>
      <c r="AD33" s="140"/>
      <c r="AE33" s="141"/>
      <c r="AF33" s="234"/>
      <c r="AG33" s="234"/>
      <c r="AH33" s="234"/>
      <c r="AI33" s="234"/>
      <c r="AJ33" s="239"/>
      <c r="AK33" s="239"/>
      <c r="AL33" s="135">
        <f t="shared" si="15"/>
        <v>0</v>
      </c>
      <c r="AM33" s="183" t="str">
        <f t="shared" si="16"/>
        <v>#DIV/0!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5">
        <f t="shared" si="17"/>
        <v>0</v>
      </c>
      <c r="BJ33" s="186" t="str">
        <f t="shared" si="18"/>
        <v>#DIV/0!</v>
      </c>
      <c r="BK33" s="138"/>
      <c r="BL33" s="132"/>
      <c r="BM33" s="138"/>
      <c r="BN33" s="138"/>
      <c r="BO33" s="138"/>
      <c r="BP33" s="138"/>
      <c r="BQ33" s="138"/>
      <c r="BR33" s="140"/>
      <c r="BS33" s="152"/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0</v>
      </c>
      <c r="CG33" s="190" t="str">
        <f t="shared" si="20"/>
        <v>#DIV/0!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 t="str">
        <f t="shared" si="23"/>
        <v>#DIV/0!</v>
      </c>
      <c r="CW33" s="169">
        <f t="shared" si="8"/>
        <v>0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0</v>
      </c>
      <c r="E34" s="127" t="str">
        <f t="shared" si="10"/>
        <v>#DIV/0!</v>
      </c>
      <c r="F34" s="200" t="str">
        <f t="shared" si="11"/>
        <v>#DIV/0!</v>
      </c>
      <c r="G34" s="177" t="str">
        <f t="shared" si="12"/>
        <v>#DIV/0!</v>
      </c>
      <c r="H34" s="178"/>
      <c r="I34" s="132"/>
      <c r="J34" s="201"/>
      <c r="K34" s="201"/>
      <c r="L34" s="201"/>
      <c r="M34" s="201"/>
      <c r="N34" s="201"/>
      <c r="O34" s="201"/>
      <c r="P34" s="201"/>
      <c r="Q34" s="201"/>
      <c r="R34" s="337">
        <f t="shared" si="13"/>
        <v>0</v>
      </c>
      <c r="S34" s="137" t="str">
        <f t="shared" si="14"/>
        <v>#DIV/0!</v>
      </c>
      <c r="T34" s="138"/>
      <c r="U34" s="138"/>
      <c r="V34" s="138"/>
      <c r="W34" s="132"/>
      <c r="X34" s="132"/>
      <c r="Y34" s="138"/>
      <c r="Z34" s="138"/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0</v>
      </c>
      <c r="AM34" s="183" t="str">
        <f t="shared" si="16"/>
        <v>#DIV/0!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5">
        <f t="shared" si="17"/>
        <v>0</v>
      </c>
      <c r="BJ34" s="186" t="str">
        <f t="shared" si="18"/>
        <v>#DIV/0!</v>
      </c>
      <c r="BK34" s="138"/>
      <c r="BL34" s="132"/>
      <c r="BM34" s="138"/>
      <c r="BN34" s="138"/>
      <c r="BO34" s="138"/>
      <c r="BP34" s="138"/>
      <c r="BQ34" s="138"/>
      <c r="BR34" s="140"/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0</v>
      </c>
      <c r="CG34" s="190" t="str">
        <f t="shared" si="20"/>
        <v>#DIV/0!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 t="str">
        <f t="shared" si="23"/>
        <v>#DIV/0!</v>
      </c>
      <c r="CW34" s="169">
        <f t="shared" si="8"/>
        <v>0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0</v>
      </c>
      <c r="E35" s="127" t="str">
        <f t="shared" si="10"/>
        <v>#DIV/0!</v>
      </c>
      <c r="F35" s="175" t="str">
        <f t="shared" si="11"/>
        <v>#DIV/0!</v>
      </c>
      <c r="G35" s="177" t="str">
        <f t="shared" si="12"/>
        <v>#DIV/0!</v>
      </c>
      <c r="H35" s="132"/>
      <c r="I35" s="132"/>
      <c r="J35" s="201"/>
      <c r="K35" s="201"/>
      <c r="L35" s="201"/>
      <c r="M35" s="201"/>
      <c r="N35" s="201"/>
      <c r="O35" s="201"/>
      <c r="P35" s="201"/>
      <c r="Q35" s="201"/>
      <c r="R35" s="337">
        <f t="shared" si="13"/>
        <v>0</v>
      </c>
      <c r="S35" s="137" t="str">
        <f t="shared" si="14"/>
        <v>#DIV/0!</v>
      </c>
      <c r="T35" s="138"/>
      <c r="U35" s="138"/>
      <c r="V35" s="138"/>
      <c r="W35" s="132"/>
      <c r="X35" s="132"/>
      <c r="Y35" s="138"/>
      <c r="Z35" s="138"/>
      <c r="AA35" s="138"/>
      <c r="AB35" s="209"/>
      <c r="AC35" s="140"/>
      <c r="AD35" s="140"/>
      <c r="AE35" s="141"/>
      <c r="AF35" s="210"/>
      <c r="AG35" s="210"/>
      <c r="AH35" s="210"/>
      <c r="AI35" s="210"/>
      <c r="AJ35" s="212"/>
      <c r="AK35" s="212"/>
      <c r="AL35" s="135">
        <f t="shared" si="15"/>
        <v>0</v>
      </c>
      <c r="AM35" s="183" t="str">
        <f t="shared" si="16"/>
        <v>#DIV/0!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5">
        <f t="shared" si="17"/>
        <v>0</v>
      </c>
      <c r="BJ35" s="186" t="str">
        <f t="shared" si="18"/>
        <v>#DIV/0!</v>
      </c>
      <c r="BK35" s="138"/>
      <c r="BL35" s="132"/>
      <c r="BM35" s="138"/>
      <c r="BN35" s="138"/>
      <c r="BO35" s="138"/>
      <c r="BP35" s="138"/>
      <c r="BQ35" s="138"/>
      <c r="BR35" s="140"/>
      <c r="BS35" s="152"/>
      <c r="BT35" s="152"/>
      <c r="BU35" s="152"/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0</v>
      </c>
      <c r="CG35" s="190" t="str">
        <f t="shared" si="20"/>
        <v>#DIV/0!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 t="str">
        <f t="shared" si="23"/>
        <v>#DIV/0!</v>
      </c>
      <c r="CW35" s="169">
        <f t="shared" si="8"/>
        <v>0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 t="str">
        <f t="shared" si="10"/>
        <v>#DIV/0!</v>
      </c>
      <c r="F36" s="200" t="str">
        <f t="shared" si="11"/>
        <v>#DIV/0!</v>
      </c>
      <c r="G36" s="207" t="str">
        <f t="shared" si="12"/>
        <v>#DIV/0!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337">
        <f t="shared" si="13"/>
        <v>0</v>
      </c>
      <c r="S36" s="137" t="str">
        <f t="shared" si="14"/>
        <v>#DIV/0!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 t="str">
        <f t="shared" si="16"/>
        <v>#DIV/0!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 t="str">
        <f t="shared" si="18"/>
        <v>#DIV/0!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 t="str">
        <f t="shared" si="20"/>
        <v>#DIV/0!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 t="str">
        <f t="shared" si="23"/>
        <v>#DIV/0!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0</v>
      </c>
      <c r="E37" s="127" t="str">
        <f t="shared" si="10"/>
        <v>#DIV/0!</v>
      </c>
      <c r="F37" s="200" t="str">
        <f t="shared" si="11"/>
        <v>#DIV/0!</v>
      </c>
      <c r="G37" s="177" t="str">
        <f t="shared" si="12"/>
        <v>#DIV/0!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337">
        <f t="shared" si="13"/>
        <v>0</v>
      </c>
      <c r="S37" s="137" t="str">
        <f t="shared" si="14"/>
        <v>#DIV/0!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40"/>
      <c r="AE37" s="141"/>
      <c r="AF37" s="210"/>
      <c r="AG37" s="210"/>
      <c r="AH37" s="210"/>
      <c r="AI37" s="210"/>
      <c r="AJ37" s="212"/>
      <c r="AK37" s="212"/>
      <c r="AL37" s="135">
        <f t="shared" si="15"/>
        <v>0</v>
      </c>
      <c r="AM37" s="183" t="str">
        <f t="shared" si="16"/>
        <v>#DIV/0!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5">
        <f t="shared" si="17"/>
        <v>0</v>
      </c>
      <c r="BJ37" s="186" t="str">
        <f t="shared" si="18"/>
        <v>#DIV/0!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 t="str">
        <f t="shared" si="20"/>
        <v>#DIV/0!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 t="str">
        <f t="shared" si="23"/>
        <v>#DIV/0!</v>
      </c>
      <c r="CW37" s="169">
        <f t="shared" si="8"/>
        <v>0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0</v>
      </c>
      <c r="E38" s="127" t="str">
        <f t="shared" si="10"/>
        <v>#DIV/0!</v>
      </c>
      <c r="F38" s="200" t="str">
        <f t="shared" si="11"/>
        <v>#DIV/0!</v>
      </c>
      <c r="G38" s="177" t="str">
        <f t="shared" si="12"/>
        <v>#DIV/0!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337">
        <f t="shared" si="13"/>
        <v>0</v>
      </c>
      <c r="S38" s="137" t="str">
        <f t="shared" si="14"/>
        <v>#DIV/0!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40"/>
      <c r="AE38" s="141"/>
      <c r="AF38" s="210"/>
      <c r="AG38" s="210"/>
      <c r="AH38" s="210"/>
      <c r="AI38" s="210"/>
      <c r="AJ38" s="212"/>
      <c r="AK38" s="212"/>
      <c r="AL38" s="135">
        <f t="shared" si="15"/>
        <v>0</v>
      </c>
      <c r="AM38" s="183" t="str">
        <f t="shared" si="16"/>
        <v>#DIV/0!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7"/>
        <v>0</v>
      </c>
      <c r="BJ38" s="186" t="str">
        <f t="shared" si="18"/>
        <v>#DIV/0!</v>
      </c>
      <c r="BK38" s="138"/>
      <c r="BL38" s="132"/>
      <c r="BM38" s="138"/>
      <c r="BN38" s="138"/>
      <c r="BO38" s="138"/>
      <c r="BP38" s="138"/>
      <c r="BQ38" s="138"/>
      <c r="BR38" s="140"/>
      <c r="BS38" s="152"/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0</v>
      </c>
      <c r="CG38" s="190" t="str">
        <f t="shared" si="20"/>
        <v>#DIV/0!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 t="str">
        <f t="shared" si="23"/>
        <v>#DIV/0!</v>
      </c>
      <c r="CW38" s="169">
        <f t="shared" si="8"/>
        <v>0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0</v>
      </c>
      <c r="E39" s="127" t="str">
        <f t="shared" si="10"/>
        <v>#DIV/0!</v>
      </c>
      <c r="F39" s="200" t="str">
        <f t="shared" si="11"/>
        <v>#DIV/0!</v>
      </c>
      <c r="G39" s="207" t="str">
        <f t="shared" si="12"/>
        <v>#DIV/0!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337">
        <f t="shared" si="13"/>
        <v>0</v>
      </c>
      <c r="S39" s="137" t="str">
        <f t="shared" si="14"/>
        <v>#DIV/0!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 t="str">
        <f t="shared" si="16"/>
        <v>#DIV/0!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 t="str">
        <f t="shared" si="18"/>
        <v>#DIV/0!</v>
      </c>
      <c r="BK39" s="138"/>
      <c r="BL39" s="132"/>
      <c r="BM39" s="138"/>
      <c r="BN39" s="138"/>
      <c r="BO39" s="138"/>
      <c r="BP39" s="138"/>
      <c r="BQ39" s="138"/>
      <c r="BR39" s="140"/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0</v>
      </c>
      <c r="CG39" s="190" t="str">
        <f t="shared" si="20"/>
        <v>#DIV/0!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 t="str">
        <f t="shared" si="23"/>
        <v>#DIV/0!</v>
      </c>
      <c r="CW39" s="169">
        <f t="shared" si="8"/>
        <v>0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0</v>
      </c>
      <c r="E40" s="127" t="str">
        <f t="shared" si="10"/>
        <v>#DIV/0!</v>
      </c>
      <c r="F40" s="175" t="str">
        <f t="shared" si="11"/>
        <v>#DIV/0!</v>
      </c>
      <c r="G40" s="177" t="str">
        <f t="shared" si="12"/>
        <v>#DIV/0!</v>
      </c>
      <c r="H40" s="132"/>
      <c r="I40" s="132"/>
      <c r="J40" s="201"/>
      <c r="K40" s="201"/>
      <c r="L40" s="201"/>
      <c r="M40" s="201"/>
      <c r="N40" s="201"/>
      <c r="O40" s="201"/>
      <c r="P40" s="201"/>
      <c r="Q40" s="201"/>
      <c r="R40" s="337">
        <f t="shared" si="13"/>
        <v>0</v>
      </c>
      <c r="S40" s="137" t="str">
        <f t="shared" si="14"/>
        <v>#DIV/0!</v>
      </c>
      <c r="T40" s="138"/>
      <c r="U40" s="138"/>
      <c r="V40" s="138"/>
      <c r="W40" s="132"/>
      <c r="X40" s="132"/>
      <c r="Y40" s="138"/>
      <c r="Z40" s="138"/>
      <c r="AA40" s="138"/>
      <c r="AB40" s="209"/>
      <c r="AC40" s="140"/>
      <c r="AD40" s="140"/>
      <c r="AE40" s="141"/>
      <c r="AF40" s="210"/>
      <c r="AG40" s="210"/>
      <c r="AH40" s="210"/>
      <c r="AI40" s="210"/>
      <c r="AJ40" s="212"/>
      <c r="AK40" s="212"/>
      <c r="AL40" s="135">
        <f t="shared" si="15"/>
        <v>0</v>
      </c>
      <c r="AM40" s="183" t="str">
        <f t="shared" si="16"/>
        <v>#DIV/0!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5">
        <f t="shared" si="17"/>
        <v>0</v>
      </c>
      <c r="BJ40" s="186" t="str">
        <f t="shared" si="18"/>
        <v>#DIV/0!</v>
      </c>
      <c r="BK40" s="138"/>
      <c r="BL40" s="132"/>
      <c r="BM40" s="138"/>
      <c r="BN40" s="138"/>
      <c r="BO40" s="138"/>
      <c r="BP40" s="138"/>
      <c r="BQ40" s="138"/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0</v>
      </c>
      <c r="CG40" s="190" t="str">
        <f t="shared" si="20"/>
        <v>#DIV/0!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 t="str">
        <f t="shared" si="23"/>
        <v>#DIV/0!</v>
      </c>
      <c r="CW40" s="169">
        <f t="shared" si="8"/>
        <v>0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0</v>
      </c>
      <c r="E41" s="127" t="str">
        <f t="shared" si="10"/>
        <v>#DIV/0!</v>
      </c>
      <c r="F41" s="175" t="str">
        <f t="shared" si="11"/>
        <v>#DIV/0!</v>
      </c>
      <c r="G41" s="177" t="str">
        <f t="shared" si="12"/>
        <v>#DIV/0!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337">
        <f t="shared" si="13"/>
        <v>0</v>
      </c>
      <c r="S41" s="137" t="str">
        <f t="shared" si="14"/>
        <v>#DIV/0!</v>
      </c>
      <c r="T41" s="138"/>
      <c r="U41" s="138"/>
      <c r="V41" s="138"/>
      <c r="W41" s="132"/>
      <c r="X41" s="132"/>
      <c r="Y41" s="138"/>
      <c r="Z41" s="138"/>
      <c r="AA41" s="138"/>
      <c r="AB41" s="209"/>
      <c r="AC41" s="140"/>
      <c r="AD41" s="140"/>
      <c r="AE41" s="141"/>
      <c r="AF41" s="210"/>
      <c r="AG41" s="210"/>
      <c r="AH41" s="210"/>
      <c r="AI41" s="210"/>
      <c r="AJ41" s="212"/>
      <c r="AK41" s="212"/>
      <c r="AL41" s="135">
        <f t="shared" si="15"/>
        <v>0</v>
      </c>
      <c r="AM41" s="183" t="str">
        <f t="shared" si="16"/>
        <v>#DIV/0!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5">
        <f t="shared" si="17"/>
        <v>0</v>
      </c>
      <c r="BJ41" s="186" t="str">
        <f t="shared" si="18"/>
        <v>#DIV/0!</v>
      </c>
      <c r="BK41" s="138"/>
      <c r="BL41" s="132"/>
      <c r="BM41" s="138"/>
      <c r="BN41" s="138"/>
      <c r="BO41" s="138"/>
      <c r="BP41" s="138"/>
      <c r="BQ41" s="138"/>
      <c r="BR41" s="140"/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0</v>
      </c>
      <c r="CG41" s="190" t="str">
        <f t="shared" si="20"/>
        <v>#DIV/0!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 t="str">
        <f t="shared" si="23"/>
        <v>#DIV/0!</v>
      </c>
      <c r="CW41" s="169">
        <f t="shared" si="8"/>
        <v>0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0</v>
      </c>
      <c r="E42" s="127" t="str">
        <f t="shared" si="10"/>
        <v>#DIV/0!</v>
      </c>
      <c r="F42" s="200" t="str">
        <f t="shared" si="11"/>
        <v>#DIV/0!</v>
      </c>
      <c r="G42" s="177" t="str">
        <f t="shared" si="12"/>
        <v>#DIV/0!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337">
        <f t="shared" si="13"/>
        <v>0</v>
      </c>
      <c r="S42" s="137" t="str">
        <f t="shared" si="14"/>
        <v>#DIV/0!</v>
      </c>
      <c r="T42" s="138"/>
      <c r="U42" s="138"/>
      <c r="V42" s="138"/>
      <c r="W42" s="132"/>
      <c r="X42" s="132"/>
      <c r="Y42" s="138"/>
      <c r="Z42" s="138"/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0</v>
      </c>
      <c r="AM42" s="183" t="str">
        <f t="shared" si="16"/>
        <v>#DIV/0!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 t="str">
        <f t="shared" si="18"/>
        <v>#DIV/0!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52"/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0</v>
      </c>
      <c r="CG42" s="190" t="str">
        <f t="shared" si="20"/>
        <v>#DIV/0!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 t="str">
        <f t="shared" si="23"/>
        <v>#DIV/0!</v>
      </c>
      <c r="CW42" s="169">
        <f t="shared" si="8"/>
        <v>0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0</v>
      </c>
      <c r="E43" s="127" t="str">
        <f t="shared" si="10"/>
        <v>#DIV/0!</v>
      </c>
      <c r="F43" s="200" t="str">
        <f t="shared" si="11"/>
        <v>#DIV/0!</v>
      </c>
      <c r="G43" s="177" t="str">
        <f t="shared" si="12"/>
        <v>#DIV/0!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337">
        <f t="shared" si="13"/>
        <v>0</v>
      </c>
      <c r="S43" s="137" t="str">
        <f t="shared" si="14"/>
        <v>#DIV/0!</v>
      </c>
      <c r="T43" s="138"/>
      <c r="U43" s="138"/>
      <c r="V43" s="138"/>
      <c r="W43" s="132"/>
      <c r="X43" s="132"/>
      <c r="Y43" s="138"/>
      <c r="Z43" s="138"/>
      <c r="AA43" s="138"/>
      <c r="AB43" s="217"/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0</v>
      </c>
      <c r="AM43" s="183" t="str">
        <f t="shared" si="16"/>
        <v>#DIV/0!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5">
        <f t="shared" si="17"/>
        <v>0</v>
      </c>
      <c r="BJ43" s="186" t="str">
        <f t="shared" si="18"/>
        <v>#DIV/0!</v>
      </c>
      <c r="BK43" s="138"/>
      <c r="BL43" s="132"/>
      <c r="BM43" s="138"/>
      <c r="BN43" s="138"/>
      <c r="BO43" s="138"/>
      <c r="BP43" s="138"/>
      <c r="BQ43" s="138"/>
      <c r="BR43" s="140"/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0</v>
      </c>
      <c r="CG43" s="190" t="str">
        <f t="shared" si="20"/>
        <v>#DIV/0!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 t="str">
        <f t="shared" si="23"/>
        <v>#DIV/0!</v>
      </c>
      <c r="CW43" s="169">
        <f t="shared" si="8"/>
        <v>0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0</v>
      </c>
      <c r="E44" s="127" t="str">
        <f t="shared" si="10"/>
        <v>#DIV/0!</v>
      </c>
      <c r="F44" s="175" t="str">
        <f t="shared" si="11"/>
        <v>#DIV/0!</v>
      </c>
      <c r="G44" s="177" t="str">
        <f t="shared" si="12"/>
        <v>#DIV/0!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337">
        <f t="shared" si="13"/>
        <v>0</v>
      </c>
      <c r="S44" s="137" t="str">
        <f t="shared" si="14"/>
        <v>#DIV/0!</v>
      </c>
      <c r="T44" s="138"/>
      <c r="U44" s="138"/>
      <c r="V44" s="138"/>
      <c r="W44" s="132"/>
      <c r="X44" s="132"/>
      <c r="Y44" s="138"/>
      <c r="Z44" s="138"/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0</v>
      </c>
      <c r="AM44" s="183" t="str">
        <f t="shared" si="16"/>
        <v>#DIV/0!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5">
        <f t="shared" si="17"/>
        <v>0</v>
      </c>
      <c r="BJ44" s="186" t="str">
        <f t="shared" si="18"/>
        <v>#DIV/0!</v>
      </c>
      <c r="BK44" s="138"/>
      <c r="BL44" s="132"/>
      <c r="BM44" s="138"/>
      <c r="BN44" s="138"/>
      <c r="BO44" s="138"/>
      <c r="BP44" s="138"/>
      <c r="BQ44" s="138"/>
      <c r="BR44" s="140"/>
      <c r="BS44" s="152"/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0</v>
      </c>
      <c r="CG44" s="190" t="str">
        <f t="shared" si="20"/>
        <v>#DIV/0!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 t="str">
        <f t="shared" si="23"/>
        <v>#DIV/0!</v>
      </c>
      <c r="CW44" s="169">
        <f t="shared" si="8"/>
        <v>0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 t="str">
        <f t="shared" si="10"/>
        <v>#DIV/0!</v>
      </c>
      <c r="F45" s="200" t="str">
        <f t="shared" si="11"/>
        <v>#DIV/0!</v>
      </c>
      <c r="G45" s="207" t="str">
        <f t="shared" si="12"/>
        <v>#DIV/0!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337">
        <f t="shared" si="13"/>
        <v>0</v>
      </c>
      <c r="S45" s="137" t="str">
        <f t="shared" si="14"/>
        <v>#DIV/0!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 t="str">
        <f t="shared" si="16"/>
        <v>#DIV/0!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 t="str">
        <f t="shared" si="18"/>
        <v>#DIV/0!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 t="str">
        <f t="shared" si="20"/>
        <v>#DIV/0!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 t="str">
        <f t="shared" si="23"/>
        <v>#DIV/0!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0</v>
      </c>
      <c r="E46" s="127" t="str">
        <f t="shared" si="10"/>
        <v>#DIV/0!</v>
      </c>
      <c r="F46" s="200" t="str">
        <f t="shared" si="11"/>
        <v>#DIV/0!</v>
      </c>
      <c r="G46" s="207" t="str">
        <f t="shared" si="12"/>
        <v>#DIV/0!</v>
      </c>
      <c r="H46" s="132"/>
      <c r="I46" s="132"/>
      <c r="J46" s="201"/>
      <c r="K46" s="201"/>
      <c r="L46" s="201"/>
      <c r="M46" s="201"/>
      <c r="N46" s="201"/>
      <c r="O46" s="201"/>
      <c r="P46" s="201"/>
      <c r="Q46" s="201"/>
      <c r="R46" s="337">
        <f t="shared" si="13"/>
        <v>0</v>
      </c>
      <c r="S46" s="137" t="str">
        <f t="shared" si="14"/>
        <v>#DIV/0!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5"/>
        <v>0</v>
      </c>
      <c r="AM46" s="183" t="str">
        <f t="shared" si="16"/>
        <v>#DIV/0!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5">
        <f t="shared" si="17"/>
        <v>0</v>
      </c>
      <c r="BJ46" s="186" t="str">
        <f t="shared" si="18"/>
        <v>#DIV/0!</v>
      </c>
      <c r="BK46" s="138"/>
      <c r="BL46" s="132"/>
      <c r="BM46" s="138"/>
      <c r="BN46" s="138"/>
      <c r="BO46" s="138"/>
      <c r="BP46" s="138"/>
      <c r="BQ46" s="138"/>
      <c r="BR46" s="140"/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0</v>
      </c>
      <c r="CG46" s="190" t="str">
        <f t="shared" si="20"/>
        <v>#DIV/0!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 t="str">
        <f t="shared" si="23"/>
        <v>#DIV/0!</v>
      </c>
      <c r="CW46" s="169">
        <f t="shared" si="8"/>
        <v>0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0</v>
      </c>
      <c r="E47" s="127" t="str">
        <f t="shared" si="10"/>
        <v>#DIV/0!</v>
      </c>
      <c r="F47" s="175" t="str">
        <f t="shared" si="11"/>
        <v>#DIV/0!</v>
      </c>
      <c r="G47" s="177" t="str">
        <f t="shared" si="12"/>
        <v>#DIV/0!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337">
        <f t="shared" si="13"/>
        <v>0</v>
      </c>
      <c r="S47" s="137" t="str">
        <f t="shared" si="14"/>
        <v>#DIV/0!</v>
      </c>
      <c r="T47" s="138"/>
      <c r="U47" s="138"/>
      <c r="V47" s="138"/>
      <c r="W47" s="132"/>
      <c r="X47" s="132"/>
      <c r="Y47" s="138"/>
      <c r="Z47" s="138"/>
      <c r="AA47" s="138"/>
      <c r="AB47" s="209"/>
      <c r="AC47" s="140"/>
      <c r="AD47" s="140"/>
      <c r="AE47" s="141"/>
      <c r="AF47" s="210"/>
      <c r="AG47" s="210"/>
      <c r="AH47" s="210"/>
      <c r="AI47" s="210"/>
      <c r="AJ47" s="212"/>
      <c r="AK47" s="212"/>
      <c r="AL47" s="135">
        <f t="shared" si="15"/>
        <v>0</v>
      </c>
      <c r="AM47" s="183" t="str">
        <f t="shared" si="16"/>
        <v>#DIV/0!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5">
        <f t="shared" si="17"/>
        <v>0</v>
      </c>
      <c r="BJ47" s="186" t="str">
        <f t="shared" si="18"/>
        <v>#DIV/0!</v>
      </c>
      <c r="BK47" s="138"/>
      <c r="BL47" s="132"/>
      <c r="BM47" s="138"/>
      <c r="BN47" s="138"/>
      <c r="BO47" s="138"/>
      <c r="BP47" s="138"/>
      <c r="BQ47" s="138"/>
      <c r="BR47" s="140"/>
      <c r="BS47" s="152"/>
      <c r="BT47" s="152"/>
      <c r="BU47" s="152"/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0</v>
      </c>
      <c r="CG47" s="190" t="str">
        <f t="shared" si="20"/>
        <v>#DIV/0!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 t="str">
        <f t="shared" si="23"/>
        <v>#DIV/0!</v>
      </c>
      <c r="CW47" s="169">
        <f t="shared" si="8"/>
        <v>0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0</v>
      </c>
      <c r="E48" s="127" t="str">
        <f t="shared" si="10"/>
        <v>#DIV/0!</v>
      </c>
      <c r="F48" s="175" t="str">
        <f t="shared" si="11"/>
        <v>#DIV/0!</v>
      </c>
      <c r="G48" s="177" t="str">
        <f t="shared" si="12"/>
        <v>#DIV/0!</v>
      </c>
      <c r="H48" s="258"/>
      <c r="I48" s="259"/>
      <c r="J48" s="260"/>
      <c r="K48" s="260"/>
      <c r="L48" s="260"/>
      <c r="M48" s="260"/>
      <c r="N48" s="260"/>
      <c r="O48" s="260"/>
      <c r="P48" s="260"/>
      <c r="Q48" s="260"/>
      <c r="R48" s="337">
        <f t="shared" si="13"/>
        <v>0</v>
      </c>
      <c r="S48" s="137" t="str">
        <f t="shared" si="14"/>
        <v>#DIV/0!</v>
      </c>
      <c r="T48" s="138"/>
      <c r="U48" s="138"/>
      <c r="V48" s="138"/>
      <c r="W48" s="132"/>
      <c r="X48" s="132"/>
      <c r="Y48" s="138"/>
      <c r="Z48" s="138"/>
      <c r="AA48" s="138"/>
      <c r="AB48" s="209"/>
      <c r="AC48" s="140"/>
      <c r="AD48" s="140"/>
      <c r="AE48" s="141"/>
      <c r="AF48" s="210"/>
      <c r="AG48" s="210"/>
      <c r="AH48" s="210"/>
      <c r="AI48" s="210"/>
      <c r="AJ48" s="212"/>
      <c r="AK48" s="212"/>
      <c r="AL48" s="135">
        <f t="shared" si="15"/>
        <v>0</v>
      </c>
      <c r="AM48" s="183" t="str">
        <f t="shared" si="16"/>
        <v>#DIV/0!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 t="str">
        <f t="shared" si="18"/>
        <v>#DIV/0!</v>
      </c>
      <c r="BK48" s="138"/>
      <c r="BL48" s="132"/>
      <c r="BM48" s="138"/>
      <c r="BN48" s="138"/>
      <c r="BO48" s="138"/>
      <c r="BP48" s="138"/>
      <c r="BQ48" s="138"/>
      <c r="BR48" s="140"/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0</v>
      </c>
      <c r="CG48" s="190" t="str">
        <f t="shared" si="20"/>
        <v>#DIV/0!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 t="str">
        <f t="shared" si="23"/>
        <v>#DIV/0!</v>
      </c>
      <c r="CW48" s="169">
        <f t="shared" si="8"/>
        <v>0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0</v>
      </c>
      <c r="E49" s="127" t="str">
        <f t="shared" si="10"/>
        <v>#DIV/0!</v>
      </c>
      <c r="F49" s="175" t="str">
        <f t="shared" si="11"/>
        <v>#DIV/0!</v>
      </c>
      <c r="G49" s="177" t="str">
        <f t="shared" si="12"/>
        <v>#DIV/0!</v>
      </c>
      <c r="H49" s="258"/>
      <c r="I49" s="261"/>
      <c r="J49" s="262"/>
      <c r="K49" s="262"/>
      <c r="L49" s="262"/>
      <c r="M49" s="262"/>
      <c r="N49" s="262"/>
      <c r="O49" s="262"/>
      <c r="P49" s="262"/>
      <c r="Q49" s="262"/>
      <c r="R49" s="337">
        <f t="shared" si="13"/>
        <v>0</v>
      </c>
      <c r="S49" s="137" t="str">
        <f t="shared" si="14"/>
        <v>#DIV/0!</v>
      </c>
      <c r="T49" s="138"/>
      <c r="U49" s="138"/>
      <c r="V49" s="138"/>
      <c r="W49" s="132"/>
      <c r="X49" s="132"/>
      <c r="Y49" s="138"/>
      <c r="Z49" s="138"/>
      <c r="AA49" s="138"/>
      <c r="AB49" s="217"/>
      <c r="AC49" s="140"/>
      <c r="AD49" s="140"/>
      <c r="AE49" s="141"/>
      <c r="AF49" s="226"/>
      <c r="AG49" s="226"/>
      <c r="AH49" s="226"/>
      <c r="AI49" s="226"/>
      <c r="AJ49" s="218"/>
      <c r="AK49" s="218"/>
      <c r="AL49" s="135">
        <f t="shared" si="15"/>
        <v>0</v>
      </c>
      <c r="AM49" s="183" t="str">
        <f t="shared" si="16"/>
        <v>#DIV/0!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 t="str">
        <f t="shared" si="18"/>
        <v>#DIV/0!</v>
      </c>
      <c r="BK49" s="138"/>
      <c r="BL49" s="132"/>
      <c r="BM49" s="138"/>
      <c r="BN49" s="138"/>
      <c r="BO49" s="138"/>
      <c r="BP49" s="138"/>
      <c r="BQ49" s="138"/>
      <c r="BR49" s="140"/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0</v>
      </c>
      <c r="CG49" s="190" t="str">
        <f t="shared" si="20"/>
        <v>#DIV/0!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 t="str">
        <f t="shared" si="23"/>
        <v>#DIV/0!</v>
      </c>
      <c r="CW49" s="169">
        <f t="shared" si="8"/>
        <v>0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0</v>
      </c>
      <c r="E50" s="127" t="str">
        <f t="shared" si="10"/>
        <v>#DIV/0!</v>
      </c>
      <c r="F50" s="175" t="str">
        <f t="shared" si="11"/>
        <v>#DIV/0!</v>
      </c>
      <c r="G50" s="177" t="str">
        <f t="shared" si="12"/>
        <v>#DIV/0!</v>
      </c>
      <c r="H50" s="258"/>
      <c r="I50" s="258"/>
      <c r="J50" s="263"/>
      <c r="K50" s="263"/>
      <c r="L50" s="263"/>
      <c r="M50" s="263"/>
      <c r="N50" s="263"/>
      <c r="O50" s="263"/>
      <c r="P50" s="263"/>
      <c r="Q50" s="263"/>
      <c r="R50" s="337">
        <f t="shared" si="13"/>
        <v>0</v>
      </c>
      <c r="S50" s="137" t="str">
        <f t="shared" si="14"/>
        <v>#DIV/0!</v>
      </c>
      <c r="T50" s="138"/>
      <c r="U50" s="138"/>
      <c r="V50" s="138"/>
      <c r="W50" s="132"/>
      <c r="X50" s="132"/>
      <c r="Y50" s="138"/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0</v>
      </c>
      <c r="AM50" s="183" t="str">
        <f t="shared" si="16"/>
        <v>#DIV/0!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5">
        <f t="shared" si="17"/>
        <v>0</v>
      </c>
      <c r="BJ50" s="186" t="str">
        <f t="shared" si="18"/>
        <v>#DIV/0!</v>
      </c>
      <c r="BK50" s="138"/>
      <c r="BL50" s="132"/>
      <c r="BM50" s="138"/>
      <c r="BN50" s="138"/>
      <c r="BO50" s="138"/>
      <c r="BP50" s="138"/>
      <c r="BQ50" s="138"/>
      <c r="BR50" s="140"/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0</v>
      </c>
      <c r="CG50" s="190" t="str">
        <f t="shared" si="20"/>
        <v>#DIV/0!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 t="str">
        <f t="shared" si="23"/>
        <v>#DIV/0!</v>
      </c>
      <c r="CW50" s="169">
        <f t="shared" si="8"/>
        <v>0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0</v>
      </c>
      <c r="E51" s="127" t="str">
        <f t="shared" si="10"/>
        <v>#DIV/0!</v>
      </c>
      <c r="F51" s="175" t="str">
        <f t="shared" si="11"/>
        <v>#DIV/0!</v>
      </c>
      <c r="G51" s="177" t="str">
        <f t="shared" si="12"/>
        <v>#DIV/0!</v>
      </c>
      <c r="H51" s="258"/>
      <c r="I51" s="265"/>
      <c r="J51" s="266"/>
      <c r="K51" s="266"/>
      <c r="L51" s="266"/>
      <c r="M51" s="266"/>
      <c r="N51" s="266"/>
      <c r="O51" s="266"/>
      <c r="P51" s="266"/>
      <c r="Q51" s="266"/>
      <c r="R51" s="337">
        <f t="shared" si="13"/>
        <v>0</v>
      </c>
      <c r="S51" s="137" t="str">
        <f t="shared" si="14"/>
        <v>#DIV/0!</v>
      </c>
      <c r="T51" s="138"/>
      <c r="U51" s="138"/>
      <c r="V51" s="138"/>
      <c r="W51" s="132"/>
      <c r="X51" s="132"/>
      <c r="Y51" s="138"/>
      <c r="Z51" s="138"/>
      <c r="AA51" s="138"/>
      <c r="AB51" s="247"/>
      <c r="AC51" s="140"/>
      <c r="AD51" s="140"/>
      <c r="AE51" s="141"/>
      <c r="AF51" s="248"/>
      <c r="AG51" s="248"/>
      <c r="AH51" s="248"/>
      <c r="AI51" s="248"/>
      <c r="AJ51" s="249"/>
      <c r="AK51" s="249"/>
      <c r="AL51" s="135">
        <f t="shared" si="15"/>
        <v>0</v>
      </c>
      <c r="AM51" s="183" t="str">
        <f t="shared" si="16"/>
        <v>#DIV/0!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5">
        <f t="shared" si="17"/>
        <v>0</v>
      </c>
      <c r="BJ51" s="186" t="str">
        <f t="shared" si="18"/>
        <v>#DIV/0!</v>
      </c>
      <c r="BK51" s="138"/>
      <c r="BL51" s="132"/>
      <c r="BM51" s="138"/>
      <c r="BN51" s="138"/>
      <c r="BO51" s="138"/>
      <c r="BP51" s="138"/>
      <c r="BQ51" s="138"/>
      <c r="BR51" s="140"/>
      <c r="BS51" s="152"/>
      <c r="BT51" s="152"/>
      <c r="BU51" s="152"/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0</v>
      </c>
      <c r="CG51" s="190" t="str">
        <f t="shared" si="20"/>
        <v>#DIV/0!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 t="str">
        <f t="shared" si="23"/>
        <v>#DIV/0!</v>
      </c>
      <c r="CW51" s="169">
        <f t="shared" si="8"/>
        <v>0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0</v>
      </c>
      <c r="E52" s="127" t="str">
        <f t="shared" si="10"/>
        <v>#DIV/0!</v>
      </c>
      <c r="F52" s="200" t="str">
        <f t="shared" si="11"/>
        <v>#DIV/0!</v>
      </c>
      <c r="G52" s="177" t="str">
        <f t="shared" si="12"/>
        <v>#DIV/0!</v>
      </c>
      <c r="H52" s="258"/>
      <c r="I52" s="258"/>
      <c r="J52" s="263"/>
      <c r="K52" s="263"/>
      <c r="L52" s="263"/>
      <c r="M52" s="263"/>
      <c r="N52" s="263"/>
      <c r="O52" s="263"/>
      <c r="P52" s="263"/>
      <c r="Q52" s="263"/>
      <c r="R52" s="337">
        <f t="shared" si="13"/>
        <v>0</v>
      </c>
      <c r="S52" s="137" t="str">
        <f t="shared" si="14"/>
        <v>#DIV/0!</v>
      </c>
      <c r="T52" s="138"/>
      <c r="U52" s="138"/>
      <c r="V52" s="138"/>
      <c r="W52" s="132"/>
      <c r="X52" s="132"/>
      <c r="Y52" s="138"/>
      <c r="Z52" s="138"/>
      <c r="AA52" s="138"/>
      <c r="AB52" s="209"/>
      <c r="AC52" s="140"/>
      <c r="AD52" s="140"/>
      <c r="AE52" s="141"/>
      <c r="AF52" s="210"/>
      <c r="AG52" s="210"/>
      <c r="AH52" s="210"/>
      <c r="AI52" s="210"/>
      <c r="AJ52" s="212"/>
      <c r="AK52" s="212"/>
      <c r="AL52" s="135">
        <f t="shared" si="15"/>
        <v>0</v>
      </c>
      <c r="AM52" s="183" t="str">
        <f t="shared" si="16"/>
        <v>#DIV/0!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5">
        <f t="shared" si="17"/>
        <v>0</v>
      </c>
      <c r="BJ52" s="186" t="str">
        <f t="shared" si="18"/>
        <v>#DIV/0!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 t="str">
        <f t="shared" si="20"/>
        <v>#DIV/0!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 t="str">
        <f t="shared" si="23"/>
        <v>#DIV/0!</v>
      </c>
      <c r="CW52" s="169">
        <f t="shared" si="8"/>
        <v>0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0</v>
      </c>
      <c r="E53" s="127" t="str">
        <f t="shared" si="10"/>
        <v>#DIV/0!</v>
      </c>
      <c r="F53" s="175" t="str">
        <f t="shared" si="11"/>
        <v>#DIV/0!</v>
      </c>
      <c r="G53" s="177" t="str">
        <f t="shared" si="12"/>
        <v>#DIV/0!</v>
      </c>
      <c r="H53" s="258"/>
      <c r="I53" s="258"/>
      <c r="J53" s="263"/>
      <c r="K53" s="263"/>
      <c r="L53" s="263"/>
      <c r="M53" s="263"/>
      <c r="N53" s="263"/>
      <c r="O53" s="263"/>
      <c r="P53" s="263"/>
      <c r="Q53" s="263"/>
      <c r="R53" s="337">
        <f t="shared" si="13"/>
        <v>0</v>
      </c>
      <c r="S53" s="137" t="str">
        <f t="shared" si="14"/>
        <v>#DIV/0!</v>
      </c>
      <c r="T53" s="138"/>
      <c r="U53" s="138"/>
      <c r="V53" s="138"/>
      <c r="W53" s="132"/>
      <c r="X53" s="132"/>
      <c r="Y53" s="138"/>
      <c r="Z53" s="138"/>
      <c r="AA53" s="138"/>
      <c r="AB53" s="209"/>
      <c r="AC53" s="140"/>
      <c r="AD53" s="140"/>
      <c r="AE53" s="141"/>
      <c r="AF53" s="210"/>
      <c r="AG53" s="210"/>
      <c r="AH53" s="210"/>
      <c r="AI53" s="210"/>
      <c r="AJ53" s="212"/>
      <c r="AK53" s="212"/>
      <c r="AL53" s="135">
        <f t="shared" si="15"/>
        <v>0</v>
      </c>
      <c r="AM53" s="183" t="str">
        <f t="shared" si="16"/>
        <v>#DIV/0!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5">
        <f t="shared" si="17"/>
        <v>0</v>
      </c>
      <c r="BJ53" s="186" t="str">
        <f t="shared" si="18"/>
        <v>#DIV/0!</v>
      </c>
      <c r="BK53" s="138"/>
      <c r="BL53" s="132"/>
      <c r="BM53" s="138"/>
      <c r="BN53" s="138"/>
      <c r="BO53" s="138"/>
      <c r="BP53" s="138"/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0</v>
      </c>
      <c r="CG53" s="190" t="str">
        <f t="shared" si="20"/>
        <v>#DIV/0!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 t="str">
        <f t="shared" si="23"/>
        <v>#DIV/0!</v>
      </c>
      <c r="CW53" s="169">
        <f t="shared" si="8"/>
        <v>0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0</v>
      </c>
      <c r="E54" s="127" t="str">
        <f t="shared" si="10"/>
        <v>#DIV/0!</v>
      </c>
      <c r="F54" s="200" t="str">
        <f t="shared" si="11"/>
        <v>#DIV/0!</v>
      </c>
      <c r="G54" s="207" t="str">
        <f t="shared" si="12"/>
        <v>#DIV/0!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337">
        <f t="shared" si="13"/>
        <v>0</v>
      </c>
      <c r="S54" s="137" t="str">
        <f t="shared" si="14"/>
        <v>#DIV/0!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 t="str">
        <f t="shared" si="16"/>
        <v>#DIV/0!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 t="str">
        <f t="shared" si="18"/>
        <v>#DIV/0!</v>
      </c>
      <c r="BK54" s="138"/>
      <c r="BL54" s="132"/>
      <c r="BM54" s="138"/>
      <c r="BN54" s="138"/>
      <c r="BO54" s="138"/>
      <c r="BP54" s="138"/>
      <c r="BQ54" s="138"/>
      <c r="BR54" s="140"/>
      <c r="BS54" s="152"/>
      <c r="BT54" s="152"/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0</v>
      </c>
      <c r="CG54" s="190" t="str">
        <f t="shared" si="20"/>
        <v>#DIV/0!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 t="str">
        <f t="shared" si="23"/>
        <v>#DIV/0!</v>
      </c>
      <c r="CW54" s="169">
        <f t="shared" si="8"/>
        <v>0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0</v>
      </c>
      <c r="E55" s="127" t="str">
        <f t="shared" si="10"/>
        <v>#DIV/0!</v>
      </c>
      <c r="F55" s="200" t="str">
        <f t="shared" si="11"/>
        <v>#DIV/0!</v>
      </c>
      <c r="G55" s="207" t="str">
        <f t="shared" si="12"/>
        <v>#DIV/0!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337">
        <f t="shared" si="13"/>
        <v>0</v>
      </c>
      <c r="S55" s="137" t="str">
        <f t="shared" si="14"/>
        <v>#DIV/0!</v>
      </c>
      <c r="T55" s="138"/>
      <c r="U55" s="138"/>
      <c r="V55" s="138"/>
      <c r="W55" s="132"/>
      <c r="X55" s="132"/>
      <c r="Y55" s="138"/>
      <c r="Z55" s="138"/>
      <c r="AA55" s="138"/>
      <c r="AB55" s="209"/>
      <c r="AC55" s="140"/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0</v>
      </c>
      <c r="AM55" s="183" t="str">
        <f t="shared" si="16"/>
        <v>#DIV/0!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 t="str">
        <f t="shared" si="18"/>
        <v>#DIV/0!</v>
      </c>
      <c r="BK55" s="138"/>
      <c r="BL55" s="132"/>
      <c r="BM55" s="138"/>
      <c r="BN55" s="138"/>
      <c r="BO55" s="138"/>
      <c r="BP55" s="138"/>
      <c r="BQ55" s="138"/>
      <c r="BR55" s="140"/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0</v>
      </c>
      <c r="CG55" s="190" t="str">
        <f t="shared" si="20"/>
        <v>#DIV/0!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 t="str">
        <f t="shared" si="23"/>
        <v>#DIV/0!</v>
      </c>
      <c r="CW55" s="169">
        <f t="shared" si="8"/>
        <v>0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0</v>
      </c>
      <c r="E56" s="127" t="str">
        <f t="shared" si="10"/>
        <v>#DIV/0!</v>
      </c>
      <c r="F56" s="200" t="str">
        <f t="shared" si="11"/>
        <v>#DIV/0!</v>
      </c>
      <c r="G56" s="207" t="str">
        <f t="shared" si="12"/>
        <v>#DIV/0!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337">
        <f t="shared" si="13"/>
        <v>0</v>
      </c>
      <c r="S56" s="137" t="str">
        <f t="shared" si="14"/>
        <v>#DIV/0!</v>
      </c>
      <c r="T56" s="138"/>
      <c r="U56" s="138"/>
      <c r="V56" s="138"/>
      <c r="W56" s="132"/>
      <c r="X56" s="132"/>
      <c r="Y56" s="138"/>
      <c r="Z56" s="138"/>
      <c r="AA56" s="138"/>
      <c r="AB56" s="209"/>
      <c r="AC56" s="140"/>
      <c r="AD56" s="140"/>
      <c r="AE56" s="141"/>
      <c r="AF56" s="210"/>
      <c r="AG56" s="210"/>
      <c r="AH56" s="210"/>
      <c r="AI56" s="210"/>
      <c r="AJ56" s="212"/>
      <c r="AK56" s="212"/>
      <c r="AL56" s="135">
        <f t="shared" si="15"/>
        <v>0</v>
      </c>
      <c r="AM56" s="183" t="str">
        <f t="shared" si="16"/>
        <v>#DIV/0!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5">
        <f t="shared" si="17"/>
        <v>0</v>
      </c>
      <c r="BJ56" s="186" t="str">
        <f t="shared" si="18"/>
        <v>#DIV/0!</v>
      </c>
      <c r="BK56" s="138"/>
      <c r="BL56" s="132"/>
      <c r="BM56" s="138"/>
      <c r="BN56" s="138"/>
      <c r="BO56" s="138"/>
      <c r="BP56" s="138"/>
      <c r="BQ56" s="138"/>
      <c r="BR56" s="140"/>
      <c r="BS56" s="152"/>
      <c r="BT56" s="152"/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0</v>
      </c>
      <c r="CG56" s="190" t="str">
        <f t="shared" si="20"/>
        <v>#DIV/0!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 t="str">
        <f t="shared" si="23"/>
        <v>#DIV/0!</v>
      </c>
      <c r="CW56" s="169">
        <f t="shared" si="8"/>
        <v>0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0</v>
      </c>
      <c r="E57" s="127" t="str">
        <f t="shared" si="10"/>
        <v>#DIV/0!</v>
      </c>
      <c r="F57" s="200" t="str">
        <f t="shared" si="11"/>
        <v>#DIV/0!</v>
      </c>
      <c r="G57" s="177" t="str">
        <f t="shared" si="12"/>
        <v>#DIV/0!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337">
        <f t="shared" si="13"/>
        <v>0</v>
      </c>
      <c r="S57" s="137" t="str">
        <f t="shared" si="14"/>
        <v>#DIV/0!</v>
      </c>
      <c r="T57" s="138"/>
      <c r="U57" s="138"/>
      <c r="V57" s="138"/>
      <c r="W57" s="132"/>
      <c r="X57" s="132"/>
      <c r="Y57" s="138"/>
      <c r="Z57" s="138"/>
      <c r="AA57" s="138"/>
      <c r="AB57" s="209"/>
      <c r="AC57" s="140"/>
      <c r="AD57" s="140"/>
      <c r="AE57" s="141"/>
      <c r="AF57" s="210"/>
      <c r="AG57" s="210"/>
      <c r="AH57" s="210"/>
      <c r="AI57" s="210"/>
      <c r="AJ57" s="212"/>
      <c r="AK57" s="212"/>
      <c r="AL57" s="135">
        <f t="shared" si="15"/>
        <v>0</v>
      </c>
      <c r="AM57" s="183" t="str">
        <f t="shared" si="16"/>
        <v>#DIV/0!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5">
        <f t="shared" si="17"/>
        <v>0</v>
      </c>
      <c r="BJ57" s="186" t="str">
        <f t="shared" si="18"/>
        <v>#DIV/0!</v>
      </c>
      <c r="BK57" s="138"/>
      <c r="BL57" s="132"/>
      <c r="BM57" s="138"/>
      <c r="BN57" s="138"/>
      <c r="BO57" s="138"/>
      <c r="BP57" s="138"/>
      <c r="BQ57" s="138"/>
      <c r="BR57" s="140"/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0</v>
      </c>
      <c r="CG57" s="190" t="str">
        <f t="shared" si="20"/>
        <v>#DIV/0!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 t="str">
        <f t="shared" si="23"/>
        <v>#DIV/0!</v>
      </c>
      <c r="CW57" s="169">
        <f t="shared" si="8"/>
        <v>0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0</v>
      </c>
      <c r="E58" s="127" t="str">
        <f t="shared" si="10"/>
        <v>#DIV/0!</v>
      </c>
      <c r="F58" s="175" t="str">
        <f t="shared" si="11"/>
        <v>#DIV/0!</v>
      </c>
      <c r="G58" s="177" t="str">
        <f t="shared" si="12"/>
        <v>#DIV/0!</v>
      </c>
      <c r="H58" s="258"/>
      <c r="I58" s="261"/>
      <c r="J58" s="262"/>
      <c r="K58" s="262"/>
      <c r="L58" s="262"/>
      <c r="M58" s="262"/>
      <c r="N58" s="262"/>
      <c r="O58" s="262"/>
      <c r="P58" s="262"/>
      <c r="Q58" s="262"/>
      <c r="R58" s="337">
        <f t="shared" si="13"/>
        <v>0</v>
      </c>
      <c r="S58" s="137" t="str">
        <f t="shared" si="14"/>
        <v>#DIV/0!</v>
      </c>
      <c r="T58" s="138"/>
      <c r="U58" s="138"/>
      <c r="V58" s="138"/>
      <c r="W58" s="132"/>
      <c r="X58" s="132"/>
      <c r="Y58" s="138"/>
      <c r="Z58" s="138"/>
      <c r="AA58" s="138"/>
      <c r="AB58" s="217"/>
      <c r="AC58" s="140"/>
      <c r="AD58" s="140"/>
      <c r="AE58" s="141"/>
      <c r="AF58" s="226"/>
      <c r="AG58" s="226"/>
      <c r="AH58" s="226"/>
      <c r="AI58" s="226"/>
      <c r="AJ58" s="218"/>
      <c r="AK58" s="218"/>
      <c r="AL58" s="135">
        <f t="shared" si="15"/>
        <v>0</v>
      </c>
      <c r="AM58" s="183" t="str">
        <f t="shared" si="16"/>
        <v>#DIV/0!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5">
        <f t="shared" si="17"/>
        <v>0</v>
      </c>
      <c r="BJ58" s="186" t="str">
        <f t="shared" si="18"/>
        <v>#DIV/0!</v>
      </c>
      <c r="BK58" s="138"/>
      <c r="BL58" s="132"/>
      <c r="BM58" s="138"/>
      <c r="BN58" s="138"/>
      <c r="BO58" s="138"/>
      <c r="BP58" s="138"/>
      <c r="BQ58" s="138"/>
      <c r="BR58" s="140"/>
      <c r="BS58" s="152"/>
      <c r="BT58" s="152"/>
      <c r="BU58" s="152"/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0</v>
      </c>
      <c r="CG58" s="190" t="str">
        <f t="shared" si="20"/>
        <v>#DIV/0!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 t="str">
        <f t="shared" si="23"/>
        <v>#DIV/0!</v>
      </c>
      <c r="CW58" s="169">
        <f t="shared" si="8"/>
        <v>0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0</v>
      </c>
      <c r="E59" s="127" t="str">
        <f t="shared" si="10"/>
        <v>#DIV/0!</v>
      </c>
      <c r="F59" s="175" t="str">
        <f t="shared" si="11"/>
        <v>#DIV/0!</v>
      </c>
      <c r="G59" s="177" t="str">
        <f t="shared" si="12"/>
        <v>#DIV/0!</v>
      </c>
      <c r="H59" s="258"/>
      <c r="I59" s="261"/>
      <c r="J59" s="262"/>
      <c r="K59" s="262"/>
      <c r="L59" s="262"/>
      <c r="M59" s="262"/>
      <c r="N59" s="262"/>
      <c r="O59" s="262"/>
      <c r="P59" s="262"/>
      <c r="Q59" s="262"/>
      <c r="R59" s="337">
        <f t="shared" si="13"/>
        <v>0</v>
      </c>
      <c r="S59" s="137" t="str">
        <f t="shared" si="14"/>
        <v>#DIV/0!</v>
      </c>
      <c r="T59" s="138"/>
      <c r="U59" s="138"/>
      <c r="V59" s="138"/>
      <c r="W59" s="132"/>
      <c r="X59" s="132"/>
      <c r="Y59" s="138"/>
      <c r="Z59" s="138"/>
      <c r="AA59" s="138"/>
      <c r="AB59" s="217"/>
      <c r="AC59" s="140"/>
      <c r="AD59" s="140"/>
      <c r="AE59" s="141"/>
      <c r="AF59" s="226"/>
      <c r="AG59" s="226"/>
      <c r="AH59" s="226"/>
      <c r="AI59" s="226"/>
      <c r="AJ59" s="218"/>
      <c r="AK59" s="218"/>
      <c r="AL59" s="135">
        <f t="shared" si="15"/>
        <v>0</v>
      </c>
      <c r="AM59" s="183" t="str">
        <f t="shared" si="16"/>
        <v>#DIV/0!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5">
        <f t="shared" si="17"/>
        <v>0</v>
      </c>
      <c r="BJ59" s="186" t="str">
        <f t="shared" si="18"/>
        <v>#DIV/0!</v>
      </c>
      <c r="BK59" s="138"/>
      <c r="BL59" s="132"/>
      <c r="BM59" s="138"/>
      <c r="BN59" s="138"/>
      <c r="BO59" s="138"/>
      <c r="BP59" s="138"/>
      <c r="BQ59" s="138"/>
      <c r="BR59" s="140"/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0</v>
      </c>
      <c r="CG59" s="190" t="str">
        <f t="shared" si="20"/>
        <v>#DIV/0!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 t="str">
        <f t="shared" si="23"/>
        <v>#DIV/0!</v>
      </c>
      <c r="CW59" s="169">
        <f t="shared" si="8"/>
        <v>0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0</v>
      </c>
      <c r="E60" s="127" t="str">
        <f t="shared" si="10"/>
        <v>#DIV/0!</v>
      </c>
      <c r="F60" s="200" t="str">
        <f t="shared" si="11"/>
        <v>#DIV/0!</v>
      </c>
      <c r="G60" s="177" t="str">
        <f t="shared" si="12"/>
        <v>#DIV/0!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337">
        <f t="shared" si="13"/>
        <v>0</v>
      </c>
      <c r="S60" s="137" t="str">
        <f t="shared" si="14"/>
        <v>#DIV/0!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0</v>
      </c>
      <c r="AM60" s="183" t="str">
        <f t="shared" si="16"/>
        <v>#DIV/0!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5">
        <f t="shared" si="17"/>
        <v>0</v>
      </c>
      <c r="BJ60" s="186" t="str">
        <f t="shared" si="18"/>
        <v>#DIV/0!</v>
      </c>
      <c r="BK60" s="138"/>
      <c r="BL60" s="132"/>
      <c r="BM60" s="138"/>
      <c r="BN60" s="138"/>
      <c r="BO60" s="138"/>
      <c r="BP60" s="138"/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0</v>
      </c>
      <c r="CG60" s="190" t="str">
        <f t="shared" si="20"/>
        <v>#DIV/0!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 t="str">
        <f t="shared" si="23"/>
        <v>#DIV/0!</v>
      </c>
      <c r="CW60" s="169">
        <f t="shared" si="8"/>
        <v>0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0</v>
      </c>
      <c r="E61" s="127" t="str">
        <f t="shared" si="10"/>
        <v>#DIV/0!</v>
      </c>
      <c r="F61" s="200" t="str">
        <f t="shared" si="11"/>
        <v>#DIV/0!</v>
      </c>
      <c r="G61" s="177" t="str">
        <f t="shared" si="12"/>
        <v>#DIV/0!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337">
        <f t="shared" si="13"/>
        <v>0</v>
      </c>
      <c r="S61" s="137" t="str">
        <f t="shared" si="14"/>
        <v>#DIV/0!</v>
      </c>
      <c r="T61" s="138"/>
      <c r="U61" s="138"/>
      <c r="V61" s="138"/>
      <c r="W61" s="132"/>
      <c r="X61" s="132"/>
      <c r="Y61" s="138"/>
      <c r="Z61" s="138"/>
      <c r="AA61" s="138"/>
      <c r="AB61" s="209"/>
      <c r="AC61" s="140"/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5"/>
        <v>0</v>
      </c>
      <c r="AM61" s="183" t="str">
        <f t="shared" si="16"/>
        <v>#DIV/0!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5">
        <f t="shared" si="17"/>
        <v>0</v>
      </c>
      <c r="BJ61" s="186" t="str">
        <f t="shared" si="18"/>
        <v>#DIV/0!</v>
      </c>
      <c r="BK61" s="138"/>
      <c r="BL61" s="132"/>
      <c r="BM61" s="138"/>
      <c r="BN61" s="138"/>
      <c r="BO61" s="138"/>
      <c r="BP61" s="138"/>
      <c r="BQ61" s="138"/>
      <c r="BR61" s="140"/>
      <c r="BS61" s="152"/>
      <c r="BT61" s="152"/>
      <c r="BU61" s="152"/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0</v>
      </c>
      <c r="CG61" s="190" t="str">
        <f t="shared" si="20"/>
        <v>#DIV/0!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 t="str">
        <f t="shared" si="23"/>
        <v>#DIV/0!</v>
      </c>
      <c r="CW61" s="169">
        <f t="shared" si="8"/>
        <v>0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0</v>
      </c>
      <c r="E62" s="127" t="str">
        <f t="shared" si="10"/>
        <v>#DIV/0!</v>
      </c>
      <c r="F62" s="175" t="str">
        <f t="shared" si="11"/>
        <v>#DIV/0!</v>
      </c>
      <c r="G62" s="177" t="str">
        <f t="shared" si="12"/>
        <v>#DIV/0!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337">
        <f t="shared" si="13"/>
        <v>0</v>
      </c>
      <c r="S62" s="137" t="str">
        <f t="shared" si="14"/>
        <v>#DIV/0!</v>
      </c>
      <c r="T62" s="138"/>
      <c r="U62" s="138"/>
      <c r="V62" s="138"/>
      <c r="W62" s="132"/>
      <c r="X62" s="132"/>
      <c r="Y62" s="138"/>
      <c r="Z62" s="138"/>
      <c r="AA62" s="138"/>
      <c r="AB62" s="233"/>
      <c r="AC62" s="140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5"/>
        <v>0</v>
      </c>
      <c r="AM62" s="183" t="str">
        <f t="shared" si="16"/>
        <v>#DIV/0!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 t="str">
        <f t="shared" si="18"/>
        <v>#DIV/0!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52"/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0</v>
      </c>
      <c r="CG62" s="190" t="str">
        <f t="shared" si="20"/>
        <v>#DIV/0!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 t="str">
        <f t="shared" si="23"/>
        <v>#DIV/0!</v>
      </c>
      <c r="CW62" s="169">
        <f t="shared" si="8"/>
        <v>0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0</v>
      </c>
      <c r="E63" s="127" t="str">
        <f t="shared" si="10"/>
        <v>#DIV/0!</v>
      </c>
      <c r="F63" s="200" t="str">
        <f t="shared" si="11"/>
        <v>#DIV/0!</v>
      </c>
      <c r="G63" s="207" t="str">
        <f t="shared" si="12"/>
        <v>#DIV/0!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337">
        <f t="shared" si="13"/>
        <v>0</v>
      </c>
      <c r="S63" s="137" t="str">
        <f t="shared" si="14"/>
        <v>#DIV/0!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0</v>
      </c>
      <c r="AM63" s="183" t="str">
        <f t="shared" si="16"/>
        <v>#DIV/0!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7"/>
        <v>0</v>
      </c>
      <c r="BJ63" s="186" t="str">
        <f t="shared" si="18"/>
        <v>#DIV/0!</v>
      </c>
      <c r="BK63" s="138"/>
      <c r="BL63" s="132"/>
      <c r="BM63" s="138"/>
      <c r="BN63" s="138"/>
      <c r="BO63" s="138"/>
      <c r="BP63" s="138"/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0</v>
      </c>
      <c r="CG63" s="190" t="str">
        <f t="shared" si="20"/>
        <v>#DIV/0!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 t="str">
        <f t="shared" si="23"/>
        <v>#DIV/0!</v>
      </c>
      <c r="CW63" s="169">
        <f t="shared" si="8"/>
        <v>0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0</v>
      </c>
      <c r="E64" s="127" t="str">
        <f t="shared" si="10"/>
        <v>#DIV/0!</v>
      </c>
      <c r="F64" s="200" t="str">
        <f t="shared" si="11"/>
        <v>#DIV/0!</v>
      </c>
      <c r="G64" s="207" t="str">
        <f t="shared" si="12"/>
        <v>#DIV/0!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337">
        <f t="shared" si="13"/>
        <v>0</v>
      </c>
      <c r="S64" s="137" t="str">
        <f t="shared" si="14"/>
        <v>#DIV/0!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 t="str">
        <f t="shared" si="16"/>
        <v>#DIV/0!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 t="str">
        <f t="shared" si="18"/>
        <v>#DIV/0!</v>
      </c>
      <c r="BK64" s="138"/>
      <c r="BL64" s="132"/>
      <c r="BM64" s="138"/>
      <c r="BN64" s="138"/>
      <c r="BO64" s="138"/>
      <c r="BP64" s="138"/>
      <c r="BQ64" s="138"/>
      <c r="BR64" s="140"/>
      <c r="BS64" s="152"/>
      <c r="BT64" s="152"/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0</v>
      </c>
      <c r="CG64" s="190" t="str">
        <f t="shared" si="20"/>
        <v>#DIV/0!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 t="str">
        <f t="shared" si="23"/>
        <v>#DIV/0!</v>
      </c>
      <c r="CW64" s="169">
        <f t="shared" si="8"/>
        <v>0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 t="str">
        <f t="shared" si="10"/>
        <v>#DIV/0!</v>
      </c>
      <c r="F65" s="200" t="str">
        <f t="shared" si="11"/>
        <v>#DIV/0!</v>
      </c>
      <c r="G65" s="207" t="str">
        <f t="shared" si="12"/>
        <v>#DIV/0!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337">
        <f t="shared" si="13"/>
        <v>0</v>
      </c>
      <c r="S65" s="137" t="str">
        <f t="shared" si="14"/>
        <v>#DIV/0!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 t="str">
        <f t="shared" si="16"/>
        <v>#DIV/0!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 t="str">
        <f t="shared" si="18"/>
        <v>#DIV/0!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 t="str">
        <f t="shared" si="20"/>
        <v>#DIV/0!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 t="str">
        <f t="shared" si="23"/>
        <v>#DIV/0!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0</v>
      </c>
      <c r="E66" s="127" t="str">
        <f t="shared" si="10"/>
        <v>#DIV/0!</v>
      </c>
      <c r="F66" s="175" t="str">
        <f t="shared" si="11"/>
        <v>#DIV/0!</v>
      </c>
      <c r="G66" s="177" t="str">
        <f t="shared" si="12"/>
        <v>#DIV/0!</v>
      </c>
      <c r="H66" s="258"/>
      <c r="I66" s="258"/>
      <c r="J66" s="263"/>
      <c r="K66" s="263"/>
      <c r="L66" s="263"/>
      <c r="M66" s="263"/>
      <c r="N66" s="263"/>
      <c r="O66" s="263"/>
      <c r="P66" s="263"/>
      <c r="Q66" s="263"/>
      <c r="R66" s="337">
        <f t="shared" si="13"/>
        <v>0</v>
      </c>
      <c r="S66" s="137" t="str">
        <f t="shared" si="14"/>
        <v>#DIV/0!</v>
      </c>
      <c r="T66" s="138"/>
      <c r="U66" s="138"/>
      <c r="V66" s="138"/>
      <c r="W66" s="132"/>
      <c r="X66" s="132"/>
      <c r="Y66" s="138"/>
      <c r="Z66" s="138"/>
      <c r="AA66" s="138"/>
      <c r="AB66" s="209"/>
      <c r="AC66" s="140"/>
      <c r="AD66" s="140"/>
      <c r="AE66" s="141"/>
      <c r="AF66" s="210"/>
      <c r="AG66" s="210"/>
      <c r="AH66" s="210"/>
      <c r="AI66" s="210"/>
      <c r="AJ66" s="212"/>
      <c r="AK66" s="212"/>
      <c r="AL66" s="135">
        <f t="shared" si="15"/>
        <v>0</v>
      </c>
      <c r="AM66" s="183" t="str">
        <f t="shared" si="16"/>
        <v>#DIV/0!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5">
        <f t="shared" si="17"/>
        <v>0</v>
      </c>
      <c r="BJ66" s="186" t="str">
        <f t="shared" si="18"/>
        <v>#DIV/0!</v>
      </c>
      <c r="BK66" s="138"/>
      <c r="BL66" s="132"/>
      <c r="BM66" s="138"/>
      <c r="BN66" s="138"/>
      <c r="BO66" s="138"/>
      <c r="BP66" s="138"/>
      <c r="BQ66" s="138"/>
      <c r="BR66" s="140"/>
      <c r="BS66" s="152"/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0</v>
      </c>
      <c r="CG66" s="190" t="str">
        <f t="shared" si="20"/>
        <v>#DIV/0!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 t="str">
        <f t="shared" si="23"/>
        <v>#DIV/0!</v>
      </c>
      <c r="CW66" s="169">
        <f t="shared" si="8"/>
        <v>0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0</v>
      </c>
      <c r="E67" s="127" t="str">
        <f t="shared" si="10"/>
        <v>#DIV/0!</v>
      </c>
      <c r="F67" s="200" t="str">
        <f t="shared" si="11"/>
        <v>#DIV/0!</v>
      </c>
      <c r="G67" s="177" t="str">
        <f t="shared" si="12"/>
        <v>#DIV/0!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337">
        <f t="shared" si="13"/>
        <v>0</v>
      </c>
      <c r="S67" s="137" t="str">
        <f t="shared" si="14"/>
        <v>#DIV/0!</v>
      </c>
      <c r="T67" s="138"/>
      <c r="U67" s="138"/>
      <c r="V67" s="138"/>
      <c r="W67" s="132"/>
      <c r="X67" s="132"/>
      <c r="Y67" s="138"/>
      <c r="Z67" s="138"/>
      <c r="AA67" s="138"/>
      <c r="AB67" s="233"/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0</v>
      </c>
      <c r="AM67" s="183" t="str">
        <f t="shared" si="16"/>
        <v>#DIV/0!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0</v>
      </c>
      <c r="BJ67" s="186" t="str">
        <f t="shared" si="18"/>
        <v>#DIV/0!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0</v>
      </c>
      <c r="CG67" s="190" t="str">
        <f t="shared" si="20"/>
        <v>#DIV/0!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 t="str">
        <f t="shared" si="23"/>
        <v>#DIV/0!</v>
      </c>
      <c r="CW67" s="169">
        <f t="shared" si="8"/>
        <v>0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0</v>
      </c>
      <c r="E68" s="127" t="str">
        <f t="shared" si="10"/>
        <v>#DIV/0!</v>
      </c>
      <c r="F68" s="175" t="str">
        <f t="shared" si="11"/>
        <v>#DIV/0!</v>
      </c>
      <c r="G68" s="177" t="str">
        <f t="shared" si="12"/>
        <v>#DIV/0!</v>
      </c>
      <c r="H68" s="258"/>
      <c r="I68" s="258"/>
      <c r="J68" s="263"/>
      <c r="K68" s="263"/>
      <c r="L68" s="263"/>
      <c r="M68" s="263"/>
      <c r="N68" s="263"/>
      <c r="O68" s="263"/>
      <c r="P68" s="263"/>
      <c r="Q68" s="263"/>
      <c r="R68" s="337">
        <f t="shared" si="13"/>
        <v>0</v>
      </c>
      <c r="S68" s="137" t="str">
        <f t="shared" si="14"/>
        <v>#DIV/0!</v>
      </c>
      <c r="T68" s="138"/>
      <c r="U68" s="138"/>
      <c r="V68" s="138"/>
      <c r="W68" s="132"/>
      <c r="X68" s="132"/>
      <c r="Y68" s="138"/>
      <c r="Z68" s="138"/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0</v>
      </c>
      <c r="AM68" s="183" t="str">
        <f t="shared" si="16"/>
        <v>#DIV/0!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 t="str">
        <f t="shared" si="18"/>
        <v>#DIV/0!</v>
      </c>
      <c r="BK68" s="138"/>
      <c r="BL68" s="132"/>
      <c r="BM68" s="138"/>
      <c r="BN68" s="138"/>
      <c r="BO68" s="138"/>
      <c r="BP68" s="138"/>
      <c r="BQ68" s="138"/>
      <c r="BR68" s="140"/>
      <c r="BS68" s="152"/>
      <c r="BT68" s="152"/>
      <c r="BU68" s="152"/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0</v>
      </c>
      <c r="CG68" s="190" t="str">
        <f t="shared" si="20"/>
        <v>#DIV/0!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 t="str">
        <f t="shared" si="23"/>
        <v>#DIV/0!</v>
      </c>
      <c r="CW68" s="169">
        <f t="shared" si="8"/>
        <v>0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0</v>
      </c>
      <c r="E69" s="127" t="str">
        <f t="shared" si="10"/>
        <v>#DIV/0!</v>
      </c>
      <c r="F69" s="200" t="str">
        <f t="shared" si="11"/>
        <v>#DIV/0!</v>
      </c>
      <c r="G69" s="177" t="str">
        <f t="shared" si="12"/>
        <v>#DIV/0!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337">
        <f t="shared" si="13"/>
        <v>0</v>
      </c>
      <c r="S69" s="137" t="str">
        <f t="shared" si="14"/>
        <v>#DIV/0!</v>
      </c>
      <c r="T69" s="138"/>
      <c r="U69" s="138"/>
      <c r="V69" s="138"/>
      <c r="W69" s="132"/>
      <c r="X69" s="132"/>
      <c r="Y69" s="138"/>
      <c r="Z69" s="138"/>
      <c r="AA69" s="138"/>
      <c r="AB69" s="209"/>
      <c r="AC69" s="140"/>
      <c r="AD69" s="140"/>
      <c r="AE69" s="141"/>
      <c r="AF69" s="210"/>
      <c r="AG69" s="210"/>
      <c r="AH69" s="210"/>
      <c r="AI69" s="210"/>
      <c r="AJ69" s="212"/>
      <c r="AK69" s="212"/>
      <c r="AL69" s="135">
        <f t="shared" si="15"/>
        <v>0</v>
      </c>
      <c r="AM69" s="183" t="str">
        <f t="shared" si="16"/>
        <v>#DIV/0!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5">
        <f t="shared" si="17"/>
        <v>0</v>
      </c>
      <c r="BJ69" s="186" t="str">
        <f t="shared" si="18"/>
        <v>#DIV/0!</v>
      </c>
      <c r="BK69" s="138"/>
      <c r="BL69" s="132"/>
      <c r="BM69" s="138"/>
      <c r="BN69" s="138"/>
      <c r="BO69" s="138"/>
      <c r="BP69" s="138"/>
      <c r="BQ69" s="138"/>
      <c r="BR69" s="140"/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0</v>
      </c>
      <c r="CG69" s="190" t="str">
        <f t="shared" si="20"/>
        <v>#DIV/0!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 t="str">
        <f t="shared" si="23"/>
        <v>#DIV/0!</v>
      </c>
      <c r="CW69" s="169">
        <f t="shared" si="8"/>
        <v>0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0</v>
      </c>
      <c r="E70" s="127" t="str">
        <f t="shared" si="10"/>
        <v>#DIV/0!</v>
      </c>
      <c r="F70" s="200" t="str">
        <f t="shared" si="11"/>
        <v>#DIV/0!</v>
      </c>
      <c r="G70" s="177" t="str">
        <f t="shared" si="12"/>
        <v>#DIV/0!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337">
        <f t="shared" si="13"/>
        <v>0</v>
      </c>
      <c r="S70" s="137" t="str">
        <f t="shared" si="14"/>
        <v>#DIV/0!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5"/>
        <v>0</v>
      </c>
      <c r="AM70" s="183" t="str">
        <f t="shared" si="16"/>
        <v>#DIV/0!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5">
        <f t="shared" si="17"/>
        <v>0</v>
      </c>
      <c r="BJ70" s="186" t="str">
        <f t="shared" si="18"/>
        <v>#DIV/0!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 t="str">
        <f t="shared" si="20"/>
        <v>#DIV/0!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 t="str">
        <f t="shared" si="23"/>
        <v>#DIV/0!</v>
      </c>
      <c r="CW70" s="169">
        <f t="shared" si="8"/>
        <v>0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 t="str">
        <f t="shared" si="10"/>
        <v>#DIV/0!</v>
      </c>
      <c r="F71" s="200" t="str">
        <f t="shared" si="11"/>
        <v>#DIV/0!</v>
      </c>
      <c r="G71" s="207" t="str">
        <f t="shared" si="12"/>
        <v>#DIV/0!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337">
        <f t="shared" si="13"/>
        <v>0</v>
      </c>
      <c r="S71" s="137" t="str">
        <f t="shared" si="14"/>
        <v>#DIV/0!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 t="str">
        <f t="shared" si="16"/>
        <v>#DIV/0!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 t="str">
        <f t="shared" si="18"/>
        <v>#DIV/0!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 t="str">
        <f t="shared" si="20"/>
        <v>#DIV/0!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 t="str">
        <f t="shared" si="23"/>
        <v>#DIV/0!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0</v>
      </c>
      <c r="E72" s="127" t="str">
        <f t="shared" si="10"/>
        <v>#DIV/0!</v>
      </c>
      <c r="F72" s="200" t="str">
        <f t="shared" si="11"/>
        <v>#DIV/0!</v>
      </c>
      <c r="G72" s="177" t="str">
        <f t="shared" si="12"/>
        <v>#DIV/0!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337">
        <f t="shared" si="13"/>
        <v>0</v>
      </c>
      <c r="S72" s="137" t="str">
        <f t="shared" si="14"/>
        <v>#DIV/0!</v>
      </c>
      <c r="T72" s="138"/>
      <c r="U72" s="138"/>
      <c r="V72" s="138"/>
      <c r="W72" s="132"/>
      <c r="X72" s="132"/>
      <c r="Y72" s="138"/>
      <c r="Z72" s="138"/>
      <c r="AA72" s="138"/>
      <c r="AB72" s="209"/>
      <c r="AC72" s="140"/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5"/>
        <v>0</v>
      </c>
      <c r="AM72" s="183" t="str">
        <f t="shared" si="16"/>
        <v>#DIV/0!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5">
        <f t="shared" si="17"/>
        <v>0</v>
      </c>
      <c r="BJ72" s="186" t="str">
        <f t="shared" si="18"/>
        <v>#DIV/0!</v>
      </c>
      <c r="BK72" s="138"/>
      <c r="BL72" s="132"/>
      <c r="BM72" s="138"/>
      <c r="BN72" s="138"/>
      <c r="BO72" s="138"/>
      <c r="BP72" s="138"/>
      <c r="BQ72" s="138"/>
      <c r="BR72" s="140"/>
      <c r="BS72" s="152"/>
      <c r="BT72" s="152"/>
      <c r="BU72" s="152"/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0</v>
      </c>
      <c r="CG72" s="190" t="str">
        <f t="shared" si="20"/>
        <v>#DIV/0!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 t="str">
        <f t="shared" si="23"/>
        <v>#DIV/0!</v>
      </c>
      <c r="CW72" s="169">
        <f t="shared" si="8"/>
        <v>0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0</v>
      </c>
      <c r="E73" s="127" t="str">
        <f t="shared" si="10"/>
        <v>#DIV/0!</v>
      </c>
      <c r="F73" s="200" t="str">
        <f t="shared" si="11"/>
        <v>#DIV/0!</v>
      </c>
      <c r="G73" s="177" t="str">
        <f t="shared" si="12"/>
        <v>#DIV/0!</v>
      </c>
      <c r="H73" s="258"/>
      <c r="I73" s="258"/>
      <c r="J73" s="263"/>
      <c r="K73" s="263"/>
      <c r="L73" s="263"/>
      <c r="M73" s="263"/>
      <c r="N73" s="263"/>
      <c r="O73" s="263"/>
      <c r="P73" s="263"/>
      <c r="Q73" s="263"/>
      <c r="R73" s="337">
        <f t="shared" si="13"/>
        <v>0</v>
      </c>
      <c r="S73" s="137" t="str">
        <f t="shared" si="14"/>
        <v>#DIV/0!</v>
      </c>
      <c r="T73" s="138"/>
      <c r="U73" s="138"/>
      <c r="V73" s="138"/>
      <c r="W73" s="132"/>
      <c r="X73" s="132"/>
      <c r="Y73" s="138"/>
      <c r="Z73" s="138"/>
      <c r="AA73" s="138"/>
      <c r="AB73" s="209"/>
      <c r="AC73" s="140"/>
      <c r="AD73" s="140"/>
      <c r="AE73" s="141"/>
      <c r="AF73" s="210"/>
      <c r="AG73" s="210"/>
      <c r="AH73" s="210"/>
      <c r="AI73" s="210"/>
      <c r="AJ73" s="212"/>
      <c r="AK73" s="212"/>
      <c r="AL73" s="135">
        <f t="shared" si="15"/>
        <v>0</v>
      </c>
      <c r="AM73" s="183" t="str">
        <f t="shared" si="16"/>
        <v>#DIV/0!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5">
        <f t="shared" si="17"/>
        <v>0</v>
      </c>
      <c r="BJ73" s="186" t="str">
        <f t="shared" si="18"/>
        <v>#DIV/0!</v>
      </c>
      <c r="BK73" s="138"/>
      <c r="BL73" s="132"/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0</v>
      </c>
      <c r="CG73" s="190" t="str">
        <f t="shared" si="20"/>
        <v>#DIV/0!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 t="str">
        <f t="shared" si="23"/>
        <v>#DIV/0!</v>
      </c>
      <c r="CW73" s="169">
        <f t="shared" si="8"/>
        <v>0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0</v>
      </c>
      <c r="E74" s="127" t="str">
        <f t="shared" si="10"/>
        <v>#DIV/0!</v>
      </c>
      <c r="F74" s="200" t="str">
        <f t="shared" si="11"/>
        <v>#DIV/0!</v>
      </c>
      <c r="G74" s="177" t="str">
        <f t="shared" si="12"/>
        <v>#DIV/0!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337">
        <f t="shared" si="13"/>
        <v>0</v>
      </c>
      <c r="S74" s="137" t="str">
        <f t="shared" si="14"/>
        <v>#DIV/0!</v>
      </c>
      <c r="T74" s="138"/>
      <c r="U74" s="138"/>
      <c r="V74" s="138"/>
      <c r="W74" s="132"/>
      <c r="X74" s="132"/>
      <c r="Y74" s="138"/>
      <c r="Z74" s="138"/>
      <c r="AA74" s="138"/>
      <c r="AB74" s="209"/>
      <c r="AC74" s="140"/>
      <c r="AD74" s="140"/>
      <c r="AE74" s="141"/>
      <c r="AF74" s="210"/>
      <c r="AG74" s="210"/>
      <c r="AH74" s="210"/>
      <c r="AI74" s="210"/>
      <c r="AJ74" s="212"/>
      <c r="AK74" s="212"/>
      <c r="AL74" s="135">
        <f t="shared" si="15"/>
        <v>0</v>
      </c>
      <c r="AM74" s="183" t="str">
        <f t="shared" si="16"/>
        <v>#DIV/0!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 t="str">
        <f t="shared" si="18"/>
        <v>#DIV/0!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0</v>
      </c>
      <c r="CG74" s="190" t="str">
        <f t="shared" si="20"/>
        <v>#DIV/0!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 t="str">
        <f t="shared" si="23"/>
        <v>#DIV/0!</v>
      </c>
      <c r="CW74" s="169">
        <f t="shared" si="8"/>
        <v>0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0</v>
      </c>
      <c r="E75" s="127" t="str">
        <f t="shared" si="10"/>
        <v>#DIV/0!</v>
      </c>
      <c r="F75" s="200" t="str">
        <f t="shared" si="11"/>
        <v>#DIV/0!</v>
      </c>
      <c r="G75" s="207" t="str">
        <f t="shared" si="12"/>
        <v>#DIV/0!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337">
        <f t="shared" si="13"/>
        <v>0</v>
      </c>
      <c r="S75" s="137" t="str">
        <f t="shared" si="14"/>
        <v>#DIV/0!</v>
      </c>
      <c r="T75" s="138"/>
      <c r="U75" s="138"/>
      <c r="V75" s="138"/>
      <c r="W75" s="132"/>
      <c r="X75" s="132"/>
      <c r="Y75" s="138"/>
      <c r="Z75" s="138"/>
      <c r="AA75" s="138"/>
      <c r="AB75" s="209"/>
      <c r="AC75" s="140"/>
      <c r="AD75" s="140"/>
      <c r="AE75" s="141"/>
      <c r="AF75" s="210"/>
      <c r="AG75" s="210"/>
      <c r="AH75" s="210"/>
      <c r="AI75" s="210"/>
      <c r="AJ75" s="212"/>
      <c r="AK75" s="212"/>
      <c r="AL75" s="135">
        <f t="shared" si="15"/>
        <v>0</v>
      </c>
      <c r="AM75" s="183" t="str">
        <f t="shared" si="16"/>
        <v>#DIV/0!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5">
        <f t="shared" si="17"/>
        <v>0</v>
      </c>
      <c r="BJ75" s="186" t="str">
        <f t="shared" si="18"/>
        <v>#DIV/0!</v>
      </c>
      <c r="BK75" s="138"/>
      <c r="BL75" s="132"/>
      <c r="BM75" s="138"/>
      <c r="BN75" s="138"/>
      <c r="BO75" s="138"/>
      <c r="BP75" s="138"/>
      <c r="BQ75" s="138"/>
      <c r="BR75" s="140"/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0</v>
      </c>
      <c r="CG75" s="190" t="str">
        <f t="shared" si="20"/>
        <v>#DIV/0!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 t="str">
        <f t="shared" si="23"/>
        <v>#DIV/0!</v>
      </c>
      <c r="CW75" s="169">
        <f t="shared" si="8"/>
        <v>0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0</v>
      </c>
      <c r="E76" s="127" t="str">
        <f t="shared" si="10"/>
        <v>#DIV/0!</v>
      </c>
      <c r="F76" s="175" t="str">
        <f t="shared" si="11"/>
        <v>#DIV/0!</v>
      </c>
      <c r="G76" s="177" t="str">
        <f t="shared" si="12"/>
        <v>#DIV/0!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337">
        <f t="shared" si="13"/>
        <v>0</v>
      </c>
      <c r="S76" s="137" t="str">
        <f t="shared" si="14"/>
        <v>#DIV/0!</v>
      </c>
      <c r="T76" s="138"/>
      <c r="U76" s="138"/>
      <c r="V76" s="138"/>
      <c r="W76" s="132"/>
      <c r="X76" s="132"/>
      <c r="Y76" s="138"/>
      <c r="Z76" s="138"/>
      <c r="AA76" s="138"/>
      <c r="AB76" s="209"/>
      <c r="AC76" s="140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5"/>
        <v>0</v>
      </c>
      <c r="AM76" s="183" t="str">
        <f t="shared" si="16"/>
        <v>#DIV/0!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7"/>
        <v>0</v>
      </c>
      <c r="BJ76" s="186" t="str">
        <f t="shared" si="18"/>
        <v>#DIV/0!</v>
      </c>
      <c r="BK76" s="138"/>
      <c r="BL76" s="132"/>
      <c r="BM76" s="138"/>
      <c r="BN76" s="138"/>
      <c r="BO76" s="138"/>
      <c r="BP76" s="138"/>
      <c r="BQ76" s="138"/>
      <c r="BR76" s="140"/>
      <c r="BS76" s="152"/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0</v>
      </c>
      <c r="CG76" s="190" t="str">
        <f t="shared" si="20"/>
        <v>#DIV/0!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 t="str">
        <f t="shared" si="23"/>
        <v>#DIV/0!</v>
      </c>
      <c r="CW76" s="169">
        <f t="shared" si="8"/>
        <v>0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0</v>
      </c>
      <c r="E77" s="127" t="str">
        <f t="shared" si="10"/>
        <v>#DIV/0!</v>
      </c>
      <c r="F77" s="200" t="str">
        <f t="shared" si="11"/>
        <v>#DIV/0!</v>
      </c>
      <c r="G77" s="177" t="str">
        <f t="shared" si="12"/>
        <v>#DIV/0!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337">
        <f t="shared" si="13"/>
        <v>0</v>
      </c>
      <c r="S77" s="137" t="str">
        <f t="shared" si="14"/>
        <v>#DIV/0!</v>
      </c>
      <c r="T77" s="138"/>
      <c r="U77" s="138"/>
      <c r="V77" s="138"/>
      <c r="W77" s="132"/>
      <c r="X77" s="132"/>
      <c r="Y77" s="138"/>
      <c r="Z77" s="138"/>
      <c r="AA77" s="138"/>
      <c r="AB77" s="209"/>
      <c r="AC77" s="140"/>
      <c r="AD77" s="140"/>
      <c r="AE77" s="141"/>
      <c r="AF77" s="210"/>
      <c r="AG77" s="210"/>
      <c r="AH77" s="210"/>
      <c r="AI77" s="210"/>
      <c r="AJ77" s="212"/>
      <c r="AK77" s="212"/>
      <c r="AL77" s="135">
        <f t="shared" si="15"/>
        <v>0</v>
      </c>
      <c r="AM77" s="183" t="str">
        <f t="shared" si="16"/>
        <v>#DIV/0!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5">
        <f t="shared" si="17"/>
        <v>0</v>
      </c>
      <c r="BJ77" s="186" t="str">
        <f t="shared" si="18"/>
        <v>#DIV/0!</v>
      </c>
      <c r="BK77" s="138"/>
      <c r="BL77" s="132"/>
      <c r="BM77" s="138"/>
      <c r="BN77" s="138"/>
      <c r="BO77" s="138"/>
      <c r="BP77" s="138"/>
      <c r="BQ77" s="138"/>
      <c r="BR77" s="140"/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0</v>
      </c>
      <c r="CG77" s="190" t="str">
        <f t="shared" si="20"/>
        <v>#DIV/0!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 t="str">
        <f t="shared" si="23"/>
        <v>#DIV/0!</v>
      </c>
      <c r="CW77" s="169">
        <f t="shared" si="8"/>
        <v>0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0</v>
      </c>
      <c r="E78" s="127" t="str">
        <f t="shared" si="10"/>
        <v>#DIV/0!</v>
      </c>
      <c r="F78" s="175" t="str">
        <f t="shared" si="11"/>
        <v>#DIV/0!</v>
      </c>
      <c r="G78" s="177" t="str">
        <f t="shared" si="12"/>
        <v>#DIV/0!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337">
        <f t="shared" si="13"/>
        <v>0</v>
      </c>
      <c r="S78" s="137" t="str">
        <f t="shared" si="14"/>
        <v>#DIV/0!</v>
      </c>
      <c r="T78" s="138"/>
      <c r="U78" s="138"/>
      <c r="V78" s="138"/>
      <c r="W78" s="132"/>
      <c r="X78" s="132"/>
      <c r="Y78" s="138"/>
      <c r="Z78" s="138"/>
      <c r="AA78" s="138"/>
      <c r="AB78" s="209"/>
      <c r="AC78" s="140"/>
      <c r="AD78" s="140"/>
      <c r="AE78" s="141"/>
      <c r="AF78" s="210"/>
      <c r="AG78" s="210"/>
      <c r="AH78" s="210"/>
      <c r="AI78" s="210"/>
      <c r="AJ78" s="212"/>
      <c r="AK78" s="212"/>
      <c r="AL78" s="135">
        <f t="shared" si="15"/>
        <v>0</v>
      </c>
      <c r="AM78" s="183" t="str">
        <f t="shared" si="16"/>
        <v>#DIV/0!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5">
        <f t="shared" si="17"/>
        <v>0</v>
      </c>
      <c r="BJ78" s="186" t="str">
        <f t="shared" si="18"/>
        <v>#DIV/0!</v>
      </c>
      <c r="BK78" s="138"/>
      <c r="BL78" s="132"/>
      <c r="BM78" s="138"/>
      <c r="BN78" s="138"/>
      <c r="BO78" s="138"/>
      <c r="BP78" s="138"/>
      <c r="BQ78" s="138"/>
      <c r="BR78" s="140"/>
      <c r="BS78" s="152"/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0</v>
      </c>
      <c r="CG78" s="190" t="str">
        <f t="shared" si="20"/>
        <v>#DIV/0!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 t="str">
        <f t="shared" si="23"/>
        <v>#DIV/0!</v>
      </c>
      <c r="CW78" s="169">
        <f t="shared" si="8"/>
        <v>0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0</v>
      </c>
      <c r="E79" s="127" t="str">
        <f t="shared" si="10"/>
        <v>#DIV/0!</v>
      </c>
      <c r="F79" s="200" t="str">
        <f t="shared" si="11"/>
        <v>#DIV/0!</v>
      </c>
      <c r="G79" s="177" t="str">
        <f t="shared" si="12"/>
        <v>#DIV/0!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337">
        <f t="shared" si="13"/>
        <v>0</v>
      </c>
      <c r="S79" s="137" t="str">
        <f t="shared" si="14"/>
        <v>#DIV/0!</v>
      </c>
      <c r="T79" s="138"/>
      <c r="U79" s="138"/>
      <c r="V79" s="138"/>
      <c r="W79" s="132"/>
      <c r="X79" s="132"/>
      <c r="Y79" s="138"/>
      <c r="Z79" s="138"/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0</v>
      </c>
      <c r="AM79" s="183" t="str">
        <f t="shared" si="16"/>
        <v>#DIV/0!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5">
        <f t="shared" si="17"/>
        <v>0</v>
      </c>
      <c r="BJ79" s="186" t="str">
        <f t="shared" si="18"/>
        <v>#DIV/0!</v>
      </c>
      <c r="BK79" s="138"/>
      <c r="BL79" s="132"/>
      <c r="BM79" s="138"/>
      <c r="BN79" s="138"/>
      <c r="BO79" s="138"/>
      <c r="BP79" s="138"/>
      <c r="BQ79" s="138"/>
      <c r="BR79" s="140"/>
      <c r="BS79" s="152"/>
      <c r="BT79" s="152"/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0</v>
      </c>
      <c r="CG79" s="190" t="str">
        <f t="shared" si="20"/>
        <v>#DIV/0!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 t="str">
        <f t="shared" si="23"/>
        <v>#DIV/0!</v>
      </c>
      <c r="CW79" s="169">
        <f t="shared" si="8"/>
        <v>0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0</v>
      </c>
      <c r="E80" s="127" t="str">
        <f t="shared" si="10"/>
        <v>#DIV/0!</v>
      </c>
      <c r="F80" s="200" t="str">
        <f t="shared" si="11"/>
        <v>#DIV/0!</v>
      </c>
      <c r="G80" s="177" t="str">
        <f t="shared" si="12"/>
        <v>#DIV/0!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337">
        <f t="shared" si="13"/>
        <v>0</v>
      </c>
      <c r="S80" s="137" t="str">
        <f t="shared" si="14"/>
        <v>#DIV/0!</v>
      </c>
      <c r="T80" s="138"/>
      <c r="U80" s="138"/>
      <c r="V80" s="138"/>
      <c r="W80" s="132"/>
      <c r="X80" s="132"/>
      <c r="Y80" s="138"/>
      <c r="Z80" s="138"/>
      <c r="AA80" s="138"/>
      <c r="AB80" s="209"/>
      <c r="AC80" s="140"/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0</v>
      </c>
      <c r="AM80" s="183" t="str">
        <f t="shared" si="16"/>
        <v>#DIV/0!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 t="str">
        <f t="shared" si="18"/>
        <v>#DIV/0!</v>
      </c>
      <c r="BK80" s="138"/>
      <c r="BL80" s="132"/>
      <c r="BM80" s="138"/>
      <c r="BN80" s="138"/>
      <c r="BO80" s="138"/>
      <c r="BP80" s="138"/>
      <c r="BQ80" s="138"/>
      <c r="BR80" s="140"/>
      <c r="BS80" s="152"/>
      <c r="BT80" s="152"/>
      <c r="BU80" s="152"/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0</v>
      </c>
      <c r="CG80" s="190" t="str">
        <f t="shared" si="20"/>
        <v>#DIV/0!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 t="str">
        <f t="shared" si="23"/>
        <v>#DIV/0!</v>
      </c>
      <c r="CW80" s="169">
        <f t="shared" si="8"/>
        <v>0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0</v>
      </c>
      <c r="E81" s="127" t="str">
        <f t="shared" si="10"/>
        <v>#DIV/0!</v>
      </c>
      <c r="F81" s="175" t="str">
        <f t="shared" si="11"/>
        <v>#DIV/0!</v>
      </c>
      <c r="G81" s="177" t="str">
        <f t="shared" si="12"/>
        <v>#DIV/0!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337">
        <f t="shared" si="13"/>
        <v>0</v>
      </c>
      <c r="S81" s="137" t="str">
        <f t="shared" si="14"/>
        <v>#DIV/0!</v>
      </c>
      <c r="T81" s="138"/>
      <c r="U81" s="138"/>
      <c r="V81" s="138"/>
      <c r="W81" s="132"/>
      <c r="X81" s="132"/>
      <c r="Y81" s="138"/>
      <c r="Z81" s="138"/>
      <c r="AA81" s="138"/>
      <c r="AB81" s="209"/>
      <c r="AC81" s="140"/>
      <c r="AD81" s="140"/>
      <c r="AE81" s="141"/>
      <c r="AF81" s="210"/>
      <c r="AG81" s="210"/>
      <c r="AH81" s="210"/>
      <c r="AI81" s="210"/>
      <c r="AJ81" s="212"/>
      <c r="AK81" s="212"/>
      <c r="AL81" s="135">
        <f t="shared" si="15"/>
        <v>0</v>
      </c>
      <c r="AM81" s="183" t="str">
        <f t="shared" si="16"/>
        <v>#DIV/0!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 t="str">
        <f t="shared" si="18"/>
        <v>#DIV/0!</v>
      </c>
      <c r="BK81" s="138"/>
      <c r="BL81" s="132"/>
      <c r="BM81" s="138"/>
      <c r="BN81" s="138"/>
      <c r="BO81" s="138"/>
      <c r="BP81" s="138"/>
      <c r="BQ81" s="138"/>
      <c r="BR81" s="140"/>
      <c r="BS81" s="152"/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0</v>
      </c>
      <c r="CG81" s="190" t="str">
        <f t="shared" si="20"/>
        <v>#DIV/0!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 t="str">
        <f t="shared" si="23"/>
        <v>#DIV/0!</v>
      </c>
      <c r="CW81" s="169">
        <f t="shared" si="8"/>
        <v>0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0</v>
      </c>
      <c r="E82" s="127" t="str">
        <f t="shared" si="10"/>
        <v>#DIV/0!</v>
      </c>
      <c r="F82" s="175" t="str">
        <f t="shared" si="11"/>
        <v>#DIV/0!</v>
      </c>
      <c r="G82" s="177" t="str">
        <f t="shared" si="12"/>
        <v>#DIV/0!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337">
        <f t="shared" si="13"/>
        <v>0</v>
      </c>
      <c r="S82" s="137" t="str">
        <f t="shared" si="14"/>
        <v>#DIV/0!</v>
      </c>
      <c r="T82" s="138"/>
      <c r="U82" s="138"/>
      <c r="V82" s="138"/>
      <c r="W82" s="132"/>
      <c r="X82" s="132"/>
      <c r="Y82" s="138"/>
      <c r="Z82" s="138"/>
      <c r="AA82" s="138"/>
      <c r="AB82" s="209"/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0</v>
      </c>
      <c r="AM82" s="183" t="str">
        <f t="shared" si="16"/>
        <v>#DIV/0!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5">
        <f t="shared" si="17"/>
        <v>0</v>
      </c>
      <c r="BJ82" s="186" t="str">
        <f t="shared" si="18"/>
        <v>#DIV/0!</v>
      </c>
      <c r="BK82" s="138"/>
      <c r="BL82" s="132"/>
      <c r="BM82" s="138"/>
      <c r="BN82" s="138"/>
      <c r="BO82" s="138"/>
      <c r="BP82" s="138"/>
      <c r="BQ82" s="138"/>
      <c r="BR82" s="140"/>
      <c r="BS82" s="152"/>
      <c r="BT82" s="152"/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0</v>
      </c>
      <c r="CG82" s="190" t="str">
        <f t="shared" si="20"/>
        <v>#DIV/0!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 t="str">
        <f t="shared" si="23"/>
        <v>#DIV/0!</v>
      </c>
      <c r="CW82" s="169">
        <f t="shared" si="8"/>
        <v>0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 t="str">
        <f t="shared" si="10"/>
        <v>#DIV/0!</v>
      </c>
      <c r="F83" s="200" t="str">
        <f t="shared" si="11"/>
        <v>#DIV/0!</v>
      </c>
      <c r="G83" s="207" t="str">
        <f t="shared" si="12"/>
        <v>#DIV/0!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337">
        <f t="shared" si="13"/>
        <v>0</v>
      </c>
      <c r="S83" s="137" t="str">
        <f t="shared" si="14"/>
        <v>#DIV/0!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 t="str">
        <f t="shared" si="16"/>
        <v>#DIV/0!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 t="str">
        <f t="shared" si="18"/>
        <v>#DIV/0!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 t="str">
        <f t="shared" si="20"/>
        <v>#DIV/0!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 t="str">
        <f t="shared" si="23"/>
        <v>#DIV/0!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0</v>
      </c>
      <c r="E84" s="127" t="str">
        <f t="shared" si="10"/>
        <v>#DIV/0!</v>
      </c>
      <c r="F84" s="200" t="str">
        <f t="shared" si="11"/>
        <v>#DIV/0!</v>
      </c>
      <c r="G84" s="177" t="str">
        <f t="shared" si="12"/>
        <v>#DIV/0!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337">
        <f t="shared" si="13"/>
        <v>0</v>
      </c>
      <c r="S84" s="137" t="str">
        <f t="shared" si="14"/>
        <v>#DIV/0!</v>
      </c>
      <c r="T84" s="138"/>
      <c r="U84" s="138"/>
      <c r="V84" s="138"/>
      <c r="W84" s="132"/>
      <c r="X84" s="132"/>
      <c r="Y84" s="138"/>
      <c r="Z84" s="138"/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0</v>
      </c>
      <c r="AM84" s="280" t="str">
        <f t="shared" si="16"/>
        <v>#DIV/0!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5">
        <f t="shared" si="17"/>
        <v>0</v>
      </c>
      <c r="BJ84" s="281" t="str">
        <f t="shared" si="18"/>
        <v>#DIV/0!</v>
      </c>
      <c r="BK84" s="138"/>
      <c r="BL84" s="132"/>
      <c r="BM84" s="138"/>
      <c r="BN84" s="138"/>
      <c r="BO84" s="138"/>
      <c r="BP84" s="138"/>
      <c r="BQ84" s="138"/>
      <c r="BR84" s="140"/>
      <c r="BS84" s="152"/>
      <c r="BT84" s="152"/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0</v>
      </c>
      <c r="CG84" s="282" t="str">
        <f t="shared" si="20"/>
        <v>#DIV/0!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 t="str">
        <f t="shared" si="23"/>
        <v>#DIV/0!</v>
      </c>
      <c r="CW84" s="169">
        <f t="shared" si="8"/>
        <v>0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0</v>
      </c>
      <c r="E85" s="127" t="str">
        <f t="shared" si="10"/>
        <v>#DIV/0!</v>
      </c>
      <c r="F85" s="175" t="str">
        <f t="shared" si="11"/>
        <v>#DIV/0!</v>
      </c>
      <c r="G85" s="177" t="str">
        <f t="shared" si="12"/>
        <v>#DIV/0!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337">
        <f t="shared" si="13"/>
        <v>0</v>
      </c>
      <c r="S85" s="137" t="str">
        <f t="shared" si="14"/>
        <v>#DIV/0!</v>
      </c>
      <c r="T85" s="138"/>
      <c r="U85" s="138"/>
      <c r="V85" s="138"/>
      <c r="W85" s="132"/>
      <c r="X85" s="132"/>
      <c r="Y85" s="138"/>
      <c r="Z85" s="138"/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0</v>
      </c>
      <c r="AM85" s="280" t="str">
        <f t="shared" si="16"/>
        <v>#DIV/0!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7"/>
        <v>0</v>
      </c>
      <c r="BJ85" s="281" t="str">
        <f t="shared" si="18"/>
        <v>#DIV/0!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 t="str">
        <f t="shared" si="20"/>
        <v>#DIV/0!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 t="str">
        <f t="shared" si="23"/>
        <v>#DIV/0!</v>
      </c>
      <c r="CW85" s="169">
        <f t="shared" si="8"/>
        <v>0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0</v>
      </c>
      <c r="E86" s="127" t="str">
        <f t="shared" si="10"/>
        <v>#DIV/0!</v>
      </c>
      <c r="F86" s="200" t="str">
        <f t="shared" si="11"/>
        <v>#DIV/0!</v>
      </c>
      <c r="G86" s="175" t="str">
        <f t="shared" si="12"/>
        <v>#DIV/0!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337">
        <f t="shared" si="13"/>
        <v>0</v>
      </c>
      <c r="S86" s="137" t="str">
        <f t="shared" si="14"/>
        <v>#DIV/0!</v>
      </c>
      <c r="T86" s="138"/>
      <c r="U86" s="138"/>
      <c r="V86" s="138"/>
      <c r="W86" s="132"/>
      <c r="X86" s="132"/>
      <c r="Y86" s="138"/>
      <c r="Z86" s="138"/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0</v>
      </c>
      <c r="AM86" s="280" t="str">
        <f t="shared" si="16"/>
        <v>#DIV/0!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5">
        <f t="shared" si="17"/>
        <v>0</v>
      </c>
      <c r="BJ86" s="281" t="str">
        <f t="shared" si="18"/>
        <v>#DIV/0!</v>
      </c>
      <c r="BK86" s="138"/>
      <c r="BL86" s="132"/>
      <c r="BM86" s="138"/>
      <c r="BN86" s="138"/>
      <c r="BO86" s="138"/>
      <c r="BP86" s="138"/>
      <c r="BQ86" s="138"/>
      <c r="BR86" s="140"/>
      <c r="BS86" s="152"/>
      <c r="BT86" s="152"/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0</v>
      </c>
      <c r="CG86" s="282" t="str">
        <f t="shared" si="20"/>
        <v>#DIV/0!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 t="str">
        <f t="shared" si="23"/>
        <v>#DIV/0!</v>
      </c>
      <c r="CW86" s="169">
        <f t="shared" si="8"/>
        <v>0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0</v>
      </c>
      <c r="E87" s="127" t="str">
        <f t="shared" si="10"/>
        <v>#DIV/0!</v>
      </c>
      <c r="F87" s="200" t="str">
        <f t="shared" si="11"/>
        <v>#DIV/0!</v>
      </c>
      <c r="G87" s="175" t="str">
        <f t="shared" si="12"/>
        <v>#DIV/0!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337">
        <f t="shared" si="13"/>
        <v>0</v>
      </c>
      <c r="S87" s="137" t="str">
        <f t="shared" si="14"/>
        <v>#DIV/0!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 t="str">
        <f t="shared" si="16"/>
        <v>#DIV/0!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 t="str">
        <f t="shared" si="18"/>
        <v>#DIV/0!</v>
      </c>
      <c r="BK87" s="138"/>
      <c r="BL87" s="132"/>
      <c r="BM87" s="138"/>
      <c r="BN87" s="138"/>
      <c r="BO87" s="138"/>
      <c r="BP87" s="138"/>
      <c r="BQ87" s="138"/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0</v>
      </c>
      <c r="CG87" s="282" t="str">
        <f t="shared" si="20"/>
        <v>#DIV/0!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 t="str">
        <f t="shared" si="23"/>
        <v>#DIV/0!</v>
      </c>
      <c r="CW87" s="169">
        <f t="shared" si="8"/>
        <v>0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0</v>
      </c>
      <c r="E88" s="127" t="str">
        <f t="shared" si="10"/>
        <v>#DIV/0!</v>
      </c>
      <c r="F88" s="200" t="str">
        <f t="shared" si="11"/>
        <v>#DIV/0!</v>
      </c>
      <c r="G88" s="200" t="str">
        <f t="shared" si="12"/>
        <v>#DIV/0!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337">
        <f t="shared" si="13"/>
        <v>0</v>
      </c>
      <c r="S88" s="137" t="str">
        <f t="shared" si="14"/>
        <v>#DIV/0!</v>
      </c>
      <c r="T88" s="32"/>
      <c r="U88" s="32"/>
      <c r="V88" s="32"/>
      <c r="W88" s="132"/>
      <c r="X88" s="132"/>
      <c r="Y88" s="138"/>
      <c r="Z88" s="138"/>
      <c r="AA88" s="138"/>
      <c r="AB88" s="32"/>
      <c r="AC88" s="289"/>
      <c r="AD88" s="289"/>
      <c r="AE88" s="141"/>
      <c r="AF88" s="32"/>
      <c r="AG88" s="32"/>
      <c r="AH88" s="32"/>
      <c r="AI88" s="32"/>
      <c r="AJ88" s="279"/>
      <c r="AK88" s="279"/>
      <c r="AL88" s="135">
        <f t="shared" si="15"/>
        <v>0</v>
      </c>
      <c r="AM88" s="280" t="str">
        <f t="shared" si="16"/>
        <v>#DIV/0!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5">
        <f t="shared" si="17"/>
        <v>0</v>
      </c>
      <c r="BJ88" s="281" t="str">
        <f t="shared" si="18"/>
        <v>#DIV/0!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 t="str">
        <f t="shared" si="20"/>
        <v>#DIV/0!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 t="str">
        <f t="shared" si="23"/>
        <v>#DIV/0!</v>
      </c>
      <c r="CW88" s="169">
        <f t="shared" si="8"/>
        <v>0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 t="str">
        <f t="shared" si="10"/>
        <v>#DIV/0!</v>
      </c>
      <c r="F89" s="200" t="str">
        <f t="shared" si="11"/>
        <v>#DIV/0!</v>
      </c>
      <c r="G89" s="200" t="str">
        <f t="shared" si="12"/>
        <v>#DIV/0!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337">
        <f t="shared" si="13"/>
        <v>0</v>
      </c>
      <c r="S89" s="137" t="str">
        <f t="shared" si="14"/>
        <v>#DIV/0!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 t="str">
        <f t="shared" si="16"/>
        <v>#DIV/0!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 t="str">
        <f t="shared" si="18"/>
        <v>#DIV/0!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 t="str">
        <f t="shared" si="20"/>
        <v>#DIV/0!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 t="str">
        <f t="shared" si="23"/>
        <v>#DIV/0!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0</v>
      </c>
      <c r="E90" s="127" t="str">
        <f t="shared" si="10"/>
        <v>#DIV/0!</v>
      </c>
      <c r="F90" s="200" t="str">
        <f t="shared" si="11"/>
        <v>#DIV/0!</v>
      </c>
      <c r="G90" s="175" t="str">
        <f t="shared" si="12"/>
        <v>#DIV/0!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337">
        <f t="shared" si="13"/>
        <v>0</v>
      </c>
      <c r="S90" s="137" t="str">
        <f t="shared" si="14"/>
        <v>#DIV/0!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32"/>
      <c r="AH90" s="32"/>
      <c r="AI90" s="32"/>
      <c r="AJ90" s="279"/>
      <c r="AK90" s="279"/>
      <c r="AL90" s="135">
        <f t="shared" si="15"/>
        <v>0</v>
      </c>
      <c r="AM90" s="280" t="str">
        <f t="shared" si="16"/>
        <v>#DIV/0!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5">
        <f t="shared" si="17"/>
        <v>0</v>
      </c>
      <c r="BJ90" s="281" t="str">
        <f t="shared" si="18"/>
        <v>#DIV/0!</v>
      </c>
      <c r="BK90" s="138"/>
      <c r="BL90" s="132"/>
      <c r="BM90" s="138"/>
      <c r="BN90" s="138"/>
      <c r="BO90" s="138"/>
      <c r="BP90" s="138"/>
      <c r="BQ90" s="138"/>
      <c r="BR90" s="140"/>
      <c r="BS90" s="152"/>
      <c r="BT90" s="152"/>
      <c r="BU90" s="152"/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0</v>
      </c>
      <c r="CG90" s="282" t="str">
        <f t="shared" si="20"/>
        <v>#DIV/0!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 t="str">
        <f t="shared" si="23"/>
        <v>#DIV/0!</v>
      </c>
      <c r="CW90" s="169">
        <f t="shared" si="8"/>
        <v>0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0</v>
      </c>
      <c r="E91" s="127" t="str">
        <f t="shared" si="10"/>
        <v>#DIV/0!</v>
      </c>
      <c r="F91" s="200" t="str">
        <f t="shared" si="11"/>
        <v>#DIV/0!</v>
      </c>
      <c r="G91" s="200" t="str">
        <f t="shared" si="12"/>
        <v>#DIV/0!</v>
      </c>
      <c r="H91" s="287"/>
      <c r="I91" s="287"/>
      <c r="J91" s="288"/>
      <c r="K91" s="288"/>
      <c r="L91" s="288"/>
      <c r="M91" s="288"/>
      <c r="N91" s="288"/>
      <c r="O91" s="288"/>
      <c r="P91" s="288"/>
      <c r="Q91" s="288"/>
      <c r="R91" s="337">
        <f t="shared" si="13"/>
        <v>0</v>
      </c>
      <c r="S91" s="137" t="str">
        <f t="shared" si="14"/>
        <v>#DIV/0!</v>
      </c>
      <c r="T91" s="32"/>
      <c r="U91" s="32"/>
      <c r="V91" s="32"/>
      <c r="W91" s="132"/>
      <c r="X91" s="132"/>
      <c r="Y91" s="138"/>
      <c r="Z91" s="138"/>
      <c r="AA91" s="138"/>
      <c r="AB91" s="32"/>
      <c r="AC91" s="289"/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0</v>
      </c>
      <c r="AM91" s="280" t="str">
        <f t="shared" si="16"/>
        <v>#DIV/0!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 t="str">
        <f t="shared" si="18"/>
        <v>#DIV/0!</v>
      </c>
      <c r="BK91" s="138"/>
      <c r="BL91" s="132"/>
      <c r="BM91" s="138"/>
      <c r="BN91" s="138"/>
      <c r="BO91" s="138"/>
      <c r="BP91" s="138"/>
      <c r="BQ91" s="138"/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0</v>
      </c>
      <c r="CG91" s="282" t="str">
        <f t="shared" si="20"/>
        <v>#DIV/0!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 t="str">
        <f t="shared" si="23"/>
        <v>#DIV/0!</v>
      </c>
      <c r="CW91" s="169">
        <f t="shared" si="8"/>
        <v>0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0</v>
      </c>
      <c r="E92" s="127" t="str">
        <f t="shared" si="10"/>
        <v>#DIV/0!</v>
      </c>
      <c r="F92" s="200" t="str">
        <f t="shared" si="11"/>
        <v>#DIV/0!</v>
      </c>
      <c r="G92" s="200" t="str">
        <f t="shared" si="12"/>
        <v>#DIV/0!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337">
        <f t="shared" si="13"/>
        <v>0</v>
      </c>
      <c r="S92" s="137" t="str">
        <f t="shared" si="14"/>
        <v>#DIV/0!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0</v>
      </c>
      <c r="AM92" s="280" t="str">
        <f t="shared" si="16"/>
        <v>#DIV/0!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5">
        <f t="shared" si="17"/>
        <v>0</v>
      </c>
      <c r="BJ92" s="281" t="str">
        <f t="shared" si="18"/>
        <v>#DIV/0!</v>
      </c>
      <c r="BK92" s="138"/>
      <c r="BL92" s="132"/>
      <c r="BM92" s="138"/>
      <c r="BN92" s="138"/>
      <c r="BO92" s="138"/>
      <c r="BP92" s="138"/>
      <c r="BQ92" s="138"/>
      <c r="BR92" s="140"/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0</v>
      </c>
      <c r="CG92" s="282" t="str">
        <f t="shared" si="20"/>
        <v>#DIV/0!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 t="str">
        <f t="shared" si="23"/>
        <v>#DIV/0!</v>
      </c>
      <c r="CW92" s="169">
        <f t="shared" si="8"/>
        <v>0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 t="str">
        <f t="shared" si="10"/>
        <v>#DIV/0!</v>
      </c>
      <c r="F93" s="200" t="str">
        <f t="shared" si="11"/>
        <v>#DIV/0!</v>
      </c>
      <c r="G93" s="200" t="str">
        <f t="shared" si="12"/>
        <v>#DIV/0!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337">
        <f t="shared" si="13"/>
        <v>0</v>
      </c>
      <c r="S93" s="137" t="str">
        <f t="shared" si="14"/>
        <v>#DIV/0!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 t="str">
        <f t="shared" si="16"/>
        <v>#DIV/0!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 t="str">
        <f t="shared" si="18"/>
        <v>#DIV/0!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 t="str">
        <f t="shared" si="20"/>
        <v>#DIV/0!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 t="str">
        <f t="shared" si="23"/>
        <v>#DIV/0!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231</v>
      </c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35" t="s">
        <v>232</v>
      </c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69">
        <v>46092.0</v>
      </c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46132.0</v>
      </c>
      <c r="BA8" s="69">
        <v>46133.0</v>
      </c>
      <c r="BB8" s="69">
        <v>46134.0</v>
      </c>
      <c r="BC8" s="69">
        <v>46135.0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233</v>
      </c>
      <c r="B9" s="90" t="s">
        <v>43</v>
      </c>
      <c r="C9" s="91" t="s">
        <v>44</v>
      </c>
      <c r="D9" s="94">
        <f>SUM(R9+AL9+BI9+CF9+CS9)</f>
        <v>17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4</v>
      </c>
      <c r="K9" s="99">
        <f t="shared" si="1"/>
        <v>0</v>
      </c>
      <c r="L9" s="99">
        <f t="shared" si="1"/>
        <v>15</v>
      </c>
      <c r="M9" s="99">
        <f t="shared" si="1"/>
        <v>0</v>
      </c>
      <c r="N9" s="99">
        <f t="shared" si="1"/>
        <v>7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3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0</v>
      </c>
      <c r="Y9" s="104">
        <f t="shared" si="2"/>
        <v>35</v>
      </c>
      <c r="Z9" s="104">
        <f t="shared" si="2"/>
        <v>32</v>
      </c>
      <c r="AA9" s="104">
        <f t="shared" si="2"/>
        <v>0</v>
      </c>
      <c r="AB9" s="104">
        <f t="shared" si="2"/>
        <v>23</v>
      </c>
      <c r="AC9" s="104">
        <f t="shared" si="2"/>
        <v>0</v>
      </c>
      <c r="AD9" s="104">
        <f t="shared" si="2"/>
        <v>17</v>
      </c>
      <c r="AE9" s="104">
        <f t="shared" si="2"/>
        <v>0</v>
      </c>
      <c r="AF9" s="104">
        <f t="shared" si="2"/>
        <v>0</v>
      </c>
      <c r="AG9" s="104">
        <f t="shared" si="2"/>
        <v>0</v>
      </c>
      <c r="AH9" s="104">
        <f t="shared" si="2"/>
        <v>0</v>
      </c>
      <c r="AI9" s="104">
        <f t="shared" si="2"/>
        <v>10</v>
      </c>
      <c r="AJ9" s="104">
        <f t="shared" si="2"/>
        <v>0</v>
      </c>
      <c r="AK9" s="104">
        <f t="shared" si="2"/>
        <v>0</v>
      </c>
      <c r="AL9" s="103">
        <f>COUNTIF(T9:AK9,"&gt;0")</f>
        <v>5</v>
      </c>
      <c r="AM9" s="107">
        <f>SUM(R9+AL9)</f>
        <v>8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2</v>
      </c>
      <c r="AX9" s="104">
        <f t="shared" si="3"/>
        <v>0</v>
      </c>
      <c r="AY9" s="104">
        <f t="shared" si="3"/>
        <v>0</v>
      </c>
      <c r="AZ9" s="104">
        <f t="shared" si="3"/>
        <v>3</v>
      </c>
      <c r="BA9" s="104">
        <f t="shared" si="3"/>
        <v>0</v>
      </c>
      <c r="BB9" s="104">
        <f t="shared" si="3"/>
        <v>3</v>
      </c>
      <c r="BC9" s="104">
        <f t="shared" si="3"/>
        <v>0</v>
      </c>
      <c r="BD9" s="104">
        <f t="shared" si="3"/>
        <v>0</v>
      </c>
      <c r="BE9" s="104">
        <f t="shared" si="3"/>
        <v>13</v>
      </c>
      <c r="BF9" s="104">
        <f t="shared" si="3"/>
        <v>0</v>
      </c>
      <c r="BG9" s="104">
        <f t="shared" si="3"/>
        <v>19</v>
      </c>
      <c r="BH9" s="104">
        <f t="shared" si="3"/>
        <v>0</v>
      </c>
      <c r="BI9" s="48">
        <f>COUNTIF(AN9:BH9,"&gt;0")</f>
        <v>5</v>
      </c>
      <c r="BJ9" s="55">
        <f>SUM(AM9+BI9)</f>
        <v>13</v>
      </c>
      <c r="BK9" s="109">
        <f t="shared" ref="BK9:BW9" si="4">SUM(BK10:BK91)</f>
        <v>0</v>
      </c>
      <c r="BL9" s="109">
        <f t="shared" si="4"/>
        <v>23</v>
      </c>
      <c r="BM9" s="109">
        <f t="shared" si="4"/>
        <v>0</v>
      </c>
      <c r="BN9" s="109">
        <f t="shared" si="4"/>
        <v>38</v>
      </c>
      <c r="BO9" s="109">
        <f t="shared" si="4"/>
        <v>0</v>
      </c>
      <c r="BP9" s="109">
        <f t="shared" si="4"/>
        <v>0</v>
      </c>
      <c r="BQ9" s="109">
        <f t="shared" si="4"/>
        <v>28</v>
      </c>
      <c r="BR9" s="109">
        <f t="shared" si="4"/>
        <v>0</v>
      </c>
      <c r="BS9" s="109">
        <f t="shared" si="4"/>
        <v>29</v>
      </c>
      <c r="BT9" s="109">
        <f t="shared" si="4"/>
        <v>0</v>
      </c>
      <c r="BU9" s="109">
        <f t="shared" si="4"/>
        <v>0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4</v>
      </c>
      <c r="CG9" s="113">
        <f>SUM(BJ9+CF9)</f>
        <v>17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17</v>
      </c>
      <c r="CU9" s="118"/>
      <c r="CV9" s="119">
        <f>SUM(R9+AL9+BI9+CF9+CS9+CU9)</f>
        <v>17</v>
      </c>
      <c r="CW9" s="120">
        <f t="shared" ref="CW9:CW93" si="8">SUM(R9+AL9+BI9+CF9+CS9+CU9)</f>
        <v>17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0</v>
      </c>
      <c r="E10" s="127">
        <f t="shared" ref="E10:E93" si="10">(D10)/D$9*100</f>
        <v>0</v>
      </c>
      <c r="F10" s="128">
        <f t="shared" ref="F10:F93" si="11">IF(E10&lt;50,E10, "  ")</f>
        <v>0</v>
      </c>
      <c r="G10" s="130">
        <f t="shared" ref="G10:G93" si="12">IF(E10&lt;30,E10, "  ")</f>
        <v>0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SUM(H10:Q10)</f>
        <v>0</v>
      </c>
      <c r="S10" s="137">
        <f t="shared" ref="S10:S93" si="14">R10/R$9*100</f>
        <v>0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2"/>
      <c r="AI10" s="142"/>
      <c r="AJ10" s="142"/>
      <c r="AK10" s="142"/>
      <c r="AL10" s="135">
        <f t="shared" ref="AL10:AL93" si="15">SUM(T10:AK10)</f>
        <v>0</v>
      </c>
      <c r="AM10" s="137">
        <f t="shared" ref="AM10:AM93" si="16">AL10/AL$9*100</f>
        <v>0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32"/>
      <c r="BM10" s="138"/>
      <c r="BN10" s="138"/>
      <c r="BO10" s="138"/>
      <c r="BP10" s="138"/>
      <c r="BQ10" s="138"/>
      <c r="BR10" s="140"/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0</v>
      </c>
      <c r="CG10" s="159">
        <f t="shared" ref="CG10:CG93" si="20">CF10/CF$9*100</f>
        <v>0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0</v>
      </c>
      <c r="CW10" s="169">
        <f t="shared" si="8"/>
        <v>0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13</v>
      </c>
      <c r="E11" s="127">
        <f t="shared" si="10"/>
        <v>76.47058824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91">
        <v>1.0</v>
      </c>
      <c r="K11" s="179"/>
      <c r="L11" s="191">
        <v>1.0</v>
      </c>
      <c r="M11" s="179"/>
      <c r="N11" s="179"/>
      <c r="O11" s="179"/>
      <c r="P11" s="179"/>
      <c r="Q11" s="179"/>
      <c r="R11" s="135">
        <f t="shared" si="13"/>
        <v>2</v>
      </c>
      <c r="S11" s="137">
        <f t="shared" si="14"/>
        <v>66.66666667</v>
      </c>
      <c r="T11" s="138"/>
      <c r="U11" s="138"/>
      <c r="V11" s="138"/>
      <c r="W11" s="132"/>
      <c r="X11" s="132"/>
      <c r="Y11" s="151">
        <v>1.0</v>
      </c>
      <c r="Z11" s="151">
        <v>1.0</v>
      </c>
      <c r="AA11" s="138"/>
      <c r="AB11" s="138">
        <v>1.0</v>
      </c>
      <c r="AC11" s="140"/>
      <c r="AD11" s="150">
        <v>1.0</v>
      </c>
      <c r="AE11" s="141"/>
      <c r="AF11" s="180"/>
      <c r="AG11" s="180"/>
      <c r="AH11" s="180"/>
      <c r="AI11" s="181">
        <v>1.0</v>
      </c>
      <c r="AJ11" s="142"/>
      <c r="AK11" s="142"/>
      <c r="AL11" s="135">
        <f t="shared" si="15"/>
        <v>5</v>
      </c>
      <c r="AM11" s="183">
        <f t="shared" si="16"/>
        <v>100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85">
        <v>1.0</v>
      </c>
      <c r="BF11" s="133"/>
      <c r="BG11" s="185">
        <v>1.0</v>
      </c>
      <c r="BH11" s="133"/>
      <c r="BI11" s="135">
        <f t="shared" si="17"/>
        <v>2</v>
      </c>
      <c r="BJ11" s="186">
        <f t="shared" si="18"/>
        <v>40</v>
      </c>
      <c r="BK11" s="138"/>
      <c r="BL11" s="170">
        <v>1.0</v>
      </c>
      <c r="BM11" s="138"/>
      <c r="BN11" s="151">
        <v>1.0</v>
      </c>
      <c r="BO11" s="138"/>
      <c r="BP11" s="138"/>
      <c r="BQ11" s="151">
        <v>1.0</v>
      </c>
      <c r="BR11" s="140"/>
      <c r="BS11" s="187">
        <v>1.0</v>
      </c>
      <c r="BT11" s="152"/>
      <c r="BU11" s="152"/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4</v>
      </c>
      <c r="CG11" s="190">
        <f t="shared" si="20"/>
        <v>100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76.47058824</v>
      </c>
      <c r="CW11" s="169">
        <f t="shared" si="8"/>
        <v>13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1</v>
      </c>
      <c r="E12" s="127">
        <f t="shared" si="10"/>
        <v>5.882352941</v>
      </c>
      <c r="F12" s="200">
        <f t="shared" si="11"/>
        <v>5.882352941</v>
      </c>
      <c r="G12" s="207">
        <f t="shared" si="12"/>
        <v>5.882352941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135">
        <f t="shared" si="13"/>
        <v>0</v>
      </c>
      <c r="S12" s="137">
        <f t="shared" si="14"/>
        <v>0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0"/>
      <c r="AG12" s="180"/>
      <c r="AH12" s="180"/>
      <c r="AI12" s="180"/>
      <c r="AJ12" s="142"/>
      <c r="AK12" s="142"/>
      <c r="AL12" s="135">
        <f t="shared" si="15"/>
        <v>0</v>
      </c>
      <c r="AM12" s="183">
        <f t="shared" si="16"/>
        <v>0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5">
        <f t="shared" si="17"/>
        <v>0</v>
      </c>
      <c r="BJ12" s="186">
        <f t="shared" si="18"/>
        <v>0</v>
      </c>
      <c r="BK12" s="138"/>
      <c r="BL12" s="132"/>
      <c r="BM12" s="138"/>
      <c r="BN12" s="138"/>
      <c r="BO12" s="138"/>
      <c r="BP12" s="138"/>
      <c r="BQ12" s="138"/>
      <c r="BR12" s="140"/>
      <c r="BS12" s="187">
        <v>1.0</v>
      </c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1</v>
      </c>
      <c r="CG12" s="190">
        <f t="shared" si="20"/>
        <v>25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5.882352941</v>
      </c>
      <c r="CW12" s="169">
        <f t="shared" si="8"/>
        <v>1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1</v>
      </c>
      <c r="E13" s="127">
        <f t="shared" si="10"/>
        <v>5.882352941</v>
      </c>
      <c r="F13" s="200">
        <f t="shared" si="11"/>
        <v>5.882352941</v>
      </c>
      <c r="G13" s="207">
        <f t="shared" si="12"/>
        <v>5.882352941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135">
        <f t="shared" si="13"/>
        <v>0</v>
      </c>
      <c r="S13" s="137">
        <f t="shared" si="14"/>
        <v>0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0"/>
      <c r="AG13" s="210"/>
      <c r="AH13" s="210"/>
      <c r="AI13" s="210"/>
      <c r="AJ13" s="212"/>
      <c r="AK13" s="212"/>
      <c r="AL13" s="135">
        <f t="shared" si="15"/>
        <v>0</v>
      </c>
      <c r="AM13" s="183">
        <f t="shared" si="16"/>
        <v>0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5">
        <f t="shared" si="17"/>
        <v>0</v>
      </c>
      <c r="BJ13" s="186">
        <f t="shared" si="18"/>
        <v>0</v>
      </c>
      <c r="BK13" s="138"/>
      <c r="BL13" s="170">
        <v>1.0</v>
      </c>
      <c r="BM13" s="138"/>
      <c r="BN13" s="138"/>
      <c r="BO13" s="138"/>
      <c r="BP13" s="138"/>
      <c r="BQ13" s="138"/>
      <c r="BR13" s="140"/>
      <c r="BS13" s="152"/>
      <c r="BT13" s="152"/>
      <c r="BU13" s="152"/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1</v>
      </c>
      <c r="CG13" s="190">
        <f t="shared" si="20"/>
        <v>25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5.882352941</v>
      </c>
      <c r="CW13" s="169">
        <f t="shared" si="8"/>
        <v>1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9</v>
      </c>
      <c r="E14" s="127">
        <f t="shared" si="10"/>
        <v>52.94117647</v>
      </c>
      <c r="F14" s="175" t="str">
        <f t="shared" si="11"/>
        <v>  </v>
      </c>
      <c r="G14" s="177" t="str">
        <f t="shared" si="12"/>
        <v>  </v>
      </c>
      <c r="H14" s="178"/>
      <c r="I14" s="223"/>
      <c r="J14" s="224"/>
      <c r="K14" s="224"/>
      <c r="L14" s="224"/>
      <c r="M14" s="224"/>
      <c r="N14" s="232">
        <v>1.0</v>
      </c>
      <c r="O14" s="224"/>
      <c r="P14" s="224"/>
      <c r="Q14" s="224"/>
      <c r="R14" s="135">
        <f t="shared" si="13"/>
        <v>1</v>
      </c>
      <c r="S14" s="137">
        <f t="shared" si="14"/>
        <v>33.33333333</v>
      </c>
      <c r="T14" s="138"/>
      <c r="U14" s="138"/>
      <c r="V14" s="138"/>
      <c r="W14" s="132"/>
      <c r="X14" s="132"/>
      <c r="Y14" s="151">
        <v>1.0</v>
      </c>
      <c r="Z14" s="138"/>
      <c r="AA14" s="138"/>
      <c r="AB14" s="217">
        <v>1.0</v>
      </c>
      <c r="AC14" s="140"/>
      <c r="AD14" s="150">
        <v>1.0</v>
      </c>
      <c r="AE14" s="141"/>
      <c r="AF14" s="226"/>
      <c r="AG14" s="226"/>
      <c r="AH14" s="226"/>
      <c r="AI14" s="238">
        <v>1.0</v>
      </c>
      <c r="AJ14" s="218"/>
      <c r="AK14" s="218"/>
      <c r="AL14" s="135">
        <f t="shared" si="15"/>
        <v>4</v>
      </c>
      <c r="AM14" s="183">
        <f t="shared" si="16"/>
        <v>80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85">
        <v>1.0</v>
      </c>
      <c r="BF14" s="133"/>
      <c r="BG14" s="133"/>
      <c r="BH14" s="133"/>
      <c r="BI14" s="135">
        <f t="shared" si="17"/>
        <v>1</v>
      </c>
      <c r="BJ14" s="186">
        <f t="shared" si="18"/>
        <v>20</v>
      </c>
      <c r="BK14" s="138"/>
      <c r="BL14" s="132"/>
      <c r="BM14" s="138"/>
      <c r="BN14" s="151">
        <v>1.0</v>
      </c>
      <c r="BO14" s="138"/>
      <c r="BP14" s="138"/>
      <c r="BQ14" s="151">
        <v>1.0</v>
      </c>
      <c r="BR14" s="140"/>
      <c r="BS14" s="187">
        <v>1.0</v>
      </c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3</v>
      </c>
      <c r="CG14" s="190">
        <f t="shared" si="20"/>
        <v>75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52.94117647</v>
      </c>
      <c r="CW14" s="169">
        <f t="shared" si="8"/>
        <v>9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135">
        <f t="shared" si="13"/>
        <v>0</v>
      </c>
      <c r="S15" s="137">
        <f t="shared" si="14"/>
        <v>0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>
        <f t="shared" si="16"/>
        <v>0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>
        <f t="shared" si="20"/>
        <v>0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1</v>
      </c>
      <c r="E16" s="127">
        <f t="shared" si="10"/>
        <v>5.882352941</v>
      </c>
      <c r="F16" s="200">
        <f t="shared" si="11"/>
        <v>5.882352941</v>
      </c>
      <c r="G16" s="207">
        <f t="shared" si="12"/>
        <v>5.882352941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135">
        <f t="shared" si="13"/>
        <v>0</v>
      </c>
      <c r="S16" s="137">
        <f t="shared" si="14"/>
        <v>0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4"/>
      <c r="AI16" s="234"/>
      <c r="AJ16" s="239"/>
      <c r="AK16" s="239"/>
      <c r="AL16" s="135">
        <f t="shared" si="15"/>
        <v>0</v>
      </c>
      <c r="AM16" s="183">
        <f t="shared" si="16"/>
        <v>0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5">
        <f t="shared" si="17"/>
        <v>0</v>
      </c>
      <c r="BJ16" s="186">
        <f t="shared" si="18"/>
        <v>0</v>
      </c>
      <c r="BK16" s="138"/>
      <c r="BL16" s="132"/>
      <c r="BM16" s="138"/>
      <c r="BN16" s="138"/>
      <c r="BO16" s="138"/>
      <c r="BP16" s="138"/>
      <c r="BQ16" s="151">
        <v>1.0</v>
      </c>
      <c r="BR16" s="140"/>
      <c r="BS16" s="152"/>
      <c r="BT16" s="152"/>
      <c r="BU16" s="152"/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1</v>
      </c>
      <c r="CG16" s="190">
        <f t="shared" si="20"/>
        <v>25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5.882352941</v>
      </c>
      <c r="CW16" s="169">
        <f t="shared" si="8"/>
        <v>1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9</v>
      </c>
      <c r="E17" s="127">
        <f t="shared" si="10"/>
        <v>52.94117647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79"/>
      <c r="M17" s="179"/>
      <c r="N17" s="179"/>
      <c r="O17" s="179"/>
      <c r="P17" s="179"/>
      <c r="Q17" s="179"/>
      <c r="R17" s="135">
        <f t="shared" si="13"/>
        <v>0</v>
      </c>
      <c r="S17" s="137">
        <f t="shared" si="14"/>
        <v>0</v>
      </c>
      <c r="T17" s="138"/>
      <c r="U17" s="138"/>
      <c r="V17" s="138"/>
      <c r="W17" s="132"/>
      <c r="X17" s="132"/>
      <c r="Y17" s="151">
        <v>1.0</v>
      </c>
      <c r="Z17" s="138"/>
      <c r="AA17" s="138"/>
      <c r="AB17" s="217">
        <v>1.0</v>
      </c>
      <c r="AC17" s="140"/>
      <c r="AD17" s="150">
        <v>1.0</v>
      </c>
      <c r="AE17" s="141"/>
      <c r="AF17" s="226"/>
      <c r="AG17" s="226"/>
      <c r="AH17" s="226"/>
      <c r="AI17" s="238">
        <v>1.0</v>
      </c>
      <c r="AJ17" s="218"/>
      <c r="AK17" s="218"/>
      <c r="AL17" s="135">
        <f t="shared" si="15"/>
        <v>4</v>
      </c>
      <c r="AM17" s="183">
        <f t="shared" si="16"/>
        <v>80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85">
        <v>1.0</v>
      </c>
      <c r="BF17" s="133"/>
      <c r="BG17" s="133"/>
      <c r="BH17" s="133"/>
      <c r="BI17" s="135">
        <f t="shared" si="17"/>
        <v>1</v>
      </c>
      <c r="BJ17" s="186">
        <f t="shared" si="18"/>
        <v>20</v>
      </c>
      <c r="BK17" s="138"/>
      <c r="BL17" s="170">
        <v>1.0</v>
      </c>
      <c r="BM17" s="138"/>
      <c r="BN17" s="151">
        <v>1.0</v>
      </c>
      <c r="BO17" s="138"/>
      <c r="BP17" s="138"/>
      <c r="BQ17" s="151">
        <v>1.0</v>
      </c>
      <c r="BR17" s="140"/>
      <c r="BS17" s="187">
        <v>1.0</v>
      </c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4</v>
      </c>
      <c r="CG17" s="190">
        <f t="shared" si="20"/>
        <v>100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52.94117647</v>
      </c>
      <c r="CW17" s="169">
        <f t="shared" si="8"/>
        <v>9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4</v>
      </c>
      <c r="E18" s="127">
        <f t="shared" si="10"/>
        <v>23.52941176</v>
      </c>
      <c r="F18" s="200">
        <f t="shared" si="11"/>
        <v>23.52941176</v>
      </c>
      <c r="G18" s="207">
        <f t="shared" si="12"/>
        <v>23.52941176</v>
      </c>
      <c r="H18" s="132"/>
      <c r="I18" s="132"/>
      <c r="J18" s="201"/>
      <c r="K18" s="201"/>
      <c r="L18" s="201"/>
      <c r="M18" s="201"/>
      <c r="N18" s="201"/>
      <c r="O18" s="201"/>
      <c r="P18" s="201"/>
      <c r="Q18" s="201"/>
      <c r="R18" s="135">
        <f t="shared" si="13"/>
        <v>0</v>
      </c>
      <c r="S18" s="137">
        <f t="shared" si="14"/>
        <v>0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0"/>
      <c r="AI18" s="210"/>
      <c r="AJ18" s="212"/>
      <c r="AK18" s="212"/>
      <c r="AL18" s="135">
        <f t="shared" si="15"/>
        <v>0</v>
      </c>
      <c r="AM18" s="183">
        <f t="shared" si="16"/>
        <v>0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85">
        <v>1.0</v>
      </c>
      <c r="BH18" s="133"/>
      <c r="BI18" s="135">
        <f t="shared" si="17"/>
        <v>1</v>
      </c>
      <c r="BJ18" s="186">
        <f t="shared" si="18"/>
        <v>20</v>
      </c>
      <c r="BK18" s="138"/>
      <c r="BL18" s="132"/>
      <c r="BM18" s="138"/>
      <c r="BN18" s="151">
        <v>1.0</v>
      </c>
      <c r="BO18" s="138"/>
      <c r="BP18" s="138"/>
      <c r="BQ18" s="151">
        <v>1.0</v>
      </c>
      <c r="BR18" s="140"/>
      <c r="BS18" s="187">
        <v>1.0</v>
      </c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3</v>
      </c>
      <c r="CG18" s="190">
        <f t="shared" si="20"/>
        <v>75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23.52941176</v>
      </c>
      <c r="CW18" s="169">
        <f t="shared" si="8"/>
        <v>4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6</v>
      </c>
      <c r="E19" s="127">
        <f t="shared" si="10"/>
        <v>35.29411765</v>
      </c>
      <c r="F19" s="200">
        <f t="shared" si="11"/>
        <v>35.29411765</v>
      </c>
      <c r="G19" s="177" t="str">
        <f t="shared" si="12"/>
        <v>  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135">
        <f t="shared" si="13"/>
        <v>0</v>
      </c>
      <c r="S19" s="137">
        <f t="shared" si="14"/>
        <v>0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50">
        <v>1.0</v>
      </c>
      <c r="AE19" s="141"/>
      <c r="AF19" s="226"/>
      <c r="AG19" s="226"/>
      <c r="AH19" s="226"/>
      <c r="AI19" s="238">
        <v>1.0</v>
      </c>
      <c r="AJ19" s="218"/>
      <c r="AK19" s="218"/>
      <c r="AL19" s="135">
        <f t="shared" si="15"/>
        <v>2</v>
      </c>
      <c r="AM19" s="183">
        <f t="shared" si="16"/>
        <v>40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85">
        <v>1.0</v>
      </c>
      <c r="BA19" s="133"/>
      <c r="BB19" s="185">
        <v>1.0</v>
      </c>
      <c r="BC19" s="133"/>
      <c r="BD19" s="133"/>
      <c r="BE19" s="185">
        <v>1.0</v>
      </c>
      <c r="BF19" s="133"/>
      <c r="BG19" s="133"/>
      <c r="BH19" s="133"/>
      <c r="BI19" s="135">
        <f t="shared" si="17"/>
        <v>3</v>
      </c>
      <c r="BJ19" s="186">
        <f t="shared" si="18"/>
        <v>60</v>
      </c>
      <c r="BK19" s="138"/>
      <c r="BL19" s="132"/>
      <c r="BM19" s="138"/>
      <c r="BN19" s="138"/>
      <c r="BO19" s="138"/>
      <c r="BP19" s="138"/>
      <c r="BQ19" s="138"/>
      <c r="BR19" s="140"/>
      <c r="BS19" s="187">
        <v>1.0</v>
      </c>
      <c r="BT19" s="152"/>
      <c r="BU19" s="152"/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1</v>
      </c>
      <c r="CG19" s="190">
        <f t="shared" si="20"/>
        <v>25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35.29411765</v>
      </c>
      <c r="CW19" s="169">
        <f t="shared" si="8"/>
        <v>6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1</v>
      </c>
      <c r="E20" s="127">
        <f t="shared" si="10"/>
        <v>5.882352941</v>
      </c>
      <c r="F20" s="200">
        <f t="shared" si="11"/>
        <v>5.882352941</v>
      </c>
      <c r="G20" s="207">
        <f t="shared" si="12"/>
        <v>5.882352941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135">
        <f t="shared" si="13"/>
        <v>0</v>
      </c>
      <c r="S20" s="137">
        <f t="shared" si="14"/>
        <v>0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0"/>
      <c r="AH20" s="210"/>
      <c r="AI20" s="210"/>
      <c r="AJ20" s="212"/>
      <c r="AK20" s="212"/>
      <c r="AL20" s="135">
        <f t="shared" si="15"/>
        <v>0</v>
      </c>
      <c r="AM20" s="183">
        <f t="shared" si="16"/>
        <v>0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5">
        <f t="shared" si="17"/>
        <v>0</v>
      </c>
      <c r="BJ20" s="186">
        <f t="shared" si="18"/>
        <v>0</v>
      </c>
      <c r="BK20" s="138"/>
      <c r="BL20" s="132"/>
      <c r="BM20" s="138"/>
      <c r="BN20" s="151">
        <v>1.0</v>
      </c>
      <c r="BO20" s="138"/>
      <c r="BP20" s="138"/>
      <c r="BQ20" s="138"/>
      <c r="BR20" s="140"/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1</v>
      </c>
      <c r="CG20" s="190">
        <f t="shared" si="20"/>
        <v>25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5.882352941</v>
      </c>
      <c r="CW20" s="169">
        <f t="shared" si="8"/>
        <v>1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5</v>
      </c>
      <c r="E21" s="127">
        <f t="shared" si="10"/>
        <v>29.41176471</v>
      </c>
      <c r="F21" s="200">
        <f t="shared" si="11"/>
        <v>29.41176471</v>
      </c>
      <c r="G21" s="207">
        <f t="shared" si="12"/>
        <v>29.41176471</v>
      </c>
      <c r="H21" s="178"/>
      <c r="I21" s="132"/>
      <c r="J21" s="201"/>
      <c r="K21" s="201"/>
      <c r="L21" s="201"/>
      <c r="M21" s="201"/>
      <c r="N21" s="201"/>
      <c r="O21" s="201"/>
      <c r="P21" s="201"/>
      <c r="Q21" s="201"/>
      <c r="R21" s="135">
        <f t="shared" si="13"/>
        <v>0</v>
      </c>
      <c r="S21" s="137">
        <f t="shared" si="14"/>
        <v>0</v>
      </c>
      <c r="T21" s="138"/>
      <c r="U21" s="138"/>
      <c r="V21" s="138"/>
      <c r="W21" s="132"/>
      <c r="X21" s="132"/>
      <c r="Y21" s="138"/>
      <c r="Z21" s="138"/>
      <c r="AA21" s="138"/>
      <c r="AB21" s="209">
        <v>1.0</v>
      </c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1</v>
      </c>
      <c r="AM21" s="183">
        <f t="shared" si="16"/>
        <v>20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85">
        <v>1.0</v>
      </c>
      <c r="BH21" s="133"/>
      <c r="BI21" s="135">
        <f t="shared" si="17"/>
        <v>1</v>
      </c>
      <c r="BJ21" s="186">
        <f t="shared" si="18"/>
        <v>20</v>
      </c>
      <c r="BK21" s="138"/>
      <c r="BL21" s="132"/>
      <c r="BM21" s="138"/>
      <c r="BN21" s="151">
        <v>1.0</v>
      </c>
      <c r="BO21" s="138"/>
      <c r="BP21" s="138"/>
      <c r="BQ21" s="151">
        <v>1.0</v>
      </c>
      <c r="BR21" s="140"/>
      <c r="BS21" s="187">
        <v>1.0</v>
      </c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3</v>
      </c>
      <c r="CG21" s="190">
        <f t="shared" si="20"/>
        <v>75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29.41176471</v>
      </c>
      <c r="CW21" s="169">
        <f t="shared" si="8"/>
        <v>5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8</v>
      </c>
      <c r="E22" s="127">
        <f t="shared" si="10"/>
        <v>47.05882353</v>
      </c>
      <c r="F22" s="200">
        <f t="shared" si="11"/>
        <v>47.05882353</v>
      </c>
      <c r="G22" s="177" t="str">
        <f t="shared" si="12"/>
        <v>  </v>
      </c>
      <c r="H22" s="132"/>
      <c r="I22" s="178"/>
      <c r="J22" s="179"/>
      <c r="K22" s="179"/>
      <c r="L22" s="191">
        <v>1.0</v>
      </c>
      <c r="M22" s="179"/>
      <c r="N22" s="179"/>
      <c r="O22" s="179"/>
      <c r="P22" s="179"/>
      <c r="Q22" s="179"/>
      <c r="R22" s="135">
        <f t="shared" si="13"/>
        <v>1</v>
      </c>
      <c r="S22" s="137">
        <f t="shared" si="14"/>
        <v>33.33333333</v>
      </c>
      <c r="T22" s="138"/>
      <c r="U22" s="138"/>
      <c r="V22" s="138"/>
      <c r="W22" s="132"/>
      <c r="X22" s="132"/>
      <c r="Y22" s="151">
        <v>1.0</v>
      </c>
      <c r="Z22" s="151">
        <v>1.0</v>
      </c>
      <c r="AA22" s="138"/>
      <c r="AB22" s="209">
        <v>1.0</v>
      </c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3</v>
      </c>
      <c r="AM22" s="183">
        <f t="shared" si="16"/>
        <v>60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85">
        <v>1.0</v>
      </c>
      <c r="BF22" s="133"/>
      <c r="BG22" s="185">
        <v>1.0</v>
      </c>
      <c r="BH22" s="133"/>
      <c r="BI22" s="135">
        <f t="shared" si="17"/>
        <v>2</v>
      </c>
      <c r="BJ22" s="186">
        <f t="shared" si="18"/>
        <v>40</v>
      </c>
      <c r="BK22" s="138"/>
      <c r="BL22" s="170">
        <v>1.0</v>
      </c>
      <c r="BM22" s="138"/>
      <c r="BN22" s="151">
        <v>1.0</v>
      </c>
      <c r="BO22" s="138"/>
      <c r="BP22" s="138"/>
      <c r="BQ22" s="138"/>
      <c r="BR22" s="140"/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2</v>
      </c>
      <c r="CG22" s="190">
        <f t="shared" si="20"/>
        <v>50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47.05882353</v>
      </c>
      <c r="CW22" s="169">
        <f t="shared" si="8"/>
        <v>8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2</v>
      </c>
      <c r="E23" s="127">
        <f t="shared" si="10"/>
        <v>11.76470588</v>
      </c>
      <c r="F23" s="200">
        <f t="shared" si="11"/>
        <v>11.76470588</v>
      </c>
      <c r="G23" s="207">
        <f t="shared" si="12"/>
        <v>11.76470588</v>
      </c>
      <c r="H23" s="132"/>
      <c r="I23" s="132"/>
      <c r="J23" s="201"/>
      <c r="K23" s="201"/>
      <c r="L23" s="245">
        <v>1.0</v>
      </c>
      <c r="M23" s="201"/>
      <c r="N23" s="201"/>
      <c r="O23" s="201"/>
      <c r="P23" s="201"/>
      <c r="Q23" s="201"/>
      <c r="R23" s="135">
        <f t="shared" si="13"/>
        <v>1</v>
      </c>
      <c r="S23" s="137">
        <f t="shared" si="14"/>
        <v>33.33333333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>
        <f t="shared" si="16"/>
        <v>0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5">
        <f t="shared" si="17"/>
        <v>0</v>
      </c>
      <c r="BJ23" s="186">
        <f t="shared" si="18"/>
        <v>0</v>
      </c>
      <c r="BK23" s="138"/>
      <c r="BL23" s="132"/>
      <c r="BM23" s="138"/>
      <c r="BN23" s="151">
        <v>1.0</v>
      </c>
      <c r="BO23" s="138"/>
      <c r="BP23" s="138"/>
      <c r="BQ23" s="138"/>
      <c r="BR23" s="140"/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1</v>
      </c>
      <c r="CG23" s="190">
        <f t="shared" si="20"/>
        <v>25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11.76470588</v>
      </c>
      <c r="CW23" s="169">
        <f t="shared" si="8"/>
        <v>2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2</v>
      </c>
      <c r="E24" s="127">
        <f t="shared" si="10"/>
        <v>11.76470588</v>
      </c>
      <c r="F24" s="200">
        <f t="shared" si="11"/>
        <v>11.76470588</v>
      </c>
      <c r="G24" s="207">
        <f t="shared" si="12"/>
        <v>11.76470588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135">
        <f t="shared" si="13"/>
        <v>0</v>
      </c>
      <c r="S24" s="137">
        <f t="shared" si="14"/>
        <v>0</v>
      </c>
      <c r="T24" s="138"/>
      <c r="U24" s="138"/>
      <c r="V24" s="138"/>
      <c r="W24" s="132"/>
      <c r="X24" s="132"/>
      <c r="Y24" s="138"/>
      <c r="Z24" s="151">
        <v>1.0</v>
      </c>
      <c r="AA24" s="138"/>
      <c r="AB24" s="209"/>
      <c r="AC24" s="140"/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1</v>
      </c>
      <c r="AM24" s="183">
        <f t="shared" si="16"/>
        <v>20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5">
        <f t="shared" si="17"/>
        <v>0</v>
      </c>
      <c r="BJ24" s="186">
        <f t="shared" si="18"/>
        <v>0</v>
      </c>
      <c r="BK24" s="138"/>
      <c r="BL24" s="132"/>
      <c r="BM24" s="138"/>
      <c r="BN24" s="138"/>
      <c r="BO24" s="138"/>
      <c r="BP24" s="138"/>
      <c r="BQ24" s="138"/>
      <c r="BR24" s="140"/>
      <c r="BS24" s="187">
        <v>1.0</v>
      </c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1</v>
      </c>
      <c r="CG24" s="190">
        <f t="shared" si="20"/>
        <v>25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11.76470588</v>
      </c>
      <c r="CW24" s="169">
        <f t="shared" si="8"/>
        <v>2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7</v>
      </c>
      <c r="E25" s="127">
        <f t="shared" si="10"/>
        <v>41.17647059</v>
      </c>
      <c r="F25" s="200">
        <f t="shared" si="11"/>
        <v>41.17647059</v>
      </c>
      <c r="G25" s="177" t="str">
        <f t="shared" si="12"/>
        <v>  </v>
      </c>
      <c r="H25" s="132"/>
      <c r="I25" s="178"/>
      <c r="J25" s="179"/>
      <c r="K25" s="179"/>
      <c r="L25" s="191">
        <v>1.0</v>
      </c>
      <c r="M25" s="179"/>
      <c r="N25" s="179"/>
      <c r="O25" s="179"/>
      <c r="P25" s="179"/>
      <c r="Q25" s="179"/>
      <c r="R25" s="135">
        <f t="shared" si="13"/>
        <v>1</v>
      </c>
      <c r="S25" s="137">
        <f t="shared" si="14"/>
        <v>33.33333333</v>
      </c>
      <c r="T25" s="138"/>
      <c r="U25" s="138"/>
      <c r="V25" s="138"/>
      <c r="W25" s="132"/>
      <c r="X25" s="132"/>
      <c r="Y25" s="151">
        <v>1.0</v>
      </c>
      <c r="Z25" s="151">
        <v>1.0</v>
      </c>
      <c r="AA25" s="138"/>
      <c r="AB25" s="247"/>
      <c r="AC25" s="140"/>
      <c r="AD25" s="150">
        <v>1.0</v>
      </c>
      <c r="AE25" s="141"/>
      <c r="AF25" s="248"/>
      <c r="AG25" s="248"/>
      <c r="AH25" s="248"/>
      <c r="AI25" s="248"/>
      <c r="AJ25" s="249"/>
      <c r="AK25" s="249"/>
      <c r="AL25" s="135">
        <f t="shared" si="15"/>
        <v>3</v>
      </c>
      <c r="AM25" s="183">
        <f t="shared" si="16"/>
        <v>60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5">
        <f t="shared" si="17"/>
        <v>0</v>
      </c>
      <c r="BJ25" s="186">
        <f t="shared" si="18"/>
        <v>0</v>
      </c>
      <c r="BK25" s="138"/>
      <c r="BL25" s="132"/>
      <c r="BM25" s="138"/>
      <c r="BN25" s="151">
        <v>1.0</v>
      </c>
      <c r="BO25" s="138"/>
      <c r="BP25" s="138"/>
      <c r="BQ25" s="151">
        <v>1.0</v>
      </c>
      <c r="BR25" s="140"/>
      <c r="BS25" s="187">
        <v>1.0</v>
      </c>
      <c r="BT25" s="152"/>
      <c r="BU25" s="152"/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3</v>
      </c>
      <c r="CG25" s="190">
        <f t="shared" si="20"/>
        <v>75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41.17647059</v>
      </c>
      <c r="CW25" s="169">
        <f t="shared" si="8"/>
        <v>7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1</v>
      </c>
      <c r="E26" s="127">
        <f t="shared" si="10"/>
        <v>5.882352941</v>
      </c>
      <c r="F26" s="200">
        <f t="shared" si="11"/>
        <v>5.882352941</v>
      </c>
      <c r="G26" s="207">
        <f t="shared" si="12"/>
        <v>5.882352941</v>
      </c>
      <c r="H26" s="132"/>
      <c r="I26" s="132"/>
      <c r="J26" s="201"/>
      <c r="K26" s="201"/>
      <c r="L26" s="201"/>
      <c r="M26" s="201"/>
      <c r="N26" s="201"/>
      <c r="O26" s="201"/>
      <c r="P26" s="201"/>
      <c r="Q26" s="201"/>
      <c r="R26" s="135">
        <f t="shared" si="13"/>
        <v>0</v>
      </c>
      <c r="S26" s="137">
        <f t="shared" si="14"/>
        <v>0</v>
      </c>
      <c r="T26" s="138"/>
      <c r="U26" s="138"/>
      <c r="V26" s="138"/>
      <c r="W26" s="132"/>
      <c r="X26" s="132"/>
      <c r="Y26" s="138"/>
      <c r="Z26" s="138"/>
      <c r="AA26" s="138"/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0</v>
      </c>
      <c r="AM26" s="183">
        <f t="shared" si="16"/>
        <v>0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5">
        <f t="shared" si="17"/>
        <v>0</v>
      </c>
      <c r="BJ26" s="186">
        <f t="shared" si="18"/>
        <v>0</v>
      </c>
      <c r="BK26" s="138"/>
      <c r="BL26" s="132"/>
      <c r="BM26" s="138"/>
      <c r="BN26" s="138"/>
      <c r="BO26" s="138"/>
      <c r="BP26" s="138"/>
      <c r="BQ26" s="138"/>
      <c r="BR26" s="140"/>
      <c r="BS26" s="187">
        <v>1.0</v>
      </c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1</v>
      </c>
      <c r="CG26" s="190">
        <f t="shared" si="20"/>
        <v>25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5.882352941</v>
      </c>
      <c r="CW26" s="169">
        <f t="shared" si="8"/>
        <v>1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4</v>
      </c>
      <c r="E27" s="127">
        <f t="shared" si="10"/>
        <v>23.52941176</v>
      </c>
      <c r="F27" s="200">
        <f t="shared" si="11"/>
        <v>23.52941176</v>
      </c>
      <c r="G27" s="207">
        <f t="shared" si="12"/>
        <v>23.52941176</v>
      </c>
      <c r="H27" s="132"/>
      <c r="I27" s="132"/>
      <c r="J27" s="201"/>
      <c r="K27" s="201"/>
      <c r="L27" s="245">
        <v>1.0</v>
      </c>
      <c r="M27" s="201"/>
      <c r="N27" s="201"/>
      <c r="O27" s="201"/>
      <c r="P27" s="201"/>
      <c r="Q27" s="201"/>
      <c r="R27" s="135">
        <f t="shared" si="13"/>
        <v>1</v>
      </c>
      <c r="S27" s="137">
        <f t="shared" si="14"/>
        <v>33.33333333</v>
      </c>
      <c r="T27" s="138"/>
      <c r="U27" s="138"/>
      <c r="V27" s="138"/>
      <c r="W27" s="132"/>
      <c r="X27" s="132"/>
      <c r="Y27" s="151">
        <v>1.0</v>
      </c>
      <c r="Z27" s="151">
        <v>1.0</v>
      </c>
      <c r="AA27" s="138"/>
      <c r="AB27" s="209"/>
      <c r="AC27" s="140"/>
      <c r="AD27" s="140"/>
      <c r="AE27" s="141"/>
      <c r="AF27" s="210"/>
      <c r="AG27" s="210"/>
      <c r="AH27" s="210"/>
      <c r="AI27" s="210"/>
      <c r="AJ27" s="212"/>
      <c r="AK27" s="212"/>
      <c r="AL27" s="135">
        <f t="shared" si="15"/>
        <v>2</v>
      </c>
      <c r="AM27" s="183">
        <f t="shared" si="16"/>
        <v>40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5">
        <f t="shared" si="17"/>
        <v>0</v>
      </c>
      <c r="BJ27" s="186">
        <f t="shared" si="18"/>
        <v>0</v>
      </c>
      <c r="BK27" s="138"/>
      <c r="BL27" s="132"/>
      <c r="BM27" s="138"/>
      <c r="BN27" s="151">
        <v>1.0</v>
      </c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1</v>
      </c>
      <c r="CG27" s="190">
        <f t="shared" si="20"/>
        <v>25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23.52941176</v>
      </c>
      <c r="CW27" s="169">
        <f t="shared" si="8"/>
        <v>4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1</v>
      </c>
      <c r="E28" s="127">
        <f t="shared" si="10"/>
        <v>5.882352941</v>
      </c>
      <c r="F28" s="200">
        <f t="shared" si="11"/>
        <v>5.882352941</v>
      </c>
      <c r="G28" s="207">
        <f t="shared" si="12"/>
        <v>5.882352941</v>
      </c>
      <c r="H28" s="132"/>
      <c r="I28" s="132"/>
      <c r="J28" s="201"/>
      <c r="K28" s="201"/>
      <c r="L28" s="201"/>
      <c r="M28" s="201"/>
      <c r="N28" s="201"/>
      <c r="O28" s="201"/>
      <c r="P28" s="201"/>
      <c r="Q28" s="201"/>
      <c r="R28" s="135">
        <f t="shared" si="13"/>
        <v>0</v>
      </c>
      <c r="S28" s="137">
        <f t="shared" si="14"/>
        <v>0</v>
      </c>
      <c r="T28" s="138"/>
      <c r="U28" s="138"/>
      <c r="V28" s="138"/>
      <c r="W28" s="132"/>
      <c r="X28" s="132"/>
      <c r="Y28" s="138"/>
      <c r="Z28" s="151">
        <v>1.0</v>
      </c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1</v>
      </c>
      <c r="AM28" s="183">
        <f t="shared" si="16"/>
        <v>20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5">
        <f t="shared" si="17"/>
        <v>0</v>
      </c>
      <c r="BJ28" s="186">
        <f t="shared" si="18"/>
        <v>0</v>
      </c>
      <c r="BK28" s="138"/>
      <c r="BL28" s="132"/>
      <c r="BM28" s="138"/>
      <c r="BN28" s="138"/>
      <c r="BO28" s="138"/>
      <c r="BP28" s="138"/>
      <c r="BQ28" s="138"/>
      <c r="BR28" s="140"/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0</v>
      </c>
      <c r="CG28" s="190">
        <f t="shared" si="20"/>
        <v>0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5.882352941</v>
      </c>
      <c r="CW28" s="169">
        <f t="shared" si="8"/>
        <v>1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16</v>
      </c>
      <c r="E29" s="127">
        <f t="shared" si="10"/>
        <v>94.11764706</v>
      </c>
      <c r="F29" s="175" t="str">
        <f t="shared" si="11"/>
        <v>  </v>
      </c>
      <c r="G29" s="177" t="str">
        <f t="shared" si="12"/>
        <v>  </v>
      </c>
      <c r="H29" s="132"/>
      <c r="I29" s="132"/>
      <c r="J29" s="245">
        <v>1.0</v>
      </c>
      <c r="K29" s="201"/>
      <c r="L29" s="245">
        <v>1.0</v>
      </c>
      <c r="M29" s="201"/>
      <c r="N29" s="245">
        <v>1.0</v>
      </c>
      <c r="O29" s="201"/>
      <c r="P29" s="201"/>
      <c r="Q29" s="201"/>
      <c r="R29" s="135">
        <f t="shared" si="13"/>
        <v>3</v>
      </c>
      <c r="S29" s="137">
        <f t="shared" si="14"/>
        <v>100</v>
      </c>
      <c r="T29" s="138"/>
      <c r="U29" s="138"/>
      <c r="V29" s="138"/>
      <c r="W29" s="132"/>
      <c r="X29" s="132"/>
      <c r="Y29" s="151">
        <v>1.0</v>
      </c>
      <c r="Z29" s="151">
        <v>1.0</v>
      </c>
      <c r="AA29" s="138"/>
      <c r="AB29" s="209">
        <v>1.0</v>
      </c>
      <c r="AC29" s="140"/>
      <c r="AD29" s="150">
        <v>1.0</v>
      </c>
      <c r="AE29" s="141"/>
      <c r="AF29" s="210"/>
      <c r="AG29" s="210"/>
      <c r="AH29" s="210"/>
      <c r="AI29" s="211">
        <v>1.0</v>
      </c>
      <c r="AJ29" s="212"/>
      <c r="AK29" s="212"/>
      <c r="AL29" s="135">
        <f t="shared" si="15"/>
        <v>5</v>
      </c>
      <c r="AM29" s="183">
        <f t="shared" si="16"/>
        <v>100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85">
        <v>1.0</v>
      </c>
      <c r="BA29" s="133"/>
      <c r="BB29" s="185">
        <v>1.0</v>
      </c>
      <c r="BC29" s="133"/>
      <c r="BD29" s="133"/>
      <c r="BE29" s="185">
        <v>1.0</v>
      </c>
      <c r="BF29" s="133"/>
      <c r="BG29" s="185">
        <v>1.0</v>
      </c>
      <c r="BH29" s="133"/>
      <c r="BI29" s="135">
        <f t="shared" si="17"/>
        <v>4</v>
      </c>
      <c r="BJ29" s="186">
        <f t="shared" si="18"/>
        <v>80</v>
      </c>
      <c r="BK29" s="138"/>
      <c r="BL29" s="170">
        <v>1.0</v>
      </c>
      <c r="BM29" s="138"/>
      <c r="BN29" s="151">
        <v>1.0</v>
      </c>
      <c r="BO29" s="138"/>
      <c r="BP29" s="138"/>
      <c r="BQ29" s="151">
        <v>1.0</v>
      </c>
      <c r="BR29" s="140"/>
      <c r="BS29" s="187">
        <v>1.0</v>
      </c>
      <c r="BT29" s="152"/>
      <c r="BU29" s="152"/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4</v>
      </c>
      <c r="CG29" s="190">
        <f t="shared" si="20"/>
        <v>100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94.11764706</v>
      </c>
      <c r="CW29" s="169">
        <f t="shared" si="8"/>
        <v>16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2</v>
      </c>
      <c r="E30" s="127">
        <f t="shared" si="10"/>
        <v>11.76470588</v>
      </c>
      <c r="F30" s="200">
        <f t="shared" si="11"/>
        <v>11.76470588</v>
      </c>
      <c r="G30" s="207">
        <f t="shared" si="12"/>
        <v>11.76470588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135">
        <f t="shared" si="13"/>
        <v>0</v>
      </c>
      <c r="S30" s="137">
        <f t="shared" si="14"/>
        <v>0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0</v>
      </c>
      <c r="AM30" s="183">
        <f t="shared" si="16"/>
        <v>0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85">
        <v>1.0</v>
      </c>
      <c r="BH30" s="133"/>
      <c r="BI30" s="135">
        <f t="shared" si="17"/>
        <v>1</v>
      </c>
      <c r="BJ30" s="186">
        <f t="shared" si="18"/>
        <v>20</v>
      </c>
      <c r="BK30" s="138"/>
      <c r="BL30" s="132"/>
      <c r="BM30" s="138"/>
      <c r="BN30" s="151">
        <v>1.0</v>
      </c>
      <c r="BO30" s="138"/>
      <c r="BP30" s="138"/>
      <c r="BQ30" s="138"/>
      <c r="BR30" s="140"/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1</v>
      </c>
      <c r="CG30" s="190">
        <f t="shared" si="20"/>
        <v>25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11.76470588</v>
      </c>
      <c r="CW30" s="169">
        <f t="shared" si="8"/>
        <v>2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4</v>
      </c>
      <c r="E31" s="127">
        <f t="shared" si="10"/>
        <v>23.52941176</v>
      </c>
      <c r="F31" s="200">
        <f t="shared" si="11"/>
        <v>23.52941176</v>
      </c>
      <c r="G31" s="207">
        <f t="shared" si="12"/>
        <v>23.52941176</v>
      </c>
      <c r="H31" s="132"/>
      <c r="I31" s="178"/>
      <c r="J31" s="179"/>
      <c r="K31" s="179"/>
      <c r="L31" s="179"/>
      <c r="M31" s="179"/>
      <c r="N31" s="179"/>
      <c r="O31" s="179"/>
      <c r="P31" s="179"/>
      <c r="Q31" s="179"/>
      <c r="R31" s="135">
        <f t="shared" si="13"/>
        <v>0</v>
      </c>
      <c r="S31" s="137">
        <f t="shared" si="14"/>
        <v>0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0"/>
      <c r="AI31" s="210"/>
      <c r="AJ31" s="212"/>
      <c r="AK31" s="212"/>
      <c r="AL31" s="135">
        <f t="shared" si="15"/>
        <v>0</v>
      </c>
      <c r="AM31" s="183">
        <f t="shared" si="16"/>
        <v>0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85">
        <v>1.0</v>
      </c>
      <c r="BH31" s="133"/>
      <c r="BI31" s="135">
        <f t="shared" si="17"/>
        <v>1</v>
      </c>
      <c r="BJ31" s="186">
        <f t="shared" si="18"/>
        <v>20</v>
      </c>
      <c r="BK31" s="138"/>
      <c r="BL31" s="132"/>
      <c r="BM31" s="138"/>
      <c r="BN31" s="151">
        <v>1.0</v>
      </c>
      <c r="BO31" s="138"/>
      <c r="BP31" s="138"/>
      <c r="BQ31" s="151">
        <v>1.0</v>
      </c>
      <c r="BR31" s="140"/>
      <c r="BS31" s="187">
        <v>1.0</v>
      </c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3</v>
      </c>
      <c r="CG31" s="190">
        <f t="shared" si="20"/>
        <v>75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23.52941176</v>
      </c>
      <c r="CW31" s="169">
        <f t="shared" si="8"/>
        <v>4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7</v>
      </c>
      <c r="E32" s="127">
        <f t="shared" si="10"/>
        <v>41.17647059</v>
      </c>
      <c r="F32" s="200">
        <f t="shared" si="11"/>
        <v>41.17647059</v>
      </c>
      <c r="G32" s="177" t="str">
        <f t="shared" si="12"/>
        <v>  </v>
      </c>
      <c r="H32" s="132"/>
      <c r="I32" s="178"/>
      <c r="J32" s="179"/>
      <c r="K32" s="179"/>
      <c r="L32" s="179"/>
      <c r="M32" s="179"/>
      <c r="N32" s="179"/>
      <c r="O32" s="179"/>
      <c r="P32" s="179"/>
      <c r="Q32" s="179"/>
      <c r="R32" s="135">
        <f t="shared" si="13"/>
        <v>0</v>
      </c>
      <c r="S32" s="137">
        <f t="shared" si="14"/>
        <v>0</v>
      </c>
      <c r="T32" s="138"/>
      <c r="U32" s="138"/>
      <c r="V32" s="138"/>
      <c r="W32" s="132"/>
      <c r="X32" s="132"/>
      <c r="Y32" s="151">
        <v>1.0</v>
      </c>
      <c r="Z32" s="138"/>
      <c r="AA32" s="138"/>
      <c r="AB32" s="233">
        <v>1.0</v>
      </c>
      <c r="AC32" s="140"/>
      <c r="AD32" s="150">
        <v>1.0</v>
      </c>
      <c r="AE32" s="141"/>
      <c r="AF32" s="234"/>
      <c r="AG32" s="234"/>
      <c r="AH32" s="234"/>
      <c r="AI32" s="234"/>
      <c r="AJ32" s="239"/>
      <c r="AK32" s="239"/>
      <c r="AL32" s="135">
        <f t="shared" si="15"/>
        <v>3</v>
      </c>
      <c r="AM32" s="183">
        <f t="shared" si="16"/>
        <v>60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85">
        <v>1.0</v>
      </c>
      <c r="BF32" s="133"/>
      <c r="BG32" s="133"/>
      <c r="BH32" s="133"/>
      <c r="BI32" s="135">
        <f t="shared" si="17"/>
        <v>1</v>
      </c>
      <c r="BJ32" s="186">
        <f t="shared" si="18"/>
        <v>20</v>
      </c>
      <c r="BK32" s="138"/>
      <c r="BL32" s="132"/>
      <c r="BM32" s="138"/>
      <c r="BN32" s="151">
        <v>1.0</v>
      </c>
      <c r="BO32" s="138"/>
      <c r="BP32" s="138"/>
      <c r="BQ32" s="151">
        <v>1.0</v>
      </c>
      <c r="BR32" s="140"/>
      <c r="BS32" s="187">
        <v>1.0</v>
      </c>
      <c r="BT32" s="152"/>
      <c r="BU32" s="152"/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3</v>
      </c>
      <c r="CG32" s="190">
        <f t="shared" si="20"/>
        <v>75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41.17647059</v>
      </c>
      <c r="CW32" s="169">
        <f t="shared" si="8"/>
        <v>7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5</v>
      </c>
      <c r="E33" s="127">
        <f t="shared" si="10"/>
        <v>29.41176471</v>
      </c>
      <c r="F33" s="200">
        <f t="shared" si="11"/>
        <v>29.41176471</v>
      </c>
      <c r="G33" s="207">
        <f t="shared" si="12"/>
        <v>29.41176471</v>
      </c>
      <c r="H33" s="132"/>
      <c r="I33" s="229"/>
      <c r="J33" s="231"/>
      <c r="K33" s="231"/>
      <c r="L33" s="231"/>
      <c r="M33" s="231"/>
      <c r="N33" s="231"/>
      <c r="O33" s="231"/>
      <c r="P33" s="231"/>
      <c r="Q33" s="231"/>
      <c r="R33" s="135">
        <f t="shared" si="13"/>
        <v>0</v>
      </c>
      <c r="S33" s="137">
        <f t="shared" si="14"/>
        <v>0</v>
      </c>
      <c r="T33" s="138"/>
      <c r="U33" s="138"/>
      <c r="V33" s="138"/>
      <c r="W33" s="132"/>
      <c r="X33" s="132"/>
      <c r="Y33" s="138"/>
      <c r="Z33" s="138"/>
      <c r="AA33" s="138"/>
      <c r="AB33" s="233">
        <v>1.0</v>
      </c>
      <c r="AC33" s="140"/>
      <c r="AD33" s="140"/>
      <c r="AE33" s="141"/>
      <c r="AF33" s="234"/>
      <c r="AG33" s="234"/>
      <c r="AH33" s="234"/>
      <c r="AI33" s="234"/>
      <c r="AJ33" s="239"/>
      <c r="AK33" s="239"/>
      <c r="AL33" s="135">
        <f t="shared" si="15"/>
        <v>1</v>
      </c>
      <c r="AM33" s="183">
        <f t="shared" si="16"/>
        <v>20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85">
        <v>1.0</v>
      </c>
      <c r="BH33" s="133"/>
      <c r="BI33" s="135">
        <f t="shared" si="17"/>
        <v>1</v>
      </c>
      <c r="BJ33" s="186">
        <f t="shared" si="18"/>
        <v>20</v>
      </c>
      <c r="BK33" s="138"/>
      <c r="BL33" s="132"/>
      <c r="BM33" s="138"/>
      <c r="BN33" s="151">
        <v>1.0</v>
      </c>
      <c r="BO33" s="138"/>
      <c r="BP33" s="138"/>
      <c r="BQ33" s="151">
        <v>1.0</v>
      </c>
      <c r="BR33" s="140"/>
      <c r="BS33" s="187">
        <v>1.0</v>
      </c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3</v>
      </c>
      <c r="CG33" s="190">
        <f t="shared" si="20"/>
        <v>75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29.41176471</v>
      </c>
      <c r="CW33" s="169">
        <f t="shared" si="8"/>
        <v>5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3</v>
      </c>
      <c r="E34" s="127">
        <f t="shared" si="10"/>
        <v>17.64705882</v>
      </c>
      <c r="F34" s="200">
        <f t="shared" si="11"/>
        <v>17.64705882</v>
      </c>
      <c r="G34" s="207">
        <f t="shared" si="12"/>
        <v>17.64705882</v>
      </c>
      <c r="H34" s="178"/>
      <c r="I34" s="132"/>
      <c r="J34" s="201"/>
      <c r="K34" s="201"/>
      <c r="L34" s="201"/>
      <c r="M34" s="201"/>
      <c r="N34" s="245">
        <v>1.0</v>
      </c>
      <c r="O34" s="201"/>
      <c r="P34" s="201"/>
      <c r="Q34" s="201"/>
      <c r="R34" s="135">
        <f t="shared" si="13"/>
        <v>1</v>
      </c>
      <c r="S34" s="137">
        <f t="shared" si="14"/>
        <v>33.33333333</v>
      </c>
      <c r="T34" s="138"/>
      <c r="U34" s="138"/>
      <c r="V34" s="138"/>
      <c r="W34" s="132"/>
      <c r="X34" s="132"/>
      <c r="Y34" s="138"/>
      <c r="Z34" s="151">
        <v>1.0</v>
      </c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1</v>
      </c>
      <c r="AM34" s="183">
        <f t="shared" si="16"/>
        <v>20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85"/>
      <c r="BF34" s="133"/>
      <c r="BG34" s="133"/>
      <c r="BH34" s="133"/>
      <c r="BI34" s="135">
        <f t="shared" si="17"/>
        <v>0</v>
      </c>
      <c r="BJ34" s="186">
        <f t="shared" si="18"/>
        <v>0</v>
      </c>
      <c r="BK34" s="138"/>
      <c r="BL34" s="132"/>
      <c r="BM34" s="138"/>
      <c r="BN34" s="138"/>
      <c r="BO34" s="138"/>
      <c r="BP34" s="138"/>
      <c r="BQ34" s="151">
        <v>1.0</v>
      </c>
      <c r="BR34" s="140"/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1</v>
      </c>
      <c r="CG34" s="190">
        <f t="shared" si="20"/>
        <v>25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17.64705882</v>
      </c>
      <c r="CW34" s="169">
        <f t="shared" si="8"/>
        <v>3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13</v>
      </c>
      <c r="E35" s="127">
        <f t="shared" si="10"/>
        <v>76.47058824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45">
        <v>1.0</v>
      </c>
      <c r="K35" s="201"/>
      <c r="L35" s="245">
        <v>1.0</v>
      </c>
      <c r="M35" s="201"/>
      <c r="N35" s="245">
        <v>1.0</v>
      </c>
      <c r="O35" s="201"/>
      <c r="P35" s="201"/>
      <c r="Q35" s="201"/>
      <c r="R35" s="135">
        <f t="shared" si="13"/>
        <v>3</v>
      </c>
      <c r="S35" s="137">
        <f t="shared" si="14"/>
        <v>100</v>
      </c>
      <c r="T35" s="138"/>
      <c r="U35" s="138"/>
      <c r="V35" s="138"/>
      <c r="W35" s="132"/>
      <c r="X35" s="132"/>
      <c r="Y35" s="151">
        <v>1.0</v>
      </c>
      <c r="Z35" s="151">
        <v>1.0</v>
      </c>
      <c r="AA35" s="138"/>
      <c r="AB35" s="209">
        <v>1.0</v>
      </c>
      <c r="AC35" s="140"/>
      <c r="AD35" s="150">
        <v>1.0</v>
      </c>
      <c r="AE35" s="141"/>
      <c r="AF35" s="210"/>
      <c r="AG35" s="210"/>
      <c r="AH35" s="210"/>
      <c r="AI35" s="210"/>
      <c r="AJ35" s="212"/>
      <c r="AK35" s="212"/>
      <c r="AL35" s="135">
        <f t="shared" si="15"/>
        <v>4</v>
      </c>
      <c r="AM35" s="183">
        <f t="shared" si="16"/>
        <v>80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85">
        <v>1.0</v>
      </c>
      <c r="BF35" s="133"/>
      <c r="BG35" s="185">
        <v>1.0</v>
      </c>
      <c r="BH35" s="133"/>
      <c r="BI35" s="135">
        <f t="shared" si="17"/>
        <v>2</v>
      </c>
      <c r="BJ35" s="186">
        <f t="shared" si="18"/>
        <v>40</v>
      </c>
      <c r="BK35" s="138"/>
      <c r="BL35" s="170">
        <v>1.0</v>
      </c>
      <c r="BM35" s="138"/>
      <c r="BN35" s="151">
        <v>1.0</v>
      </c>
      <c r="BO35" s="138"/>
      <c r="BP35" s="138"/>
      <c r="BQ35" s="151">
        <v>1.0</v>
      </c>
      <c r="BR35" s="140"/>
      <c r="BS35" s="187">
        <v>1.0</v>
      </c>
      <c r="BT35" s="152"/>
      <c r="BU35" s="152"/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4</v>
      </c>
      <c r="CG35" s="190">
        <f t="shared" si="20"/>
        <v>100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76.47058824</v>
      </c>
      <c r="CW35" s="169">
        <f t="shared" si="8"/>
        <v>13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135">
        <f t="shared" si="13"/>
        <v>0</v>
      </c>
      <c r="S36" s="137">
        <f t="shared" si="14"/>
        <v>0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>
        <f t="shared" si="16"/>
        <v>0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>
        <f t="shared" si="20"/>
        <v>0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2</v>
      </c>
      <c r="E37" s="127">
        <f t="shared" si="10"/>
        <v>11.76470588</v>
      </c>
      <c r="F37" s="200">
        <f t="shared" si="11"/>
        <v>11.76470588</v>
      </c>
      <c r="G37" s="207">
        <f t="shared" si="12"/>
        <v>11.76470588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135">
        <f t="shared" si="13"/>
        <v>0</v>
      </c>
      <c r="S37" s="137">
        <f t="shared" si="14"/>
        <v>0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50">
        <v>1.0</v>
      </c>
      <c r="AE37" s="141"/>
      <c r="AF37" s="210"/>
      <c r="AG37" s="210"/>
      <c r="AH37" s="210"/>
      <c r="AI37" s="210"/>
      <c r="AJ37" s="212"/>
      <c r="AK37" s="212"/>
      <c r="AL37" s="135">
        <f t="shared" si="15"/>
        <v>1</v>
      </c>
      <c r="AM37" s="183">
        <f t="shared" si="16"/>
        <v>20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5">
        <f t="shared" si="17"/>
        <v>0</v>
      </c>
      <c r="BJ37" s="186">
        <f t="shared" si="18"/>
        <v>0</v>
      </c>
      <c r="BK37" s="138"/>
      <c r="BL37" s="132"/>
      <c r="BM37" s="138"/>
      <c r="BN37" s="151">
        <v>1.0</v>
      </c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1</v>
      </c>
      <c r="CG37" s="190">
        <f t="shared" si="20"/>
        <v>25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11.76470588</v>
      </c>
      <c r="CW37" s="169">
        <f t="shared" si="8"/>
        <v>2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1</v>
      </c>
      <c r="E38" s="127">
        <f t="shared" si="10"/>
        <v>5.882352941</v>
      </c>
      <c r="F38" s="200">
        <f t="shared" si="11"/>
        <v>5.882352941</v>
      </c>
      <c r="G38" s="207">
        <f t="shared" si="12"/>
        <v>5.882352941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135">
        <f t="shared" si="13"/>
        <v>0</v>
      </c>
      <c r="S38" s="137">
        <f t="shared" si="14"/>
        <v>0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40"/>
      <c r="AE38" s="141"/>
      <c r="AF38" s="210"/>
      <c r="AG38" s="210"/>
      <c r="AH38" s="210"/>
      <c r="AI38" s="210"/>
      <c r="AJ38" s="212"/>
      <c r="AK38" s="212"/>
      <c r="AL38" s="135">
        <f t="shared" si="15"/>
        <v>0</v>
      </c>
      <c r="AM38" s="183">
        <f t="shared" si="16"/>
        <v>0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5">
        <f t="shared" si="17"/>
        <v>0</v>
      </c>
      <c r="BJ38" s="186">
        <f t="shared" si="18"/>
        <v>0</v>
      </c>
      <c r="BK38" s="138"/>
      <c r="BL38" s="132"/>
      <c r="BM38" s="138"/>
      <c r="BN38" s="138"/>
      <c r="BO38" s="138"/>
      <c r="BP38" s="138"/>
      <c r="BQ38" s="138"/>
      <c r="BR38" s="140"/>
      <c r="BS38" s="187">
        <v>1.0</v>
      </c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1</v>
      </c>
      <c r="CG38" s="190">
        <f t="shared" si="20"/>
        <v>25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5.882352941</v>
      </c>
      <c r="CW38" s="169">
        <f t="shared" si="8"/>
        <v>1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2</v>
      </c>
      <c r="E39" s="127">
        <f t="shared" si="10"/>
        <v>11.76470588</v>
      </c>
      <c r="F39" s="200">
        <f t="shared" si="11"/>
        <v>11.76470588</v>
      </c>
      <c r="G39" s="207">
        <f t="shared" si="12"/>
        <v>11.76470588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135">
        <f t="shared" si="13"/>
        <v>0</v>
      </c>
      <c r="S39" s="137">
        <f t="shared" si="14"/>
        <v>0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>
        <f t="shared" si="16"/>
        <v>0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5">
        <f t="shared" si="17"/>
        <v>0</v>
      </c>
      <c r="BJ39" s="186">
        <f t="shared" si="18"/>
        <v>0</v>
      </c>
      <c r="BK39" s="138"/>
      <c r="BL39" s="132"/>
      <c r="BM39" s="138"/>
      <c r="BN39" s="151">
        <v>1.0</v>
      </c>
      <c r="BO39" s="138"/>
      <c r="BP39" s="138"/>
      <c r="BQ39" s="138"/>
      <c r="BR39" s="140"/>
      <c r="BS39" s="187">
        <v>1.0</v>
      </c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2</v>
      </c>
      <c r="CG39" s="190">
        <f t="shared" si="20"/>
        <v>50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11.76470588</v>
      </c>
      <c r="CW39" s="169">
        <f t="shared" si="8"/>
        <v>2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2</v>
      </c>
      <c r="E40" s="127">
        <f t="shared" si="10"/>
        <v>11.76470588</v>
      </c>
      <c r="F40" s="200">
        <f t="shared" si="11"/>
        <v>11.76470588</v>
      </c>
      <c r="G40" s="207">
        <f t="shared" si="12"/>
        <v>11.76470588</v>
      </c>
      <c r="H40" s="132"/>
      <c r="I40" s="132"/>
      <c r="J40" s="201"/>
      <c r="K40" s="201"/>
      <c r="L40" s="201"/>
      <c r="M40" s="201"/>
      <c r="N40" s="201"/>
      <c r="O40" s="201"/>
      <c r="P40" s="201"/>
      <c r="Q40" s="201"/>
      <c r="R40" s="135">
        <f t="shared" si="13"/>
        <v>0</v>
      </c>
      <c r="S40" s="137">
        <f t="shared" si="14"/>
        <v>0</v>
      </c>
      <c r="T40" s="138"/>
      <c r="U40" s="138"/>
      <c r="V40" s="138"/>
      <c r="W40" s="132"/>
      <c r="X40" s="132"/>
      <c r="Y40" s="138"/>
      <c r="Z40" s="151">
        <v>1.0</v>
      </c>
      <c r="AA40" s="138"/>
      <c r="AB40" s="209"/>
      <c r="AC40" s="140"/>
      <c r="AD40" s="140"/>
      <c r="AE40" s="141"/>
      <c r="AF40" s="210"/>
      <c r="AG40" s="210"/>
      <c r="AH40" s="210"/>
      <c r="AI40" s="210"/>
      <c r="AJ40" s="212"/>
      <c r="AK40" s="212"/>
      <c r="AL40" s="135">
        <f t="shared" si="15"/>
        <v>1</v>
      </c>
      <c r="AM40" s="183">
        <f t="shared" si="16"/>
        <v>20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5">
        <f t="shared" si="17"/>
        <v>0</v>
      </c>
      <c r="BJ40" s="186">
        <f t="shared" si="18"/>
        <v>0</v>
      </c>
      <c r="BK40" s="138"/>
      <c r="BL40" s="132"/>
      <c r="BM40" s="138"/>
      <c r="BN40" s="138"/>
      <c r="BO40" s="138"/>
      <c r="BP40" s="138"/>
      <c r="BQ40" s="151">
        <v>1.0</v>
      </c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1</v>
      </c>
      <c r="CG40" s="190">
        <f t="shared" si="20"/>
        <v>25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11.76470588</v>
      </c>
      <c r="CW40" s="169">
        <f t="shared" si="8"/>
        <v>2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2</v>
      </c>
      <c r="E41" s="127">
        <f t="shared" si="10"/>
        <v>11.76470588</v>
      </c>
      <c r="F41" s="200">
        <f t="shared" si="11"/>
        <v>11.76470588</v>
      </c>
      <c r="G41" s="207">
        <f t="shared" si="12"/>
        <v>11.76470588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135">
        <f t="shared" si="13"/>
        <v>0</v>
      </c>
      <c r="S41" s="137">
        <f t="shared" si="14"/>
        <v>0</v>
      </c>
      <c r="T41" s="138"/>
      <c r="U41" s="138"/>
      <c r="V41" s="138"/>
      <c r="W41" s="132"/>
      <c r="X41" s="132"/>
      <c r="Y41" s="138"/>
      <c r="Z41" s="138"/>
      <c r="AA41" s="138"/>
      <c r="AB41" s="209">
        <v>1.0</v>
      </c>
      <c r="AC41" s="140"/>
      <c r="AD41" s="140"/>
      <c r="AE41" s="141"/>
      <c r="AF41" s="210"/>
      <c r="AG41" s="210"/>
      <c r="AH41" s="210"/>
      <c r="AI41" s="210"/>
      <c r="AJ41" s="212"/>
      <c r="AK41" s="212"/>
      <c r="AL41" s="135">
        <f t="shared" si="15"/>
        <v>1</v>
      </c>
      <c r="AM41" s="183">
        <f t="shared" si="16"/>
        <v>20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5">
        <f t="shared" si="17"/>
        <v>0</v>
      </c>
      <c r="BJ41" s="186">
        <f t="shared" si="18"/>
        <v>0</v>
      </c>
      <c r="BK41" s="138"/>
      <c r="BL41" s="170">
        <v>1.0</v>
      </c>
      <c r="BM41" s="138"/>
      <c r="BN41" s="138"/>
      <c r="BO41" s="138"/>
      <c r="BP41" s="138"/>
      <c r="BQ41" s="138"/>
      <c r="BR41" s="140"/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1</v>
      </c>
      <c r="CG41" s="190">
        <f t="shared" si="20"/>
        <v>25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11.76470588</v>
      </c>
      <c r="CW41" s="169">
        <f t="shared" si="8"/>
        <v>2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2</v>
      </c>
      <c r="E42" s="127">
        <f t="shared" si="10"/>
        <v>11.76470588</v>
      </c>
      <c r="F42" s="200">
        <f t="shared" si="11"/>
        <v>11.76470588</v>
      </c>
      <c r="G42" s="207">
        <f t="shared" si="12"/>
        <v>11.76470588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135">
        <f t="shared" si="13"/>
        <v>0</v>
      </c>
      <c r="S42" s="137">
        <f t="shared" si="14"/>
        <v>0</v>
      </c>
      <c r="T42" s="138"/>
      <c r="U42" s="138"/>
      <c r="V42" s="138"/>
      <c r="W42" s="132"/>
      <c r="X42" s="132"/>
      <c r="Y42" s="151">
        <v>1.0</v>
      </c>
      <c r="Z42" s="151">
        <v>1.0</v>
      </c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2</v>
      </c>
      <c r="AM42" s="183">
        <f t="shared" si="16"/>
        <v>40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>
        <f t="shared" si="18"/>
        <v>0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52"/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0</v>
      </c>
      <c r="CG42" s="190">
        <f t="shared" si="20"/>
        <v>0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11.76470588</v>
      </c>
      <c r="CW42" s="169">
        <f t="shared" si="8"/>
        <v>2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5</v>
      </c>
      <c r="E43" s="127">
        <f t="shared" si="10"/>
        <v>29.41176471</v>
      </c>
      <c r="F43" s="200">
        <f t="shared" si="11"/>
        <v>29.41176471</v>
      </c>
      <c r="G43" s="207">
        <f t="shared" si="12"/>
        <v>29.41176471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135">
        <f t="shared" si="13"/>
        <v>0</v>
      </c>
      <c r="S43" s="137">
        <f t="shared" si="14"/>
        <v>0</v>
      </c>
      <c r="T43" s="138"/>
      <c r="U43" s="138"/>
      <c r="V43" s="138"/>
      <c r="W43" s="132"/>
      <c r="X43" s="132"/>
      <c r="Y43" s="151">
        <v>1.0</v>
      </c>
      <c r="Z43" s="138"/>
      <c r="AA43" s="138"/>
      <c r="AB43" s="217">
        <v>1.0</v>
      </c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2</v>
      </c>
      <c r="AM43" s="183">
        <f t="shared" si="16"/>
        <v>40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85">
        <v>1.0</v>
      </c>
      <c r="BH43" s="133"/>
      <c r="BI43" s="135">
        <f t="shared" si="17"/>
        <v>1</v>
      </c>
      <c r="BJ43" s="186">
        <f t="shared" si="18"/>
        <v>20</v>
      </c>
      <c r="BK43" s="138"/>
      <c r="BL43" s="170">
        <v>1.0</v>
      </c>
      <c r="BM43" s="138"/>
      <c r="BN43" s="151">
        <v>1.0</v>
      </c>
      <c r="BO43" s="138"/>
      <c r="BP43" s="138"/>
      <c r="BQ43" s="138"/>
      <c r="BR43" s="140"/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2</v>
      </c>
      <c r="CG43" s="190">
        <f t="shared" si="20"/>
        <v>50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29.41176471</v>
      </c>
      <c r="CW43" s="169">
        <f t="shared" si="8"/>
        <v>5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4</v>
      </c>
      <c r="E44" s="127">
        <f t="shared" si="10"/>
        <v>23.52941176</v>
      </c>
      <c r="F44" s="200">
        <f t="shared" si="11"/>
        <v>23.52941176</v>
      </c>
      <c r="G44" s="207">
        <f t="shared" si="12"/>
        <v>23.52941176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135">
        <f t="shared" si="13"/>
        <v>0</v>
      </c>
      <c r="S44" s="137">
        <f t="shared" si="14"/>
        <v>0</v>
      </c>
      <c r="T44" s="138"/>
      <c r="U44" s="138"/>
      <c r="V44" s="138"/>
      <c r="W44" s="132"/>
      <c r="X44" s="132"/>
      <c r="Y44" s="151">
        <v>1.0</v>
      </c>
      <c r="Z44" s="151">
        <v>1.0</v>
      </c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2</v>
      </c>
      <c r="AM44" s="183">
        <f t="shared" si="16"/>
        <v>40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85">
        <v>1.0</v>
      </c>
      <c r="BH44" s="133"/>
      <c r="BI44" s="135">
        <f t="shared" si="17"/>
        <v>1</v>
      </c>
      <c r="BJ44" s="186">
        <f t="shared" si="18"/>
        <v>20</v>
      </c>
      <c r="BK44" s="138"/>
      <c r="BL44" s="132"/>
      <c r="BM44" s="138"/>
      <c r="BN44" s="151">
        <v>1.0</v>
      </c>
      <c r="BO44" s="138"/>
      <c r="BP44" s="138"/>
      <c r="BQ44" s="138"/>
      <c r="BR44" s="140"/>
      <c r="BS44" s="152"/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1</v>
      </c>
      <c r="CG44" s="190">
        <f t="shared" si="20"/>
        <v>25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23.52941176</v>
      </c>
      <c r="CW44" s="169">
        <f t="shared" si="8"/>
        <v>4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135">
        <f t="shared" si="13"/>
        <v>0</v>
      </c>
      <c r="S45" s="137">
        <f t="shared" si="14"/>
        <v>0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>
        <f t="shared" si="16"/>
        <v>0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>
        <f t="shared" si="20"/>
        <v>0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1</v>
      </c>
      <c r="E46" s="127">
        <f t="shared" si="10"/>
        <v>5.882352941</v>
      </c>
      <c r="F46" s="200">
        <f t="shared" si="11"/>
        <v>5.882352941</v>
      </c>
      <c r="G46" s="207">
        <f t="shared" si="12"/>
        <v>5.882352941</v>
      </c>
      <c r="H46" s="132"/>
      <c r="I46" s="132"/>
      <c r="J46" s="201"/>
      <c r="K46" s="201"/>
      <c r="L46" s="201"/>
      <c r="M46" s="201"/>
      <c r="N46" s="201"/>
      <c r="O46" s="201"/>
      <c r="P46" s="201"/>
      <c r="Q46" s="201"/>
      <c r="R46" s="135">
        <f t="shared" si="13"/>
        <v>0</v>
      </c>
      <c r="S46" s="137">
        <f t="shared" si="14"/>
        <v>0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5"/>
        <v>0</v>
      </c>
      <c r="AM46" s="183">
        <f t="shared" si="16"/>
        <v>0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5">
        <f t="shared" si="17"/>
        <v>0</v>
      </c>
      <c r="BJ46" s="186">
        <f t="shared" si="18"/>
        <v>0</v>
      </c>
      <c r="BK46" s="138"/>
      <c r="BL46" s="132"/>
      <c r="BM46" s="138"/>
      <c r="BN46" s="151">
        <v>1.0</v>
      </c>
      <c r="BO46" s="138"/>
      <c r="BP46" s="138"/>
      <c r="BQ46" s="138"/>
      <c r="BR46" s="140"/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1</v>
      </c>
      <c r="CG46" s="190">
        <f t="shared" si="20"/>
        <v>25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5.882352941</v>
      </c>
      <c r="CW46" s="169">
        <f t="shared" si="8"/>
        <v>1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10</v>
      </c>
      <c r="E47" s="127">
        <f t="shared" si="10"/>
        <v>58.82352941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135">
        <f t="shared" si="13"/>
        <v>0</v>
      </c>
      <c r="S47" s="137">
        <f t="shared" si="14"/>
        <v>0</v>
      </c>
      <c r="T47" s="138"/>
      <c r="U47" s="138"/>
      <c r="V47" s="138"/>
      <c r="W47" s="132"/>
      <c r="X47" s="132"/>
      <c r="Y47" s="151">
        <v>1.0</v>
      </c>
      <c r="Z47" s="151">
        <v>1.0</v>
      </c>
      <c r="AA47" s="138"/>
      <c r="AB47" s="209">
        <v>1.0</v>
      </c>
      <c r="AC47" s="140"/>
      <c r="AD47" s="150">
        <v>1.0</v>
      </c>
      <c r="AE47" s="141"/>
      <c r="AF47" s="210"/>
      <c r="AG47" s="210"/>
      <c r="AH47" s="210"/>
      <c r="AI47" s="211">
        <v>1.0</v>
      </c>
      <c r="AJ47" s="212"/>
      <c r="AK47" s="212"/>
      <c r="AL47" s="135">
        <f t="shared" si="15"/>
        <v>5</v>
      </c>
      <c r="AM47" s="183">
        <f t="shared" si="16"/>
        <v>100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85">
        <v>1.0</v>
      </c>
      <c r="BH47" s="133"/>
      <c r="BI47" s="135">
        <f t="shared" si="17"/>
        <v>1</v>
      </c>
      <c r="BJ47" s="186">
        <f t="shared" si="18"/>
        <v>20</v>
      </c>
      <c r="BK47" s="138"/>
      <c r="BL47" s="170">
        <v>1.0</v>
      </c>
      <c r="BM47" s="138"/>
      <c r="BN47" s="151">
        <v>1.0</v>
      </c>
      <c r="BO47" s="138"/>
      <c r="BP47" s="138"/>
      <c r="BQ47" s="151">
        <v>1.0</v>
      </c>
      <c r="BR47" s="140"/>
      <c r="BS47" s="187">
        <v>1.0</v>
      </c>
      <c r="BT47" s="152"/>
      <c r="BU47" s="152"/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4</v>
      </c>
      <c r="CG47" s="190">
        <f t="shared" si="20"/>
        <v>100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58.82352941</v>
      </c>
      <c r="CW47" s="169">
        <f t="shared" si="8"/>
        <v>10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4</v>
      </c>
      <c r="E48" s="127">
        <f t="shared" si="10"/>
        <v>23.52941176</v>
      </c>
      <c r="F48" s="200">
        <f t="shared" si="11"/>
        <v>23.52941176</v>
      </c>
      <c r="G48" s="207">
        <f t="shared" si="12"/>
        <v>23.52941176</v>
      </c>
      <c r="H48" s="258"/>
      <c r="I48" s="259"/>
      <c r="J48" s="260"/>
      <c r="K48" s="260"/>
      <c r="L48" s="267">
        <v>1.0</v>
      </c>
      <c r="M48" s="260"/>
      <c r="N48" s="260"/>
      <c r="O48" s="260"/>
      <c r="P48" s="260"/>
      <c r="Q48" s="260"/>
      <c r="R48" s="135">
        <f t="shared" si="13"/>
        <v>1</v>
      </c>
      <c r="S48" s="137">
        <f t="shared" si="14"/>
        <v>33.33333333</v>
      </c>
      <c r="T48" s="138"/>
      <c r="U48" s="138"/>
      <c r="V48" s="138"/>
      <c r="W48" s="132"/>
      <c r="X48" s="132"/>
      <c r="Y48" s="151">
        <v>1.0</v>
      </c>
      <c r="Z48" s="151">
        <v>1.0</v>
      </c>
      <c r="AA48" s="138"/>
      <c r="AB48" s="209"/>
      <c r="AC48" s="140"/>
      <c r="AD48" s="140"/>
      <c r="AE48" s="141"/>
      <c r="AF48" s="210"/>
      <c r="AG48" s="210"/>
      <c r="AH48" s="210"/>
      <c r="AI48" s="210"/>
      <c r="AJ48" s="212"/>
      <c r="AK48" s="212"/>
      <c r="AL48" s="135">
        <f t="shared" si="15"/>
        <v>2</v>
      </c>
      <c r="AM48" s="183">
        <f t="shared" si="16"/>
        <v>40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5">
        <f t="shared" si="17"/>
        <v>0</v>
      </c>
      <c r="BJ48" s="186">
        <f t="shared" si="18"/>
        <v>0</v>
      </c>
      <c r="BK48" s="138"/>
      <c r="BL48" s="132"/>
      <c r="BM48" s="138"/>
      <c r="BN48" s="151">
        <v>1.0</v>
      </c>
      <c r="BO48" s="138"/>
      <c r="BP48" s="138"/>
      <c r="BQ48" s="138"/>
      <c r="BR48" s="140"/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1</v>
      </c>
      <c r="CG48" s="190">
        <f t="shared" si="20"/>
        <v>25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23.52941176</v>
      </c>
      <c r="CW48" s="169">
        <f t="shared" si="8"/>
        <v>4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4</v>
      </c>
      <c r="E49" s="127">
        <f t="shared" si="10"/>
        <v>23.52941176</v>
      </c>
      <c r="F49" s="200">
        <f t="shared" si="11"/>
        <v>23.52941176</v>
      </c>
      <c r="G49" s="207">
        <f t="shared" si="12"/>
        <v>23.52941176</v>
      </c>
      <c r="H49" s="258"/>
      <c r="I49" s="261"/>
      <c r="J49" s="262"/>
      <c r="K49" s="262"/>
      <c r="L49" s="268">
        <v>1.0</v>
      </c>
      <c r="M49" s="262"/>
      <c r="N49" s="262"/>
      <c r="O49" s="262"/>
      <c r="P49" s="262"/>
      <c r="Q49" s="262"/>
      <c r="R49" s="135">
        <f t="shared" si="13"/>
        <v>1</v>
      </c>
      <c r="S49" s="137">
        <f t="shared" si="14"/>
        <v>33.33333333</v>
      </c>
      <c r="T49" s="138"/>
      <c r="U49" s="138"/>
      <c r="V49" s="138"/>
      <c r="W49" s="132"/>
      <c r="X49" s="132"/>
      <c r="Y49" s="151">
        <v>1.0</v>
      </c>
      <c r="Z49" s="151">
        <v>1.0</v>
      </c>
      <c r="AA49" s="138"/>
      <c r="AB49" s="217"/>
      <c r="AC49" s="140"/>
      <c r="AD49" s="140"/>
      <c r="AE49" s="141"/>
      <c r="AF49" s="226"/>
      <c r="AG49" s="226"/>
      <c r="AH49" s="226"/>
      <c r="AI49" s="226"/>
      <c r="AJ49" s="218"/>
      <c r="AK49" s="218"/>
      <c r="AL49" s="135">
        <f t="shared" si="15"/>
        <v>2</v>
      </c>
      <c r="AM49" s="183">
        <f t="shared" si="16"/>
        <v>40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5">
        <f t="shared" si="17"/>
        <v>0</v>
      </c>
      <c r="BJ49" s="186">
        <f t="shared" si="18"/>
        <v>0</v>
      </c>
      <c r="BK49" s="138"/>
      <c r="BL49" s="132"/>
      <c r="BM49" s="138"/>
      <c r="BN49" s="151">
        <v>1.0</v>
      </c>
      <c r="BO49" s="138"/>
      <c r="BP49" s="138"/>
      <c r="BQ49" s="138"/>
      <c r="BR49" s="140"/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1</v>
      </c>
      <c r="CG49" s="190">
        <f t="shared" si="20"/>
        <v>25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23.52941176</v>
      </c>
      <c r="CW49" s="169">
        <f t="shared" si="8"/>
        <v>4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5</v>
      </c>
      <c r="E50" s="127">
        <f t="shared" si="10"/>
        <v>29.41176471</v>
      </c>
      <c r="F50" s="200">
        <f t="shared" si="11"/>
        <v>29.41176471</v>
      </c>
      <c r="G50" s="207">
        <f t="shared" si="12"/>
        <v>29.41176471</v>
      </c>
      <c r="H50" s="258"/>
      <c r="I50" s="258"/>
      <c r="J50" s="263"/>
      <c r="K50" s="263"/>
      <c r="L50" s="269">
        <v>1.0</v>
      </c>
      <c r="M50" s="263"/>
      <c r="N50" s="263"/>
      <c r="O50" s="263"/>
      <c r="P50" s="263"/>
      <c r="Q50" s="263"/>
      <c r="R50" s="135">
        <f t="shared" si="13"/>
        <v>1</v>
      </c>
      <c r="S50" s="137">
        <f t="shared" si="14"/>
        <v>33.33333333</v>
      </c>
      <c r="T50" s="138"/>
      <c r="U50" s="138"/>
      <c r="V50" s="138"/>
      <c r="W50" s="132"/>
      <c r="X50" s="132"/>
      <c r="Y50" s="151">
        <v>1.0</v>
      </c>
      <c r="Z50" s="151">
        <v>1.0</v>
      </c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2</v>
      </c>
      <c r="AM50" s="183">
        <f t="shared" si="16"/>
        <v>40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85">
        <v>1.0</v>
      </c>
      <c r="BF50" s="133"/>
      <c r="BG50" s="133"/>
      <c r="BH50" s="133"/>
      <c r="BI50" s="135">
        <f t="shared" si="17"/>
        <v>1</v>
      </c>
      <c r="BJ50" s="186">
        <f t="shared" si="18"/>
        <v>20</v>
      </c>
      <c r="BK50" s="138"/>
      <c r="BL50" s="132"/>
      <c r="BM50" s="138"/>
      <c r="BN50" s="138"/>
      <c r="BO50" s="138"/>
      <c r="BP50" s="138"/>
      <c r="BQ50" s="151">
        <v>1.0</v>
      </c>
      <c r="BR50" s="140"/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1</v>
      </c>
      <c r="CG50" s="190">
        <f t="shared" si="20"/>
        <v>25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29.41176471</v>
      </c>
      <c r="CW50" s="169">
        <f t="shared" si="8"/>
        <v>5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3</v>
      </c>
      <c r="E51" s="127">
        <f t="shared" si="10"/>
        <v>17.64705882</v>
      </c>
      <c r="F51" s="200">
        <f t="shared" si="11"/>
        <v>17.64705882</v>
      </c>
      <c r="G51" s="207">
        <f t="shared" si="12"/>
        <v>17.64705882</v>
      </c>
      <c r="H51" s="258"/>
      <c r="I51" s="265"/>
      <c r="J51" s="266"/>
      <c r="K51" s="266"/>
      <c r="L51" s="270">
        <v>1.0</v>
      </c>
      <c r="M51" s="266"/>
      <c r="N51" s="266"/>
      <c r="O51" s="266"/>
      <c r="P51" s="266"/>
      <c r="Q51" s="266"/>
      <c r="R51" s="135">
        <f t="shared" si="13"/>
        <v>1</v>
      </c>
      <c r="S51" s="137">
        <f t="shared" si="14"/>
        <v>33.33333333</v>
      </c>
      <c r="T51" s="138"/>
      <c r="U51" s="138"/>
      <c r="V51" s="138"/>
      <c r="W51" s="132"/>
      <c r="X51" s="132"/>
      <c r="Y51" s="138"/>
      <c r="Z51" s="138"/>
      <c r="AA51" s="138"/>
      <c r="AB51" s="247">
        <v>1.0</v>
      </c>
      <c r="AC51" s="140"/>
      <c r="AD51" s="140"/>
      <c r="AE51" s="141"/>
      <c r="AF51" s="248"/>
      <c r="AG51" s="248"/>
      <c r="AH51" s="248"/>
      <c r="AI51" s="248"/>
      <c r="AJ51" s="249"/>
      <c r="AK51" s="249"/>
      <c r="AL51" s="135">
        <f t="shared" si="15"/>
        <v>1</v>
      </c>
      <c r="AM51" s="183">
        <f t="shared" si="16"/>
        <v>20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5">
        <f t="shared" si="17"/>
        <v>0</v>
      </c>
      <c r="BJ51" s="186">
        <f t="shared" si="18"/>
        <v>0</v>
      </c>
      <c r="BK51" s="138"/>
      <c r="BL51" s="170">
        <v>1.0</v>
      </c>
      <c r="BM51" s="138"/>
      <c r="BN51" s="138"/>
      <c r="BO51" s="138"/>
      <c r="BP51" s="138"/>
      <c r="BQ51" s="138"/>
      <c r="BR51" s="140"/>
      <c r="BS51" s="152"/>
      <c r="BT51" s="152"/>
      <c r="BU51" s="152"/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1</v>
      </c>
      <c r="CG51" s="190">
        <f t="shared" si="20"/>
        <v>25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17.64705882</v>
      </c>
      <c r="CW51" s="169">
        <f t="shared" si="8"/>
        <v>3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1</v>
      </c>
      <c r="E52" s="127">
        <f t="shared" si="10"/>
        <v>5.882352941</v>
      </c>
      <c r="F52" s="200">
        <f t="shared" si="11"/>
        <v>5.882352941</v>
      </c>
      <c r="G52" s="207">
        <f t="shared" si="12"/>
        <v>5.882352941</v>
      </c>
      <c r="H52" s="258"/>
      <c r="I52" s="258"/>
      <c r="J52" s="263"/>
      <c r="K52" s="263"/>
      <c r="L52" s="263"/>
      <c r="M52" s="263"/>
      <c r="N52" s="269">
        <v>1.0</v>
      </c>
      <c r="O52" s="263"/>
      <c r="P52" s="263"/>
      <c r="Q52" s="263"/>
      <c r="R52" s="135">
        <f t="shared" si="13"/>
        <v>1</v>
      </c>
      <c r="S52" s="137">
        <f t="shared" si="14"/>
        <v>33.33333333</v>
      </c>
      <c r="T52" s="138"/>
      <c r="U52" s="138"/>
      <c r="V52" s="138"/>
      <c r="W52" s="132"/>
      <c r="X52" s="132"/>
      <c r="Y52" s="138"/>
      <c r="Z52" s="138"/>
      <c r="AA52" s="138"/>
      <c r="AB52" s="209"/>
      <c r="AC52" s="140"/>
      <c r="AD52" s="140"/>
      <c r="AE52" s="141"/>
      <c r="AF52" s="210"/>
      <c r="AG52" s="210"/>
      <c r="AH52" s="210"/>
      <c r="AI52" s="210"/>
      <c r="AJ52" s="212"/>
      <c r="AK52" s="212"/>
      <c r="AL52" s="135">
        <f t="shared" si="15"/>
        <v>0</v>
      </c>
      <c r="AM52" s="183">
        <f t="shared" si="16"/>
        <v>0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5">
        <f t="shared" si="17"/>
        <v>0</v>
      </c>
      <c r="BJ52" s="186">
        <f t="shared" si="18"/>
        <v>0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>
        <f t="shared" si="20"/>
        <v>0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5.882352941</v>
      </c>
      <c r="CW52" s="169">
        <f t="shared" si="8"/>
        <v>1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4</v>
      </c>
      <c r="E53" s="127">
        <f t="shared" si="10"/>
        <v>23.52941176</v>
      </c>
      <c r="F53" s="200">
        <f t="shared" si="11"/>
        <v>23.52941176</v>
      </c>
      <c r="G53" s="207">
        <f t="shared" si="12"/>
        <v>23.52941176</v>
      </c>
      <c r="H53" s="258"/>
      <c r="I53" s="258"/>
      <c r="J53" s="263"/>
      <c r="K53" s="263"/>
      <c r="L53" s="269">
        <v>1.0</v>
      </c>
      <c r="M53" s="263"/>
      <c r="N53" s="263"/>
      <c r="O53" s="263"/>
      <c r="P53" s="263"/>
      <c r="Q53" s="263"/>
      <c r="R53" s="135">
        <f t="shared" si="13"/>
        <v>1</v>
      </c>
      <c r="S53" s="137">
        <f t="shared" si="14"/>
        <v>33.33333333</v>
      </c>
      <c r="T53" s="138"/>
      <c r="U53" s="138"/>
      <c r="V53" s="138"/>
      <c r="W53" s="132"/>
      <c r="X53" s="132"/>
      <c r="Y53" s="138"/>
      <c r="Z53" s="138"/>
      <c r="AA53" s="138"/>
      <c r="AB53" s="209">
        <v>1.0</v>
      </c>
      <c r="AC53" s="140"/>
      <c r="AD53" s="140"/>
      <c r="AE53" s="141"/>
      <c r="AF53" s="210"/>
      <c r="AG53" s="210"/>
      <c r="AH53" s="210"/>
      <c r="AI53" s="210"/>
      <c r="AJ53" s="212"/>
      <c r="AK53" s="212"/>
      <c r="AL53" s="135">
        <f t="shared" si="15"/>
        <v>1</v>
      </c>
      <c r="AM53" s="183">
        <f t="shared" si="16"/>
        <v>20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85">
        <v>1.0</v>
      </c>
      <c r="BH53" s="133"/>
      <c r="BI53" s="135">
        <f t="shared" si="17"/>
        <v>1</v>
      </c>
      <c r="BJ53" s="186">
        <f t="shared" si="18"/>
        <v>20</v>
      </c>
      <c r="BK53" s="138"/>
      <c r="BL53" s="170">
        <v>1.0</v>
      </c>
      <c r="BM53" s="138"/>
      <c r="BN53" s="138"/>
      <c r="BO53" s="138"/>
      <c r="BP53" s="138"/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1</v>
      </c>
      <c r="CG53" s="190">
        <f t="shared" si="20"/>
        <v>25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23.52941176</v>
      </c>
      <c r="CW53" s="169">
        <f t="shared" si="8"/>
        <v>4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2</v>
      </c>
      <c r="E54" s="127">
        <f t="shared" si="10"/>
        <v>11.76470588</v>
      </c>
      <c r="F54" s="200">
        <f t="shared" si="11"/>
        <v>11.76470588</v>
      </c>
      <c r="G54" s="207">
        <f t="shared" si="12"/>
        <v>11.76470588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135">
        <f t="shared" si="13"/>
        <v>0</v>
      </c>
      <c r="S54" s="137">
        <f t="shared" si="14"/>
        <v>0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>
        <f t="shared" si="16"/>
        <v>0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>
        <f t="shared" si="18"/>
        <v>0</v>
      </c>
      <c r="BK54" s="138"/>
      <c r="BL54" s="132"/>
      <c r="BM54" s="138"/>
      <c r="BN54" s="138"/>
      <c r="BO54" s="138"/>
      <c r="BP54" s="138"/>
      <c r="BQ54" s="151">
        <v>1.0</v>
      </c>
      <c r="BR54" s="140"/>
      <c r="BS54" s="187">
        <v>1.0</v>
      </c>
      <c r="BT54" s="152"/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2</v>
      </c>
      <c r="CG54" s="190">
        <f t="shared" si="20"/>
        <v>50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11.76470588</v>
      </c>
      <c r="CW54" s="169">
        <f t="shared" si="8"/>
        <v>2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3</v>
      </c>
      <c r="E55" s="127">
        <f t="shared" si="10"/>
        <v>17.64705882</v>
      </c>
      <c r="F55" s="200">
        <f t="shared" si="11"/>
        <v>17.64705882</v>
      </c>
      <c r="G55" s="207">
        <f t="shared" si="12"/>
        <v>17.64705882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135">
        <f t="shared" si="13"/>
        <v>0</v>
      </c>
      <c r="S55" s="137">
        <f t="shared" si="14"/>
        <v>0</v>
      </c>
      <c r="T55" s="138"/>
      <c r="U55" s="138"/>
      <c r="V55" s="138"/>
      <c r="W55" s="132"/>
      <c r="X55" s="132"/>
      <c r="Y55" s="151">
        <v>1.0</v>
      </c>
      <c r="Z55" s="151">
        <v>1.0</v>
      </c>
      <c r="AA55" s="138"/>
      <c r="AB55" s="209">
        <v>1.0</v>
      </c>
      <c r="AC55" s="140"/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3</v>
      </c>
      <c r="AM55" s="183">
        <f t="shared" si="16"/>
        <v>60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5">
        <f t="shared" si="17"/>
        <v>0</v>
      </c>
      <c r="BJ55" s="186">
        <f t="shared" si="18"/>
        <v>0</v>
      </c>
      <c r="BK55" s="138"/>
      <c r="BL55" s="132"/>
      <c r="BM55" s="138"/>
      <c r="BN55" s="138"/>
      <c r="BO55" s="138"/>
      <c r="BP55" s="138"/>
      <c r="BQ55" s="138"/>
      <c r="BR55" s="140"/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0</v>
      </c>
      <c r="CG55" s="190">
        <f t="shared" si="20"/>
        <v>0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17.64705882</v>
      </c>
      <c r="CW55" s="169">
        <f t="shared" si="8"/>
        <v>3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3</v>
      </c>
      <c r="E56" s="127">
        <f t="shared" si="10"/>
        <v>17.64705882</v>
      </c>
      <c r="F56" s="200">
        <f t="shared" si="11"/>
        <v>17.64705882</v>
      </c>
      <c r="G56" s="207">
        <f t="shared" si="12"/>
        <v>17.64705882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135">
        <f t="shared" si="13"/>
        <v>0</v>
      </c>
      <c r="S56" s="137">
        <f t="shared" si="14"/>
        <v>0</v>
      </c>
      <c r="T56" s="138"/>
      <c r="U56" s="138"/>
      <c r="V56" s="138"/>
      <c r="W56" s="132"/>
      <c r="X56" s="132"/>
      <c r="Y56" s="151">
        <v>1.0</v>
      </c>
      <c r="Z56" s="151">
        <v>1.0</v>
      </c>
      <c r="AA56" s="138"/>
      <c r="AB56" s="209"/>
      <c r="AC56" s="140"/>
      <c r="AD56" s="140"/>
      <c r="AE56" s="141"/>
      <c r="AF56" s="210"/>
      <c r="AG56" s="210"/>
      <c r="AH56" s="210"/>
      <c r="AI56" s="210"/>
      <c r="AJ56" s="212"/>
      <c r="AK56" s="212"/>
      <c r="AL56" s="135">
        <f t="shared" si="15"/>
        <v>2</v>
      </c>
      <c r="AM56" s="183">
        <f t="shared" si="16"/>
        <v>40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5">
        <f t="shared" si="17"/>
        <v>0</v>
      </c>
      <c r="BJ56" s="186">
        <f t="shared" si="18"/>
        <v>0</v>
      </c>
      <c r="BK56" s="138"/>
      <c r="BL56" s="132"/>
      <c r="BM56" s="138"/>
      <c r="BN56" s="151">
        <v>1.0</v>
      </c>
      <c r="BO56" s="138"/>
      <c r="BP56" s="138"/>
      <c r="BQ56" s="138"/>
      <c r="BR56" s="140"/>
      <c r="BS56" s="152"/>
      <c r="BT56" s="152"/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1</v>
      </c>
      <c r="CG56" s="190">
        <f t="shared" si="20"/>
        <v>25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17.64705882</v>
      </c>
      <c r="CW56" s="169">
        <f t="shared" si="8"/>
        <v>3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4</v>
      </c>
      <c r="E57" s="127">
        <f t="shared" si="10"/>
        <v>23.52941176</v>
      </c>
      <c r="F57" s="200">
        <f t="shared" si="11"/>
        <v>23.52941176</v>
      </c>
      <c r="G57" s="207">
        <f t="shared" si="12"/>
        <v>23.52941176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135">
        <f t="shared" si="13"/>
        <v>0</v>
      </c>
      <c r="S57" s="137">
        <f t="shared" si="14"/>
        <v>0</v>
      </c>
      <c r="T57" s="138"/>
      <c r="U57" s="138"/>
      <c r="V57" s="138"/>
      <c r="W57" s="132"/>
      <c r="X57" s="132"/>
      <c r="Y57" s="151">
        <v>1.0</v>
      </c>
      <c r="Z57" s="151">
        <v>1.0</v>
      </c>
      <c r="AA57" s="138"/>
      <c r="AB57" s="209"/>
      <c r="AC57" s="140"/>
      <c r="AD57" s="140"/>
      <c r="AE57" s="141"/>
      <c r="AF57" s="210"/>
      <c r="AG57" s="210"/>
      <c r="AH57" s="210"/>
      <c r="AI57" s="211">
        <v>1.0</v>
      </c>
      <c r="AJ57" s="212"/>
      <c r="AK57" s="212"/>
      <c r="AL57" s="135">
        <f t="shared" si="15"/>
        <v>3</v>
      </c>
      <c r="AM57" s="183">
        <f t="shared" si="16"/>
        <v>60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5">
        <f t="shared" si="17"/>
        <v>0</v>
      </c>
      <c r="BJ57" s="186">
        <f t="shared" si="18"/>
        <v>0</v>
      </c>
      <c r="BK57" s="138"/>
      <c r="BL57" s="132"/>
      <c r="BM57" s="138"/>
      <c r="BN57" s="151">
        <v>1.0</v>
      </c>
      <c r="BO57" s="138"/>
      <c r="BP57" s="138"/>
      <c r="BQ57" s="138"/>
      <c r="BR57" s="140"/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1</v>
      </c>
      <c r="CG57" s="190">
        <f t="shared" si="20"/>
        <v>25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23.52941176</v>
      </c>
      <c r="CW57" s="169">
        <f t="shared" si="8"/>
        <v>4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7</v>
      </c>
      <c r="E58" s="127">
        <f t="shared" si="10"/>
        <v>41.17647059</v>
      </c>
      <c r="F58" s="200">
        <f t="shared" si="11"/>
        <v>41.17647059</v>
      </c>
      <c r="G58" s="177" t="str">
        <f t="shared" si="12"/>
        <v>  </v>
      </c>
      <c r="H58" s="258"/>
      <c r="I58" s="261"/>
      <c r="J58" s="268">
        <v>1.0</v>
      </c>
      <c r="K58" s="262"/>
      <c r="L58" s="262"/>
      <c r="M58" s="262"/>
      <c r="N58" s="262"/>
      <c r="O58" s="262"/>
      <c r="P58" s="262"/>
      <c r="Q58" s="262"/>
      <c r="R58" s="135">
        <f t="shared" si="13"/>
        <v>1</v>
      </c>
      <c r="S58" s="137">
        <f t="shared" si="14"/>
        <v>33.33333333</v>
      </c>
      <c r="T58" s="138"/>
      <c r="U58" s="138"/>
      <c r="V58" s="138"/>
      <c r="W58" s="132"/>
      <c r="X58" s="132"/>
      <c r="Y58" s="138"/>
      <c r="Z58" s="138"/>
      <c r="AA58" s="138"/>
      <c r="AB58" s="217">
        <v>1.0</v>
      </c>
      <c r="AC58" s="140"/>
      <c r="AD58" s="150">
        <v>1.0</v>
      </c>
      <c r="AE58" s="141"/>
      <c r="AF58" s="226"/>
      <c r="AG58" s="226"/>
      <c r="AH58" s="226"/>
      <c r="AI58" s="226"/>
      <c r="AJ58" s="218"/>
      <c r="AK58" s="218"/>
      <c r="AL58" s="135">
        <f t="shared" si="15"/>
        <v>2</v>
      </c>
      <c r="AM58" s="183">
        <f t="shared" si="16"/>
        <v>40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85">
        <v>1.0</v>
      </c>
      <c r="BH58" s="133"/>
      <c r="BI58" s="135">
        <f t="shared" si="17"/>
        <v>1</v>
      </c>
      <c r="BJ58" s="186">
        <f t="shared" si="18"/>
        <v>20</v>
      </c>
      <c r="BK58" s="138"/>
      <c r="BL58" s="170">
        <v>1.0</v>
      </c>
      <c r="BM58" s="138"/>
      <c r="BN58" s="151">
        <v>1.0</v>
      </c>
      <c r="BO58" s="138"/>
      <c r="BP58" s="138"/>
      <c r="BQ58" s="151">
        <v>1.0</v>
      </c>
      <c r="BR58" s="140"/>
      <c r="BS58" s="152"/>
      <c r="BT58" s="152"/>
      <c r="BU58" s="152"/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3</v>
      </c>
      <c r="CG58" s="190">
        <f t="shared" si="20"/>
        <v>75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41.17647059</v>
      </c>
      <c r="CW58" s="169">
        <f t="shared" si="8"/>
        <v>7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4</v>
      </c>
      <c r="E59" s="127">
        <f t="shared" si="10"/>
        <v>23.52941176</v>
      </c>
      <c r="F59" s="200">
        <f t="shared" si="11"/>
        <v>23.52941176</v>
      </c>
      <c r="G59" s="207">
        <f t="shared" si="12"/>
        <v>23.52941176</v>
      </c>
      <c r="H59" s="258"/>
      <c r="I59" s="261"/>
      <c r="J59" s="262"/>
      <c r="K59" s="262"/>
      <c r="L59" s="268">
        <v>1.0</v>
      </c>
      <c r="M59" s="262"/>
      <c r="N59" s="262"/>
      <c r="O59" s="262"/>
      <c r="P59" s="262"/>
      <c r="Q59" s="262"/>
      <c r="R59" s="135">
        <f t="shared" si="13"/>
        <v>1</v>
      </c>
      <c r="S59" s="137">
        <f t="shared" si="14"/>
        <v>33.33333333</v>
      </c>
      <c r="T59" s="138"/>
      <c r="U59" s="138"/>
      <c r="V59" s="138"/>
      <c r="W59" s="132"/>
      <c r="X59" s="132"/>
      <c r="Y59" s="151">
        <v>1.0</v>
      </c>
      <c r="Z59" s="151">
        <v>1.0</v>
      </c>
      <c r="AA59" s="138"/>
      <c r="AB59" s="217"/>
      <c r="AC59" s="140"/>
      <c r="AD59" s="140"/>
      <c r="AE59" s="141"/>
      <c r="AF59" s="226"/>
      <c r="AG59" s="226"/>
      <c r="AH59" s="226"/>
      <c r="AI59" s="226"/>
      <c r="AJ59" s="218"/>
      <c r="AK59" s="218"/>
      <c r="AL59" s="135">
        <f t="shared" si="15"/>
        <v>2</v>
      </c>
      <c r="AM59" s="183">
        <f t="shared" si="16"/>
        <v>40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5">
        <f t="shared" si="17"/>
        <v>0</v>
      </c>
      <c r="BJ59" s="186">
        <f t="shared" si="18"/>
        <v>0</v>
      </c>
      <c r="BK59" s="138"/>
      <c r="BL59" s="132"/>
      <c r="BM59" s="138"/>
      <c r="BN59" s="151">
        <v>1.0</v>
      </c>
      <c r="BO59" s="138"/>
      <c r="BP59" s="138"/>
      <c r="BQ59" s="138"/>
      <c r="BR59" s="140"/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1</v>
      </c>
      <c r="CG59" s="190">
        <f t="shared" si="20"/>
        <v>25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23.52941176</v>
      </c>
      <c r="CW59" s="169">
        <f t="shared" si="8"/>
        <v>4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4</v>
      </c>
      <c r="E60" s="127">
        <f t="shared" si="10"/>
        <v>23.52941176</v>
      </c>
      <c r="F60" s="200">
        <f t="shared" si="11"/>
        <v>23.52941176</v>
      </c>
      <c r="G60" s="207">
        <f t="shared" si="12"/>
        <v>23.52941176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135">
        <f t="shared" si="13"/>
        <v>0</v>
      </c>
      <c r="S60" s="137">
        <f t="shared" si="14"/>
        <v>0</v>
      </c>
      <c r="T60" s="138"/>
      <c r="U60" s="138"/>
      <c r="V60" s="138"/>
      <c r="W60" s="132"/>
      <c r="X60" s="132"/>
      <c r="Y60" s="151">
        <v>1.0</v>
      </c>
      <c r="Z60" s="151">
        <v>1.0</v>
      </c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2</v>
      </c>
      <c r="AM60" s="183">
        <f t="shared" si="16"/>
        <v>40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85">
        <v>1.0</v>
      </c>
      <c r="BH60" s="133"/>
      <c r="BI60" s="135">
        <f t="shared" si="17"/>
        <v>1</v>
      </c>
      <c r="BJ60" s="186">
        <f t="shared" si="18"/>
        <v>20</v>
      </c>
      <c r="BK60" s="138"/>
      <c r="BL60" s="132"/>
      <c r="BM60" s="138"/>
      <c r="BN60" s="151">
        <v>1.0</v>
      </c>
      <c r="BO60" s="138"/>
      <c r="BP60" s="138"/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1</v>
      </c>
      <c r="CG60" s="190">
        <f t="shared" si="20"/>
        <v>25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23.52941176</v>
      </c>
      <c r="CW60" s="169">
        <f t="shared" si="8"/>
        <v>4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8</v>
      </c>
      <c r="E61" s="127">
        <f t="shared" si="10"/>
        <v>47.05882353</v>
      </c>
      <c r="F61" s="200">
        <f t="shared" si="11"/>
        <v>47.05882353</v>
      </c>
      <c r="G61" s="177" t="str">
        <f t="shared" si="12"/>
        <v>  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135">
        <f t="shared" si="13"/>
        <v>0</v>
      </c>
      <c r="S61" s="137">
        <f t="shared" si="14"/>
        <v>0</v>
      </c>
      <c r="T61" s="138"/>
      <c r="U61" s="138"/>
      <c r="V61" s="138"/>
      <c r="W61" s="132"/>
      <c r="X61" s="132"/>
      <c r="Y61" s="151">
        <v>1.0</v>
      </c>
      <c r="Z61" s="151">
        <v>1.0</v>
      </c>
      <c r="AA61" s="138"/>
      <c r="AB61" s="209"/>
      <c r="AC61" s="140"/>
      <c r="AD61" s="150">
        <v>1.0</v>
      </c>
      <c r="AE61" s="141"/>
      <c r="AF61" s="210"/>
      <c r="AG61" s="210"/>
      <c r="AH61" s="210"/>
      <c r="AI61" s="210"/>
      <c r="AJ61" s="212"/>
      <c r="AK61" s="212"/>
      <c r="AL61" s="135">
        <f t="shared" si="15"/>
        <v>3</v>
      </c>
      <c r="AM61" s="183">
        <f t="shared" si="16"/>
        <v>60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85">
        <v>1.0</v>
      </c>
      <c r="AX61" s="133"/>
      <c r="AY61" s="133"/>
      <c r="AZ61" s="133"/>
      <c r="BA61" s="133"/>
      <c r="BB61" s="133"/>
      <c r="BC61" s="133"/>
      <c r="BD61" s="133"/>
      <c r="BE61" s="185">
        <v>1.0</v>
      </c>
      <c r="BF61" s="133"/>
      <c r="BG61" s="133"/>
      <c r="BH61" s="133"/>
      <c r="BI61" s="135">
        <f t="shared" si="17"/>
        <v>2</v>
      </c>
      <c r="BJ61" s="186">
        <f t="shared" si="18"/>
        <v>40</v>
      </c>
      <c r="BK61" s="138"/>
      <c r="BL61" s="170">
        <v>1.0</v>
      </c>
      <c r="BM61" s="138"/>
      <c r="BN61" s="151">
        <v>1.0</v>
      </c>
      <c r="BO61" s="138"/>
      <c r="BP61" s="138"/>
      <c r="BQ61" s="138"/>
      <c r="BR61" s="140"/>
      <c r="BS61" s="187">
        <v>1.0</v>
      </c>
      <c r="BT61" s="152"/>
      <c r="BU61" s="152"/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3</v>
      </c>
      <c r="CG61" s="190">
        <f t="shared" si="20"/>
        <v>75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47.05882353</v>
      </c>
      <c r="CW61" s="169">
        <f t="shared" si="8"/>
        <v>8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4</v>
      </c>
      <c r="E62" s="127">
        <f t="shared" si="10"/>
        <v>23.52941176</v>
      </c>
      <c r="F62" s="200">
        <f t="shared" si="11"/>
        <v>23.52941176</v>
      </c>
      <c r="G62" s="207">
        <f t="shared" si="12"/>
        <v>23.52941176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135">
        <f t="shared" si="13"/>
        <v>0</v>
      </c>
      <c r="S62" s="137">
        <f t="shared" si="14"/>
        <v>0</v>
      </c>
      <c r="T62" s="138"/>
      <c r="U62" s="138"/>
      <c r="V62" s="138"/>
      <c r="W62" s="132"/>
      <c r="X62" s="132"/>
      <c r="Y62" s="151">
        <v>1.0</v>
      </c>
      <c r="Z62" s="151">
        <v>1.0</v>
      </c>
      <c r="AA62" s="138"/>
      <c r="AB62" s="233">
        <v>1.0</v>
      </c>
      <c r="AC62" s="140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5"/>
        <v>3</v>
      </c>
      <c r="AM62" s="183">
        <f t="shared" si="16"/>
        <v>60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5">
        <f t="shared" si="17"/>
        <v>0</v>
      </c>
      <c r="BJ62" s="186">
        <f t="shared" si="18"/>
        <v>0</v>
      </c>
      <c r="BK62" s="138"/>
      <c r="BL62" s="132"/>
      <c r="BM62" s="138"/>
      <c r="BN62" s="151">
        <v>1.0</v>
      </c>
      <c r="BO62" s="138"/>
      <c r="BP62" s="138"/>
      <c r="BQ62" s="138"/>
      <c r="BR62" s="140"/>
      <c r="BS62" s="152"/>
      <c r="BT62" s="152"/>
      <c r="BU62" s="152"/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1</v>
      </c>
      <c r="CG62" s="190">
        <f t="shared" si="20"/>
        <v>25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23.52941176</v>
      </c>
      <c r="CW62" s="169">
        <f t="shared" si="8"/>
        <v>4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1</v>
      </c>
      <c r="E63" s="127">
        <f t="shared" si="10"/>
        <v>5.882352941</v>
      </c>
      <c r="F63" s="200">
        <f t="shared" si="11"/>
        <v>5.882352941</v>
      </c>
      <c r="G63" s="207">
        <f t="shared" si="12"/>
        <v>5.882352941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135">
        <f t="shared" si="13"/>
        <v>0</v>
      </c>
      <c r="S63" s="137">
        <f t="shared" si="14"/>
        <v>0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0</v>
      </c>
      <c r="AM63" s="183">
        <f t="shared" si="16"/>
        <v>0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5">
        <f t="shared" si="17"/>
        <v>0</v>
      </c>
      <c r="BJ63" s="186">
        <f t="shared" si="18"/>
        <v>0</v>
      </c>
      <c r="BK63" s="138"/>
      <c r="BL63" s="132"/>
      <c r="BM63" s="138"/>
      <c r="BN63" s="151">
        <v>1.0</v>
      </c>
      <c r="BO63" s="138"/>
      <c r="BP63" s="138"/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1</v>
      </c>
      <c r="CG63" s="190">
        <f t="shared" si="20"/>
        <v>25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5.882352941</v>
      </c>
      <c r="CW63" s="169">
        <f t="shared" si="8"/>
        <v>1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3</v>
      </c>
      <c r="E64" s="127">
        <f t="shared" si="10"/>
        <v>17.64705882</v>
      </c>
      <c r="F64" s="200">
        <f t="shared" si="11"/>
        <v>17.64705882</v>
      </c>
      <c r="G64" s="207">
        <f t="shared" si="12"/>
        <v>17.64705882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135">
        <f t="shared" si="13"/>
        <v>0</v>
      </c>
      <c r="S64" s="137">
        <f t="shared" si="14"/>
        <v>0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>
        <f t="shared" si="16"/>
        <v>0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>
        <f t="shared" si="18"/>
        <v>0</v>
      </c>
      <c r="BK64" s="138"/>
      <c r="BL64" s="170">
        <v>1.0</v>
      </c>
      <c r="BM64" s="138"/>
      <c r="BN64" s="138"/>
      <c r="BO64" s="138"/>
      <c r="BP64" s="138"/>
      <c r="BQ64" s="151">
        <v>1.0</v>
      </c>
      <c r="BR64" s="140"/>
      <c r="BS64" s="187">
        <v>1.0</v>
      </c>
      <c r="BT64" s="152"/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3</v>
      </c>
      <c r="CG64" s="190">
        <f t="shared" si="20"/>
        <v>75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17.64705882</v>
      </c>
      <c r="CW64" s="169">
        <f t="shared" si="8"/>
        <v>3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135">
        <f t="shared" si="13"/>
        <v>0</v>
      </c>
      <c r="S65" s="137">
        <f t="shared" si="14"/>
        <v>0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>
        <f t="shared" si="16"/>
        <v>0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>
        <f t="shared" si="20"/>
        <v>0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9</v>
      </c>
      <c r="E66" s="127">
        <f t="shared" si="10"/>
        <v>52.94117647</v>
      </c>
      <c r="F66" s="175" t="str">
        <f t="shared" si="11"/>
        <v>  </v>
      </c>
      <c r="G66" s="177" t="str">
        <f t="shared" si="12"/>
        <v>  </v>
      </c>
      <c r="H66" s="258"/>
      <c r="I66" s="258"/>
      <c r="J66" s="263"/>
      <c r="K66" s="263"/>
      <c r="L66" s="263"/>
      <c r="M66" s="263"/>
      <c r="N66" s="269">
        <v>1.0</v>
      </c>
      <c r="O66" s="263"/>
      <c r="P66" s="263"/>
      <c r="Q66" s="263"/>
      <c r="R66" s="135">
        <f t="shared" si="13"/>
        <v>1</v>
      </c>
      <c r="S66" s="137">
        <f t="shared" si="14"/>
        <v>33.33333333</v>
      </c>
      <c r="T66" s="138"/>
      <c r="U66" s="138"/>
      <c r="V66" s="138"/>
      <c r="W66" s="132"/>
      <c r="X66" s="132"/>
      <c r="Y66" s="138"/>
      <c r="Z66" s="138"/>
      <c r="AA66" s="138"/>
      <c r="AB66" s="209">
        <v>1.0</v>
      </c>
      <c r="AC66" s="140"/>
      <c r="AD66" s="150">
        <v>1.0</v>
      </c>
      <c r="AE66" s="141"/>
      <c r="AF66" s="210"/>
      <c r="AG66" s="210"/>
      <c r="AH66" s="210"/>
      <c r="AI66" s="211">
        <v>1.0</v>
      </c>
      <c r="AJ66" s="212"/>
      <c r="AK66" s="212"/>
      <c r="AL66" s="135">
        <f t="shared" si="15"/>
        <v>3</v>
      </c>
      <c r="AM66" s="183">
        <f t="shared" si="16"/>
        <v>60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85">
        <v>1.0</v>
      </c>
      <c r="BF66" s="133"/>
      <c r="BG66" s="133"/>
      <c r="BH66" s="133"/>
      <c r="BI66" s="135">
        <f t="shared" si="17"/>
        <v>1</v>
      </c>
      <c r="BJ66" s="186">
        <f t="shared" si="18"/>
        <v>20</v>
      </c>
      <c r="BK66" s="138"/>
      <c r="BL66" s="170">
        <v>1.0</v>
      </c>
      <c r="BM66" s="138"/>
      <c r="BN66" s="151">
        <v>1.0</v>
      </c>
      <c r="BO66" s="138"/>
      <c r="BP66" s="138"/>
      <c r="BQ66" s="151">
        <v>1.0</v>
      </c>
      <c r="BR66" s="140"/>
      <c r="BS66" s="187">
        <v>1.0</v>
      </c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4</v>
      </c>
      <c r="CG66" s="190">
        <f t="shared" si="20"/>
        <v>100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52.94117647</v>
      </c>
      <c r="CW66" s="169">
        <f t="shared" si="8"/>
        <v>9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3</v>
      </c>
      <c r="E67" s="127">
        <f t="shared" si="10"/>
        <v>17.64705882</v>
      </c>
      <c r="F67" s="200">
        <f t="shared" si="11"/>
        <v>17.64705882</v>
      </c>
      <c r="G67" s="207">
        <f t="shared" si="12"/>
        <v>17.64705882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135">
        <f t="shared" si="13"/>
        <v>0</v>
      </c>
      <c r="S67" s="137">
        <f t="shared" si="14"/>
        <v>0</v>
      </c>
      <c r="T67" s="138"/>
      <c r="U67" s="138"/>
      <c r="V67" s="138"/>
      <c r="W67" s="132"/>
      <c r="X67" s="132"/>
      <c r="Y67" s="151">
        <v>1.0</v>
      </c>
      <c r="Z67" s="138"/>
      <c r="AA67" s="138"/>
      <c r="AB67" s="233">
        <v>1.0</v>
      </c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2</v>
      </c>
      <c r="AM67" s="183">
        <f t="shared" si="16"/>
        <v>40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5">
        <f t="shared" si="17"/>
        <v>0</v>
      </c>
      <c r="BJ67" s="186">
        <f t="shared" si="18"/>
        <v>0</v>
      </c>
      <c r="BK67" s="138"/>
      <c r="BL67" s="132"/>
      <c r="BM67" s="138"/>
      <c r="BN67" s="151">
        <v>1.0</v>
      </c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1</v>
      </c>
      <c r="CG67" s="190">
        <f t="shared" si="20"/>
        <v>25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17.64705882</v>
      </c>
      <c r="CW67" s="169">
        <f t="shared" si="8"/>
        <v>3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4</v>
      </c>
      <c r="E68" s="127">
        <f t="shared" si="10"/>
        <v>23.52941176</v>
      </c>
      <c r="F68" s="200">
        <f t="shared" si="11"/>
        <v>23.52941176</v>
      </c>
      <c r="G68" s="207">
        <f t="shared" si="12"/>
        <v>23.52941176</v>
      </c>
      <c r="H68" s="258"/>
      <c r="I68" s="258"/>
      <c r="J68" s="263"/>
      <c r="K68" s="263"/>
      <c r="L68" s="269">
        <v>1.0</v>
      </c>
      <c r="M68" s="263"/>
      <c r="N68" s="263"/>
      <c r="O68" s="263"/>
      <c r="P68" s="263"/>
      <c r="Q68" s="263"/>
      <c r="R68" s="135">
        <f t="shared" si="13"/>
        <v>1</v>
      </c>
      <c r="S68" s="137">
        <f t="shared" si="14"/>
        <v>33.33333333</v>
      </c>
      <c r="T68" s="138"/>
      <c r="U68" s="138"/>
      <c r="V68" s="138"/>
      <c r="W68" s="132"/>
      <c r="X68" s="132"/>
      <c r="Y68" s="151">
        <v>1.0</v>
      </c>
      <c r="Z68" s="151">
        <v>1.0</v>
      </c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2</v>
      </c>
      <c r="AM68" s="183">
        <f t="shared" si="16"/>
        <v>40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5">
        <f t="shared" si="17"/>
        <v>0</v>
      </c>
      <c r="BJ68" s="186">
        <f t="shared" si="18"/>
        <v>0</v>
      </c>
      <c r="BK68" s="138"/>
      <c r="BL68" s="132"/>
      <c r="BM68" s="138"/>
      <c r="BN68" s="138"/>
      <c r="BO68" s="138"/>
      <c r="BP68" s="138"/>
      <c r="BQ68" s="151">
        <v>1.0</v>
      </c>
      <c r="BR68" s="140"/>
      <c r="BS68" s="152"/>
      <c r="BT68" s="152"/>
      <c r="BU68" s="152"/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1</v>
      </c>
      <c r="CG68" s="190">
        <f t="shared" si="20"/>
        <v>25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23.52941176</v>
      </c>
      <c r="CW68" s="169">
        <f t="shared" si="8"/>
        <v>4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9</v>
      </c>
      <c r="E69" s="127">
        <f t="shared" si="10"/>
        <v>52.94117647</v>
      </c>
      <c r="F69" s="200" t="str">
        <f t="shared" si="11"/>
        <v>  </v>
      </c>
      <c r="G69" s="177" t="str">
        <f t="shared" si="12"/>
        <v>  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135">
        <f t="shared" si="13"/>
        <v>0</v>
      </c>
      <c r="S69" s="137">
        <f t="shared" si="14"/>
        <v>0</v>
      </c>
      <c r="T69" s="138"/>
      <c r="U69" s="138"/>
      <c r="V69" s="138"/>
      <c r="W69" s="132"/>
      <c r="X69" s="132"/>
      <c r="Y69" s="151">
        <v>1.0</v>
      </c>
      <c r="Z69" s="151">
        <v>1.0</v>
      </c>
      <c r="AA69" s="138"/>
      <c r="AB69" s="209">
        <v>1.0</v>
      </c>
      <c r="AC69" s="140"/>
      <c r="AD69" s="140"/>
      <c r="AE69" s="141"/>
      <c r="AF69" s="210"/>
      <c r="AG69" s="210"/>
      <c r="AH69" s="210"/>
      <c r="AI69" s="211">
        <v>1.0</v>
      </c>
      <c r="AJ69" s="212"/>
      <c r="AK69" s="212"/>
      <c r="AL69" s="135">
        <f t="shared" si="15"/>
        <v>4</v>
      </c>
      <c r="AM69" s="183">
        <f t="shared" si="16"/>
        <v>80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85">
        <v>1.0</v>
      </c>
      <c r="BA69" s="133"/>
      <c r="BB69" s="185">
        <v>1.0</v>
      </c>
      <c r="BC69" s="133"/>
      <c r="BD69" s="133"/>
      <c r="BE69" s="133"/>
      <c r="BF69" s="133"/>
      <c r="BG69" s="185">
        <v>1.0</v>
      </c>
      <c r="BH69" s="133"/>
      <c r="BI69" s="135">
        <f t="shared" si="17"/>
        <v>3</v>
      </c>
      <c r="BJ69" s="186">
        <f t="shared" si="18"/>
        <v>60</v>
      </c>
      <c r="BK69" s="138"/>
      <c r="BL69" s="170">
        <v>1.0</v>
      </c>
      <c r="BM69" s="138"/>
      <c r="BN69" s="138"/>
      <c r="BO69" s="138"/>
      <c r="BP69" s="138"/>
      <c r="BQ69" s="151">
        <v>1.0</v>
      </c>
      <c r="BR69" s="140"/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2</v>
      </c>
      <c r="CG69" s="190">
        <f t="shared" si="20"/>
        <v>50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52.94117647</v>
      </c>
      <c r="CW69" s="169">
        <f t="shared" si="8"/>
        <v>9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1</v>
      </c>
      <c r="E70" s="127">
        <f t="shared" si="10"/>
        <v>5.882352941</v>
      </c>
      <c r="F70" s="200">
        <f t="shared" si="11"/>
        <v>5.882352941</v>
      </c>
      <c r="G70" s="207">
        <f t="shared" si="12"/>
        <v>5.882352941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135">
        <f t="shared" si="13"/>
        <v>0</v>
      </c>
      <c r="S70" s="137">
        <f t="shared" si="14"/>
        <v>0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5"/>
        <v>0</v>
      </c>
      <c r="AM70" s="183">
        <f t="shared" si="16"/>
        <v>0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85">
        <v>1.0</v>
      </c>
      <c r="BH70" s="133"/>
      <c r="BI70" s="135">
        <f t="shared" si="17"/>
        <v>1</v>
      </c>
      <c r="BJ70" s="186">
        <f t="shared" si="18"/>
        <v>20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>
        <f t="shared" si="20"/>
        <v>0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5.882352941</v>
      </c>
      <c r="CW70" s="169">
        <f t="shared" si="8"/>
        <v>1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135">
        <f t="shared" si="13"/>
        <v>0</v>
      </c>
      <c r="S71" s="137">
        <f t="shared" si="14"/>
        <v>0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>
        <f t="shared" si="16"/>
        <v>0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>
        <f t="shared" si="20"/>
        <v>0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7</v>
      </c>
      <c r="E72" s="127">
        <f t="shared" si="10"/>
        <v>41.17647059</v>
      </c>
      <c r="F72" s="200">
        <f t="shared" si="11"/>
        <v>41.17647059</v>
      </c>
      <c r="G72" s="177" t="str">
        <f t="shared" si="12"/>
        <v>  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135">
        <f t="shared" si="13"/>
        <v>0</v>
      </c>
      <c r="S72" s="137">
        <f t="shared" si="14"/>
        <v>0</v>
      </c>
      <c r="T72" s="138"/>
      <c r="U72" s="138"/>
      <c r="V72" s="138"/>
      <c r="W72" s="132"/>
      <c r="X72" s="132"/>
      <c r="Y72" s="151">
        <v>1.0</v>
      </c>
      <c r="Z72" s="151">
        <v>1.0</v>
      </c>
      <c r="AA72" s="138"/>
      <c r="AB72" s="209"/>
      <c r="AC72" s="140"/>
      <c r="AD72" s="150">
        <v>1.0</v>
      </c>
      <c r="AE72" s="141"/>
      <c r="AF72" s="210"/>
      <c r="AG72" s="210"/>
      <c r="AH72" s="210"/>
      <c r="AI72" s="210"/>
      <c r="AJ72" s="212"/>
      <c r="AK72" s="212"/>
      <c r="AL72" s="135">
        <f t="shared" si="15"/>
        <v>3</v>
      </c>
      <c r="AM72" s="183">
        <f t="shared" si="16"/>
        <v>60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85">
        <v>1.0</v>
      </c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5">
        <f t="shared" si="17"/>
        <v>1</v>
      </c>
      <c r="BJ72" s="186">
        <f t="shared" si="18"/>
        <v>20</v>
      </c>
      <c r="BK72" s="138"/>
      <c r="BL72" s="170">
        <v>1.0</v>
      </c>
      <c r="BM72" s="138"/>
      <c r="BN72" s="151">
        <v>1.0</v>
      </c>
      <c r="BO72" s="138"/>
      <c r="BP72" s="138"/>
      <c r="BQ72" s="138"/>
      <c r="BR72" s="140"/>
      <c r="BS72" s="187">
        <v>1.0</v>
      </c>
      <c r="BT72" s="152"/>
      <c r="BU72" s="152"/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3</v>
      </c>
      <c r="CG72" s="190">
        <f t="shared" si="20"/>
        <v>75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41.17647059</v>
      </c>
      <c r="CW72" s="169">
        <f t="shared" si="8"/>
        <v>7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2</v>
      </c>
      <c r="E73" s="127">
        <f t="shared" si="10"/>
        <v>11.76470588</v>
      </c>
      <c r="F73" s="200">
        <f t="shared" si="11"/>
        <v>11.76470588</v>
      </c>
      <c r="G73" s="207">
        <f t="shared" si="12"/>
        <v>11.76470588</v>
      </c>
      <c r="H73" s="258"/>
      <c r="I73" s="258"/>
      <c r="J73" s="263"/>
      <c r="K73" s="263"/>
      <c r="L73" s="263"/>
      <c r="M73" s="263"/>
      <c r="N73" s="269">
        <v>1.0</v>
      </c>
      <c r="O73" s="263"/>
      <c r="P73" s="263"/>
      <c r="Q73" s="263"/>
      <c r="R73" s="135">
        <f t="shared" si="13"/>
        <v>1</v>
      </c>
      <c r="S73" s="137">
        <f t="shared" si="14"/>
        <v>33.33333333</v>
      </c>
      <c r="T73" s="138"/>
      <c r="U73" s="138"/>
      <c r="V73" s="138"/>
      <c r="W73" s="132"/>
      <c r="X73" s="132"/>
      <c r="Y73" s="138"/>
      <c r="Z73" s="138"/>
      <c r="AA73" s="138"/>
      <c r="AB73" s="209"/>
      <c r="AC73" s="140"/>
      <c r="AD73" s="140"/>
      <c r="AE73" s="141"/>
      <c r="AF73" s="210"/>
      <c r="AG73" s="210"/>
      <c r="AH73" s="210"/>
      <c r="AI73" s="210"/>
      <c r="AJ73" s="212"/>
      <c r="AK73" s="212"/>
      <c r="AL73" s="135">
        <f t="shared" si="15"/>
        <v>0</v>
      </c>
      <c r="AM73" s="183">
        <f t="shared" si="16"/>
        <v>0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5">
        <f t="shared" si="17"/>
        <v>0</v>
      </c>
      <c r="BJ73" s="186">
        <f t="shared" si="18"/>
        <v>0</v>
      </c>
      <c r="BK73" s="138"/>
      <c r="BL73" s="132"/>
      <c r="BM73" s="138"/>
      <c r="BN73" s="151">
        <v>1.0</v>
      </c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1</v>
      </c>
      <c r="CG73" s="190">
        <f t="shared" si="20"/>
        <v>25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11.76470588</v>
      </c>
      <c r="CW73" s="169">
        <f t="shared" si="8"/>
        <v>2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2</v>
      </c>
      <c r="E74" s="127">
        <f t="shared" si="10"/>
        <v>11.76470588</v>
      </c>
      <c r="F74" s="200">
        <f t="shared" si="11"/>
        <v>11.76470588</v>
      </c>
      <c r="G74" s="207">
        <f t="shared" si="12"/>
        <v>11.76470588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135">
        <f t="shared" si="13"/>
        <v>0</v>
      </c>
      <c r="S74" s="137">
        <f t="shared" si="14"/>
        <v>0</v>
      </c>
      <c r="T74" s="138"/>
      <c r="U74" s="138"/>
      <c r="V74" s="138"/>
      <c r="W74" s="132"/>
      <c r="X74" s="132"/>
      <c r="Y74" s="151">
        <v>1.0</v>
      </c>
      <c r="Z74" s="151">
        <v>1.0</v>
      </c>
      <c r="AA74" s="138"/>
      <c r="AB74" s="209"/>
      <c r="AC74" s="140"/>
      <c r="AD74" s="140"/>
      <c r="AE74" s="141"/>
      <c r="AF74" s="210"/>
      <c r="AG74" s="210"/>
      <c r="AH74" s="210"/>
      <c r="AI74" s="210"/>
      <c r="AJ74" s="212"/>
      <c r="AK74" s="212"/>
      <c r="AL74" s="135">
        <f t="shared" si="15"/>
        <v>2</v>
      </c>
      <c r="AM74" s="183">
        <f t="shared" si="16"/>
        <v>40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5">
        <f t="shared" si="17"/>
        <v>0</v>
      </c>
      <c r="BJ74" s="186">
        <f t="shared" si="18"/>
        <v>0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0</v>
      </c>
      <c r="CG74" s="190">
        <f t="shared" si="20"/>
        <v>0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11.76470588</v>
      </c>
      <c r="CW74" s="169">
        <f t="shared" si="8"/>
        <v>2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4</v>
      </c>
      <c r="E75" s="127">
        <f t="shared" si="10"/>
        <v>23.52941176</v>
      </c>
      <c r="F75" s="200">
        <f t="shared" si="11"/>
        <v>23.52941176</v>
      </c>
      <c r="G75" s="207">
        <f t="shared" si="12"/>
        <v>23.52941176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135">
        <f t="shared" si="13"/>
        <v>0</v>
      </c>
      <c r="S75" s="137">
        <f t="shared" si="14"/>
        <v>0</v>
      </c>
      <c r="T75" s="138"/>
      <c r="U75" s="138"/>
      <c r="V75" s="138"/>
      <c r="W75" s="132"/>
      <c r="X75" s="132"/>
      <c r="Y75" s="151">
        <v>1.0</v>
      </c>
      <c r="Z75" s="138"/>
      <c r="AA75" s="138"/>
      <c r="AB75" s="209">
        <v>1.0</v>
      </c>
      <c r="AC75" s="140"/>
      <c r="AD75" s="140"/>
      <c r="AE75" s="141"/>
      <c r="AF75" s="210"/>
      <c r="AG75" s="210"/>
      <c r="AH75" s="210"/>
      <c r="AI75" s="210"/>
      <c r="AJ75" s="212"/>
      <c r="AK75" s="212"/>
      <c r="AL75" s="135">
        <f t="shared" si="15"/>
        <v>2</v>
      </c>
      <c r="AM75" s="183">
        <f t="shared" si="16"/>
        <v>40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85">
        <v>1.0</v>
      </c>
      <c r="BH75" s="133"/>
      <c r="BI75" s="135">
        <f t="shared" si="17"/>
        <v>1</v>
      </c>
      <c r="BJ75" s="186">
        <f t="shared" si="18"/>
        <v>20</v>
      </c>
      <c r="BK75" s="138"/>
      <c r="BL75" s="132"/>
      <c r="BM75" s="138"/>
      <c r="BN75" s="151">
        <v>1.0</v>
      </c>
      <c r="BO75" s="138"/>
      <c r="BP75" s="138"/>
      <c r="BQ75" s="138"/>
      <c r="BR75" s="140"/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1</v>
      </c>
      <c r="CG75" s="190">
        <f t="shared" si="20"/>
        <v>25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23.52941176</v>
      </c>
      <c r="CW75" s="169">
        <f t="shared" si="8"/>
        <v>4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3</v>
      </c>
      <c r="E76" s="127">
        <f t="shared" si="10"/>
        <v>17.64705882</v>
      </c>
      <c r="F76" s="200">
        <f t="shared" si="11"/>
        <v>17.64705882</v>
      </c>
      <c r="G76" s="207">
        <f t="shared" si="12"/>
        <v>17.64705882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135">
        <f t="shared" si="13"/>
        <v>0</v>
      </c>
      <c r="S76" s="137">
        <f t="shared" si="14"/>
        <v>0</v>
      </c>
      <c r="T76" s="138"/>
      <c r="U76" s="138"/>
      <c r="V76" s="138"/>
      <c r="W76" s="132"/>
      <c r="X76" s="132"/>
      <c r="Y76" s="138"/>
      <c r="Z76" s="138"/>
      <c r="AA76" s="138"/>
      <c r="AB76" s="209"/>
      <c r="AC76" s="140"/>
      <c r="AD76" s="150">
        <v>1.0</v>
      </c>
      <c r="AE76" s="141"/>
      <c r="AF76" s="210"/>
      <c r="AG76" s="210"/>
      <c r="AH76" s="210"/>
      <c r="AI76" s="210"/>
      <c r="AJ76" s="212"/>
      <c r="AK76" s="212"/>
      <c r="AL76" s="135">
        <f t="shared" si="15"/>
        <v>1</v>
      </c>
      <c r="AM76" s="183">
        <f t="shared" si="16"/>
        <v>20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5">
        <f t="shared" si="17"/>
        <v>0</v>
      </c>
      <c r="BJ76" s="186">
        <f t="shared" si="18"/>
        <v>0</v>
      </c>
      <c r="BK76" s="138"/>
      <c r="BL76" s="132"/>
      <c r="BM76" s="138"/>
      <c r="BN76" s="138"/>
      <c r="BO76" s="138"/>
      <c r="BP76" s="138"/>
      <c r="BQ76" s="151">
        <v>1.0</v>
      </c>
      <c r="BR76" s="140"/>
      <c r="BS76" s="187">
        <v>1.0</v>
      </c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2</v>
      </c>
      <c r="CG76" s="190">
        <f t="shared" si="20"/>
        <v>50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17.64705882</v>
      </c>
      <c r="CW76" s="169">
        <f t="shared" si="8"/>
        <v>3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2</v>
      </c>
      <c r="E77" s="127">
        <f t="shared" si="10"/>
        <v>11.76470588</v>
      </c>
      <c r="F77" s="200">
        <f t="shared" si="11"/>
        <v>11.76470588</v>
      </c>
      <c r="G77" s="207">
        <f t="shared" si="12"/>
        <v>11.76470588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135">
        <f t="shared" si="13"/>
        <v>0</v>
      </c>
      <c r="S77" s="137">
        <f t="shared" si="14"/>
        <v>0</v>
      </c>
      <c r="T77" s="138"/>
      <c r="U77" s="138"/>
      <c r="V77" s="138"/>
      <c r="W77" s="132"/>
      <c r="X77" s="132"/>
      <c r="Y77" s="151">
        <v>1.0</v>
      </c>
      <c r="Z77" s="151">
        <v>1.0</v>
      </c>
      <c r="AA77" s="138"/>
      <c r="AB77" s="209"/>
      <c r="AC77" s="140"/>
      <c r="AD77" s="140"/>
      <c r="AE77" s="141"/>
      <c r="AF77" s="210"/>
      <c r="AG77" s="210"/>
      <c r="AH77" s="210"/>
      <c r="AI77" s="210"/>
      <c r="AJ77" s="212"/>
      <c r="AK77" s="212"/>
      <c r="AL77" s="135">
        <f t="shared" si="15"/>
        <v>2</v>
      </c>
      <c r="AM77" s="183">
        <f t="shared" si="16"/>
        <v>40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5">
        <f t="shared" si="17"/>
        <v>0</v>
      </c>
      <c r="BJ77" s="186">
        <f t="shared" si="18"/>
        <v>0</v>
      </c>
      <c r="BK77" s="138"/>
      <c r="BL77" s="132"/>
      <c r="BM77" s="138"/>
      <c r="BN77" s="138"/>
      <c r="BO77" s="138"/>
      <c r="BP77" s="138"/>
      <c r="BQ77" s="138"/>
      <c r="BR77" s="140"/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0</v>
      </c>
      <c r="CG77" s="190">
        <f t="shared" si="20"/>
        <v>0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11.76470588</v>
      </c>
      <c r="CW77" s="169">
        <f t="shared" si="8"/>
        <v>2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3</v>
      </c>
      <c r="E78" s="127">
        <f t="shared" si="10"/>
        <v>17.64705882</v>
      </c>
      <c r="F78" s="200">
        <f t="shared" si="11"/>
        <v>17.64705882</v>
      </c>
      <c r="G78" s="207">
        <f t="shared" si="12"/>
        <v>17.64705882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135">
        <f t="shared" si="13"/>
        <v>0</v>
      </c>
      <c r="S78" s="137">
        <f t="shared" si="14"/>
        <v>0</v>
      </c>
      <c r="T78" s="138"/>
      <c r="U78" s="138"/>
      <c r="V78" s="138"/>
      <c r="W78" s="132"/>
      <c r="X78" s="132"/>
      <c r="Y78" s="138"/>
      <c r="Z78" s="138"/>
      <c r="AA78" s="138"/>
      <c r="AB78" s="209"/>
      <c r="AC78" s="140"/>
      <c r="AD78" s="150">
        <v>1.0</v>
      </c>
      <c r="AE78" s="141"/>
      <c r="AF78" s="210"/>
      <c r="AG78" s="210"/>
      <c r="AH78" s="210"/>
      <c r="AI78" s="210"/>
      <c r="AJ78" s="212"/>
      <c r="AK78" s="212"/>
      <c r="AL78" s="135">
        <f t="shared" si="15"/>
        <v>1</v>
      </c>
      <c r="AM78" s="183">
        <f t="shared" si="16"/>
        <v>20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5">
        <f t="shared" si="17"/>
        <v>0</v>
      </c>
      <c r="BJ78" s="186">
        <f t="shared" si="18"/>
        <v>0</v>
      </c>
      <c r="BK78" s="138"/>
      <c r="BL78" s="170">
        <v>1.0</v>
      </c>
      <c r="BM78" s="138"/>
      <c r="BN78" s="138"/>
      <c r="BO78" s="138"/>
      <c r="BP78" s="138"/>
      <c r="BQ78" s="138"/>
      <c r="BR78" s="140"/>
      <c r="BS78" s="187">
        <v>1.0</v>
      </c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2</v>
      </c>
      <c r="CG78" s="190">
        <f t="shared" si="20"/>
        <v>50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17.64705882</v>
      </c>
      <c r="CW78" s="169">
        <f t="shared" si="8"/>
        <v>3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4</v>
      </c>
      <c r="E79" s="127">
        <f t="shared" si="10"/>
        <v>23.52941176</v>
      </c>
      <c r="F79" s="200">
        <f t="shared" si="11"/>
        <v>23.52941176</v>
      </c>
      <c r="G79" s="207">
        <f t="shared" si="12"/>
        <v>23.52941176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135">
        <f t="shared" si="13"/>
        <v>0</v>
      </c>
      <c r="S79" s="137">
        <f t="shared" si="14"/>
        <v>0</v>
      </c>
      <c r="T79" s="138"/>
      <c r="U79" s="138"/>
      <c r="V79" s="138"/>
      <c r="W79" s="132"/>
      <c r="X79" s="132"/>
      <c r="Y79" s="151">
        <v>1.0</v>
      </c>
      <c r="Z79" s="151">
        <v>1.0</v>
      </c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2</v>
      </c>
      <c r="AM79" s="183">
        <f t="shared" si="16"/>
        <v>40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5">
        <f t="shared" si="17"/>
        <v>0</v>
      </c>
      <c r="BJ79" s="186">
        <f t="shared" si="18"/>
        <v>0</v>
      </c>
      <c r="BK79" s="138"/>
      <c r="BL79" s="170">
        <v>1.0</v>
      </c>
      <c r="BM79" s="138"/>
      <c r="BN79" s="138"/>
      <c r="BO79" s="138"/>
      <c r="BP79" s="138"/>
      <c r="BQ79" s="138"/>
      <c r="BR79" s="140"/>
      <c r="BS79" s="187">
        <v>1.0</v>
      </c>
      <c r="BT79" s="152"/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2</v>
      </c>
      <c r="CG79" s="190">
        <f t="shared" si="20"/>
        <v>50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23.52941176</v>
      </c>
      <c r="CW79" s="169">
        <f t="shared" si="8"/>
        <v>4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2</v>
      </c>
      <c r="E80" s="127">
        <f t="shared" si="10"/>
        <v>11.76470588</v>
      </c>
      <c r="F80" s="200">
        <f t="shared" si="11"/>
        <v>11.76470588</v>
      </c>
      <c r="G80" s="207">
        <f t="shared" si="12"/>
        <v>11.76470588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135">
        <f t="shared" si="13"/>
        <v>0</v>
      </c>
      <c r="S80" s="137">
        <f t="shared" si="14"/>
        <v>0</v>
      </c>
      <c r="T80" s="138"/>
      <c r="U80" s="138"/>
      <c r="V80" s="138"/>
      <c r="W80" s="132"/>
      <c r="X80" s="132"/>
      <c r="Y80" s="138"/>
      <c r="Z80" s="138"/>
      <c r="AA80" s="138"/>
      <c r="AB80" s="209"/>
      <c r="AC80" s="140"/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0</v>
      </c>
      <c r="AM80" s="183">
        <f t="shared" si="16"/>
        <v>0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>
        <f t="shared" si="18"/>
        <v>0</v>
      </c>
      <c r="BK80" s="138"/>
      <c r="BL80" s="170">
        <v>1.0</v>
      </c>
      <c r="BM80" s="138"/>
      <c r="BN80" s="138"/>
      <c r="BO80" s="138"/>
      <c r="BP80" s="138"/>
      <c r="BQ80" s="151">
        <v>1.0</v>
      </c>
      <c r="BR80" s="140"/>
      <c r="BS80" s="152"/>
      <c r="BT80" s="152"/>
      <c r="BU80" s="152"/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2</v>
      </c>
      <c r="CG80" s="190">
        <f t="shared" si="20"/>
        <v>50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11.76470588</v>
      </c>
      <c r="CW80" s="169">
        <f t="shared" si="8"/>
        <v>2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1</v>
      </c>
      <c r="E81" s="127">
        <f t="shared" si="10"/>
        <v>5.882352941</v>
      </c>
      <c r="F81" s="200">
        <f t="shared" si="11"/>
        <v>5.882352941</v>
      </c>
      <c r="G81" s="207">
        <f t="shared" si="12"/>
        <v>5.882352941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135">
        <f t="shared" si="13"/>
        <v>0</v>
      </c>
      <c r="S81" s="137">
        <f t="shared" si="14"/>
        <v>0</v>
      </c>
      <c r="T81" s="138"/>
      <c r="U81" s="138"/>
      <c r="V81" s="138"/>
      <c r="W81" s="132"/>
      <c r="X81" s="132"/>
      <c r="Y81" s="138"/>
      <c r="Z81" s="138"/>
      <c r="AA81" s="138"/>
      <c r="AB81" s="209"/>
      <c r="AC81" s="140"/>
      <c r="AD81" s="140"/>
      <c r="AE81" s="141"/>
      <c r="AF81" s="210"/>
      <c r="AG81" s="210"/>
      <c r="AH81" s="210"/>
      <c r="AI81" s="210"/>
      <c r="AJ81" s="212"/>
      <c r="AK81" s="212"/>
      <c r="AL81" s="135">
        <f t="shared" si="15"/>
        <v>0</v>
      </c>
      <c r="AM81" s="183">
        <f t="shared" si="16"/>
        <v>0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5">
        <f t="shared" si="17"/>
        <v>0</v>
      </c>
      <c r="BJ81" s="186">
        <f t="shared" si="18"/>
        <v>0</v>
      </c>
      <c r="BK81" s="138"/>
      <c r="BL81" s="132"/>
      <c r="BM81" s="138"/>
      <c r="BN81" s="138"/>
      <c r="BO81" s="138"/>
      <c r="BP81" s="138"/>
      <c r="BQ81" s="138"/>
      <c r="BR81" s="140"/>
      <c r="BS81" s="187">
        <v>1.0</v>
      </c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1</v>
      </c>
      <c r="CG81" s="190">
        <f t="shared" si="20"/>
        <v>25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5.882352941</v>
      </c>
      <c r="CW81" s="169">
        <f t="shared" si="8"/>
        <v>1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5</v>
      </c>
      <c r="E82" s="127">
        <f t="shared" si="10"/>
        <v>29.41176471</v>
      </c>
      <c r="F82" s="200">
        <f t="shared" si="11"/>
        <v>29.41176471</v>
      </c>
      <c r="G82" s="207">
        <f t="shared" si="12"/>
        <v>29.41176471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135">
        <f t="shared" si="13"/>
        <v>0</v>
      </c>
      <c r="S82" s="137">
        <f t="shared" si="14"/>
        <v>0</v>
      </c>
      <c r="T82" s="138"/>
      <c r="U82" s="138"/>
      <c r="V82" s="138"/>
      <c r="W82" s="132"/>
      <c r="X82" s="132"/>
      <c r="Y82" s="151">
        <v>1.0</v>
      </c>
      <c r="Z82" s="151">
        <v>1.0</v>
      </c>
      <c r="AA82" s="138"/>
      <c r="AB82" s="209"/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2</v>
      </c>
      <c r="AM82" s="183">
        <f t="shared" si="16"/>
        <v>40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85">
        <v>1.0</v>
      </c>
      <c r="BF82" s="133"/>
      <c r="BG82" s="133"/>
      <c r="BH82" s="133"/>
      <c r="BI82" s="135">
        <f t="shared" si="17"/>
        <v>1</v>
      </c>
      <c r="BJ82" s="186">
        <f t="shared" si="18"/>
        <v>20</v>
      </c>
      <c r="BK82" s="138"/>
      <c r="BL82" s="170">
        <v>1.0</v>
      </c>
      <c r="BM82" s="138"/>
      <c r="BN82" s="138"/>
      <c r="BO82" s="138"/>
      <c r="BP82" s="138"/>
      <c r="BQ82" s="138"/>
      <c r="BR82" s="140"/>
      <c r="BS82" s="187">
        <v>1.0</v>
      </c>
      <c r="BT82" s="152"/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2</v>
      </c>
      <c r="CG82" s="190">
        <f t="shared" si="20"/>
        <v>50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29.41176471</v>
      </c>
      <c r="CW82" s="169">
        <f t="shared" si="8"/>
        <v>5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135">
        <f t="shared" si="13"/>
        <v>0</v>
      </c>
      <c r="S83" s="137">
        <f t="shared" si="14"/>
        <v>0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>
        <f t="shared" si="16"/>
        <v>0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>
        <f t="shared" si="20"/>
        <v>0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1</v>
      </c>
      <c r="E84" s="127">
        <f t="shared" si="10"/>
        <v>5.882352941</v>
      </c>
      <c r="F84" s="200">
        <f t="shared" si="11"/>
        <v>5.882352941</v>
      </c>
      <c r="G84" s="207">
        <f t="shared" si="12"/>
        <v>5.882352941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135">
        <f t="shared" si="13"/>
        <v>0</v>
      </c>
      <c r="S84" s="137">
        <f t="shared" si="14"/>
        <v>0</v>
      </c>
      <c r="T84" s="138"/>
      <c r="U84" s="138"/>
      <c r="V84" s="138"/>
      <c r="W84" s="132"/>
      <c r="X84" s="132"/>
      <c r="Y84" s="138"/>
      <c r="Z84" s="138"/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0</v>
      </c>
      <c r="AM84" s="280">
        <f t="shared" si="16"/>
        <v>0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5">
        <f t="shared" si="17"/>
        <v>0</v>
      </c>
      <c r="BJ84" s="281">
        <f t="shared" si="18"/>
        <v>0</v>
      </c>
      <c r="BK84" s="138"/>
      <c r="BL84" s="132"/>
      <c r="BM84" s="138"/>
      <c r="BN84" s="138"/>
      <c r="BO84" s="138"/>
      <c r="BP84" s="138"/>
      <c r="BQ84" s="151">
        <v>1.0</v>
      </c>
      <c r="BR84" s="140"/>
      <c r="BS84" s="152"/>
      <c r="BT84" s="152"/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1</v>
      </c>
      <c r="CG84" s="282">
        <f t="shared" si="20"/>
        <v>25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5.882352941</v>
      </c>
      <c r="CW84" s="169">
        <f t="shared" si="8"/>
        <v>1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2</v>
      </c>
      <c r="E85" s="127">
        <f t="shared" si="10"/>
        <v>11.76470588</v>
      </c>
      <c r="F85" s="200">
        <f t="shared" si="11"/>
        <v>11.76470588</v>
      </c>
      <c r="G85" s="207">
        <f t="shared" si="12"/>
        <v>11.76470588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135">
        <f t="shared" si="13"/>
        <v>0</v>
      </c>
      <c r="S85" s="137">
        <f t="shared" si="14"/>
        <v>0</v>
      </c>
      <c r="T85" s="138"/>
      <c r="U85" s="138"/>
      <c r="V85" s="138"/>
      <c r="W85" s="132"/>
      <c r="X85" s="132"/>
      <c r="Y85" s="151">
        <v>1.0</v>
      </c>
      <c r="Z85" s="151">
        <v>1.0</v>
      </c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2</v>
      </c>
      <c r="AM85" s="280">
        <f t="shared" si="16"/>
        <v>40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5">
        <f t="shared" si="17"/>
        <v>0</v>
      </c>
      <c r="BJ85" s="281">
        <f t="shared" si="18"/>
        <v>0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>
        <f t="shared" si="20"/>
        <v>0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11.76470588</v>
      </c>
      <c r="CW85" s="169">
        <f t="shared" si="8"/>
        <v>2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6</v>
      </c>
      <c r="E86" s="127">
        <f t="shared" si="10"/>
        <v>35.29411765</v>
      </c>
      <c r="F86" s="200">
        <f t="shared" si="11"/>
        <v>35.29411765</v>
      </c>
      <c r="G86" s="175" t="str">
        <f t="shared" si="12"/>
        <v>  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135">
        <f t="shared" si="13"/>
        <v>0</v>
      </c>
      <c r="S86" s="137">
        <f t="shared" si="14"/>
        <v>0</v>
      </c>
      <c r="T86" s="138"/>
      <c r="U86" s="138"/>
      <c r="V86" s="138"/>
      <c r="W86" s="132"/>
      <c r="X86" s="132"/>
      <c r="Y86" s="151">
        <v>1.0</v>
      </c>
      <c r="Z86" s="151">
        <v>1.0</v>
      </c>
      <c r="AA86" s="138"/>
      <c r="AB86" s="32"/>
      <c r="AC86" s="140"/>
      <c r="AD86" s="150">
        <v>1.0</v>
      </c>
      <c r="AE86" s="141"/>
      <c r="AF86" s="32"/>
      <c r="AG86" s="32"/>
      <c r="AH86" s="32"/>
      <c r="AI86" s="32"/>
      <c r="AJ86" s="279"/>
      <c r="AK86" s="279"/>
      <c r="AL86" s="135">
        <f t="shared" si="15"/>
        <v>3</v>
      </c>
      <c r="AM86" s="280">
        <f t="shared" si="16"/>
        <v>60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85">
        <v>1.0</v>
      </c>
      <c r="BF86" s="133"/>
      <c r="BG86" s="133"/>
      <c r="BH86" s="133"/>
      <c r="BI86" s="135">
        <f t="shared" si="17"/>
        <v>1</v>
      </c>
      <c r="BJ86" s="281">
        <f t="shared" si="18"/>
        <v>20</v>
      </c>
      <c r="BK86" s="138"/>
      <c r="BL86" s="170">
        <v>1.0</v>
      </c>
      <c r="BM86" s="138"/>
      <c r="BN86" s="138"/>
      <c r="BO86" s="138"/>
      <c r="BP86" s="138"/>
      <c r="BQ86" s="151"/>
      <c r="BR86" s="140"/>
      <c r="BS86" s="187">
        <v>1.0</v>
      </c>
      <c r="BT86" s="152"/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2</v>
      </c>
      <c r="CG86" s="282">
        <f t="shared" si="20"/>
        <v>50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35.29411765</v>
      </c>
      <c r="CW86" s="169">
        <f t="shared" si="8"/>
        <v>6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1</v>
      </c>
      <c r="E87" s="127">
        <f t="shared" si="10"/>
        <v>5.882352941</v>
      </c>
      <c r="F87" s="200">
        <f t="shared" si="11"/>
        <v>5.882352941</v>
      </c>
      <c r="G87" s="200">
        <f t="shared" si="12"/>
        <v>5.882352941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135">
        <f t="shared" si="13"/>
        <v>0</v>
      </c>
      <c r="S87" s="137">
        <f t="shared" si="14"/>
        <v>0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>
        <f t="shared" si="16"/>
        <v>0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5">
        <f t="shared" si="17"/>
        <v>0</v>
      </c>
      <c r="BJ87" s="281">
        <f t="shared" si="18"/>
        <v>0</v>
      </c>
      <c r="BK87" s="138"/>
      <c r="BL87" s="132"/>
      <c r="BM87" s="138"/>
      <c r="BN87" s="138"/>
      <c r="BO87" s="138"/>
      <c r="BP87" s="138"/>
      <c r="BQ87" s="151">
        <v>1.0</v>
      </c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1</v>
      </c>
      <c r="CG87" s="282">
        <f t="shared" si="20"/>
        <v>25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5.882352941</v>
      </c>
      <c r="CW87" s="169">
        <f t="shared" si="8"/>
        <v>1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2</v>
      </c>
      <c r="E88" s="127">
        <f t="shared" si="10"/>
        <v>11.76470588</v>
      </c>
      <c r="F88" s="200">
        <f t="shared" si="11"/>
        <v>11.76470588</v>
      </c>
      <c r="G88" s="200">
        <f t="shared" si="12"/>
        <v>11.76470588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135">
        <f t="shared" si="13"/>
        <v>0</v>
      </c>
      <c r="S88" s="137">
        <f t="shared" si="14"/>
        <v>0</v>
      </c>
      <c r="T88" s="32"/>
      <c r="U88" s="32"/>
      <c r="V88" s="32"/>
      <c r="W88" s="132"/>
      <c r="X88" s="132"/>
      <c r="Y88" s="138"/>
      <c r="Z88" s="138"/>
      <c r="AA88" s="138"/>
      <c r="AB88" s="32">
        <v>1.0</v>
      </c>
      <c r="AC88" s="289"/>
      <c r="AD88" s="289"/>
      <c r="AE88" s="141"/>
      <c r="AF88" s="32"/>
      <c r="AG88" s="32"/>
      <c r="AH88" s="32"/>
      <c r="AI88" s="32"/>
      <c r="AJ88" s="279"/>
      <c r="AK88" s="279"/>
      <c r="AL88" s="135">
        <f t="shared" si="15"/>
        <v>1</v>
      </c>
      <c r="AM88" s="280">
        <f t="shared" si="16"/>
        <v>20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85">
        <v>1.0</v>
      </c>
      <c r="BH88" s="133"/>
      <c r="BI88" s="135">
        <f t="shared" si="17"/>
        <v>1</v>
      </c>
      <c r="BJ88" s="281">
        <f t="shared" si="18"/>
        <v>20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>
        <f t="shared" si="20"/>
        <v>0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11.76470588</v>
      </c>
      <c r="CW88" s="169">
        <f t="shared" si="8"/>
        <v>2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135">
        <f t="shared" si="13"/>
        <v>0</v>
      </c>
      <c r="S89" s="137">
        <f t="shared" si="14"/>
        <v>0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>
        <f t="shared" si="16"/>
        <v>0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>
        <f t="shared" si="20"/>
        <v>0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4</v>
      </c>
      <c r="E90" s="127">
        <f t="shared" si="10"/>
        <v>23.52941176</v>
      </c>
      <c r="F90" s="200">
        <f t="shared" si="11"/>
        <v>23.52941176</v>
      </c>
      <c r="G90" s="200">
        <f t="shared" si="12"/>
        <v>23.52941176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135">
        <f t="shared" si="13"/>
        <v>0</v>
      </c>
      <c r="S90" s="137">
        <f t="shared" si="14"/>
        <v>0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32"/>
      <c r="AH90" s="32"/>
      <c r="AI90" s="290">
        <v>1.0</v>
      </c>
      <c r="AJ90" s="279"/>
      <c r="AK90" s="279"/>
      <c r="AL90" s="135">
        <f t="shared" si="15"/>
        <v>1</v>
      </c>
      <c r="AM90" s="280">
        <f t="shared" si="16"/>
        <v>20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5">
        <f t="shared" si="17"/>
        <v>0</v>
      </c>
      <c r="BJ90" s="281">
        <f t="shared" si="18"/>
        <v>0</v>
      </c>
      <c r="BK90" s="138"/>
      <c r="BL90" s="170">
        <v>1.0</v>
      </c>
      <c r="BM90" s="138"/>
      <c r="BN90" s="151">
        <v>1.0</v>
      </c>
      <c r="BO90" s="138"/>
      <c r="BP90" s="138"/>
      <c r="BQ90" s="151">
        <v>1.0</v>
      </c>
      <c r="BR90" s="140"/>
      <c r="BS90" s="152"/>
      <c r="BT90" s="152"/>
      <c r="BU90" s="152"/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3</v>
      </c>
      <c r="CG90" s="282">
        <f t="shared" si="20"/>
        <v>75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23.52941176</v>
      </c>
      <c r="CW90" s="169">
        <f t="shared" si="8"/>
        <v>4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3</v>
      </c>
      <c r="E91" s="127">
        <f t="shared" si="10"/>
        <v>17.64705882</v>
      </c>
      <c r="F91" s="200">
        <f t="shared" si="11"/>
        <v>17.64705882</v>
      </c>
      <c r="G91" s="200">
        <f t="shared" si="12"/>
        <v>17.64705882</v>
      </c>
      <c r="H91" s="287"/>
      <c r="I91" s="287"/>
      <c r="J91" s="288"/>
      <c r="K91" s="288"/>
      <c r="L91" s="304">
        <v>1.0</v>
      </c>
      <c r="M91" s="288"/>
      <c r="N91" s="288"/>
      <c r="O91" s="288"/>
      <c r="P91" s="288"/>
      <c r="Q91" s="288"/>
      <c r="R91" s="135">
        <f t="shared" si="13"/>
        <v>1</v>
      </c>
      <c r="S91" s="137">
        <f t="shared" si="14"/>
        <v>33.33333333</v>
      </c>
      <c r="T91" s="32"/>
      <c r="U91" s="32"/>
      <c r="V91" s="32"/>
      <c r="W91" s="132"/>
      <c r="X91" s="132"/>
      <c r="Y91" s="151">
        <v>1.0</v>
      </c>
      <c r="Z91" s="138"/>
      <c r="AA91" s="138"/>
      <c r="AB91" s="32"/>
      <c r="AC91" s="289"/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1</v>
      </c>
      <c r="AM91" s="280">
        <f t="shared" si="16"/>
        <v>20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5">
        <f t="shared" si="17"/>
        <v>0</v>
      </c>
      <c r="BJ91" s="281">
        <f t="shared" si="18"/>
        <v>0</v>
      </c>
      <c r="BK91" s="138"/>
      <c r="BL91" s="132"/>
      <c r="BM91" s="138"/>
      <c r="BN91" s="138"/>
      <c r="BO91" s="138"/>
      <c r="BP91" s="138"/>
      <c r="BQ91" s="151">
        <v>1.0</v>
      </c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1</v>
      </c>
      <c r="CG91" s="282">
        <f t="shared" si="20"/>
        <v>25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17.64705882</v>
      </c>
      <c r="CW91" s="169">
        <f t="shared" si="8"/>
        <v>3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5</v>
      </c>
      <c r="E92" s="127">
        <f t="shared" si="10"/>
        <v>29.41176471</v>
      </c>
      <c r="F92" s="200">
        <f t="shared" si="11"/>
        <v>29.41176471</v>
      </c>
      <c r="G92" s="200">
        <f t="shared" si="12"/>
        <v>29.41176471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135">
        <f t="shared" si="13"/>
        <v>0</v>
      </c>
      <c r="S92" s="137">
        <f t="shared" si="14"/>
        <v>0</v>
      </c>
      <c r="T92" s="32"/>
      <c r="U92" s="32"/>
      <c r="V92" s="32"/>
      <c r="W92" s="32"/>
      <c r="X92" s="32"/>
      <c r="Y92" s="32"/>
      <c r="Z92" s="32"/>
      <c r="AA92" s="32"/>
      <c r="AB92" s="32">
        <v>1.0</v>
      </c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1</v>
      </c>
      <c r="AM92" s="280">
        <f t="shared" si="16"/>
        <v>20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85">
        <v>1.0</v>
      </c>
      <c r="BF92" s="133"/>
      <c r="BG92" s="185">
        <v>1.0</v>
      </c>
      <c r="BH92" s="133"/>
      <c r="BI92" s="135">
        <f t="shared" si="17"/>
        <v>2</v>
      </c>
      <c r="BJ92" s="281">
        <f t="shared" si="18"/>
        <v>40</v>
      </c>
      <c r="BK92" s="138"/>
      <c r="BL92" s="170">
        <v>1.0</v>
      </c>
      <c r="BM92" s="138"/>
      <c r="BN92" s="151">
        <v>1.0</v>
      </c>
      <c r="BO92" s="138"/>
      <c r="BP92" s="138"/>
      <c r="BQ92" s="138"/>
      <c r="BR92" s="140"/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2</v>
      </c>
      <c r="CG92" s="282">
        <f t="shared" si="20"/>
        <v>50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29.41176471</v>
      </c>
      <c r="CW92" s="169">
        <f t="shared" si="8"/>
        <v>5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135">
        <f t="shared" si="13"/>
        <v>0</v>
      </c>
      <c r="S93" s="137">
        <f t="shared" si="14"/>
        <v>0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>
        <f t="shared" si="16"/>
        <v>0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>
        <f t="shared" si="20"/>
        <v>0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1" t="s">
        <v>2</v>
      </c>
      <c r="B1" s="3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/>
      <c r="D2" s="18"/>
      <c r="E2" s="18"/>
      <c r="F2" s="4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35"/>
      <c r="D3" s="18"/>
      <c r="E3" s="18"/>
      <c r="F3" s="4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4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5"/>
      <c r="D6" s="26"/>
      <c r="E6" s="26"/>
      <c r="F6" s="28"/>
      <c r="G6" s="2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2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5"/>
      <c r="C7" s="37"/>
      <c r="D7" s="22"/>
      <c r="E7" s="22"/>
      <c r="F7" s="36"/>
      <c r="G7" s="29"/>
      <c r="H7" s="40">
        <v>1.0</v>
      </c>
      <c r="I7" s="43"/>
      <c r="J7" s="43"/>
      <c r="K7" s="43"/>
      <c r="L7" s="43"/>
      <c r="M7" s="43"/>
      <c r="N7" s="43"/>
      <c r="O7" s="43"/>
      <c r="P7" s="43"/>
      <c r="Q7" s="43"/>
      <c r="R7" s="47"/>
      <c r="S7" s="4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51"/>
      <c r="AN7" s="46"/>
      <c r="AO7" s="46"/>
      <c r="AP7" s="46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8"/>
      <c r="BJ7" s="55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48"/>
      <c r="CG7" s="48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48"/>
      <c r="CT7" s="48"/>
      <c r="CU7" s="57"/>
      <c r="CV7" s="52"/>
      <c r="CW7" s="58"/>
      <c r="CX7" s="59"/>
    </row>
    <row r="8" ht="78.75" customHeight="1">
      <c r="A8" s="60"/>
      <c r="B8" s="62"/>
      <c r="C8" s="62"/>
      <c r="D8" s="64" t="s">
        <v>15</v>
      </c>
      <c r="E8" s="66" t="s">
        <v>16</v>
      </c>
      <c r="F8" s="67" t="s">
        <v>17</v>
      </c>
      <c r="G8" s="67" t="s">
        <v>18</v>
      </c>
      <c r="H8" s="69">
        <v>46069.0</v>
      </c>
      <c r="I8" s="69">
        <v>46070.0</v>
      </c>
      <c r="J8" s="69">
        <v>46071.0</v>
      </c>
      <c r="K8" s="69">
        <v>46072.0</v>
      </c>
      <c r="L8" s="69">
        <v>46076.0</v>
      </c>
      <c r="M8" s="69">
        <v>46077.0</v>
      </c>
      <c r="N8" s="69">
        <v>46078.0</v>
      </c>
      <c r="O8" s="69">
        <v>46079.0</v>
      </c>
      <c r="P8" s="69">
        <v>46080.0</v>
      </c>
      <c r="Q8" s="69">
        <v>46081.0</v>
      </c>
      <c r="R8" s="70" t="s">
        <v>19</v>
      </c>
      <c r="S8" s="72" t="s">
        <v>20</v>
      </c>
      <c r="T8" s="69">
        <v>46085.0</v>
      </c>
      <c r="U8" s="69">
        <v>46086.0</v>
      </c>
      <c r="V8" s="69">
        <v>46087.0</v>
      </c>
      <c r="W8" s="69">
        <v>46090.0</v>
      </c>
      <c r="X8" s="69">
        <v>46091.0</v>
      </c>
      <c r="Y8" s="69">
        <v>46092.0</v>
      </c>
      <c r="Z8" s="69">
        <v>46093.0</v>
      </c>
      <c r="AA8" s="69">
        <v>46094.0</v>
      </c>
      <c r="AB8" s="69">
        <v>46097.0</v>
      </c>
      <c r="AC8" s="69">
        <v>46098.0</v>
      </c>
      <c r="AD8" s="69">
        <v>46099.0</v>
      </c>
      <c r="AE8" s="69">
        <v>46100.0</v>
      </c>
      <c r="AF8" s="69">
        <v>46101.0</v>
      </c>
      <c r="AG8" s="69">
        <v>46104.0</v>
      </c>
      <c r="AH8" s="69">
        <v>46105.0</v>
      </c>
      <c r="AI8" s="69">
        <v>46106.0</v>
      </c>
      <c r="AJ8" s="69">
        <v>46107.0</v>
      </c>
      <c r="AK8" s="69">
        <v>46111.0</v>
      </c>
      <c r="AL8" s="70" t="s">
        <v>21</v>
      </c>
      <c r="AM8" s="72" t="s">
        <v>22</v>
      </c>
      <c r="AN8" s="69">
        <v>46113.0</v>
      </c>
      <c r="AO8" s="69">
        <v>46114.0</v>
      </c>
      <c r="AP8" s="69">
        <v>46115.0</v>
      </c>
      <c r="AQ8" s="69">
        <v>46118.0</v>
      </c>
      <c r="AR8" s="69">
        <v>46119.0</v>
      </c>
      <c r="AS8" s="69">
        <v>46120.0</v>
      </c>
      <c r="AT8" s="69">
        <v>46121.0</v>
      </c>
      <c r="AU8" s="69">
        <v>46122.0</v>
      </c>
      <c r="AV8" s="69">
        <v>46125.0</v>
      </c>
      <c r="AW8" s="69">
        <v>46127.0</v>
      </c>
      <c r="AX8" s="69">
        <v>46128.0</v>
      </c>
      <c r="AY8" s="69">
        <v>46129.0</v>
      </c>
      <c r="AZ8" s="69">
        <v>46130.0</v>
      </c>
      <c r="BA8" s="69">
        <v>46132.0</v>
      </c>
      <c r="BB8" s="69">
        <v>46133.0</v>
      </c>
      <c r="BC8" s="69">
        <v>46134.0</v>
      </c>
      <c r="BD8" s="69">
        <v>46136.0</v>
      </c>
      <c r="BE8" s="69">
        <v>46139.0</v>
      </c>
      <c r="BF8" s="69">
        <v>46140.0</v>
      </c>
      <c r="BG8" s="69">
        <v>46141.0</v>
      </c>
      <c r="BH8" s="69">
        <v>46142.0</v>
      </c>
      <c r="BI8" s="75" t="s">
        <v>24</v>
      </c>
      <c r="BJ8" s="76" t="s">
        <v>25</v>
      </c>
      <c r="BK8" s="69">
        <v>46143.0</v>
      </c>
      <c r="BL8" s="69">
        <v>46146.0</v>
      </c>
      <c r="BM8" s="69">
        <v>46147.0</v>
      </c>
      <c r="BN8" s="69">
        <v>46148.0</v>
      </c>
      <c r="BO8" s="69">
        <v>46149.0</v>
      </c>
      <c r="BP8" s="69">
        <v>46150.0</v>
      </c>
      <c r="BQ8" s="69">
        <v>46153.0</v>
      </c>
      <c r="BR8" s="69">
        <v>46154.0</v>
      </c>
      <c r="BS8" s="69">
        <v>46155.0</v>
      </c>
      <c r="BT8" s="69">
        <v>46156.0</v>
      </c>
      <c r="BU8" s="69">
        <v>46157.0</v>
      </c>
      <c r="BV8" s="69">
        <v>46160.0</v>
      </c>
      <c r="BW8" s="69">
        <v>46161.0</v>
      </c>
      <c r="BX8" s="69">
        <v>46162.0</v>
      </c>
      <c r="BY8" s="69">
        <v>46163.0</v>
      </c>
      <c r="BZ8" s="69">
        <v>46164.0</v>
      </c>
      <c r="CA8" s="69">
        <v>46167.0</v>
      </c>
      <c r="CB8" s="69">
        <v>46168.0</v>
      </c>
      <c r="CC8" s="69">
        <v>46169.0</v>
      </c>
      <c r="CD8" s="69">
        <v>46170.0</v>
      </c>
      <c r="CE8" s="69">
        <v>46171.0</v>
      </c>
      <c r="CF8" s="75" t="s">
        <v>28</v>
      </c>
      <c r="CG8" s="78" t="s">
        <v>29</v>
      </c>
      <c r="CH8" s="69">
        <v>46174.0</v>
      </c>
      <c r="CI8" s="69">
        <v>46175.0</v>
      </c>
      <c r="CJ8" s="69">
        <v>46176.0</v>
      </c>
      <c r="CK8" s="69">
        <v>46177.0</v>
      </c>
      <c r="CL8" s="69">
        <v>46178.0</v>
      </c>
      <c r="CM8" s="69">
        <v>46181.0</v>
      </c>
      <c r="CN8" s="69">
        <v>46182.0</v>
      </c>
      <c r="CO8" s="69">
        <v>46183.0</v>
      </c>
      <c r="CP8" s="69">
        <v>46184.0</v>
      </c>
      <c r="CQ8" s="69">
        <v>46185.0</v>
      </c>
      <c r="CR8" s="69">
        <v>46186.0</v>
      </c>
      <c r="CS8" s="75" t="s">
        <v>31</v>
      </c>
      <c r="CT8" s="78" t="s">
        <v>32</v>
      </c>
      <c r="CU8" s="80" t="s">
        <v>33</v>
      </c>
      <c r="CV8" s="82" t="s">
        <v>35</v>
      </c>
      <c r="CW8" s="83" t="s">
        <v>36</v>
      </c>
      <c r="CX8" s="84" t="s">
        <v>37</v>
      </c>
    </row>
    <row r="9">
      <c r="A9" s="89" t="s">
        <v>234</v>
      </c>
      <c r="B9" s="90" t="s">
        <v>43</v>
      </c>
      <c r="C9" s="91" t="s">
        <v>44</v>
      </c>
      <c r="D9" s="94">
        <f>SUM(R9+AL9+BI9+CF9+CS9)</f>
        <v>5</v>
      </c>
      <c r="E9" s="95"/>
      <c r="F9" s="97"/>
      <c r="G9" s="97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COUNTIF(H9:I9,"&gt;0")</f>
        <v>0</v>
      </c>
      <c r="S9" s="103">
        <f>COUNTIF(H9:I9,"&gt;0")</f>
        <v>0</v>
      </c>
      <c r="T9" s="104">
        <f t="shared" ref="T9:AK9" si="2">SUM(T10:T92)</f>
        <v>0</v>
      </c>
      <c r="U9" s="104">
        <f t="shared" si="2"/>
        <v>0</v>
      </c>
      <c r="V9" s="104">
        <f t="shared" si="2"/>
        <v>0</v>
      </c>
      <c r="W9" s="104">
        <f t="shared" si="2"/>
        <v>0</v>
      </c>
      <c r="X9" s="104">
        <f t="shared" si="2"/>
        <v>0</v>
      </c>
      <c r="Y9" s="104">
        <f t="shared" si="2"/>
        <v>0</v>
      </c>
      <c r="Z9" s="104">
        <f t="shared" si="2"/>
        <v>0</v>
      </c>
      <c r="AA9" s="104">
        <f t="shared" si="2"/>
        <v>0</v>
      </c>
      <c r="AB9" s="104">
        <f t="shared" si="2"/>
        <v>0</v>
      </c>
      <c r="AC9" s="104">
        <f t="shared" si="2"/>
        <v>0</v>
      </c>
      <c r="AD9" s="104">
        <f t="shared" si="2"/>
        <v>0</v>
      </c>
      <c r="AE9" s="104">
        <f t="shared" si="2"/>
        <v>0</v>
      </c>
      <c r="AF9" s="104">
        <f t="shared" si="2"/>
        <v>0</v>
      </c>
      <c r="AG9" s="104">
        <f t="shared" si="2"/>
        <v>0</v>
      </c>
      <c r="AH9" s="104">
        <f t="shared" si="2"/>
        <v>0</v>
      </c>
      <c r="AI9" s="104">
        <f t="shared" si="2"/>
        <v>0</v>
      </c>
      <c r="AJ9" s="104">
        <f t="shared" si="2"/>
        <v>0</v>
      </c>
      <c r="AK9" s="104">
        <f t="shared" si="2"/>
        <v>0</v>
      </c>
      <c r="AL9" s="103">
        <f>COUNTIF(T9:AI9,"&gt;0")</f>
        <v>0</v>
      </c>
      <c r="AM9" s="107">
        <f>SUM(R9+AL9)</f>
        <v>0</v>
      </c>
      <c r="AN9" s="104">
        <f t="shared" ref="AN9:BH9" si="3">SUM(AN10:AN91)</f>
        <v>0</v>
      </c>
      <c r="AO9" s="104">
        <f t="shared" si="3"/>
        <v>0</v>
      </c>
      <c r="AP9" s="104">
        <f t="shared" si="3"/>
        <v>0</v>
      </c>
      <c r="AQ9" s="104">
        <f t="shared" si="3"/>
        <v>0</v>
      </c>
      <c r="AR9" s="104">
        <f t="shared" si="3"/>
        <v>0</v>
      </c>
      <c r="AS9" s="104">
        <f t="shared" si="3"/>
        <v>0</v>
      </c>
      <c r="AT9" s="104">
        <f t="shared" si="3"/>
        <v>0</v>
      </c>
      <c r="AU9" s="104">
        <f t="shared" si="3"/>
        <v>0</v>
      </c>
      <c r="AV9" s="104">
        <f t="shared" si="3"/>
        <v>0</v>
      </c>
      <c r="AW9" s="104">
        <f t="shared" si="3"/>
        <v>0</v>
      </c>
      <c r="AX9" s="104">
        <f t="shared" si="3"/>
        <v>0</v>
      </c>
      <c r="AY9" s="104">
        <f t="shared" si="3"/>
        <v>46</v>
      </c>
      <c r="AZ9" s="104">
        <f t="shared" si="3"/>
        <v>38</v>
      </c>
      <c r="BA9" s="104">
        <f t="shared" si="3"/>
        <v>41</v>
      </c>
      <c r="BB9" s="104">
        <f t="shared" si="3"/>
        <v>38</v>
      </c>
      <c r="BC9" s="104">
        <f t="shared" si="3"/>
        <v>46</v>
      </c>
      <c r="BD9" s="104">
        <f t="shared" si="3"/>
        <v>0</v>
      </c>
      <c r="BE9" s="104">
        <f t="shared" si="3"/>
        <v>0</v>
      </c>
      <c r="BF9" s="104">
        <f t="shared" si="3"/>
        <v>0</v>
      </c>
      <c r="BG9" s="104">
        <f t="shared" si="3"/>
        <v>0</v>
      </c>
      <c r="BH9" s="104">
        <f t="shared" si="3"/>
        <v>0</v>
      </c>
      <c r="BI9" s="48">
        <f>COUNTIF(AN9:BH9,"&gt;0")</f>
        <v>5</v>
      </c>
      <c r="BJ9" s="55">
        <f>SUM(AM9+BI9)</f>
        <v>5</v>
      </c>
      <c r="BK9" s="109">
        <f t="shared" ref="BK9:BW9" si="4">SUM(BK10:BK91)</f>
        <v>0</v>
      </c>
      <c r="BL9" s="109">
        <f t="shared" si="4"/>
        <v>0</v>
      </c>
      <c r="BM9" s="109">
        <f t="shared" si="4"/>
        <v>0</v>
      </c>
      <c r="BN9" s="109">
        <f t="shared" si="4"/>
        <v>0</v>
      </c>
      <c r="BO9" s="109">
        <f t="shared" si="4"/>
        <v>0</v>
      </c>
      <c r="BP9" s="109">
        <f t="shared" si="4"/>
        <v>0</v>
      </c>
      <c r="BQ9" s="109">
        <f t="shared" si="4"/>
        <v>0</v>
      </c>
      <c r="BR9" s="109">
        <f t="shared" si="4"/>
        <v>0</v>
      </c>
      <c r="BS9" s="109">
        <f t="shared" si="4"/>
        <v>0</v>
      </c>
      <c r="BT9" s="109">
        <f t="shared" si="4"/>
        <v>0</v>
      </c>
      <c r="BU9" s="109">
        <f t="shared" si="4"/>
        <v>0</v>
      </c>
      <c r="BV9" s="109">
        <f t="shared" si="4"/>
        <v>0</v>
      </c>
      <c r="BW9" s="109">
        <f t="shared" si="4"/>
        <v>0</v>
      </c>
      <c r="BX9" s="109"/>
      <c r="BY9" s="109"/>
      <c r="BZ9" s="109"/>
      <c r="CA9" s="109"/>
      <c r="CB9" s="109"/>
      <c r="CC9" s="109"/>
      <c r="CD9" s="109"/>
      <c r="CE9" s="109"/>
      <c r="CF9" s="48">
        <f>COUNTIF(BK9:BW9,"&gt;0")</f>
        <v>0</v>
      </c>
      <c r="CG9" s="113">
        <f>SUM(BJ9+CF9)</f>
        <v>5</v>
      </c>
      <c r="CH9" s="112">
        <f t="shared" ref="CH9:CJ9" si="5">SUM(CH10:CH84)</f>
        <v>0</v>
      </c>
      <c r="CI9" s="112">
        <f t="shared" si="5"/>
        <v>0</v>
      </c>
      <c r="CJ9" s="112">
        <f t="shared" si="5"/>
        <v>0</v>
      </c>
      <c r="CK9" s="114">
        <f t="shared" ref="CK9:CN9" si="6">SUM(CK10:CK69)</f>
        <v>0</v>
      </c>
      <c r="CL9" s="114">
        <f t="shared" si="6"/>
        <v>0</v>
      </c>
      <c r="CM9" s="114">
        <f t="shared" si="6"/>
        <v>0</v>
      </c>
      <c r="CN9" s="114">
        <f t="shared" si="6"/>
        <v>0</v>
      </c>
      <c r="CO9" s="112">
        <f>SUM(CO10:CO84)</f>
        <v>0</v>
      </c>
      <c r="CP9" s="115">
        <f t="shared" ref="CP9:CR9" si="7">SUM(CP10:CP69)</f>
        <v>0</v>
      </c>
      <c r="CQ9" s="115">
        <f t="shared" si="7"/>
        <v>0</v>
      </c>
      <c r="CR9" s="115">
        <f t="shared" si="7"/>
        <v>0</v>
      </c>
      <c r="CS9" s="116">
        <f>COUNTIF(CH9:CR9,"&gt;0")</f>
        <v>0</v>
      </c>
      <c r="CT9" s="117">
        <f>SUM(CG9+CS9)</f>
        <v>5</v>
      </c>
      <c r="CU9" s="118"/>
      <c r="CV9" s="119">
        <f>SUM(R9+AL9+BI9+CF9+CS9+CU9)</f>
        <v>5</v>
      </c>
      <c r="CW9" s="120">
        <f t="shared" ref="CW9:CW93" si="8">SUM(R9+AL9+BI9+CF9+CS9+CU9)</f>
        <v>5</v>
      </c>
      <c r="CX9" s="121"/>
    </row>
    <row r="10">
      <c r="A10" s="122">
        <v>1.0</v>
      </c>
      <c r="B10" s="123" t="s">
        <v>47</v>
      </c>
      <c r="C10" s="124" t="s">
        <v>48</v>
      </c>
      <c r="D10" s="125">
        <f t="shared" ref="D10:D93" si="9">SUM(R10+AL10+BI10+CF10+CS10+CU10)</f>
        <v>0</v>
      </c>
      <c r="E10" s="127">
        <f t="shared" ref="E10:E93" si="10">(D10)/D$9*100</f>
        <v>0</v>
      </c>
      <c r="F10" s="128">
        <f t="shared" ref="F10:F93" si="11">IF(E10&lt;50,E10, "  ")</f>
        <v>0</v>
      </c>
      <c r="G10" s="130">
        <f t="shared" ref="G10:G93" si="12">IF(E10&lt;30,E10, "  ")</f>
        <v>0</v>
      </c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5">
        <f t="shared" ref="R10:R93" si="13">SUM(H10:I10)</f>
        <v>0</v>
      </c>
      <c r="S10" s="137" t="str">
        <f t="shared" ref="S10:S93" si="14">R10/R$9*100</f>
        <v>#DIV/0!</v>
      </c>
      <c r="T10" s="138"/>
      <c r="U10" s="138"/>
      <c r="V10" s="138"/>
      <c r="W10" s="132"/>
      <c r="X10" s="132"/>
      <c r="Y10" s="138"/>
      <c r="Z10" s="138"/>
      <c r="AA10" s="138"/>
      <c r="AB10" s="138"/>
      <c r="AC10" s="140"/>
      <c r="AD10" s="140"/>
      <c r="AE10" s="141"/>
      <c r="AF10" s="142"/>
      <c r="AG10" s="142"/>
      <c r="AH10" s="142"/>
      <c r="AI10" s="142"/>
      <c r="AJ10" s="142"/>
      <c r="AK10" s="142"/>
      <c r="AL10" s="135">
        <f t="shared" ref="AL10:AL93" si="15">SUM(T10:AI10)</f>
        <v>0</v>
      </c>
      <c r="AM10" s="137" t="str">
        <f t="shared" ref="AM10:AM93" si="16">AL10/AL$9*100</f>
        <v>#DIV/0!</v>
      </c>
      <c r="AN10" s="146"/>
      <c r="AO10" s="146"/>
      <c r="AP10" s="138"/>
      <c r="AQ10" s="138"/>
      <c r="AR10" s="138"/>
      <c r="AS10" s="132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5">
        <f t="shared" ref="BI10:BI93" si="17">SUM(AN10:BH10)</f>
        <v>0</v>
      </c>
      <c r="BJ10" s="149">
        <f t="shared" ref="BJ10:BJ93" si="18">BI10/BI$9*100</f>
        <v>0</v>
      </c>
      <c r="BK10" s="138"/>
      <c r="BL10" s="132"/>
      <c r="BM10" s="138"/>
      <c r="BN10" s="138"/>
      <c r="BO10" s="138"/>
      <c r="BP10" s="138"/>
      <c r="BQ10" s="138"/>
      <c r="BR10" s="140"/>
      <c r="BS10" s="152"/>
      <c r="BT10" s="152"/>
      <c r="BU10" s="152"/>
      <c r="BV10" s="152"/>
      <c r="BW10" s="153"/>
      <c r="BX10" s="154"/>
      <c r="BY10" s="154"/>
      <c r="BZ10" s="154"/>
      <c r="CA10" s="154"/>
      <c r="CB10" s="154"/>
      <c r="CC10" s="154"/>
      <c r="CD10" s="154"/>
      <c r="CE10" s="154"/>
      <c r="CF10" s="156">
        <f t="shared" ref="CF10:CF93" si="19">SUM(BK10:BW10)</f>
        <v>0</v>
      </c>
      <c r="CG10" s="159" t="str">
        <f t="shared" ref="CG10:CG93" si="20">CF10/CF$9*100</f>
        <v>#DIV/0!</v>
      </c>
      <c r="CH10" s="158"/>
      <c r="CI10" s="153"/>
      <c r="CJ10" s="153"/>
      <c r="CK10" s="160"/>
      <c r="CL10" s="160"/>
      <c r="CM10" s="160"/>
      <c r="CN10" s="160"/>
      <c r="CO10" s="153"/>
      <c r="CP10" s="32"/>
      <c r="CQ10" s="32"/>
      <c r="CR10" s="161"/>
      <c r="CS10" s="163">
        <f t="shared" ref="CS10:CS93" si="21">SUM(CH10:CR10)</f>
        <v>0</v>
      </c>
      <c r="CT10" s="165" t="str">
        <f t="shared" ref="CT10:CT93" si="22">CS10/CS$9*100</f>
        <v>#DIV/0!</v>
      </c>
      <c r="CU10" s="166"/>
      <c r="CV10" s="167">
        <f t="shared" ref="CV10:CV93" si="23">(D10)/D$9*100</f>
        <v>0</v>
      </c>
      <c r="CW10" s="169">
        <f t="shared" si="8"/>
        <v>0</v>
      </c>
      <c r="CX10" s="171"/>
    </row>
    <row r="11" ht="16.5" customHeight="1">
      <c r="A11" s="172">
        <v>2.0</v>
      </c>
      <c r="B11" s="173" t="s">
        <v>49</v>
      </c>
      <c r="C11" s="174" t="s">
        <v>50</v>
      </c>
      <c r="D11" s="125">
        <f t="shared" si="9"/>
        <v>4</v>
      </c>
      <c r="E11" s="127">
        <f t="shared" si="10"/>
        <v>80</v>
      </c>
      <c r="F11" s="175" t="str">
        <f t="shared" si="11"/>
        <v>  </v>
      </c>
      <c r="G11" s="177" t="str">
        <f t="shared" si="12"/>
        <v>  </v>
      </c>
      <c r="H11" s="132"/>
      <c r="I11" s="178"/>
      <c r="J11" s="191"/>
      <c r="K11" s="179"/>
      <c r="L11" s="191"/>
      <c r="M11" s="179"/>
      <c r="N11" s="179"/>
      <c r="O11" s="179"/>
      <c r="P11" s="179"/>
      <c r="Q11" s="179"/>
      <c r="R11" s="337">
        <f t="shared" si="13"/>
        <v>0</v>
      </c>
      <c r="S11" s="137" t="str">
        <f t="shared" si="14"/>
        <v>#DIV/0!</v>
      </c>
      <c r="T11" s="138"/>
      <c r="U11" s="138"/>
      <c r="V11" s="138"/>
      <c r="W11" s="132"/>
      <c r="X11" s="132"/>
      <c r="Y11" s="138"/>
      <c r="Z11" s="138"/>
      <c r="AA11" s="138"/>
      <c r="AB11" s="138"/>
      <c r="AC11" s="140"/>
      <c r="AD11" s="140"/>
      <c r="AE11" s="141"/>
      <c r="AF11" s="180"/>
      <c r="AG11" s="180"/>
      <c r="AH11" s="180"/>
      <c r="AI11" s="180"/>
      <c r="AJ11" s="142"/>
      <c r="AK11" s="142"/>
      <c r="AL11" s="135">
        <f t="shared" si="15"/>
        <v>0</v>
      </c>
      <c r="AM11" s="183" t="str">
        <f t="shared" si="16"/>
        <v>#DIV/0!</v>
      </c>
      <c r="AN11" s="184"/>
      <c r="AO11" s="184"/>
      <c r="AP11" s="138"/>
      <c r="AQ11" s="138"/>
      <c r="AR11" s="138"/>
      <c r="AS11" s="132"/>
      <c r="AT11" s="133"/>
      <c r="AU11" s="133"/>
      <c r="AV11" s="133"/>
      <c r="AW11" s="133"/>
      <c r="AX11" s="133"/>
      <c r="AY11" s="185">
        <v>1.0</v>
      </c>
      <c r="AZ11" s="185"/>
      <c r="BA11" s="185">
        <v>1.0</v>
      </c>
      <c r="BB11" s="185">
        <v>1.0</v>
      </c>
      <c r="BC11" s="185">
        <v>1.0</v>
      </c>
      <c r="BD11" s="133"/>
      <c r="BE11" s="133"/>
      <c r="BF11" s="133"/>
      <c r="BG11" s="133"/>
      <c r="BH11" s="133"/>
      <c r="BI11" s="135">
        <f t="shared" si="17"/>
        <v>4</v>
      </c>
      <c r="BJ11" s="186">
        <f t="shared" si="18"/>
        <v>80</v>
      </c>
      <c r="BK11" s="138"/>
      <c r="BL11" s="132"/>
      <c r="BM11" s="138"/>
      <c r="BN11" s="138"/>
      <c r="BO11" s="138"/>
      <c r="BP11" s="138"/>
      <c r="BQ11" s="138"/>
      <c r="BR11" s="140"/>
      <c r="BS11" s="152"/>
      <c r="BT11" s="152"/>
      <c r="BU11" s="152"/>
      <c r="BV11" s="152"/>
      <c r="BW11" s="152"/>
      <c r="BX11" s="189"/>
      <c r="BY11" s="189"/>
      <c r="BZ11" s="189"/>
      <c r="CA11" s="189"/>
      <c r="CB11" s="189"/>
      <c r="CC11" s="189"/>
      <c r="CD11" s="189"/>
      <c r="CE11" s="189"/>
      <c r="CF11" s="156">
        <f t="shared" si="19"/>
        <v>0</v>
      </c>
      <c r="CG11" s="190" t="str">
        <f t="shared" si="20"/>
        <v>#DIV/0!</v>
      </c>
      <c r="CH11" s="138"/>
      <c r="CI11" s="153"/>
      <c r="CJ11" s="152"/>
      <c r="CK11" s="192"/>
      <c r="CL11" s="192"/>
      <c r="CM11" s="192"/>
      <c r="CN11" s="192"/>
      <c r="CO11" s="152"/>
      <c r="CP11" s="32"/>
      <c r="CQ11" s="32"/>
      <c r="CR11" s="161"/>
      <c r="CS11" s="163">
        <f t="shared" si="21"/>
        <v>0</v>
      </c>
      <c r="CT11" s="194" t="str">
        <f t="shared" si="22"/>
        <v>#DIV/0!</v>
      </c>
      <c r="CU11" s="196"/>
      <c r="CV11" s="167">
        <f t="shared" si="23"/>
        <v>80</v>
      </c>
      <c r="CW11" s="169">
        <f t="shared" si="8"/>
        <v>4</v>
      </c>
      <c r="CX11" s="197"/>
    </row>
    <row r="12">
      <c r="A12" s="122">
        <v>3.0</v>
      </c>
      <c r="B12" s="173" t="s">
        <v>51</v>
      </c>
      <c r="C12" s="199" t="s">
        <v>52</v>
      </c>
      <c r="D12" s="125">
        <f t="shared" si="9"/>
        <v>5</v>
      </c>
      <c r="E12" s="127">
        <f t="shared" si="10"/>
        <v>100</v>
      </c>
      <c r="F12" s="200" t="str">
        <f t="shared" si="11"/>
        <v>  </v>
      </c>
      <c r="G12" s="177" t="str">
        <f t="shared" si="12"/>
        <v>  </v>
      </c>
      <c r="H12" s="132"/>
      <c r="I12" s="132"/>
      <c r="J12" s="201"/>
      <c r="K12" s="201"/>
      <c r="L12" s="201"/>
      <c r="M12" s="201"/>
      <c r="N12" s="201"/>
      <c r="O12" s="201"/>
      <c r="P12" s="201"/>
      <c r="Q12" s="201"/>
      <c r="R12" s="337">
        <f t="shared" si="13"/>
        <v>0</v>
      </c>
      <c r="S12" s="137" t="str">
        <f t="shared" si="14"/>
        <v>#DIV/0!</v>
      </c>
      <c r="T12" s="138"/>
      <c r="U12" s="138"/>
      <c r="V12" s="138"/>
      <c r="W12" s="132"/>
      <c r="X12" s="132"/>
      <c r="Y12" s="138"/>
      <c r="Z12" s="138"/>
      <c r="AA12" s="138"/>
      <c r="AB12" s="138"/>
      <c r="AC12" s="140"/>
      <c r="AD12" s="140"/>
      <c r="AE12" s="141"/>
      <c r="AF12" s="180"/>
      <c r="AG12" s="180"/>
      <c r="AH12" s="180"/>
      <c r="AI12" s="180"/>
      <c r="AJ12" s="142"/>
      <c r="AK12" s="142"/>
      <c r="AL12" s="135">
        <f t="shared" si="15"/>
        <v>0</v>
      </c>
      <c r="AM12" s="183" t="str">
        <f t="shared" si="16"/>
        <v>#DIV/0!</v>
      </c>
      <c r="AN12" s="203"/>
      <c r="AO12" s="203"/>
      <c r="AP12" s="138"/>
      <c r="AQ12" s="138"/>
      <c r="AR12" s="138"/>
      <c r="AS12" s="132"/>
      <c r="AT12" s="133"/>
      <c r="AU12" s="133"/>
      <c r="AV12" s="133"/>
      <c r="AW12" s="133"/>
      <c r="AX12" s="133"/>
      <c r="AY12" s="185">
        <v>1.0</v>
      </c>
      <c r="AZ12" s="185">
        <v>1.0</v>
      </c>
      <c r="BA12" s="185">
        <v>1.0</v>
      </c>
      <c r="BB12" s="185">
        <v>1.0</v>
      </c>
      <c r="BC12" s="185">
        <v>1.0</v>
      </c>
      <c r="BD12" s="133"/>
      <c r="BE12" s="133"/>
      <c r="BF12" s="133"/>
      <c r="BG12" s="133"/>
      <c r="BH12" s="133"/>
      <c r="BI12" s="135">
        <f t="shared" si="17"/>
        <v>5</v>
      </c>
      <c r="BJ12" s="186">
        <f t="shared" si="18"/>
        <v>100</v>
      </c>
      <c r="BK12" s="138"/>
      <c r="BL12" s="132"/>
      <c r="BM12" s="138"/>
      <c r="BN12" s="138"/>
      <c r="BO12" s="138"/>
      <c r="BP12" s="138"/>
      <c r="BQ12" s="138"/>
      <c r="BR12" s="140"/>
      <c r="BS12" s="152"/>
      <c r="BT12" s="152"/>
      <c r="BU12" s="152"/>
      <c r="BV12" s="152"/>
      <c r="BW12" s="152"/>
      <c r="BX12" s="189"/>
      <c r="BY12" s="189"/>
      <c r="BZ12" s="189"/>
      <c r="CA12" s="189"/>
      <c r="CB12" s="189"/>
      <c r="CC12" s="189"/>
      <c r="CD12" s="189"/>
      <c r="CE12" s="189"/>
      <c r="CF12" s="156">
        <f t="shared" si="19"/>
        <v>0</v>
      </c>
      <c r="CG12" s="190" t="str">
        <f t="shared" si="20"/>
        <v>#DIV/0!</v>
      </c>
      <c r="CH12" s="138"/>
      <c r="CI12" s="153"/>
      <c r="CJ12" s="152"/>
      <c r="CK12" s="192"/>
      <c r="CL12" s="192"/>
      <c r="CM12" s="192"/>
      <c r="CN12" s="192"/>
      <c r="CO12" s="152"/>
      <c r="CP12" s="32"/>
      <c r="CQ12" s="32"/>
      <c r="CR12" s="161"/>
      <c r="CS12" s="163">
        <f t="shared" si="21"/>
        <v>0</v>
      </c>
      <c r="CT12" s="194" t="str">
        <f t="shared" si="22"/>
        <v>#DIV/0!</v>
      </c>
      <c r="CU12" s="196"/>
      <c r="CV12" s="167">
        <f t="shared" si="23"/>
        <v>100</v>
      </c>
      <c r="CW12" s="169">
        <f t="shared" si="8"/>
        <v>5</v>
      </c>
      <c r="CX12" s="197"/>
    </row>
    <row r="13">
      <c r="A13" s="122">
        <v>4.0</v>
      </c>
      <c r="B13" s="173" t="s">
        <v>53</v>
      </c>
      <c r="C13" s="199" t="s">
        <v>54</v>
      </c>
      <c r="D13" s="125">
        <f t="shared" si="9"/>
        <v>0</v>
      </c>
      <c r="E13" s="127">
        <f t="shared" si="10"/>
        <v>0</v>
      </c>
      <c r="F13" s="200">
        <f t="shared" si="11"/>
        <v>0</v>
      </c>
      <c r="G13" s="207">
        <f t="shared" si="12"/>
        <v>0</v>
      </c>
      <c r="H13" s="132"/>
      <c r="I13" s="132"/>
      <c r="J13" s="201"/>
      <c r="K13" s="201"/>
      <c r="L13" s="201"/>
      <c r="M13" s="201"/>
      <c r="N13" s="201"/>
      <c r="O13" s="201"/>
      <c r="P13" s="201"/>
      <c r="Q13" s="201"/>
      <c r="R13" s="337">
        <f t="shared" si="13"/>
        <v>0</v>
      </c>
      <c r="S13" s="137" t="str">
        <f t="shared" si="14"/>
        <v>#DIV/0!</v>
      </c>
      <c r="T13" s="138"/>
      <c r="U13" s="138"/>
      <c r="V13" s="138"/>
      <c r="W13" s="132"/>
      <c r="X13" s="132"/>
      <c r="Y13" s="138"/>
      <c r="Z13" s="138"/>
      <c r="AA13" s="138"/>
      <c r="AB13" s="209"/>
      <c r="AC13" s="140"/>
      <c r="AD13" s="140"/>
      <c r="AE13" s="141"/>
      <c r="AF13" s="210"/>
      <c r="AG13" s="210"/>
      <c r="AH13" s="210"/>
      <c r="AI13" s="210"/>
      <c r="AJ13" s="212"/>
      <c r="AK13" s="212"/>
      <c r="AL13" s="135">
        <f t="shared" si="15"/>
        <v>0</v>
      </c>
      <c r="AM13" s="183" t="str">
        <f t="shared" si="16"/>
        <v>#DIV/0!</v>
      </c>
      <c r="AN13" s="214"/>
      <c r="AO13" s="214"/>
      <c r="AP13" s="209"/>
      <c r="AQ13" s="138"/>
      <c r="AR13" s="138"/>
      <c r="AS13" s="132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5">
        <f t="shared" si="17"/>
        <v>0</v>
      </c>
      <c r="BJ13" s="186">
        <f t="shared" si="18"/>
        <v>0</v>
      </c>
      <c r="BK13" s="138"/>
      <c r="BL13" s="132"/>
      <c r="BM13" s="138"/>
      <c r="BN13" s="138"/>
      <c r="BO13" s="138"/>
      <c r="BP13" s="138"/>
      <c r="BQ13" s="138"/>
      <c r="BR13" s="140"/>
      <c r="BS13" s="152"/>
      <c r="BT13" s="152"/>
      <c r="BU13" s="152"/>
      <c r="BV13" s="152"/>
      <c r="BW13" s="217"/>
      <c r="BX13" s="218"/>
      <c r="BY13" s="218"/>
      <c r="BZ13" s="218"/>
      <c r="CA13" s="218"/>
      <c r="CB13" s="218"/>
      <c r="CC13" s="218"/>
      <c r="CD13" s="218"/>
      <c r="CE13" s="218"/>
      <c r="CF13" s="156">
        <f t="shared" si="19"/>
        <v>0</v>
      </c>
      <c r="CG13" s="190" t="str">
        <f t="shared" si="20"/>
        <v>#DIV/0!</v>
      </c>
      <c r="CH13" s="209"/>
      <c r="CI13" s="153"/>
      <c r="CJ13" s="217"/>
      <c r="CK13" s="219"/>
      <c r="CL13" s="219"/>
      <c r="CM13" s="219"/>
      <c r="CN13" s="219"/>
      <c r="CO13" s="217"/>
      <c r="CP13" s="221"/>
      <c r="CQ13" s="221"/>
      <c r="CR13" s="161"/>
      <c r="CS13" s="163">
        <f t="shared" si="21"/>
        <v>0</v>
      </c>
      <c r="CT13" s="194" t="str">
        <f t="shared" si="22"/>
        <v>#DIV/0!</v>
      </c>
      <c r="CU13" s="222"/>
      <c r="CV13" s="167">
        <f t="shared" si="23"/>
        <v>0</v>
      </c>
      <c r="CW13" s="169">
        <f t="shared" si="8"/>
        <v>0</v>
      </c>
      <c r="CX13" s="197"/>
    </row>
    <row r="14">
      <c r="A14" s="172">
        <v>5.0</v>
      </c>
      <c r="B14" s="173" t="s">
        <v>55</v>
      </c>
      <c r="C14" s="199" t="s">
        <v>56</v>
      </c>
      <c r="D14" s="125">
        <f t="shared" si="9"/>
        <v>0</v>
      </c>
      <c r="E14" s="127">
        <f t="shared" si="10"/>
        <v>0</v>
      </c>
      <c r="F14" s="200">
        <f t="shared" si="11"/>
        <v>0</v>
      </c>
      <c r="G14" s="207">
        <f t="shared" si="12"/>
        <v>0</v>
      </c>
      <c r="H14" s="178"/>
      <c r="I14" s="223"/>
      <c r="J14" s="224"/>
      <c r="K14" s="224"/>
      <c r="L14" s="224"/>
      <c r="M14" s="224"/>
      <c r="N14" s="224"/>
      <c r="O14" s="224"/>
      <c r="P14" s="224"/>
      <c r="Q14" s="224"/>
      <c r="R14" s="337">
        <f t="shared" si="13"/>
        <v>0</v>
      </c>
      <c r="S14" s="137" t="str">
        <f t="shared" si="14"/>
        <v>#DIV/0!</v>
      </c>
      <c r="T14" s="138"/>
      <c r="U14" s="138"/>
      <c r="V14" s="138"/>
      <c r="W14" s="132"/>
      <c r="X14" s="132"/>
      <c r="Y14" s="138"/>
      <c r="Z14" s="138"/>
      <c r="AA14" s="138"/>
      <c r="AB14" s="217"/>
      <c r="AC14" s="140"/>
      <c r="AD14" s="140"/>
      <c r="AE14" s="141"/>
      <c r="AF14" s="226"/>
      <c r="AG14" s="226"/>
      <c r="AH14" s="226"/>
      <c r="AI14" s="226"/>
      <c r="AJ14" s="218"/>
      <c r="AK14" s="218"/>
      <c r="AL14" s="135">
        <f t="shared" si="15"/>
        <v>0</v>
      </c>
      <c r="AM14" s="183" t="str">
        <f t="shared" si="16"/>
        <v>#DIV/0!</v>
      </c>
      <c r="AN14" s="228"/>
      <c r="AO14" s="228"/>
      <c r="AP14" s="217"/>
      <c r="AQ14" s="138"/>
      <c r="AR14" s="138"/>
      <c r="AS14" s="132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5">
        <f t="shared" si="17"/>
        <v>0</v>
      </c>
      <c r="BJ14" s="186">
        <f t="shared" si="18"/>
        <v>0</v>
      </c>
      <c r="BK14" s="138"/>
      <c r="BL14" s="132"/>
      <c r="BM14" s="138"/>
      <c r="BN14" s="138"/>
      <c r="BO14" s="138"/>
      <c r="BP14" s="138"/>
      <c r="BQ14" s="138"/>
      <c r="BR14" s="140"/>
      <c r="BS14" s="152"/>
      <c r="BT14" s="152"/>
      <c r="BU14" s="152"/>
      <c r="BV14" s="152"/>
      <c r="BW14" s="217"/>
      <c r="BX14" s="218"/>
      <c r="BY14" s="218"/>
      <c r="BZ14" s="218"/>
      <c r="CA14" s="218"/>
      <c r="CB14" s="218"/>
      <c r="CC14" s="218"/>
      <c r="CD14" s="218"/>
      <c r="CE14" s="218"/>
      <c r="CF14" s="156">
        <f t="shared" si="19"/>
        <v>0</v>
      </c>
      <c r="CG14" s="190" t="str">
        <f t="shared" si="20"/>
        <v>#DIV/0!</v>
      </c>
      <c r="CH14" s="217"/>
      <c r="CI14" s="153"/>
      <c r="CJ14" s="217"/>
      <c r="CK14" s="219"/>
      <c r="CL14" s="219"/>
      <c r="CM14" s="219"/>
      <c r="CN14" s="219"/>
      <c r="CO14" s="217"/>
      <c r="CP14" s="221"/>
      <c r="CQ14" s="221"/>
      <c r="CR14" s="161"/>
      <c r="CS14" s="163">
        <f t="shared" si="21"/>
        <v>0</v>
      </c>
      <c r="CT14" s="194" t="str">
        <f t="shared" si="22"/>
        <v>#DIV/0!</v>
      </c>
      <c r="CU14" s="196"/>
      <c r="CV14" s="167">
        <f t="shared" si="23"/>
        <v>0</v>
      </c>
      <c r="CW14" s="169">
        <f t="shared" si="8"/>
        <v>0</v>
      </c>
      <c r="CX14" s="197"/>
    </row>
    <row r="15">
      <c r="A15" s="122">
        <v>6.0</v>
      </c>
      <c r="B15" s="173" t="s">
        <v>57</v>
      </c>
      <c r="C15" s="199" t="s">
        <v>58</v>
      </c>
      <c r="D15" s="125">
        <f t="shared" si="9"/>
        <v>0</v>
      </c>
      <c r="E15" s="127">
        <f t="shared" si="10"/>
        <v>0</v>
      </c>
      <c r="F15" s="200">
        <f t="shared" si="11"/>
        <v>0</v>
      </c>
      <c r="G15" s="207">
        <f t="shared" si="12"/>
        <v>0</v>
      </c>
      <c r="H15" s="132"/>
      <c r="I15" s="229"/>
      <c r="J15" s="231"/>
      <c r="K15" s="231"/>
      <c r="L15" s="231"/>
      <c r="M15" s="231"/>
      <c r="N15" s="231"/>
      <c r="O15" s="231"/>
      <c r="P15" s="231"/>
      <c r="Q15" s="231"/>
      <c r="R15" s="337">
        <f t="shared" si="13"/>
        <v>0</v>
      </c>
      <c r="S15" s="137" t="str">
        <f t="shared" si="14"/>
        <v>#DIV/0!</v>
      </c>
      <c r="T15" s="138"/>
      <c r="U15" s="138"/>
      <c r="V15" s="138"/>
      <c r="W15" s="132"/>
      <c r="X15" s="132"/>
      <c r="Y15" s="138"/>
      <c r="Z15" s="138"/>
      <c r="AA15" s="138"/>
      <c r="AB15" s="209"/>
      <c r="AC15" s="140"/>
      <c r="AD15" s="140"/>
      <c r="AE15" s="141"/>
      <c r="AF15" s="210"/>
      <c r="AG15" s="210"/>
      <c r="AH15" s="210"/>
      <c r="AI15" s="210"/>
      <c r="AJ15" s="212"/>
      <c r="AK15" s="212"/>
      <c r="AL15" s="135">
        <f t="shared" si="15"/>
        <v>0</v>
      </c>
      <c r="AM15" s="183" t="str">
        <f t="shared" si="16"/>
        <v>#DIV/0!</v>
      </c>
      <c r="AN15" s="214"/>
      <c r="AO15" s="214"/>
      <c r="AP15" s="209"/>
      <c r="AQ15" s="138"/>
      <c r="AR15" s="138"/>
      <c r="AS15" s="132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5">
        <f t="shared" si="17"/>
        <v>0</v>
      </c>
      <c r="BJ15" s="186">
        <f t="shared" si="18"/>
        <v>0</v>
      </c>
      <c r="BK15" s="138"/>
      <c r="BL15" s="132"/>
      <c r="BM15" s="138"/>
      <c r="BN15" s="138"/>
      <c r="BO15" s="138"/>
      <c r="BP15" s="138"/>
      <c r="BQ15" s="138"/>
      <c r="BR15" s="140"/>
      <c r="BS15" s="152"/>
      <c r="BT15" s="152"/>
      <c r="BU15" s="152"/>
      <c r="BV15" s="152"/>
      <c r="BW15" s="217"/>
      <c r="BX15" s="218"/>
      <c r="BY15" s="218"/>
      <c r="BZ15" s="218"/>
      <c r="CA15" s="218"/>
      <c r="CB15" s="218"/>
      <c r="CC15" s="218"/>
      <c r="CD15" s="218"/>
      <c r="CE15" s="218"/>
      <c r="CF15" s="156">
        <f t="shared" si="19"/>
        <v>0</v>
      </c>
      <c r="CG15" s="190" t="str">
        <f t="shared" si="20"/>
        <v>#DIV/0!</v>
      </c>
      <c r="CH15" s="209"/>
      <c r="CI15" s="153"/>
      <c r="CJ15" s="217"/>
      <c r="CK15" s="219"/>
      <c r="CL15" s="219"/>
      <c r="CM15" s="219"/>
      <c r="CN15" s="219"/>
      <c r="CO15" s="217"/>
      <c r="CP15" s="221"/>
      <c r="CQ15" s="221"/>
      <c r="CR15" s="161"/>
      <c r="CS15" s="163">
        <f t="shared" si="21"/>
        <v>0</v>
      </c>
      <c r="CT15" s="194" t="str">
        <f t="shared" si="22"/>
        <v>#DIV/0!</v>
      </c>
      <c r="CU15" s="196"/>
      <c r="CV15" s="167">
        <f t="shared" si="23"/>
        <v>0</v>
      </c>
      <c r="CW15" s="169">
        <f t="shared" si="8"/>
        <v>0</v>
      </c>
      <c r="CX15" s="197"/>
    </row>
    <row r="16">
      <c r="A16" s="122">
        <v>7.0</v>
      </c>
      <c r="B16" s="173" t="s">
        <v>59</v>
      </c>
      <c r="C16" s="199" t="s">
        <v>60</v>
      </c>
      <c r="D16" s="125">
        <f t="shared" si="9"/>
        <v>0</v>
      </c>
      <c r="E16" s="127">
        <f t="shared" si="10"/>
        <v>0</v>
      </c>
      <c r="F16" s="200">
        <f t="shared" si="11"/>
        <v>0</v>
      </c>
      <c r="G16" s="207">
        <f t="shared" si="12"/>
        <v>0</v>
      </c>
      <c r="H16" s="132"/>
      <c r="I16" s="178"/>
      <c r="J16" s="179"/>
      <c r="K16" s="179"/>
      <c r="L16" s="179"/>
      <c r="M16" s="179"/>
      <c r="N16" s="179"/>
      <c r="O16" s="179"/>
      <c r="P16" s="179"/>
      <c r="Q16" s="179"/>
      <c r="R16" s="337">
        <f t="shared" si="13"/>
        <v>0</v>
      </c>
      <c r="S16" s="137" t="str">
        <f t="shared" si="14"/>
        <v>#DIV/0!</v>
      </c>
      <c r="T16" s="138"/>
      <c r="U16" s="138"/>
      <c r="V16" s="138"/>
      <c r="W16" s="132"/>
      <c r="X16" s="132"/>
      <c r="Y16" s="138"/>
      <c r="Z16" s="138"/>
      <c r="AA16" s="138"/>
      <c r="AB16" s="233"/>
      <c r="AC16" s="140"/>
      <c r="AD16" s="140"/>
      <c r="AE16" s="141"/>
      <c r="AF16" s="234"/>
      <c r="AG16" s="234"/>
      <c r="AH16" s="234"/>
      <c r="AI16" s="234"/>
      <c r="AJ16" s="239"/>
      <c r="AK16" s="239"/>
      <c r="AL16" s="135">
        <f t="shared" si="15"/>
        <v>0</v>
      </c>
      <c r="AM16" s="183" t="str">
        <f t="shared" si="16"/>
        <v>#DIV/0!</v>
      </c>
      <c r="AN16" s="241"/>
      <c r="AO16" s="241"/>
      <c r="AP16" s="233"/>
      <c r="AQ16" s="138"/>
      <c r="AR16" s="138"/>
      <c r="AS16" s="132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5">
        <f t="shared" si="17"/>
        <v>0</v>
      </c>
      <c r="BJ16" s="186">
        <f t="shared" si="18"/>
        <v>0</v>
      </c>
      <c r="BK16" s="138"/>
      <c r="BL16" s="132"/>
      <c r="BM16" s="138"/>
      <c r="BN16" s="138"/>
      <c r="BO16" s="138"/>
      <c r="BP16" s="138"/>
      <c r="BQ16" s="138"/>
      <c r="BR16" s="140"/>
      <c r="BS16" s="152"/>
      <c r="BT16" s="152"/>
      <c r="BU16" s="152"/>
      <c r="BV16" s="152"/>
      <c r="BW16" s="217"/>
      <c r="BX16" s="218"/>
      <c r="BY16" s="218"/>
      <c r="BZ16" s="218"/>
      <c r="CA16" s="218"/>
      <c r="CB16" s="218"/>
      <c r="CC16" s="218"/>
      <c r="CD16" s="218"/>
      <c r="CE16" s="218"/>
      <c r="CF16" s="156">
        <f t="shared" si="19"/>
        <v>0</v>
      </c>
      <c r="CG16" s="190" t="str">
        <f t="shared" si="20"/>
        <v>#DIV/0!</v>
      </c>
      <c r="CH16" s="233"/>
      <c r="CI16" s="153"/>
      <c r="CJ16" s="217"/>
      <c r="CK16" s="219"/>
      <c r="CL16" s="219"/>
      <c r="CM16" s="219"/>
      <c r="CN16" s="219"/>
      <c r="CO16" s="217"/>
      <c r="CP16" s="221"/>
      <c r="CQ16" s="221"/>
      <c r="CR16" s="161"/>
      <c r="CS16" s="163">
        <f t="shared" si="21"/>
        <v>0</v>
      </c>
      <c r="CT16" s="194" t="str">
        <f t="shared" si="22"/>
        <v>#DIV/0!</v>
      </c>
      <c r="CU16" s="196"/>
      <c r="CV16" s="167">
        <f t="shared" si="23"/>
        <v>0</v>
      </c>
      <c r="CW16" s="169">
        <f t="shared" si="8"/>
        <v>0</v>
      </c>
      <c r="CX16" s="197"/>
    </row>
    <row r="17" ht="15.0" customHeight="1">
      <c r="A17" s="172">
        <v>8.0</v>
      </c>
      <c r="B17" s="173" t="s">
        <v>61</v>
      </c>
      <c r="C17" s="199" t="s">
        <v>62</v>
      </c>
      <c r="D17" s="125">
        <f t="shared" si="9"/>
        <v>4</v>
      </c>
      <c r="E17" s="127">
        <f t="shared" si="10"/>
        <v>80</v>
      </c>
      <c r="F17" s="175" t="str">
        <f t="shared" si="11"/>
        <v>  </v>
      </c>
      <c r="G17" s="177" t="str">
        <f t="shared" si="12"/>
        <v>  </v>
      </c>
      <c r="H17" s="132"/>
      <c r="I17" s="178"/>
      <c r="J17" s="179"/>
      <c r="K17" s="179"/>
      <c r="L17" s="179"/>
      <c r="M17" s="179"/>
      <c r="N17" s="179"/>
      <c r="O17" s="179"/>
      <c r="P17" s="179"/>
      <c r="Q17" s="179"/>
      <c r="R17" s="337">
        <f t="shared" si="13"/>
        <v>0</v>
      </c>
      <c r="S17" s="137" t="str">
        <f t="shared" si="14"/>
        <v>#DIV/0!</v>
      </c>
      <c r="T17" s="138"/>
      <c r="U17" s="138"/>
      <c r="V17" s="138"/>
      <c r="W17" s="132"/>
      <c r="X17" s="132"/>
      <c r="Y17" s="138"/>
      <c r="Z17" s="138"/>
      <c r="AA17" s="138"/>
      <c r="AB17" s="217"/>
      <c r="AC17" s="140"/>
      <c r="AD17" s="140"/>
      <c r="AE17" s="141"/>
      <c r="AF17" s="226"/>
      <c r="AG17" s="226"/>
      <c r="AH17" s="226"/>
      <c r="AI17" s="226"/>
      <c r="AJ17" s="218"/>
      <c r="AK17" s="218"/>
      <c r="AL17" s="135">
        <f t="shared" si="15"/>
        <v>0</v>
      </c>
      <c r="AM17" s="183" t="str">
        <f t="shared" si="16"/>
        <v>#DIV/0!</v>
      </c>
      <c r="AN17" s="228"/>
      <c r="AO17" s="228"/>
      <c r="AP17" s="217"/>
      <c r="AQ17" s="138"/>
      <c r="AR17" s="138"/>
      <c r="AS17" s="132"/>
      <c r="AT17" s="133"/>
      <c r="AU17" s="133"/>
      <c r="AV17" s="133"/>
      <c r="AW17" s="133"/>
      <c r="AX17" s="133"/>
      <c r="AY17" s="185">
        <v>1.0</v>
      </c>
      <c r="AZ17" s="185"/>
      <c r="BA17" s="185">
        <v>1.0</v>
      </c>
      <c r="BB17" s="185">
        <v>1.0</v>
      </c>
      <c r="BC17" s="185">
        <v>1.0</v>
      </c>
      <c r="BD17" s="133"/>
      <c r="BE17" s="133"/>
      <c r="BF17" s="133"/>
      <c r="BG17" s="133"/>
      <c r="BH17" s="133"/>
      <c r="BI17" s="135">
        <f t="shared" si="17"/>
        <v>4</v>
      </c>
      <c r="BJ17" s="186">
        <f t="shared" si="18"/>
        <v>80</v>
      </c>
      <c r="BK17" s="138"/>
      <c r="BL17" s="132"/>
      <c r="BM17" s="138"/>
      <c r="BN17" s="138"/>
      <c r="BO17" s="138"/>
      <c r="BP17" s="138"/>
      <c r="BQ17" s="138"/>
      <c r="BR17" s="140"/>
      <c r="BS17" s="152"/>
      <c r="BT17" s="152"/>
      <c r="BU17" s="152"/>
      <c r="BV17" s="152"/>
      <c r="BW17" s="217"/>
      <c r="BX17" s="218"/>
      <c r="BY17" s="218"/>
      <c r="BZ17" s="218"/>
      <c r="CA17" s="218"/>
      <c r="CB17" s="218"/>
      <c r="CC17" s="218"/>
      <c r="CD17" s="218"/>
      <c r="CE17" s="218"/>
      <c r="CF17" s="156">
        <f t="shared" si="19"/>
        <v>0</v>
      </c>
      <c r="CG17" s="190" t="str">
        <f t="shared" si="20"/>
        <v>#DIV/0!</v>
      </c>
      <c r="CH17" s="217"/>
      <c r="CI17" s="153"/>
      <c r="CJ17" s="217"/>
      <c r="CK17" s="219"/>
      <c r="CL17" s="219"/>
      <c r="CM17" s="219"/>
      <c r="CN17" s="219"/>
      <c r="CO17" s="217"/>
      <c r="CP17" s="221"/>
      <c r="CQ17" s="221"/>
      <c r="CR17" s="161"/>
      <c r="CS17" s="163">
        <f t="shared" si="21"/>
        <v>0</v>
      </c>
      <c r="CT17" s="194" t="str">
        <f t="shared" si="22"/>
        <v>#DIV/0!</v>
      </c>
      <c r="CU17" s="196"/>
      <c r="CV17" s="167">
        <f t="shared" si="23"/>
        <v>80</v>
      </c>
      <c r="CW17" s="169">
        <f t="shared" si="8"/>
        <v>4</v>
      </c>
      <c r="CX17" s="197"/>
    </row>
    <row r="18">
      <c r="A18" s="122">
        <v>9.0</v>
      </c>
      <c r="B18" s="173" t="s">
        <v>63</v>
      </c>
      <c r="C18" s="199" t="s">
        <v>64</v>
      </c>
      <c r="D18" s="125">
        <f t="shared" si="9"/>
        <v>0</v>
      </c>
      <c r="E18" s="127">
        <f t="shared" si="10"/>
        <v>0</v>
      </c>
      <c r="F18" s="200">
        <f t="shared" si="11"/>
        <v>0</v>
      </c>
      <c r="G18" s="207">
        <f t="shared" si="12"/>
        <v>0</v>
      </c>
      <c r="H18" s="132"/>
      <c r="I18" s="132"/>
      <c r="J18" s="201"/>
      <c r="K18" s="201"/>
      <c r="L18" s="201"/>
      <c r="M18" s="201"/>
      <c r="N18" s="201"/>
      <c r="O18" s="201"/>
      <c r="P18" s="201"/>
      <c r="Q18" s="201"/>
      <c r="R18" s="337">
        <f t="shared" si="13"/>
        <v>0</v>
      </c>
      <c r="S18" s="137" t="str">
        <f t="shared" si="14"/>
        <v>#DIV/0!</v>
      </c>
      <c r="T18" s="138"/>
      <c r="U18" s="138"/>
      <c r="V18" s="138"/>
      <c r="W18" s="132"/>
      <c r="X18" s="132"/>
      <c r="Y18" s="138"/>
      <c r="Z18" s="138"/>
      <c r="AA18" s="138"/>
      <c r="AB18" s="209"/>
      <c r="AC18" s="140"/>
      <c r="AD18" s="140"/>
      <c r="AE18" s="141"/>
      <c r="AF18" s="210"/>
      <c r="AG18" s="210"/>
      <c r="AH18" s="210"/>
      <c r="AI18" s="210"/>
      <c r="AJ18" s="212"/>
      <c r="AK18" s="212"/>
      <c r="AL18" s="135">
        <f t="shared" si="15"/>
        <v>0</v>
      </c>
      <c r="AM18" s="183" t="str">
        <f t="shared" si="16"/>
        <v>#DIV/0!</v>
      </c>
      <c r="AN18" s="214"/>
      <c r="AO18" s="214"/>
      <c r="AP18" s="209"/>
      <c r="AQ18" s="138"/>
      <c r="AR18" s="138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5">
        <f t="shared" si="17"/>
        <v>0</v>
      </c>
      <c r="BJ18" s="186">
        <f t="shared" si="18"/>
        <v>0</v>
      </c>
      <c r="BK18" s="138"/>
      <c r="BL18" s="132"/>
      <c r="BM18" s="138"/>
      <c r="BN18" s="138"/>
      <c r="BO18" s="138"/>
      <c r="BP18" s="138"/>
      <c r="BQ18" s="138"/>
      <c r="BR18" s="140"/>
      <c r="BS18" s="152"/>
      <c r="BT18" s="152"/>
      <c r="BU18" s="152"/>
      <c r="BV18" s="152"/>
      <c r="BW18" s="217"/>
      <c r="BX18" s="218"/>
      <c r="BY18" s="218"/>
      <c r="BZ18" s="218"/>
      <c r="CA18" s="218"/>
      <c r="CB18" s="218"/>
      <c r="CC18" s="218"/>
      <c r="CD18" s="218"/>
      <c r="CE18" s="218"/>
      <c r="CF18" s="156">
        <f t="shared" si="19"/>
        <v>0</v>
      </c>
      <c r="CG18" s="190" t="str">
        <f t="shared" si="20"/>
        <v>#DIV/0!</v>
      </c>
      <c r="CH18" s="209"/>
      <c r="CI18" s="153"/>
      <c r="CJ18" s="217"/>
      <c r="CK18" s="219"/>
      <c r="CL18" s="219"/>
      <c r="CM18" s="219"/>
      <c r="CN18" s="219"/>
      <c r="CO18" s="217"/>
      <c r="CP18" s="221"/>
      <c r="CQ18" s="221"/>
      <c r="CR18" s="161"/>
      <c r="CS18" s="163">
        <f t="shared" si="21"/>
        <v>0</v>
      </c>
      <c r="CT18" s="194" t="str">
        <f t="shared" si="22"/>
        <v>#DIV/0!</v>
      </c>
      <c r="CU18" s="196"/>
      <c r="CV18" s="167">
        <f t="shared" si="23"/>
        <v>0</v>
      </c>
      <c r="CW18" s="169">
        <f t="shared" si="8"/>
        <v>0</v>
      </c>
      <c r="CX18" s="197"/>
    </row>
    <row r="19">
      <c r="A19" s="122">
        <v>10.0</v>
      </c>
      <c r="B19" s="173" t="s">
        <v>65</v>
      </c>
      <c r="C19" s="199" t="s">
        <v>66</v>
      </c>
      <c r="D19" s="125">
        <f t="shared" si="9"/>
        <v>0</v>
      </c>
      <c r="E19" s="127">
        <f t="shared" si="10"/>
        <v>0</v>
      </c>
      <c r="F19" s="200">
        <f t="shared" si="11"/>
        <v>0</v>
      </c>
      <c r="G19" s="207">
        <f t="shared" si="12"/>
        <v>0</v>
      </c>
      <c r="H19" s="132"/>
      <c r="I19" s="132"/>
      <c r="J19" s="201"/>
      <c r="K19" s="201"/>
      <c r="L19" s="201"/>
      <c r="M19" s="201"/>
      <c r="N19" s="201"/>
      <c r="O19" s="201"/>
      <c r="P19" s="201"/>
      <c r="Q19" s="201"/>
      <c r="R19" s="337">
        <f t="shared" si="13"/>
        <v>0</v>
      </c>
      <c r="S19" s="137" t="str">
        <f t="shared" si="14"/>
        <v>#DIV/0!</v>
      </c>
      <c r="T19" s="138"/>
      <c r="U19" s="138"/>
      <c r="V19" s="138"/>
      <c r="W19" s="132"/>
      <c r="X19" s="132"/>
      <c r="Y19" s="138"/>
      <c r="Z19" s="138"/>
      <c r="AA19" s="138"/>
      <c r="AB19" s="217"/>
      <c r="AC19" s="140"/>
      <c r="AD19" s="140"/>
      <c r="AE19" s="141"/>
      <c r="AF19" s="226"/>
      <c r="AG19" s="226"/>
      <c r="AH19" s="226"/>
      <c r="AI19" s="226"/>
      <c r="AJ19" s="218"/>
      <c r="AK19" s="218"/>
      <c r="AL19" s="135">
        <f t="shared" si="15"/>
        <v>0</v>
      </c>
      <c r="AM19" s="183" t="str">
        <f t="shared" si="16"/>
        <v>#DIV/0!</v>
      </c>
      <c r="AN19" s="228"/>
      <c r="AO19" s="228"/>
      <c r="AP19" s="217"/>
      <c r="AQ19" s="138"/>
      <c r="AR19" s="138"/>
      <c r="AS19" s="132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5">
        <f t="shared" si="17"/>
        <v>0</v>
      </c>
      <c r="BJ19" s="186">
        <f t="shared" si="18"/>
        <v>0</v>
      </c>
      <c r="BK19" s="138"/>
      <c r="BL19" s="132"/>
      <c r="BM19" s="138"/>
      <c r="BN19" s="138"/>
      <c r="BO19" s="138"/>
      <c r="BP19" s="138"/>
      <c r="BQ19" s="138"/>
      <c r="BR19" s="140"/>
      <c r="BS19" s="152"/>
      <c r="BT19" s="152"/>
      <c r="BU19" s="152"/>
      <c r="BV19" s="152"/>
      <c r="BW19" s="217"/>
      <c r="BX19" s="218"/>
      <c r="BY19" s="218"/>
      <c r="BZ19" s="218"/>
      <c r="CA19" s="218"/>
      <c r="CB19" s="218"/>
      <c r="CC19" s="218"/>
      <c r="CD19" s="218"/>
      <c r="CE19" s="218"/>
      <c r="CF19" s="156">
        <f t="shared" si="19"/>
        <v>0</v>
      </c>
      <c r="CG19" s="190" t="str">
        <f t="shared" si="20"/>
        <v>#DIV/0!</v>
      </c>
      <c r="CH19" s="217"/>
      <c r="CI19" s="153"/>
      <c r="CJ19" s="217"/>
      <c r="CK19" s="219"/>
      <c r="CL19" s="219"/>
      <c r="CM19" s="219"/>
      <c r="CN19" s="219"/>
      <c r="CO19" s="217"/>
      <c r="CP19" s="221"/>
      <c r="CQ19" s="221"/>
      <c r="CR19" s="161"/>
      <c r="CS19" s="163">
        <f t="shared" si="21"/>
        <v>0</v>
      </c>
      <c r="CT19" s="194" t="str">
        <f t="shared" si="22"/>
        <v>#DIV/0!</v>
      </c>
      <c r="CU19" s="196"/>
      <c r="CV19" s="167">
        <f t="shared" si="23"/>
        <v>0</v>
      </c>
      <c r="CW19" s="169">
        <f t="shared" si="8"/>
        <v>0</v>
      </c>
      <c r="CX19" s="197"/>
    </row>
    <row r="20">
      <c r="A20" s="172">
        <v>11.0</v>
      </c>
      <c r="B20" s="173" t="s">
        <v>67</v>
      </c>
      <c r="C20" s="199" t="s">
        <v>68</v>
      </c>
      <c r="D20" s="125">
        <f t="shared" si="9"/>
        <v>5</v>
      </c>
      <c r="E20" s="127">
        <f t="shared" si="10"/>
        <v>100</v>
      </c>
      <c r="F20" s="200" t="str">
        <f t="shared" si="11"/>
        <v>  </v>
      </c>
      <c r="G20" s="177" t="str">
        <f t="shared" si="12"/>
        <v>  </v>
      </c>
      <c r="H20" s="132"/>
      <c r="I20" s="132"/>
      <c r="J20" s="201"/>
      <c r="K20" s="201"/>
      <c r="L20" s="201"/>
      <c r="M20" s="201"/>
      <c r="N20" s="201"/>
      <c r="O20" s="201"/>
      <c r="P20" s="201"/>
      <c r="Q20" s="201"/>
      <c r="R20" s="337">
        <f t="shared" si="13"/>
        <v>0</v>
      </c>
      <c r="S20" s="137" t="str">
        <f t="shared" si="14"/>
        <v>#DIV/0!</v>
      </c>
      <c r="T20" s="138"/>
      <c r="U20" s="138"/>
      <c r="V20" s="138"/>
      <c r="W20" s="132"/>
      <c r="X20" s="132"/>
      <c r="Y20" s="138"/>
      <c r="Z20" s="138"/>
      <c r="AA20" s="138"/>
      <c r="AB20" s="209"/>
      <c r="AC20" s="140"/>
      <c r="AD20" s="140"/>
      <c r="AE20" s="141"/>
      <c r="AF20" s="210"/>
      <c r="AG20" s="210"/>
      <c r="AH20" s="210"/>
      <c r="AI20" s="210"/>
      <c r="AJ20" s="212"/>
      <c r="AK20" s="212"/>
      <c r="AL20" s="135">
        <f t="shared" si="15"/>
        <v>0</v>
      </c>
      <c r="AM20" s="183" t="str">
        <f t="shared" si="16"/>
        <v>#DIV/0!</v>
      </c>
      <c r="AN20" s="214"/>
      <c r="AO20" s="214"/>
      <c r="AP20" s="209"/>
      <c r="AQ20" s="138"/>
      <c r="AR20" s="138"/>
      <c r="AS20" s="132"/>
      <c r="AT20" s="133"/>
      <c r="AU20" s="133"/>
      <c r="AV20" s="133"/>
      <c r="AW20" s="133"/>
      <c r="AX20" s="133"/>
      <c r="AY20" s="185">
        <v>1.0</v>
      </c>
      <c r="AZ20" s="185">
        <v>1.0</v>
      </c>
      <c r="BA20" s="185">
        <v>1.0</v>
      </c>
      <c r="BB20" s="185">
        <v>1.0</v>
      </c>
      <c r="BC20" s="185">
        <v>1.0</v>
      </c>
      <c r="BD20" s="133"/>
      <c r="BE20" s="133"/>
      <c r="BF20" s="133"/>
      <c r="BG20" s="133"/>
      <c r="BH20" s="133"/>
      <c r="BI20" s="135">
        <f t="shared" si="17"/>
        <v>5</v>
      </c>
      <c r="BJ20" s="186">
        <f t="shared" si="18"/>
        <v>100</v>
      </c>
      <c r="BK20" s="138"/>
      <c r="BL20" s="132"/>
      <c r="BM20" s="138"/>
      <c r="BN20" s="138"/>
      <c r="BO20" s="138"/>
      <c r="BP20" s="138"/>
      <c r="BQ20" s="138"/>
      <c r="BR20" s="140"/>
      <c r="BS20" s="152"/>
      <c r="BT20" s="152"/>
      <c r="BU20" s="152"/>
      <c r="BV20" s="152"/>
      <c r="BW20" s="217"/>
      <c r="BX20" s="218"/>
      <c r="BY20" s="218"/>
      <c r="BZ20" s="218"/>
      <c r="CA20" s="218"/>
      <c r="CB20" s="218"/>
      <c r="CC20" s="218"/>
      <c r="CD20" s="218"/>
      <c r="CE20" s="218"/>
      <c r="CF20" s="156">
        <f t="shared" si="19"/>
        <v>0</v>
      </c>
      <c r="CG20" s="190" t="str">
        <f t="shared" si="20"/>
        <v>#DIV/0!</v>
      </c>
      <c r="CH20" s="209"/>
      <c r="CI20" s="153"/>
      <c r="CJ20" s="217"/>
      <c r="CK20" s="219"/>
      <c r="CL20" s="219"/>
      <c r="CM20" s="219"/>
      <c r="CN20" s="219"/>
      <c r="CO20" s="217"/>
      <c r="CP20" s="221"/>
      <c r="CQ20" s="221"/>
      <c r="CR20" s="161"/>
      <c r="CS20" s="163">
        <f t="shared" si="21"/>
        <v>0</v>
      </c>
      <c r="CT20" s="194" t="str">
        <f t="shared" si="22"/>
        <v>#DIV/0!</v>
      </c>
      <c r="CU20" s="196"/>
      <c r="CV20" s="167">
        <f t="shared" si="23"/>
        <v>100</v>
      </c>
      <c r="CW20" s="169">
        <f t="shared" si="8"/>
        <v>5</v>
      </c>
      <c r="CX20" s="197"/>
    </row>
    <row r="21" ht="15.75" customHeight="1">
      <c r="A21" s="122">
        <v>12.0</v>
      </c>
      <c r="B21" s="173" t="s">
        <v>69</v>
      </c>
      <c r="C21" s="199" t="s">
        <v>70</v>
      </c>
      <c r="D21" s="125">
        <f t="shared" si="9"/>
        <v>0</v>
      </c>
      <c r="E21" s="127">
        <f t="shared" si="10"/>
        <v>0</v>
      </c>
      <c r="F21" s="200">
        <f t="shared" si="11"/>
        <v>0</v>
      </c>
      <c r="G21" s="207">
        <f t="shared" si="12"/>
        <v>0</v>
      </c>
      <c r="H21" s="178"/>
      <c r="I21" s="132"/>
      <c r="J21" s="201"/>
      <c r="K21" s="201"/>
      <c r="L21" s="201"/>
      <c r="M21" s="201"/>
      <c r="N21" s="201"/>
      <c r="O21" s="201"/>
      <c r="P21" s="201"/>
      <c r="Q21" s="201"/>
      <c r="R21" s="337">
        <f t="shared" si="13"/>
        <v>0</v>
      </c>
      <c r="S21" s="137" t="str">
        <f t="shared" si="14"/>
        <v>#DIV/0!</v>
      </c>
      <c r="T21" s="138"/>
      <c r="U21" s="138"/>
      <c r="V21" s="138"/>
      <c r="W21" s="132"/>
      <c r="X21" s="132"/>
      <c r="Y21" s="138"/>
      <c r="Z21" s="138"/>
      <c r="AA21" s="138"/>
      <c r="AB21" s="209"/>
      <c r="AC21" s="140"/>
      <c r="AD21" s="140"/>
      <c r="AE21" s="141"/>
      <c r="AF21" s="210"/>
      <c r="AG21" s="210"/>
      <c r="AH21" s="210"/>
      <c r="AI21" s="210"/>
      <c r="AJ21" s="212"/>
      <c r="AK21" s="212"/>
      <c r="AL21" s="135">
        <f t="shared" si="15"/>
        <v>0</v>
      </c>
      <c r="AM21" s="183" t="str">
        <f t="shared" si="16"/>
        <v>#DIV/0!</v>
      </c>
      <c r="AN21" s="214"/>
      <c r="AO21" s="214"/>
      <c r="AP21" s="209"/>
      <c r="AQ21" s="138"/>
      <c r="AR21" s="138"/>
      <c r="AS21" s="132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5">
        <f t="shared" si="17"/>
        <v>0</v>
      </c>
      <c r="BJ21" s="186">
        <f t="shared" si="18"/>
        <v>0</v>
      </c>
      <c r="BK21" s="138"/>
      <c r="BL21" s="132"/>
      <c r="BM21" s="138"/>
      <c r="BN21" s="138"/>
      <c r="BO21" s="138"/>
      <c r="BP21" s="138"/>
      <c r="BQ21" s="138"/>
      <c r="BR21" s="140"/>
      <c r="BS21" s="152"/>
      <c r="BT21" s="152"/>
      <c r="BU21" s="152"/>
      <c r="BV21" s="152"/>
      <c r="BW21" s="217"/>
      <c r="BX21" s="218"/>
      <c r="BY21" s="218"/>
      <c r="BZ21" s="218"/>
      <c r="CA21" s="218"/>
      <c r="CB21" s="218"/>
      <c r="CC21" s="218"/>
      <c r="CD21" s="218"/>
      <c r="CE21" s="218"/>
      <c r="CF21" s="156">
        <f t="shared" si="19"/>
        <v>0</v>
      </c>
      <c r="CG21" s="190" t="str">
        <f t="shared" si="20"/>
        <v>#DIV/0!</v>
      </c>
      <c r="CH21" s="209"/>
      <c r="CI21" s="153"/>
      <c r="CJ21" s="217"/>
      <c r="CK21" s="219"/>
      <c r="CL21" s="219"/>
      <c r="CM21" s="219"/>
      <c r="CN21" s="219"/>
      <c r="CO21" s="217"/>
      <c r="CP21" s="221"/>
      <c r="CQ21" s="221"/>
      <c r="CR21" s="161"/>
      <c r="CS21" s="163">
        <f t="shared" si="21"/>
        <v>0</v>
      </c>
      <c r="CT21" s="194" t="str">
        <f t="shared" si="22"/>
        <v>#DIV/0!</v>
      </c>
      <c r="CU21" s="196"/>
      <c r="CV21" s="167">
        <f t="shared" si="23"/>
        <v>0</v>
      </c>
      <c r="CW21" s="169">
        <f t="shared" si="8"/>
        <v>0</v>
      </c>
      <c r="CX21" s="197"/>
    </row>
    <row r="22" ht="15.75" customHeight="1">
      <c r="A22" s="122">
        <v>13.0</v>
      </c>
      <c r="B22" s="173" t="s">
        <v>71</v>
      </c>
      <c r="C22" s="199" t="s">
        <v>72</v>
      </c>
      <c r="D22" s="125">
        <f t="shared" si="9"/>
        <v>5</v>
      </c>
      <c r="E22" s="127">
        <f t="shared" si="10"/>
        <v>100</v>
      </c>
      <c r="F22" s="200" t="str">
        <f t="shared" si="11"/>
        <v>  </v>
      </c>
      <c r="G22" s="177" t="str">
        <f t="shared" si="12"/>
        <v>  </v>
      </c>
      <c r="H22" s="132"/>
      <c r="I22" s="178"/>
      <c r="J22" s="179"/>
      <c r="K22" s="179"/>
      <c r="L22" s="191"/>
      <c r="M22" s="179"/>
      <c r="N22" s="179"/>
      <c r="O22" s="179"/>
      <c r="P22" s="179"/>
      <c r="Q22" s="179"/>
      <c r="R22" s="337">
        <f t="shared" si="13"/>
        <v>0</v>
      </c>
      <c r="S22" s="137" t="str">
        <f t="shared" si="14"/>
        <v>#DIV/0!</v>
      </c>
      <c r="T22" s="138"/>
      <c r="U22" s="138"/>
      <c r="V22" s="138"/>
      <c r="W22" s="132"/>
      <c r="X22" s="132"/>
      <c r="Y22" s="138"/>
      <c r="Z22" s="138"/>
      <c r="AA22" s="138"/>
      <c r="AB22" s="209"/>
      <c r="AC22" s="140"/>
      <c r="AD22" s="140"/>
      <c r="AE22" s="141"/>
      <c r="AF22" s="210"/>
      <c r="AG22" s="210"/>
      <c r="AH22" s="210"/>
      <c r="AI22" s="210"/>
      <c r="AJ22" s="212"/>
      <c r="AK22" s="212"/>
      <c r="AL22" s="135">
        <f t="shared" si="15"/>
        <v>0</v>
      </c>
      <c r="AM22" s="183" t="str">
        <f t="shared" si="16"/>
        <v>#DIV/0!</v>
      </c>
      <c r="AN22" s="214"/>
      <c r="AO22" s="214"/>
      <c r="AP22" s="209"/>
      <c r="AQ22" s="138"/>
      <c r="AR22" s="138"/>
      <c r="AS22" s="132"/>
      <c r="AT22" s="133"/>
      <c r="AU22" s="133"/>
      <c r="AV22" s="133"/>
      <c r="AW22" s="133"/>
      <c r="AX22" s="133"/>
      <c r="AY22" s="185">
        <v>1.0</v>
      </c>
      <c r="AZ22" s="185">
        <v>1.0</v>
      </c>
      <c r="BA22" s="185">
        <v>1.0</v>
      </c>
      <c r="BB22" s="185">
        <v>1.0</v>
      </c>
      <c r="BC22" s="185">
        <v>1.0</v>
      </c>
      <c r="BD22" s="133"/>
      <c r="BE22" s="133"/>
      <c r="BF22" s="133"/>
      <c r="BG22" s="133"/>
      <c r="BH22" s="133"/>
      <c r="BI22" s="135">
        <f t="shared" si="17"/>
        <v>5</v>
      </c>
      <c r="BJ22" s="186">
        <f t="shared" si="18"/>
        <v>100</v>
      </c>
      <c r="BK22" s="138"/>
      <c r="BL22" s="132"/>
      <c r="BM22" s="138"/>
      <c r="BN22" s="138"/>
      <c r="BO22" s="138"/>
      <c r="BP22" s="138"/>
      <c r="BQ22" s="138"/>
      <c r="BR22" s="140"/>
      <c r="BS22" s="152"/>
      <c r="BT22" s="152"/>
      <c r="BU22" s="152"/>
      <c r="BV22" s="152"/>
      <c r="BW22" s="217"/>
      <c r="BX22" s="218"/>
      <c r="BY22" s="218"/>
      <c r="BZ22" s="218"/>
      <c r="CA22" s="218"/>
      <c r="CB22" s="218"/>
      <c r="CC22" s="218"/>
      <c r="CD22" s="218"/>
      <c r="CE22" s="218"/>
      <c r="CF22" s="156">
        <f t="shared" si="19"/>
        <v>0</v>
      </c>
      <c r="CG22" s="190" t="str">
        <f t="shared" si="20"/>
        <v>#DIV/0!</v>
      </c>
      <c r="CH22" s="209"/>
      <c r="CI22" s="153"/>
      <c r="CJ22" s="217"/>
      <c r="CK22" s="219"/>
      <c r="CL22" s="219"/>
      <c r="CM22" s="219"/>
      <c r="CN22" s="219"/>
      <c r="CO22" s="217"/>
      <c r="CP22" s="221"/>
      <c r="CQ22" s="221"/>
      <c r="CR22" s="161"/>
      <c r="CS22" s="163">
        <f t="shared" si="21"/>
        <v>0</v>
      </c>
      <c r="CT22" s="194" t="str">
        <f t="shared" si="22"/>
        <v>#DIV/0!</v>
      </c>
      <c r="CU22" s="196"/>
      <c r="CV22" s="167">
        <f t="shared" si="23"/>
        <v>100</v>
      </c>
      <c r="CW22" s="169">
        <f t="shared" si="8"/>
        <v>5</v>
      </c>
      <c r="CX22" s="197"/>
    </row>
    <row r="23" ht="15.75" customHeight="1">
      <c r="A23" s="172">
        <v>14.0</v>
      </c>
      <c r="B23" s="173" t="s">
        <v>73</v>
      </c>
      <c r="C23" s="199" t="s">
        <v>74</v>
      </c>
      <c r="D23" s="125">
        <f t="shared" si="9"/>
        <v>5</v>
      </c>
      <c r="E23" s="127">
        <f t="shared" si="10"/>
        <v>100</v>
      </c>
      <c r="F23" s="175" t="str">
        <f t="shared" si="11"/>
        <v>  </v>
      </c>
      <c r="G23" s="177" t="str">
        <f t="shared" si="12"/>
        <v>  </v>
      </c>
      <c r="H23" s="132"/>
      <c r="I23" s="132"/>
      <c r="J23" s="201"/>
      <c r="K23" s="201"/>
      <c r="L23" s="245"/>
      <c r="M23" s="201"/>
      <c r="N23" s="201"/>
      <c r="O23" s="201"/>
      <c r="P23" s="201"/>
      <c r="Q23" s="201"/>
      <c r="R23" s="337">
        <f t="shared" si="13"/>
        <v>0</v>
      </c>
      <c r="S23" s="137" t="str">
        <f t="shared" si="14"/>
        <v>#DIV/0!</v>
      </c>
      <c r="T23" s="138"/>
      <c r="U23" s="138"/>
      <c r="V23" s="138"/>
      <c r="W23" s="132"/>
      <c r="X23" s="132"/>
      <c r="Y23" s="138"/>
      <c r="Z23" s="138"/>
      <c r="AA23" s="138"/>
      <c r="AB23" s="209"/>
      <c r="AC23" s="140"/>
      <c r="AD23" s="140"/>
      <c r="AE23" s="141"/>
      <c r="AF23" s="210"/>
      <c r="AG23" s="210"/>
      <c r="AH23" s="210"/>
      <c r="AI23" s="210"/>
      <c r="AJ23" s="212"/>
      <c r="AK23" s="212"/>
      <c r="AL23" s="135">
        <f t="shared" si="15"/>
        <v>0</v>
      </c>
      <c r="AM23" s="183" t="str">
        <f t="shared" si="16"/>
        <v>#DIV/0!</v>
      </c>
      <c r="AN23" s="214"/>
      <c r="AO23" s="214"/>
      <c r="AP23" s="209"/>
      <c r="AQ23" s="138"/>
      <c r="AR23" s="138"/>
      <c r="AS23" s="132"/>
      <c r="AT23" s="133"/>
      <c r="AU23" s="133"/>
      <c r="AV23" s="133"/>
      <c r="AW23" s="133"/>
      <c r="AX23" s="133"/>
      <c r="AY23" s="185">
        <v>1.0</v>
      </c>
      <c r="AZ23" s="185">
        <v>1.0</v>
      </c>
      <c r="BA23" s="185">
        <v>1.0</v>
      </c>
      <c r="BB23" s="185">
        <v>1.0</v>
      </c>
      <c r="BC23" s="185">
        <v>1.0</v>
      </c>
      <c r="BD23" s="133"/>
      <c r="BE23" s="133"/>
      <c r="BF23" s="133"/>
      <c r="BG23" s="133"/>
      <c r="BH23" s="133"/>
      <c r="BI23" s="135">
        <f t="shared" si="17"/>
        <v>5</v>
      </c>
      <c r="BJ23" s="186">
        <f t="shared" si="18"/>
        <v>100</v>
      </c>
      <c r="BK23" s="138"/>
      <c r="BL23" s="132"/>
      <c r="BM23" s="138"/>
      <c r="BN23" s="138"/>
      <c r="BO23" s="138"/>
      <c r="BP23" s="138"/>
      <c r="BQ23" s="138"/>
      <c r="BR23" s="140"/>
      <c r="BS23" s="152"/>
      <c r="BT23" s="152"/>
      <c r="BU23" s="152"/>
      <c r="BV23" s="152"/>
      <c r="BW23" s="217"/>
      <c r="BX23" s="218"/>
      <c r="BY23" s="218"/>
      <c r="BZ23" s="218"/>
      <c r="CA23" s="218"/>
      <c r="CB23" s="218"/>
      <c r="CC23" s="218"/>
      <c r="CD23" s="218"/>
      <c r="CE23" s="218"/>
      <c r="CF23" s="156">
        <f t="shared" si="19"/>
        <v>0</v>
      </c>
      <c r="CG23" s="190" t="str">
        <f t="shared" si="20"/>
        <v>#DIV/0!</v>
      </c>
      <c r="CH23" s="209"/>
      <c r="CI23" s="153"/>
      <c r="CJ23" s="217"/>
      <c r="CK23" s="219"/>
      <c r="CL23" s="219"/>
      <c r="CM23" s="219"/>
      <c r="CN23" s="219"/>
      <c r="CO23" s="217"/>
      <c r="CP23" s="221"/>
      <c r="CQ23" s="221"/>
      <c r="CR23" s="161"/>
      <c r="CS23" s="163">
        <f t="shared" si="21"/>
        <v>0</v>
      </c>
      <c r="CT23" s="194" t="str">
        <f t="shared" si="22"/>
        <v>#DIV/0!</v>
      </c>
      <c r="CU23" s="196"/>
      <c r="CV23" s="167">
        <f t="shared" si="23"/>
        <v>100</v>
      </c>
      <c r="CW23" s="169">
        <f t="shared" si="8"/>
        <v>5</v>
      </c>
      <c r="CX23" s="197"/>
    </row>
    <row r="24" ht="15.75" customHeight="1">
      <c r="A24" s="122">
        <v>15.0</v>
      </c>
      <c r="B24" s="173" t="s">
        <v>75</v>
      </c>
      <c r="C24" s="199" t="s">
        <v>76</v>
      </c>
      <c r="D24" s="125">
        <f t="shared" si="9"/>
        <v>5</v>
      </c>
      <c r="E24" s="127">
        <f t="shared" si="10"/>
        <v>100</v>
      </c>
      <c r="F24" s="175" t="str">
        <f t="shared" si="11"/>
        <v>  </v>
      </c>
      <c r="G24" s="177" t="str">
        <f t="shared" si="12"/>
        <v>  </v>
      </c>
      <c r="H24" s="132"/>
      <c r="I24" s="178"/>
      <c r="J24" s="179"/>
      <c r="K24" s="179"/>
      <c r="L24" s="179"/>
      <c r="M24" s="179"/>
      <c r="N24" s="179"/>
      <c r="O24" s="179"/>
      <c r="P24" s="179"/>
      <c r="Q24" s="179"/>
      <c r="R24" s="337">
        <f t="shared" si="13"/>
        <v>0</v>
      </c>
      <c r="S24" s="137" t="str">
        <f t="shared" si="14"/>
        <v>#DIV/0!</v>
      </c>
      <c r="T24" s="138"/>
      <c r="U24" s="138"/>
      <c r="V24" s="138"/>
      <c r="W24" s="132"/>
      <c r="X24" s="132"/>
      <c r="Y24" s="138"/>
      <c r="Z24" s="138"/>
      <c r="AA24" s="138"/>
      <c r="AB24" s="209"/>
      <c r="AC24" s="140"/>
      <c r="AD24" s="140"/>
      <c r="AE24" s="141"/>
      <c r="AF24" s="210"/>
      <c r="AG24" s="210"/>
      <c r="AH24" s="210"/>
      <c r="AI24" s="210"/>
      <c r="AJ24" s="212"/>
      <c r="AK24" s="212"/>
      <c r="AL24" s="135">
        <f t="shared" si="15"/>
        <v>0</v>
      </c>
      <c r="AM24" s="183" t="str">
        <f t="shared" si="16"/>
        <v>#DIV/0!</v>
      </c>
      <c r="AN24" s="214"/>
      <c r="AO24" s="214"/>
      <c r="AP24" s="209"/>
      <c r="AQ24" s="138"/>
      <c r="AR24" s="138"/>
      <c r="AS24" s="132"/>
      <c r="AT24" s="133"/>
      <c r="AU24" s="133"/>
      <c r="AV24" s="133"/>
      <c r="AW24" s="133"/>
      <c r="AX24" s="133"/>
      <c r="AY24" s="185">
        <v>1.0</v>
      </c>
      <c r="AZ24" s="185">
        <v>1.0</v>
      </c>
      <c r="BA24" s="185">
        <v>1.0</v>
      </c>
      <c r="BB24" s="185">
        <v>1.0</v>
      </c>
      <c r="BC24" s="185">
        <v>1.0</v>
      </c>
      <c r="BD24" s="133"/>
      <c r="BE24" s="133"/>
      <c r="BF24" s="133"/>
      <c r="BG24" s="133"/>
      <c r="BH24" s="133"/>
      <c r="BI24" s="135">
        <f t="shared" si="17"/>
        <v>5</v>
      </c>
      <c r="BJ24" s="186">
        <f t="shared" si="18"/>
        <v>100</v>
      </c>
      <c r="BK24" s="138"/>
      <c r="BL24" s="132"/>
      <c r="BM24" s="138"/>
      <c r="BN24" s="138"/>
      <c r="BO24" s="138"/>
      <c r="BP24" s="138"/>
      <c r="BQ24" s="138"/>
      <c r="BR24" s="140"/>
      <c r="BS24" s="152"/>
      <c r="BT24" s="152"/>
      <c r="BU24" s="152"/>
      <c r="BV24" s="152"/>
      <c r="BW24" s="217"/>
      <c r="BX24" s="218"/>
      <c r="BY24" s="218"/>
      <c r="BZ24" s="218"/>
      <c r="CA24" s="218"/>
      <c r="CB24" s="218"/>
      <c r="CC24" s="218"/>
      <c r="CD24" s="218"/>
      <c r="CE24" s="218"/>
      <c r="CF24" s="156">
        <f t="shared" si="19"/>
        <v>0</v>
      </c>
      <c r="CG24" s="190" t="str">
        <f t="shared" si="20"/>
        <v>#DIV/0!</v>
      </c>
      <c r="CH24" s="209"/>
      <c r="CI24" s="153"/>
      <c r="CJ24" s="217"/>
      <c r="CK24" s="219"/>
      <c r="CL24" s="219"/>
      <c r="CM24" s="219"/>
      <c r="CN24" s="219"/>
      <c r="CO24" s="217"/>
      <c r="CP24" s="221"/>
      <c r="CQ24" s="221"/>
      <c r="CR24" s="161"/>
      <c r="CS24" s="163">
        <f t="shared" si="21"/>
        <v>0</v>
      </c>
      <c r="CT24" s="194" t="str">
        <f t="shared" si="22"/>
        <v>#DIV/0!</v>
      </c>
      <c r="CU24" s="196"/>
      <c r="CV24" s="167">
        <f t="shared" si="23"/>
        <v>100</v>
      </c>
      <c r="CW24" s="169">
        <f t="shared" si="8"/>
        <v>5</v>
      </c>
      <c r="CX24" s="197"/>
    </row>
    <row r="25" ht="15.75" customHeight="1">
      <c r="A25" s="122">
        <v>16.0</v>
      </c>
      <c r="B25" s="173" t="s">
        <v>77</v>
      </c>
      <c r="C25" s="199" t="s">
        <v>78</v>
      </c>
      <c r="D25" s="125">
        <f t="shared" si="9"/>
        <v>4</v>
      </c>
      <c r="E25" s="127">
        <f t="shared" si="10"/>
        <v>80</v>
      </c>
      <c r="F25" s="175" t="str">
        <f t="shared" si="11"/>
        <v>  </v>
      </c>
      <c r="G25" s="177" t="str">
        <f t="shared" si="12"/>
        <v>  </v>
      </c>
      <c r="H25" s="132"/>
      <c r="I25" s="178"/>
      <c r="J25" s="179"/>
      <c r="K25" s="179"/>
      <c r="L25" s="191"/>
      <c r="M25" s="179"/>
      <c r="N25" s="179"/>
      <c r="O25" s="179"/>
      <c r="P25" s="179"/>
      <c r="Q25" s="179"/>
      <c r="R25" s="337">
        <f t="shared" si="13"/>
        <v>0</v>
      </c>
      <c r="S25" s="137" t="str">
        <f t="shared" si="14"/>
        <v>#DIV/0!</v>
      </c>
      <c r="T25" s="138"/>
      <c r="U25" s="138"/>
      <c r="V25" s="138"/>
      <c r="W25" s="132"/>
      <c r="X25" s="132"/>
      <c r="Y25" s="138"/>
      <c r="Z25" s="138"/>
      <c r="AA25" s="138"/>
      <c r="AB25" s="247"/>
      <c r="AC25" s="140"/>
      <c r="AD25" s="140"/>
      <c r="AE25" s="141"/>
      <c r="AF25" s="248"/>
      <c r="AG25" s="248"/>
      <c r="AH25" s="248"/>
      <c r="AI25" s="248"/>
      <c r="AJ25" s="249"/>
      <c r="AK25" s="249"/>
      <c r="AL25" s="135">
        <f t="shared" si="15"/>
        <v>0</v>
      </c>
      <c r="AM25" s="183" t="str">
        <f t="shared" si="16"/>
        <v>#DIV/0!</v>
      </c>
      <c r="AN25" s="251"/>
      <c r="AO25" s="251"/>
      <c r="AP25" s="247"/>
      <c r="AQ25" s="138"/>
      <c r="AR25" s="138"/>
      <c r="AS25" s="132"/>
      <c r="AT25" s="133"/>
      <c r="AU25" s="133"/>
      <c r="AV25" s="133"/>
      <c r="AW25" s="133"/>
      <c r="AX25" s="133"/>
      <c r="AY25" s="185">
        <v>1.0</v>
      </c>
      <c r="AZ25" s="185"/>
      <c r="BA25" s="185">
        <v>1.0</v>
      </c>
      <c r="BB25" s="185">
        <v>1.0</v>
      </c>
      <c r="BC25" s="185">
        <v>1.0</v>
      </c>
      <c r="BD25" s="133"/>
      <c r="BE25" s="133"/>
      <c r="BF25" s="133"/>
      <c r="BG25" s="133"/>
      <c r="BH25" s="133"/>
      <c r="BI25" s="135">
        <f t="shared" si="17"/>
        <v>4</v>
      </c>
      <c r="BJ25" s="186">
        <f t="shared" si="18"/>
        <v>80</v>
      </c>
      <c r="BK25" s="138"/>
      <c r="BL25" s="132"/>
      <c r="BM25" s="138"/>
      <c r="BN25" s="138"/>
      <c r="BO25" s="138"/>
      <c r="BP25" s="138"/>
      <c r="BQ25" s="138"/>
      <c r="BR25" s="140"/>
      <c r="BS25" s="152"/>
      <c r="BT25" s="152"/>
      <c r="BU25" s="152"/>
      <c r="BV25" s="152"/>
      <c r="BW25" s="217"/>
      <c r="BX25" s="218"/>
      <c r="BY25" s="218"/>
      <c r="BZ25" s="218"/>
      <c r="CA25" s="218"/>
      <c r="CB25" s="218"/>
      <c r="CC25" s="218"/>
      <c r="CD25" s="218"/>
      <c r="CE25" s="218"/>
      <c r="CF25" s="156">
        <f t="shared" si="19"/>
        <v>0</v>
      </c>
      <c r="CG25" s="190" t="str">
        <f t="shared" si="20"/>
        <v>#DIV/0!</v>
      </c>
      <c r="CH25" s="247"/>
      <c r="CI25" s="153"/>
      <c r="CJ25" s="217"/>
      <c r="CK25" s="219"/>
      <c r="CL25" s="219"/>
      <c r="CM25" s="219"/>
      <c r="CN25" s="219"/>
      <c r="CO25" s="217"/>
      <c r="CP25" s="221"/>
      <c r="CQ25" s="221"/>
      <c r="CR25" s="161"/>
      <c r="CS25" s="163">
        <f t="shared" si="21"/>
        <v>0</v>
      </c>
      <c r="CT25" s="194" t="str">
        <f t="shared" si="22"/>
        <v>#DIV/0!</v>
      </c>
      <c r="CU25" s="196"/>
      <c r="CV25" s="167">
        <f t="shared" si="23"/>
        <v>80</v>
      </c>
      <c r="CW25" s="169">
        <f t="shared" si="8"/>
        <v>4</v>
      </c>
      <c r="CX25" s="197"/>
    </row>
    <row r="26" ht="15.75" customHeight="1">
      <c r="A26" s="172">
        <v>17.0</v>
      </c>
      <c r="B26" s="173" t="s">
        <v>79</v>
      </c>
      <c r="C26" s="199" t="s">
        <v>80</v>
      </c>
      <c r="D26" s="125">
        <f t="shared" si="9"/>
        <v>5</v>
      </c>
      <c r="E26" s="127">
        <f t="shared" si="10"/>
        <v>100</v>
      </c>
      <c r="F26" s="200" t="str">
        <f t="shared" si="11"/>
        <v>  </v>
      </c>
      <c r="G26" s="177" t="str">
        <f t="shared" si="12"/>
        <v>  </v>
      </c>
      <c r="H26" s="132"/>
      <c r="I26" s="132"/>
      <c r="J26" s="201"/>
      <c r="K26" s="201"/>
      <c r="L26" s="201"/>
      <c r="M26" s="201"/>
      <c r="N26" s="201"/>
      <c r="O26" s="201"/>
      <c r="P26" s="201"/>
      <c r="Q26" s="201"/>
      <c r="R26" s="337">
        <f t="shared" si="13"/>
        <v>0</v>
      </c>
      <c r="S26" s="137" t="str">
        <f t="shared" si="14"/>
        <v>#DIV/0!</v>
      </c>
      <c r="T26" s="138"/>
      <c r="U26" s="138"/>
      <c r="V26" s="138"/>
      <c r="W26" s="132"/>
      <c r="X26" s="132"/>
      <c r="Y26" s="138"/>
      <c r="Z26" s="138"/>
      <c r="AA26" s="138"/>
      <c r="AB26" s="209"/>
      <c r="AC26" s="140"/>
      <c r="AD26" s="140"/>
      <c r="AE26" s="141"/>
      <c r="AF26" s="210"/>
      <c r="AG26" s="210"/>
      <c r="AH26" s="210"/>
      <c r="AI26" s="210"/>
      <c r="AJ26" s="212"/>
      <c r="AK26" s="212"/>
      <c r="AL26" s="135">
        <f t="shared" si="15"/>
        <v>0</v>
      </c>
      <c r="AM26" s="183" t="str">
        <f t="shared" si="16"/>
        <v>#DIV/0!</v>
      </c>
      <c r="AN26" s="214"/>
      <c r="AO26" s="214"/>
      <c r="AP26" s="209"/>
      <c r="AQ26" s="138"/>
      <c r="AR26" s="138"/>
      <c r="AS26" s="132"/>
      <c r="AT26" s="133"/>
      <c r="AU26" s="133"/>
      <c r="AV26" s="133"/>
      <c r="AW26" s="133"/>
      <c r="AX26" s="133"/>
      <c r="AY26" s="185">
        <v>1.0</v>
      </c>
      <c r="AZ26" s="185">
        <v>1.0</v>
      </c>
      <c r="BA26" s="185">
        <v>1.0</v>
      </c>
      <c r="BB26" s="185">
        <v>1.0</v>
      </c>
      <c r="BC26" s="185">
        <v>1.0</v>
      </c>
      <c r="BD26" s="133"/>
      <c r="BE26" s="133"/>
      <c r="BF26" s="133"/>
      <c r="BG26" s="133"/>
      <c r="BH26" s="133"/>
      <c r="BI26" s="135">
        <f t="shared" si="17"/>
        <v>5</v>
      </c>
      <c r="BJ26" s="186">
        <f t="shared" si="18"/>
        <v>100</v>
      </c>
      <c r="BK26" s="138"/>
      <c r="BL26" s="132"/>
      <c r="BM26" s="138"/>
      <c r="BN26" s="138"/>
      <c r="BO26" s="138"/>
      <c r="BP26" s="138"/>
      <c r="BQ26" s="138"/>
      <c r="BR26" s="140"/>
      <c r="BS26" s="152"/>
      <c r="BT26" s="152"/>
      <c r="BU26" s="152"/>
      <c r="BV26" s="152"/>
      <c r="BW26" s="217"/>
      <c r="BX26" s="218"/>
      <c r="BY26" s="218"/>
      <c r="BZ26" s="218"/>
      <c r="CA26" s="218"/>
      <c r="CB26" s="218"/>
      <c r="CC26" s="218"/>
      <c r="CD26" s="218"/>
      <c r="CE26" s="218"/>
      <c r="CF26" s="156">
        <f t="shared" si="19"/>
        <v>0</v>
      </c>
      <c r="CG26" s="190" t="str">
        <f t="shared" si="20"/>
        <v>#DIV/0!</v>
      </c>
      <c r="CH26" s="209"/>
      <c r="CI26" s="153"/>
      <c r="CJ26" s="217"/>
      <c r="CK26" s="219"/>
      <c r="CL26" s="219"/>
      <c r="CM26" s="219"/>
      <c r="CN26" s="219"/>
      <c r="CO26" s="217"/>
      <c r="CP26" s="221"/>
      <c r="CQ26" s="221"/>
      <c r="CR26" s="161"/>
      <c r="CS26" s="163">
        <f t="shared" si="21"/>
        <v>0</v>
      </c>
      <c r="CT26" s="194" t="str">
        <f t="shared" si="22"/>
        <v>#DIV/0!</v>
      </c>
      <c r="CU26" s="196"/>
      <c r="CV26" s="167">
        <f t="shared" si="23"/>
        <v>100</v>
      </c>
      <c r="CW26" s="169">
        <f t="shared" si="8"/>
        <v>5</v>
      </c>
      <c r="CX26" s="197"/>
    </row>
    <row r="27" ht="15.75" customHeight="1">
      <c r="A27" s="122">
        <v>18.0</v>
      </c>
      <c r="B27" s="173" t="s">
        <v>81</v>
      </c>
      <c r="C27" s="199" t="s">
        <v>82</v>
      </c>
      <c r="D27" s="125">
        <f t="shared" si="9"/>
        <v>4</v>
      </c>
      <c r="E27" s="127">
        <f t="shared" si="10"/>
        <v>80</v>
      </c>
      <c r="F27" s="175" t="str">
        <f t="shared" si="11"/>
        <v>  </v>
      </c>
      <c r="G27" s="177" t="str">
        <f t="shared" si="12"/>
        <v>  </v>
      </c>
      <c r="H27" s="132"/>
      <c r="I27" s="132"/>
      <c r="J27" s="201"/>
      <c r="K27" s="201"/>
      <c r="L27" s="245"/>
      <c r="M27" s="201"/>
      <c r="N27" s="201"/>
      <c r="O27" s="201"/>
      <c r="P27" s="201"/>
      <c r="Q27" s="201"/>
      <c r="R27" s="337">
        <f t="shared" si="13"/>
        <v>0</v>
      </c>
      <c r="S27" s="137" t="str">
        <f t="shared" si="14"/>
        <v>#DIV/0!</v>
      </c>
      <c r="T27" s="138"/>
      <c r="U27" s="138"/>
      <c r="V27" s="138"/>
      <c r="W27" s="132"/>
      <c r="X27" s="132"/>
      <c r="Y27" s="138"/>
      <c r="Z27" s="138"/>
      <c r="AA27" s="138"/>
      <c r="AB27" s="209"/>
      <c r="AC27" s="140"/>
      <c r="AD27" s="140"/>
      <c r="AE27" s="141"/>
      <c r="AF27" s="210"/>
      <c r="AG27" s="210"/>
      <c r="AH27" s="210"/>
      <c r="AI27" s="210"/>
      <c r="AJ27" s="212"/>
      <c r="AK27" s="212"/>
      <c r="AL27" s="135">
        <f t="shared" si="15"/>
        <v>0</v>
      </c>
      <c r="AM27" s="183" t="str">
        <f t="shared" si="16"/>
        <v>#DIV/0!</v>
      </c>
      <c r="AN27" s="214"/>
      <c r="AO27" s="214"/>
      <c r="AP27" s="209"/>
      <c r="AQ27" s="138"/>
      <c r="AR27" s="138"/>
      <c r="AS27" s="132"/>
      <c r="AT27" s="133"/>
      <c r="AU27" s="133"/>
      <c r="AV27" s="133"/>
      <c r="AW27" s="133"/>
      <c r="AX27" s="133"/>
      <c r="AY27" s="185">
        <v>1.0</v>
      </c>
      <c r="AZ27" s="185">
        <v>1.0</v>
      </c>
      <c r="BA27" s="185"/>
      <c r="BB27" s="185">
        <v>1.0</v>
      </c>
      <c r="BC27" s="185">
        <v>1.0</v>
      </c>
      <c r="BD27" s="133"/>
      <c r="BE27" s="133"/>
      <c r="BF27" s="133"/>
      <c r="BG27" s="133"/>
      <c r="BH27" s="133"/>
      <c r="BI27" s="135">
        <f t="shared" si="17"/>
        <v>4</v>
      </c>
      <c r="BJ27" s="186">
        <f t="shared" si="18"/>
        <v>80</v>
      </c>
      <c r="BK27" s="138"/>
      <c r="BL27" s="132"/>
      <c r="BM27" s="138"/>
      <c r="BN27" s="138"/>
      <c r="BO27" s="138"/>
      <c r="BP27" s="138"/>
      <c r="BQ27" s="138"/>
      <c r="BR27" s="140"/>
      <c r="BS27" s="152"/>
      <c r="BT27" s="152"/>
      <c r="BU27" s="152"/>
      <c r="BV27" s="152"/>
      <c r="BW27" s="217"/>
      <c r="BX27" s="218"/>
      <c r="BY27" s="218"/>
      <c r="BZ27" s="218"/>
      <c r="CA27" s="218"/>
      <c r="CB27" s="218"/>
      <c r="CC27" s="218"/>
      <c r="CD27" s="218"/>
      <c r="CE27" s="218"/>
      <c r="CF27" s="156">
        <f t="shared" si="19"/>
        <v>0</v>
      </c>
      <c r="CG27" s="190" t="str">
        <f t="shared" si="20"/>
        <v>#DIV/0!</v>
      </c>
      <c r="CH27" s="209"/>
      <c r="CI27" s="153"/>
      <c r="CJ27" s="217"/>
      <c r="CK27" s="219"/>
      <c r="CL27" s="219"/>
      <c r="CM27" s="219"/>
      <c r="CN27" s="219"/>
      <c r="CO27" s="217"/>
      <c r="CP27" s="221"/>
      <c r="CQ27" s="221"/>
      <c r="CR27" s="161"/>
      <c r="CS27" s="163">
        <f t="shared" si="21"/>
        <v>0</v>
      </c>
      <c r="CT27" s="194" t="str">
        <f t="shared" si="22"/>
        <v>#DIV/0!</v>
      </c>
      <c r="CU27" s="196"/>
      <c r="CV27" s="167">
        <f t="shared" si="23"/>
        <v>80</v>
      </c>
      <c r="CW27" s="169">
        <f t="shared" si="8"/>
        <v>4</v>
      </c>
      <c r="CX27" s="197"/>
    </row>
    <row r="28" ht="15.75" customHeight="1">
      <c r="A28" s="122">
        <v>19.0</v>
      </c>
      <c r="B28" s="173" t="s">
        <v>83</v>
      </c>
      <c r="C28" s="199" t="s">
        <v>84</v>
      </c>
      <c r="D28" s="125">
        <f t="shared" si="9"/>
        <v>5</v>
      </c>
      <c r="E28" s="127">
        <f t="shared" si="10"/>
        <v>100</v>
      </c>
      <c r="F28" s="175" t="str">
        <f t="shared" si="11"/>
        <v>  </v>
      </c>
      <c r="G28" s="177" t="str">
        <f t="shared" si="12"/>
        <v>  </v>
      </c>
      <c r="H28" s="132"/>
      <c r="I28" s="132"/>
      <c r="J28" s="201"/>
      <c r="K28" s="201"/>
      <c r="L28" s="201"/>
      <c r="M28" s="201"/>
      <c r="N28" s="201"/>
      <c r="O28" s="201"/>
      <c r="P28" s="201"/>
      <c r="Q28" s="201"/>
      <c r="R28" s="337">
        <f t="shared" si="13"/>
        <v>0</v>
      </c>
      <c r="S28" s="137" t="str">
        <f t="shared" si="14"/>
        <v>#DIV/0!</v>
      </c>
      <c r="T28" s="138"/>
      <c r="U28" s="138"/>
      <c r="V28" s="138"/>
      <c r="W28" s="132"/>
      <c r="X28" s="132"/>
      <c r="Y28" s="138"/>
      <c r="Z28" s="138"/>
      <c r="AA28" s="138"/>
      <c r="AB28" s="209"/>
      <c r="AC28" s="140"/>
      <c r="AD28" s="140"/>
      <c r="AE28" s="141"/>
      <c r="AF28" s="210"/>
      <c r="AG28" s="210"/>
      <c r="AH28" s="210"/>
      <c r="AI28" s="210"/>
      <c r="AJ28" s="212"/>
      <c r="AK28" s="212"/>
      <c r="AL28" s="135">
        <f t="shared" si="15"/>
        <v>0</v>
      </c>
      <c r="AM28" s="183" t="str">
        <f t="shared" si="16"/>
        <v>#DIV/0!</v>
      </c>
      <c r="AN28" s="214"/>
      <c r="AO28" s="214"/>
      <c r="AP28" s="209"/>
      <c r="AQ28" s="138"/>
      <c r="AR28" s="138"/>
      <c r="AS28" s="132"/>
      <c r="AT28" s="133"/>
      <c r="AU28" s="133"/>
      <c r="AV28" s="133"/>
      <c r="AW28" s="133"/>
      <c r="AX28" s="133"/>
      <c r="AY28" s="185">
        <v>1.0</v>
      </c>
      <c r="AZ28" s="185">
        <v>1.0</v>
      </c>
      <c r="BA28" s="185">
        <v>1.0</v>
      </c>
      <c r="BB28" s="185">
        <v>1.0</v>
      </c>
      <c r="BC28" s="185">
        <v>1.0</v>
      </c>
      <c r="BD28" s="133"/>
      <c r="BE28" s="133"/>
      <c r="BF28" s="133"/>
      <c r="BG28" s="133"/>
      <c r="BH28" s="133"/>
      <c r="BI28" s="135">
        <f t="shared" si="17"/>
        <v>5</v>
      </c>
      <c r="BJ28" s="186">
        <f t="shared" si="18"/>
        <v>100</v>
      </c>
      <c r="BK28" s="138"/>
      <c r="BL28" s="132"/>
      <c r="BM28" s="138"/>
      <c r="BN28" s="138"/>
      <c r="BO28" s="138"/>
      <c r="BP28" s="138"/>
      <c r="BQ28" s="138"/>
      <c r="BR28" s="140"/>
      <c r="BS28" s="152"/>
      <c r="BT28" s="152"/>
      <c r="BU28" s="152"/>
      <c r="BV28" s="152"/>
      <c r="BW28" s="217"/>
      <c r="BX28" s="218"/>
      <c r="BY28" s="218"/>
      <c r="BZ28" s="218"/>
      <c r="CA28" s="218"/>
      <c r="CB28" s="218"/>
      <c r="CC28" s="218"/>
      <c r="CD28" s="218"/>
      <c r="CE28" s="218"/>
      <c r="CF28" s="156">
        <f t="shared" si="19"/>
        <v>0</v>
      </c>
      <c r="CG28" s="190" t="str">
        <f t="shared" si="20"/>
        <v>#DIV/0!</v>
      </c>
      <c r="CH28" s="209"/>
      <c r="CI28" s="153"/>
      <c r="CJ28" s="217"/>
      <c r="CK28" s="219"/>
      <c r="CL28" s="219"/>
      <c r="CM28" s="219"/>
      <c r="CN28" s="219"/>
      <c r="CO28" s="217"/>
      <c r="CP28" s="221"/>
      <c r="CQ28" s="221"/>
      <c r="CR28" s="161"/>
      <c r="CS28" s="163">
        <f t="shared" si="21"/>
        <v>0</v>
      </c>
      <c r="CT28" s="194" t="str">
        <f t="shared" si="22"/>
        <v>#DIV/0!</v>
      </c>
      <c r="CU28" s="196"/>
      <c r="CV28" s="167">
        <f t="shared" si="23"/>
        <v>100</v>
      </c>
      <c r="CW28" s="169">
        <f t="shared" si="8"/>
        <v>5</v>
      </c>
      <c r="CX28" s="197"/>
    </row>
    <row r="29" ht="15.75" customHeight="1">
      <c r="A29" s="172">
        <v>20.0</v>
      </c>
      <c r="B29" s="173" t="s">
        <v>85</v>
      </c>
      <c r="C29" s="199" t="s">
        <v>86</v>
      </c>
      <c r="D29" s="125">
        <f t="shared" si="9"/>
        <v>0</v>
      </c>
      <c r="E29" s="127">
        <f t="shared" si="10"/>
        <v>0</v>
      </c>
      <c r="F29" s="200">
        <f t="shared" si="11"/>
        <v>0</v>
      </c>
      <c r="G29" s="207">
        <f t="shared" si="12"/>
        <v>0</v>
      </c>
      <c r="H29" s="132"/>
      <c r="I29" s="132"/>
      <c r="J29" s="245"/>
      <c r="K29" s="201"/>
      <c r="L29" s="245"/>
      <c r="M29" s="201"/>
      <c r="N29" s="201"/>
      <c r="O29" s="201"/>
      <c r="P29" s="201"/>
      <c r="Q29" s="201"/>
      <c r="R29" s="337">
        <f t="shared" si="13"/>
        <v>0</v>
      </c>
      <c r="S29" s="137" t="str">
        <f t="shared" si="14"/>
        <v>#DIV/0!</v>
      </c>
      <c r="T29" s="138"/>
      <c r="U29" s="138"/>
      <c r="V29" s="138"/>
      <c r="W29" s="132"/>
      <c r="X29" s="132"/>
      <c r="Y29" s="138"/>
      <c r="Z29" s="138"/>
      <c r="AA29" s="138"/>
      <c r="AB29" s="209"/>
      <c r="AC29" s="140"/>
      <c r="AD29" s="140"/>
      <c r="AE29" s="141"/>
      <c r="AF29" s="210"/>
      <c r="AG29" s="210"/>
      <c r="AH29" s="210"/>
      <c r="AI29" s="210"/>
      <c r="AJ29" s="212"/>
      <c r="AK29" s="212"/>
      <c r="AL29" s="135">
        <f t="shared" si="15"/>
        <v>0</v>
      </c>
      <c r="AM29" s="183" t="str">
        <f t="shared" si="16"/>
        <v>#DIV/0!</v>
      </c>
      <c r="AN29" s="214"/>
      <c r="AO29" s="214"/>
      <c r="AP29" s="209"/>
      <c r="AQ29" s="138"/>
      <c r="AR29" s="138"/>
      <c r="AS29" s="132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5">
        <f t="shared" si="17"/>
        <v>0</v>
      </c>
      <c r="BJ29" s="186">
        <f t="shared" si="18"/>
        <v>0</v>
      </c>
      <c r="BK29" s="138"/>
      <c r="BL29" s="132"/>
      <c r="BM29" s="138"/>
      <c r="BN29" s="138"/>
      <c r="BO29" s="138"/>
      <c r="BP29" s="138"/>
      <c r="BQ29" s="138"/>
      <c r="BR29" s="140"/>
      <c r="BS29" s="152"/>
      <c r="BT29" s="152"/>
      <c r="BU29" s="152"/>
      <c r="BV29" s="152"/>
      <c r="BW29" s="217"/>
      <c r="BX29" s="218"/>
      <c r="BY29" s="218"/>
      <c r="BZ29" s="218"/>
      <c r="CA29" s="218"/>
      <c r="CB29" s="218"/>
      <c r="CC29" s="218"/>
      <c r="CD29" s="218"/>
      <c r="CE29" s="218"/>
      <c r="CF29" s="156">
        <f t="shared" si="19"/>
        <v>0</v>
      </c>
      <c r="CG29" s="190" t="str">
        <f t="shared" si="20"/>
        <v>#DIV/0!</v>
      </c>
      <c r="CH29" s="209"/>
      <c r="CI29" s="153"/>
      <c r="CJ29" s="217"/>
      <c r="CK29" s="219"/>
      <c r="CL29" s="219"/>
      <c r="CM29" s="219"/>
      <c r="CN29" s="219"/>
      <c r="CO29" s="217"/>
      <c r="CP29" s="221"/>
      <c r="CQ29" s="221"/>
      <c r="CR29" s="161"/>
      <c r="CS29" s="163">
        <f t="shared" si="21"/>
        <v>0</v>
      </c>
      <c r="CT29" s="194" t="str">
        <f t="shared" si="22"/>
        <v>#DIV/0!</v>
      </c>
      <c r="CU29" s="196"/>
      <c r="CV29" s="167">
        <f t="shared" si="23"/>
        <v>0</v>
      </c>
      <c r="CW29" s="169">
        <f t="shared" si="8"/>
        <v>0</v>
      </c>
      <c r="CX29" s="197"/>
    </row>
    <row r="30" ht="15.75" customHeight="1">
      <c r="A30" s="122">
        <v>21.0</v>
      </c>
      <c r="B30" s="252" t="s">
        <v>87</v>
      </c>
      <c r="C30" s="253" t="s">
        <v>88</v>
      </c>
      <c r="D30" s="125">
        <f t="shared" si="9"/>
        <v>5</v>
      </c>
      <c r="E30" s="127">
        <f t="shared" si="10"/>
        <v>100</v>
      </c>
      <c r="F30" s="200" t="str">
        <f t="shared" si="11"/>
        <v>  </v>
      </c>
      <c r="G30" s="177" t="str">
        <f t="shared" si="12"/>
        <v>  </v>
      </c>
      <c r="H30" s="132"/>
      <c r="I30" s="178"/>
      <c r="J30" s="179"/>
      <c r="K30" s="179"/>
      <c r="L30" s="179"/>
      <c r="M30" s="179"/>
      <c r="N30" s="179"/>
      <c r="O30" s="179"/>
      <c r="P30" s="179"/>
      <c r="Q30" s="179"/>
      <c r="R30" s="337">
        <f t="shared" si="13"/>
        <v>0</v>
      </c>
      <c r="S30" s="137" t="str">
        <f t="shared" si="14"/>
        <v>#DIV/0!</v>
      </c>
      <c r="T30" s="138"/>
      <c r="U30" s="138"/>
      <c r="V30" s="138"/>
      <c r="W30" s="132"/>
      <c r="X30" s="132"/>
      <c r="Y30" s="138"/>
      <c r="Z30" s="138"/>
      <c r="AA30" s="138"/>
      <c r="AB30" s="209"/>
      <c r="AC30" s="140"/>
      <c r="AD30" s="140"/>
      <c r="AE30" s="141"/>
      <c r="AF30" s="210"/>
      <c r="AG30" s="210"/>
      <c r="AH30" s="210"/>
      <c r="AI30" s="210"/>
      <c r="AJ30" s="212"/>
      <c r="AK30" s="212"/>
      <c r="AL30" s="135">
        <f t="shared" si="15"/>
        <v>0</v>
      </c>
      <c r="AM30" s="183" t="str">
        <f t="shared" si="16"/>
        <v>#DIV/0!</v>
      </c>
      <c r="AN30" s="214"/>
      <c r="AO30" s="214"/>
      <c r="AP30" s="209"/>
      <c r="AQ30" s="138"/>
      <c r="AR30" s="138"/>
      <c r="AS30" s="132"/>
      <c r="AT30" s="133"/>
      <c r="AU30" s="133"/>
      <c r="AV30" s="133"/>
      <c r="AW30" s="133"/>
      <c r="AX30" s="133"/>
      <c r="AY30" s="185">
        <v>1.0</v>
      </c>
      <c r="AZ30" s="185">
        <v>1.0</v>
      </c>
      <c r="BA30" s="185">
        <v>1.0</v>
      </c>
      <c r="BB30" s="185">
        <v>1.0</v>
      </c>
      <c r="BC30" s="185">
        <v>1.0</v>
      </c>
      <c r="BD30" s="133"/>
      <c r="BE30" s="133"/>
      <c r="BF30" s="133"/>
      <c r="BG30" s="133"/>
      <c r="BH30" s="133"/>
      <c r="BI30" s="135">
        <f t="shared" si="17"/>
        <v>5</v>
      </c>
      <c r="BJ30" s="186">
        <f t="shared" si="18"/>
        <v>100</v>
      </c>
      <c r="BK30" s="138"/>
      <c r="BL30" s="132"/>
      <c r="BM30" s="138"/>
      <c r="BN30" s="138"/>
      <c r="BO30" s="138"/>
      <c r="BP30" s="138"/>
      <c r="BQ30" s="138"/>
      <c r="BR30" s="140"/>
      <c r="BS30" s="152"/>
      <c r="BT30" s="152"/>
      <c r="BU30" s="152"/>
      <c r="BV30" s="152"/>
      <c r="BW30" s="217"/>
      <c r="BX30" s="218"/>
      <c r="BY30" s="218"/>
      <c r="BZ30" s="218"/>
      <c r="CA30" s="218"/>
      <c r="CB30" s="218"/>
      <c r="CC30" s="218"/>
      <c r="CD30" s="218"/>
      <c r="CE30" s="218"/>
      <c r="CF30" s="156">
        <f t="shared" si="19"/>
        <v>0</v>
      </c>
      <c r="CG30" s="190" t="str">
        <f t="shared" si="20"/>
        <v>#DIV/0!</v>
      </c>
      <c r="CH30" s="209"/>
      <c r="CI30" s="153"/>
      <c r="CJ30" s="217"/>
      <c r="CK30" s="219"/>
      <c r="CL30" s="219"/>
      <c r="CM30" s="219"/>
      <c r="CN30" s="219"/>
      <c r="CO30" s="217"/>
      <c r="CP30" s="221"/>
      <c r="CQ30" s="221"/>
      <c r="CR30" s="161"/>
      <c r="CS30" s="163">
        <f t="shared" si="21"/>
        <v>0</v>
      </c>
      <c r="CT30" s="194" t="str">
        <f t="shared" si="22"/>
        <v>#DIV/0!</v>
      </c>
      <c r="CU30" s="196"/>
      <c r="CV30" s="167">
        <f t="shared" si="23"/>
        <v>100</v>
      </c>
      <c r="CW30" s="169">
        <f t="shared" si="8"/>
        <v>5</v>
      </c>
      <c r="CX30" s="197"/>
    </row>
    <row r="31" ht="15.75" customHeight="1">
      <c r="A31" s="122">
        <v>22.0</v>
      </c>
      <c r="B31" s="173" t="s">
        <v>89</v>
      </c>
      <c r="C31" s="199" t="s">
        <v>90</v>
      </c>
      <c r="D31" s="125">
        <f t="shared" si="9"/>
        <v>0</v>
      </c>
      <c r="E31" s="127">
        <f t="shared" si="10"/>
        <v>0</v>
      </c>
      <c r="F31" s="200">
        <f t="shared" si="11"/>
        <v>0</v>
      </c>
      <c r="G31" s="207">
        <f t="shared" si="12"/>
        <v>0</v>
      </c>
      <c r="H31" s="132"/>
      <c r="I31" s="178"/>
      <c r="J31" s="179"/>
      <c r="K31" s="179"/>
      <c r="L31" s="179"/>
      <c r="M31" s="179"/>
      <c r="N31" s="179"/>
      <c r="O31" s="179"/>
      <c r="P31" s="179"/>
      <c r="Q31" s="179"/>
      <c r="R31" s="337">
        <f t="shared" si="13"/>
        <v>0</v>
      </c>
      <c r="S31" s="137" t="str">
        <f t="shared" si="14"/>
        <v>#DIV/0!</v>
      </c>
      <c r="T31" s="138"/>
      <c r="U31" s="138"/>
      <c r="V31" s="138"/>
      <c r="W31" s="132"/>
      <c r="X31" s="132"/>
      <c r="Y31" s="138"/>
      <c r="Z31" s="138"/>
      <c r="AA31" s="138"/>
      <c r="AB31" s="209"/>
      <c r="AC31" s="140"/>
      <c r="AD31" s="140"/>
      <c r="AE31" s="141"/>
      <c r="AF31" s="210"/>
      <c r="AG31" s="210"/>
      <c r="AH31" s="210"/>
      <c r="AI31" s="210"/>
      <c r="AJ31" s="212"/>
      <c r="AK31" s="212"/>
      <c r="AL31" s="135">
        <f t="shared" si="15"/>
        <v>0</v>
      </c>
      <c r="AM31" s="183" t="str">
        <f t="shared" si="16"/>
        <v>#DIV/0!</v>
      </c>
      <c r="AN31" s="214"/>
      <c r="AO31" s="214"/>
      <c r="AP31" s="209"/>
      <c r="AQ31" s="138"/>
      <c r="AR31" s="138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5">
        <f t="shared" si="17"/>
        <v>0</v>
      </c>
      <c r="BJ31" s="186">
        <f t="shared" si="18"/>
        <v>0</v>
      </c>
      <c r="BK31" s="138"/>
      <c r="BL31" s="132"/>
      <c r="BM31" s="138"/>
      <c r="BN31" s="138"/>
      <c r="BO31" s="138"/>
      <c r="BP31" s="138"/>
      <c r="BQ31" s="138"/>
      <c r="BR31" s="140"/>
      <c r="BS31" s="152"/>
      <c r="BT31" s="152"/>
      <c r="BU31" s="152"/>
      <c r="BV31" s="152"/>
      <c r="BW31" s="217"/>
      <c r="BX31" s="218"/>
      <c r="BY31" s="218"/>
      <c r="BZ31" s="218"/>
      <c r="CA31" s="218"/>
      <c r="CB31" s="218"/>
      <c r="CC31" s="218"/>
      <c r="CD31" s="218"/>
      <c r="CE31" s="218"/>
      <c r="CF31" s="156">
        <f t="shared" si="19"/>
        <v>0</v>
      </c>
      <c r="CG31" s="190" t="str">
        <f t="shared" si="20"/>
        <v>#DIV/0!</v>
      </c>
      <c r="CH31" s="209"/>
      <c r="CI31" s="153"/>
      <c r="CJ31" s="217"/>
      <c r="CK31" s="219"/>
      <c r="CL31" s="219"/>
      <c r="CM31" s="219"/>
      <c r="CN31" s="219"/>
      <c r="CO31" s="217"/>
      <c r="CP31" s="221"/>
      <c r="CQ31" s="221"/>
      <c r="CR31" s="161"/>
      <c r="CS31" s="163">
        <f t="shared" si="21"/>
        <v>0</v>
      </c>
      <c r="CT31" s="194" t="str">
        <f t="shared" si="22"/>
        <v>#DIV/0!</v>
      </c>
      <c r="CU31" s="196"/>
      <c r="CV31" s="167">
        <f t="shared" si="23"/>
        <v>0</v>
      </c>
      <c r="CW31" s="169">
        <f t="shared" si="8"/>
        <v>0</v>
      </c>
      <c r="CX31" s="197"/>
    </row>
    <row r="32" ht="15.75" customHeight="1">
      <c r="A32" s="172">
        <v>23.0</v>
      </c>
      <c r="B32" s="173" t="s">
        <v>91</v>
      </c>
      <c r="C32" s="199" t="s">
        <v>92</v>
      </c>
      <c r="D32" s="125">
        <f t="shared" si="9"/>
        <v>0</v>
      </c>
      <c r="E32" s="127">
        <f t="shared" si="10"/>
        <v>0</v>
      </c>
      <c r="F32" s="200">
        <f t="shared" si="11"/>
        <v>0</v>
      </c>
      <c r="G32" s="207">
        <f t="shared" si="12"/>
        <v>0</v>
      </c>
      <c r="H32" s="132"/>
      <c r="I32" s="178"/>
      <c r="J32" s="179"/>
      <c r="K32" s="179"/>
      <c r="L32" s="179"/>
      <c r="M32" s="179"/>
      <c r="N32" s="179"/>
      <c r="O32" s="179"/>
      <c r="P32" s="179"/>
      <c r="Q32" s="179"/>
      <c r="R32" s="337">
        <f t="shared" si="13"/>
        <v>0</v>
      </c>
      <c r="S32" s="137" t="str">
        <f t="shared" si="14"/>
        <v>#DIV/0!</v>
      </c>
      <c r="T32" s="138"/>
      <c r="U32" s="138"/>
      <c r="V32" s="138"/>
      <c r="W32" s="132"/>
      <c r="X32" s="132"/>
      <c r="Y32" s="138"/>
      <c r="Z32" s="138"/>
      <c r="AA32" s="138"/>
      <c r="AB32" s="233"/>
      <c r="AC32" s="140"/>
      <c r="AD32" s="140"/>
      <c r="AE32" s="141"/>
      <c r="AF32" s="234"/>
      <c r="AG32" s="234"/>
      <c r="AH32" s="234"/>
      <c r="AI32" s="234"/>
      <c r="AJ32" s="239"/>
      <c r="AK32" s="239"/>
      <c r="AL32" s="135">
        <f t="shared" si="15"/>
        <v>0</v>
      </c>
      <c r="AM32" s="183" t="str">
        <f t="shared" si="16"/>
        <v>#DIV/0!</v>
      </c>
      <c r="AN32" s="241"/>
      <c r="AO32" s="241"/>
      <c r="AP32" s="233"/>
      <c r="AQ32" s="138"/>
      <c r="AR32" s="138"/>
      <c r="AS32" s="132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5">
        <f t="shared" si="17"/>
        <v>0</v>
      </c>
      <c r="BJ32" s="186">
        <f t="shared" si="18"/>
        <v>0</v>
      </c>
      <c r="BK32" s="138"/>
      <c r="BL32" s="132"/>
      <c r="BM32" s="138"/>
      <c r="BN32" s="138"/>
      <c r="BO32" s="138"/>
      <c r="BP32" s="138"/>
      <c r="BQ32" s="138"/>
      <c r="BR32" s="140"/>
      <c r="BS32" s="152"/>
      <c r="BT32" s="152"/>
      <c r="BU32" s="152"/>
      <c r="BV32" s="152"/>
      <c r="BW32" s="217"/>
      <c r="BX32" s="218"/>
      <c r="BY32" s="218"/>
      <c r="BZ32" s="218"/>
      <c r="CA32" s="218"/>
      <c r="CB32" s="218"/>
      <c r="CC32" s="218"/>
      <c r="CD32" s="218"/>
      <c r="CE32" s="218"/>
      <c r="CF32" s="156">
        <f t="shared" si="19"/>
        <v>0</v>
      </c>
      <c r="CG32" s="190" t="str">
        <f t="shared" si="20"/>
        <v>#DIV/0!</v>
      </c>
      <c r="CH32" s="233"/>
      <c r="CI32" s="153"/>
      <c r="CJ32" s="217"/>
      <c r="CK32" s="219"/>
      <c r="CL32" s="219"/>
      <c r="CM32" s="219"/>
      <c r="CN32" s="219"/>
      <c r="CO32" s="217"/>
      <c r="CP32" s="221"/>
      <c r="CQ32" s="221"/>
      <c r="CR32" s="161"/>
      <c r="CS32" s="163">
        <f t="shared" si="21"/>
        <v>0</v>
      </c>
      <c r="CT32" s="194" t="str">
        <f t="shared" si="22"/>
        <v>#DIV/0!</v>
      </c>
      <c r="CU32" s="196"/>
      <c r="CV32" s="167">
        <f t="shared" si="23"/>
        <v>0</v>
      </c>
      <c r="CW32" s="169">
        <f t="shared" si="8"/>
        <v>0</v>
      </c>
      <c r="CX32" s="197"/>
    </row>
    <row r="33" ht="15.75" customHeight="1">
      <c r="A33" s="122">
        <v>24.0</v>
      </c>
      <c r="B33" s="173" t="s">
        <v>93</v>
      </c>
      <c r="C33" s="199" t="s">
        <v>94</v>
      </c>
      <c r="D33" s="125">
        <f t="shared" si="9"/>
        <v>0</v>
      </c>
      <c r="E33" s="127">
        <f t="shared" si="10"/>
        <v>0</v>
      </c>
      <c r="F33" s="200">
        <f t="shared" si="11"/>
        <v>0</v>
      </c>
      <c r="G33" s="207">
        <f t="shared" si="12"/>
        <v>0</v>
      </c>
      <c r="H33" s="132"/>
      <c r="I33" s="229"/>
      <c r="J33" s="231"/>
      <c r="K33" s="231"/>
      <c r="L33" s="231"/>
      <c r="M33" s="231"/>
      <c r="N33" s="231"/>
      <c r="O33" s="231"/>
      <c r="P33" s="231"/>
      <c r="Q33" s="231"/>
      <c r="R33" s="337">
        <f t="shared" si="13"/>
        <v>0</v>
      </c>
      <c r="S33" s="137" t="str">
        <f t="shared" si="14"/>
        <v>#DIV/0!</v>
      </c>
      <c r="T33" s="138"/>
      <c r="U33" s="138"/>
      <c r="V33" s="138"/>
      <c r="W33" s="132"/>
      <c r="X33" s="132"/>
      <c r="Y33" s="138"/>
      <c r="Z33" s="138"/>
      <c r="AA33" s="138"/>
      <c r="AB33" s="233"/>
      <c r="AC33" s="140"/>
      <c r="AD33" s="140"/>
      <c r="AE33" s="141"/>
      <c r="AF33" s="234"/>
      <c r="AG33" s="234"/>
      <c r="AH33" s="234"/>
      <c r="AI33" s="234"/>
      <c r="AJ33" s="239"/>
      <c r="AK33" s="239"/>
      <c r="AL33" s="135">
        <f t="shared" si="15"/>
        <v>0</v>
      </c>
      <c r="AM33" s="183" t="str">
        <f t="shared" si="16"/>
        <v>#DIV/0!</v>
      </c>
      <c r="AN33" s="241"/>
      <c r="AO33" s="241"/>
      <c r="AP33" s="233"/>
      <c r="AQ33" s="138"/>
      <c r="AR33" s="138"/>
      <c r="AS33" s="132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5">
        <f t="shared" si="17"/>
        <v>0</v>
      </c>
      <c r="BJ33" s="186">
        <f t="shared" si="18"/>
        <v>0</v>
      </c>
      <c r="BK33" s="138"/>
      <c r="BL33" s="132"/>
      <c r="BM33" s="138"/>
      <c r="BN33" s="138"/>
      <c r="BO33" s="138"/>
      <c r="BP33" s="138"/>
      <c r="BQ33" s="138"/>
      <c r="BR33" s="140"/>
      <c r="BS33" s="152"/>
      <c r="BT33" s="152"/>
      <c r="BU33" s="152"/>
      <c r="BV33" s="152"/>
      <c r="BW33" s="217"/>
      <c r="BX33" s="218"/>
      <c r="BY33" s="218"/>
      <c r="BZ33" s="218"/>
      <c r="CA33" s="218"/>
      <c r="CB33" s="218"/>
      <c r="CC33" s="218"/>
      <c r="CD33" s="218"/>
      <c r="CE33" s="218"/>
      <c r="CF33" s="156">
        <f t="shared" si="19"/>
        <v>0</v>
      </c>
      <c r="CG33" s="190" t="str">
        <f t="shared" si="20"/>
        <v>#DIV/0!</v>
      </c>
      <c r="CH33" s="233"/>
      <c r="CI33" s="153"/>
      <c r="CJ33" s="217"/>
      <c r="CK33" s="219"/>
      <c r="CL33" s="219"/>
      <c r="CM33" s="219"/>
      <c r="CN33" s="219"/>
      <c r="CO33" s="217"/>
      <c r="CP33" s="221"/>
      <c r="CQ33" s="221"/>
      <c r="CR33" s="161"/>
      <c r="CS33" s="163">
        <f t="shared" si="21"/>
        <v>0</v>
      </c>
      <c r="CT33" s="194" t="str">
        <f t="shared" si="22"/>
        <v>#DIV/0!</v>
      </c>
      <c r="CU33" s="196"/>
      <c r="CV33" s="167">
        <f t="shared" si="23"/>
        <v>0</v>
      </c>
      <c r="CW33" s="169">
        <f t="shared" si="8"/>
        <v>0</v>
      </c>
      <c r="CX33" s="197"/>
    </row>
    <row r="34" ht="15.75" customHeight="1">
      <c r="A34" s="122">
        <v>25.0</v>
      </c>
      <c r="B34" s="173" t="s">
        <v>95</v>
      </c>
      <c r="C34" s="199" t="s">
        <v>96</v>
      </c>
      <c r="D34" s="125">
        <f t="shared" si="9"/>
        <v>4</v>
      </c>
      <c r="E34" s="127">
        <f t="shared" si="10"/>
        <v>80</v>
      </c>
      <c r="F34" s="200" t="str">
        <f t="shared" si="11"/>
        <v>  </v>
      </c>
      <c r="G34" s="177" t="str">
        <f t="shared" si="12"/>
        <v>  </v>
      </c>
      <c r="H34" s="178"/>
      <c r="I34" s="132"/>
      <c r="J34" s="201"/>
      <c r="K34" s="201"/>
      <c r="L34" s="201"/>
      <c r="M34" s="201"/>
      <c r="N34" s="201"/>
      <c r="O34" s="201"/>
      <c r="P34" s="201"/>
      <c r="Q34" s="201"/>
      <c r="R34" s="337">
        <f t="shared" si="13"/>
        <v>0</v>
      </c>
      <c r="S34" s="137" t="str">
        <f t="shared" si="14"/>
        <v>#DIV/0!</v>
      </c>
      <c r="T34" s="138"/>
      <c r="U34" s="138"/>
      <c r="V34" s="138"/>
      <c r="W34" s="132"/>
      <c r="X34" s="132"/>
      <c r="Y34" s="138"/>
      <c r="Z34" s="138"/>
      <c r="AA34" s="138"/>
      <c r="AB34" s="209"/>
      <c r="AC34" s="140"/>
      <c r="AD34" s="140"/>
      <c r="AE34" s="141"/>
      <c r="AF34" s="210"/>
      <c r="AG34" s="210"/>
      <c r="AH34" s="210"/>
      <c r="AI34" s="210"/>
      <c r="AJ34" s="212"/>
      <c r="AK34" s="212"/>
      <c r="AL34" s="135">
        <f t="shared" si="15"/>
        <v>0</v>
      </c>
      <c r="AM34" s="183" t="str">
        <f t="shared" si="16"/>
        <v>#DIV/0!</v>
      </c>
      <c r="AN34" s="214"/>
      <c r="AO34" s="214"/>
      <c r="AP34" s="209"/>
      <c r="AQ34" s="138"/>
      <c r="AR34" s="138"/>
      <c r="AS34" s="132"/>
      <c r="AT34" s="133"/>
      <c r="AU34" s="133"/>
      <c r="AV34" s="133"/>
      <c r="AW34" s="133"/>
      <c r="AX34" s="133"/>
      <c r="AY34" s="185">
        <v>1.0</v>
      </c>
      <c r="AZ34" s="185"/>
      <c r="BA34" s="185">
        <v>1.0</v>
      </c>
      <c r="BB34" s="185">
        <v>1.0</v>
      </c>
      <c r="BC34" s="185">
        <v>1.0</v>
      </c>
      <c r="BD34" s="133"/>
      <c r="BE34" s="133"/>
      <c r="BF34" s="133"/>
      <c r="BG34" s="133"/>
      <c r="BH34" s="133"/>
      <c r="BI34" s="135">
        <f t="shared" si="17"/>
        <v>4</v>
      </c>
      <c r="BJ34" s="186">
        <f t="shared" si="18"/>
        <v>80</v>
      </c>
      <c r="BK34" s="138"/>
      <c r="BL34" s="132"/>
      <c r="BM34" s="138"/>
      <c r="BN34" s="138"/>
      <c r="BO34" s="138"/>
      <c r="BP34" s="138"/>
      <c r="BQ34" s="138"/>
      <c r="BR34" s="140"/>
      <c r="BS34" s="152"/>
      <c r="BT34" s="152"/>
      <c r="BU34" s="152"/>
      <c r="BV34" s="152"/>
      <c r="BW34" s="217"/>
      <c r="BX34" s="218"/>
      <c r="BY34" s="218"/>
      <c r="BZ34" s="218"/>
      <c r="CA34" s="218"/>
      <c r="CB34" s="218"/>
      <c r="CC34" s="218"/>
      <c r="CD34" s="218"/>
      <c r="CE34" s="218"/>
      <c r="CF34" s="156">
        <f t="shared" si="19"/>
        <v>0</v>
      </c>
      <c r="CG34" s="190" t="str">
        <f t="shared" si="20"/>
        <v>#DIV/0!</v>
      </c>
      <c r="CH34" s="209"/>
      <c r="CI34" s="153"/>
      <c r="CJ34" s="217"/>
      <c r="CK34" s="219"/>
      <c r="CL34" s="219"/>
      <c r="CM34" s="219"/>
      <c r="CN34" s="219"/>
      <c r="CO34" s="217"/>
      <c r="CP34" s="221"/>
      <c r="CQ34" s="221"/>
      <c r="CR34" s="161"/>
      <c r="CS34" s="163">
        <f t="shared" si="21"/>
        <v>0</v>
      </c>
      <c r="CT34" s="194" t="str">
        <f t="shared" si="22"/>
        <v>#DIV/0!</v>
      </c>
      <c r="CU34" s="196"/>
      <c r="CV34" s="167">
        <f t="shared" si="23"/>
        <v>80</v>
      </c>
      <c r="CW34" s="169">
        <f t="shared" si="8"/>
        <v>4</v>
      </c>
      <c r="CX34" s="197"/>
    </row>
    <row r="35" ht="15.75" customHeight="1">
      <c r="A35" s="172">
        <v>26.0</v>
      </c>
      <c r="B35" s="173" t="s">
        <v>97</v>
      </c>
      <c r="C35" s="199" t="s">
        <v>98</v>
      </c>
      <c r="D35" s="125">
        <f t="shared" si="9"/>
        <v>4</v>
      </c>
      <c r="E35" s="127">
        <f t="shared" si="10"/>
        <v>80</v>
      </c>
      <c r="F35" s="175" t="str">
        <f t="shared" si="11"/>
        <v>  </v>
      </c>
      <c r="G35" s="177" t="str">
        <f t="shared" si="12"/>
        <v>  </v>
      </c>
      <c r="H35" s="132"/>
      <c r="I35" s="132"/>
      <c r="J35" s="245"/>
      <c r="K35" s="201"/>
      <c r="L35" s="245"/>
      <c r="M35" s="201"/>
      <c r="N35" s="201"/>
      <c r="O35" s="201"/>
      <c r="P35" s="201"/>
      <c r="Q35" s="201"/>
      <c r="R35" s="337">
        <f t="shared" si="13"/>
        <v>0</v>
      </c>
      <c r="S35" s="137" t="str">
        <f t="shared" si="14"/>
        <v>#DIV/0!</v>
      </c>
      <c r="T35" s="138"/>
      <c r="U35" s="138"/>
      <c r="V35" s="138"/>
      <c r="W35" s="132"/>
      <c r="X35" s="132"/>
      <c r="Y35" s="138"/>
      <c r="Z35" s="138"/>
      <c r="AA35" s="138"/>
      <c r="AB35" s="209"/>
      <c r="AC35" s="140"/>
      <c r="AD35" s="140"/>
      <c r="AE35" s="141"/>
      <c r="AF35" s="210"/>
      <c r="AG35" s="210"/>
      <c r="AH35" s="210"/>
      <c r="AI35" s="210"/>
      <c r="AJ35" s="212"/>
      <c r="AK35" s="212"/>
      <c r="AL35" s="135">
        <f t="shared" si="15"/>
        <v>0</v>
      </c>
      <c r="AM35" s="183" t="str">
        <f t="shared" si="16"/>
        <v>#DIV/0!</v>
      </c>
      <c r="AN35" s="214"/>
      <c r="AO35" s="214"/>
      <c r="AP35" s="209"/>
      <c r="AQ35" s="138"/>
      <c r="AR35" s="138"/>
      <c r="AS35" s="132"/>
      <c r="AT35" s="133"/>
      <c r="AU35" s="133"/>
      <c r="AV35" s="133"/>
      <c r="AW35" s="133"/>
      <c r="AX35" s="133"/>
      <c r="AY35" s="185">
        <v>1.0</v>
      </c>
      <c r="AZ35" s="185"/>
      <c r="BA35" s="185">
        <v>1.0</v>
      </c>
      <c r="BB35" s="185">
        <v>1.0</v>
      </c>
      <c r="BC35" s="185">
        <v>1.0</v>
      </c>
      <c r="BD35" s="133"/>
      <c r="BE35" s="133"/>
      <c r="BF35" s="133"/>
      <c r="BG35" s="133"/>
      <c r="BH35" s="133"/>
      <c r="BI35" s="135">
        <f t="shared" si="17"/>
        <v>4</v>
      </c>
      <c r="BJ35" s="186">
        <f t="shared" si="18"/>
        <v>80</v>
      </c>
      <c r="BK35" s="138"/>
      <c r="BL35" s="132"/>
      <c r="BM35" s="138"/>
      <c r="BN35" s="138"/>
      <c r="BO35" s="138"/>
      <c r="BP35" s="138"/>
      <c r="BQ35" s="138"/>
      <c r="BR35" s="140"/>
      <c r="BS35" s="152"/>
      <c r="BT35" s="152"/>
      <c r="BU35" s="152"/>
      <c r="BV35" s="152"/>
      <c r="BW35" s="217"/>
      <c r="BX35" s="218"/>
      <c r="BY35" s="218"/>
      <c r="BZ35" s="218"/>
      <c r="CA35" s="218"/>
      <c r="CB35" s="218"/>
      <c r="CC35" s="218"/>
      <c r="CD35" s="218"/>
      <c r="CE35" s="218"/>
      <c r="CF35" s="156">
        <f t="shared" si="19"/>
        <v>0</v>
      </c>
      <c r="CG35" s="190" t="str">
        <f t="shared" si="20"/>
        <v>#DIV/0!</v>
      </c>
      <c r="CH35" s="209"/>
      <c r="CI35" s="153"/>
      <c r="CJ35" s="217"/>
      <c r="CK35" s="219"/>
      <c r="CL35" s="219"/>
      <c r="CM35" s="219"/>
      <c r="CN35" s="219"/>
      <c r="CO35" s="217"/>
      <c r="CP35" s="221"/>
      <c r="CQ35" s="221"/>
      <c r="CR35" s="161"/>
      <c r="CS35" s="163">
        <f t="shared" si="21"/>
        <v>0</v>
      </c>
      <c r="CT35" s="194" t="str">
        <f t="shared" si="22"/>
        <v>#DIV/0!</v>
      </c>
      <c r="CU35" s="196"/>
      <c r="CV35" s="167">
        <f t="shared" si="23"/>
        <v>80</v>
      </c>
      <c r="CW35" s="169">
        <f t="shared" si="8"/>
        <v>4</v>
      </c>
      <c r="CX35" s="197"/>
    </row>
    <row r="36" ht="15.75" customHeight="1">
      <c r="A36" s="122">
        <v>27.0</v>
      </c>
      <c r="B36" s="173" t="s">
        <v>99</v>
      </c>
      <c r="C36" s="199" t="s">
        <v>100</v>
      </c>
      <c r="D36" s="125">
        <f t="shared" si="9"/>
        <v>0</v>
      </c>
      <c r="E36" s="127">
        <f t="shared" si="10"/>
        <v>0</v>
      </c>
      <c r="F36" s="200">
        <f t="shared" si="11"/>
        <v>0</v>
      </c>
      <c r="G36" s="207">
        <f t="shared" si="12"/>
        <v>0</v>
      </c>
      <c r="H36" s="132"/>
      <c r="I36" s="178"/>
      <c r="J36" s="179"/>
      <c r="K36" s="179"/>
      <c r="L36" s="179"/>
      <c r="M36" s="179"/>
      <c r="N36" s="179"/>
      <c r="O36" s="179"/>
      <c r="P36" s="179"/>
      <c r="Q36" s="179"/>
      <c r="R36" s="337">
        <f t="shared" si="13"/>
        <v>0</v>
      </c>
      <c r="S36" s="137" t="str">
        <f t="shared" si="14"/>
        <v>#DIV/0!</v>
      </c>
      <c r="T36" s="138"/>
      <c r="U36" s="138"/>
      <c r="V36" s="138"/>
      <c r="W36" s="132"/>
      <c r="X36" s="132"/>
      <c r="Y36" s="138"/>
      <c r="Z36" s="138"/>
      <c r="AA36" s="138"/>
      <c r="AB36" s="209"/>
      <c r="AC36" s="140"/>
      <c r="AD36" s="140"/>
      <c r="AE36" s="141"/>
      <c r="AF36" s="210"/>
      <c r="AG36" s="210"/>
      <c r="AH36" s="210"/>
      <c r="AI36" s="210"/>
      <c r="AJ36" s="212"/>
      <c r="AK36" s="212"/>
      <c r="AL36" s="135">
        <f t="shared" si="15"/>
        <v>0</v>
      </c>
      <c r="AM36" s="183" t="str">
        <f t="shared" si="16"/>
        <v>#DIV/0!</v>
      </c>
      <c r="AN36" s="214"/>
      <c r="AO36" s="214"/>
      <c r="AP36" s="209"/>
      <c r="AQ36" s="138"/>
      <c r="AR36" s="138"/>
      <c r="AS36" s="132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5">
        <f t="shared" si="17"/>
        <v>0</v>
      </c>
      <c r="BJ36" s="186">
        <f t="shared" si="18"/>
        <v>0</v>
      </c>
      <c r="BK36" s="138"/>
      <c r="BL36" s="132"/>
      <c r="BM36" s="138"/>
      <c r="BN36" s="138"/>
      <c r="BO36" s="138"/>
      <c r="BP36" s="138"/>
      <c r="BQ36" s="138"/>
      <c r="BR36" s="140"/>
      <c r="BS36" s="152"/>
      <c r="BT36" s="152"/>
      <c r="BU36" s="152"/>
      <c r="BV36" s="152"/>
      <c r="BW36" s="217"/>
      <c r="BX36" s="218"/>
      <c r="BY36" s="218"/>
      <c r="BZ36" s="218"/>
      <c r="CA36" s="218"/>
      <c r="CB36" s="218"/>
      <c r="CC36" s="218"/>
      <c r="CD36" s="218"/>
      <c r="CE36" s="218"/>
      <c r="CF36" s="156">
        <f t="shared" si="19"/>
        <v>0</v>
      </c>
      <c r="CG36" s="190" t="str">
        <f t="shared" si="20"/>
        <v>#DIV/0!</v>
      </c>
      <c r="CH36" s="209"/>
      <c r="CI36" s="153"/>
      <c r="CJ36" s="217"/>
      <c r="CK36" s="219"/>
      <c r="CL36" s="219"/>
      <c r="CM36" s="219"/>
      <c r="CN36" s="219"/>
      <c r="CO36" s="217"/>
      <c r="CP36" s="221"/>
      <c r="CQ36" s="221"/>
      <c r="CR36" s="161"/>
      <c r="CS36" s="163">
        <f t="shared" si="21"/>
        <v>0</v>
      </c>
      <c r="CT36" s="194" t="str">
        <f t="shared" si="22"/>
        <v>#DIV/0!</v>
      </c>
      <c r="CU36" s="196"/>
      <c r="CV36" s="167">
        <f t="shared" si="23"/>
        <v>0</v>
      </c>
      <c r="CW36" s="169">
        <f t="shared" si="8"/>
        <v>0</v>
      </c>
      <c r="CX36" s="197"/>
    </row>
    <row r="37" ht="15.75" customHeight="1">
      <c r="A37" s="122">
        <v>28.0</v>
      </c>
      <c r="B37" s="173" t="s">
        <v>101</v>
      </c>
      <c r="C37" s="199" t="s">
        <v>102</v>
      </c>
      <c r="D37" s="125">
        <f t="shared" si="9"/>
        <v>0</v>
      </c>
      <c r="E37" s="127">
        <f t="shared" si="10"/>
        <v>0</v>
      </c>
      <c r="F37" s="200">
        <f t="shared" si="11"/>
        <v>0</v>
      </c>
      <c r="G37" s="207">
        <f t="shared" si="12"/>
        <v>0</v>
      </c>
      <c r="H37" s="132"/>
      <c r="I37" s="178"/>
      <c r="J37" s="179"/>
      <c r="K37" s="179"/>
      <c r="L37" s="179"/>
      <c r="M37" s="179"/>
      <c r="N37" s="179"/>
      <c r="O37" s="179"/>
      <c r="P37" s="179"/>
      <c r="Q37" s="179"/>
      <c r="R37" s="337">
        <f t="shared" si="13"/>
        <v>0</v>
      </c>
      <c r="S37" s="137" t="str">
        <f t="shared" si="14"/>
        <v>#DIV/0!</v>
      </c>
      <c r="T37" s="138"/>
      <c r="U37" s="138"/>
      <c r="V37" s="138"/>
      <c r="W37" s="132"/>
      <c r="X37" s="132"/>
      <c r="Y37" s="138"/>
      <c r="Z37" s="138"/>
      <c r="AA37" s="138"/>
      <c r="AB37" s="209"/>
      <c r="AC37" s="140"/>
      <c r="AD37" s="140"/>
      <c r="AE37" s="141"/>
      <c r="AF37" s="210"/>
      <c r="AG37" s="210"/>
      <c r="AH37" s="210"/>
      <c r="AI37" s="210"/>
      <c r="AJ37" s="212"/>
      <c r="AK37" s="212"/>
      <c r="AL37" s="135">
        <f t="shared" si="15"/>
        <v>0</v>
      </c>
      <c r="AM37" s="183" t="str">
        <f t="shared" si="16"/>
        <v>#DIV/0!</v>
      </c>
      <c r="AN37" s="214"/>
      <c r="AO37" s="214"/>
      <c r="AP37" s="209"/>
      <c r="AQ37" s="138"/>
      <c r="AR37" s="138"/>
      <c r="AS37" s="132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5">
        <f t="shared" si="17"/>
        <v>0</v>
      </c>
      <c r="BJ37" s="186">
        <f t="shared" si="18"/>
        <v>0</v>
      </c>
      <c r="BK37" s="138"/>
      <c r="BL37" s="132"/>
      <c r="BM37" s="138"/>
      <c r="BN37" s="138"/>
      <c r="BO37" s="138"/>
      <c r="BP37" s="138"/>
      <c r="BQ37" s="138"/>
      <c r="BR37" s="140"/>
      <c r="BS37" s="152"/>
      <c r="BT37" s="152"/>
      <c r="BU37" s="152"/>
      <c r="BV37" s="152"/>
      <c r="BW37" s="217"/>
      <c r="BX37" s="218"/>
      <c r="BY37" s="218"/>
      <c r="BZ37" s="218"/>
      <c r="CA37" s="218"/>
      <c r="CB37" s="218"/>
      <c r="CC37" s="218"/>
      <c r="CD37" s="218"/>
      <c r="CE37" s="218"/>
      <c r="CF37" s="156">
        <f t="shared" si="19"/>
        <v>0</v>
      </c>
      <c r="CG37" s="190" t="str">
        <f t="shared" si="20"/>
        <v>#DIV/0!</v>
      </c>
      <c r="CH37" s="209"/>
      <c r="CI37" s="153"/>
      <c r="CJ37" s="217"/>
      <c r="CK37" s="219"/>
      <c r="CL37" s="219"/>
      <c r="CM37" s="219"/>
      <c r="CN37" s="219"/>
      <c r="CO37" s="217"/>
      <c r="CP37" s="221"/>
      <c r="CQ37" s="221"/>
      <c r="CR37" s="161"/>
      <c r="CS37" s="163">
        <f t="shared" si="21"/>
        <v>0</v>
      </c>
      <c r="CT37" s="194" t="str">
        <f t="shared" si="22"/>
        <v>#DIV/0!</v>
      </c>
      <c r="CU37" s="196"/>
      <c r="CV37" s="167">
        <f t="shared" si="23"/>
        <v>0</v>
      </c>
      <c r="CW37" s="169">
        <f t="shared" si="8"/>
        <v>0</v>
      </c>
      <c r="CX37" s="197"/>
    </row>
    <row r="38" ht="15.75" customHeight="1">
      <c r="A38" s="172">
        <v>29.0</v>
      </c>
      <c r="B38" s="173" t="s">
        <v>103</v>
      </c>
      <c r="C38" s="199" t="s">
        <v>104</v>
      </c>
      <c r="D38" s="125">
        <f t="shared" si="9"/>
        <v>5</v>
      </c>
      <c r="E38" s="127">
        <f t="shared" si="10"/>
        <v>100</v>
      </c>
      <c r="F38" s="200" t="str">
        <f t="shared" si="11"/>
        <v>  </v>
      </c>
      <c r="G38" s="177" t="str">
        <f t="shared" si="12"/>
        <v>  </v>
      </c>
      <c r="H38" s="132"/>
      <c r="I38" s="178"/>
      <c r="J38" s="179"/>
      <c r="K38" s="179"/>
      <c r="L38" s="179"/>
      <c r="M38" s="179"/>
      <c r="N38" s="179"/>
      <c r="O38" s="179"/>
      <c r="P38" s="179"/>
      <c r="Q38" s="179"/>
      <c r="R38" s="337">
        <f t="shared" si="13"/>
        <v>0</v>
      </c>
      <c r="S38" s="137" t="str">
        <f t="shared" si="14"/>
        <v>#DIV/0!</v>
      </c>
      <c r="T38" s="138"/>
      <c r="U38" s="138"/>
      <c r="V38" s="138"/>
      <c r="W38" s="132"/>
      <c r="X38" s="132"/>
      <c r="Y38" s="138"/>
      <c r="Z38" s="138"/>
      <c r="AA38" s="138"/>
      <c r="AB38" s="209"/>
      <c r="AC38" s="140"/>
      <c r="AD38" s="140"/>
      <c r="AE38" s="141"/>
      <c r="AF38" s="210"/>
      <c r="AG38" s="210"/>
      <c r="AH38" s="210"/>
      <c r="AI38" s="210"/>
      <c r="AJ38" s="212"/>
      <c r="AK38" s="212"/>
      <c r="AL38" s="135">
        <f t="shared" si="15"/>
        <v>0</v>
      </c>
      <c r="AM38" s="183" t="str">
        <f t="shared" si="16"/>
        <v>#DIV/0!</v>
      </c>
      <c r="AN38" s="214"/>
      <c r="AO38" s="214"/>
      <c r="AP38" s="209"/>
      <c r="AQ38" s="138"/>
      <c r="AR38" s="138"/>
      <c r="AS38" s="132"/>
      <c r="AT38" s="133"/>
      <c r="AU38" s="133"/>
      <c r="AV38" s="133"/>
      <c r="AW38" s="133"/>
      <c r="AX38" s="133"/>
      <c r="AY38" s="185">
        <v>1.0</v>
      </c>
      <c r="AZ38" s="185">
        <v>1.0</v>
      </c>
      <c r="BA38" s="185">
        <v>1.0</v>
      </c>
      <c r="BB38" s="185">
        <v>1.0</v>
      </c>
      <c r="BC38" s="185">
        <v>1.0</v>
      </c>
      <c r="BD38" s="133"/>
      <c r="BE38" s="133"/>
      <c r="BF38" s="133"/>
      <c r="BG38" s="133"/>
      <c r="BH38" s="133"/>
      <c r="BI38" s="135">
        <f t="shared" si="17"/>
        <v>5</v>
      </c>
      <c r="BJ38" s="186">
        <f t="shared" si="18"/>
        <v>100</v>
      </c>
      <c r="BK38" s="138"/>
      <c r="BL38" s="132"/>
      <c r="BM38" s="138"/>
      <c r="BN38" s="138"/>
      <c r="BO38" s="138"/>
      <c r="BP38" s="138"/>
      <c r="BQ38" s="138"/>
      <c r="BR38" s="140"/>
      <c r="BS38" s="152"/>
      <c r="BT38" s="152"/>
      <c r="BU38" s="152"/>
      <c r="BV38" s="152"/>
      <c r="BW38" s="217"/>
      <c r="BX38" s="218"/>
      <c r="BY38" s="218"/>
      <c r="BZ38" s="218"/>
      <c r="CA38" s="218"/>
      <c r="CB38" s="218"/>
      <c r="CC38" s="218"/>
      <c r="CD38" s="218"/>
      <c r="CE38" s="218"/>
      <c r="CF38" s="156">
        <f t="shared" si="19"/>
        <v>0</v>
      </c>
      <c r="CG38" s="190" t="str">
        <f t="shared" si="20"/>
        <v>#DIV/0!</v>
      </c>
      <c r="CH38" s="209"/>
      <c r="CI38" s="153"/>
      <c r="CJ38" s="217"/>
      <c r="CK38" s="219"/>
      <c r="CL38" s="219"/>
      <c r="CM38" s="219"/>
      <c r="CN38" s="219"/>
      <c r="CO38" s="217"/>
      <c r="CP38" s="221"/>
      <c r="CQ38" s="221"/>
      <c r="CR38" s="161"/>
      <c r="CS38" s="163">
        <f t="shared" si="21"/>
        <v>0</v>
      </c>
      <c r="CT38" s="194" t="str">
        <f t="shared" si="22"/>
        <v>#DIV/0!</v>
      </c>
      <c r="CU38" s="196"/>
      <c r="CV38" s="167">
        <f t="shared" si="23"/>
        <v>100</v>
      </c>
      <c r="CW38" s="169">
        <f t="shared" si="8"/>
        <v>5</v>
      </c>
      <c r="CX38" s="197"/>
    </row>
    <row r="39" ht="15.75" customHeight="1">
      <c r="A39" s="122">
        <v>30.0</v>
      </c>
      <c r="B39" s="173" t="s">
        <v>105</v>
      </c>
      <c r="C39" s="199" t="s">
        <v>106</v>
      </c>
      <c r="D39" s="125">
        <f t="shared" si="9"/>
        <v>0</v>
      </c>
      <c r="E39" s="127">
        <f t="shared" si="10"/>
        <v>0</v>
      </c>
      <c r="F39" s="200">
        <f t="shared" si="11"/>
        <v>0</v>
      </c>
      <c r="G39" s="207">
        <f t="shared" si="12"/>
        <v>0</v>
      </c>
      <c r="H39" s="132"/>
      <c r="I39" s="132"/>
      <c r="J39" s="201"/>
      <c r="K39" s="201"/>
      <c r="L39" s="201"/>
      <c r="M39" s="201"/>
      <c r="N39" s="201"/>
      <c r="O39" s="201"/>
      <c r="P39" s="201"/>
      <c r="Q39" s="201"/>
      <c r="R39" s="337">
        <f t="shared" si="13"/>
        <v>0</v>
      </c>
      <c r="S39" s="137" t="str">
        <f t="shared" si="14"/>
        <v>#DIV/0!</v>
      </c>
      <c r="T39" s="138"/>
      <c r="U39" s="138"/>
      <c r="V39" s="138"/>
      <c r="W39" s="132"/>
      <c r="X39" s="132"/>
      <c r="Y39" s="138"/>
      <c r="Z39" s="138"/>
      <c r="AA39" s="138"/>
      <c r="AB39" s="233"/>
      <c r="AC39" s="140"/>
      <c r="AD39" s="140"/>
      <c r="AE39" s="141"/>
      <c r="AF39" s="234"/>
      <c r="AG39" s="234"/>
      <c r="AH39" s="234"/>
      <c r="AI39" s="234"/>
      <c r="AJ39" s="239"/>
      <c r="AK39" s="239"/>
      <c r="AL39" s="135">
        <f t="shared" si="15"/>
        <v>0</v>
      </c>
      <c r="AM39" s="183" t="str">
        <f t="shared" si="16"/>
        <v>#DIV/0!</v>
      </c>
      <c r="AN39" s="241"/>
      <c r="AO39" s="241"/>
      <c r="AP39" s="233"/>
      <c r="AQ39" s="138"/>
      <c r="AR39" s="138"/>
      <c r="AS39" s="132"/>
      <c r="AT39" s="133"/>
      <c r="AU39" s="133"/>
      <c r="AV39" s="133"/>
      <c r="AW39" s="133"/>
      <c r="AX39" s="133"/>
      <c r="AY39" s="185"/>
      <c r="AZ39" s="185"/>
      <c r="BA39" s="185"/>
      <c r="BB39" s="185"/>
      <c r="BC39" s="185"/>
      <c r="BD39" s="133"/>
      <c r="BE39" s="133"/>
      <c r="BF39" s="133"/>
      <c r="BG39" s="133"/>
      <c r="BH39" s="133"/>
      <c r="BI39" s="135">
        <f t="shared" si="17"/>
        <v>0</v>
      </c>
      <c r="BJ39" s="186">
        <f t="shared" si="18"/>
        <v>0</v>
      </c>
      <c r="BK39" s="138"/>
      <c r="BL39" s="132"/>
      <c r="BM39" s="138"/>
      <c r="BN39" s="138"/>
      <c r="BO39" s="138"/>
      <c r="BP39" s="138"/>
      <c r="BQ39" s="138"/>
      <c r="BR39" s="140"/>
      <c r="BS39" s="152"/>
      <c r="BT39" s="152"/>
      <c r="BU39" s="152"/>
      <c r="BV39" s="152"/>
      <c r="BW39" s="217"/>
      <c r="BX39" s="218"/>
      <c r="BY39" s="218"/>
      <c r="BZ39" s="218"/>
      <c r="CA39" s="218"/>
      <c r="CB39" s="218"/>
      <c r="CC39" s="218"/>
      <c r="CD39" s="218"/>
      <c r="CE39" s="218"/>
      <c r="CF39" s="156">
        <f t="shared" si="19"/>
        <v>0</v>
      </c>
      <c r="CG39" s="190" t="str">
        <f t="shared" si="20"/>
        <v>#DIV/0!</v>
      </c>
      <c r="CH39" s="233"/>
      <c r="CI39" s="153"/>
      <c r="CJ39" s="217"/>
      <c r="CK39" s="219"/>
      <c r="CL39" s="219"/>
      <c r="CM39" s="219"/>
      <c r="CN39" s="219"/>
      <c r="CO39" s="217"/>
      <c r="CP39" s="221"/>
      <c r="CQ39" s="221"/>
      <c r="CR39" s="161"/>
      <c r="CS39" s="163">
        <f t="shared" si="21"/>
        <v>0</v>
      </c>
      <c r="CT39" s="194" t="str">
        <f t="shared" si="22"/>
        <v>#DIV/0!</v>
      </c>
      <c r="CU39" s="196"/>
      <c r="CV39" s="167">
        <f t="shared" si="23"/>
        <v>0</v>
      </c>
      <c r="CW39" s="169">
        <f t="shared" si="8"/>
        <v>0</v>
      </c>
      <c r="CX39" s="197"/>
    </row>
    <row r="40" ht="15.75" customHeight="1">
      <c r="A40" s="122">
        <v>31.0</v>
      </c>
      <c r="B40" s="173" t="s">
        <v>107</v>
      </c>
      <c r="C40" s="199" t="s">
        <v>108</v>
      </c>
      <c r="D40" s="125">
        <f t="shared" si="9"/>
        <v>0</v>
      </c>
      <c r="E40" s="127">
        <f t="shared" si="10"/>
        <v>0</v>
      </c>
      <c r="F40" s="200">
        <f t="shared" si="11"/>
        <v>0</v>
      </c>
      <c r="G40" s="207">
        <f t="shared" si="12"/>
        <v>0</v>
      </c>
      <c r="H40" s="132"/>
      <c r="I40" s="132"/>
      <c r="J40" s="201"/>
      <c r="K40" s="201"/>
      <c r="L40" s="201"/>
      <c r="M40" s="201"/>
      <c r="N40" s="201"/>
      <c r="O40" s="201"/>
      <c r="P40" s="201"/>
      <c r="Q40" s="201"/>
      <c r="R40" s="337">
        <f t="shared" si="13"/>
        <v>0</v>
      </c>
      <c r="S40" s="137" t="str">
        <f t="shared" si="14"/>
        <v>#DIV/0!</v>
      </c>
      <c r="T40" s="138"/>
      <c r="U40" s="138"/>
      <c r="V40" s="138"/>
      <c r="W40" s="132"/>
      <c r="X40" s="132"/>
      <c r="Y40" s="138"/>
      <c r="Z40" s="138"/>
      <c r="AA40" s="138"/>
      <c r="AB40" s="209"/>
      <c r="AC40" s="140"/>
      <c r="AD40" s="140"/>
      <c r="AE40" s="141"/>
      <c r="AF40" s="210"/>
      <c r="AG40" s="210"/>
      <c r="AH40" s="210"/>
      <c r="AI40" s="210"/>
      <c r="AJ40" s="212"/>
      <c r="AK40" s="212"/>
      <c r="AL40" s="135">
        <f t="shared" si="15"/>
        <v>0</v>
      </c>
      <c r="AM40" s="183" t="str">
        <f t="shared" si="16"/>
        <v>#DIV/0!</v>
      </c>
      <c r="AN40" s="214"/>
      <c r="AO40" s="214"/>
      <c r="AP40" s="209"/>
      <c r="AQ40" s="138"/>
      <c r="AR40" s="138"/>
      <c r="AS40" s="132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5">
        <f t="shared" si="17"/>
        <v>0</v>
      </c>
      <c r="BJ40" s="186">
        <f t="shared" si="18"/>
        <v>0</v>
      </c>
      <c r="BK40" s="138"/>
      <c r="BL40" s="132"/>
      <c r="BM40" s="138"/>
      <c r="BN40" s="138"/>
      <c r="BO40" s="138"/>
      <c r="BP40" s="138"/>
      <c r="BQ40" s="138"/>
      <c r="BR40" s="140"/>
      <c r="BS40" s="152"/>
      <c r="BT40" s="152"/>
      <c r="BU40" s="152"/>
      <c r="BV40" s="152"/>
      <c r="BW40" s="217"/>
      <c r="BX40" s="218"/>
      <c r="BY40" s="218"/>
      <c r="BZ40" s="218"/>
      <c r="CA40" s="218"/>
      <c r="CB40" s="218"/>
      <c r="CC40" s="218"/>
      <c r="CD40" s="218"/>
      <c r="CE40" s="218"/>
      <c r="CF40" s="156">
        <f t="shared" si="19"/>
        <v>0</v>
      </c>
      <c r="CG40" s="190" t="str">
        <f t="shared" si="20"/>
        <v>#DIV/0!</v>
      </c>
      <c r="CH40" s="209"/>
      <c r="CI40" s="153"/>
      <c r="CJ40" s="217"/>
      <c r="CK40" s="219"/>
      <c r="CL40" s="219"/>
      <c r="CM40" s="219"/>
      <c r="CN40" s="219"/>
      <c r="CO40" s="217"/>
      <c r="CP40" s="221"/>
      <c r="CQ40" s="221"/>
      <c r="CR40" s="161"/>
      <c r="CS40" s="163">
        <f t="shared" si="21"/>
        <v>0</v>
      </c>
      <c r="CT40" s="194" t="str">
        <f t="shared" si="22"/>
        <v>#DIV/0!</v>
      </c>
      <c r="CU40" s="196"/>
      <c r="CV40" s="167">
        <f t="shared" si="23"/>
        <v>0</v>
      </c>
      <c r="CW40" s="169">
        <f t="shared" si="8"/>
        <v>0</v>
      </c>
      <c r="CX40" s="197"/>
    </row>
    <row r="41" ht="15.75" customHeight="1">
      <c r="A41" s="172">
        <v>32.0</v>
      </c>
      <c r="B41" s="173" t="s">
        <v>109</v>
      </c>
      <c r="C41" s="199" t="s">
        <v>110</v>
      </c>
      <c r="D41" s="125">
        <f t="shared" si="9"/>
        <v>5</v>
      </c>
      <c r="E41" s="127">
        <f t="shared" si="10"/>
        <v>100</v>
      </c>
      <c r="F41" s="175" t="str">
        <f t="shared" si="11"/>
        <v>  </v>
      </c>
      <c r="G41" s="177" t="str">
        <f t="shared" si="12"/>
        <v>  </v>
      </c>
      <c r="H41" s="178"/>
      <c r="I41" s="178"/>
      <c r="J41" s="179"/>
      <c r="K41" s="179"/>
      <c r="L41" s="179"/>
      <c r="M41" s="179"/>
      <c r="N41" s="179"/>
      <c r="O41" s="179"/>
      <c r="P41" s="179"/>
      <c r="Q41" s="179"/>
      <c r="R41" s="337">
        <f t="shared" si="13"/>
        <v>0</v>
      </c>
      <c r="S41" s="137" t="str">
        <f t="shared" si="14"/>
        <v>#DIV/0!</v>
      </c>
      <c r="T41" s="138"/>
      <c r="U41" s="138"/>
      <c r="V41" s="138"/>
      <c r="W41" s="132"/>
      <c r="X41" s="132"/>
      <c r="Y41" s="138"/>
      <c r="Z41" s="138"/>
      <c r="AA41" s="138"/>
      <c r="AB41" s="209"/>
      <c r="AC41" s="140"/>
      <c r="AD41" s="140"/>
      <c r="AE41" s="141"/>
      <c r="AF41" s="210"/>
      <c r="AG41" s="210"/>
      <c r="AH41" s="210"/>
      <c r="AI41" s="210"/>
      <c r="AJ41" s="212"/>
      <c r="AK41" s="212"/>
      <c r="AL41" s="135">
        <f t="shared" si="15"/>
        <v>0</v>
      </c>
      <c r="AM41" s="183" t="str">
        <f t="shared" si="16"/>
        <v>#DIV/0!</v>
      </c>
      <c r="AN41" s="214"/>
      <c r="AO41" s="214"/>
      <c r="AP41" s="209"/>
      <c r="AQ41" s="138"/>
      <c r="AR41" s="138"/>
      <c r="AS41" s="132"/>
      <c r="AT41" s="133"/>
      <c r="AU41" s="133"/>
      <c r="AV41" s="133"/>
      <c r="AW41" s="133"/>
      <c r="AX41" s="133"/>
      <c r="AY41" s="185">
        <v>1.0</v>
      </c>
      <c r="AZ41" s="185">
        <v>1.0</v>
      </c>
      <c r="BA41" s="185">
        <v>1.0</v>
      </c>
      <c r="BB41" s="185">
        <v>1.0</v>
      </c>
      <c r="BC41" s="185">
        <v>1.0</v>
      </c>
      <c r="BD41" s="133"/>
      <c r="BE41" s="133"/>
      <c r="BF41" s="133"/>
      <c r="BG41" s="133"/>
      <c r="BH41" s="133"/>
      <c r="BI41" s="135">
        <f t="shared" si="17"/>
        <v>5</v>
      </c>
      <c r="BJ41" s="186">
        <f t="shared" si="18"/>
        <v>100</v>
      </c>
      <c r="BK41" s="138"/>
      <c r="BL41" s="132"/>
      <c r="BM41" s="138"/>
      <c r="BN41" s="138"/>
      <c r="BO41" s="138"/>
      <c r="BP41" s="138"/>
      <c r="BQ41" s="138"/>
      <c r="BR41" s="140"/>
      <c r="BS41" s="152"/>
      <c r="BT41" s="152"/>
      <c r="BU41" s="152"/>
      <c r="BV41" s="152"/>
      <c r="BW41" s="217"/>
      <c r="BX41" s="218"/>
      <c r="BY41" s="218"/>
      <c r="BZ41" s="218"/>
      <c r="CA41" s="218"/>
      <c r="CB41" s="218"/>
      <c r="CC41" s="218"/>
      <c r="CD41" s="218"/>
      <c r="CE41" s="218"/>
      <c r="CF41" s="156">
        <f t="shared" si="19"/>
        <v>0</v>
      </c>
      <c r="CG41" s="190" t="str">
        <f t="shared" si="20"/>
        <v>#DIV/0!</v>
      </c>
      <c r="CH41" s="209"/>
      <c r="CI41" s="153"/>
      <c r="CJ41" s="217"/>
      <c r="CK41" s="219"/>
      <c r="CL41" s="219"/>
      <c r="CM41" s="219"/>
      <c r="CN41" s="219"/>
      <c r="CO41" s="217"/>
      <c r="CP41" s="221"/>
      <c r="CQ41" s="221"/>
      <c r="CR41" s="161"/>
      <c r="CS41" s="163">
        <f t="shared" si="21"/>
        <v>0</v>
      </c>
      <c r="CT41" s="194" t="str">
        <f t="shared" si="22"/>
        <v>#DIV/0!</v>
      </c>
      <c r="CU41" s="196"/>
      <c r="CV41" s="167">
        <f t="shared" si="23"/>
        <v>100</v>
      </c>
      <c r="CW41" s="169">
        <f t="shared" si="8"/>
        <v>5</v>
      </c>
      <c r="CX41" s="197"/>
    </row>
    <row r="42" ht="15.75" customHeight="1">
      <c r="A42" s="122">
        <v>33.0</v>
      </c>
      <c r="B42" s="173" t="s">
        <v>111</v>
      </c>
      <c r="C42" s="199" t="s">
        <v>112</v>
      </c>
      <c r="D42" s="125">
        <f t="shared" si="9"/>
        <v>0</v>
      </c>
      <c r="E42" s="127">
        <f t="shared" si="10"/>
        <v>0</v>
      </c>
      <c r="F42" s="200">
        <f t="shared" si="11"/>
        <v>0</v>
      </c>
      <c r="G42" s="207">
        <f t="shared" si="12"/>
        <v>0</v>
      </c>
      <c r="H42" s="132"/>
      <c r="I42" s="132"/>
      <c r="J42" s="201"/>
      <c r="K42" s="201"/>
      <c r="L42" s="201"/>
      <c r="M42" s="201"/>
      <c r="N42" s="201"/>
      <c r="O42" s="201"/>
      <c r="P42" s="201"/>
      <c r="Q42" s="201"/>
      <c r="R42" s="337">
        <f t="shared" si="13"/>
        <v>0</v>
      </c>
      <c r="S42" s="137" t="str">
        <f t="shared" si="14"/>
        <v>#DIV/0!</v>
      </c>
      <c r="T42" s="138"/>
      <c r="U42" s="138"/>
      <c r="V42" s="138"/>
      <c r="W42" s="132"/>
      <c r="X42" s="132"/>
      <c r="Y42" s="138"/>
      <c r="Z42" s="138"/>
      <c r="AA42" s="138"/>
      <c r="AB42" s="209"/>
      <c r="AC42" s="140"/>
      <c r="AD42" s="140"/>
      <c r="AE42" s="141"/>
      <c r="AF42" s="210"/>
      <c r="AG42" s="210"/>
      <c r="AH42" s="210"/>
      <c r="AI42" s="210"/>
      <c r="AJ42" s="212"/>
      <c r="AK42" s="212"/>
      <c r="AL42" s="135">
        <f t="shared" si="15"/>
        <v>0</v>
      </c>
      <c r="AM42" s="183" t="str">
        <f t="shared" si="16"/>
        <v>#DIV/0!</v>
      </c>
      <c r="AN42" s="214"/>
      <c r="AO42" s="214"/>
      <c r="AP42" s="209"/>
      <c r="AQ42" s="138"/>
      <c r="AR42" s="138"/>
      <c r="AS42" s="132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5">
        <f t="shared" si="17"/>
        <v>0</v>
      </c>
      <c r="BJ42" s="186">
        <f t="shared" si="18"/>
        <v>0</v>
      </c>
      <c r="BK42" s="138"/>
      <c r="BL42" s="132"/>
      <c r="BM42" s="138"/>
      <c r="BN42" s="138"/>
      <c r="BO42" s="138"/>
      <c r="BP42" s="138"/>
      <c r="BQ42" s="138"/>
      <c r="BR42" s="140"/>
      <c r="BS42" s="152"/>
      <c r="BT42" s="152"/>
      <c r="BU42" s="152"/>
      <c r="BV42" s="152"/>
      <c r="BW42" s="217"/>
      <c r="BX42" s="218"/>
      <c r="BY42" s="218"/>
      <c r="BZ42" s="218"/>
      <c r="CA42" s="218"/>
      <c r="CB42" s="218"/>
      <c r="CC42" s="218"/>
      <c r="CD42" s="218"/>
      <c r="CE42" s="218"/>
      <c r="CF42" s="156">
        <f t="shared" si="19"/>
        <v>0</v>
      </c>
      <c r="CG42" s="190" t="str">
        <f t="shared" si="20"/>
        <v>#DIV/0!</v>
      </c>
      <c r="CH42" s="209"/>
      <c r="CI42" s="153"/>
      <c r="CJ42" s="217"/>
      <c r="CK42" s="219"/>
      <c r="CL42" s="219"/>
      <c r="CM42" s="219"/>
      <c r="CN42" s="219"/>
      <c r="CO42" s="217"/>
      <c r="CP42" s="221"/>
      <c r="CQ42" s="221"/>
      <c r="CR42" s="161"/>
      <c r="CS42" s="163">
        <f t="shared" si="21"/>
        <v>0</v>
      </c>
      <c r="CT42" s="194" t="str">
        <f t="shared" si="22"/>
        <v>#DIV/0!</v>
      </c>
      <c r="CU42" s="196"/>
      <c r="CV42" s="167">
        <f t="shared" si="23"/>
        <v>0</v>
      </c>
      <c r="CW42" s="169">
        <f t="shared" si="8"/>
        <v>0</v>
      </c>
      <c r="CX42" s="197"/>
    </row>
    <row r="43" ht="15.75" customHeight="1">
      <c r="A43" s="122">
        <v>34.0</v>
      </c>
      <c r="B43" s="173" t="s">
        <v>113</v>
      </c>
      <c r="C43" s="199" t="s">
        <v>114</v>
      </c>
      <c r="D43" s="125">
        <f t="shared" si="9"/>
        <v>5</v>
      </c>
      <c r="E43" s="127">
        <f t="shared" si="10"/>
        <v>100</v>
      </c>
      <c r="F43" s="200" t="str">
        <f t="shared" si="11"/>
        <v>  </v>
      </c>
      <c r="G43" s="177" t="str">
        <f t="shared" si="12"/>
        <v>  </v>
      </c>
      <c r="H43" s="132"/>
      <c r="I43" s="132"/>
      <c r="J43" s="201"/>
      <c r="K43" s="201"/>
      <c r="L43" s="201"/>
      <c r="M43" s="201"/>
      <c r="N43" s="201"/>
      <c r="O43" s="201"/>
      <c r="P43" s="201"/>
      <c r="Q43" s="201"/>
      <c r="R43" s="337">
        <f t="shared" si="13"/>
        <v>0</v>
      </c>
      <c r="S43" s="137" t="str">
        <f t="shared" si="14"/>
        <v>#DIV/0!</v>
      </c>
      <c r="T43" s="138"/>
      <c r="U43" s="138"/>
      <c r="V43" s="138"/>
      <c r="W43" s="132"/>
      <c r="X43" s="132"/>
      <c r="Y43" s="138"/>
      <c r="Z43" s="138"/>
      <c r="AA43" s="138"/>
      <c r="AB43" s="217"/>
      <c r="AC43" s="140"/>
      <c r="AD43" s="140"/>
      <c r="AE43" s="141"/>
      <c r="AF43" s="226"/>
      <c r="AG43" s="226"/>
      <c r="AH43" s="226"/>
      <c r="AI43" s="226"/>
      <c r="AJ43" s="218"/>
      <c r="AK43" s="218"/>
      <c r="AL43" s="135">
        <f t="shared" si="15"/>
        <v>0</v>
      </c>
      <c r="AM43" s="183" t="str">
        <f t="shared" si="16"/>
        <v>#DIV/0!</v>
      </c>
      <c r="AN43" s="228"/>
      <c r="AO43" s="228"/>
      <c r="AP43" s="217"/>
      <c r="AQ43" s="138"/>
      <c r="AR43" s="138"/>
      <c r="AS43" s="132"/>
      <c r="AT43" s="133"/>
      <c r="AU43" s="133"/>
      <c r="AV43" s="133"/>
      <c r="AW43" s="133"/>
      <c r="AX43" s="133"/>
      <c r="AY43" s="185">
        <v>1.0</v>
      </c>
      <c r="AZ43" s="185">
        <v>1.0</v>
      </c>
      <c r="BA43" s="185">
        <v>1.0</v>
      </c>
      <c r="BB43" s="185">
        <v>1.0</v>
      </c>
      <c r="BC43" s="185">
        <v>1.0</v>
      </c>
      <c r="BD43" s="133"/>
      <c r="BE43" s="133"/>
      <c r="BF43" s="133"/>
      <c r="BG43" s="133"/>
      <c r="BH43" s="133"/>
      <c r="BI43" s="135">
        <f t="shared" si="17"/>
        <v>5</v>
      </c>
      <c r="BJ43" s="186">
        <f t="shared" si="18"/>
        <v>100</v>
      </c>
      <c r="BK43" s="138"/>
      <c r="BL43" s="132"/>
      <c r="BM43" s="138"/>
      <c r="BN43" s="138"/>
      <c r="BO43" s="138"/>
      <c r="BP43" s="138"/>
      <c r="BQ43" s="138"/>
      <c r="BR43" s="140"/>
      <c r="BS43" s="152"/>
      <c r="BT43" s="152"/>
      <c r="BU43" s="152"/>
      <c r="BV43" s="152"/>
      <c r="BW43" s="217"/>
      <c r="BX43" s="218"/>
      <c r="BY43" s="218"/>
      <c r="BZ43" s="218"/>
      <c r="CA43" s="218"/>
      <c r="CB43" s="218"/>
      <c r="CC43" s="218"/>
      <c r="CD43" s="218"/>
      <c r="CE43" s="218"/>
      <c r="CF43" s="156">
        <f t="shared" si="19"/>
        <v>0</v>
      </c>
      <c r="CG43" s="190" t="str">
        <f t="shared" si="20"/>
        <v>#DIV/0!</v>
      </c>
      <c r="CH43" s="217"/>
      <c r="CI43" s="153"/>
      <c r="CJ43" s="217"/>
      <c r="CK43" s="219"/>
      <c r="CL43" s="219"/>
      <c r="CM43" s="219"/>
      <c r="CN43" s="219"/>
      <c r="CO43" s="217"/>
      <c r="CP43" s="221"/>
      <c r="CQ43" s="221"/>
      <c r="CR43" s="161"/>
      <c r="CS43" s="163">
        <f t="shared" si="21"/>
        <v>0</v>
      </c>
      <c r="CT43" s="194" t="str">
        <f t="shared" si="22"/>
        <v>#DIV/0!</v>
      </c>
      <c r="CU43" s="196"/>
      <c r="CV43" s="167">
        <f t="shared" si="23"/>
        <v>100</v>
      </c>
      <c r="CW43" s="169">
        <f t="shared" si="8"/>
        <v>5</v>
      </c>
      <c r="CX43" s="197"/>
    </row>
    <row r="44" ht="15.75" customHeight="1">
      <c r="A44" s="172">
        <v>35.0</v>
      </c>
      <c r="B44" s="173" t="s">
        <v>115</v>
      </c>
      <c r="C44" s="199" t="s">
        <v>116</v>
      </c>
      <c r="D44" s="125">
        <f t="shared" si="9"/>
        <v>4</v>
      </c>
      <c r="E44" s="127">
        <f t="shared" si="10"/>
        <v>80</v>
      </c>
      <c r="F44" s="175" t="str">
        <f t="shared" si="11"/>
        <v>  </v>
      </c>
      <c r="G44" s="177" t="str">
        <f t="shared" si="12"/>
        <v>  </v>
      </c>
      <c r="H44" s="132"/>
      <c r="I44" s="132"/>
      <c r="J44" s="201"/>
      <c r="K44" s="201"/>
      <c r="L44" s="201"/>
      <c r="M44" s="201"/>
      <c r="N44" s="201"/>
      <c r="O44" s="201"/>
      <c r="P44" s="201"/>
      <c r="Q44" s="201"/>
      <c r="R44" s="337">
        <f t="shared" si="13"/>
        <v>0</v>
      </c>
      <c r="S44" s="137" t="str">
        <f t="shared" si="14"/>
        <v>#DIV/0!</v>
      </c>
      <c r="T44" s="138"/>
      <c r="U44" s="138"/>
      <c r="V44" s="138"/>
      <c r="W44" s="132"/>
      <c r="X44" s="132"/>
      <c r="Y44" s="138"/>
      <c r="Z44" s="138"/>
      <c r="AA44" s="138"/>
      <c r="AB44" s="217"/>
      <c r="AC44" s="140"/>
      <c r="AD44" s="140"/>
      <c r="AE44" s="141"/>
      <c r="AF44" s="226"/>
      <c r="AG44" s="226"/>
      <c r="AH44" s="226"/>
      <c r="AI44" s="226"/>
      <c r="AJ44" s="218"/>
      <c r="AK44" s="218"/>
      <c r="AL44" s="135">
        <f t="shared" si="15"/>
        <v>0</v>
      </c>
      <c r="AM44" s="183" t="str">
        <f t="shared" si="16"/>
        <v>#DIV/0!</v>
      </c>
      <c r="AN44" s="228"/>
      <c r="AO44" s="228"/>
      <c r="AP44" s="217"/>
      <c r="AQ44" s="138"/>
      <c r="AR44" s="138"/>
      <c r="AS44" s="132"/>
      <c r="AT44" s="133"/>
      <c r="AU44" s="133"/>
      <c r="AV44" s="133"/>
      <c r="AW44" s="133"/>
      <c r="AX44" s="133"/>
      <c r="AY44" s="185">
        <v>1.0</v>
      </c>
      <c r="AZ44" s="185">
        <v>1.0</v>
      </c>
      <c r="BA44" s="185"/>
      <c r="BB44" s="185">
        <v>1.0</v>
      </c>
      <c r="BC44" s="185">
        <v>1.0</v>
      </c>
      <c r="BD44" s="133"/>
      <c r="BE44" s="133"/>
      <c r="BF44" s="133"/>
      <c r="BG44" s="133"/>
      <c r="BH44" s="133"/>
      <c r="BI44" s="135">
        <f t="shared" si="17"/>
        <v>4</v>
      </c>
      <c r="BJ44" s="186">
        <f t="shared" si="18"/>
        <v>80</v>
      </c>
      <c r="BK44" s="138"/>
      <c r="BL44" s="132"/>
      <c r="BM44" s="138"/>
      <c r="BN44" s="138"/>
      <c r="BO44" s="138"/>
      <c r="BP44" s="138"/>
      <c r="BQ44" s="138"/>
      <c r="BR44" s="140"/>
      <c r="BS44" s="152"/>
      <c r="BT44" s="152"/>
      <c r="BU44" s="152"/>
      <c r="BV44" s="152"/>
      <c r="BW44" s="217"/>
      <c r="BX44" s="218"/>
      <c r="BY44" s="218"/>
      <c r="BZ44" s="218"/>
      <c r="CA44" s="218"/>
      <c r="CB44" s="218"/>
      <c r="CC44" s="218"/>
      <c r="CD44" s="218"/>
      <c r="CE44" s="218"/>
      <c r="CF44" s="156">
        <f t="shared" si="19"/>
        <v>0</v>
      </c>
      <c r="CG44" s="190" t="str">
        <f t="shared" si="20"/>
        <v>#DIV/0!</v>
      </c>
      <c r="CH44" s="217"/>
      <c r="CI44" s="153"/>
      <c r="CJ44" s="217"/>
      <c r="CK44" s="219"/>
      <c r="CL44" s="219"/>
      <c r="CM44" s="219"/>
      <c r="CN44" s="219"/>
      <c r="CO44" s="217"/>
      <c r="CP44" s="221"/>
      <c r="CQ44" s="221"/>
      <c r="CR44" s="161"/>
      <c r="CS44" s="163">
        <f t="shared" si="21"/>
        <v>0</v>
      </c>
      <c r="CT44" s="194" t="str">
        <f t="shared" si="22"/>
        <v>#DIV/0!</v>
      </c>
      <c r="CU44" s="196"/>
      <c r="CV44" s="167">
        <f t="shared" si="23"/>
        <v>80</v>
      </c>
      <c r="CW44" s="169">
        <f t="shared" si="8"/>
        <v>4</v>
      </c>
      <c r="CX44" s="197"/>
    </row>
    <row r="45" ht="15.75" customHeight="1">
      <c r="A45" s="122">
        <v>36.0</v>
      </c>
      <c r="B45" s="173" t="s">
        <v>117</v>
      </c>
      <c r="C45" s="199" t="s">
        <v>118</v>
      </c>
      <c r="D45" s="125">
        <f t="shared" si="9"/>
        <v>0</v>
      </c>
      <c r="E45" s="127">
        <f t="shared" si="10"/>
        <v>0</v>
      </c>
      <c r="F45" s="200">
        <f t="shared" si="11"/>
        <v>0</v>
      </c>
      <c r="G45" s="207">
        <f t="shared" si="12"/>
        <v>0</v>
      </c>
      <c r="H45" s="132"/>
      <c r="I45" s="132"/>
      <c r="J45" s="201"/>
      <c r="K45" s="201"/>
      <c r="L45" s="201"/>
      <c r="M45" s="201"/>
      <c r="N45" s="201"/>
      <c r="O45" s="201"/>
      <c r="P45" s="201"/>
      <c r="Q45" s="201"/>
      <c r="R45" s="337">
        <f t="shared" si="13"/>
        <v>0</v>
      </c>
      <c r="S45" s="137" t="str">
        <f t="shared" si="14"/>
        <v>#DIV/0!</v>
      </c>
      <c r="T45" s="138"/>
      <c r="U45" s="138"/>
      <c r="V45" s="138"/>
      <c r="W45" s="132"/>
      <c r="X45" s="132"/>
      <c r="Y45" s="138"/>
      <c r="Z45" s="138"/>
      <c r="AA45" s="138"/>
      <c r="AB45" s="209"/>
      <c r="AC45" s="140"/>
      <c r="AD45" s="140"/>
      <c r="AE45" s="141"/>
      <c r="AF45" s="210"/>
      <c r="AG45" s="210"/>
      <c r="AH45" s="210"/>
      <c r="AI45" s="210"/>
      <c r="AJ45" s="212"/>
      <c r="AK45" s="212"/>
      <c r="AL45" s="135">
        <f t="shared" si="15"/>
        <v>0</v>
      </c>
      <c r="AM45" s="183" t="str">
        <f t="shared" si="16"/>
        <v>#DIV/0!</v>
      </c>
      <c r="AN45" s="214"/>
      <c r="AO45" s="214"/>
      <c r="AP45" s="209"/>
      <c r="AQ45" s="138"/>
      <c r="AR45" s="138"/>
      <c r="AS45" s="132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5">
        <f t="shared" si="17"/>
        <v>0</v>
      </c>
      <c r="BJ45" s="186">
        <f t="shared" si="18"/>
        <v>0</v>
      </c>
      <c r="BK45" s="138"/>
      <c r="BL45" s="132"/>
      <c r="BM45" s="138"/>
      <c r="BN45" s="138"/>
      <c r="BO45" s="138"/>
      <c r="BP45" s="138"/>
      <c r="BQ45" s="138"/>
      <c r="BR45" s="140"/>
      <c r="BS45" s="152"/>
      <c r="BT45" s="152"/>
      <c r="BU45" s="152"/>
      <c r="BV45" s="152"/>
      <c r="BW45" s="217"/>
      <c r="BX45" s="218"/>
      <c r="BY45" s="218"/>
      <c r="BZ45" s="218"/>
      <c r="CA45" s="218"/>
      <c r="CB45" s="218"/>
      <c r="CC45" s="218"/>
      <c r="CD45" s="218"/>
      <c r="CE45" s="218"/>
      <c r="CF45" s="156">
        <f t="shared" si="19"/>
        <v>0</v>
      </c>
      <c r="CG45" s="190" t="str">
        <f t="shared" si="20"/>
        <v>#DIV/0!</v>
      </c>
      <c r="CH45" s="209"/>
      <c r="CI45" s="153"/>
      <c r="CJ45" s="217"/>
      <c r="CK45" s="219"/>
      <c r="CL45" s="219"/>
      <c r="CM45" s="219"/>
      <c r="CN45" s="219"/>
      <c r="CO45" s="217"/>
      <c r="CP45" s="221"/>
      <c r="CQ45" s="221"/>
      <c r="CR45" s="161"/>
      <c r="CS45" s="163">
        <f t="shared" si="21"/>
        <v>0</v>
      </c>
      <c r="CT45" s="194" t="str">
        <f t="shared" si="22"/>
        <v>#DIV/0!</v>
      </c>
      <c r="CU45" s="196"/>
      <c r="CV45" s="167">
        <f t="shared" si="23"/>
        <v>0</v>
      </c>
      <c r="CW45" s="169">
        <f t="shared" si="8"/>
        <v>0</v>
      </c>
      <c r="CX45" s="197"/>
    </row>
    <row r="46" ht="15.75" customHeight="1">
      <c r="A46" s="122">
        <v>37.0</v>
      </c>
      <c r="B46" s="173" t="s">
        <v>119</v>
      </c>
      <c r="C46" s="199" t="s">
        <v>120</v>
      </c>
      <c r="D46" s="125">
        <f t="shared" si="9"/>
        <v>4</v>
      </c>
      <c r="E46" s="127">
        <f t="shared" si="10"/>
        <v>80</v>
      </c>
      <c r="F46" s="200" t="str">
        <f t="shared" si="11"/>
        <v>  </v>
      </c>
      <c r="G46" s="207" t="str">
        <f t="shared" si="12"/>
        <v>  </v>
      </c>
      <c r="H46" s="132"/>
      <c r="I46" s="132"/>
      <c r="J46" s="201"/>
      <c r="K46" s="201"/>
      <c r="L46" s="201"/>
      <c r="M46" s="201"/>
      <c r="N46" s="201"/>
      <c r="O46" s="201"/>
      <c r="P46" s="201"/>
      <c r="Q46" s="201"/>
      <c r="R46" s="337">
        <f t="shared" si="13"/>
        <v>0</v>
      </c>
      <c r="S46" s="137" t="str">
        <f t="shared" si="14"/>
        <v>#DIV/0!</v>
      </c>
      <c r="T46" s="138"/>
      <c r="U46" s="138"/>
      <c r="V46" s="138"/>
      <c r="W46" s="132"/>
      <c r="X46" s="132"/>
      <c r="Y46" s="138"/>
      <c r="Z46" s="138"/>
      <c r="AA46" s="138"/>
      <c r="AB46" s="209"/>
      <c r="AC46" s="140"/>
      <c r="AD46" s="140"/>
      <c r="AE46" s="141"/>
      <c r="AF46" s="210"/>
      <c r="AG46" s="210"/>
      <c r="AH46" s="210"/>
      <c r="AI46" s="210"/>
      <c r="AJ46" s="212"/>
      <c r="AK46" s="212"/>
      <c r="AL46" s="135">
        <f t="shared" si="15"/>
        <v>0</v>
      </c>
      <c r="AM46" s="183" t="str">
        <f t="shared" si="16"/>
        <v>#DIV/0!</v>
      </c>
      <c r="AN46" s="214"/>
      <c r="AO46" s="214"/>
      <c r="AP46" s="209"/>
      <c r="AQ46" s="138"/>
      <c r="AR46" s="138"/>
      <c r="AS46" s="132"/>
      <c r="AT46" s="133"/>
      <c r="AU46" s="133"/>
      <c r="AV46" s="133"/>
      <c r="AW46" s="133"/>
      <c r="AX46" s="133"/>
      <c r="AY46" s="185">
        <v>1.0</v>
      </c>
      <c r="AZ46" s="185">
        <v>1.0</v>
      </c>
      <c r="BA46" s="185">
        <v>1.0</v>
      </c>
      <c r="BB46" s="185"/>
      <c r="BC46" s="185">
        <v>1.0</v>
      </c>
      <c r="BD46" s="133"/>
      <c r="BE46" s="133"/>
      <c r="BF46" s="133"/>
      <c r="BG46" s="133"/>
      <c r="BH46" s="133"/>
      <c r="BI46" s="135">
        <f t="shared" si="17"/>
        <v>4</v>
      </c>
      <c r="BJ46" s="186">
        <f t="shared" si="18"/>
        <v>80</v>
      </c>
      <c r="BK46" s="138"/>
      <c r="BL46" s="132"/>
      <c r="BM46" s="138"/>
      <c r="BN46" s="138"/>
      <c r="BO46" s="138"/>
      <c r="BP46" s="138"/>
      <c r="BQ46" s="138"/>
      <c r="BR46" s="140"/>
      <c r="BS46" s="152"/>
      <c r="BT46" s="152"/>
      <c r="BU46" s="152"/>
      <c r="BV46" s="152"/>
      <c r="BW46" s="217"/>
      <c r="BX46" s="218"/>
      <c r="BY46" s="218"/>
      <c r="BZ46" s="218"/>
      <c r="CA46" s="218"/>
      <c r="CB46" s="218"/>
      <c r="CC46" s="218"/>
      <c r="CD46" s="218"/>
      <c r="CE46" s="218"/>
      <c r="CF46" s="156">
        <f t="shared" si="19"/>
        <v>0</v>
      </c>
      <c r="CG46" s="190" t="str">
        <f t="shared" si="20"/>
        <v>#DIV/0!</v>
      </c>
      <c r="CH46" s="209"/>
      <c r="CI46" s="153"/>
      <c r="CJ46" s="217"/>
      <c r="CK46" s="219"/>
      <c r="CL46" s="219"/>
      <c r="CM46" s="219"/>
      <c r="CN46" s="219"/>
      <c r="CO46" s="217"/>
      <c r="CP46" s="221"/>
      <c r="CQ46" s="221"/>
      <c r="CR46" s="161"/>
      <c r="CS46" s="163">
        <f t="shared" si="21"/>
        <v>0</v>
      </c>
      <c r="CT46" s="194" t="str">
        <f t="shared" si="22"/>
        <v>#DIV/0!</v>
      </c>
      <c r="CU46" s="196"/>
      <c r="CV46" s="167">
        <f t="shared" si="23"/>
        <v>80</v>
      </c>
      <c r="CW46" s="169">
        <f t="shared" si="8"/>
        <v>4</v>
      </c>
      <c r="CX46" s="197"/>
    </row>
    <row r="47" ht="15.75" customHeight="1">
      <c r="A47" s="172">
        <v>38.0</v>
      </c>
      <c r="B47" s="173" t="s">
        <v>121</v>
      </c>
      <c r="C47" s="199" t="s">
        <v>122</v>
      </c>
      <c r="D47" s="125">
        <f t="shared" si="9"/>
        <v>4</v>
      </c>
      <c r="E47" s="127">
        <f t="shared" si="10"/>
        <v>80</v>
      </c>
      <c r="F47" s="175" t="str">
        <f t="shared" si="11"/>
        <v>  </v>
      </c>
      <c r="G47" s="177" t="str">
        <f t="shared" si="12"/>
        <v>  </v>
      </c>
      <c r="H47" s="178"/>
      <c r="I47" s="229"/>
      <c r="J47" s="231"/>
      <c r="K47" s="231"/>
      <c r="L47" s="231"/>
      <c r="M47" s="231"/>
      <c r="N47" s="231"/>
      <c r="O47" s="231"/>
      <c r="P47" s="231"/>
      <c r="Q47" s="231"/>
      <c r="R47" s="337">
        <f t="shared" si="13"/>
        <v>0</v>
      </c>
      <c r="S47" s="137" t="str">
        <f t="shared" si="14"/>
        <v>#DIV/0!</v>
      </c>
      <c r="T47" s="138"/>
      <c r="U47" s="138"/>
      <c r="V47" s="138"/>
      <c r="W47" s="132"/>
      <c r="X47" s="132"/>
      <c r="Y47" s="138"/>
      <c r="Z47" s="138"/>
      <c r="AA47" s="138"/>
      <c r="AB47" s="209"/>
      <c r="AC47" s="140"/>
      <c r="AD47" s="140"/>
      <c r="AE47" s="141"/>
      <c r="AF47" s="210"/>
      <c r="AG47" s="210"/>
      <c r="AH47" s="210"/>
      <c r="AI47" s="210"/>
      <c r="AJ47" s="212"/>
      <c r="AK47" s="212"/>
      <c r="AL47" s="135">
        <f t="shared" si="15"/>
        <v>0</v>
      </c>
      <c r="AM47" s="183" t="str">
        <f t="shared" si="16"/>
        <v>#DIV/0!</v>
      </c>
      <c r="AN47" s="214"/>
      <c r="AO47" s="214"/>
      <c r="AP47" s="209"/>
      <c r="AQ47" s="138"/>
      <c r="AR47" s="138"/>
      <c r="AS47" s="132"/>
      <c r="AT47" s="133"/>
      <c r="AU47" s="133"/>
      <c r="AV47" s="133"/>
      <c r="AW47" s="133"/>
      <c r="AX47" s="133"/>
      <c r="AY47" s="185">
        <v>1.0</v>
      </c>
      <c r="AZ47" s="185"/>
      <c r="BA47" s="185">
        <v>1.0</v>
      </c>
      <c r="BB47" s="185">
        <v>1.0</v>
      </c>
      <c r="BC47" s="185">
        <v>1.0</v>
      </c>
      <c r="BD47" s="133"/>
      <c r="BE47" s="133"/>
      <c r="BF47" s="133"/>
      <c r="BG47" s="133"/>
      <c r="BH47" s="133"/>
      <c r="BI47" s="135">
        <f t="shared" si="17"/>
        <v>4</v>
      </c>
      <c r="BJ47" s="186">
        <f t="shared" si="18"/>
        <v>80</v>
      </c>
      <c r="BK47" s="138"/>
      <c r="BL47" s="132"/>
      <c r="BM47" s="138"/>
      <c r="BN47" s="138"/>
      <c r="BO47" s="138"/>
      <c r="BP47" s="138"/>
      <c r="BQ47" s="138"/>
      <c r="BR47" s="140"/>
      <c r="BS47" s="152"/>
      <c r="BT47" s="152"/>
      <c r="BU47" s="152"/>
      <c r="BV47" s="152"/>
      <c r="BW47" s="217"/>
      <c r="BX47" s="218"/>
      <c r="BY47" s="218"/>
      <c r="BZ47" s="218"/>
      <c r="CA47" s="218"/>
      <c r="CB47" s="218"/>
      <c r="CC47" s="218"/>
      <c r="CD47" s="218"/>
      <c r="CE47" s="218"/>
      <c r="CF47" s="156">
        <f t="shared" si="19"/>
        <v>0</v>
      </c>
      <c r="CG47" s="190" t="str">
        <f t="shared" si="20"/>
        <v>#DIV/0!</v>
      </c>
      <c r="CH47" s="209"/>
      <c r="CI47" s="153"/>
      <c r="CJ47" s="217"/>
      <c r="CK47" s="219"/>
      <c r="CL47" s="219"/>
      <c r="CM47" s="219"/>
      <c r="CN47" s="219"/>
      <c r="CO47" s="217"/>
      <c r="CP47" s="221"/>
      <c r="CQ47" s="221"/>
      <c r="CR47" s="161"/>
      <c r="CS47" s="163">
        <f t="shared" si="21"/>
        <v>0</v>
      </c>
      <c r="CT47" s="194" t="str">
        <f t="shared" si="22"/>
        <v>#DIV/0!</v>
      </c>
      <c r="CU47" s="196"/>
      <c r="CV47" s="167">
        <f t="shared" si="23"/>
        <v>80</v>
      </c>
      <c r="CW47" s="169">
        <f t="shared" si="8"/>
        <v>4</v>
      </c>
      <c r="CX47" s="197"/>
    </row>
    <row r="48" ht="15.75" customHeight="1">
      <c r="A48" s="122">
        <v>39.0</v>
      </c>
      <c r="B48" s="173" t="s">
        <v>123</v>
      </c>
      <c r="C48" s="199" t="s">
        <v>124</v>
      </c>
      <c r="D48" s="125">
        <f t="shared" si="9"/>
        <v>4</v>
      </c>
      <c r="E48" s="127">
        <f t="shared" si="10"/>
        <v>80</v>
      </c>
      <c r="F48" s="175" t="str">
        <f t="shared" si="11"/>
        <v>  </v>
      </c>
      <c r="G48" s="177" t="str">
        <f t="shared" si="12"/>
        <v>  </v>
      </c>
      <c r="H48" s="258"/>
      <c r="I48" s="259"/>
      <c r="J48" s="260"/>
      <c r="K48" s="260"/>
      <c r="L48" s="267"/>
      <c r="M48" s="260"/>
      <c r="N48" s="260"/>
      <c r="O48" s="260"/>
      <c r="P48" s="260"/>
      <c r="Q48" s="260"/>
      <c r="R48" s="337">
        <f t="shared" si="13"/>
        <v>0</v>
      </c>
      <c r="S48" s="137" t="str">
        <f t="shared" si="14"/>
        <v>#DIV/0!</v>
      </c>
      <c r="T48" s="138"/>
      <c r="U48" s="138"/>
      <c r="V48" s="138"/>
      <c r="W48" s="132"/>
      <c r="X48" s="132"/>
      <c r="Y48" s="138"/>
      <c r="Z48" s="138"/>
      <c r="AA48" s="138"/>
      <c r="AB48" s="209"/>
      <c r="AC48" s="140"/>
      <c r="AD48" s="140"/>
      <c r="AE48" s="141"/>
      <c r="AF48" s="210"/>
      <c r="AG48" s="210"/>
      <c r="AH48" s="210"/>
      <c r="AI48" s="210"/>
      <c r="AJ48" s="212"/>
      <c r="AK48" s="212"/>
      <c r="AL48" s="135">
        <f t="shared" si="15"/>
        <v>0</v>
      </c>
      <c r="AM48" s="183" t="str">
        <f t="shared" si="16"/>
        <v>#DIV/0!</v>
      </c>
      <c r="AN48" s="214"/>
      <c r="AO48" s="214"/>
      <c r="AP48" s="209"/>
      <c r="AQ48" s="138"/>
      <c r="AR48" s="138"/>
      <c r="AS48" s="132"/>
      <c r="AT48" s="133"/>
      <c r="AU48" s="133"/>
      <c r="AV48" s="133"/>
      <c r="AW48" s="133"/>
      <c r="AX48" s="133"/>
      <c r="AY48" s="185">
        <v>1.0</v>
      </c>
      <c r="AZ48" s="185">
        <v>1.0</v>
      </c>
      <c r="BA48" s="185"/>
      <c r="BB48" s="185">
        <v>1.0</v>
      </c>
      <c r="BC48" s="185">
        <v>1.0</v>
      </c>
      <c r="BD48" s="133"/>
      <c r="BE48" s="133"/>
      <c r="BF48" s="133"/>
      <c r="BG48" s="133"/>
      <c r="BH48" s="133"/>
      <c r="BI48" s="135">
        <f t="shared" si="17"/>
        <v>4</v>
      </c>
      <c r="BJ48" s="186">
        <f t="shared" si="18"/>
        <v>80</v>
      </c>
      <c r="BK48" s="138"/>
      <c r="BL48" s="132"/>
      <c r="BM48" s="138"/>
      <c r="BN48" s="138"/>
      <c r="BO48" s="138"/>
      <c r="BP48" s="138"/>
      <c r="BQ48" s="138"/>
      <c r="BR48" s="140"/>
      <c r="BS48" s="152"/>
      <c r="BT48" s="152"/>
      <c r="BU48" s="152"/>
      <c r="BV48" s="152"/>
      <c r="BW48" s="217"/>
      <c r="BX48" s="218"/>
      <c r="BY48" s="218"/>
      <c r="BZ48" s="218"/>
      <c r="CA48" s="218"/>
      <c r="CB48" s="218"/>
      <c r="CC48" s="218"/>
      <c r="CD48" s="218"/>
      <c r="CE48" s="218"/>
      <c r="CF48" s="156">
        <f t="shared" si="19"/>
        <v>0</v>
      </c>
      <c r="CG48" s="190" t="str">
        <f t="shared" si="20"/>
        <v>#DIV/0!</v>
      </c>
      <c r="CH48" s="209"/>
      <c r="CI48" s="153"/>
      <c r="CJ48" s="217"/>
      <c r="CK48" s="219"/>
      <c r="CL48" s="219"/>
      <c r="CM48" s="219"/>
      <c r="CN48" s="219"/>
      <c r="CO48" s="217"/>
      <c r="CP48" s="221"/>
      <c r="CQ48" s="221"/>
      <c r="CR48" s="161"/>
      <c r="CS48" s="163">
        <f t="shared" si="21"/>
        <v>0</v>
      </c>
      <c r="CT48" s="194" t="str">
        <f t="shared" si="22"/>
        <v>#DIV/0!</v>
      </c>
      <c r="CU48" s="196"/>
      <c r="CV48" s="167">
        <f t="shared" si="23"/>
        <v>80</v>
      </c>
      <c r="CW48" s="169">
        <f t="shared" si="8"/>
        <v>4</v>
      </c>
      <c r="CX48" s="197"/>
    </row>
    <row r="49" ht="15.75" customHeight="1">
      <c r="A49" s="122">
        <v>40.0</v>
      </c>
      <c r="B49" s="173" t="s">
        <v>125</v>
      </c>
      <c r="C49" s="199" t="s">
        <v>126</v>
      </c>
      <c r="D49" s="125">
        <f t="shared" si="9"/>
        <v>4</v>
      </c>
      <c r="E49" s="127">
        <f t="shared" si="10"/>
        <v>80</v>
      </c>
      <c r="F49" s="175" t="str">
        <f t="shared" si="11"/>
        <v>  </v>
      </c>
      <c r="G49" s="177" t="str">
        <f t="shared" si="12"/>
        <v>  </v>
      </c>
      <c r="H49" s="258"/>
      <c r="I49" s="261"/>
      <c r="J49" s="262"/>
      <c r="K49" s="262"/>
      <c r="L49" s="268"/>
      <c r="M49" s="262"/>
      <c r="N49" s="262"/>
      <c r="O49" s="262"/>
      <c r="P49" s="262"/>
      <c r="Q49" s="262"/>
      <c r="R49" s="337">
        <f t="shared" si="13"/>
        <v>0</v>
      </c>
      <c r="S49" s="137" t="str">
        <f t="shared" si="14"/>
        <v>#DIV/0!</v>
      </c>
      <c r="T49" s="138"/>
      <c r="U49" s="138"/>
      <c r="V49" s="138"/>
      <c r="W49" s="132"/>
      <c r="X49" s="132"/>
      <c r="Y49" s="138"/>
      <c r="Z49" s="138"/>
      <c r="AA49" s="138"/>
      <c r="AB49" s="217"/>
      <c r="AC49" s="140"/>
      <c r="AD49" s="140"/>
      <c r="AE49" s="141"/>
      <c r="AF49" s="226"/>
      <c r="AG49" s="226"/>
      <c r="AH49" s="226"/>
      <c r="AI49" s="226"/>
      <c r="AJ49" s="218"/>
      <c r="AK49" s="218"/>
      <c r="AL49" s="135">
        <f t="shared" si="15"/>
        <v>0</v>
      </c>
      <c r="AM49" s="183" t="str">
        <f t="shared" si="16"/>
        <v>#DIV/0!</v>
      </c>
      <c r="AN49" s="228"/>
      <c r="AO49" s="228"/>
      <c r="AP49" s="217"/>
      <c r="AQ49" s="138"/>
      <c r="AR49" s="138"/>
      <c r="AS49" s="132"/>
      <c r="AT49" s="133"/>
      <c r="AU49" s="133"/>
      <c r="AV49" s="133"/>
      <c r="AW49" s="133"/>
      <c r="AX49" s="133"/>
      <c r="AY49" s="185">
        <v>1.0</v>
      </c>
      <c r="AZ49" s="185">
        <v>1.0</v>
      </c>
      <c r="BA49" s="185"/>
      <c r="BB49" s="185">
        <v>1.0</v>
      </c>
      <c r="BC49" s="185">
        <v>1.0</v>
      </c>
      <c r="BD49" s="133"/>
      <c r="BE49" s="133"/>
      <c r="BF49" s="133"/>
      <c r="BG49" s="133"/>
      <c r="BH49" s="133"/>
      <c r="BI49" s="135">
        <f t="shared" si="17"/>
        <v>4</v>
      </c>
      <c r="BJ49" s="186">
        <f t="shared" si="18"/>
        <v>80</v>
      </c>
      <c r="BK49" s="138"/>
      <c r="BL49" s="132"/>
      <c r="BM49" s="138"/>
      <c r="BN49" s="138"/>
      <c r="BO49" s="138"/>
      <c r="BP49" s="138"/>
      <c r="BQ49" s="138"/>
      <c r="BR49" s="140"/>
      <c r="BS49" s="152"/>
      <c r="BT49" s="152"/>
      <c r="BU49" s="152"/>
      <c r="BV49" s="152"/>
      <c r="BW49" s="217"/>
      <c r="BX49" s="218"/>
      <c r="BY49" s="218"/>
      <c r="BZ49" s="218"/>
      <c r="CA49" s="218"/>
      <c r="CB49" s="218"/>
      <c r="CC49" s="218"/>
      <c r="CD49" s="218"/>
      <c r="CE49" s="218"/>
      <c r="CF49" s="156">
        <f t="shared" si="19"/>
        <v>0</v>
      </c>
      <c r="CG49" s="190" t="str">
        <f t="shared" si="20"/>
        <v>#DIV/0!</v>
      </c>
      <c r="CH49" s="217"/>
      <c r="CI49" s="153"/>
      <c r="CJ49" s="217"/>
      <c r="CK49" s="219"/>
      <c r="CL49" s="219"/>
      <c r="CM49" s="219"/>
      <c r="CN49" s="219"/>
      <c r="CO49" s="217"/>
      <c r="CP49" s="221"/>
      <c r="CQ49" s="221"/>
      <c r="CR49" s="161"/>
      <c r="CS49" s="163">
        <f t="shared" si="21"/>
        <v>0</v>
      </c>
      <c r="CT49" s="194" t="str">
        <f t="shared" si="22"/>
        <v>#DIV/0!</v>
      </c>
      <c r="CU49" s="196"/>
      <c r="CV49" s="167">
        <f t="shared" si="23"/>
        <v>80</v>
      </c>
      <c r="CW49" s="169">
        <f t="shared" si="8"/>
        <v>4</v>
      </c>
      <c r="CX49" s="197"/>
    </row>
    <row r="50" ht="15.75" customHeight="1">
      <c r="A50" s="172">
        <v>41.0</v>
      </c>
      <c r="B50" s="173" t="s">
        <v>127</v>
      </c>
      <c r="C50" s="199" t="s">
        <v>128</v>
      </c>
      <c r="D50" s="125">
        <f t="shared" si="9"/>
        <v>4</v>
      </c>
      <c r="E50" s="127">
        <f t="shared" si="10"/>
        <v>80</v>
      </c>
      <c r="F50" s="175" t="str">
        <f t="shared" si="11"/>
        <v>  </v>
      </c>
      <c r="G50" s="177" t="str">
        <f t="shared" si="12"/>
        <v>  </v>
      </c>
      <c r="H50" s="258"/>
      <c r="I50" s="258"/>
      <c r="J50" s="263"/>
      <c r="K50" s="263"/>
      <c r="L50" s="269"/>
      <c r="M50" s="263"/>
      <c r="N50" s="263"/>
      <c r="O50" s="263"/>
      <c r="P50" s="263"/>
      <c r="Q50" s="263"/>
      <c r="R50" s="337">
        <f t="shared" si="13"/>
        <v>0</v>
      </c>
      <c r="S50" s="137" t="str">
        <f t="shared" si="14"/>
        <v>#DIV/0!</v>
      </c>
      <c r="T50" s="138"/>
      <c r="U50" s="138"/>
      <c r="V50" s="138"/>
      <c r="W50" s="132"/>
      <c r="X50" s="132"/>
      <c r="Y50" s="138"/>
      <c r="Z50" s="138"/>
      <c r="AA50" s="138"/>
      <c r="AB50" s="233"/>
      <c r="AC50" s="140"/>
      <c r="AD50" s="140"/>
      <c r="AE50" s="141"/>
      <c r="AF50" s="234"/>
      <c r="AG50" s="234"/>
      <c r="AH50" s="234"/>
      <c r="AI50" s="234"/>
      <c r="AJ50" s="239"/>
      <c r="AK50" s="239"/>
      <c r="AL50" s="135">
        <f t="shared" si="15"/>
        <v>0</v>
      </c>
      <c r="AM50" s="183" t="str">
        <f t="shared" si="16"/>
        <v>#DIV/0!</v>
      </c>
      <c r="AN50" s="241"/>
      <c r="AO50" s="241"/>
      <c r="AP50" s="233"/>
      <c r="AQ50" s="138"/>
      <c r="AR50" s="138"/>
      <c r="AS50" s="132"/>
      <c r="AT50" s="133"/>
      <c r="AU50" s="133"/>
      <c r="AV50" s="133"/>
      <c r="AW50" s="133"/>
      <c r="AX50" s="133"/>
      <c r="AY50" s="185">
        <v>1.0</v>
      </c>
      <c r="AZ50" s="185">
        <v>1.0</v>
      </c>
      <c r="BA50" s="185">
        <v>1.0</v>
      </c>
      <c r="BB50" s="185"/>
      <c r="BC50" s="185">
        <v>1.0</v>
      </c>
      <c r="BD50" s="133"/>
      <c r="BE50" s="133"/>
      <c r="BF50" s="133"/>
      <c r="BG50" s="133"/>
      <c r="BH50" s="133"/>
      <c r="BI50" s="135">
        <f t="shared" si="17"/>
        <v>4</v>
      </c>
      <c r="BJ50" s="186">
        <f t="shared" si="18"/>
        <v>80</v>
      </c>
      <c r="BK50" s="138"/>
      <c r="BL50" s="132"/>
      <c r="BM50" s="138"/>
      <c r="BN50" s="138"/>
      <c r="BO50" s="138"/>
      <c r="BP50" s="138"/>
      <c r="BQ50" s="138"/>
      <c r="BR50" s="140"/>
      <c r="BS50" s="152"/>
      <c r="BT50" s="152"/>
      <c r="BU50" s="152"/>
      <c r="BV50" s="152"/>
      <c r="BW50" s="217"/>
      <c r="BX50" s="218"/>
      <c r="BY50" s="218"/>
      <c r="BZ50" s="218"/>
      <c r="CA50" s="218"/>
      <c r="CB50" s="218"/>
      <c r="CC50" s="218"/>
      <c r="CD50" s="218"/>
      <c r="CE50" s="218"/>
      <c r="CF50" s="156">
        <f t="shared" si="19"/>
        <v>0</v>
      </c>
      <c r="CG50" s="190" t="str">
        <f t="shared" si="20"/>
        <v>#DIV/0!</v>
      </c>
      <c r="CH50" s="233"/>
      <c r="CI50" s="153"/>
      <c r="CJ50" s="217"/>
      <c r="CK50" s="219"/>
      <c r="CL50" s="219"/>
      <c r="CM50" s="219"/>
      <c r="CN50" s="219"/>
      <c r="CO50" s="217"/>
      <c r="CP50" s="221"/>
      <c r="CQ50" s="221"/>
      <c r="CR50" s="161"/>
      <c r="CS50" s="163">
        <f t="shared" si="21"/>
        <v>0</v>
      </c>
      <c r="CT50" s="194" t="str">
        <f t="shared" si="22"/>
        <v>#DIV/0!</v>
      </c>
      <c r="CU50" s="196"/>
      <c r="CV50" s="167">
        <f t="shared" si="23"/>
        <v>80</v>
      </c>
      <c r="CW50" s="169">
        <f t="shared" si="8"/>
        <v>4</v>
      </c>
      <c r="CX50" s="197"/>
    </row>
    <row r="51" ht="15.75" customHeight="1">
      <c r="A51" s="122">
        <v>42.0</v>
      </c>
      <c r="B51" s="173" t="s">
        <v>129</v>
      </c>
      <c r="C51" s="199" t="s">
        <v>130</v>
      </c>
      <c r="D51" s="125">
        <f t="shared" si="9"/>
        <v>5</v>
      </c>
      <c r="E51" s="127">
        <f t="shared" si="10"/>
        <v>100</v>
      </c>
      <c r="F51" s="175" t="str">
        <f t="shared" si="11"/>
        <v>  </v>
      </c>
      <c r="G51" s="177" t="str">
        <f t="shared" si="12"/>
        <v>  </v>
      </c>
      <c r="H51" s="258"/>
      <c r="I51" s="265"/>
      <c r="J51" s="266"/>
      <c r="K51" s="266"/>
      <c r="L51" s="270"/>
      <c r="M51" s="266"/>
      <c r="N51" s="266"/>
      <c r="O51" s="266"/>
      <c r="P51" s="266"/>
      <c r="Q51" s="266"/>
      <c r="R51" s="337">
        <f t="shared" si="13"/>
        <v>0</v>
      </c>
      <c r="S51" s="137" t="str">
        <f t="shared" si="14"/>
        <v>#DIV/0!</v>
      </c>
      <c r="T51" s="138"/>
      <c r="U51" s="138"/>
      <c r="V51" s="138"/>
      <c r="W51" s="132"/>
      <c r="X51" s="132"/>
      <c r="Y51" s="138"/>
      <c r="Z51" s="138"/>
      <c r="AA51" s="138"/>
      <c r="AB51" s="247"/>
      <c r="AC51" s="140"/>
      <c r="AD51" s="140"/>
      <c r="AE51" s="141"/>
      <c r="AF51" s="248"/>
      <c r="AG51" s="248"/>
      <c r="AH51" s="248"/>
      <c r="AI51" s="248"/>
      <c r="AJ51" s="249"/>
      <c r="AK51" s="249"/>
      <c r="AL51" s="135">
        <f t="shared" si="15"/>
        <v>0</v>
      </c>
      <c r="AM51" s="183" t="str">
        <f t="shared" si="16"/>
        <v>#DIV/0!</v>
      </c>
      <c r="AN51" s="251"/>
      <c r="AO51" s="251"/>
      <c r="AP51" s="247"/>
      <c r="AQ51" s="138"/>
      <c r="AR51" s="138"/>
      <c r="AS51" s="132"/>
      <c r="AT51" s="133"/>
      <c r="AU51" s="133"/>
      <c r="AV51" s="133"/>
      <c r="AW51" s="133"/>
      <c r="AX51" s="133"/>
      <c r="AY51" s="185">
        <v>1.0</v>
      </c>
      <c r="AZ51" s="185">
        <v>1.0</v>
      </c>
      <c r="BA51" s="185">
        <v>1.0</v>
      </c>
      <c r="BB51" s="185">
        <v>1.0</v>
      </c>
      <c r="BC51" s="185">
        <v>1.0</v>
      </c>
      <c r="BD51" s="133"/>
      <c r="BE51" s="133"/>
      <c r="BF51" s="133"/>
      <c r="BG51" s="133"/>
      <c r="BH51" s="133"/>
      <c r="BI51" s="135">
        <f t="shared" si="17"/>
        <v>5</v>
      </c>
      <c r="BJ51" s="186">
        <f t="shared" si="18"/>
        <v>100</v>
      </c>
      <c r="BK51" s="138"/>
      <c r="BL51" s="132"/>
      <c r="BM51" s="138"/>
      <c r="BN51" s="138"/>
      <c r="BO51" s="138"/>
      <c r="BP51" s="138"/>
      <c r="BQ51" s="138"/>
      <c r="BR51" s="140"/>
      <c r="BS51" s="152"/>
      <c r="BT51" s="152"/>
      <c r="BU51" s="152"/>
      <c r="BV51" s="152"/>
      <c r="BW51" s="217"/>
      <c r="BX51" s="218"/>
      <c r="BY51" s="218"/>
      <c r="BZ51" s="218"/>
      <c r="CA51" s="218"/>
      <c r="CB51" s="218"/>
      <c r="CC51" s="218"/>
      <c r="CD51" s="218"/>
      <c r="CE51" s="218"/>
      <c r="CF51" s="156">
        <f t="shared" si="19"/>
        <v>0</v>
      </c>
      <c r="CG51" s="190" t="str">
        <f t="shared" si="20"/>
        <v>#DIV/0!</v>
      </c>
      <c r="CH51" s="247"/>
      <c r="CI51" s="153"/>
      <c r="CJ51" s="217"/>
      <c r="CK51" s="219"/>
      <c r="CL51" s="219"/>
      <c r="CM51" s="219"/>
      <c r="CN51" s="219"/>
      <c r="CO51" s="217"/>
      <c r="CP51" s="221"/>
      <c r="CQ51" s="221"/>
      <c r="CR51" s="161"/>
      <c r="CS51" s="163">
        <f t="shared" si="21"/>
        <v>0</v>
      </c>
      <c r="CT51" s="194" t="str">
        <f t="shared" si="22"/>
        <v>#DIV/0!</v>
      </c>
      <c r="CU51" s="196"/>
      <c r="CV51" s="167">
        <f t="shared" si="23"/>
        <v>100</v>
      </c>
      <c r="CW51" s="169">
        <f t="shared" si="8"/>
        <v>5</v>
      </c>
      <c r="CX51" s="197"/>
    </row>
    <row r="52" ht="15.75" customHeight="1">
      <c r="A52" s="122">
        <v>43.0</v>
      </c>
      <c r="B52" s="173" t="s">
        <v>131</v>
      </c>
      <c r="C52" s="199" t="s">
        <v>132</v>
      </c>
      <c r="D52" s="125">
        <f t="shared" si="9"/>
        <v>5</v>
      </c>
      <c r="E52" s="127">
        <f t="shared" si="10"/>
        <v>100</v>
      </c>
      <c r="F52" s="200" t="str">
        <f t="shared" si="11"/>
        <v>  </v>
      </c>
      <c r="G52" s="177" t="str">
        <f t="shared" si="12"/>
        <v>  </v>
      </c>
      <c r="H52" s="258"/>
      <c r="I52" s="258"/>
      <c r="J52" s="263"/>
      <c r="K52" s="263"/>
      <c r="L52" s="263"/>
      <c r="M52" s="263"/>
      <c r="N52" s="263"/>
      <c r="O52" s="263"/>
      <c r="P52" s="263"/>
      <c r="Q52" s="263"/>
      <c r="R52" s="337">
        <f t="shared" si="13"/>
        <v>0</v>
      </c>
      <c r="S52" s="137" t="str">
        <f t="shared" si="14"/>
        <v>#DIV/0!</v>
      </c>
      <c r="T52" s="138"/>
      <c r="U52" s="138"/>
      <c r="V52" s="138"/>
      <c r="W52" s="132"/>
      <c r="X52" s="132"/>
      <c r="Y52" s="138"/>
      <c r="Z52" s="138"/>
      <c r="AA52" s="138"/>
      <c r="AB52" s="209"/>
      <c r="AC52" s="140"/>
      <c r="AD52" s="140"/>
      <c r="AE52" s="141"/>
      <c r="AF52" s="210"/>
      <c r="AG52" s="210"/>
      <c r="AH52" s="210"/>
      <c r="AI52" s="210"/>
      <c r="AJ52" s="212"/>
      <c r="AK52" s="212"/>
      <c r="AL52" s="135">
        <f t="shared" si="15"/>
        <v>0</v>
      </c>
      <c r="AM52" s="183" t="str">
        <f t="shared" si="16"/>
        <v>#DIV/0!</v>
      </c>
      <c r="AN52" s="214"/>
      <c r="AO52" s="214"/>
      <c r="AP52" s="209"/>
      <c r="AQ52" s="138"/>
      <c r="AR52" s="138"/>
      <c r="AS52" s="132"/>
      <c r="AT52" s="133"/>
      <c r="AU52" s="133"/>
      <c r="AV52" s="133"/>
      <c r="AW52" s="133"/>
      <c r="AX52" s="133"/>
      <c r="AY52" s="185">
        <v>1.0</v>
      </c>
      <c r="AZ52" s="185">
        <v>1.0</v>
      </c>
      <c r="BA52" s="185">
        <v>1.0</v>
      </c>
      <c r="BB52" s="185">
        <v>1.0</v>
      </c>
      <c r="BC52" s="185">
        <v>1.0</v>
      </c>
      <c r="BD52" s="133"/>
      <c r="BE52" s="133"/>
      <c r="BF52" s="133"/>
      <c r="BG52" s="133"/>
      <c r="BH52" s="133"/>
      <c r="BI52" s="135">
        <f t="shared" si="17"/>
        <v>5</v>
      </c>
      <c r="BJ52" s="186">
        <f t="shared" si="18"/>
        <v>100</v>
      </c>
      <c r="BK52" s="138"/>
      <c r="BL52" s="132"/>
      <c r="BM52" s="138"/>
      <c r="BN52" s="138"/>
      <c r="BO52" s="138"/>
      <c r="BP52" s="138"/>
      <c r="BQ52" s="138"/>
      <c r="BR52" s="140"/>
      <c r="BS52" s="152"/>
      <c r="BT52" s="152"/>
      <c r="BU52" s="152"/>
      <c r="BV52" s="152"/>
      <c r="BW52" s="217"/>
      <c r="BX52" s="218"/>
      <c r="BY52" s="218"/>
      <c r="BZ52" s="218"/>
      <c r="CA52" s="218"/>
      <c r="CB52" s="218"/>
      <c r="CC52" s="218"/>
      <c r="CD52" s="218"/>
      <c r="CE52" s="218"/>
      <c r="CF52" s="156">
        <f t="shared" si="19"/>
        <v>0</v>
      </c>
      <c r="CG52" s="190" t="str">
        <f t="shared" si="20"/>
        <v>#DIV/0!</v>
      </c>
      <c r="CH52" s="209"/>
      <c r="CI52" s="153"/>
      <c r="CJ52" s="217"/>
      <c r="CK52" s="219"/>
      <c r="CL52" s="219"/>
      <c r="CM52" s="219"/>
      <c r="CN52" s="219"/>
      <c r="CO52" s="217"/>
      <c r="CP52" s="221"/>
      <c r="CQ52" s="221"/>
      <c r="CR52" s="161"/>
      <c r="CS52" s="163">
        <f t="shared" si="21"/>
        <v>0</v>
      </c>
      <c r="CT52" s="194" t="str">
        <f t="shared" si="22"/>
        <v>#DIV/0!</v>
      </c>
      <c r="CU52" s="196"/>
      <c r="CV52" s="167">
        <f t="shared" si="23"/>
        <v>100</v>
      </c>
      <c r="CW52" s="169">
        <f t="shared" si="8"/>
        <v>5</v>
      </c>
      <c r="CX52" s="197"/>
    </row>
    <row r="53" ht="15.75" customHeight="1">
      <c r="A53" s="172">
        <v>44.0</v>
      </c>
      <c r="B53" s="173" t="s">
        <v>133</v>
      </c>
      <c r="C53" s="199" t="s">
        <v>134</v>
      </c>
      <c r="D53" s="125">
        <f t="shared" si="9"/>
        <v>4</v>
      </c>
      <c r="E53" s="127">
        <f t="shared" si="10"/>
        <v>80</v>
      </c>
      <c r="F53" s="175" t="str">
        <f t="shared" si="11"/>
        <v>  </v>
      </c>
      <c r="G53" s="177" t="str">
        <f t="shared" si="12"/>
        <v>  </v>
      </c>
      <c r="H53" s="258"/>
      <c r="I53" s="258"/>
      <c r="J53" s="263"/>
      <c r="K53" s="263"/>
      <c r="L53" s="269"/>
      <c r="M53" s="263"/>
      <c r="N53" s="263"/>
      <c r="O53" s="263"/>
      <c r="P53" s="263"/>
      <c r="Q53" s="263"/>
      <c r="R53" s="337">
        <f t="shared" si="13"/>
        <v>0</v>
      </c>
      <c r="S53" s="137" t="str">
        <f t="shared" si="14"/>
        <v>#DIV/0!</v>
      </c>
      <c r="T53" s="138"/>
      <c r="U53" s="138"/>
      <c r="V53" s="138"/>
      <c r="W53" s="132"/>
      <c r="X53" s="132"/>
      <c r="Y53" s="138"/>
      <c r="Z53" s="138"/>
      <c r="AA53" s="138"/>
      <c r="AB53" s="209"/>
      <c r="AC53" s="140"/>
      <c r="AD53" s="140"/>
      <c r="AE53" s="141"/>
      <c r="AF53" s="210"/>
      <c r="AG53" s="210"/>
      <c r="AH53" s="210"/>
      <c r="AI53" s="210"/>
      <c r="AJ53" s="212"/>
      <c r="AK53" s="212"/>
      <c r="AL53" s="135">
        <f t="shared" si="15"/>
        <v>0</v>
      </c>
      <c r="AM53" s="183" t="str">
        <f t="shared" si="16"/>
        <v>#DIV/0!</v>
      </c>
      <c r="AN53" s="214"/>
      <c r="AO53" s="214"/>
      <c r="AP53" s="209"/>
      <c r="AQ53" s="138"/>
      <c r="AR53" s="138"/>
      <c r="AS53" s="132"/>
      <c r="AT53" s="133"/>
      <c r="AU53" s="133"/>
      <c r="AV53" s="133"/>
      <c r="AW53" s="133"/>
      <c r="AX53" s="133"/>
      <c r="AY53" s="185">
        <v>1.0</v>
      </c>
      <c r="AZ53" s="185"/>
      <c r="BA53" s="185">
        <v>1.0</v>
      </c>
      <c r="BB53" s="185">
        <v>1.0</v>
      </c>
      <c r="BC53" s="185">
        <v>1.0</v>
      </c>
      <c r="BD53" s="133"/>
      <c r="BE53" s="133"/>
      <c r="BF53" s="133"/>
      <c r="BG53" s="133"/>
      <c r="BH53" s="133"/>
      <c r="BI53" s="135">
        <f t="shared" si="17"/>
        <v>4</v>
      </c>
      <c r="BJ53" s="186">
        <f t="shared" si="18"/>
        <v>80</v>
      </c>
      <c r="BK53" s="138"/>
      <c r="BL53" s="132"/>
      <c r="BM53" s="138"/>
      <c r="BN53" s="138"/>
      <c r="BO53" s="138"/>
      <c r="BP53" s="138"/>
      <c r="BQ53" s="138"/>
      <c r="BR53" s="140"/>
      <c r="BS53" s="152"/>
      <c r="BT53" s="152"/>
      <c r="BU53" s="152"/>
      <c r="BV53" s="152"/>
      <c r="BW53" s="217"/>
      <c r="BX53" s="218"/>
      <c r="BY53" s="218"/>
      <c r="BZ53" s="218"/>
      <c r="CA53" s="218"/>
      <c r="CB53" s="218"/>
      <c r="CC53" s="218"/>
      <c r="CD53" s="218"/>
      <c r="CE53" s="218"/>
      <c r="CF53" s="156">
        <f t="shared" si="19"/>
        <v>0</v>
      </c>
      <c r="CG53" s="190" t="str">
        <f t="shared" si="20"/>
        <v>#DIV/0!</v>
      </c>
      <c r="CH53" s="209"/>
      <c r="CI53" s="153"/>
      <c r="CJ53" s="217"/>
      <c r="CK53" s="219"/>
      <c r="CL53" s="219"/>
      <c r="CM53" s="219"/>
      <c r="CN53" s="219"/>
      <c r="CO53" s="217"/>
      <c r="CP53" s="221"/>
      <c r="CQ53" s="221"/>
      <c r="CR53" s="161"/>
      <c r="CS53" s="163">
        <f t="shared" si="21"/>
        <v>0</v>
      </c>
      <c r="CT53" s="194" t="str">
        <f t="shared" si="22"/>
        <v>#DIV/0!</v>
      </c>
      <c r="CU53" s="196"/>
      <c r="CV53" s="167">
        <f t="shared" si="23"/>
        <v>80</v>
      </c>
      <c r="CW53" s="169">
        <f t="shared" si="8"/>
        <v>4</v>
      </c>
      <c r="CX53" s="197"/>
    </row>
    <row r="54" ht="15.75" customHeight="1">
      <c r="A54" s="122">
        <v>45.0</v>
      </c>
      <c r="B54" s="173" t="s">
        <v>135</v>
      </c>
      <c r="C54" s="199" t="s">
        <v>136</v>
      </c>
      <c r="D54" s="125">
        <f t="shared" si="9"/>
        <v>0</v>
      </c>
      <c r="E54" s="127">
        <f t="shared" si="10"/>
        <v>0</v>
      </c>
      <c r="F54" s="200">
        <f t="shared" si="11"/>
        <v>0</v>
      </c>
      <c r="G54" s="207">
        <f t="shared" si="12"/>
        <v>0</v>
      </c>
      <c r="H54" s="265"/>
      <c r="I54" s="258"/>
      <c r="J54" s="263"/>
      <c r="K54" s="263"/>
      <c r="L54" s="263"/>
      <c r="M54" s="263"/>
      <c r="N54" s="263"/>
      <c r="O54" s="263"/>
      <c r="P54" s="263"/>
      <c r="Q54" s="263"/>
      <c r="R54" s="337">
        <f t="shared" si="13"/>
        <v>0</v>
      </c>
      <c r="S54" s="137" t="str">
        <f t="shared" si="14"/>
        <v>#DIV/0!</v>
      </c>
      <c r="T54" s="138"/>
      <c r="U54" s="138"/>
      <c r="V54" s="138"/>
      <c r="W54" s="132"/>
      <c r="X54" s="132"/>
      <c r="Y54" s="138"/>
      <c r="Z54" s="138"/>
      <c r="AA54" s="138"/>
      <c r="AB54" s="209"/>
      <c r="AC54" s="140"/>
      <c r="AD54" s="140"/>
      <c r="AE54" s="141"/>
      <c r="AF54" s="210"/>
      <c r="AG54" s="210"/>
      <c r="AH54" s="210"/>
      <c r="AI54" s="210"/>
      <c r="AJ54" s="212"/>
      <c r="AK54" s="212"/>
      <c r="AL54" s="135">
        <f t="shared" si="15"/>
        <v>0</v>
      </c>
      <c r="AM54" s="183" t="str">
        <f t="shared" si="16"/>
        <v>#DIV/0!</v>
      </c>
      <c r="AN54" s="214"/>
      <c r="AO54" s="214"/>
      <c r="AP54" s="209"/>
      <c r="AQ54" s="138"/>
      <c r="AR54" s="138"/>
      <c r="AS54" s="132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5">
        <f t="shared" si="17"/>
        <v>0</v>
      </c>
      <c r="BJ54" s="186">
        <f t="shared" si="18"/>
        <v>0</v>
      </c>
      <c r="BK54" s="138"/>
      <c r="BL54" s="132"/>
      <c r="BM54" s="138"/>
      <c r="BN54" s="138"/>
      <c r="BO54" s="138"/>
      <c r="BP54" s="138"/>
      <c r="BQ54" s="138"/>
      <c r="BR54" s="140"/>
      <c r="BS54" s="152"/>
      <c r="BT54" s="152"/>
      <c r="BU54" s="152"/>
      <c r="BV54" s="152"/>
      <c r="BW54" s="217"/>
      <c r="BX54" s="218"/>
      <c r="BY54" s="218"/>
      <c r="BZ54" s="218"/>
      <c r="CA54" s="218"/>
      <c r="CB54" s="218"/>
      <c r="CC54" s="218"/>
      <c r="CD54" s="218"/>
      <c r="CE54" s="218"/>
      <c r="CF54" s="156">
        <f t="shared" si="19"/>
        <v>0</v>
      </c>
      <c r="CG54" s="190" t="str">
        <f t="shared" si="20"/>
        <v>#DIV/0!</v>
      </c>
      <c r="CH54" s="209"/>
      <c r="CI54" s="153"/>
      <c r="CJ54" s="217"/>
      <c r="CK54" s="219"/>
      <c r="CL54" s="219"/>
      <c r="CM54" s="219"/>
      <c r="CN54" s="219"/>
      <c r="CO54" s="217"/>
      <c r="CP54" s="221"/>
      <c r="CQ54" s="221"/>
      <c r="CR54" s="161"/>
      <c r="CS54" s="163">
        <f t="shared" si="21"/>
        <v>0</v>
      </c>
      <c r="CT54" s="194" t="str">
        <f t="shared" si="22"/>
        <v>#DIV/0!</v>
      </c>
      <c r="CU54" s="196"/>
      <c r="CV54" s="167">
        <f t="shared" si="23"/>
        <v>0</v>
      </c>
      <c r="CW54" s="169">
        <f t="shared" si="8"/>
        <v>0</v>
      </c>
      <c r="CX54" s="197"/>
    </row>
    <row r="55" ht="15.75" customHeight="1">
      <c r="A55" s="122">
        <v>46.0</v>
      </c>
      <c r="B55" s="173" t="s">
        <v>137</v>
      </c>
      <c r="C55" s="199" t="s">
        <v>138</v>
      </c>
      <c r="D55" s="125">
        <f t="shared" si="9"/>
        <v>1</v>
      </c>
      <c r="E55" s="127">
        <f t="shared" si="10"/>
        <v>20</v>
      </c>
      <c r="F55" s="200">
        <f t="shared" si="11"/>
        <v>20</v>
      </c>
      <c r="G55" s="207">
        <f t="shared" si="12"/>
        <v>20</v>
      </c>
      <c r="H55" s="258"/>
      <c r="I55" s="259"/>
      <c r="J55" s="260"/>
      <c r="K55" s="260"/>
      <c r="L55" s="260"/>
      <c r="M55" s="260"/>
      <c r="N55" s="260"/>
      <c r="O55" s="260"/>
      <c r="P55" s="260"/>
      <c r="Q55" s="260"/>
      <c r="R55" s="337">
        <f t="shared" si="13"/>
        <v>0</v>
      </c>
      <c r="S55" s="137" t="str">
        <f t="shared" si="14"/>
        <v>#DIV/0!</v>
      </c>
      <c r="T55" s="138"/>
      <c r="U55" s="138"/>
      <c r="V55" s="138"/>
      <c r="W55" s="132"/>
      <c r="X55" s="132"/>
      <c r="Y55" s="138"/>
      <c r="Z55" s="138"/>
      <c r="AA55" s="138"/>
      <c r="AB55" s="209"/>
      <c r="AC55" s="140"/>
      <c r="AD55" s="140"/>
      <c r="AE55" s="141"/>
      <c r="AF55" s="210"/>
      <c r="AG55" s="210"/>
      <c r="AH55" s="210"/>
      <c r="AI55" s="210"/>
      <c r="AJ55" s="212"/>
      <c r="AK55" s="212"/>
      <c r="AL55" s="135">
        <f t="shared" si="15"/>
        <v>0</v>
      </c>
      <c r="AM55" s="183" t="str">
        <f t="shared" si="16"/>
        <v>#DIV/0!</v>
      </c>
      <c r="AN55" s="214"/>
      <c r="AO55" s="214"/>
      <c r="AP55" s="209"/>
      <c r="AQ55" s="138"/>
      <c r="AR55" s="138"/>
      <c r="AS55" s="132"/>
      <c r="AT55" s="133"/>
      <c r="AU55" s="133"/>
      <c r="AV55" s="133"/>
      <c r="AW55" s="133"/>
      <c r="AX55" s="133"/>
      <c r="AY55" s="185"/>
      <c r="AZ55" s="185">
        <v>1.0</v>
      </c>
      <c r="BA55" s="185"/>
      <c r="BB55" s="185"/>
      <c r="BC55" s="185"/>
      <c r="BD55" s="133"/>
      <c r="BE55" s="133"/>
      <c r="BF55" s="133"/>
      <c r="BG55" s="133"/>
      <c r="BH55" s="133"/>
      <c r="BI55" s="135">
        <f t="shared" si="17"/>
        <v>1</v>
      </c>
      <c r="BJ55" s="186">
        <f t="shared" si="18"/>
        <v>20</v>
      </c>
      <c r="BK55" s="138"/>
      <c r="BL55" s="132"/>
      <c r="BM55" s="138"/>
      <c r="BN55" s="138"/>
      <c r="BO55" s="138"/>
      <c r="BP55" s="138"/>
      <c r="BQ55" s="138"/>
      <c r="BR55" s="140"/>
      <c r="BS55" s="152"/>
      <c r="BT55" s="152"/>
      <c r="BU55" s="152"/>
      <c r="BV55" s="152"/>
      <c r="BW55" s="217"/>
      <c r="BX55" s="218"/>
      <c r="BY55" s="218"/>
      <c r="BZ55" s="218"/>
      <c r="CA55" s="218"/>
      <c r="CB55" s="218"/>
      <c r="CC55" s="218"/>
      <c r="CD55" s="218"/>
      <c r="CE55" s="218"/>
      <c r="CF55" s="156">
        <f t="shared" si="19"/>
        <v>0</v>
      </c>
      <c r="CG55" s="190" t="str">
        <f t="shared" si="20"/>
        <v>#DIV/0!</v>
      </c>
      <c r="CH55" s="209"/>
      <c r="CI55" s="153"/>
      <c r="CJ55" s="217"/>
      <c r="CK55" s="219"/>
      <c r="CL55" s="219"/>
      <c r="CM55" s="219"/>
      <c r="CN55" s="219"/>
      <c r="CO55" s="217"/>
      <c r="CP55" s="221"/>
      <c r="CQ55" s="221"/>
      <c r="CR55" s="161"/>
      <c r="CS55" s="163">
        <f t="shared" si="21"/>
        <v>0</v>
      </c>
      <c r="CT55" s="194" t="str">
        <f t="shared" si="22"/>
        <v>#DIV/0!</v>
      </c>
      <c r="CU55" s="196"/>
      <c r="CV55" s="167">
        <f t="shared" si="23"/>
        <v>20</v>
      </c>
      <c r="CW55" s="169">
        <f t="shared" si="8"/>
        <v>1</v>
      </c>
      <c r="CX55" s="197"/>
    </row>
    <row r="56" ht="15.75" customHeight="1">
      <c r="A56" s="172">
        <v>47.0</v>
      </c>
      <c r="B56" s="173" t="s">
        <v>139</v>
      </c>
      <c r="C56" s="199" t="s">
        <v>140</v>
      </c>
      <c r="D56" s="125">
        <f t="shared" si="9"/>
        <v>0</v>
      </c>
      <c r="E56" s="127">
        <f t="shared" si="10"/>
        <v>0</v>
      </c>
      <c r="F56" s="200">
        <f t="shared" si="11"/>
        <v>0</v>
      </c>
      <c r="G56" s="207">
        <f t="shared" si="12"/>
        <v>0</v>
      </c>
      <c r="H56" s="258"/>
      <c r="I56" s="265"/>
      <c r="J56" s="266"/>
      <c r="K56" s="266"/>
      <c r="L56" s="266"/>
      <c r="M56" s="266"/>
      <c r="N56" s="266"/>
      <c r="O56" s="266"/>
      <c r="P56" s="266"/>
      <c r="Q56" s="266"/>
      <c r="R56" s="337">
        <f t="shared" si="13"/>
        <v>0</v>
      </c>
      <c r="S56" s="137" t="str">
        <f t="shared" si="14"/>
        <v>#DIV/0!</v>
      </c>
      <c r="T56" s="138"/>
      <c r="U56" s="138"/>
      <c r="V56" s="138"/>
      <c r="W56" s="132"/>
      <c r="X56" s="132"/>
      <c r="Y56" s="138"/>
      <c r="Z56" s="138"/>
      <c r="AA56" s="138"/>
      <c r="AB56" s="209"/>
      <c r="AC56" s="140"/>
      <c r="AD56" s="140"/>
      <c r="AE56" s="141"/>
      <c r="AF56" s="210"/>
      <c r="AG56" s="210"/>
      <c r="AH56" s="210"/>
      <c r="AI56" s="210"/>
      <c r="AJ56" s="212"/>
      <c r="AK56" s="212"/>
      <c r="AL56" s="135">
        <f t="shared" si="15"/>
        <v>0</v>
      </c>
      <c r="AM56" s="183" t="str">
        <f t="shared" si="16"/>
        <v>#DIV/0!</v>
      </c>
      <c r="AN56" s="214"/>
      <c r="AO56" s="214"/>
      <c r="AP56" s="209"/>
      <c r="AQ56" s="138"/>
      <c r="AR56" s="138"/>
      <c r="AS56" s="132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5">
        <f t="shared" si="17"/>
        <v>0</v>
      </c>
      <c r="BJ56" s="186">
        <f t="shared" si="18"/>
        <v>0</v>
      </c>
      <c r="BK56" s="138"/>
      <c r="BL56" s="132"/>
      <c r="BM56" s="138"/>
      <c r="BN56" s="138"/>
      <c r="BO56" s="138"/>
      <c r="BP56" s="138"/>
      <c r="BQ56" s="138"/>
      <c r="BR56" s="140"/>
      <c r="BS56" s="152"/>
      <c r="BT56" s="152"/>
      <c r="BU56" s="152"/>
      <c r="BV56" s="152"/>
      <c r="BW56" s="217"/>
      <c r="BX56" s="218"/>
      <c r="BY56" s="218"/>
      <c r="BZ56" s="218"/>
      <c r="CA56" s="218"/>
      <c r="CB56" s="218"/>
      <c r="CC56" s="218"/>
      <c r="CD56" s="218"/>
      <c r="CE56" s="218"/>
      <c r="CF56" s="156">
        <f t="shared" si="19"/>
        <v>0</v>
      </c>
      <c r="CG56" s="190" t="str">
        <f t="shared" si="20"/>
        <v>#DIV/0!</v>
      </c>
      <c r="CH56" s="209"/>
      <c r="CI56" s="153"/>
      <c r="CJ56" s="217"/>
      <c r="CK56" s="219"/>
      <c r="CL56" s="219"/>
      <c r="CM56" s="219"/>
      <c r="CN56" s="219"/>
      <c r="CO56" s="217"/>
      <c r="CP56" s="221"/>
      <c r="CQ56" s="221"/>
      <c r="CR56" s="161"/>
      <c r="CS56" s="163">
        <f t="shared" si="21"/>
        <v>0</v>
      </c>
      <c r="CT56" s="194" t="str">
        <f t="shared" si="22"/>
        <v>#DIV/0!</v>
      </c>
      <c r="CU56" s="196"/>
      <c r="CV56" s="167">
        <f t="shared" si="23"/>
        <v>0</v>
      </c>
      <c r="CW56" s="169">
        <f t="shared" si="8"/>
        <v>0</v>
      </c>
      <c r="CX56" s="197"/>
    </row>
    <row r="57" ht="15.75" customHeight="1">
      <c r="A57" s="122">
        <v>48.0</v>
      </c>
      <c r="B57" s="173" t="s">
        <v>141</v>
      </c>
      <c r="C57" s="199" t="s">
        <v>142</v>
      </c>
      <c r="D57" s="125">
        <f t="shared" si="9"/>
        <v>0</v>
      </c>
      <c r="E57" s="127">
        <f t="shared" si="10"/>
        <v>0</v>
      </c>
      <c r="F57" s="200">
        <f t="shared" si="11"/>
        <v>0</v>
      </c>
      <c r="G57" s="207">
        <f t="shared" si="12"/>
        <v>0</v>
      </c>
      <c r="H57" s="258"/>
      <c r="I57" s="258"/>
      <c r="J57" s="263"/>
      <c r="K57" s="263"/>
      <c r="L57" s="263"/>
      <c r="M57" s="263"/>
      <c r="N57" s="263"/>
      <c r="O57" s="263"/>
      <c r="P57" s="263"/>
      <c r="Q57" s="263"/>
      <c r="R57" s="337">
        <f t="shared" si="13"/>
        <v>0</v>
      </c>
      <c r="S57" s="137" t="str">
        <f t="shared" si="14"/>
        <v>#DIV/0!</v>
      </c>
      <c r="T57" s="138"/>
      <c r="U57" s="138"/>
      <c r="V57" s="138"/>
      <c r="W57" s="132"/>
      <c r="X57" s="132"/>
      <c r="Y57" s="138"/>
      <c r="Z57" s="138"/>
      <c r="AA57" s="138"/>
      <c r="AB57" s="209"/>
      <c r="AC57" s="140"/>
      <c r="AD57" s="140"/>
      <c r="AE57" s="141"/>
      <c r="AF57" s="210"/>
      <c r="AG57" s="210"/>
      <c r="AH57" s="210"/>
      <c r="AI57" s="210"/>
      <c r="AJ57" s="212"/>
      <c r="AK57" s="212"/>
      <c r="AL57" s="135">
        <f t="shared" si="15"/>
        <v>0</v>
      </c>
      <c r="AM57" s="183" t="str">
        <f t="shared" si="16"/>
        <v>#DIV/0!</v>
      </c>
      <c r="AN57" s="214"/>
      <c r="AO57" s="214"/>
      <c r="AP57" s="209"/>
      <c r="AQ57" s="138"/>
      <c r="AR57" s="138"/>
      <c r="AS57" s="132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5">
        <f t="shared" si="17"/>
        <v>0</v>
      </c>
      <c r="BJ57" s="186">
        <f t="shared" si="18"/>
        <v>0</v>
      </c>
      <c r="BK57" s="138"/>
      <c r="BL57" s="132"/>
      <c r="BM57" s="138"/>
      <c r="BN57" s="138"/>
      <c r="BO57" s="138"/>
      <c r="BP57" s="138"/>
      <c r="BQ57" s="138"/>
      <c r="BR57" s="140"/>
      <c r="BS57" s="152"/>
      <c r="BT57" s="152"/>
      <c r="BU57" s="152"/>
      <c r="BV57" s="152"/>
      <c r="BW57" s="217"/>
      <c r="BX57" s="218"/>
      <c r="BY57" s="218"/>
      <c r="BZ57" s="218"/>
      <c r="CA57" s="218"/>
      <c r="CB57" s="218"/>
      <c r="CC57" s="218"/>
      <c r="CD57" s="218"/>
      <c r="CE57" s="218"/>
      <c r="CF57" s="156">
        <f t="shared" si="19"/>
        <v>0</v>
      </c>
      <c r="CG57" s="190" t="str">
        <f t="shared" si="20"/>
        <v>#DIV/0!</v>
      </c>
      <c r="CH57" s="209"/>
      <c r="CI57" s="153"/>
      <c r="CJ57" s="217"/>
      <c r="CK57" s="219"/>
      <c r="CL57" s="219"/>
      <c r="CM57" s="219"/>
      <c r="CN57" s="219"/>
      <c r="CO57" s="217"/>
      <c r="CP57" s="221"/>
      <c r="CQ57" s="221"/>
      <c r="CR57" s="161"/>
      <c r="CS57" s="163">
        <f t="shared" si="21"/>
        <v>0</v>
      </c>
      <c r="CT57" s="194" t="str">
        <f t="shared" si="22"/>
        <v>#DIV/0!</v>
      </c>
      <c r="CU57" s="196"/>
      <c r="CV57" s="167">
        <f t="shared" si="23"/>
        <v>0</v>
      </c>
      <c r="CW57" s="169">
        <f t="shared" si="8"/>
        <v>0</v>
      </c>
      <c r="CX57" s="197"/>
    </row>
    <row r="58" ht="15.75" customHeight="1">
      <c r="A58" s="122">
        <v>49.0</v>
      </c>
      <c r="B58" s="173" t="s">
        <v>143</v>
      </c>
      <c r="C58" s="199" t="s">
        <v>144</v>
      </c>
      <c r="D58" s="125">
        <f t="shared" si="9"/>
        <v>4</v>
      </c>
      <c r="E58" s="127">
        <f t="shared" si="10"/>
        <v>80</v>
      </c>
      <c r="F58" s="175" t="str">
        <f t="shared" si="11"/>
        <v>  </v>
      </c>
      <c r="G58" s="177" t="str">
        <f t="shared" si="12"/>
        <v>  </v>
      </c>
      <c r="H58" s="258"/>
      <c r="I58" s="261"/>
      <c r="J58" s="268"/>
      <c r="K58" s="262"/>
      <c r="L58" s="262"/>
      <c r="M58" s="262"/>
      <c r="N58" s="262"/>
      <c r="O58" s="262"/>
      <c r="P58" s="262"/>
      <c r="Q58" s="262"/>
      <c r="R58" s="337">
        <f t="shared" si="13"/>
        <v>0</v>
      </c>
      <c r="S58" s="137" t="str">
        <f t="shared" si="14"/>
        <v>#DIV/0!</v>
      </c>
      <c r="T58" s="138"/>
      <c r="U58" s="138"/>
      <c r="V58" s="138"/>
      <c r="W58" s="132"/>
      <c r="X58" s="132"/>
      <c r="Y58" s="138"/>
      <c r="Z58" s="138"/>
      <c r="AA58" s="138"/>
      <c r="AB58" s="217"/>
      <c r="AC58" s="140"/>
      <c r="AD58" s="140"/>
      <c r="AE58" s="141"/>
      <c r="AF58" s="226"/>
      <c r="AG58" s="226"/>
      <c r="AH58" s="226"/>
      <c r="AI58" s="226"/>
      <c r="AJ58" s="218"/>
      <c r="AK58" s="218"/>
      <c r="AL58" s="135">
        <f t="shared" si="15"/>
        <v>0</v>
      </c>
      <c r="AM58" s="183" t="str">
        <f t="shared" si="16"/>
        <v>#DIV/0!</v>
      </c>
      <c r="AN58" s="228"/>
      <c r="AO58" s="228"/>
      <c r="AP58" s="217"/>
      <c r="AQ58" s="138"/>
      <c r="AR58" s="138"/>
      <c r="AS58" s="132"/>
      <c r="AT58" s="133"/>
      <c r="AU58" s="133"/>
      <c r="AV58" s="133"/>
      <c r="AW58" s="133"/>
      <c r="AX58" s="133"/>
      <c r="AY58" s="185">
        <v>1.0</v>
      </c>
      <c r="AZ58" s="185">
        <v>1.0</v>
      </c>
      <c r="BA58" s="185">
        <v>1.0</v>
      </c>
      <c r="BB58" s="185"/>
      <c r="BC58" s="185">
        <v>1.0</v>
      </c>
      <c r="BD58" s="133"/>
      <c r="BE58" s="133"/>
      <c r="BF58" s="133"/>
      <c r="BG58" s="133"/>
      <c r="BH58" s="133"/>
      <c r="BI58" s="135">
        <f t="shared" si="17"/>
        <v>4</v>
      </c>
      <c r="BJ58" s="186">
        <f t="shared" si="18"/>
        <v>80</v>
      </c>
      <c r="BK58" s="138"/>
      <c r="BL58" s="132"/>
      <c r="BM58" s="138"/>
      <c r="BN58" s="138"/>
      <c r="BO58" s="138"/>
      <c r="BP58" s="138"/>
      <c r="BQ58" s="138"/>
      <c r="BR58" s="140"/>
      <c r="BS58" s="152"/>
      <c r="BT58" s="152"/>
      <c r="BU58" s="152"/>
      <c r="BV58" s="152"/>
      <c r="BW58" s="217"/>
      <c r="BX58" s="218"/>
      <c r="BY58" s="218"/>
      <c r="BZ58" s="218"/>
      <c r="CA58" s="218"/>
      <c r="CB58" s="218"/>
      <c r="CC58" s="218"/>
      <c r="CD58" s="218"/>
      <c r="CE58" s="218"/>
      <c r="CF58" s="156">
        <f t="shared" si="19"/>
        <v>0</v>
      </c>
      <c r="CG58" s="190" t="str">
        <f t="shared" si="20"/>
        <v>#DIV/0!</v>
      </c>
      <c r="CH58" s="217"/>
      <c r="CI58" s="153"/>
      <c r="CJ58" s="217"/>
      <c r="CK58" s="219"/>
      <c r="CL58" s="219"/>
      <c r="CM58" s="219"/>
      <c r="CN58" s="219"/>
      <c r="CO58" s="217"/>
      <c r="CP58" s="221"/>
      <c r="CQ58" s="221"/>
      <c r="CR58" s="161"/>
      <c r="CS58" s="163">
        <f t="shared" si="21"/>
        <v>0</v>
      </c>
      <c r="CT58" s="194" t="str">
        <f t="shared" si="22"/>
        <v>#DIV/0!</v>
      </c>
      <c r="CU58" s="196"/>
      <c r="CV58" s="167">
        <f t="shared" si="23"/>
        <v>80</v>
      </c>
      <c r="CW58" s="169">
        <f t="shared" si="8"/>
        <v>4</v>
      </c>
      <c r="CX58" s="197"/>
    </row>
    <row r="59" ht="15.75" customHeight="1">
      <c r="A59" s="172">
        <v>50.0</v>
      </c>
      <c r="B59" s="173" t="s">
        <v>145</v>
      </c>
      <c r="C59" s="199" t="s">
        <v>146</v>
      </c>
      <c r="D59" s="125">
        <f t="shared" si="9"/>
        <v>4</v>
      </c>
      <c r="E59" s="127">
        <f t="shared" si="10"/>
        <v>80</v>
      </c>
      <c r="F59" s="175" t="str">
        <f t="shared" si="11"/>
        <v>  </v>
      </c>
      <c r="G59" s="177" t="str">
        <f t="shared" si="12"/>
        <v>  </v>
      </c>
      <c r="H59" s="258"/>
      <c r="I59" s="261"/>
      <c r="J59" s="262"/>
      <c r="K59" s="262"/>
      <c r="L59" s="268"/>
      <c r="M59" s="262"/>
      <c r="N59" s="262"/>
      <c r="O59" s="262"/>
      <c r="P59" s="262"/>
      <c r="Q59" s="262"/>
      <c r="R59" s="337">
        <f t="shared" si="13"/>
        <v>0</v>
      </c>
      <c r="S59" s="137" t="str">
        <f t="shared" si="14"/>
        <v>#DIV/0!</v>
      </c>
      <c r="T59" s="138"/>
      <c r="U59" s="138"/>
      <c r="V59" s="138"/>
      <c r="W59" s="132"/>
      <c r="X59" s="132"/>
      <c r="Y59" s="138"/>
      <c r="Z59" s="138"/>
      <c r="AA59" s="138"/>
      <c r="AB59" s="217"/>
      <c r="AC59" s="140"/>
      <c r="AD59" s="140"/>
      <c r="AE59" s="141"/>
      <c r="AF59" s="226"/>
      <c r="AG59" s="226"/>
      <c r="AH59" s="226"/>
      <c r="AI59" s="226"/>
      <c r="AJ59" s="218"/>
      <c r="AK59" s="218"/>
      <c r="AL59" s="135">
        <f t="shared" si="15"/>
        <v>0</v>
      </c>
      <c r="AM59" s="183" t="str">
        <f t="shared" si="16"/>
        <v>#DIV/0!</v>
      </c>
      <c r="AN59" s="228"/>
      <c r="AO59" s="228"/>
      <c r="AP59" s="217"/>
      <c r="AQ59" s="138"/>
      <c r="AR59" s="138"/>
      <c r="AS59" s="132"/>
      <c r="AT59" s="133"/>
      <c r="AU59" s="133"/>
      <c r="AV59" s="133"/>
      <c r="AW59" s="133"/>
      <c r="AX59" s="133"/>
      <c r="AY59" s="185">
        <v>1.0</v>
      </c>
      <c r="AZ59" s="185">
        <v>1.0</v>
      </c>
      <c r="BA59" s="185"/>
      <c r="BB59" s="185">
        <v>1.0</v>
      </c>
      <c r="BC59" s="185">
        <v>1.0</v>
      </c>
      <c r="BD59" s="133"/>
      <c r="BE59" s="133"/>
      <c r="BF59" s="133"/>
      <c r="BG59" s="133"/>
      <c r="BH59" s="133"/>
      <c r="BI59" s="135">
        <f t="shared" si="17"/>
        <v>4</v>
      </c>
      <c r="BJ59" s="186">
        <f t="shared" si="18"/>
        <v>80</v>
      </c>
      <c r="BK59" s="138"/>
      <c r="BL59" s="132"/>
      <c r="BM59" s="138"/>
      <c r="BN59" s="138"/>
      <c r="BO59" s="138"/>
      <c r="BP59" s="138"/>
      <c r="BQ59" s="138"/>
      <c r="BR59" s="140"/>
      <c r="BS59" s="152"/>
      <c r="BT59" s="152"/>
      <c r="BU59" s="152"/>
      <c r="BV59" s="152"/>
      <c r="BW59" s="217"/>
      <c r="BX59" s="218"/>
      <c r="BY59" s="218"/>
      <c r="BZ59" s="218"/>
      <c r="CA59" s="218"/>
      <c r="CB59" s="218"/>
      <c r="CC59" s="218"/>
      <c r="CD59" s="218"/>
      <c r="CE59" s="218"/>
      <c r="CF59" s="156">
        <f t="shared" si="19"/>
        <v>0</v>
      </c>
      <c r="CG59" s="190" t="str">
        <f t="shared" si="20"/>
        <v>#DIV/0!</v>
      </c>
      <c r="CH59" s="217"/>
      <c r="CI59" s="153"/>
      <c r="CJ59" s="217"/>
      <c r="CK59" s="219"/>
      <c r="CL59" s="219"/>
      <c r="CM59" s="219"/>
      <c r="CN59" s="219"/>
      <c r="CO59" s="217"/>
      <c r="CP59" s="221"/>
      <c r="CQ59" s="221"/>
      <c r="CR59" s="161"/>
      <c r="CS59" s="163">
        <f t="shared" si="21"/>
        <v>0</v>
      </c>
      <c r="CT59" s="194" t="str">
        <f t="shared" si="22"/>
        <v>#DIV/0!</v>
      </c>
      <c r="CU59" s="196"/>
      <c r="CV59" s="167">
        <f t="shared" si="23"/>
        <v>80</v>
      </c>
      <c r="CW59" s="169">
        <f t="shared" si="8"/>
        <v>4</v>
      </c>
      <c r="CX59" s="197"/>
    </row>
    <row r="60" ht="15.75" customHeight="1">
      <c r="A60" s="122">
        <v>51.0</v>
      </c>
      <c r="B60" s="173" t="s">
        <v>147</v>
      </c>
      <c r="C60" s="199" t="s">
        <v>148</v>
      </c>
      <c r="D60" s="125">
        <f t="shared" si="9"/>
        <v>5</v>
      </c>
      <c r="E60" s="127">
        <f t="shared" si="10"/>
        <v>100</v>
      </c>
      <c r="F60" s="200" t="str">
        <f t="shared" si="11"/>
        <v>  </v>
      </c>
      <c r="G60" s="177" t="str">
        <f t="shared" si="12"/>
        <v>  </v>
      </c>
      <c r="H60" s="258"/>
      <c r="I60" s="265"/>
      <c r="J60" s="266"/>
      <c r="K60" s="266"/>
      <c r="L60" s="266"/>
      <c r="M60" s="266"/>
      <c r="N60" s="266"/>
      <c r="O60" s="266"/>
      <c r="P60" s="266"/>
      <c r="Q60" s="266"/>
      <c r="R60" s="337">
        <f t="shared" si="13"/>
        <v>0</v>
      </c>
      <c r="S60" s="137" t="str">
        <f t="shared" si="14"/>
        <v>#DIV/0!</v>
      </c>
      <c r="T60" s="138"/>
      <c r="U60" s="138"/>
      <c r="V60" s="138"/>
      <c r="W60" s="132"/>
      <c r="X60" s="132"/>
      <c r="Y60" s="138"/>
      <c r="Z60" s="138"/>
      <c r="AA60" s="138"/>
      <c r="AB60" s="209"/>
      <c r="AC60" s="140"/>
      <c r="AD60" s="140"/>
      <c r="AE60" s="141"/>
      <c r="AF60" s="210"/>
      <c r="AG60" s="210"/>
      <c r="AH60" s="210"/>
      <c r="AI60" s="210"/>
      <c r="AJ60" s="212"/>
      <c r="AK60" s="212"/>
      <c r="AL60" s="135">
        <f t="shared" si="15"/>
        <v>0</v>
      </c>
      <c r="AM60" s="183" t="str">
        <f t="shared" si="16"/>
        <v>#DIV/0!</v>
      </c>
      <c r="AN60" s="214"/>
      <c r="AO60" s="214"/>
      <c r="AP60" s="209"/>
      <c r="AQ60" s="138"/>
      <c r="AR60" s="138"/>
      <c r="AS60" s="132"/>
      <c r="AT60" s="133"/>
      <c r="AU60" s="133"/>
      <c r="AV60" s="133"/>
      <c r="AW60" s="133"/>
      <c r="AX60" s="133"/>
      <c r="AY60" s="185">
        <v>1.0</v>
      </c>
      <c r="AZ60" s="185">
        <v>1.0</v>
      </c>
      <c r="BA60" s="185">
        <v>1.0</v>
      </c>
      <c r="BB60" s="185">
        <v>1.0</v>
      </c>
      <c r="BC60" s="185">
        <v>1.0</v>
      </c>
      <c r="BD60" s="133"/>
      <c r="BE60" s="133"/>
      <c r="BF60" s="133"/>
      <c r="BG60" s="133"/>
      <c r="BH60" s="133"/>
      <c r="BI60" s="135">
        <f t="shared" si="17"/>
        <v>5</v>
      </c>
      <c r="BJ60" s="186">
        <f t="shared" si="18"/>
        <v>100</v>
      </c>
      <c r="BK60" s="138"/>
      <c r="BL60" s="132"/>
      <c r="BM60" s="138"/>
      <c r="BN60" s="138"/>
      <c r="BO60" s="138"/>
      <c r="BP60" s="138"/>
      <c r="BQ60" s="138"/>
      <c r="BR60" s="140"/>
      <c r="BS60" s="152"/>
      <c r="BT60" s="152"/>
      <c r="BU60" s="152"/>
      <c r="BV60" s="152"/>
      <c r="BW60" s="217"/>
      <c r="BX60" s="218"/>
      <c r="BY60" s="218"/>
      <c r="BZ60" s="218"/>
      <c r="CA60" s="218"/>
      <c r="CB60" s="218"/>
      <c r="CC60" s="218"/>
      <c r="CD60" s="218"/>
      <c r="CE60" s="218"/>
      <c r="CF60" s="156">
        <f t="shared" si="19"/>
        <v>0</v>
      </c>
      <c r="CG60" s="190" t="str">
        <f t="shared" si="20"/>
        <v>#DIV/0!</v>
      </c>
      <c r="CH60" s="209"/>
      <c r="CI60" s="153"/>
      <c r="CJ60" s="217"/>
      <c r="CK60" s="219"/>
      <c r="CL60" s="219"/>
      <c r="CM60" s="219"/>
      <c r="CN60" s="219"/>
      <c r="CO60" s="217"/>
      <c r="CP60" s="221"/>
      <c r="CQ60" s="221"/>
      <c r="CR60" s="161"/>
      <c r="CS60" s="163">
        <f t="shared" si="21"/>
        <v>0</v>
      </c>
      <c r="CT60" s="194" t="str">
        <f t="shared" si="22"/>
        <v>#DIV/0!</v>
      </c>
      <c r="CU60" s="196"/>
      <c r="CV60" s="167">
        <f t="shared" si="23"/>
        <v>100</v>
      </c>
      <c r="CW60" s="169">
        <f t="shared" si="8"/>
        <v>5</v>
      </c>
      <c r="CX60" s="197"/>
    </row>
    <row r="61" ht="15.75" customHeight="1">
      <c r="A61" s="122">
        <v>52.0</v>
      </c>
      <c r="B61" s="173" t="s">
        <v>149</v>
      </c>
      <c r="C61" s="199" t="s">
        <v>150</v>
      </c>
      <c r="D61" s="125">
        <f t="shared" si="9"/>
        <v>0</v>
      </c>
      <c r="E61" s="127">
        <f t="shared" si="10"/>
        <v>0</v>
      </c>
      <c r="F61" s="200">
        <f t="shared" si="11"/>
        <v>0</v>
      </c>
      <c r="G61" s="207">
        <f t="shared" si="12"/>
        <v>0</v>
      </c>
      <c r="H61" s="265"/>
      <c r="I61" s="258"/>
      <c r="J61" s="263"/>
      <c r="K61" s="263"/>
      <c r="L61" s="263"/>
      <c r="M61" s="263"/>
      <c r="N61" s="263"/>
      <c r="O61" s="263"/>
      <c r="P61" s="263"/>
      <c r="Q61" s="263"/>
      <c r="R61" s="337">
        <f t="shared" si="13"/>
        <v>0</v>
      </c>
      <c r="S61" s="137" t="str">
        <f t="shared" si="14"/>
        <v>#DIV/0!</v>
      </c>
      <c r="T61" s="138"/>
      <c r="U61" s="138"/>
      <c r="V61" s="138"/>
      <c r="W61" s="132"/>
      <c r="X61" s="132"/>
      <c r="Y61" s="138"/>
      <c r="Z61" s="138"/>
      <c r="AA61" s="138"/>
      <c r="AB61" s="209"/>
      <c r="AC61" s="140"/>
      <c r="AD61" s="140"/>
      <c r="AE61" s="141"/>
      <c r="AF61" s="210"/>
      <c r="AG61" s="210"/>
      <c r="AH61" s="210"/>
      <c r="AI61" s="210"/>
      <c r="AJ61" s="212"/>
      <c r="AK61" s="212"/>
      <c r="AL61" s="135">
        <f t="shared" si="15"/>
        <v>0</v>
      </c>
      <c r="AM61" s="183" t="str">
        <f t="shared" si="16"/>
        <v>#DIV/0!</v>
      </c>
      <c r="AN61" s="214"/>
      <c r="AO61" s="214"/>
      <c r="AP61" s="209"/>
      <c r="AQ61" s="138"/>
      <c r="AR61" s="138"/>
      <c r="AS61" s="132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5">
        <f t="shared" si="17"/>
        <v>0</v>
      </c>
      <c r="BJ61" s="186">
        <f t="shared" si="18"/>
        <v>0</v>
      </c>
      <c r="BK61" s="138"/>
      <c r="BL61" s="132"/>
      <c r="BM61" s="138"/>
      <c r="BN61" s="138"/>
      <c r="BO61" s="138"/>
      <c r="BP61" s="138"/>
      <c r="BQ61" s="138"/>
      <c r="BR61" s="140"/>
      <c r="BS61" s="152"/>
      <c r="BT61" s="152"/>
      <c r="BU61" s="152"/>
      <c r="BV61" s="152"/>
      <c r="BW61" s="217"/>
      <c r="BX61" s="218"/>
      <c r="BY61" s="218"/>
      <c r="BZ61" s="218"/>
      <c r="CA61" s="218"/>
      <c r="CB61" s="218"/>
      <c r="CC61" s="218"/>
      <c r="CD61" s="218"/>
      <c r="CE61" s="218"/>
      <c r="CF61" s="156">
        <f t="shared" si="19"/>
        <v>0</v>
      </c>
      <c r="CG61" s="190" t="str">
        <f t="shared" si="20"/>
        <v>#DIV/0!</v>
      </c>
      <c r="CH61" s="209"/>
      <c r="CI61" s="153"/>
      <c r="CJ61" s="217"/>
      <c r="CK61" s="219"/>
      <c r="CL61" s="219"/>
      <c r="CM61" s="219"/>
      <c r="CN61" s="219"/>
      <c r="CO61" s="217"/>
      <c r="CP61" s="221"/>
      <c r="CQ61" s="221"/>
      <c r="CR61" s="161"/>
      <c r="CS61" s="163">
        <f t="shared" si="21"/>
        <v>0</v>
      </c>
      <c r="CT61" s="194" t="str">
        <f t="shared" si="22"/>
        <v>#DIV/0!</v>
      </c>
      <c r="CU61" s="196"/>
      <c r="CV61" s="167">
        <f t="shared" si="23"/>
        <v>0</v>
      </c>
      <c r="CW61" s="169">
        <f t="shared" si="8"/>
        <v>0</v>
      </c>
      <c r="CX61" s="197"/>
    </row>
    <row r="62" ht="15.75" customHeight="1">
      <c r="A62" s="172">
        <v>53.0</v>
      </c>
      <c r="B62" s="173" t="s">
        <v>151</v>
      </c>
      <c r="C62" s="199" t="s">
        <v>152</v>
      </c>
      <c r="D62" s="125">
        <f t="shared" si="9"/>
        <v>4</v>
      </c>
      <c r="E62" s="127">
        <f t="shared" si="10"/>
        <v>80</v>
      </c>
      <c r="F62" s="175" t="str">
        <f t="shared" si="11"/>
        <v>  </v>
      </c>
      <c r="G62" s="177" t="str">
        <f t="shared" si="12"/>
        <v>  </v>
      </c>
      <c r="H62" s="258"/>
      <c r="I62" s="258"/>
      <c r="J62" s="263"/>
      <c r="K62" s="263"/>
      <c r="L62" s="263"/>
      <c r="M62" s="263"/>
      <c r="N62" s="263"/>
      <c r="O62" s="263"/>
      <c r="P62" s="263"/>
      <c r="Q62" s="263"/>
      <c r="R62" s="337">
        <f t="shared" si="13"/>
        <v>0</v>
      </c>
      <c r="S62" s="137" t="str">
        <f t="shared" si="14"/>
        <v>#DIV/0!</v>
      </c>
      <c r="T62" s="138"/>
      <c r="U62" s="138"/>
      <c r="V62" s="138"/>
      <c r="W62" s="132"/>
      <c r="X62" s="132"/>
      <c r="Y62" s="138"/>
      <c r="Z62" s="138"/>
      <c r="AA62" s="138"/>
      <c r="AB62" s="233"/>
      <c r="AC62" s="140"/>
      <c r="AD62" s="140"/>
      <c r="AE62" s="141"/>
      <c r="AF62" s="234"/>
      <c r="AG62" s="234"/>
      <c r="AH62" s="234"/>
      <c r="AI62" s="234"/>
      <c r="AJ62" s="239"/>
      <c r="AK62" s="239"/>
      <c r="AL62" s="135">
        <f t="shared" si="15"/>
        <v>0</v>
      </c>
      <c r="AM62" s="183" t="str">
        <f t="shared" si="16"/>
        <v>#DIV/0!</v>
      </c>
      <c r="AN62" s="241"/>
      <c r="AO62" s="241"/>
      <c r="AP62" s="233"/>
      <c r="AQ62" s="138"/>
      <c r="AR62" s="138"/>
      <c r="AS62" s="132"/>
      <c r="AT62" s="133"/>
      <c r="AU62" s="133"/>
      <c r="AV62" s="133"/>
      <c r="AW62" s="133"/>
      <c r="AX62" s="133"/>
      <c r="AY62" s="185">
        <v>1.0</v>
      </c>
      <c r="AZ62" s="185">
        <v>1.0</v>
      </c>
      <c r="BA62" s="185">
        <v>1.0</v>
      </c>
      <c r="BB62" s="185"/>
      <c r="BC62" s="185">
        <v>1.0</v>
      </c>
      <c r="BD62" s="133"/>
      <c r="BE62" s="133"/>
      <c r="BF62" s="133"/>
      <c r="BG62" s="133"/>
      <c r="BH62" s="133"/>
      <c r="BI62" s="135">
        <f t="shared" si="17"/>
        <v>4</v>
      </c>
      <c r="BJ62" s="186">
        <f t="shared" si="18"/>
        <v>80</v>
      </c>
      <c r="BK62" s="138"/>
      <c r="BL62" s="132"/>
      <c r="BM62" s="138"/>
      <c r="BN62" s="138"/>
      <c r="BO62" s="138"/>
      <c r="BP62" s="138"/>
      <c r="BQ62" s="138"/>
      <c r="BR62" s="140"/>
      <c r="BS62" s="152"/>
      <c r="BT62" s="152"/>
      <c r="BU62" s="152"/>
      <c r="BV62" s="152"/>
      <c r="BW62" s="217"/>
      <c r="BX62" s="218"/>
      <c r="BY62" s="218"/>
      <c r="BZ62" s="218"/>
      <c r="CA62" s="218"/>
      <c r="CB62" s="218"/>
      <c r="CC62" s="218"/>
      <c r="CD62" s="218"/>
      <c r="CE62" s="218"/>
      <c r="CF62" s="156">
        <f t="shared" si="19"/>
        <v>0</v>
      </c>
      <c r="CG62" s="190" t="str">
        <f t="shared" si="20"/>
        <v>#DIV/0!</v>
      </c>
      <c r="CH62" s="233"/>
      <c r="CI62" s="153"/>
      <c r="CJ62" s="217"/>
      <c r="CK62" s="219"/>
      <c r="CL62" s="219"/>
      <c r="CM62" s="219"/>
      <c r="CN62" s="219"/>
      <c r="CO62" s="217"/>
      <c r="CP62" s="221"/>
      <c r="CQ62" s="221"/>
      <c r="CR62" s="161"/>
      <c r="CS62" s="163">
        <f t="shared" si="21"/>
        <v>0</v>
      </c>
      <c r="CT62" s="194" t="str">
        <f t="shared" si="22"/>
        <v>#DIV/0!</v>
      </c>
      <c r="CU62" s="196"/>
      <c r="CV62" s="167">
        <f t="shared" si="23"/>
        <v>80</v>
      </c>
      <c r="CW62" s="169">
        <f t="shared" si="8"/>
        <v>4</v>
      </c>
      <c r="CX62" s="197"/>
    </row>
    <row r="63" ht="15.75" customHeight="1">
      <c r="A63" s="122">
        <v>54.0</v>
      </c>
      <c r="B63" s="173" t="s">
        <v>153</v>
      </c>
      <c r="C63" s="199" t="s">
        <v>154</v>
      </c>
      <c r="D63" s="125">
        <f t="shared" si="9"/>
        <v>5</v>
      </c>
      <c r="E63" s="127">
        <f t="shared" si="10"/>
        <v>100</v>
      </c>
      <c r="F63" s="200" t="str">
        <f t="shared" si="11"/>
        <v>  </v>
      </c>
      <c r="G63" s="207" t="str">
        <f t="shared" si="12"/>
        <v>  </v>
      </c>
      <c r="H63" s="258"/>
      <c r="I63" s="258"/>
      <c r="J63" s="263"/>
      <c r="K63" s="263"/>
      <c r="L63" s="263"/>
      <c r="M63" s="263"/>
      <c r="N63" s="263"/>
      <c r="O63" s="263"/>
      <c r="P63" s="263"/>
      <c r="Q63" s="263"/>
      <c r="R63" s="337">
        <f t="shared" si="13"/>
        <v>0</v>
      </c>
      <c r="S63" s="137" t="str">
        <f t="shared" si="14"/>
        <v>#DIV/0!</v>
      </c>
      <c r="T63" s="138"/>
      <c r="U63" s="138"/>
      <c r="V63" s="138"/>
      <c r="W63" s="132"/>
      <c r="X63" s="132"/>
      <c r="Y63" s="138"/>
      <c r="Z63" s="138"/>
      <c r="AA63" s="138"/>
      <c r="AB63" s="209"/>
      <c r="AC63" s="140"/>
      <c r="AD63" s="140"/>
      <c r="AE63" s="141"/>
      <c r="AF63" s="210"/>
      <c r="AG63" s="210"/>
      <c r="AH63" s="210"/>
      <c r="AI63" s="210"/>
      <c r="AJ63" s="212"/>
      <c r="AK63" s="212"/>
      <c r="AL63" s="135">
        <f t="shared" si="15"/>
        <v>0</v>
      </c>
      <c r="AM63" s="183" t="str">
        <f t="shared" si="16"/>
        <v>#DIV/0!</v>
      </c>
      <c r="AN63" s="214"/>
      <c r="AO63" s="214"/>
      <c r="AP63" s="209"/>
      <c r="AQ63" s="138"/>
      <c r="AR63" s="138"/>
      <c r="AS63" s="132"/>
      <c r="AT63" s="133"/>
      <c r="AU63" s="133"/>
      <c r="AV63" s="133"/>
      <c r="AW63" s="133"/>
      <c r="AX63" s="133"/>
      <c r="AY63" s="185">
        <v>1.0</v>
      </c>
      <c r="AZ63" s="185">
        <v>1.0</v>
      </c>
      <c r="BA63" s="185">
        <v>1.0</v>
      </c>
      <c r="BB63" s="185">
        <v>1.0</v>
      </c>
      <c r="BC63" s="185">
        <v>1.0</v>
      </c>
      <c r="BD63" s="133"/>
      <c r="BE63" s="133"/>
      <c r="BF63" s="133"/>
      <c r="BG63" s="133"/>
      <c r="BH63" s="133"/>
      <c r="BI63" s="135">
        <f t="shared" si="17"/>
        <v>5</v>
      </c>
      <c r="BJ63" s="186">
        <f t="shared" si="18"/>
        <v>100</v>
      </c>
      <c r="BK63" s="138"/>
      <c r="BL63" s="132"/>
      <c r="BM63" s="138"/>
      <c r="BN63" s="138"/>
      <c r="BO63" s="138"/>
      <c r="BP63" s="138"/>
      <c r="BQ63" s="138"/>
      <c r="BR63" s="140"/>
      <c r="BS63" s="152"/>
      <c r="BT63" s="152"/>
      <c r="BU63" s="152"/>
      <c r="BV63" s="152"/>
      <c r="BW63" s="217"/>
      <c r="BX63" s="218"/>
      <c r="BY63" s="218"/>
      <c r="BZ63" s="218"/>
      <c r="CA63" s="218"/>
      <c r="CB63" s="218"/>
      <c r="CC63" s="218"/>
      <c r="CD63" s="218"/>
      <c r="CE63" s="218"/>
      <c r="CF63" s="156">
        <f t="shared" si="19"/>
        <v>0</v>
      </c>
      <c r="CG63" s="190" t="str">
        <f t="shared" si="20"/>
        <v>#DIV/0!</v>
      </c>
      <c r="CH63" s="209"/>
      <c r="CI63" s="153"/>
      <c r="CJ63" s="217"/>
      <c r="CK63" s="219"/>
      <c r="CL63" s="219"/>
      <c r="CM63" s="219"/>
      <c r="CN63" s="219"/>
      <c r="CO63" s="217"/>
      <c r="CP63" s="221"/>
      <c r="CQ63" s="221"/>
      <c r="CR63" s="161"/>
      <c r="CS63" s="163">
        <f t="shared" si="21"/>
        <v>0</v>
      </c>
      <c r="CT63" s="194" t="str">
        <f t="shared" si="22"/>
        <v>#DIV/0!</v>
      </c>
      <c r="CU63" s="196"/>
      <c r="CV63" s="167">
        <f t="shared" si="23"/>
        <v>100</v>
      </c>
      <c r="CW63" s="169">
        <f t="shared" si="8"/>
        <v>5</v>
      </c>
      <c r="CX63" s="197"/>
    </row>
    <row r="64" ht="15.75" customHeight="1">
      <c r="A64" s="122">
        <v>55.0</v>
      </c>
      <c r="B64" s="173" t="s">
        <v>155</v>
      </c>
      <c r="C64" s="199" t="s">
        <v>156</v>
      </c>
      <c r="D64" s="125">
        <f t="shared" si="9"/>
        <v>0</v>
      </c>
      <c r="E64" s="127">
        <f t="shared" si="10"/>
        <v>0</v>
      </c>
      <c r="F64" s="200">
        <f t="shared" si="11"/>
        <v>0</v>
      </c>
      <c r="G64" s="207">
        <f t="shared" si="12"/>
        <v>0</v>
      </c>
      <c r="H64" s="258"/>
      <c r="I64" s="258"/>
      <c r="J64" s="263"/>
      <c r="K64" s="263"/>
      <c r="L64" s="263"/>
      <c r="M64" s="263"/>
      <c r="N64" s="263"/>
      <c r="O64" s="263"/>
      <c r="P64" s="263"/>
      <c r="Q64" s="263"/>
      <c r="R64" s="337">
        <f t="shared" si="13"/>
        <v>0</v>
      </c>
      <c r="S64" s="137" t="str">
        <f t="shared" si="14"/>
        <v>#DIV/0!</v>
      </c>
      <c r="T64" s="138"/>
      <c r="U64" s="138"/>
      <c r="V64" s="138"/>
      <c r="W64" s="132"/>
      <c r="X64" s="132"/>
      <c r="Y64" s="138"/>
      <c r="Z64" s="138"/>
      <c r="AA64" s="138"/>
      <c r="AB64" s="209"/>
      <c r="AC64" s="140"/>
      <c r="AD64" s="140"/>
      <c r="AE64" s="141"/>
      <c r="AF64" s="210"/>
      <c r="AG64" s="210"/>
      <c r="AH64" s="210"/>
      <c r="AI64" s="210"/>
      <c r="AJ64" s="212"/>
      <c r="AK64" s="212"/>
      <c r="AL64" s="135">
        <f t="shared" si="15"/>
        <v>0</v>
      </c>
      <c r="AM64" s="183" t="str">
        <f t="shared" si="16"/>
        <v>#DIV/0!</v>
      </c>
      <c r="AN64" s="214"/>
      <c r="AO64" s="214"/>
      <c r="AP64" s="209"/>
      <c r="AQ64" s="138"/>
      <c r="AR64" s="138"/>
      <c r="AS64" s="132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5">
        <f t="shared" si="17"/>
        <v>0</v>
      </c>
      <c r="BJ64" s="186">
        <f t="shared" si="18"/>
        <v>0</v>
      </c>
      <c r="BK64" s="138"/>
      <c r="BL64" s="132"/>
      <c r="BM64" s="138"/>
      <c r="BN64" s="138"/>
      <c r="BO64" s="138"/>
      <c r="BP64" s="138"/>
      <c r="BQ64" s="138"/>
      <c r="BR64" s="140"/>
      <c r="BS64" s="152"/>
      <c r="BT64" s="152"/>
      <c r="BU64" s="152"/>
      <c r="BV64" s="152"/>
      <c r="BW64" s="217"/>
      <c r="BX64" s="218"/>
      <c r="BY64" s="218"/>
      <c r="BZ64" s="218"/>
      <c r="CA64" s="218"/>
      <c r="CB64" s="218"/>
      <c r="CC64" s="218"/>
      <c r="CD64" s="218"/>
      <c r="CE64" s="218"/>
      <c r="CF64" s="156">
        <f t="shared" si="19"/>
        <v>0</v>
      </c>
      <c r="CG64" s="190" t="str">
        <f t="shared" si="20"/>
        <v>#DIV/0!</v>
      </c>
      <c r="CH64" s="209"/>
      <c r="CI64" s="153"/>
      <c r="CJ64" s="217"/>
      <c r="CK64" s="219"/>
      <c r="CL64" s="219"/>
      <c r="CM64" s="219"/>
      <c r="CN64" s="219"/>
      <c r="CO64" s="217"/>
      <c r="CP64" s="221"/>
      <c r="CQ64" s="221"/>
      <c r="CR64" s="161"/>
      <c r="CS64" s="163">
        <f t="shared" si="21"/>
        <v>0</v>
      </c>
      <c r="CT64" s="194" t="str">
        <f t="shared" si="22"/>
        <v>#DIV/0!</v>
      </c>
      <c r="CU64" s="196"/>
      <c r="CV64" s="167">
        <f t="shared" si="23"/>
        <v>0</v>
      </c>
      <c r="CW64" s="169">
        <f t="shared" si="8"/>
        <v>0</v>
      </c>
      <c r="CX64" s="197"/>
    </row>
    <row r="65" ht="15.75" customHeight="1">
      <c r="A65" s="172">
        <v>56.0</v>
      </c>
      <c r="B65" s="173" t="s">
        <v>157</v>
      </c>
      <c r="C65" s="199" t="s">
        <v>158</v>
      </c>
      <c r="D65" s="125">
        <f t="shared" si="9"/>
        <v>0</v>
      </c>
      <c r="E65" s="127">
        <f t="shared" si="10"/>
        <v>0</v>
      </c>
      <c r="F65" s="200">
        <f t="shared" si="11"/>
        <v>0</v>
      </c>
      <c r="G65" s="207">
        <f t="shared" si="12"/>
        <v>0</v>
      </c>
      <c r="H65" s="258"/>
      <c r="I65" s="258"/>
      <c r="J65" s="263"/>
      <c r="K65" s="263"/>
      <c r="L65" s="263"/>
      <c r="M65" s="263"/>
      <c r="N65" s="263"/>
      <c r="O65" s="263"/>
      <c r="P65" s="263"/>
      <c r="Q65" s="263"/>
      <c r="R65" s="337">
        <f t="shared" si="13"/>
        <v>0</v>
      </c>
      <c r="S65" s="137" t="str">
        <f t="shared" si="14"/>
        <v>#DIV/0!</v>
      </c>
      <c r="T65" s="138"/>
      <c r="U65" s="138"/>
      <c r="V65" s="138"/>
      <c r="W65" s="132"/>
      <c r="X65" s="132"/>
      <c r="Y65" s="138"/>
      <c r="Z65" s="138"/>
      <c r="AA65" s="138"/>
      <c r="AB65" s="209"/>
      <c r="AC65" s="140"/>
      <c r="AD65" s="140"/>
      <c r="AE65" s="141"/>
      <c r="AF65" s="210"/>
      <c r="AG65" s="210"/>
      <c r="AH65" s="210"/>
      <c r="AI65" s="210"/>
      <c r="AJ65" s="212"/>
      <c r="AK65" s="212"/>
      <c r="AL65" s="135">
        <f t="shared" si="15"/>
        <v>0</v>
      </c>
      <c r="AM65" s="183" t="str">
        <f t="shared" si="16"/>
        <v>#DIV/0!</v>
      </c>
      <c r="AN65" s="214"/>
      <c r="AO65" s="214"/>
      <c r="AP65" s="209"/>
      <c r="AQ65" s="138"/>
      <c r="AR65" s="138"/>
      <c r="AS65" s="132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5">
        <f t="shared" si="17"/>
        <v>0</v>
      </c>
      <c r="BJ65" s="186">
        <f t="shared" si="18"/>
        <v>0</v>
      </c>
      <c r="BK65" s="138"/>
      <c r="BL65" s="132"/>
      <c r="BM65" s="138"/>
      <c r="BN65" s="138"/>
      <c r="BO65" s="138"/>
      <c r="BP65" s="138"/>
      <c r="BQ65" s="138"/>
      <c r="BR65" s="140"/>
      <c r="BS65" s="152"/>
      <c r="BT65" s="152"/>
      <c r="BU65" s="152"/>
      <c r="BV65" s="152"/>
      <c r="BW65" s="217"/>
      <c r="BX65" s="218"/>
      <c r="BY65" s="218"/>
      <c r="BZ65" s="218"/>
      <c r="CA65" s="218"/>
      <c r="CB65" s="218"/>
      <c r="CC65" s="218"/>
      <c r="CD65" s="218"/>
      <c r="CE65" s="218"/>
      <c r="CF65" s="156">
        <f t="shared" si="19"/>
        <v>0</v>
      </c>
      <c r="CG65" s="190" t="str">
        <f t="shared" si="20"/>
        <v>#DIV/0!</v>
      </c>
      <c r="CH65" s="209"/>
      <c r="CI65" s="153"/>
      <c r="CJ65" s="217"/>
      <c r="CK65" s="219"/>
      <c r="CL65" s="219"/>
      <c r="CM65" s="219"/>
      <c r="CN65" s="219"/>
      <c r="CO65" s="217"/>
      <c r="CP65" s="221"/>
      <c r="CQ65" s="221"/>
      <c r="CR65" s="161"/>
      <c r="CS65" s="163">
        <f t="shared" si="21"/>
        <v>0</v>
      </c>
      <c r="CT65" s="194" t="str">
        <f t="shared" si="22"/>
        <v>#DIV/0!</v>
      </c>
      <c r="CU65" s="196"/>
      <c r="CV65" s="167">
        <f t="shared" si="23"/>
        <v>0</v>
      </c>
      <c r="CW65" s="169">
        <f t="shared" si="8"/>
        <v>0</v>
      </c>
      <c r="CX65" s="197"/>
    </row>
    <row r="66" ht="15.75" customHeight="1">
      <c r="A66" s="122">
        <v>57.0</v>
      </c>
      <c r="B66" s="173" t="s">
        <v>159</v>
      </c>
      <c r="C66" s="199" t="s">
        <v>160</v>
      </c>
      <c r="D66" s="125">
        <f t="shared" si="9"/>
        <v>0</v>
      </c>
      <c r="E66" s="127">
        <f t="shared" si="10"/>
        <v>0</v>
      </c>
      <c r="F66" s="200">
        <f t="shared" si="11"/>
        <v>0</v>
      </c>
      <c r="G66" s="207">
        <f t="shared" si="12"/>
        <v>0</v>
      </c>
      <c r="H66" s="258"/>
      <c r="I66" s="258"/>
      <c r="J66" s="263"/>
      <c r="K66" s="263"/>
      <c r="L66" s="263"/>
      <c r="M66" s="263"/>
      <c r="N66" s="263"/>
      <c r="O66" s="263"/>
      <c r="P66" s="263"/>
      <c r="Q66" s="263"/>
      <c r="R66" s="337">
        <f t="shared" si="13"/>
        <v>0</v>
      </c>
      <c r="S66" s="137" t="str">
        <f t="shared" si="14"/>
        <v>#DIV/0!</v>
      </c>
      <c r="T66" s="138"/>
      <c r="U66" s="138"/>
      <c r="V66" s="138"/>
      <c r="W66" s="132"/>
      <c r="X66" s="132"/>
      <c r="Y66" s="138"/>
      <c r="Z66" s="138"/>
      <c r="AA66" s="138"/>
      <c r="AB66" s="209"/>
      <c r="AC66" s="140"/>
      <c r="AD66" s="140"/>
      <c r="AE66" s="141"/>
      <c r="AF66" s="210"/>
      <c r="AG66" s="210"/>
      <c r="AH66" s="210"/>
      <c r="AI66" s="210"/>
      <c r="AJ66" s="212"/>
      <c r="AK66" s="212"/>
      <c r="AL66" s="135">
        <f t="shared" si="15"/>
        <v>0</v>
      </c>
      <c r="AM66" s="183" t="str">
        <f t="shared" si="16"/>
        <v>#DIV/0!</v>
      </c>
      <c r="AN66" s="214"/>
      <c r="AO66" s="214"/>
      <c r="AP66" s="209"/>
      <c r="AQ66" s="138"/>
      <c r="AR66" s="138"/>
      <c r="AS66" s="132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5">
        <f t="shared" si="17"/>
        <v>0</v>
      </c>
      <c r="BJ66" s="186">
        <f t="shared" si="18"/>
        <v>0</v>
      </c>
      <c r="BK66" s="138"/>
      <c r="BL66" s="132"/>
      <c r="BM66" s="138"/>
      <c r="BN66" s="138"/>
      <c r="BO66" s="138"/>
      <c r="BP66" s="138"/>
      <c r="BQ66" s="138"/>
      <c r="BR66" s="140"/>
      <c r="BS66" s="152"/>
      <c r="BT66" s="152"/>
      <c r="BU66" s="152"/>
      <c r="BV66" s="152"/>
      <c r="BW66" s="217"/>
      <c r="BX66" s="218"/>
      <c r="BY66" s="218"/>
      <c r="BZ66" s="218"/>
      <c r="CA66" s="218"/>
      <c r="CB66" s="218"/>
      <c r="CC66" s="218"/>
      <c r="CD66" s="218"/>
      <c r="CE66" s="218"/>
      <c r="CF66" s="156">
        <f t="shared" si="19"/>
        <v>0</v>
      </c>
      <c r="CG66" s="190" t="str">
        <f t="shared" si="20"/>
        <v>#DIV/0!</v>
      </c>
      <c r="CH66" s="209"/>
      <c r="CI66" s="153"/>
      <c r="CJ66" s="217"/>
      <c r="CK66" s="219"/>
      <c r="CL66" s="219"/>
      <c r="CM66" s="219"/>
      <c r="CN66" s="219"/>
      <c r="CO66" s="217"/>
      <c r="CP66" s="221"/>
      <c r="CQ66" s="221"/>
      <c r="CR66" s="161"/>
      <c r="CS66" s="163">
        <f t="shared" si="21"/>
        <v>0</v>
      </c>
      <c r="CT66" s="194" t="str">
        <f t="shared" si="22"/>
        <v>#DIV/0!</v>
      </c>
      <c r="CU66" s="196"/>
      <c r="CV66" s="167">
        <f t="shared" si="23"/>
        <v>0</v>
      </c>
      <c r="CW66" s="169">
        <f t="shared" si="8"/>
        <v>0</v>
      </c>
      <c r="CX66" s="197"/>
    </row>
    <row r="67" ht="15.75" customHeight="1">
      <c r="A67" s="122">
        <v>58.0</v>
      </c>
      <c r="B67" s="173" t="s">
        <v>161</v>
      </c>
      <c r="C67" s="199" t="s">
        <v>162</v>
      </c>
      <c r="D67" s="125">
        <f t="shared" si="9"/>
        <v>5</v>
      </c>
      <c r="E67" s="127">
        <f t="shared" si="10"/>
        <v>100</v>
      </c>
      <c r="F67" s="200" t="str">
        <f t="shared" si="11"/>
        <v>  </v>
      </c>
      <c r="G67" s="177" t="str">
        <f t="shared" si="12"/>
        <v>  </v>
      </c>
      <c r="H67" s="265"/>
      <c r="I67" s="265"/>
      <c r="J67" s="266"/>
      <c r="K67" s="266"/>
      <c r="L67" s="266"/>
      <c r="M67" s="266"/>
      <c r="N67" s="266"/>
      <c r="O67" s="266"/>
      <c r="P67" s="266"/>
      <c r="Q67" s="266"/>
      <c r="R67" s="337">
        <f t="shared" si="13"/>
        <v>0</v>
      </c>
      <c r="S67" s="137" t="str">
        <f t="shared" si="14"/>
        <v>#DIV/0!</v>
      </c>
      <c r="T67" s="138"/>
      <c r="U67" s="138"/>
      <c r="V67" s="138"/>
      <c r="W67" s="132"/>
      <c r="X67" s="132"/>
      <c r="Y67" s="138"/>
      <c r="Z67" s="138"/>
      <c r="AA67" s="138"/>
      <c r="AB67" s="233"/>
      <c r="AC67" s="140"/>
      <c r="AD67" s="140"/>
      <c r="AE67" s="141"/>
      <c r="AF67" s="234"/>
      <c r="AG67" s="234"/>
      <c r="AH67" s="234"/>
      <c r="AI67" s="234"/>
      <c r="AJ67" s="239"/>
      <c r="AK67" s="239"/>
      <c r="AL67" s="135">
        <f t="shared" si="15"/>
        <v>0</v>
      </c>
      <c r="AM67" s="183" t="str">
        <f t="shared" si="16"/>
        <v>#DIV/0!</v>
      </c>
      <c r="AN67" s="241"/>
      <c r="AO67" s="241"/>
      <c r="AP67" s="233"/>
      <c r="AQ67" s="138"/>
      <c r="AR67" s="138"/>
      <c r="AS67" s="132"/>
      <c r="AT67" s="133"/>
      <c r="AU67" s="133"/>
      <c r="AV67" s="133"/>
      <c r="AW67" s="133"/>
      <c r="AX67" s="133"/>
      <c r="AY67" s="185">
        <v>1.0</v>
      </c>
      <c r="AZ67" s="185">
        <v>1.0</v>
      </c>
      <c r="BA67" s="185">
        <v>1.0</v>
      </c>
      <c r="BB67" s="185">
        <v>1.0</v>
      </c>
      <c r="BC67" s="185">
        <v>1.0</v>
      </c>
      <c r="BD67" s="133"/>
      <c r="BE67" s="133"/>
      <c r="BF67" s="133"/>
      <c r="BG67" s="133"/>
      <c r="BH67" s="133"/>
      <c r="BI67" s="135">
        <f t="shared" si="17"/>
        <v>5</v>
      </c>
      <c r="BJ67" s="186">
        <f t="shared" si="18"/>
        <v>100</v>
      </c>
      <c r="BK67" s="138"/>
      <c r="BL67" s="132"/>
      <c r="BM67" s="138"/>
      <c r="BN67" s="138"/>
      <c r="BO67" s="138"/>
      <c r="BP67" s="138"/>
      <c r="BQ67" s="138"/>
      <c r="BR67" s="140"/>
      <c r="BS67" s="152"/>
      <c r="BT67" s="152"/>
      <c r="BU67" s="152"/>
      <c r="BV67" s="152"/>
      <c r="BW67" s="217"/>
      <c r="BX67" s="218"/>
      <c r="BY67" s="218"/>
      <c r="BZ67" s="218"/>
      <c r="CA67" s="218"/>
      <c r="CB67" s="218"/>
      <c r="CC67" s="218"/>
      <c r="CD67" s="218"/>
      <c r="CE67" s="218"/>
      <c r="CF67" s="156">
        <f t="shared" si="19"/>
        <v>0</v>
      </c>
      <c r="CG67" s="190" t="str">
        <f t="shared" si="20"/>
        <v>#DIV/0!</v>
      </c>
      <c r="CH67" s="233"/>
      <c r="CI67" s="153"/>
      <c r="CJ67" s="217"/>
      <c r="CK67" s="219"/>
      <c r="CL67" s="219"/>
      <c r="CM67" s="219"/>
      <c r="CN67" s="219"/>
      <c r="CO67" s="217"/>
      <c r="CP67" s="221"/>
      <c r="CQ67" s="221"/>
      <c r="CR67" s="161"/>
      <c r="CS67" s="163">
        <f t="shared" si="21"/>
        <v>0</v>
      </c>
      <c r="CT67" s="194" t="str">
        <f t="shared" si="22"/>
        <v>#DIV/0!</v>
      </c>
      <c r="CU67" s="196"/>
      <c r="CV67" s="167">
        <f t="shared" si="23"/>
        <v>100</v>
      </c>
      <c r="CW67" s="169">
        <f t="shared" si="8"/>
        <v>5</v>
      </c>
      <c r="CX67" s="197"/>
    </row>
    <row r="68" ht="15.75" customHeight="1">
      <c r="A68" s="172">
        <v>59.0</v>
      </c>
      <c r="B68" s="173" t="s">
        <v>163</v>
      </c>
      <c r="C68" s="199" t="s">
        <v>164</v>
      </c>
      <c r="D68" s="125">
        <f t="shared" si="9"/>
        <v>5</v>
      </c>
      <c r="E68" s="127">
        <f t="shared" si="10"/>
        <v>100</v>
      </c>
      <c r="F68" s="175" t="str">
        <f t="shared" si="11"/>
        <v>  </v>
      </c>
      <c r="G68" s="177" t="str">
        <f t="shared" si="12"/>
        <v>  </v>
      </c>
      <c r="H68" s="258"/>
      <c r="I68" s="258"/>
      <c r="J68" s="263"/>
      <c r="K68" s="263"/>
      <c r="L68" s="269"/>
      <c r="M68" s="263"/>
      <c r="N68" s="263"/>
      <c r="O68" s="263"/>
      <c r="P68" s="263"/>
      <c r="Q68" s="263"/>
      <c r="R68" s="337">
        <f t="shared" si="13"/>
        <v>0</v>
      </c>
      <c r="S68" s="137" t="str">
        <f t="shared" si="14"/>
        <v>#DIV/0!</v>
      </c>
      <c r="T68" s="138"/>
      <c r="U68" s="138"/>
      <c r="V68" s="138"/>
      <c r="W68" s="132"/>
      <c r="X68" s="132"/>
      <c r="Y68" s="138"/>
      <c r="Z68" s="138"/>
      <c r="AA68" s="138"/>
      <c r="AB68" s="209"/>
      <c r="AC68" s="140"/>
      <c r="AD68" s="140"/>
      <c r="AE68" s="141"/>
      <c r="AF68" s="210"/>
      <c r="AG68" s="210"/>
      <c r="AH68" s="210"/>
      <c r="AI68" s="210"/>
      <c r="AJ68" s="212"/>
      <c r="AK68" s="212"/>
      <c r="AL68" s="135">
        <f t="shared" si="15"/>
        <v>0</v>
      </c>
      <c r="AM68" s="183" t="str">
        <f t="shared" si="16"/>
        <v>#DIV/0!</v>
      </c>
      <c r="AN68" s="214"/>
      <c r="AO68" s="214"/>
      <c r="AP68" s="209"/>
      <c r="AQ68" s="138"/>
      <c r="AR68" s="138"/>
      <c r="AS68" s="132"/>
      <c r="AT68" s="133"/>
      <c r="AU68" s="133"/>
      <c r="AV68" s="133"/>
      <c r="AW68" s="133"/>
      <c r="AX68" s="133"/>
      <c r="AY68" s="185">
        <v>1.0</v>
      </c>
      <c r="AZ68" s="185">
        <v>1.0</v>
      </c>
      <c r="BA68" s="185">
        <v>1.0</v>
      </c>
      <c r="BB68" s="185">
        <v>1.0</v>
      </c>
      <c r="BC68" s="185">
        <v>1.0</v>
      </c>
      <c r="BD68" s="133"/>
      <c r="BE68" s="133"/>
      <c r="BF68" s="133"/>
      <c r="BG68" s="133"/>
      <c r="BH68" s="133"/>
      <c r="BI68" s="135">
        <f t="shared" si="17"/>
        <v>5</v>
      </c>
      <c r="BJ68" s="186">
        <f t="shared" si="18"/>
        <v>100</v>
      </c>
      <c r="BK68" s="138"/>
      <c r="BL68" s="132"/>
      <c r="BM68" s="138"/>
      <c r="BN68" s="138"/>
      <c r="BO68" s="138"/>
      <c r="BP68" s="138"/>
      <c r="BQ68" s="138"/>
      <c r="BR68" s="140"/>
      <c r="BS68" s="152"/>
      <c r="BT68" s="152"/>
      <c r="BU68" s="152"/>
      <c r="BV68" s="152"/>
      <c r="BW68" s="217"/>
      <c r="BX68" s="218"/>
      <c r="BY68" s="218"/>
      <c r="BZ68" s="218"/>
      <c r="CA68" s="218"/>
      <c r="CB68" s="218"/>
      <c r="CC68" s="218"/>
      <c r="CD68" s="218"/>
      <c r="CE68" s="218"/>
      <c r="CF68" s="156">
        <f t="shared" si="19"/>
        <v>0</v>
      </c>
      <c r="CG68" s="190" t="str">
        <f t="shared" si="20"/>
        <v>#DIV/0!</v>
      </c>
      <c r="CH68" s="209"/>
      <c r="CI68" s="153"/>
      <c r="CJ68" s="217"/>
      <c r="CK68" s="219"/>
      <c r="CL68" s="219"/>
      <c r="CM68" s="219"/>
      <c r="CN68" s="219"/>
      <c r="CO68" s="217"/>
      <c r="CP68" s="221"/>
      <c r="CQ68" s="221"/>
      <c r="CR68" s="161"/>
      <c r="CS68" s="163">
        <f t="shared" si="21"/>
        <v>0</v>
      </c>
      <c r="CT68" s="194" t="str">
        <f t="shared" si="22"/>
        <v>#DIV/0!</v>
      </c>
      <c r="CU68" s="196"/>
      <c r="CV68" s="167">
        <f t="shared" si="23"/>
        <v>100</v>
      </c>
      <c r="CW68" s="169">
        <f t="shared" si="8"/>
        <v>5</v>
      </c>
      <c r="CX68" s="197"/>
    </row>
    <row r="69" ht="15.75" customHeight="1">
      <c r="A69" s="122">
        <v>60.0</v>
      </c>
      <c r="B69" s="173" t="s">
        <v>165</v>
      </c>
      <c r="C69" s="199" t="s">
        <v>166</v>
      </c>
      <c r="D69" s="125">
        <f t="shared" si="9"/>
        <v>0</v>
      </c>
      <c r="E69" s="127">
        <f t="shared" si="10"/>
        <v>0</v>
      </c>
      <c r="F69" s="200">
        <f t="shared" si="11"/>
        <v>0</v>
      </c>
      <c r="G69" s="207">
        <f t="shared" si="12"/>
        <v>0</v>
      </c>
      <c r="H69" s="258"/>
      <c r="I69" s="258"/>
      <c r="J69" s="263"/>
      <c r="K69" s="263"/>
      <c r="L69" s="263"/>
      <c r="M69" s="263"/>
      <c r="N69" s="263"/>
      <c r="O69" s="263"/>
      <c r="P69" s="263"/>
      <c r="Q69" s="263"/>
      <c r="R69" s="337">
        <f t="shared" si="13"/>
        <v>0</v>
      </c>
      <c r="S69" s="137" t="str">
        <f t="shared" si="14"/>
        <v>#DIV/0!</v>
      </c>
      <c r="T69" s="138"/>
      <c r="U69" s="138"/>
      <c r="V69" s="138"/>
      <c r="W69" s="132"/>
      <c r="X69" s="132"/>
      <c r="Y69" s="138"/>
      <c r="Z69" s="138"/>
      <c r="AA69" s="138"/>
      <c r="AB69" s="209"/>
      <c r="AC69" s="140"/>
      <c r="AD69" s="140"/>
      <c r="AE69" s="141"/>
      <c r="AF69" s="210"/>
      <c r="AG69" s="210"/>
      <c r="AH69" s="210"/>
      <c r="AI69" s="210"/>
      <c r="AJ69" s="212"/>
      <c r="AK69" s="212"/>
      <c r="AL69" s="135">
        <f t="shared" si="15"/>
        <v>0</v>
      </c>
      <c r="AM69" s="183" t="str">
        <f t="shared" si="16"/>
        <v>#DIV/0!</v>
      </c>
      <c r="AN69" s="214"/>
      <c r="AO69" s="214"/>
      <c r="AP69" s="209"/>
      <c r="AQ69" s="138"/>
      <c r="AR69" s="138"/>
      <c r="AS69" s="132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5">
        <f t="shared" si="17"/>
        <v>0</v>
      </c>
      <c r="BJ69" s="186">
        <f t="shared" si="18"/>
        <v>0</v>
      </c>
      <c r="BK69" s="138"/>
      <c r="BL69" s="132"/>
      <c r="BM69" s="138"/>
      <c r="BN69" s="138"/>
      <c r="BO69" s="138"/>
      <c r="BP69" s="138"/>
      <c r="BQ69" s="138"/>
      <c r="BR69" s="140"/>
      <c r="BS69" s="152"/>
      <c r="BT69" s="152"/>
      <c r="BU69" s="152"/>
      <c r="BV69" s="152"/>
      <c r="BW69" s="217"/>
      <c r="BX69" s="218"/>
      <c r="BY69" s="218"/>
      <c r="BZ69" s="218"/>
      <c r="CA69" s="218"/>
      <c r="CB69" s="218"/>
      <c r="CC69" s="218"/>
      <c r="CD69" s="218"/>
      <c r="CE69" s="218"/>
      <c r="CF69" s="156">
        <f t="shared" si="19"/>
        <v>0</v>
      </c>
      <c r="CG69" s="190" t="str">
        <f t="shared" si="20"/>
        <v>#DIV/0!</v>
      </c>
      <c r="CH69" s="209"/>
      <c r="CI69" s="153"/>
      <c r="CJ69" s="217"/>
      <c r="CK69" s="219"/>
      <c r="CL69" s="219"/>
      <c r="CM69" s="219"/>
      <c r="CN69" s="219"/>
      <c r="CO69" s="217"/>
      <c r="CP69" s="221"/>
      <c r="CQ69" s="221"/>
      <c r="CR69" s="161"/>
      <c r="CS69" s="163">
        <f t="shared" si="21"/>
        <v>0</v>
      </c>
      <c r="CT69" s="194" t="str">
        <f t="shared" si="22"/>
        <v>#DIV/0!</v>
      </c>
      <c r="CU69" s="196"/>
      <c r="CV69" s="167">
        <f t="shared" si="23"/>
        <v>0</v>
      </c>
      <c r="CW69" s="169">
        <f t="shared" si="8"/>
        <v>0</v>
      </c>
      <c r="CX69" s="197"/>
    </row>
    <row r="70" ht="15.75" customHeight="1">
      <c r="A70" s="122">
        <v>61.0</v>
      </c>
      <c r="B70" s="173" t="s">
        <v>167</v>
      </c>
      <c r="C70" s="199" t="s">
        <v>168</v>
      </c>
      <c r="D70" s="125">
        <f t="shared" si="9"/>
        <v>0</v>
      </c>
      <c r="E70" s="127">
        <f t="shared" si="10"/>
        <v>0</v>
      </c>
      <c r="F70" s="200">
        <f t="shared" si="11"/>
        <v>0</v>
      </c>
      <c r="G70" s="207">
        <f t="shared" si="12"/>
        <v>0</v>
      </c>
      <c r="H70" s="258"/>
      <c r="I70" s="258"/>
      <c r="J70" s="263"/>
      <c r="K70" s="263"/>
      <c r="L70" s="263"/>
      <c r="M70" s="263"/>
      <c r="N70" s="263"/>
      <c r="O70" s="263"/>
      <c r="P70" s="263"/>
      <c r="Q70" s="263"/>
      <c r="R70" s="337">
        <f t="shared" si="13"/>
        <v>0</v>
      </c>
      <c r="S70" s="137" t="str">
        <f t="shared" si="14"/>
        <v>#DIV/0!</v>
      </c>
      <c r="T70" s="138"/>
      <c r="U70" s="138"/>
      <c r="V70" s="138"/>
      <c r="W70" s="132"/>
      <c r="X70" s="132"/>
      <c r="Y70" s="138"/>
      <c r="Z70" s="138"/>
      <c r="AA70" s="138"/>
      <c r="AB70" s="209"/>
      <c r="AC70" s="140"/>
      <c r="AD70" s="140"/>
      <c r="AE70" s="141"/>
      <c r="AF70" s="210"/>
      <c r="AG70" s="210"/>
      <c r="AH70" s="210"/>
      <c r="AI70" s="210"/>
      <c r="AJ70" s="212"/>
      <c r="AK70" s="212"/>
      <c r="AL70" s="135">
        <f t="shared" si="15"/>
        <v>0</v>
      </c>
      <c r="AM70" s="183" t="str">
        <f t="shared" si="16"/>
        <v>#DIV/0!</v>
      </c>
      <c r="AN70" s="214"/>
      <c r="AO70" s="214"/>
      <c r="AP70" s="209"/>
      <c r="AQ70" s="138"/>
      <c r="AR70" s="138"/>
      <c r="AS70" s="132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5">
        <f t="shared" si="17"/>
        <v>0</v>
      </c>
      <c r="BJ70" s="186">
        <f t="shared" si="18"/>
        <v>0</v>
      </c>
      <c r="BK70" s="138"/>
      <c r="BL70" s="132"/>
      <c r="BM70" s="138"/>
      <c r="BN70" s="138"/>
      <c r="BO70" s="138"/>
      <c r="BP70" s="138"/>
      <c r="BQ70" s="138"/>
      <c r="BR70" s="140"/>
      <c r="BS70" s="152"/>
      <c r="BT70" s="152"/>
      <c r="BU70" s="152"/>
      <c r="BV70" s="152"/>
      <c r="BW70" s="217"/>
      <c r="BX70" s="218"/>
      <c r="BY70" s="218"/>
      <c r="BZ70" s="218"/>
      <c r="CA70" s="218"/>
      <c r="CB70" s="218"/>
      <c r="CC70" s="218"/>
      <c r="CD70" s="218"/>
      <c r="CE70" s="218"/>
      <c r="CF70" s="156">
        <f t="shared" si="19"/>
        <v>0</v>
      </c>
      <c r="CG70" s="190" t="str">
        <f t="shared" si="20"/>
        <v>#DIV/0!</v>
      </c>
      <c r="CH70" s="209"/>
      <c r="CI70" s="153"/>
      <c r="CJ70" s="217"/>
      <c r="CK70" s="219"/>
      <c r="CL70" s="219"/>
      <c r="CM70" s="219"/>
      <c r="CN70" s="219"/>
      <c r="CO70" s="217"/>
      <c r="CP70" s="221"/>
      <c r="CQ70" s="221"/>
      <c r="CR70" s="161"/>
      <c r="CS70" s="163">
        <f t="shared" si="21"/>
        <v>0</v>
      </c>
      <c r="CT70" s="194" t="str">
        <f t="shared" si="22"/>
        <v>#DIV/0!</v>
      </c>
      <c r="CU70" s="196"/>
      <c r="CV70" s="167">
        <f t="shared" si="23"/>
        <v>0</v>
      </c>
      <c r="CW70" s="169">
        <f t="shared" si="8"/>
        <v>0</v>
      </c>
      <c r="CX70" s="197"/>
    </row>
    <row r="71" ht="15.75" customHeight="1">
      <c r="A71" s="172">
        <v>62.0</v>
      </c>
      <c r="B71" s="252" t="s">
        <v>169</v>
      </c>
      <c r="C71" s="253" t="s">
        <v>170</v>
      </c>
      <c r="D71" s="125">
        <f t="shared" si="9"/>
        <v>0</v>
      </c>
      <c r="E71" s="127">
        <f t="shared" si="10"/>
        <v>0</v>
      </c>
      <c r="F71" s="200">
        <f t="shared" si="11"/>
        <v>0</v>
      </c>
      <c r="G71" s="207">
        <f t="shared" si="12"/>
        <v>0</v>
      </c>
      <c r="H71" s="258"/>
      <c r="I71" s="258"/>
      <c r="J71" s="263"/>
      <c r="K71" s="263"/>
      <c r="L71" s="263"/>
      <c r="M71" s="263"/>
      <c r="N71" s="263"/>
      <c r="O71" s="263"/>
      <c r="P71" s="263"/>
      <c r="Q71" s="263"/>
      <c r="R71" s="337">
        <f t="shared" si="13"/>
        <v>0</v>
      </c>
      <c r="S71" s="137" t="str">
        <f t="shared" si="14"/>
        <v>#DIV/0!</v>
      </c>
      <c r="T71" s="138"/>
      <c r="U71" s="138"/>
      <c r="V71" s="138"/>
      <c r="W71" s="132"/>
      <c r="X71" s="132"/>
      <c r="Y71" s="138"/>
      <c r="Z71" s="138"/>
      <c r="AA71" s="138"/>
      <c r="AB71" s="209"/>
      <c r="AC71" s="140"/>
      <c r="AD71" s="140"/>
      <c r="AE71" s="141"/>
      <c r="AF71" s="210"/>
      <c r="AG71" s="210"/>
      <c r="AH71" s="210"/>
      <c r="AI71" s="210"/>
      <c r="AJ71" s="212"/>
      <c r="AK71" s="212"/>
      <c r="AL71" s="135">
        <f t="shared" si="15"/>
        <v>0</v>
      </c>
      <c r="AM71" s="183" t="str">
        <f t="shared" si="16"/>
        <v>#DIV/0!</v>
      </c>
      <c r="AN71" s="214"/>
      <c r="AO71" s="214"/>
      <c r="AP71" s="209"/>
      <c r="AQ71" s="138"/>
      <c r="AR71" s="138"/>
      <c r="AS71" s="132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5">
        <f t="shared" si="17"/>
        <v>0</v>
      </c>
      <c r="BJ71" s="186">
        <f t="shared" si="18"/>
        <v>0</v>
      </c>
      <c r="BK71" s="138"/>
      <c r="BL71" s="132"/>
      <c r="BM71" s="138"/>
      <c r="BN71" s="138"/>
      <c r="BO71" s="138"/>
      <c r="BP71" s="138"/>
      <c r="BQ71" s="138"/>
      <c r="BR71" s="140"/>
      <c r="BS71" s="152"/>
      <c r="BT71" s="152"/>
      <c r="BU71" s="152"/>
      <c r="BV71" s="152"/>
      <c r="BW71" s="217"/>
      <c r="BX71" s="218"/>
      <c r="BY71" s="218"/>
      <c r="BZ71" s="218"/>
      <c r="CA71" s="218"/>
      <c r="CB71" s="218"/>
      <c r="CC71" s="218"/>
      <c r="CD71" s="218"/>
      <c r="CE71" s="218"/>
      <c r="CF71" s="156">
        <f t="shared" si="19"/>
        <v>0</v>
      </c>
      <c r="CG71" s="190" t="str">
        <f t="shared" si="20"/>
        <v>#DIV/0!</v>
      </c>
      <c r="CH71" s="209"/>
      <c r="CI71" s="153"/>
      <c r="CJ71" s="217"/>
      <c r="CK71" s="219"/>
      <c r="CL71" s="219"/>
      <c r="CM71" s="219"/>
      <c r="CN71" s="219"/>
      <c r="CO71" s="217"/>
      <c r="CP71" s="221"/>
      <c r="CQ71" s="221"/>
      <c r="CR71" s="161"/>
      <c r="CS71" s="163">
        <f t="shared" si="21"/>
        <v>0</v>
      </c>
      <c r="CT71" s="194" t="str">
        <f t="shared" si="22"/>
        <v>#DIV/0!</v>
      </c>
      <c r="CU71" s="196"/>
      <c r="CV71" s="167">
        <f t="shared" si="23"/>
        <v>0</v>
      </c>
      <c r="CW71" s="169">
        <f t="shared" si="8"/>
        <v>0</v>
      </c>
      <c r="CX71" s="197"/>
    </row>
    <row r="72" ht="15.75" customHeight="1">
      <c r="A72" s="122">
        <v>63.0</v>
      </c>
      <c r="B72" s="173" t="s">
        <v>171</v>
      </c>
      <c r="C72" s="199" t="s">
        <v>172</v>
      </c>
      <c r="D72" s="125">
        <f t="shared" si="9"/>
        <v>0</v>
      </c>
      <c r="E72" s="127">
        <f t="shared" si="10"/>
        <v>0</v>
      </c>
      <c r="F72" s="200">
        <f t="shared" si="11"/>
        <v>0</v>
      </c>
      <c r="G72" s="207">
        <f t="shared" si="12"/>
        <v>0</v>
      </c>
      <c r="H72" s="258"/>
      <c r="I72" s="258"/>
      <c r="J72" s="263"/>
      <c r="K72" s="263"/>
      <c r="L72" s="263"/>
      <c r="M72" s="263"/>
      <c r="N72" s="263"/>
      <c r="O72" s="263"/>
      <c r="P72" s="263"/>
      <c r="Q72" s="263"/>
      <c r="R72" s="337">
        <f t="shared" si="13"/>
        <v>0</v>
      </c>
      <c r="S72" s="137" t="str">
        <f t="shared" si="14"/>
        <v>#DIV/0!</v>
      </c>
      <c r="T72" s="138"/>
      <c r="U72" s="138"/>
      <c r="V72" s="138"/>
      <c r="W72" s="132"/>
      <c r="X72" s="132"/>
      <c r="Y72" s="138"/>
      <c r="Z72" s="138"/>
      <c r="AA72" s="138"/>
      <c r="AB72" s="209"/>
      <c r="AC72" s="140"/>
      <c r="AD72" s="140"/>
      <c r="AE72" s="141"/>
      <c r="AF72" s="210"/>
      <c r="AG72" s="210"/>
      <c r="AH72" s="210"/>
      <c r="AI72" s="210"/>
      <c r="AJ72" s="212"/>
      <c r="AK72" s="212"/>
      <c r="AL72" s="135">
        <f t="shared" si="15"/>
        <v>0</v>
      </c>
      <c r="AM72" s="183" t="str">
        <f t="shared" si="16"/>
        <v>#DIV/0!</v>
      </c>
      <c r="AN72" s="214"/>
      <c r="AO72" s="214"/>
      <c r="AP72" s="209"/>
      <c r="AQ72" s="138"/>
      <c r="AR72" s="138"/>
      <c r="AS72" s="132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5">
        <f t="shared" si="17"/>
        <v>0</v>
      </c>
      <c r="BJ72" s="186">
        <f t="shared" si="18"/>
        <v>0</v>
      </c>
      <c r="BK72" s="138"/>
      <c r="BL72" s="132"/>
      <c r="BM72" s="138"/>
      <c r="BN72" s="138"/>
      <c r="BO72" s="138"/>
      <c r="BP72" s="138"/>
      <c r="BQ72" s="138"/>
      <c r="BR72" s="140"/>
      <c r="BS72" s="152"/>
      <c r="BT72" s="152"/>
      <c r="BU72" s="152"/>
      <c r="BV72" s="152"/>
      <c r="BW72" s="217"/>
      <c r="BX72" s="218"/>
      <c r="BY72" s="218"/>
      <c r="BZ72" s="218"/>
      <c r="CA72" s="218"/>
      <c r="CB72" s="218"/>
      <c r="CC72" s="218"/>
      <c r="CD72" s="218"/>
      <c r="CE72" s="218"/>
      <c r="CF72" s="156">
        <f t="shared" si="19"/>
        <v>0</v>
      </c>
      <c r="CG72" s="190" t="str">
        <f t="shared" si="20"/>
        <v>#DIV/0!</v>
      </c>
      <c r="CH72" s="209"/>
      <c r="CI72" s="153"/>
      <c r="CJ72" s="217"/>
      <c r="CK72" s="219"/>
      <c r="CL72" s="219"/>
      <c r="CM72" s="219"/>
      <c r="CN72" s="219"/>
      <c r="CO72" s="217"/>
      <c r="CP72" s="221"/>
      <c r="CQ72" s="221"/>
      <c r="CR72" s="161"/>
      <c r="CS72" s="163">
        <f t="shared" si="21"/>
        <v>0</v>
      </c>
      <c r="CT72" s="194" t="str">
        <f t="shared" si="22"/>
        <v>#DIV/0!</v>
      </c>
      <c r="CU72" s="196"/>
      <c r="CV72" s="167">
        <f t="shared" si="23"/>
        <v>0</v>
      </c>
      <c r="CW72" s="169">
        <f t="shared" si="8"/>
        <v>0</v>
      </c>
      <c r="CX72" s="197"/>
    </row>
    <row r="73" ht="15.75" customHeight="1">
      <c r="A73" s="122">
        <v>64.0</v>
      </c>
      <c r="B73" s="173" t="s">
        <v>173</v>
      </c>
      <c r="C73" s="199" t="s">
        <v>174</v>
      </c>
      <c r="D73" s="125">
        <f t="shared" si="9"/>
        <v>5</v>
      </c>
      <c r="E73" s="127">
        <f t="shared" si="10"/>
        <v>100</v>
      </c>
      <c r="F73" s="200" t="str">
        <f t="shared" si="11"/>
        <v>  </v>
      </c>
      <c r="G73" s="177" t="str">
        <f t="shared" si="12"/>
        <v>  </v>
      </c>
      <c r="H73" s="258"/>
      <c r="I73" s="258"/>
      <c r="J73" s="263"/>
      <c r="K73" s="263"/>
      <c r="L73" s="263"/>
      <c r="M73" s="263"/>
      <c r="N73" s="263"/>
      <c r="O73" s="263"/>
      <c r="P73" s="263"/>
      <c r="Q73" s="263"/>
      <c r="R73" s="337">
        <f t="shared" si="13"/>
        <v>0</v>
      </c>
      <c r="S73" s="137" t="str">
        <f t="shared" si="14"/>
        <v>#DIV/0!</v>
      </c>
      <c r="T73" s="138"/>
      <c r="U73" s="138"/>
      <c r="V73" s="138"/>
      <c r="W73" s="132"/>
      <c r="X73" s="132"/>
      <c r="Y73" s="138"/>
      <c r="Z73" s="138"/>
      <c r="AA73" s="138"/>
      <c r="AB73" s="209"/>
      <c r="AC73" s="140"/>
      <c r="AD73" s="140"/>
      <c r="AE73" s="141"/>
      <c r="AF73" s="210"/>
      <c r="AG73" s="210"/>
      <c r="AH73" s="210"/>
      <c r="AI73" s="210"/>
      <c r="AJ73" s="212"/>
      <c r="AK73" s="212"/>
      <c r="AL73" s="135">
        <f t="shared" si="15"/>
        <v>0</v>
      </c>
      <c r="AM73" s="183" t="str">
        <f t="shared" si="16"/>
        <v>#DIV/0!</v>
      </c>
      <c r="AN73" s="214"/>
      <c r="AO73" s="214"/>
      <c r="AP73" s="209"/>
      <c r="AQ73" s="138"/>
      <c r="AR73" s="138"/>
      <c r="AS73" s="132"/>
      <c r="AT73" s="133"/>
      <c r="AU73" s="133"/>
      <c r="AV73" s="133"/>
      <c r="AW73" s="133"/>
      <c r="AX73" s="133"/>
      <c r="AY73" s="185">
        <v>1.0</v>
      </c>
      <c r="AZ73" s="185">
        <v>1.0</v>
      </c>
      <c r="BA73" s="185">
        <v>1.0</v>
      </c>
      <c r="BB73" s="185">
        <v>1.0</v>
      </c>
      <c r="BC73" s="185">
        <v>1.0</v>
      </c>
      <c r="BD73" s="133"/>
      <c r="BE73" s="133"/>
      <c r="BF73" s="133"/>
      <c r="BG73" s="133"/>
      <c r="BH73" s="133"/>
      <c r="BI73" s="135">
        <f t="shared" si="17"/>
        <v>5</v>
      </c>
      <c r="BJ73" s="186">
        <f t="shared" si="18"/>
        <v>100</v>
      </c>
      <c r="BK73" s="138"/>
      <c r="BL73" s="132"/>
      <c r="BM73" s="138"/>
      <c r="BN73" s="138"/>
      <c r="BO73" s="138"/>
      <c r="BP73" s="138"/>
      <c r="BQ73" s="138"/>
      <c r="BR73" s="140"/>
      <c r="BS73" s="152"/>
      <c r="BT73" s="152"/>
      <c r="BU73" s="152"/>
      <c r="BV73" s="152"/>
      <c r="BW73" s="217"/>
      <c r="BX73" s="218"/>
      <c r="BY73" s="218"/>
      <c r="BZ73" s="218"/>
      <c r="CA73" s="218"/>
      <c r="CB73" s="218"/>
      <c r="CC73" s="218"/>
      <c r="CD73" s="218"/>
      <c r="CE73" s="218"/>
      <c r="CF73" s="156">
        <f t="shared" si="19"/>
        <v>0</v>
      </c>
      <c r="CG73" s="190" t="str">
        <f t="shared" si="20"/>
        <v>#DIV/0!</v>
      </c>
      <c r="CH73" s="209"/>
      <c r="CI73" s="153"/>
      <c r="CJ73" s="217"/>
      <c r="CK73" s="219"/>
      <c r="CL73" s="219"/>
      <c r="CM73" s="219"/>
      <c r="CN73" s="219"/>
      <c r="CO73" s="217"/>
      <c r="CP73" s="221"/>
      <c r="CQ73" s="221"/>
      <c r="CR73" s="161"/>
      <c r="CS73" s="163">
        <f t="shared" si="21"/>
        <v>0</v>
      </c>
      <c r="CT73" s="194" t="str">
        <f t="shared" si="22"/>
        <v>#DIV/0!</v>
      </c>
      <c r="CU73" s="196"/>
      <c r="CV73" s="167">
        <f t="shared" si="23"/>
        <v>100</v>
      </c>
      <c r="CW73" s="169">
        <f t="shared" si="8"/>
        <v>5</v>
      </c>
      <c r="CX73" s="197"/>
    </row>
    <row r="74" ht="15.75" customHeight="1">
      <c r="A74" s="172">
        <v>65.0</v>
      </c>
      <c r="B74" s="173" t="s">
        <v>175</v>
      </c>
      <c r="C74" s="199" t="s">
        <v>176</v>
      </c>
      <c r="D74" s="125">
        <f t="shared" si="9"/>
        <v>5</v>
      </c>
      <c r="E74" s="127">
        <f t="shared" si="10"/>
        <v>100</v>
      </c>
      <c r="F74" s="200" t="str">
        <f t="shared" si="11"/>
        <v>  </v>
      </c>
      <c r="G74" s="177" t="str">
        <f t="shared" si="12"/>
        <v>  </v>
      </c>
      <c r="H74" s="258"/>
      <c r="I74" s="258"/>
      <c r="J74" s="263"/>
      <c r="K74" s="263"/>
      <c r="L74" s="263"/>
      <c r="M74" s="263"/>
      <c r="N74" s="263"/>
      <c r="O74" s="263"/>
      <c r="P74" s="263"/>
      <c r="Q74" s="263"/>
      <c r="R74" s="337">
        <f t="shared" si="13"/>
        <v>0</v>
      </c>
      <c r="S74" s="137" t="str">
        <f t="shared" si="14"/>
        <v>#DIV/0!</v>
      </c>
      <c r="T74" s="138"/>
      <c r="U74" s="138"/>
      <c r="V74" s="138"/>
      <c r="W74" s="132"/>
      <c r="X74" s="132"/>
      <c r="Y74" s="138"/>
      <c r="Z74" s="138"/>
      <c r="AA74" s="138"/>
      <c r="AB74" s="209"/>
      <c r="AC74" s="140"/>
      <c r="AD74" s="140"/>
      <c r="AE74" s="141"/>
      <c r="AF74" s="210"/>
      <c r="AG74" s="210"/>
      <c r="AH74" s="210"/>
      <c r="AI74" s="210"/>
      <c r="AJ74" s="212"/>
      <c r="AK74" s="212"/>
      <c r="AL74" s="135">
        <f t="shared" si="15"/>
        <v>0</v>
      </c>
      <c r="AM74" s="183" t="str">
        <f t="shared" si="16"/>
        <v>#DIV/0!</v>
      </c>
      <c r="AN74" s="214"/>
      <c r="AO74" s="214"/>
      <c r="AP74" s="209"/>
      <c r="AQ74" s="138"/>
      <c r="AR74" s="138"/>
      <c r="AS74" s="132"/>
      <c r="AT74" s="133"/>
      <c r="AU74" s="133"/>
      <c r="AV74" s="133"/>
      <c r="AW74" s="133"/>
      <c r="AX74" s="133"/>
      <c r="AY74" s="185">
        <v>1.0</v>
      </c>
      <c r="AZ74" s="185">
        <v>1.0</v>
      </c>
      <c r="BA74" s="185">
        <v>1.0</v>
      </c>
      <c r="BB74" s="185">
        <v>1.0</v>
      </c>
      <c r="BC74" s="185">
        <v>1.0</v>
      </c>
      <c r="BD74" s="133"/>
      <c r="BE74" s="133"/>
      <c r="BF74" s="133"/>
      <c r="BG74" s="133"/>
      <c r="BH74" s="133"/>
      <c r="BI74" s="135">
        <f t="shared" si="17"/>
        <v>5</v>
      </c>
      <c r="BJ74" s="186">
        <f t="shared" si="18"/>
        <v>100</v>
      </c>
      <c r="BK74" s="138"/>
      <c r="BL74" s="132"/>
      <c r="BM74" s="138"/>
      <c r="BN74" s="138"/>
      <c r="BO74" s="138"/>
      <c r="BP74" s="138"/>
      <c r="BQ74" s="138"/>
      <c r="BR74" s="140"/>
      <c r="BS74" s="152"/>
      <c r="BT74" s="152"/>
      <c r="BU74" s="152"/>
      <c r="BV74" s="152"/>
      <c r="BW74" s="217"/>
      <c r="BX74" s="218"/>
      <c r="BY74" s="218"/>
      <c r="BZ74" s="218"/>
      <c r="CA74" s="218"/>
      <c r="CB74" s="218"/>
      <c r="CC74" s="218"/>
      <c r="CD74" s="218"/>
      <c r="CE74" s="218"/>
      <c r="CF74" s="156">
        <f t="shared" si="19"/>
        <v>0</v>
      </c>
      <c r="CG74" s="190" t="str">
        <f t="shared" si="20"/>
        <v>#DIV/0!</v>
      </c>
      <c r="CH74" s="209"/>
      <c r="CI74" s="153"/>
      <c r="CJ74" s="217"/>
      <c r="CK74" s="219"/>
      <c r="CL74" s="219"/>
      <c r="CM74" s="219"/>
      <c r="CN74" s="219"/>
      <c r="CO74" s="217"/>
      <c r="CP74" s="221"/>
      <c r="CQ74" s="221"/>
      <c r="CR74" s="161"/>
      <c r="CS74" s="163">
        <f t="shared" si="21"/>
        <v>0</v>
      </c>
      <c r="CT74" s="194" t="str">
        <f t="shared" si="22"/>
        <v>#DIV/0!</v>
      </c>
      <c r="CU74" s="196"/>
      <c r="CV74" s="167">
        <f t="shared" si="23"/>
        <v>100</v>
      </c>
      <c r="CW74" s="169">
        <f t="shared" si="8"/>
        <v>5</v>
      </c>
      <c r="CX74" s="197"/>
    </row>
    <row r="75" ht="15.75" customHeight="1">
      <c r="A75" s="122">
        <v>66.0</v>
      </c>
      <c r="B75" s="271" t="s">
        <v>177</v>
      </c>
      <c r="C75" s="272" t="s">
        <v>178</v>
      </c>
      <c r="D75" s="125">
        <f t="shared" si="9"/>
        <v>5</v>
      </c>
      <c r="E75" s="127">
        <f t="shared" si="10"/>
        <v>100</v>
      </c>
      <c r="F75" s="200" t="str">
        <f t="shared" si="11"/>
        <v>  </v>
      </c>
      <c r="G75" s="207" t="str">
        <f t="shared" si="12"/>
        <v>  </v>
      </c>
      <c r="H75" s="273"/>
      <c r="I75" s="273"/>
      <c r="J75" s="274"/>
      <c r="K75" s="274"/>
      <c r="L75" s="274"/>
      <c r="M75" s="274"/>
      <c r="N75" s="274"/>
      <c r="O75" s="274"/>
      <c r="P75" s="274"/>
      <c r="Q75" s="274"/>
      <c r="R75" s="337">
        <f t="shared" si="13"/>
        <v>0</v>
      </c>
      <c r="S75" s="137" t="str">
        <f t="shared" si="14"/>
        <v>#DIV/0!</v>
      </c>
      <c r="T75" s="138"/>
      <c r="U75" s="138"/>
      <c r="V75" s="138"/>
      <c r="W75" s="132"/>
      <c r="X75" s="132"/>
      <c r="Y75" s="138"/>
      <c r="Z75" s="138"/>
      <c r="AA75" s="138"/>
      <c r="AB75" s="209"/>
      <c r="AC75" s="140"/>
      <c r="AD75" s="140"/>
      <c r="AE75" s="141"/>
      <c r="AF75" s="210"/>
      <c r="AG75" s="210"/>
      <c r="AH75" s="210"/>
      <c r="AI75" s="210"/>
      <c r="AJ75" s="212"/>
      <c r="AK75" s="212"/>
      <c r="AL75" s="135">
        <f t="shared" si="15"/>
        <v>0</v>
      </c>
      <c r="AM75" s="183" t="str">
        <f t="shared" si="16"/>
        <v>#DIV/0!</v>
      </c>
      <c r="AN75" s="214"/>
      <c r="AO75" s="214"/>
      <c r="AP75" s="209"/>
      <c r="AQ75" s="138"/>
      <c r="AR75" s="138"/>
      <c r="AS75" s="132"/>
      <c r="AT75" s="133"/>
      <c r="AU75" s="133"/>
      <c r="AV75" s="133"/>
      <c r="AW75" s="133"/>
      <c r="AX75" s="133"/>
      <c r="AY75" s="185">
        <v>1.0</v>
      </c>
      <c r="AZ75" s="185">
        <v>1.0</v>
      </c>
      <c r="BA75" s="185">
        <v>1.0</v>
      </c>
      <c r="BB75" s="185">
        <v>1.0</v>
      </c>
      <c r="BC75" s="185">
        <v>1.0</v>
      </c>
      <c r="BD75" s="133"/>
      <c r="BE75" s="133"/>
      <c r="BF75" s="133"/>
      <c r="BG75" s="133"/>
      <c r="BH75" s="133"/>
      <c r="BI75" s="135">
        <f t="shared" si="17"/>
        <v>5</v>
      </c>
      <c r="BJ75" s="186">
        <f t="shared" si="18"/>
        <v>100</v>
      </c>
      <c r="BK75" s="138"/>
      <c r="BL75" s="132"/>
      <c r="BM75" s="138"/>
      <c r="BN75" s="138"/>
      <c r="BO75" s="138"/>
      <c r="BP75" s="138"/>
      <c r="BQ75" s="138"/>
      <c r="BR75" s="140"/>
      <c r="BS75" s="152"/>
      <c r="BT75" s="152"/>
      <c r="BU75" s="152"/>
      <c r="BV75" s="152"/>
      <c r="BW75" s="217"/>
      <c r="BX75" s="218"/>
      <c r="BY75" s="218"/>
      <c r="BZ75" s="218"/>
      <c r="CA75" s="218"/>
      <c r="CB75" s="218"/>
      <c r="CC75" s="218"/>
      <c r="CD75" s="218"/>
      <c r="CE75" s="218"/>
      <c r="CF75" s="156">
        <f t="shared" si="19"/>
        <v>0</v>
      </c>
      <c r="CG75" s="190" t="str">
        <f t="shared" si="20"/>
        <v>#DIV/0!</v>
      </c>
      <c r="CH75" s="209"/>
      <c r="CI75" s="153"/>
      <c r="CJ75" s="217"/>
      <c r="CK75" s="219"/>
      <c r="CL75" s="219"/>
      <c r="CM75" s="219"/>
      <c r="CN75" s="219"/>
      <c r="CO75" s="217"/>
      <c r="CP75" s="221"/>
      <c r="CQ75" s="221"/>
      <c r="CR75" s="161"/>
      <c r="CS75" s="163">
        <f t="shared" si="21"/>
        <v>0</v>
      </c>
      <c r="CT75" s="194" t="str">
        <f t="shared" si="22"/>
        <v>#DIV/0!</v>
      </c>
      <c r="CU75" s="196"/>
      <c r="CV75" s="167">
        <f t="shared" si="23"/>
        <v>100</v>
      </c>
      <c r="CW75" s="169">
        <f t="shared" si="8"/>
        <v>5</v>
      </c>
      <c r="CX75" s="197"/>
    </row>
    <row r="76" ht="15.75" customHeight="1">
      <c r="A76" s="122">
        <v>67.0</v>
      </c>
      <c r="B76" s="275" t="s">
        <v>179</v>
      </c>
      <c r="C76" s="276" t="s">
        <v>180</v>
      </c>
      <c r="D76" s="125">
        <f t="shared" si="9"/>
        <v>5</v>
      </c>
      <c r="E76" s="127">
        <f t="shared" si="10"/>
        <v>100</v>
      </c>
      <c r="F76" s="175" t="str">
        <f t="shared" si="11"/>
        <v>  </v>
      </c>
      <c r="G76" s="177" t="str">
        <f t="shared" si="12"/>
        <v>  </v>
      </c>
      <c r="H76" s="273"/>
      <c r="I76" s="273"/>
      <c r="J76" s="274"/>
      <c r="K76" s="274"/>
      <c r="L76" s="274"/>
      <c r="M76" s="274"/>
      <c r="N76" s="274"/>
      <c r="O76" s="274"/>
      <c r="P76" s="274"/>
      <c r="Q76" s="274"/>
      <c r="R76" s="337">
        <f t="shared" si="13"/>
        <v>0</v>
      </c>
      <c r="S76" s="137" t="str">
        <f t="shared" si="14"/>
        <v>#DIV/0!</v>
      </c>
      <c r="T76" s="138"/>
      <c r="U76" s="138"/>
      <c r="V76" s="138"/>
      <c r="W76" s="132"/>
      <c r="X76" s="132"/>
      <c r="Y76" s="138"/>
      <c r="Z76" s="138"/>
      <c r="AA76" s="138"/>
      <c r="AB76" s="209"/>
      <c r="AC76" s="140"/>
      <c r="AD76" s="140"/>
      <c r="AE76" s="141"/>
      <c r="AF76" s="210"/>
      <c r="AG76" s="210"/>
      <c r="AH76" s="210"/>
      <c r="AI76" s="210"/>
      <c r="AJ76" s="212"/>
      <c r="AK76" s="212"/>
      <c r="AL76" s="135">
        <f t="shared" si="15"/>
        <v>0</v>
      </c>
      <c r="AM76" s="183" t="str">
        <f t="shared" si="16"/>
        <v>#DIV/0!</v>
      </c>
      <c r="AN76" s="214"/>
      <c r="AO76" s="214"/>
      <c r="AP76" s="209"/>
      <c r="AQ76" s="138"/>
      <c r="AR76" s="138"/>
      <c r="AS76" s="132"/>
      <c r="AT76" s="133"/>
      <c r="AU76" s="133"/>
      <c r="AV76" s="133"/>
      <c r="AW76" s="133"/>
      <c r="AX76" s="133"/>
      <c r="AY76" s="185">
        <v>1.0</v>
      </c>
      <c r="AZ76" s="185">
        <v>1.0</v>
      </c>
      <c r="BA76" s="185">
        <v>1.0</v>
      </c>
      <c r="BB76" s="185">
        <v>1.0</v>
      </c>
      <c r="BC76" s="185">
        <v>1.0</v>
      </c>
      <c r="BD76" s="133"/>
      <c r="BE76" s="133"/>
      <c r="BF76" s="133"/>
      <c r="BG76" s="133"/>
      <c r="BH76" s="133"/>
      <c r="BI76" s="135">
        <f t="shared" si="17"/>
        <v>5</v>
      </c>
      <c r="BJ76" s="186">
        <f t="shared" si="18"/>
        <v>100</v>
      </c>
      <c r="BK76" s="138"/>
      <c r="BL76" s="132"/>
      <c r="BM76" s="138"/>
      <c r="BN76" s="138"/>
      <c r="BO76" s="138"/>
      <c r="BP76" s="138"/>
      <c r="BQ76" s="138"/>
      <c r="BR76" s="140"/>
      <c r="BS76" s="152"/>
      <c r="BT76" s="152"/>
      <c r="BU76" s="152"/>
      <c r="BV76" s="152"/>
      <c r="BW76" s="217"/>
      <c r="BX76" s="218"/>
      <c r="BY76" s="218"/>
      <c r="BZ76" s="218"/>
      <c r="CA76" s="218"/>
      <c r="CB76" s="218"/>
      <c r="CC76" s="218"/>
      <c r="CD76" s="218"/>
      <c r="CE76" s="218"/>
      <c r="CF76" s="156">
        <f t="shared" si="19"/>
        <v>0</v>
      </c>
      <c r="CG76" s="190" t="str">
        <f t="shared" si="20"/>
        <v>#DIV/0!</v>
      </c>
      <c r="CH76" s="209"/>
      <c r="CI76" s="153"/>
      <c r="CJ76" s="217"/>
      <c r="CK76" s="219"/>
      <c r="CL76" s="219"/>
      <c r="CM76" s="219"/>
      <c r="CN76" s="219"/>
      <c r="CO76" s="217"/>
      <c r="CP76" s="221"/>
      <c r="CQ76" s="221"/>
      <c r="CR76" s="161"/>
      <c r="CS76" s="163">
        <f t="shared" si="21"/>
        <v>0</v>
      </c>
      <c r="CT76" s="194" t="str">
        <f t="shared" si="22"/>
        <v>#DIV/0!</v>
      </c>
      <c r="CU76" s="196"/>
      <c r="CV76" s="167">
        <f t="shared" si="23"/>
        <v>100</v>
      </c>
      <c r="CW76" s="169">
        <f t="shared" si="8"/>
        <v>5</v>
      </c>
      <c r="CX76" s="197"/>
    </row>
    <row r="77" ht="15.75" customHeight="1">
      <c r="A77" s="172">
        <v>68.0</v>
      </c>
      <c r="B77" s="275" t="s">
        <v>181</v>
      </c>
      <c r="C77" s="276" t="s">
        <v>182</v>
      </c>
      <c r="D77" s="125">
        <f t="shared" si="9"/>
        <v>0</v>
      </c>
      <c r="E77" s="127">
        <f t="shared" si="10"/>
        <v>0</v>
      </c>
      <c r="F77" s="200">
        <f t="shared" si="11"/>
        <v>0</v>
      </c>
      <c r="G77" s="207">
        <f t="shared" si="12"/>
        <v>0</v>
      </c>
      <c r="H77" s="273"/>
      <c r="I77" s="273"/>
      <c r="J77" s="274"/>
      <c r="K77" s="274"/>
      <c r="L77" s="274"/>
      <c r="M77" s="274"/>
      <c r="N77" s="274"/>
      <c r="O77" s="274"/>
      <c r="P77" s="274"/>
      <c r="Q77" s="274"/>
      <c r="R77" s="337">
        <f t="shared" si="13"/>
        <v>0</v>
      </c>
      <c r="S77" s="137" t="str">
        <f t="shared" si="14"/>
        <v>#DIV/0!</v>
      </c>
      <c r="T77" s="138"/>
      <c r="U77" s="138"/>
      <c r="V77" s="138"/>
      <c r="W77" s="132"/>
      <c r="X77" s="132"/>
      <c r="Y77" s="138"/>
      <c r="Z77" s="138"/>
      <c r="AA77" s="138"/>
      <c r="AB77" s="209"/>
      <c r="AC77" s="140"/>
      <c r="AD77" s="140"/>
      <c r="AE77" s="141"/>
      <c r="AF77" s="210"/>
      <c r="AG77" s="210"/>
      <c r="AH77" s="210"/>
      <c r="AI77" s="210"/>
      <c r="AJ77" s="212"/>
      <c r="AK77" s="212"/>
      <c r="AL77" s="135">
        <f t="shared" si="15"/>
        <v>0</v>
      </c>
      <c r="AM77" s="183" t="str">
        <f t="shared" si="16"/>
        <v>#DIV/0!</v>
      </c>
      <c r="AN77" s="214"/>
      <c r="AO77" s="214"/>
      <c r="AP77" s="209"/>
      <c r="AQ77" s="138"/>
      <c r="AR77" s="138"/>
      <c r="AS77" s="132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5">
        <f t="shared" si="17"/>
        <v>0</v>
      </c>
      <c r="BJ77" s="186">
        <f t="shared" si="18"/>
        <v>0</v>
      </c>
      <c r="BK77" s="138"/>
      <c r="BL77" s="132"/>
      <c r="BM77" s="138"/>
      <c r="BN77" s="138"/>
      <c r="BO77" s="138"/>
      <c r="BP77" s="138"/>
      <c r="BQ77" s="138"/>
      <c r="BR77" s="140"/>
      <c r="BS77" s="152"/>
      <c r="BT77" s="152"/>
      <c r="BU77" s="152"/>
      <c r="BV77" s="152"/>
      <c r="BW77" s="217"/>
      <c r="BX77" s="218"/>
      <c r="BY77" s="218"/>
      <c r="BZ77" s="218"/>
      <c r="CA77" s="218"/>
      <c r="CB77" s="218"/>
      <c r="CC77" s="218"/>
      <c r="CD77" s="218"/>
      <c r="CE77" s="218"/>
      <c r="CF77" s="156">
        <f t="shared" si="19"/>
        <v>0</v>
      </c>
      <c r="CG77" s="190" t="str">
        <f t="shared" si="20"/>
        <v>#DIV/0!</v>
      </c>
      <c r="CH77" s="209"/>
      <c r="CI77" s="153"/>
      <c r="CJ77" s="217"/>
      <c r="CK77" s="219"/>
      <c r="CL77" s="219"/>
      <c r="CM77" s="219"/>
      <c r="CN77" s="219"/>
      <c r="CO77" s="217"/>
      <c r="CP77" s="221"/>
      <c r="CQ77" s="221"/>
      <c r="CR77" s="161"/>
      <c r="CS77" s="163">
        <f t="shared" si="21"/>
        <v>0</v>
      </c>
      <c r="CT77" s="194" t="str">
        <f t="shared" si="22"/>
        <v>#DIV/0!</v>
      </c>
      <c r="CU77" s="196"/>
      <c r="CV77" s="167">
        <f t="shared" si="23"/>
        <v>0</v>
      </c>
      <c r="CW77" s="169">
        <f t="shared" si="8"/>
        <v>0</v>
      </c>
      <c r="CX77" s="197"/>
    </row>
    <row r="78" ht="15.75" customHeight="1">
      <c r="A78" s="122">
        <v>69.0</v>
      </c>
      <c r="B78" s="275" t="s">
        <v>183</v>
      </c>
      <c r="C78" s="276" t="s">
        <v>184</v>
      </c>
      <c r="D78" s="125">
        <f t="shared" si="9"/>
        <v>0</v>
      </c>
      <c r="E78" s="127">
        <f t="shared" si="10"/>
        <v>0</v>
      </c>
      <c r="F78" s="200">
        <f t="shared" si="11"/>
        <v>0</v>
      </c>
      <c r="G78" s="207">
        <f t="shared" si="12"/>
        <v>0</v>
      </c>
      <c r="H78" s="273"/>
      <c r="I78" s="273"/>
      <c r="J78" s="274"/>
      <c r="K78" s="274"/>
      <c r="L78" s="274"/>
      <c r="M78" s="274"/>
      <c r="N78" s="274"/>
      <c r="O78" s="274"/>
      <c r="P78" s="274"/>
      <c r="Q78" s="274"/>
      <c r="R78" s="337">
        <f t="shared" si="13"/>
        <v>0</v>
      </c>
      <c r="S78" s="137" t="str">
        <f t="shared" si="14"/>
        <v>#DIV/0!</v>
      </c>
      <c r="T78" s="138"/>
      <c r="U78" s="138"/>
      <c r="V78" s="138"/>
      <c r="W78" s="132"/>
      <c r="X78" s="132"/>
      <c r="Y78" s="138"/>
      <c r="Z78" s="138"/>
      <c r="AA78" s="138"/>
      <c r="AB78" s="209"/>
      <c r="AC78" s="140"/>
      <c r="AD78" s="140"/>
      <c r="AE78" s="141"/>
      <c r="AF78" s="210"/>
      <c r="AG78" s="210"/>
      <c r="AH78" s="210"/>
      <c r="AI78" s="210"/>
      <c r="AJ78" s="212"/>
      <c r="AK78" s="212"/>
      <c r="AL78" s="135">
        <f t="shared" si="15"/>
        <v>0</v>
      </c>
      <c r="AM78" s="183" t="str">
        <f t="shared" si="16"/>
        <v>#DIV/0!</v>
      </c>
      <c r="AN78" s="214"/>
      <c r="AO78" s="214"/>
      <c r="AP78" s="209"/>
      <c r="AQ78" s="138"/>
      <c r="AR78" s="138"/>
      <c r="AS78" s="132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5">
        <f t="shared" si="17"/>
        <v>0</v>
      </c>
      <c r="BJ78" s="186">
        <f t="shared" si="18"/>
        <v>0</v>
      </c>
      <c r="BK78" s="138"/>
      <c r="BL78" s="132"/>
      <c r="BM78" s="138"/>
      <c r="BN78" s="138"/>
      <c r="BO78" s="138"/>
      <c r="BP78" s="138"/>
      <c r="BQ78" s="138"/>
      <c r="BR78" s="140"/>
      <c r="BS78" s="152"/>
      <c r="BT78" s="152"/>
      <c r="BU78" s="152"/>
      <c r="BV78" s="152"/>
      <c r="BW78" s="217"/>
      <c r="BX78" s="218"/>
      <c r="BY78" s="218"/>
      <c r="BZ78" s="218"/>
      <c r="CA78" s="218"/>
      <c r="CB78" s="218"/>
      <c r="CC78" s="218"/>
      <c r="CD78" s="218"/>
      <c r="CE78" s="218"/>
      <c r="CF78" s="156">
        <f t="shared" si="19"/>
        <v>0</v>
      </c>
      <c r="CG78" s="190" t="str">
        <f t="shared" si="20"/>
        <v>#DIV/0!</v>
      </c>
      <c r="CH78" s="209"/>
      <c r="CI78" s="153"/>
      <c r="CJ78" s="217"/>
      <c r="CK78" s="219"/>
      <c r="CL78" s="219"/>
      <c r="CM78" s="219"/>
      <c r="CN78" s="219"/>
      <c r="CO78" s="217"/>
      <c r="CP78" s="221"/>
      <c r="CQ78" s="221"/>
      <c r="CR78" s="161"/>
      <c r="CS78" s="163">
        <f t="shared" si="21"/>
        <v>0</v>
      </c>
      <c r="CT78" s="194" t="str">
        <f t="shared" si="22"/>
        <v>#DIV/0!</v>
      </c>
      <c r="CU78" s="196"/>
      <c r="CV78" s="167">
        <f t="shared" si="23"/>
        <v>0</v>
      </c>
      <c r="CW78" s="169">
        <f t="shared" si="8"/>
        <v>0</v>
      </c>
      <c r="CX78" s="197"/>
    </row>
    <row r="79" ht="15.75" customHeight="1">
      <c r="A79" s="122">
        <v>70.0</v>
      </c>
      <c r="B79" s="275" t="s">
        <v>185</v>
      </c>
      <c r="C79" s="276" t="s">
        <v>186</v>
      </c>
      <c r="D79" s="125">
        <f t="shared" si="9"/>
        <v>4</v>
      </c>
      <c r="E79" s="127">
        <f t="shared" si="10"/>
        <v>80</v>
      </c>
      <c r="F79" s="200" t="str">
        <f t="shared" si="11"/>
        <v>  </v>
      </c>
      <c r="G79" s="177" t="str">
        <f t="shared" si="12"/>
        <v>  </v>
      </c>
      <c r="H79" s="273"/>
      <c r="I79" s="273"/>
      <c r="J79" s="274"/>
      <c r="K79" s="274"/>
      <c r="L79" s="274"/>
      <c r="M79" s="274"/>
      <c r="N79" s="274"/>
      <c r="O79" s="274"/>
      <c r="P79" s="274"/>
      <c r="Q79" s="274"/>
      <c r="R79" s="337">
        <f t="shared" si="13"/>
        <v>0</v>
      </c>
      <c r="S79" s="137" t="str">
        <f t="shared" si="14"/>
        <v>#DIV/0!</v>
      </c>
      <c r="T79" s="138"/>
      <c r="U79" s="138"/>
      <c r="V79" s="138"/>
      <c r="W79" s="132"/>
      <c r="X79" s="132"/>
      <c r="Y79" s="138"/>
      <c r="Z79" s="138"/>
      <c r="AA79" s="138"/>
      <c r="AB79" s="209"/>
      <c r="AC79" s="140"/>
      <c r="AD79" s="140"/>
      <c r="AE79" s="141"/>
      <c r="AF79" s="210"/>
      <c r="AG79" s="210"/>
      <c r="AH79" s="210"/>
      <c r="AI79" s="210"/>
      <c r="AJ79" s="212"/>
      <c r="AK79" s="212"/>
      <c r="AL79" s="135">
        <f t="shared" si="15"/>
        <v>0</v>
      </c>
      <c r="AM79" s="183" t="str">
        <f t="shared" si="16"/>
        <v>#DIV/0!</v>
      </c>
      <c r="AN79" s="214"/>
      <c r="AO79" s="214"/>
      <c r="AP79" s="209"/>
      <c r="AQ79" s="138"/>
      <c r="AR79" s="138"/>
      <c r="AS79" s="132"/>
      <c r="AT79" s="133"/>
      <c r="AU79" s="133"/>
      <c r="AV79" s="133"/>
      <c r="AW79" s="133"/>
      <c r="AX79" s="133"/>
      <c r="AY79" s="185">
        <v>1.0</v>
      </c>
      <c r="AZ79" s="185"/>
      <c r="BA79" s="185">
        <v>1.0</v>
      </c>
      <c r="BB79" s="185">
        <v>1.0</v>
      </c>
      <c r="BC79" s="185">
        <v>1.0</v>
      </c>
      <c r="BD79" s="133"/>
      <c r="BE79" s="133"/>
      <c r="BF79" s="133"/>
      <c r="BG79" s="133"/>
      <c r="BH79" s="133"/>
      <c r="BI79" s="135">
        <f t="shared" si="17"/>
        <v>4</v>
      </c>
      <c r="BJ79" s="186">
        <f t="shared" si="18"/>
        <v>80</v>
      </c>
      <c r="BK79" s="138"/>
      <c r="BL79" s="132"/>
      <c r="BM79" s="138"/>
      <c r="BN79" s="138"/>
      <c r="BO79" s="138"/>
      <c r="BP79" s="138"/>
      <c r="BQ79" s="138"/>
      <c r="BR79" s="140"/>
      <c r="BS79" s="152"/>
      <c r="BT79" s="152"/>
      <c r="BU79" s="152"/>
      <c r="BV79" s="152"/>
      <c r="BW79" s="217"/>
      <c r="BX79" s="218"/>
      <c r="BY79" s="218"/>
      <c r="BZ79" s="218"/>
      <c r="CA79" s="218"/>
      <c r="CB79" s="218"/>
      <c r="CC79" s="218"/>
      <c r="CD79" s="218"/>
      <c r="CE79" s="218"/>
      <c r="CF79" s="156">
        <f t="shared" si="19"/>
        <v>0</v>
      </c>
      <c r="CG79" s="190" t="str">
        <f t="shared" si="20"/>
        <v>#DIV/0!</v>
      </c>
      <c r="CH79" s="209"/>
      <c r="CI79" s="153"/>
      <c r="CJ79" s="217"/>
      <c r="CK79" s="219"/>
      <c r="CL79" s="219"/>
      <c r="CM79" s="219"/>
      <c r="CN79" s="219"/>
      <c r="CO79" s="217"/>
      <c r="CP79" s="221"/>
      <c r="CQ79" s="221"/>
      <c r="CR79" s="161"/>
      <c r="CS79" s="163">
        <f t="shared" si="21"/>
        <v>0</v>
      </c>
      <c r="CT79" s="194" t="str">
        <f t="shared" si="22"/>
        <v>#DIV/0!</v>
      </c>
      <c r="CU79" s="196"/>
      <c r="CV79" s="167">
        <f t="shared" si="23"/>
        <v>80</v>
      </c>
      <c r="CW79" s="169">
        <f t="shared" si="8"/>
        <v>4</v>
      </c>
      <c r="CX79" s="197"/>
    </row>
    <row r="80" ht="15.75" customHeight="1">
      <c r="A80" s="172">
        <v>71.0</v>
      </c>
      <c r="B80" s="275" t="s">
        <v>187</v>
      </c>
      <c r="C80" s="276" t="s">
        <v>188</v>
      </c>
      <c r="D80" s="125">
        <f t="shared" si="9"/>
        <v>0</v>
      </c>
      <c r="E80" s="127">
        <f t="shared" si="10"/>
        <v>0</v>
      </c>
      <c r="F80" s="200">
        <f t="shared" si="11"/>
        <v>0</v>
      </c>
      <c r="G80" s="207">
        <f t="shared" si="12"/>
        <v>0</v>
      </c>
      <c r="H80" s="273"/>
      <c r="I80" s="273"/>
      <c r="J80" s="274"/>
      <c r="K80" s="274"/>
      <c r="L80" s="274"/>
      <c r="M80" s="274"/>
      <c r="N80" s="274"/>
      <c r="O80" s="274"/>
      <c r="P80" s="274"/>
      <c r="Q80" s="274"/>
      <c r="R80" s="337">
        <f t="shared" si="13"/>
        <v>0</v>
      </c>
      <c r="S80" s="137" t="str">
        <f t="shared" si="14"/>
        <v>#DIV/0!</v>
      </c>
      <c r="T80" s="138"/>
      <c r="U80" s="138"/>
      <c r="V80" s="138"/>
      <c r="W80" s="132"/>
      <c r="X80" s="132"/>
      <c r="Y80" s="138"/>
      <c r="Z80" s="138"/>
      <c r="AA80" s="138"/>
      <c r="AB80" s="209"/>
      <c r="AC80" s="140"/>
      <c r="AD80" s="140"/>
      <c r="AE80" s="141"/>
      <c r="AF80" s="210"/>
      <c r="AG80" s="210"/>
      <c r="AH80" s="210"/>
      <c r="AI80" s="210"/>
      <c r="AJ80" s="212"/>
      <c r="AK80" s="212"/>
      <c r="AL80" s="135">
        <f t="shared" si="15"/>
        <v>0</v>
      </c>
      <c r="AM80" s="183" t="str">
        <f t="shared" si="16"/>
        <v>#DIV/0!</v>
      </c>
      <c r="AN80" s="214"/>
      <c r="AO80" s="214"/>
      <c r="AP80" s="209"/>
      <c r="AQ80" s="138"/>
      <c r="AR80" s="138"/>
      <c r="AS80" s="132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5">
        <f t="shared" si="17"/>
        <v>0</v>
      </c>
      <c r="BJ80" s="186">
        <f t="shared" si="18"/>
        <v>0</v>
      </c>
      <c r="BK80" s="138"/>
      <c r="BL80" s="132"/>
      <c r="BM80" s="138"/>
      <c r="BN80" s="138"/>
      <c r="BO80" s="138"/>
      <c r="BP80" s="138"/>
      <c r="BQ80" s="138"/>
      <c r="BR80" s="140"/>
      <c r="BS80" s="152"/>
      <c r="BT80" s="152"/>
      <c r="BU80" s="152"/>
      <c r="BV80" s="152"/>
      <c r="BW80" s="217"/>
      <c r="BX80" s="218"/>
      <c r="BY80" s="218"/>
      <c r="BZ80" s="218"/>
      <c r="CA80" s="218"/>
      <c r="CB80" s="218"/>
      <c r="CC80" s="218"/>
      <c r="CD80" s="218"/>
      <c r="CE80" s="218"/>
      <c r="CF80" s="156">
        <f t="shared" si="19"/>
        <v>0</v>
      </c>
      <c r="CG80" s="190" t="str">
        <f t="shared" si="20"/>
        <v>#DIV/0!</v>
      </c>
      <c r="CH80" s="209"/>
      <c r="CI80" s="153"/>
      <c r="CJ80" s="217"/>
      <c r="CK80" s="219"/>
      <c r="CL80" s="219"/>
      <c r="CM80" s="219"/>
      <c r="CN80" s="219"/>
      <c r="CO80" s="217"/>
      <c r="CP80" s="221"/>
      <c r="CQ80" s="221"/>
      <c r="CR80" s="161"/>
      <c r="CS80" s="163">
        <f t="shared" si="21"/>
        <v>0</v>
      </c>
      <c r="CT80" s="194" t="str">
        <f t="shared" si="22"/>
        <v>#DIV/0!</v>
      </c>
      <c r="CU80" s="196"/>
      <c r="CV80" s="167">
        <f t="shared" si="23"/>
        <v>0</v>
      </c>
      <c r="CW80" s="169">
        <f t="shared" si="8"/>
        <v>0</v>
      </c>
      <c r="CX80" s="197"/>
    </row>
    <row r="81" ht="15.75" customHeight="1">
      <c r="A81" s="122">
        <v>72.0</v>
      </c>
      <c r="B81" s="275" t="s">
        <v>189</v>
      </c>
      <c r="C81" s="276" t="s">
        <v>190</v>
      </c>
      <c r="D81" s="125">
        <f t="shared" si="9"/>
        <v>4</v>
      </c>
      <c r="E81" s="127">
        <f t="shared" si="10"/>
        <v>80</v>
      </c>
      <c r="F81" s="175" t="str">
        <f t="shared" si="11"/>
        <v>  </v>
      </c>
      <c r="G81" s="177" t="str">
        <f t="shared" si="12"/>
        <v>  </v>
      </c>
      <c r="H81" s="273"/>
      <c r="I81" s="273"/>
      <c r="J81" s="274"/>
      <c r="K81" s="274"/>
      <c r="L81" s="274"/>
      <c r="M81" s="274"/>
      <c r="N81" s="274"/>
      <c r="O81" s="274"/>
      <c r="P81" s="274"/>
      <c r="Q81" s="274"/>
      <c r="R81" s="337">
        <f t="shared" si="13"/>
        <v>0</v>
      </c>
      <c r="S81" s="137" t="str">
        <f t="shared" si="14"/>
        <v>#DIV/0!</v>
      </c>
      <c r="T81" s="138"/>
      <c r="U81" s="138"/>
      <c r="V81" s="138"/>
      <c r="W81" s="132"/>
      <c r="X81" s="132"/>
      <c r="Y81" s="138"/>
      <c r="Z81" s="138"/>
      <c r="AA81" s="138"/>
      <c r="AB81" s="209"/>
      <c r="AC81" s="140"/>
      <c r="AD81" s="140"/>
      <c r="AE81" s="141"/>
      <c r="AF81" s="210"/>
      <c r="AG81" s="210"/>
      <c r="AH81" s="210"/>
      <c r="AI81" s="210"/>
      <c r="AJ81" s="212"/>
      <c r="AK81" s="212"/>
      <c r="AL81" s="135">
        <f t="shared" si="15"/>
        <v>0</v>
      </c>
      <c r="AM81" s="183" t="str">
        <f t="shared" si="16"/>
        <v>#DIV/0!</v>
      </c>
      <c r="AN81" s="214"/>
      <c r="AO81" s="214"/>
      <c r="AP81" s="209"/>
      <c r="AQ81" s="138"/>
      <c r="AR81" s="138"/>
      <c r="AS81" s="132"/>
      <c r="AT81" s="133"/>
      <c r="AU81" s="133"/>
      <c r="AV81" s="133"/>
      <c r="AW81" s="133"/>
      <c r="AX81" s="133"/>
      <c r="AY81" s="185">
        <v>1.0</v>
      </c>
      <c r="AZ81" s="185">
        <v>1.0</v>
      </c>
      <c r="BA81" s="185">
        <v>1.0</v>
      </c>
      <c r="BB81" s="185"/>
      <c r="BC81" s="185">
        <v>1.0</v>
      </c>
      <c r="BD81" s="133"/>
      <c r="BE81" s="133"/>
      <c r="BF81" s="133"/>
      <c r="BG81" s="133"/>
      <c r="BH81" s="133"/>
      <c r="BI81" s="135">
        <f t="shared" si="17"/>
        <v>4</v>
      </c>
      <c r="BJ81" s="186">
        <f t="shared" si="18"/>
        <v>80</v>
      </c>
      <c r="BK81" s="138"/>
      <c r="BL81" s="132"/>
      <c r="BM81" s="138"/>
      <c r="BN81" s="138"/>
      <c r="BO81" s="138"/>
      <c r="BP81" s="138"/>
      <c r="BQ81" s="138"/>
      <c r="BR81" s="140"/>
      <c r="BS81" s="152"/>
      <c r="BT81" s="152"/>
      <c r="BU81" s="152"/>
      <c r="BV81" s="152"/>
      <c r="BW81" s="217"/>
      <c r="BX81" s="218"/>
      <c r="BY81" s="218"/>
      <c r="BZ81" s="218"/>
      <c r="CA81" s="218"/>
      <c r="CB81" s="218"/>
      <c r="CC81" s="218"/>
      <c r="CD81" s="218"/>
      <c r="CE81" s="218"/>
      <c r="CF81" s="156">
        <f t="shared" si="19"/>
        <v>0</v>
      </c>
      <c r="CG81" s="190" t="str">
        <f t="shared" si="20"/>
        <v>#DIV/0!</v>
      </c>
      <c r="CH81" s="209"/>
      <c r="CI81" s="153"/>
      <c r="CJ81" s="217"/>
      <c r="CK81" s="219"/>
      <c r="CL81" s="219"/>
      <c r="CM81" s="219"/>
      <c r="CN81" s="219"/>
      <c r="CO81" s="217"/>
      <c r="CP81" s="221"/>
      <c r="CQ81" s="221"/>
      <c r="CR81" s="161"/>
      <c r="CS81" s="163">
        <f t="shared" si="21"/>
        <v>0</v>
      </c>
      <c r="CT81" s="194" t="str">
        <f t="shared" si="22"/>
        <v>#DIV/0!</v>
      </c>
      <c r="CU81" s="196"/>
      <c r="CV81" s="167">
        <f t="shared" si="23"/>
        <v>80</v>
      </c>
      <c r="CW81" s="169">
        <f t="shared" si="8"/>
        <v>4</v>
      </c>
      <c r="CX81" s="197"/>
    </row>
    <row r="82" ht="15.75" customHeight="1">
      <c r="A82" s="122">
        <v>73.0</v>
      </c>
      <c r="B82" s="275" t="s">
        <v>191</v>
      </c>
      <c r="C82" s="276" t="s">
        <v>192</v>
      </c>
      <c r="D82" s="125">
        <f t="shared" si="9"/>
        <v>4</v>
      </c>
      <c r="E82" s="127">
        <f t="shared" si="10"/>
        <v>80</v>
      </c>
      <c r="F82" s="175" t="str">
        <f t="shared" si="11"/>
        <v>  </v>
      </c>
      <c r="G82" s="177" t="str">
        <f t="shared" si="12"/>
        <v>  </v>
      </c>
      <c r="H82" s="273"/>
      <c r="I82" s="273"/>
      <c r="J82" s="274"/>
      <c r="K82" s="274"/>
      <c r="L82" s="274"/>
      <c r="M82" s="274"/>
      <c r="N82" s="274"/>
      <c r="O82" s="274"/>
      <c r="P82" s="274"/>
      <c r="Q82" s="274"/>
      <c r="R82" s="337">
        <f t="shared" si="13"/>
        <v>0</v>
      </c>
      <c r="S82" s="137" t="str">
        <f t="shared" si="14"/>
        <v>#DIV/0!</v>
      </c>
      <c r="T82" s="138"/>
      <c r="U82" s="138"/>
      <c r="V82" s="138"/>
      <c r="W82" s="132"/>
      <c r="X82" s="132"/>
      <c r="Y82" s="138"/>
      <c r="Z82" s="138"/>
      <c r="AA82" s="138"/>
      <c r="AB82" s="209"/>
      <c r="AC82" s="140"/>
      <c r="AD82" s="140"/>
      <c r="AE82" s="141"/>
      <c r="AF82" s="210"/>
      <c r="AG82" s="210"/>
      <c r="AH82" s="210"/>
      <c r="AI82" s="210"/>
      <c r="AJ82" s="212"/>
      <c r="AK82" s="212"/>
      <c r="AL82" s="135">
        <f t="shared" si="15"/>
        <v>0</v>
      </c>
      <c r="AM82" s="183" t="str">
        <f t="shared" si="16"/>
        <v>#DIV/0!</v>
      </c>
      <c r="AN82" s="214"/>
      <c r="AO82" s="214"/>
      <c r="AP82" s="209"/>
      <c r="AQ82" s="138"/>
      <c r="AR82" s="138"/>
      <c r="AS82" s="132"/>
      <c r="AT82" s="133"/>
      <c r="AU82" s="133"/>
      <c r="AV82" s="133"/>
      <c r="AW82" s="133"/>
      <c r="AX82" s="133"/>
      <c r="AY82" s="185">
        <v>1.0</v>
      </c>
      <c r="AZ82" s="185">
        <v>1.0</v>
      </c>
      <c r="BA82" s="185">
        <v>1.0</v>
      </c>
      <c r="BB82" s="185"/>
      <c r="BC82" s="185">
        <v>1.0</v>
      </c>
      <c r="BD82" s="133"/>
      <c r="BE82" s="133"/>
      <c r="BF82" s="133"/>
      <c r="BG82" s="133"/>
      <c r="BH82" s="133"/>
      <c r="BI82" s="135">
        <f t="shared" si="17"/>
        <v>4</v>
      </c>
      <c r="BJ82" s="186">
        <f t="shared" si="18"/>
        <v>80</v>
      </c>
      <c r="BK82" s="138"/>
      <c r="BL82" s="132"/>
      <c r="BM82" s="138"/>
      <c r="BN82" s="138"/>
      <c r="BO82" s="138"/>
      <c r="BP82" s="138"/>
      <c r="BQ82" s="138"/>
      <c r="BR82" s="140"/>
      <c r="BS82" s="152"/>
      <c r="BT82" s="152"/>
      <c r="BU82" s="152"/>
      <c r="BV82" s="152"/>
      <c r="BW82" s="217"/>
      <c r="BX82" s="218"/>
      <c r="BY82" s="218"/>
      <c r="BZ82" s="218"/>
      <c r="CA82" s="218"/>
      <c r="CB82" s="218"/>
      <c r="CC82" s="218"/>
      <c r="CD82" s="218"/>
      <c r="CE82" s="218"/>
      <c r="CF82" s="156">
        <f t="shared" si="19"/>
        <v>0</v>
      </c>
      <c r="CG82" s="190" t="str">
        <f t="shared" si="20"/>
        <v>#DIV/0!</v>
      </c>
      <c r="CH82" s="209"/>
      <c r="CI82" s="153"/>
      <c r="CJ82" s="217"/>
      <c r="CK82" s="219"/>
      <c r="CL82" s="219"/>
      <c r="CM82" s="219"/>
      <c r="CN82" s="219"/>
      <c r="CO82" s="217"/>
      <c r="CP82" s="221"/>
      <c r="CQ82" s="221"/>
      <c r="CR82" s="161"/>
      <c r="CS82" s="163">
        <f t="shared" si="21"/>
        <v>0</v>
      </c>
      <c r="CT82" s="194" t="str">
        <f t="shared" si="22"/>
        <v>#DIV/0!</v>
      </c>
      <c r="CU82" s="196"/>
      <c r="CV82" s="167">
        <f t="shared" si="23"/>
        <v>80</v>
      </c>
      <c r="CW82" s="169">
        <f t="shared" si="8"/>
        <v>4</v>
      </c>
      <c r="CX82" s="197"/>
    </row>
    <row r="83" ht="15.75" customHeight="1">
      <c r="A83" s="172">
        <v>74.0</v>
      </c>
      <c r="B83" s="277" t="s">
        <v>193</v>
      </c>
      <c r="C83" s="278" t="s">
        <v>194</v>
      </c>
      <c r="D83" s="125">
        <f t="shared" si="9"/>
        <v>0</v>
      </c>
      <c r="E83" s="127">
        <f t="shared" si="10"/>
        <v>0</v>
      </c>
      <c r="F83" s="200">
        <f t="shared" si="11"/>
        <v>0</v>
      </c>
      <c r="G83" s="207">
        <f t="shared" si="12"/>
        <v>0</v>
      </c>
      <c r="H83" s="273"/>
      <c r="I83" s="273"/>
      <c r="J83" s="274"/>
      <c r="K83" s="274"/>
      <c r="L83" s="274"/>
      <c r="M83" s="274"/>
      <c r="N83" s="274"/>
      <c r="O83" s="274"/>
      <c r="P83" s="274"/>
      <c r="Q83" s="274"/>
      <c r="R83" s="337">
        <f t="shared" si="13"/>
        <v>0</v>
      </c>
      <c r="S83" s="137" t="str">
        <f t="shared" si="14"/>
        <v>#DIV/0!</v>
      </c>
      <c r="T83" s="138"/>
      <c r="U83" s="138"/>
      <c r="V83" s="138"/>
      <c r="W83" s="132"/>
      <c r="X83" s="132"/>
      <c r="Y83" s="138"/>
      <c r="Z83" s="138"/>
      <c r="AA83" s="138"/>
      <c r="AB83" s="32"/>
      <c r="AC83" s="140"/>
      <c r="AD83" s="140"/>
      <c r="AE83" s="141"/>
      <c r="AF83" s="32"/>
      <c r="AG83" s="32"/>
      <c r="AH83" s="32"/>
      <c r="AI83" s="32"/>
      <c r="AJ83" s="279"/>
      <c r="AK83" s="279"/>
      <c r="AL83" s="135">
        <f t="shared" si="15"/>
        <v>0</v>
      </c>
      <c r="AM83" s="280" t="str">
        <f t="shared" si="16"/>
        <v>#DIV/0!</v>
      </c>
      <c r="AN83" s="32"/>
      <c r="AO83" s="32"/>
      <c r="AP83" s="209"/>
      <c r="AQ83" s="138"/>
      <c r="AR83" s="138"/>
      <c r="AS83" s="132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5">
        <f t="shared" si="17"/>
        <v>0</v>
      </c>
      <c r="BJ83" s="281">
        <f t="shared" si="18"/>
        <v>0</v>
      </c>
      <c r="BK83" s="138"/>
      <c r="BL83" s="132"/>
      <c r="BM83" s="138"/>
      <c r="BN83" s="138"/>
      <c r="BO83" s="138"/>
      <c r="BP83" s="138"/>
      <c r="BQ83" s="138"/>
      <c r="BR83" s="140"/>
      <c r="BS83" s="152"/>
      <c r="BT83" s="152"/>
      <c r="BU83" s="152"/>
      <c r="BV83" s="152"/>
      <c r="BW83" s="217"/>
      <c r="BX83" s="218"/>
      <c r="BY83" s="218"/>
      <c r="BZ83" s="218"/>
      <c r="CA83" s="218"/>
      <c r="CB83" s="218"/>
      <c r="CC83" s="218"/>
      <c r="CD83" s="218"/>
      <c r="CE83" s="218"/>
      <c r="CF83" s="156">
        <f t="shared" si="19"/>
        <v>0</v>
      </c>
      <c r="CG83" s="282" t="str">
        <f t="shared" si="20"/>
        <v>#DIV/0!</v>
      </c>
      <c r="CH83" s="32"/>
      <c r="CI83" s="153"/>
      <c r="CJ83" s="32"/>
      <c r="CK83" s="32"/>
      <c r="CL83" s="32"/>
      <c r="CM83" s="32"/>
      <c r="CN83" s="32"/>
      <c r="CO83" s="32"/>
      <c r="CP83" s="32"/>
      <c r="CQ83" s="32"/>
      <c r="CR83" s="161"/>
      <c r="CS83" s="163">
        <f t="shared" si="21"/>
        <v>0</v>
      </c>
      <c r="CT83" s="194" t="str">
        <f t="shared" si="22"/>
        <v>#DIV/0!</v>
      </c>
      <c r="CU83" s="196"/>
      <c r="CV83" s="167">
        <f t="shared" si="23"/>
        <v>0</v>
      </c>
      <c r="CW83" s="169">
        <f t="shared" si="8"/>
        <v>0</v>
      </c>
      <c r="CX83" s="197"/>
    </row>
    <row r="84" ht="15.75" customHeight="1">
      <c r="A84" s="122">
        <v>75.0</v>
      </c>
      <c r="B84" s="275" t="s">
        <v>195</v>
      </c>
      <c r="C84" s="276" t="s">
        <v>196</v>
      </c>
      <c r="D84" s="125">
        <f t="shared" si="9"/>
        <v>4</v>
      </c>
      <c r="E84" s="127">
        <f t="shared" si="10"/>
        <v>80</v>
      </c>
      <c r="F84" s="200" t="str">
        <f t="shared" si="11"/>
        <v>  </v>
      </c>
      <c r="G84" s="177" t="str">
        <f t="shared" si="12"/>
        <v>  </v>
      </c>
      <c r="H84" s="273"/>
      <c r="I84" s="273"/>
      <c r="J84" s="274"/>
      <c r="K84" s="274"/>
      <c r="L84" s="274"/>
      <c r="M84" s="274"/>
      <c r="N84" s="274"/>
      <c r="O84" s="274"/>
      <c r="P84" s="274"/>
      <c r="Q84" s="274"/>
      <c r="R84" s="337">
        <f t="shared" si="13"/>
        <v>0</v>
      </c>
      <c r="S84" s="137" t="str">
        <f t="shared" si="14"/>
        <v>#DIV/0!</v>
      </c>
      <c r="T84" s="138"/>
      <c r="U84" s="138"/>
      <c r="V84" s="138"/>
      <c r="W84" s="132"/>
      <c r="X84" s="132"/>
      <c r="Y84" s="138"/>
      <c r="Z84" s="138"/>
      <c r="AA84" s="138"/>
      <c r="AB84" s="32"/>
      <c r="AC84" s="140"/>
      <c r="AD84" s="140"/>
      <c r="AE84" s="141"/>
      <c r="AF84" s="32"/>
      <c r="AG84" s="32"/>
      <c r="AH84" s="32"/>
      <c r="AI84" s="32"/>
      <c r="AJ84" s="279"/>
      <c r="AK84" s="279"/>
      <c r="AL84" s="135">
        <f t="shared" si="15"/>
        <v>0</v>
      </c>
      <c r="AM84" s="280" t="str">
        <f t="shared" si="16"/>
        <v>#DIV/0!</v>
      </c>
      <c r="AN84" s="32"/>
      <c r="AO84" s="32"/>
      <c r="AP84" s="209"/>
      <c r="AQ84" s="138"/>
      <c r="AR84" s="138"/>
      <c r="AS84" s="132"/>
      <c r="AT84" s="133"/>
      <c r="AU84" s="133"/>
      <c r="AV84" s="133"/>
      <c r="AW84" s="133"/>
      <c r="AX84" s="133"/>
      <c r="AY84" s="185">
        <v>1.0</v>
      </c>
      <c r="AZ84" s="185">
        <v>1.0</v>
      </c>
      <c r="BA84" s="185">
        <v>1.0</v>
      </c>
      <c r="BB84" s="185"/>
      <c r="BC84" s="185">
        <v>1.0</v>
      </c>
      <c r="BD84" s="133"/>
      <c r="BE84" s="133"/>
      <c r="BF84" s="133"/>
      <c r="BG84" s="133"/>
      <c r="BH84" s="133"/>
      <c r="BI84" s="135">
        <f t="shared" si="17"/>
        <v>4</v>
      </c>
      <c r="BJ84" s="281">
        <f t="shared" si="18"/>
        <v>80</v>
      </c>
      <c r="BK84" s="138"/>
      <c r="BL84" s="132"/>
      <c r="BM84" s="138"/>
      <c r="BN84" s="138"/>
      <c r="BO84" s="138"/>
      <c r="BP84" s="138"/>
      <c r="BQ84" s="138"/>
      <c r="BR84" s="140"/>
      <c r="BS84" s="152"/>
      <c r="BT84" s="152"/>
      <c r="BU84" s="152"/>
      <c r="BV84" s="152"/>
      <c r="BW84" s="217"/>
      <c r="BX84" s="218"/>
      <c r="BY84" s="218"/>
      <c r="BZ84" s="218"/>
      <c r="CA84" s="218"/>
      <c r="CB84" s="218"/>
      <c r="CC84" s="218"/>
      <c r="CD84" s="218"/>
      <c r="CE84" s="218"/>
      <c r="CF84" s="156">
        <f t="shared" si="19"/>
        <v>0</v>
      </c>
      <c r="CG84" s="282" t="str">
        <f t="shared" si="20"/>
        <v>#DIV/0!</v>
      </c>
      <c r="CH84" s="32"/>
      <c r="CI84" s="153"/>
      <c r="CJ84" s="32"/>
      <c r="CK84" s="32"/>
      <c r="CL84" s="32"/>
      <c r="CM84" s="32"/>
      <c r="CN84" s="32"/>
      <c r="CO84" s="32"/>
      <c r="CP84" s="32"/>
      <c r="CQ84" s="32"/>
      <c r="CR84" s="161"/>
      <c r="CS84" s="163">
        <f t="shared" si="21"/>
        <v>0</v>
      </c>
      <c r="CT84" s="194" t="str">
        <f t="shared" si="22"/>
        <v>#DIV/0!</v>
      </c>
      <c r="CU84" s="196"/>
      <c r="CV84" s="167">
        <f t="shared" si="23"/>
        <v>80</v>
      </c>
      <c r="CW84" s="169">
        <f t="shared" si="8"/>
        <v>4</v>
      </c>
      <c r="CX84" s="197"/>
    </row>
    <row r="85" ht="15.75" customHeight="1">
      <c r="A85" s="122">
        <v>76.0</v>
      </c>
      <c r="B85" s="277" t="s">
        <v>197</v>
      </c>
      <c r="C85" s="278" t="s">
        <v>198</v>
      </c>
      <c r="D85" s="125">
        <f t="shared" si="9"/>
        <v>4</v>
      </c>
      <c r="E85" s="127">
        <f t="shared" si="10"/>
        <v>80</v>
      </c>
      <c r="F85" s="175" t="str">
        <f t="shared" si="11"/>
        <v>  </v>
      </c>
      <c r="G85" s="177" t="str">
        <f t="shared" si="12"/>
        <v>  </v>
      </c>
      <c r="H85" s="273"/>
      <c r="I85" s="273"/>
      <c r="J85" s="274"/>
      <c r="K85" s="274"/>
      <c r="L85" s="274"/>
      <c r="M85" s="274"/>
      <c r="N85" s="274"/>
      <c r="O85" s="274"/>
      <c r="P85" s="274"/>
      <c r="Q85" s="274"/>
      <c r="R85" s="337">
        <f t="shared" si="13"/>
        <v>0</v>
      </c>
      <c r="S85" s="137" t="str">
        <f t="shared" si="14"/>
        <v>#DIV/0!</v>
      </c>
      <c r="T85" s="138"/>
      <c r="U85" s="138"/>
      <c r="V85" s="138"/>
      <c r="W85" s="132"/>
      <c r="X85" s="132"/>
      <c r="Y85" s="138"/>
      <c r="Z85" s="138"/>
      <c r="AA85" s="138"/>
      <c r="AB85" s="32"/>
      <c r="AC85" s="140"/>
      <c r="AD85" s="140"/>
      <c r="AE85" s="141"/>
      <c r="AF85" s="32"/>
      <c r="AG85" s="32"/>
      <c r="AH85" s="32"/>
      <c r="AI85" s="32"/>
      <c r="AJ85" s="279"/>
      <c r="AK85" s="279"/>
      <c r="AL85" s="135">
        <f t="shared" si="15"/>
        <v>0</v>
      </c>
      <c r="AM85" s="280" t="str">
        <f t="shared" si="16"/>
        <v>#DIV/0!</v>
      </c>
      <c r="AN85" s="32"/>
      <c r="AO85" s="32"/>
      <c r="AP85" s="32"/>
      <c r="AQ85" s="138"/>
      <c r="AR85" s="138"/>
      <c r="AS85" s="132"/>
      <c r="AT85" s="133"/>
      <c r="AU85" s="133"/>
      <c r="AV85" s="133"/>
      <c r="AW85" s="133"/>
      <c r="AX85" s="133"/>
      <c r="AY85" s="185">
        <v>1.0</v>
      </c>
      <c r="AZ85" s="185">
        <v>1.0</v>
      </c>
      <c r="BA85" s="185">
        <v>1.0</v>
      </c>
      <c r="BB85" s="185"/>
      <c r="BC85" s="185">
        <v>1.0</v>
      </c>
      <c r="BD85" s="133"/>
      <c r="BE85" s="133"/>
      <c r="BF85" s="133"/>
      <c r="BG85" s="133"/>
      <c r="BH85" s="133"/>
      <c r="BI85" s="135">
        <f t="shared" si="17"/>
        <v>4</v>
      </c>
      <c r="BJ85" s="281">
        <f t="shared" si="18"/>
        <v>80</v>
      </c>
      <c r="BK85" s="138"/>
      <c r="BL85" s="132"/>
      <c r="BM85" s="138"/>
      <c r="BN85" s="138"/>
      <c r="BO85" s="138"/>
      <c r="BP85" s="138"/>
      <c r="BQ85" s="138"/>
      <c r="BR85" s="140"/>
      <c r="BS85" s="152"/>
      <c r="BT85" s="152"/>
      <c r="BU85" s="152"/>
      <c r="BV85" s="152"/>
      <c r="BW85" s="217"/>
      <c r="BX85" s="218"/>
      <c r="BY85" s="218"/>
      <c r="BZ85" s="218"/>
      <c r="CA85" s="218"/>
      <c r="CB85" s="218"/>
      <c r="CC85" s="218"/>
      <c r="CD85" s="218"/>
      <c r="CE85" s="218"/>
      <c r="CF85" s="156">
        <f t="shared" si="19"/>
        <v>0</v>
      </c>
      <c r="CG85" s="282" t="str">
        <f t="shared" si="20"/>
        <v>#DIV/0!</v>
      </c>
      <c r="CH85" s="32"/>
      <c r="CI85" s="153"/>
      <c r="CJ85" s="32"/>
      <c r="CK85" s="32"/>
      <c r="CL85" s="32"/>
      <c r="CM85" s="32"/>
      <c r="CN85" s="32"/>
      <c r="CO85" s="32"/>
      <c r="CP85" s="32"/>
      <c r="CQ85" s="32"/>
      <c r="CR85" s="32"/>
      <c r="CS85" s="163">
        <f t="shared" si="21"/>
        <v>0</v>
      </c>
      <c r="CT85" s="194" t="str">
        <f t="shared" si="22"/>
        <v>#DIV/0!</v>
      </c>
      <c r="CU85" s="196"/>
      <c r="CV85" s="167">
        <f t="shared" si="23"/>
        <v>80</v>
      </c>
      <c r="CW85" s="169">
        <f t="shared" si="8"/>
        <v>4</v>
      </c>
      <c r="CX85" s="197"/>
    </row>
    <row r="86" ht="15.75" customHeight="1">
      <c r="A86" s="172">
        <v>77.0</v>
      </c>
      <c r="B86" s="275" t="s">
        <v>199</v>
      </c>
      <c r="C86" s="276" t="s">
        <v>200</v>
      </c>
      <c r="D86" s="125">
        <f t="shared" si="9"/>
        <v>4</v>
      </c>
      <c r="E86" s="127">
        <f t="shared" si="10"/>
        <v>80</v>
      </c>
      <c r="F86" s="200" t="str">
        <f t="shared" si="11"/>
        <v>  </v>
      </c>
      <c r="G86" s="175" t="str">
        <f t="shared" si="12"/>
        <v>  </v>
      </c>
      <c r="H86" s="273"/>
      <c r="I86" s="273"/>
      <c r="J86" s="274"/>
      <c r="K86" s="274"/>
      <c r="L86" s="274"/>
      <c r="M86" s="274"/>
      <c r="N86" s="274"/>
      <c r="O86" s="274"/>
      <c r="P86" s="274"/>
      <c r="Q86" s="274"/>
      <c r="R86" s="337">
        <f t="shared" si="13"/>
        <v>0</v>
      </c>
      <c r="S86" s="137" t="str">
        <f t="shared" si="14"/>
        <v>#DIV/0!</v>
      </c>
      <c r="T86" s="138"/>
      <c r="U86" s="138"/>
      <c r="V86" s="138"/>
      <c r="W86" s="132"/>
      <c r="X86" s="132"/>
      <c r="Y86" s="138"/>
      <c r="Z86" s="138"/>
      <c r="AA86" s="138"/>
      <c r="AB86" s="32"/>
      <c r="AC86" s="140"/>
      <c r="AD86" s="140"/>
      <c r="AE86" s="141"/>
      <c r="AF86" s="32"/>
      <c r="AG86" s="32"/>
      <c r="AH86" s="32"/>
      <c r="AI86" s="32"/>
      <c r="AJ86" s="279"/>
      <c r="AK86" s="279"/>
      <c r="AL86" s="135">
        <f t="shared" si="15"/>
        <v>0</v>
      </c>
      <c r="AM86" s="280" t="str">
        <f t="shared" si="16"/>
        <v>#DIV/0!</v>
      </c>
      <c r="AN86" s="32"/>
      <c r="AO86" s="32"/>
      <c r="AP86" s="32"/>
      <c r="AQ86" s="138"/>
      <c r="AR86" s="138"/>
      <c r="AS86" s="132"/>
      <c r="AT86" s="133"/>
      <c r="AU86" s="133"/>
      <c r="AV86" s="133"/>
      <c r="AW86" s="133"/>
      <c r="AX86" s="133"/>
      <c r="AY86" s="185">
        <v>1.0</v>
      </c>
      <c r="AZ86" s="185"/>
      <c r="BA86" s="185">
        <v>1.0</v>
      </c>
      <c r="BB86" s="185">
        <v>1.0</v>
      </c>
      <c r="BC86" s="185">
        <v>1.0</v>
      </c>
      <c r="BD86" s="133"/>
      <c r="BE86" s="133"/>
      <c r="BF86" s="133"/>
      <c r="BG86" s="133"/>
      <c r="BH86" s="133"/>
      <c r="BI86" s="135">
        <f t="shared" si="17"/>
        <v>4</v>
      </c>
      <c r="BJ86" s="281">
        <f t="shared" si="18"/>
        <v>80</v>
      </c>
      <c r="BK86" s="138"/>
      <c r="BL86" s="132"/>
      <c r="BM86" s="138"/>
      <c r="BN86" s="138"/>
      <c r="BO86" s="138"/>
      <c r="BP86" s="138"/>
      <c r="BQ86" s="138"/>
      <c r="BR86" s="140"/>
      <c r="BS86" s="152"/>
      <c r="BT86" s="152"/>
      <c r="BU86" s="152"/>
      <c r="BV86" s="152"/>
      <c r="BW86" s="217"/>
      <c r="BX86" s="218"/>
      <c r="BY86" s="218"/>
      <c r="BZ86" s="218"/>
      <c r="CA86" s="218"/>
      <c r="CB86" s="218"/>
      <c r="CC86" s="218"/>
      <c r="CD86" s="218"/>
      <c r="CE86" s="218"/>
      <c r="CF86" s="156">
        <f t="shared" si="19"/>
        <v>0</v>
      </c>
      <c r="CG86" s="282" t="str">
        <f t="shared" si="20"/>
        <v>#DIV/0!</v>
      </c>
      <c r="CH86" s="32"/>
      <c r="CI86" s="153"/>
      <c r="CJ86" s="32"/>
      <c r="CK86" s="32"/>
      <c r="CL86" s="32"/>
      <c r="CM86" s="32"/>
      <c r="CN86" s="32"/>
      <c r="CO86" s="32"/>
      <c r="CP86" s="32"/>
      <c r="CQ86" s="32"/>
      <c r="CR86" s="32"/>
      <c r="CS86" s="163">
        <f t="shared" si="21"/>
        <v>0</v>
      </c>
      <c r="CT86" s="194" t="str">
        <f t="shared" si="22"/>
        <v>#DIV/0!</v>
      </c>
      <c r="CU86" s="196"/>
      <c r="CV86" s="167">
        <f t="shared" si="23"/>
        <v>80</v>
      </c>
      <c r="CW86" s="169">
        <f t="shared" si="8"/>
        <v>4</v>
      </c>
      <c r="CX86" s="197"/>
    </row>
    <row r="87" ht="15.75" customHeight="1">
      <c r="A87" s="122">
        <v>78.0</v>
      </c>
      <c r="B87" s="271" t="s">
        <v>201</v>
      </c>
      <c r="C87" s="283" t="s">
        <v>202</v>
      </c>
      <c r="D87" s="284">
        <f t="shared" si="9"/>
        <v>5</v>
      </c>
      <c r="E87" s="127">
        <f t="shared" si="10"/>
        <v>100</v>
      </c>
      <c r="F87" s="200" t="str">
        <f t="shared" si="11"/>
        <v>  </v>
      </c>
      <c r="G87" s="175" t="str">
        <f t="shared" si="12"/>
        <v>  </v>
      </c>
      <c r="H87" s="273"/>
      <c r="I87" s="273"/>
      <c r="J87" s="274"/>
      <c r="K87" s="274"/>
      <c r="L87" s="274"/>
      <c r="M87" s="274"/>
      <c r="N87" s="274"/>
      <c r="O87" s="274"/>
      <c r="P87" s="274"/>
      <c r="Q87" s="274"/>
      <c r="R87" s="337">
        <f t="shared" si="13"/>
        <v>0</v>
      </c>
      <c r="S87" s="137" t="str">
        <f t="shared" si="14"/>
        <v>#DIV/0!</v>
      </c>
      <c r="T87" s="138"/>
      <c r="U87" s="138"/>
      <c r="V87" s="138"/>
      <c r="W87" s="132"/>
      <c r="X87" s="132"/>
      <c r="Y87" s="138"/>
      <c r="Z87" s="138"/>
      <c r="AA87" s="138"/>
      <c r="AB87" s="32"/>
      <c r="AC87" s="140"/>
      <c r="AD87" s="140"/>
      <c r="AE87" s="141"/>
      <c r="AF87" s="32"/>
      <c r="AG87" s="32"/>
      <c r="AH87" s="32"/>
      <c r="AI87" s="32"/>
      <c r="AJ87" s="279"/>
      <c r="AK87" s="279"/>
      <c r="AL87" s="135">
        <f t="shared" si="15"/>
        <v>0</v>
      </c>
      <c r="AM87" s="280" t="str">
        <f t="shared" si="16"/>
        <v>#DIV/0!</v>
      </c>
      <c r="AN87" s="32"/>
      <c r="AO87" s="32"/>
      <c r="AP87" s="32"/>
      <c r="AQ87" s="138"/>
      <c r="AR87" s="138"/>
      <c r="AS87" s="132"/>
      <c r="AT87" s="133"/>
      <c r="AU87" s="133"/>
      <c r="AV87" s="133"/>
      <c r="AW87" s="133"/>
      <c r="AX87" s="133"/>
      <c r="AY87" s="185">
        <v>1.0</v>
      </c>
      <c r="AZ87" s="185">
        <v>1.0</v>
      </c>
      <c r="BA87" s="185">
        <v>1.0</v>
      </c>
      <c r="BB87" s="185">
        <v>1.0</v>
      </c>
      <c r="BC87" s="185">
        <v>1.0</v>
      </c>
      <c r="BD87" s="133"/>
      <c r="BE87" s="133"/>
      <c r="BF87" s="133"/>
      <c r="BG87" s="133"/>
      <c r="BH87" s="133"/>
      <c r="BI87" s="135">
        <f t="shared" si="17"/>
        <v>5</v>
      </c>
      <c r="BJ87" s="281">
        <f t="shared" si="18"/>
        <v>100</v>
      </c>
      <c r="BK87" s="138"/>
      <c r="BL87" s="132"/>
      <c r="BM87" s="138"/>
      <c r="BN87" s="138"/>
      <c r="BO87" s="138"/>
      <c r="BP87" s="138"/>
      <c r="BQ87" s="138"/>
      <c r="BR87" s="140"/>
      <c r="BS87" s="152"/>
      <c r="BT87" s="152"/>
      <c r="BU87" s="152"/>
      <c r="BV87" s="152"/>
      <c r="BW87" s="217"/>
      <c r="BX87" s="218"/>
      <c r="BY87" s="218"/>
      <c r="BZ87" s="218"/>
      <c r="CA87" s="218"/>
      <c r="CB87" s="218"/>
      <c r="CC87" s="218"/>
      <c r="CD87" s="218"/>
      <c r="CE87" s="218"/>
      <c r="CF87" s="156">
        <f t="shared" si="19"/>
        <v>0</v>
      </c>
      <c r="CG87" s="282" t="str">
        <f t="shared" si="20"/>
        <v>#DIV/0!</v>
      </c>
      <c r="CH87" s="32"/>
      <c r="CI87" s="153"/>
      <c r="CJ87" s="32"/>
      <c r="CK87" s="32"/>
      <c r="CL87" s="32"/>
      <c r="CM87" s="32"/>
      <c r="CN87" s="32"/>
      <c r="CO87" s="32"/>
      <c r="CP87" s="32"/>
      <c r="CQ87" s="32"/>
      <c r="CR87" s="32"/>
      <c r="CS87" s="163">
        <f t="shared" si="21"/>
        <v>0</v>
      </c>
      <c r="CT87" s="194" t="str">
        <f t="shared" si="22"/>
        <v>#DIV/0!</v>
      </c>
      <c r="CU87" s="196"/>
      <c r="CV87" s="167">
        <f t="shared" si="23"/>
        <v>100</v>
      </c>
      <c r="CW87" s="169">
        <f t="shared" si="8"/>
        <v>5</v>
      </c>
      <c r="CX87" s="197"/>
    </row>
    <row r="88" ht="15.75" customHeight="1">
      <c r="A88" s="122">
        <v>79.0</v>
      </c>
      <c r="B88" s="285" t="s">
        <v>203</v>
      </c>
      <c r="C88" s="286" t="s">
        <v>204</v>
      </c>
      <c r="D88" s="284">
        <f t="shared" si="9"/>
        <v>0</v>
      </c>
      <c r="E88" s="127">
        <f t="shared" si="10"/>
        <v>0</v>
      </c>
      <c r="F88" s="200">
        <f t="shared" si="11"/>
        <v>0</v>
      </c>
      <c r="G88" s="200">
        <f t="shared" si="12"/>
        <v>0</v>
      </c>
      <c r="H88" s="287"/>
      <c r="I88" s="287"/>
      <c r="J88" s="288"/>
      <c r="K88" s="288"/>
      <c r="L88" s="288"/>
      <c r="M88" s="288"/>
      <c r="N88" s="288"/>
      <c r="O88" s="288"/>
      <c r="P88" s="288"/>
      <c r="Q88" s="288"/>
      <c r="R88" s="337">
        <f t="shared" si="13"/>
        <v>0</v>
      </c>
      <c r="S88" s="137" t="str">
        <f t="shared" si="14"/>
        <v>#DIV/0!</v>
      </c>
      <c r="T88" s="32"/>
      <c r="U88" s="32"/>
      <c r="V88" s="32"/>
      <c r="W88" s="132"/>
      <c r="X88" s="132"/>
      <c r="Y88" s="138"/>
      <c r="Z88" s="138"/>
      <c r="AA88" s="138"/>
      <c r="AB88" s="32"/>
      <c r="AC88" s="289"/>
      <c r="AD88" s="289"/>
      <c r="AE88" s="141"/>
      <c r="AF88" s="32"/>
      <c r="AG88" s="32"/>
      <c r="AH88" s="32"/>
      <c r="AI88" s="32"/>
      <c r="AJ88" s="279"/>
      <c r="AK88" s="279"/>
      <c r="AL88" s="135">
        <f t="shared" si="15"/>
        <v>0</v>
      </c>
      <c r="AM88" s="280" t="str">
        <f t="shared" si="16"/>
        <v>#DIV/0!</v>
      </c>
      <c r="AN88" s="32"/>
      <c r="AO88" s="32"/>
      <c r="AP88" s="32"/>
      <c r="AQ88" s="138"/>
      <c r="AR88" s="138"/>
      <c r="AS88" s="132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5">
        <f t="shared" si="17"/>
        <v>0</v>
      </c>
      <c r="BJ88" s="281">
        <f t="shared" si="18"/>
        <v>0</v>
      </c>
      <c r="BK88" s="138"/>
      <c r="BL88" s="132"/>
      <c r="BM88" s="138"/>
      <c r="BN88" s="138"/>
      <c r="BO88" s="138"/>
      <c r="BP88" s="138"/>
      <c r="BQ88" s="138"/>
      <c r="BR88" s="140"/>
      <c r="BS88" s="152"/>
      <c r="BT88" s="152"/>
      <c r="BU88" s="152"/>
      <c r="BV88" s="152"/>
      <c r="BW88" s="32"/>
      <c r="BX88" s="279"/>
      <c r="BY88" s="279"/>
      <c r="BZ88" s="279"/>
      <c r="CA88" s="279"/>
      <c r="CB88" s="279"/>
      <c r="CC88" s="279"/>
      <c r="CD88" s="279"/>
      <c r="CE88" s="279"/>
      <c r="CF88" s="156">
        <f t="shared" si="19"/>
        <v>0</v>
      </c>
      <c r="CG88" s="282" t="str">
        <f t="shared" si="20"/>
        <v>#DIV/0!</v>
      </c>
      <c r="CH88" s="32"/>
      <c r="CI88" s="153"/>
      <c r="CJ88" s="32"/>
      <c r="CK88" s="32"/>
      <c r="CL88" s="32"/>
      <c r="CM88" s="32"/>
      <c r="CN88" s="32"/>
      <c r="CO88" s="32"/>
      <c r="CP88" s="32"/>
      <c r="CQ88" s="32"/>
      <c r="CR88" s="32"/>
      <c r="CS88" s="163">
        <f t="shared" si="21"/>
        <v>0</v>
      </c>
      <c r="CT88" s="194" t="str">
        <f t="shared" si="22"/>
        <v>#DIV/0!</v>
      </c>
      <c r="CU88" s="196"/>
      <c r="CV88" s="167">
        <f t="shared" si="23"/>
        <v>0</v>
      </c>
      <c r="CW88" s="169">
        <f t="shared" si="8"/>
        <v>0</v>
      </c>
      <c r="CX88" s="197"/>
    </row>
    <row r="89" ht="15.75" customHeight="1">
      <c r="A89" s="172">
        <v>80.0</v>
      </c>
      <c r="B89" s="292" t="s">
        <v>205</v>
      </c>
      <c r="C89" s="293" t="s">
        <v>206</v>
      </c>
      <c r="D89" s="284">
        <f t="shared" si="9"/>
        <v>0</v>
      </c>
      <c r="E89" s="127">
        <f t="shared" si="10"/>
        <v>0</v>
      </c>
      <c r="F89" s="200">
        <f t="shared" si="11"/>
        <v>0</v>
      </c>
      <c r="G89" s="200">
        <f t="shared" si="12"/>
        <v>0</v>
      </c>
      <c r="H89" s="287"/>
      <c r="I89" s="287"/>
      <c r="J89" s="288"/>
      <c r="K89" s="288"/>
      <c r="L89" s="288"/>
      <c r="M89" s="288"/>
      <c r="N89" s="288"/>
      <c r="O89" s="288"/>
      <c r="P89" s="288"/>
      <c r="Q89" s="288"/>
      <c r="R89" s="337">
        <f t="shared" si="13"/>
        <v>0</v>
      </c>
      <c r="S89" s="137" t="str">
        <f t="shared" si="14"/>
        <v>#DIV/0!</v>
      </c>
      <c r="T89" s="32"/>
      <c r="U89" s="32"/>
      <c r="V89" s="32"/>
      <c r="W89" s="132"/>
      <c r="X89" s="132"/>
      <c r="Y89" s="138"/>
      <c r="Z89" s="138"/>
      <c r="AA89" s="138"/>
      <c r="AB89" s="32"/>
      <c r="AC89" s="289"/>
      <c r="AD89" s="289"/>
      <c r="AE89" s="141"/>
      <c r="AF89" s="32"/>
      <c r="AG89" s="32"/>
      <c r="AH89" s="32"/>
      <c r="AI89" s="32"/>
      <c r="AJ89" s="279"/>
      <c r="AK89" s="279"/>
      <c r="AL89" s="135">
        <f t="shared" si="15"/>
        <v>0</v>
      </c>
      <c r="AM89" s="280" t="str">
        <f t="shared" si="16"/>
        <v>#DIV/0!</v>
      </c>
      <c r="AN89" s="32"/>
      <c r="AO89" s="32"/>
      <c r="AP89" s="32"/>
      <c r="AQ89" s="138"/>
      <c r="AR89" s="138"/>
      <c r="AS89" s="132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5">
        <f t="shared" si="17"/>
        <v>0</v>
      </c>
      <c r="BJ89" s="281">
        <f t="shared" si="18"/>
        <v>0</v>
      </c>
      <c r="BK89" s="138"/>
      <c r="BL89" s="132"/>
      <c r="BM89" s="138"/>
      <c r="BN89" s="138"/>
      <c r="BO89" s="138"/>
      <c r="BP89" s="138"/>
      <c r="BQ89" s="138"/>
      <c r="BR89" s="140"/>
      <c r="BS89" s="152"/>
      <c r="BT89" s="152"/>
      <c r="BU89" s="152"/>
      <c r="BV89" s="152"/>
      <c r="BW89" s="32"/>
      <c r="BX89" s="279"/>
      <c r="BY89" s="279"/>
      <c r="BZ89" s="279"/>
      <c r="CA89" s="279"/>
      <c r="CB89" s="279"/>
      <c r="CC89" s="279"/>
      <c r="CD89" s="279"/>
      <c r="CE89" s="279"/>
      <c r="CF89" s="156">
        <f t="shared" si="19"/>
        <v>0</v>
      </c>
      <c r="CG89" s="282" t="str">
        <f t="shared" si="20"/>
        <v>#DIV/0!</v>
      </c>
      <c r="CH89" s="32"/>
      <c r="CI89" s="153"/>
      <c r="CJ89" s="32"/>
      <c r="CK89" s="32"/>
      <c r="CL89" s="32"/>
      <c r="CM89" s="32"/>
      <c r="CN89" s="32"/>
      <c r="CO89" s="32"/>
      <c r="CP89" s="32"/>
      <c r="CQ89" s="32"/>
      <c r="CR89" s="32"/>
      <c r="CS89" s="163">
        <f t="shared" si="21"/>
        <v>0</v>
      </c>
      <c r="CT89" s="194" t="str">
        <f t="shared" si="22"/>
        <v>#DIV/0!</v>
      </c>
      <c r="CU89" s="196"/>
      <c r="CV89" s="167">
        <f t="shared" si="23"/>
        <v>0</v>
      </c>
      <c r="CW89" s="169">
        <f t="shared" si="8"/>
        <v>0</v>
      </c>
      <c r="CX89" s="197"/>
    </row>
    <row r="90" ht="15.75" customHeight="1">
      <c r="A90" s="122">
        <v>81.0</v>
      </c>
      <c r="B90" s="285" t="s">
        <v>207</v>
      </c>
      <c r="C90" s="293" t="s">
        <v>208</v>
      </c>
      <c r="D90" s="284">
        <f t="shared" si="9"/>
        <v>5</v>
      </c>
      <c r="E90" s="127">
        <f t="shared" si="10"/>
        <v>100</v>
      </c>
      <c r="F90" s="200" t="str">
        <f t="shared" si="11"/>
        <v>  </v>
      </c>
      <c r="G90" s="175" t="str">
        <f t="shared" si="12"/>
        <v>  </v>
      </c>
      <c r="H90" s="287"/>
      <c r="I90" s="287"/>
      <c r="J90" s="288"/>
      <c r="K90" s="288"/>
      <c r="L90" s="288"/>
      <c r="M90" s="288"/>
      <c r="N90" s="288"/>
      <c r="O90" s="288"/>
      <c r="P90" s="288"/>
      <c r="Q90" s="288"/>
      <c r="R90" s="337">
        <f t="shared" si="13"/>
        <v>0</v>
      </c>
      <c r="S90" s="137" t="str">
        <f t="shared" si="14"/>
        <v>#DIV/0!</v>
      </c>
      <c r="T90" s="32"/>
      <c r="U90" s="32"/>
      <c r="V90" s="32"/>
      <c r="W90" s="132"/>
      <c r="X90" s="132"/>
      <c r="Y90" s="138"/>
      <c r="Z90" s="138"/>
      <c r="AA90" s="138"/>
      <c r="AB90" s="32"/>
      <c r="AC90" s="289"/>
      <c r="AD90" s="289"/>
      <c r="AE90" s="141"/>
      <c r="AF90" s="32"/>
      <c r="AG90" s="32"/>
      <c r="AH90" s="32"/>
      <c r="AI90" s="32"/>
      <c r="AJ90" s="279"/>
      <c r="AK90" s="279"/>
      <c r="AL90" s="135">
        <f t="shared" si="15"/>
        <v>0</v>
      </c>
      <c r="AM90" s="280" t="str">
        <f t="shared" si="16"/>
        <v>#DIV/0!</v>
      </c>
      <c r="AN90" s="32"/>
      <c r="AO90" s="32"/>
      <c r="AP90" s="32"/>
      <c r="AQ90" s="138"/>
      <c r="AR90" s="138"/>
      <c r="AS90" s="132"/>
      <c r="AT90" s="133"/>
      <c r="AU90" s="133"/>
      <c r="AV90" s="133"/>
      <c r="AW90" s="133"/>
      <c r="AX90" s="133"/>
      <c r="AY90" s="185">
        <v>1.0</v>
      </c>
      <c r="AZ90" s="185">
        <v>1.0</v>
      </c>
      <c r="BA90" s="185">
        <v>1.0</v>
      </c>
      <c r="BB90" s="185">
        <v>1.0</v>
      </c>
      <c r="BC90" s="185">
        <v>1.0</v>
      </c>
      <c r="BD90" s="133"/>
      <c r="BE90" s="133"/>
      <c r="BF90" s="133"/>
      <c r="BG90" s="133"/>
      <c r="BH90" s="133"/>
      <c r="BI90" s="135">
        <f t="shared" si="17"/>
        <v>5</v>
      </c>
      <c r="BJ90" s="281">
        <f t="shared" si="18"/>
        <v>100</v>
      </c>
      <c r="BK90" s="138"/>
      <c r="BL90" s="132"/>
      <c r="BM90" s="138"/>
      <c r="BN90" s="138"/>
      <c r="BO90" s="138"/>
      <c r="BP90" s="138"/>
      <c r="BQ90" s="138"/>
      <c r="BR90" s="140"/>
      <c r="BS90" s="152"/>
      <c r="BT90" s="152"/>
      <c r="BU90" s="152"/>
      <c r="BV90" s="152"/>
      <c r="BW90" s="32"/>
      <c r="BX90" s="279"/>
      <c r="BY90" s="279"/>
      <c r="BZ90" s="279"/>
      <c r="CA90" s="279"/>
      <c r="CB90" s="279"/>
      <c r="CC90" s="279"/>
      <c r="CD90" s="279"/>
      <c r="CE90" s="279"/>
      <c r="CF90" s="156">
        <f t="shared" si="19"/>
        <v>0</v>
      </c>
      <c r="CG90" s="282" t="str">
        <f t="shared" si="20"/>
        <v>#DIV/0!</v>
      </c>
      <c r="CH90" s="32"/>
      <c r="CI90" s="153"/>
      <c r="CJ90" s="32"/>
      <c r="CK90" s="32"/>
      <c r="CL90" s="32"/>
      <c r="CM90" s="32"/>
      <c r="CN90" s="32"/>
      <c r="CO90" s="32"/>
      <c r="CP90" s="32"/>
      <c r="CQ90" s="32"/>
      <c r="CR90" s="32"/>
      <c r="CS90" s="163">
        <f t="shared" si="21"/>
        <v>0</v>
      </c>
      <c r="CT90" s="194" t="str">
        <f t="shared" si="22"/>
        <v>#DIV/0!</v>
      </c>
      <c r="CU90" s="196"/>
      <c r="CV90" s="167">
        <f t="shared" si="23"/>
        <v>100</v>
      </c>
      <c r="CW90" s="169">
        <f t="shared" si="8"/>
        <v>5</v>
      </c>
      <c r="CX90" s="197"/>
    </row>
    <row r="91" ht="15.75" customHeight="1">
      <c r="A91" s="172">
        <v>82.0</v>
      </c>
      <c r="B91" s="285" t="s">
        <v>209</v>
      </c>
      <c r="C91" s="293" t="s">
        <v>210</v>
      </c>
      <c r="D91" s="284">
        <f t="shared" si="9"/>
        <v>5</v>
      </c>
      <c r="E91" s="127">
        <f t="shared" si="10"/>
        <v>100</v>
      </c>
      <c r="F91" s="200" t="str">
        <f t="shared" si="11"/>
        <v>  </v>
      </c>
      <c r="G91" s="200" t="str">
        <f t="shared" si="12"/>
        <v>  </v>
      </c>
      <c r="H91" s="287"/>
      <c r="I91" s="287"/>
      <c r="J91" s="288"/>
      <c r="K91" s="288"/>
      <c r="L91" s="304"/>
      <c r="M91" s="288"/>
      <c r="N91" s="288"/>
      <c r="O91" s="288"/>
      <c r="P91" s="288"/>
      <c r="Q91" s="288"/>
      <c r="R91" s="337">
        <f t="shared" si="13"/>
        <v>0</v>
      </c>
      <c r="S91" s="137" t="str">
        <f t="shared" si="14"/>
        <v>#DIV/0!</v>
      </c>
      <c r="T91" s="32"/>
      <c r="U91" s="32"/>
      <c r="V91" s="32"/>
      <c r="W91" s="132"/>
      <c r="X91" s="132"/>
      <c r="Y91" s="138"/>
      <c r="Z91" s="138"/>
      <c r="AA91" s="138"/>
      <c r="AB91" s="32"/>
      <c r="AC91" s="289"/>
      <c r="AD91" s="289"/>
      <c r="AE91" s="141"/>
      <c r="AF91" s="32"/>
      <c r="AG91" s="32"/>
      <c r="AH91" s="32"/>
      <c r="AI91" s="32"/>
      <c r="AJ91" s="279"/>
      <c r="AK91" s="279"/>
      <c r="AL91" s="135">
        <f t="shared" si="15"/>
        <v>0</v>
      </c>
      <c r="AM91" s="280" t="str">
        <f t="shared" si="16"/>
        <v>#DIV/0!</v>
      </c>
      <c r="AN91" s="32"/>
      <c r="AO91" s="32"/>
      <c r="AP91" s="32"/>
      <c r="AQ91" s="138"/>
      <c r="AR91" s="138"/>
      <c r="AS91" s="132"/>
      <c r="AT91" s="133"/>
      <c r="AU91" s="133"/>
      <c r="AV91" s="133"/>
      <c r="AW91" s="133"/>
      <c r="AX91" s="133"/>
      <c r="AY91" s="185">
        <v>1.0</v>
      </c>
      <c r="AZ91" s="185">
        <v>1.0</v>
      </c>
      <c r="BA91" s="185">
        <v>1.0</v>
      </c>
      <c r="BB91" s="185">
        <v>1.0</v>
      </c>
      <c r="BC91" s="185">
        <v>1.0</v>
      </c>
      <c r="BD91" s="133"/>
      <c r="BE91" s="133"/>
      <c r="BF91" s="133"/>
      <c r="BG91" s="133"/>
      <c r="BH91" s="133"/>
      <c r="BI91" s="135">
        <f t="shared" si="17"/>
        <v>5</v>
      </c>
      <c r="BJ91" s="281">
        <f t="shared" si="18"/>
        <v>100</v>
      </c>
      <c r="BK91" s="138"/>
      <c r="BL91" s="132"/>
      <c r="BM91" s="138"/>
      <c r="BN91" s="138"/>
      <c r="BO91" s="138"/>
      <c r="BP91" s="138"/>
      <c r="BQ91" s="138"/>
      <c r="BR91" s="140"/>
      <c r="BS91" s="152"/>
      <c r="BT91" s="152"/>
      <c r="BU91" s="152"/>
      <c r="BV91" s="152"/>
      <c r="BW91" s="32"/>
      <c r="BX91" s="279"/>
      <c r="BY91" s="279"/>
      <c r="BZ91" s="279"/>
      <c r="CA91" s="279"/>
      <c r="CB91" s="279"/>
      <c r="CC91" s="279"/>
      <c r="CD91" s="279"/>
      <c r="CE91" s="279"/>
      <c r="CF91" s="156">
        <f t="shared" si="19"/>
        <v>0</v>
      </c>
      <c r="CG91" s="282" t="str">
        <f t="shared" si="20"/>
        <v>#DIV/0!</v>
      </c>
      <c r="CH91" s="32"/>
      <c r="CI91" s="153"/>
      <c r="CJ91" s="32"/>
      <c r="CK91" s="32"/>
      <c r="CL91" s="32"/>
      <c r="CM91" s="32"/>
      <c r="CN91" s="32"/>
      <c r="CO91" s="32"/>
      <c r="CP91" s="32"/>
      <c r="CQ91" s="32"/>
      <c r="CR91" s="32"/>
      <c r="CS91" s="163">
        <f t="shared" si="21"/>
        <v>0</v>
      </c>
      <c r="CT91" s="194" t="str">
        <f t="shared" si="22"/>
        <v>#DIV/0!</v>
      </c>
      <c r="CU91" s="196"/>
      <c r="CV91" s="167">
        <f t="shared" si="23"/>
        <v>100</v>
      </c>
      <c r="CW91" s="169">
        <f t="shared" si="8"/>
        <v>5</v>
      </c>
      <c r="CX91" s="197"/>
    </row>
    <row r="92" ht="15.75" customHeight="1">
      <c r="A92" s="122">
        <v>83.0</v>
      </c>
      <c r="B92" s="295" t="s">
        <v>211</v>
      </c>
      <c r="C92" s="297" t="s">
        <v>212</v>
      </c>
      <c r="D92" s="284">
        <f t="shared" si="9"/>
        <v>5</v>
      </c>
      <c r="E92" s="127">
        <f t="shared" si="10"/>
        <v>100</v>
      </c>
      <c r="F92" s="200" t="str">
        <f t="shared" si="11"/>
        <v>  </v>
      </c>
      <c r="G92" s="200" t="str">
        <f t="shared" si="12"/>
        <v>  </v>
      </c>
      <c r="H92" s="287"/>
      <c r="I92" s="287"/>
      <c r="J92" s="288"/>
      <c r="K92" s="288"/>
      <c r="L92" s="288"/>
      <c r="M92" s="288"/>
      <c r="N92" s="288"/>
      <c r="O92" s="288"/>
      <c r="P92" s="288"/>
      <c r="Q92" s="288"/>
      <c r="R92" s="337">
        <f t="shared" si="13"/>
        <v>0</v>
      </c>
      <c r="S92" s="137" t="str">
        <f t="shared" si="14"/>
        <v>#DIV/0!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279"/>
      <c r="AK92" s="279"/>
      <c r="AL92" s="135">
        <f t="shared" si="15"/>
        <v>0</v>
      </c>
      <c r="AM92" s="280" t="str">
        <f t="shared" si="16"/>
        <v>#DIV/0!</v>
      </c>
      <c r="AN92" s="32"/>
      <c r="AO92" s="32"/>
      <c r="AP92" s="32"/>
      <c r="AQ92" s="32"/>
      <c r="AR92" s="138"/>
      <c r="AS92" s="132"/>
      <c r="AT92" s="133"/>
      <c r="AU92" s="133"/>
      <c r="AV92" s="133"/>
      <c r="AW92" s="133"/>
      <c r="AX92" s="133"/>
      <c r="AY92" s="185">
        <v>1.0</v>
      </c>
      <c r="AZ92" s="185">
        <v>1.0</v>
      </c>
      <c r="BA92" s="185">
        <v>1.0</v>
      </c>
      <c r="BB92" s="185">
        <v>1.0</v>
      </c>
      <c r="BC92" s="185">
        <v>1.0</v>
      </c>
      <c r="BD92" s="133"/>
      <c r="BE92" s="133"/>
      <c r="BF92" s="133"/>
      <c r="BG92" s="133"/>
      <c r="BH92" s="133"/>
      <c r="BI92" s="135">
        <f t="shared" si="17"/>
        <v>5</v>
      </c>
      <c r="BJ92" s="281">
        <f t="shared" si="18"/>
        <v>100</v>
      </c>
      <c r="BK92" s="138"/>
      <c r="BL92" s="132"/>
      <c r="BM92" s="138"/>
      <c r="BN92" s="138"/>
      <c r="BO92" s="138"/>
      <c r="BP92" s="138"/>
      <c r="BQ92" s="138"/>
      <c r="BR92" s="140"/>
      <c r="BS92" s="152"/>
      <c r="BT92" s="152"/>
      <c r="BU92" s="152"/>
      <c r="BV92" s="152"/>
      <c r="BW92" s="32"/>
      <c r="BX92" s="279"/>
      <c r="BY92" s="279"/>
      <c r="BZ92" s="279"/>
      <c r="CA92" s="279"/>
      <c r="CB92" s="279"/>
      <c r="CC92" s="279"/>
      <c r="CD92" s="279"/>
      <c r="CE92" s="279"/>
      <c r="CF92" s="156">
        <f t="shared" si="19"/>
        <v>0</v>
      </c>
      <c r="CG92" s="282" t="str">
        <f t="shared" si="20"/>
        <v>#DIV/0!</v>
      </c>
      <c r="CH92" s="32"/>
      <c r="CI92" s="153"/>
      <c r="CJ92" s="32"/>
      <c r="CK92" s="32"/>
      <c r="CL92" s="32"/>
      <c r="CM92" s="32"/>
      <c r="CN92" s="32"/>
      <c r="CO92" s="32"/>
      <c r="CP92" s="32"/>
      <c r="CQ92" s="32"/>
      <c r="CR92" s="32"/>
      <c r="CS92" s="163">
        <f t="shared" si="21"/>
        <v>0</v>
      </c>
      <c r="CT92" s="194" t="str">
        <f t="shared" si="22"/>
        <v>#DIV/0!</v>
      </c>
      <c r="CU92" s="196"/>
      <c r="CV92" s="167">
        <f t="shared" si="23"/>
        <v>100</v>
      </c>
      <c r="CW92" s="169">
        <f t="shared" si="8"/>
        <v>5</v>
      </c>
      <c r="CX92" s="197"/>
    </row>
    <row r="93" ht="15.75" customHeight="1">
      <c r="A93" s="172">
        <v>84.0</v>
      </c>
      <c r="B93" s="298" t="s">
        <v>213</v>
      </c>
      <c r="C93" s="298"/>
      <c r="D93" s="284">
        <f t="shared" si="9"/>
        <v>0</v>
      </c>
      <c r="E93" s="127">
        <f t="shared" si="10"/>
        <v>0</v>
      </c>
      <c r="F93" s="200">
        <f t="shared" si="11"/>
        <v>0</v>
      </c>
      <c r="G93" s="200">
        <f t="shared" si="12"/>
        <v>0</v>
      </c>
      <c r="H93" s="287"/>
      <c r="I93" s="287"/>
      <c r="J93" s="287"/>
      <c r="K93" s="287"/>
      <c r="L93" s="287"/>
      <c r="M93" s="287"/>
      <c r="N93" s="287"/>
      <c r="O93" s="287"/>
      <c r="P93" s="287"/>
      <c r="Q93" s="288"/>
      <c r="R93" s="337">
        <f t="shared" si="13"/>
        <v>0</v>
      </c>
      <c r="S93" s="137" t="str">
        <f t="shared" si="14"/>
        <v>#DIV/0!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279"/>
      <c r="AK93" s="279"/>
      <c r="AL93" s="135">
        <f t="shared" si="15"/>
        <v>0</v>
      </c>
      <c r="AM93" s="280" t="str">
        <f t="shared" si="16"/>
        <v>#DIV/0!</v>
      </c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135">
        <f t="shared" si="17"/>
        <v>0</v>
      </c>
      <c r="BJ93" s="281">
        <f t="shared" si="18"/>
        <v>0</v>
      </c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279"/>
      <c r="BY93" s="279"/>
      <c r="BZ93" s="279"/>
      <c r="CA93" s="279"/>
      <c r="CB93" s="279"/>
      <c r="CC93" s="279"/>
      <c r="CD93" s="279"/>
      <c r="CE93" s="279"/>
      <c r="CF93" s="156">
        <f t="shared" si="19"/>
        <v>0</v>
      </c>
      <c r="CG93" s="282" t="str">
        <f t="shared" si="20"/>
        <v>#DIV/0!</v>
      </c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163">
        <f t="shared" si="21"/>
        <v>0</v>
      </c>
      <c r="CT93" s="194" t="str">
        <f t="shared" si="22"/>
        <v>#DIV/0!</v>
      </c>
      <c r="CU93" s="196"/>
      <c r="CV93" s="167">
        <f t="shared" si="23"/>
        <v>0</v>
      </c>
      <c r="CW93" s="169">
        <f t="shared" si="8"/>
        <v>0</v>
      </c>
      <c r="CX93" s="197"/>
    </row>
    <row r="94" ht="15.75" customHeight="1">
      <c r="B94" s="299"/>
      <c r="C94" s="29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2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4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299"/>
      <c r="C95" s="29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299"/>
      <c r="C96" s="29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299"/>
      <c r="C97" s="29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299"/>
      <c r="C98" s="29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299"/>
      <c r="C99" s="2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299"/>
      <c r="C100" s="29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299"/>
      <c r="C101" s="29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299"/>
      <c r="C102" s="29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299"/>
      <c r="C103" s="29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299"/>
      <c r="C104" s="29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299"/>
      <c r="C105" s="29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299"/>
      <c r="C106" s="29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299"/>
      <c r="C107" s="29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299"/>
      <c r="C108" s="29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299"/>
      <c r="C109" s="29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299"/>
      <c r="C110" s="29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299"/>
      <c r="C111" s="29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299"/>
      <c r="C112" s="29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299"/>
      <c r="C113" s="29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299"/>
      <c r="C114" s="29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299"/>
      <c r="C115" s="29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299"/>
      <c r="C116" s="29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299"/>
      <c r="C117" s="29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299"/>
      <c r="C118" s="29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299"/>
      <c r="C119" s="29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299"/>
      <c r="C120" s="29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299"/>
      <c r="C121" s="29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299"/>
      <c r="C122" s="29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299"/>
      <c r="C123" s="29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299"/>
      <c r="C124" s="29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299"/>
      <c r="C125" s="29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299"/>
      <c r="C126" s="29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299"/>
      <c r="C127" s="29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299"/>
      <c r="C128" s="29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299"/>
      <c r="C129" s="29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299"/>
      <c r="C130" s="29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299"/>
      <c r="C131" s="29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299"/>
      <c r="C132" s="29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299"/>
      <c r="C133" s="29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299"/>
      <c r="C134" s="29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299"/>
      <c r="C135" s="29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299"/>
      <c r="C136" s="29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299"/>
      <c r="C137" s="29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299"/>
      <c r="C138" s="29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299"/>
      <c r="C139" s="29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299"/>
      <c r="C140" s="29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299"/>
      <c r="C141" s="29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299"/>
      <c r="C142" s="29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299"/>
      <c r="C143" s="29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299"/>
      <c r="C144" s="29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299"/>
      <c r="C145" s="29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299"/>
      <c r="C146" s="29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299"/>
      <c r="C147" s="29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299"/>
      <c r="C148" s="29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299"/>
      <c r="C149" s="29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299"/>
      <c r="C150" s="29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299"/>
      <c r="C151" s="29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299"/>
      <c r="C152" s="29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299"/>
      <c r="C153" s="29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299"/>
      <c r="C154" s="29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299"/>
      <c r="C155" s="29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299"/>
      <c r="C156" s="29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299"/>
      <c r="C157" s="29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299"/>
      <c r="C158" s="29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299"/>
      <c r="C159" s="29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299"/>
      <c r="C160" s="29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299"/>
      <c r="C161" s="29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299"/>
      <c r="C162" s="29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299"/>
      <c r="C163" s="29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299"/>
      <c r="C164" s="29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299"/>
      <c r="C165" s="29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299"/>
      <c r="C166" s="29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299"/>
      <c r="C167" s="29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299"/>
      <c r="C168" s="29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299"/>
      <c r="C169" s="2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299"/>
      <c r="C170" s="29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299"/>
      <c r="C171" s="29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299"/>
      <c r="C172" s="29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299"/>
      <c r="C173" s="29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299"/>
      <c r="C174" s="29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299"/>
      <c r="C175" s="29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299"/>
      <c r="C176" s="29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299"/>
      <c r="C177" s="29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299"/>
      <c r="C178" s="29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299"/>
      <c r="C179" s="29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299"/>
      <c r="C180" s="29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299"/>
      <c r="C181" s="29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299"/>
      <c r="C182" s="29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299"/>
      <c r="C183" s="29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299"/>
      <c r="C184" s="29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299"/>
      <c r="C185" s="29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299"/>
      <c r="C186" s="29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299"/>
      <c r="C187" s="29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299"/>
      <c r="C188" s="29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299"/>
      <c r="C189" s="29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299"/>
      <c r="C190" s="29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299"/>
      <c r="C191" s="29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299"/>
      <c r="C192" s="29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299"/>
      <c r="C193" s="29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299"/>
      <c r="C194" s="29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299"/>
      <c r="C195" s="29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299"/>
      <c r="C196" s="29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299"/>
      <c r="C197" s="29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299"/>
      <c r="C198" s="29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299"/>
      <c r="C199" s="29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299"/>
      <c r="C200" s="29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299"/>
      <c r="C201" s="29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299"/>
      <c r="C202" s="29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299"/>
      <c r="C203" s="29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299"/>
      <c r="C204" s="29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299"/>
      <c r="C205" s="29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299"/>
      <c r="C206" s="29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299"/>
      <c r="C207" s="29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299"/>
      <c r="C208" s="29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299"/>
      <c r="C209" s="29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299"/>
      <c r="C210" s="29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299"/>
      <c r="C211" s="29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299"/>
      <c r="C212" s="29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299"/>
      <c r="C213" s="29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299"/>
      <c r="C214" s="29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299"/>
      <c r="C215" s="29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299"/>
      <c r="C216" s="29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299"/>
      <c r="C217" s="29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299"/>
      <c r="C218" s="29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299"/>
      <c r="C219" s="29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299"/>
      <c r="C220" s="29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299"/>
      <c r="C221" s="29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299"/>
      <c r="C222" s="29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299"/>
      <c r="C223" s="29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299"/>
      <c r="C224" s="29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299"/>
      <c r="C225" s="29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299"/>
      <c r="C226" s="29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299"/>
      <c r="C227" s="29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299"/>
      <c r="C228" s="29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299"/>
      <c r="C229" s="29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299"/>
      <c r="C230" s="29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299"/>
      <c r="C231" s="29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299"/>
      <c r="C232" s="29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299"/>
      <c r="C233" s="29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299"/>
      <c r="C234" s="29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299"/>
      <c r="C235" s="29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299"/>
      <c r="C236" s="29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299"/>
      <c r="C237" s="29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299"/>
      <c r="C238" s="29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299"/>
      <c r="C239" s="29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299"/>
      <c r="C240" s="29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299"/>
      <c r="C241" s="29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299"/>
      <c r="C242" s="29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299"/>
      <c r="C243" s="29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299"/>
      <c r="C244" s="29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299"/>
      <c r="C245" s="29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299"/>
      <c r="C246" s="29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299"/>
      <c r="C247" s="29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299"/>
      <c r="C248" s="29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299"/>
      <c r="C249" s="29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299"/>
      <c r="C250" s="29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299"/>
      <c r="C251" s="29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299"/>
      <c r="C252" s="29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299"/>
      <c r="C253" s="29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299"/>
      <c r="C254" s="29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299"/>
      <c r="C255" s="29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299"/>
      <c r="C256" s="29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299"/>
      <c r="C257" s="29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299"/>
      <c r="C258" s="29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299"/>
      <c r="C259" s="29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299"/>
      <c r="C260" s="29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299"/>
      <c r="C261" s="29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299"/>
      <c r="C262" s="29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299"/>
      <c r="C263" s="29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299"/>
      <c r="C264" s="29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299"/>
      <c r="C265" s="29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299"/>
      <c r="C266" s="29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299"/>
      <c r="C267" s="29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299"/>
      <c r="C268" s="29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299"/>
      <c r="C269" s="29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299"/>
      <c r="C270" s="29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299"/>
      <c r="C271" s="29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299"/>
      <c r="C272" s="29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299"/>
      <c r="C273" s="29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299"/>
      <c r="C274" s="29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299"/>
      <c r="C275" s="29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4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299"/>
      <c r="C276" s="29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4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299"/>
      <c r="C277" s="29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2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4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299"/>
      <c r="C278" s="29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4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299"/>
      <c r="C279" s="29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4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299"/>
      <c r="C280" s="29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4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299"/>
      <c r="C281" s="29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2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4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299"/>
      <c r="C282" s="29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4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299"/>
      <c r="C283" s="29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4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299"/>
      <c r="C284" s="29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4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299"/>
      <c r="C285" s="29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4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299"/>
      <c r="C286" s="29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4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3.0"/>
    <col customWidth="1" min="4" max="4" width="6.86"/>
    <col customWidth="1" min="5" max="5" width="8.43"/>
    <col customWidth="1" min="6" max="6" width="19.57"/>
    <col customWidth="1" min="7" max="7" width="8.57"/>
    <col customWidth="1" min="8" max="9" width="9.29"/>
    <col customWidth="1" min="10" max="10" width="8.14"/>
    <col customWidth="1" min="11" max="11" width="7.71"/>
    <col customWidth="1" min="12" max="12" width="11.86"/>
    <col customWidth="1" min="13" max="13" width="7.71"/>
    <col customWidth="1" min="14" max="14" width="7.29"/>
    <col customWidth="1" min="15" max="16" width="9.57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10"/>
      <c r="B1" s="338" t="s">
        <v>235</v>
      </c>
      <c r="C1" s="339" t="s">
        <v>236</v>
      </c>
      <c r="D1" s="22"/>
      <c r="E1" s="22"/>
      <c r="F1" s="340"/>
      <c r="G1" s="22"/>
      <c r="H1" s="22"/>
      <c r="I1" s="22"/>
      <c r="J1" s="22"/>
      <c r="K1" s="10"/>
      <c r="L1" s="10"/>
      <c r="M1" s="10"/>
      <c r="N1" s="22"/>
      <c r="O1" s="22"/>
      <c r="P1" s="10"/>
      <c r="Q1" s="10"/>
      <c r="R1" s="10"/>
      <c r="S1" s="10"/>
      <c r="T1" s="341"/>
      <c r="U1" s="10"/>
      <c r="V1" s="10"/>
      <c r="W1" s="10"/>
      <c r="X1" s="10"/>
      <c r="Y1" s="10"/>
      <c r="Z1" s="10"/>
      <c r="AA1" s="10"/>
      <c r="AB1" s="10"/>
      <c r="AC1" s="10"/>
    </row>
    <row r="2">
      <c r="A2" s="10"/>
      <c r="B2" s="342" t="s">
        <v>237</v>
      </c>
      <c r="C2" s="343" t="s">
        <v>238</v>
      </c>
      <c r="D2" s="22"/>
      <c r="E2" s="22"/>
      <c r="F2" s="340"/>
      <c r="G2" s="22"/>
      <c r="H2" s="22"/>
      <c r="I2" s="22"/>
      <c r="J2" s="22"/>
      <c r="K2" s="10"/>
      <c r="L2" s="10"/>
      <c r="M2" s="10"/>
      <c r="N2" s="22"/>
      <c r="O2" s="22"/>
      <c r="P2" s="10"/>
      <c r="Q2" s="10"/>
      <c r="R2" s="10"/>
      <c r="S2" s="10"/>
      <c r="T2" s="341"/>
      <c r="U2" s="10"/>
      <c r="V2" s="10"/>
      <c r="W2" s="10"/>
      <c r="X2" s="10"/>
      <c r="Y2" s="10"/>
      <c r="Z2" s="10"/>
      <c r="AA2" s="10"/>
      <c r="AB2" s="10"/>
      <c r="AC2" s="10"/>
    </row>
    <row r="3">
      <c r="A3" s="10"/>
      <c r="B3" s="342" t="s">
        <v>239</v>
      </c>
      <c r="C3" s="344">
        <v>46069.0</v>
      </c>
      <c r="D3" s="10"/>
      <c r="E3" s="10"/>
      <c r="F3" s="34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341"/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6" t="s">
        <v>240</v>
      </c>
      <c r="C4" s="347"/>
      <c r="D4" s="10"/>
      <c r="E4" s="10"/>
      <c r="F4" s="34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41"/>
      <c r="U4" s="10"/>
      <c r="V4" s="10"/>
      <c r="W4" s="10"/>
      <c r="X4" s="10"/>
      <c r="Y4" s="10"/>
      <c r="Z4" s="10"/>
      <c r="AA4" s="10"/>
      <c r="AB4" s="10"/>
      <c r="AC4" s="10"/>
    </row>
    <row r="5">
      <c r="A5" s="10"/>
      <c r="B5" s="10"/>
      <c r="C5" s="10"/>
      <c r="D5" s="10"/>
      <c r="E5" s="10"/>
      <c r="F5" s="34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41"/>
      <c r="U5" s="10"/>
      <c r="V5" s="10"/>
      <c r="W5" s="10"/>
      <c r="X5" s="10"/>
      <c r="Y5" s="10"/>
      <c r="Z5" s="10"/>
      <c r="AA5" s="10"/>
      <c r="AB5" s="10"/>
      <c r="AC5" s="10"/>
    </row>
    <row r="6">
      <c r="A6" s="10"/>
      <c r="B6" s="10"/>
      <c r="C6" s="10"/>
      <c r="D6" s="22"/>
      <c r="E6" s="22"/>
      <c r="F6" s="340"/>
      <c r="G6" s="22"/>
      <c r="H6" s="22"/>
      <c r="I6" s="22"/>
      <c r="J6" s="22"/>
      <c r="K6" s="22"/>
      <c r="L6" s="22"/>
      <c r="M6" s="22"/>
      <c r="N6" s="22"/>
      <c r="O6" s="22"/>
      <c r="P6" s="10"/>
      <c r="Q6" s="10"/>
      <c r="R6" s="10"/>
      <c r="S6" s="10"/>
      <c r="T6" s="341"/>
      <c r="U6" s="10"/>
      <c r="V6" s="10"/>
      <c r="W6" s="10"/>
      <c r="X6" s="10"/>
      <c r="Y6" s="10"/>
      <c r="Z6" s="10"/>
      <c r="AA6" s="10"/>
      <c r="AB6" s="10"/>
      <c r="AC6" s="10"/>
    </row>
    <row r="7" ht="27.0" customHeight="1">
      <c r="A7" s="348"/>
      <c r="B7" s="348"/>
      <c r="C7" s="349"/>
      <c r="D7" s="350" t="s">
        <v>241</v>
      </c>
      <c r="E7" s="351" t="s">
        <v>242</v>
      </c>
      <c r="F7" s="350" t="s">
        <v>243</v>
      </c>
      <c r="G7" s="352">
        <v>601.0</v>
      </c>
      <c r="H7" s="353" t="s">
        <v>244</v>
      </c>
      <c r="I7" s="354">
        <v>602.0</v>
      </c>
      <c r="J7" s="355" t="s">
        <v>245</v>
      </c>
      <c r="K7" s="356">
        <v>603.0</v>
      </c>
      <c r="L7" s="357">
        <v>604.0</v>
      </c>
      <c r="M7" s="355" t="s">
        <v>246</v>
      </c>
      <c r="N7" s="358" t="s">
        <v>247</v>
      </c>
      <c r="O7" s="355" t="s">
        <v>248</v>
      </c>
      <c r="P7" s="356" t="s">
        <v>249</v>
      </c>
      <c r="Q7" s="359" t="s">
        <v>250</v>
      </c>
      <c r="R7" s="359" t="s">
        <v>251</v>
      </c>
      <c r="S7" s="360" t="s">
        <v>252</v>
      </c>
      <c r="T7" s="361" t="s">
        <v>253</v>
      </c>
      <c r="U7" s="10"/>
      <c r="V7" s="10"/>
      <c r="W7" s="10"/>
      <c r="X7" s="10"/>
      <c r="Y7" s="10"/>
      <c r="Z7" s="10"/>
      <c r="AA7" s="10"/>
      <c r="AB7" s="10"/>
      <c r="AC7" s="10"/>
    </row>
    <row r="8">
      <c r="A8" s="362" t="s">
        <v>254</v>
      </c>
      <c r="B8" s="363" t="s">
        <v>45</v>
      </c>
      <c r="C8" s="364" t="s">
        <v>44</v>
      </c>
      <c r="D8" s="365"/>
      <c r="E8" s="365"/>
      <c r="F8" s="366"/>
      <c r="G8" s="367">
        <f>'601'!D9</f>
        <v>27</v>
      </c>
      <c r="H8" s="367">
        <f>'601 L'!D9</f>
        <v>14</v>
      </c>
      <c r="I8" s="368">
        <f>'602'!D9</f>
        <v>33</v>
      </c>
      <c r="J8" s="48">
        <f>'602 L'!D9</f>
        <v>9</v>
      </c>
      <c r="K8" s="369">
        <f>'603'!D9</f>
        <v>33</v>
      </c>
      <c r="L8" s="368">
        <f>'604'!D9</f>
        <v>24</v>
      </c>
      <c r="M8" s="48">
        <f>'605 L'!D9</f>
        <v>5</v>
      </c>
      <c r="N8" s="48">
        <f>'606 L'!D9</f>
        <v>17</v>
      </c>
      <c r="O8" s="368">
        <f>'607-EOI'!D9</f>
        <v>0</v>
      </c>
      <c r="P8" s="368">
        <f>'608-MP'!D9</f>
        <v>17</v>
      </c>
      <c r="Q8" s="368">
        <f t="shared" ref="Q8:Q92" si="1">SUM(G8+I8+K8+L8)</f>
        <v>117</v>
      </c>
      <c r="R8" s="368">
        <f t="shared" ref="R8:R49" si="2">SUM(H8+J8+N8+O8+M8+P8)</f>
        <v>62</v>
      </c>
      <c r="S8" s="48">
        <f t="shared" ref="S8:S92" si="3">Q8+R8+D8+E8</f>
        <v>179</v>
      </c>
      <c r="T8" s="370" t="s">
        <v>255</v>
      </c>
      <c r="U8" s="10"/>
      <c r="V8" s="10"/>
      <c r="W8" s="10"/>
      <c r="X8" s="10"/>
      <c r="Y8" s="10"/>
      <c r="Z8" s="10"/>
      <c r="AA8" s="10"/>
      <c r="AB8" s="10"/>
      <c r="AC8" s="10"/>
    </row>
    <row r="9">
      <c r="A9" s="371">
        <v>1.0</v>
      </c>
      <c r="B9" s="129" t="s">
        <v>47</v>
      </c>
      <c r="C9" s="131" t="s">
        <v>48</v>
      </c>
      <c r="D9" s="372"/>
      <c r="E9" s="372"/>
      <c r="F9" s="373"/>
      <c r="G9" s="374">
        <f>'601'!D10</f>
        <v>3</v>
      </c>
      <c r="H9" s="374">
        <f>'601 L'!D10</f>
        <v>0</v>
      </c>
      <c r="I9" s="375">
        <f>'602'!D10</f>
        <v>3</v>
      </c>
      <c r="J9" s="376">
        <f>'602 L'!D10</f>
        <v>2</v>
      </c>
      <c r="K9" s="375">
        <f>'603'!D10</f>
        <v>4</v>
      </c>
      <c r="L9" s="375">
        <f>'604'!D10</f>
        <v>4</v>
      </c>
      <c r="M9" s="376">
        <f>'605 L'!D10</f>
        <v>0</v>
      </c>
      <c r="N9" s="376">
        <f>'606 L'!D10</f>
        <v>1</v>
      </c>
      <c r="O9" s="375">
        <f>'607-EOI'!D10</f>
        <v>0</v>
      </c>
      <c r="P9" s="375">
        <f>'608-MP'!D10</f>
        <v>0</v>
      </c>
      <c r="Q9" s="375">
        <f t="shared" si="1"/>
        <v>14</v>
      </c>
      <c r="R9" s="375">
        <f t="shared" si="2"/>
        <v>3</v>
      </c>
      <c r="S9" s="376">
        <f t="shared" si="3"/>
        <v>17</v>
      </c>
      <c r="T9" s="377">
        <f t="shared" ref="T9:T92" si="4">ROUND(S9/S$8*100,0)</f>
        <v>9</v>
      </c>
      <c r="U9" s="378"/>
      <c r="V9" s="378"/>
      <c r="W9" s="379"/>
      <c r="X9" s="379"/>
      <c r="Y9" s="379"/>
      <c r="Z9" s="379"/>
      <c r="AA9" s="379"/>
      <c r="AB9" s="379"/>
      <c r="AC9" s="379"/>
    </row>
    <row r="10" ht="15.75" customHeight="1">
      <c r="A10" s="380">
        <v>2.0</v>
      </c>
      <c r="B10" s="188" t="s">
        <v>49</v>
      </c>
      <c r="C10" s="174" t="s">
        <v>50</v>
      </c>
      <c r="D10" s="381"/>
      <c r="E10" s="372"/>
      <c r="F10" s="373"/>
      <c r="G10" s="374">
        <f>'601'!D11</f>
        <v>19</v>
      </c>
      <c r="H10" s="374">
        <f>'601 L'!D11</f>
        <v>12</v>
      </c>
      <c r="I10" s="375">
        <f>'602'!D11</f>
        <v>27</v>
      </c>
      <c r="J10" s="376">
        <f>'602 L'!D11</f>
        <v>7</v>
      </c>
      <c r="K10" s="375">
        <f>'603'!D11</f>
        <v>17</v>
      </c>
      <c r="L10" s="375">
        <f>'604'!D11</f>
        <v>17</v>
      </c>
      <c r="M10" s="376">
        <f>'605 L'!D11</f>
        <v>4</v>
      </c>
      <c r="N10" s="376">
        <f>'606 L'!D11</f>
        <v>10</v>
      </c>
      <c r="O10" s="375">
        <f>'607-EOI'!D11</f>
        <v>0</v>
      </c>
      <c r="P10" s="375">
        <f>'608-MP'!D11</f>
        <v>13</v>
      </c>
      <c r="Q10" s="375">
        <f t="shared" si="1"/>
        <v>80</v>
      </c>
      <c r="R10" s="375">
        <f t="shared" si="2"/>
        <v>46</v>
      </c>
      <c r="S10" s="376">
        <f t="shared" si="3"/>
        <v>126</v>
      </c>
      <c r="T10" s="377">
        <f t="shared" si="4"/>
        <v>70</v>
      </c>
      <c r="U10" s="378"/>
      <c r="V10" s="378"/>
      <c r="W10" s="379"/>
      <c r="X10" s="379"/>
      <c r="Y10" s="379"/>
      <c r="Z10" s="379"/>
      <c r="AA10" s="379"/>
      <c r="AB10" s="379"/>
      <c r="AC10" s="379"/>
    </row>
    <row r="11">
      <c r="A11" s="371">
        <v>3.0</v>
      </c>
      <c r="B11" s="188" t="s">
        <v>51</v>
      </c>
      <c r="C11" s="216" t="s">
        <v>52</v>
      </c>
      <c r="D11" s="381"/>
      <c r="E11" s="382"/>
      <c r="F11" s="373"/>
      <c r="G11" s="374">
        <f>'601'!D12</f>
        <v>6</v>
      </c>
      <c r="H11" s="374">
        <f>'601 L'!D12</f>
        <v>2</v>
      </c>
      <c r="I11" s="375">
        <f>'602'!D12</f>
        <v>3</v>
      </c>
      <c r="J11" s="376">
        <f>'602 L'!D12</f>
        <v>4</v>
      </c>
      <c r="K11" s="375">
        <f>'603'!D12</f>
        <v>5</v>
      </c>
      <c r="L11" s="375">
        <f>'604'!D12</f>
        <v>6</v>
      </c>
      <c r="M11" s="376">
        <f>'605 L'!D12</f>
        <v>1</v>
      </c>
      <c r="N11" s="376">
        <f>'606 L'!D12</f>
        <v>2</v>
      </c>
      <c r="O11" s="375">
        <f>'607-EOI'!D12</f>
        <v>0</v>
      </c>
      <c r="P11" s="375">
        <f>'608-MP'!D12</f>
        <v>1</v>
      </c>
      <c r="Q11" s="375">
        <f t="shared" si="1"/>
        <v>20</v>
      </c>
      <c r="R11" s="375">
        <f t="shared" si="2"/>
        <v>10</v>
      </c>
      <c r="S11" s="376">
        <f t="shared" si="3"/>
        <v>30</v>
      </c>
      <c r="T11" s="377">
        <f t="shared" si="4"/>
        <v>17</v>
      </c>
      <c r="U11" s="378"/>
      <c r="V11" s="383"/>
      <c r="W11" s="379"/>
      <c r="X11" s="379"/>
      <c r="Y11" s="379"/>
      <c r="Z11" s="379"/>
      <c r="AA11" s="379"/>
      <c r="AB11" s="379"/>
      <c r="AC11" s="379"/>
    </row>
    <row r="12">
      <c r="A12" s="371">
        <v>4.0</v>
      </c>
      <c r="B12" s="188" t="s">
        <v>53</v>
      </c>
      <c r="C12" s="216" t="s">
        <v>54</v>
      </c>
      <c r="D12" s="372"/>
      <c r="E12" s="372"/>
      <c r="F12" s="373"/>
      <c r="G12" s="374">
        <f>'601'!D13</f>
        <v>13</v>
      </c>
      <c r="H12" s="374">
        <f>'601 L'!D13</f>
        <v>5</v>
      </c>
      <c r="I12" s="375">
        <f>'602'!D13</f>
        <v>13</v>
      </c>
      <c r="J12" s="376">
        <f>'602 L'!D13</f>
        <v>7</v>
      </c>
      <c r="K12" s="375">
        <f>'603'!D13</f>
        <v>17</v>
      </c>
      <c r="L12" s="375">
        <f>'604'!D13</f>
        <v>15</v>
      </c>
      <c r="M12" s="376">
        <f>'605 L'!D13</f>
        <v>1</v>
      </c>
      <c r="N12" s="376">
        <f>'606 L'!D13</f>
        <v>8</v>
      </c>
      <c r="O12" s="375">
        <f>'607-EOI'!D13</f>
        <v>0</v>
      </c>
      <c r="P12" s="375">
        <f>'608-MP'!D13</f>
        <v>1</v>
      </c>
      <c r="Q12" s="375">
        <f t="shared" si="1"/>
        <v>58</v>
      </c>
      <c r="R12" s="375">
        <f t="shared" si="2"/>
        <v>22</v>
      </c>
      <c r="S12" s="376">
        <f t="shared" si="3"/>
        <v>80</v>
      </c>
      <c r="T12" s="377">
        <f t="shared" si="4"/>
        <v>45</v>
      </c>
      <c r="U12" s="378"/>
      <c r="V12" s="378"/>
      <c r="W12" s="379"/>
      <c r="X12" s="379"/>
      <c r="Y12" s="379"/>
      <c r="Z12" s="379"/>
      <c r="AA12" s="379"/>
      <c r="AB12" s="379"/>
      <c r="AC12" s="379"/>
    </row>
    <row r="13">
      <c r="A13" s="380">
        <v>5.0</v>
      </c>
      <c r="B13" s="188" t="s">
        <v>55</v>
      </c>
      <c r="C13" s="216" t="s">
        <v>56</v>
      </c>
      <c r="D13" s="372"/>
      <c r="E13" s="382"/>
      <c r="F13" s="373"/>
      <c r="G13" s="374">
        <f>'601'!D14</f>
        <v>16</v>
      </c>
      <c r="H13" s="374">
        <f>'601 L'!D14</f>
        <v>6</v>
      </c>
      <c r="I13" s="375">
        <f>'602'!D14</f>
        <v>21</v>
      </c>
      <c r="J13" s="376">
        <f>'602 L'!D14</f>
        <v>4</v>
      </c>
      <c r="K13" s="375">
        <f>'603'!D14</f>
        <v>12</v>
      </c>
      <c r="L13" s="375">
        <f>'604'!D14</f>
        <v>12</v>
      </c>
      <c r="M13" s="376">
        <f>'605 L'!D14</f>
        <v>3</v>
      </c>
      <c r="N13" s="376">
        <f>'606 L'!D14</f>
        <v>6</v>
      </c>
      <c r="O13" s="375">
        <f>'607-EOI'!D14</f>
        <v>0</v>
      </c>
      <c r="P13" s="375">
        <f>'608-MP'!D14</f>
        <v>9</v>
      </c>
      <c r="Q13" s="375">
        <f t="shared" si="1"/>
        <v>61</v>
      </c>
      <c r="R13" s="375">
        <f t="shared" si="2"/>
        <v>28</v>
      </c>
      <c r="S13" s="376">
        <f t="shared" si="3"/>
        <v>89</v>
      </c>
      <c r="T13" s="377">
        <f t="shared" si="4"/>
        <v>50</v>
      </c>
      <c r="U13" s="378"/>
      <c r="V13" s="383"/>
      <c r="W13" s="379"/>
      <c r="X13" s="379"/>
      <c r="Y13" s="379"/>
      <c r="Z13" s="379"/>
      <c r="AA13" s="379"/>
      <c r="AB13" s="379"/>
      <c r="AC13" s="379"/>
    </row>
    <row r="14">
      <c r="A14" s="371">
        <v>6.0</v>
      </c>
      <c r="B14" s="188" t="s">
        <v>57</v>
      </c>
      <c r="C14" s="216" t="s">
        <v>58</v>
      </c>
      <c r="D14" s="372"/>
      <c r="E14" s="372"/>
      <c r="F14" s="373"/>
      <c r="G14" s="374">
        <f>'601'!D15</f>
        <v>0</v>
      </c>
      <c r="H14" s="374">
        <f>'601 L'!D15</f>
        <v>0</v>
      </c>
      <c r="I14" s="375">
        <f>'602'!D15</f>
        <v>0</v>
      </c>
      <c r="J14" s="376">
        <f>'602 L'!D15</f>
        <v>0</v>
      </c>
      <c r="K14" s="375">
        <f>'603'!D15</f>
        <v>0</v>
      </c>
      <c r="L14" s="375">
        <f>'604'!D15</f>
        <v>0</v>
      </c>
      <c r="M14" s="376">
        <f>'605 L'!D15</f>
        <v>0</v>
      </c>
      <c r="N14" s="376">
        <f>'606 L'!D15</f>
        <v>0</v>
      </c>
      <c r="O14" s="375">
        <f>'607-EOI'!D15</f>
        <v>0</v>
      </c>
      <c r="P14" s="375">
        <f>'608-MP'!D15</f>
        <v>0</v>
      </c>
      <c r="Q14" s="375">
        <f t="shared" si="1"/>
        <v>0</v>
      </c>
      <c r="R14" s="375">
        <f t="shared" si="2"/>
        <v>0</v>
      </c>
      <c r="S14" s="376">
        <f t="shared" si="3"/>
        <v>0</v>
      </c>
      <c r="T14" s="377">
        <f t="shared" si="4"/>
        <v>0</v>
      </c>
      <c r="U14" s="378"/>
      <c r="V14" s="378"/>
      <c r="W14" s="379"/>
      <c r="X14" s="379"/>
      <c r="Y14" s="379"/>
      <c r="Z14" s="379"/>
      <c r="AA14" s="379"/>
      <c r="AB14" s="379"/>
      <c r="AC14" s="379"/>
    </row>
    <row r="15">
      <c r="A15" s="380">
        <v>7.0</v>
      </c>
      <c r="B15" s="188" t="s">
        <v>59</v>
      </c>
      <c r="C15" s="216" t="s">
        <v>60</v>
      </c>
      <c r="D15" s="372"/>
      <c r="E15" s="372"/>
      <c r="F15" s="373"/>
      <c r="G15" s="374">
        <f>'601'!D16</f>
        <v>9</v>
      </c>
      <c r="H15" s="374">
        <f>'601 L'!D16</f>
        <v>4</v>
      </c>
      <c r="I15" s="375">
        <f>'602'!D16</f>
        <v>10</v>
      </c>
      <c r="J15" s="376">
        <f>'602 L'!D16</f>
        <v>6</v>
      </c>
      <c r="K15" s="375">
        <f>'603'!D16</f>
        <v>8</v>
      </c>
      <c r="L15" s="375">
        <f>'604'!D16</f>
        <v>11</v>
      </c>
      <c r="M15" s="376">
        <f>'605 L'!D16</f>
        <v>0</v>
      </c>
      <c r="N15" s="376">
        <f>'606 L'!D16</f>
        <v>6</v>
      </c>
      <c r="O15" s="375">
        <f>'607-EOI'!D16</f>
        <v>0</v>
      </c>
      <c r="P15" s="375">
        <f>'608-MP'!D16</f>
        <v>1</v>
      </c>
      <c r="Q15" s="375">
        <f t="shared" si="1"/>
        <v>38</v>
      </c>
      <c r="R15" s="375">
        <f t="shared" si="2"/>
        <v>17</v>
      </c>
      <c r="S15" s="376">
        <f t="shared" si="3"/>
        <v>55</v>
      </c>
      <c r="T15" s="377">
        <f t="shared" si="4"/>
        <v>31</v>
      </c>
      <c r="U15" s="378"/>
      <c r="V15" s="378"/>
      <c r="W15" s="379"/>
      <c r="X15" s="379"/>
      <c r="Y15" s="379"/>
      <c r="Z15" s="379"/>
      <c r="AA15" s="379"/>
      <c r="AB15" s="379"/>
      <c r="AC15" s="379"/>
    </row>
    <row r="16">
      <c r="A16" s="371">
        <v>8.0</v>
      </c>
      <c r="B16" s="188" t="s">
        <v>61</v>
      </c>
      <c r="C16" s="216" t="s">
        <v>62</v>
      </c>
      <c r="D16" s="381"/>
      <c r="E16" s="372"/>
      <c r="F16" s="373"/>
      <c r="G16" s="374">
        <f>'601'!D17</f>
        <v>15</v>
      </c>
      <c r="H16" s="374">
        <f>'601 L'!D17</f>
        <v>5</v>
      </c>
      <c r="I16" s="375">
        <f>'602'!D17</f>
        <v>18</v>
      </c>
      <c r="J16" s="376">
        <f>'602 L'!D17</f>
        <v>5</v>
      </c>
      <c r="K16" s="375">
        <f>'603'!D17</f>
        <v>13</v>
      </c>
      <c r="L16" s="375">
        <f>'604'!D17</f>
        <v>10</v>
      </c>
      <c r="M16" s="376">
        <f>'605 L'!D17</f>
        <v>3</v>
      </c>
      <c r="N16" s="376">
        <f>'606 L'!D17</f>
        <v>5</v>
      </c>
      <c r="O16" s="375">
        <f>'607-EOI'!D17</f>
        <v>0</v>
      </c>
      <c r="P16" s="375">
        <f>'608-MP'!D17</f>
        <v>9</v>
      </c>
      <c r="Q16" s="375">
        <f t="shared" si="1"/>
        <v>56</v>
      </c>
      <c r="R16" s="375">
        <f t="shared" si="2"/>
        <v>27</v>
      </c>
      <c r="S16" s="376">
        <f t="shared" si="3"/>
        <v>83</v>
      </c>
      <c r="T16" s="377">
        <f t="shared" si="4"/>
        <v>46</v>
      </c>
      <c r="U16" s="378"/>
      <c r="V16" s="378"/>
      <c r="W16" s="379"/>
      <c r="X16" s="379"/>
      <c r="Y16" s="379"/>
      <c r="Z16" s="379"/>
      <c r="AA16" s="379"/>
      <c r="AB16" s="379"/>
      <c r="AC16" s="379"/>
    </row>
    <row r="17">
      <c r="A17" s="371">
        <v>9.0</v>
      </c>
      <c r="B17" s="188" t="s">
        <v>63</v>
      </c>
      <c r="C17" s="216" t="s">
        <v>64</v>
      </c>
      <c r="D17" s="381"/>
      <c r="E17" s="372"/>
      <c r="F17" s="373"/>
      <c r="G17" s="374">
        <f>'601'!D18</f>
        <v>9</v>
      </c>
      <c r="H17" s="374">
        <f>'601 L'!D18</f>
        <v>5</v>
      </c>
      <c r="I17" s="375">
        <f>'602'!D18</f>
        <v>14</v>
      </c>
      <c r="J17" s="376">
        <f>'602 L'!D18</f>
        <v>5</v>
      </c>
      <c r="K17" s="375">
        <f>'603'!D18</f>
        <v>11</v>
      </c>
      <c r="L17" s="375">
        <f>'604'!D18</f>
        <v>9</v>
      </c>
      <c r="M17" s="376">
        <f>'605 L'!D18</f>
        <v>0</v>
      </c>
      <c r="N17" s="376">
        <f>'606 L'!D18</f>
        <v>5</v>
      </c>
      <c r="O17" s="375">
        <f>'607-EOI'!D18</f>
        <v>0</v>
      </c>
      <c r="P17" s="375">
        <f>'608-MP'!D18</f>
        <v>4</v>
      </c>
      <c r="Q17" s="375">
        <f t="shared" si="1"/>
        <v>43</v>
      </c>
      <c r="R17" s="375">
        <f t="shared" si="2"/>
        <v>19</v>
      </c>
      <c r="S17" s="376">
        <f t="shared" si="3"/>
        <v>62</v>
      </c>
      <c r="T17" s="377">
        <f t="shared" si="4"/>
        <v>35</v>
      </c>
      <c r="U17" s="378"/>
      <c r="V17" s="378"/>
      <c r="W17" s="379"/>
      <c r="X17" s="379"/>
      <c r="Y17" s="379"/>
      <c r="Z17" s="379"/>
      <c r="AA17" s="379"/>
      <c r="AB17" s="379"/>
      <c r="AC17" s="379"/>
    </row>
    <row r="18">
      <c r="A18" s="380">
        <v>10.0</v>
      </c>
      <c r="B18" s="188" t="s">
        <v>65</v>
      </c>
      <c r="C18" s="216" t="s">
        <v>66</v>
      </c>
      <c r="D18" s="372"/>
      <c r="E18" s="372"/>
      <c r="F18" s="373"/>
      <c r="G18" s="374">
        <f>'601'!D19</f>
        <v>10</v>
      </c>
      <c r="H18" s="374">
        <f>'601 L'!D19</f>
        <v>3</v>
      </c>
      <c r="I18" s="375">
        <f>'602'!D19</f>
        <v>9</v>
      </c>
      <c r="J18" s="376">
        <f>'602 L'!D19</f>
        <v>3</v>
      </c>
      <c r="K18" s="375">
        <f>'603'!D19</f>
        <v>8</v>
      </c>
      <c r="L18" s="375">
        <f>'604'!D19</f>
        <v>9</v>
      </c>
      <c r="M18" s="376">
        <f>'605 L'!D19</f>
        <v>1</v>
      </c>
      <c r="N18" s="376">
        <f>'606 L'!D19</f>
        <v>3</v>
      </c>
      <c r="O18" s="375">
        <f>'607-EOI'!D19</f>
        <v>0</v>
      </c>
      <c r="P18" s="375">
        <f>'608-MP'!D19</f>
        <v>6</v>
      </c>
      <c r="Q18" s="375">
        <f t="shared" si="1"/>
        <v>36</v>
      </c>
      <c r="R18" s="375">
        <f t="shared" si="2"/>
        <v>16</v>
      </c>
      <c r="S18" s="376">
        <f t="shared" si="3"/>
        <v>52</v>
      </c>
      <c r="T18" s="377">
        <f t="shared" si="4"/>
        <v>29</v>
      </c>
      <c r="U18" s="378"/>
      <c r="V18" s="378"/>
      <c r="W18" s="379"/>
      <c r="X18" s="379"/>
      <c r="Y18" s="379"/>
      <c r="Z18" s="379"/>
      <c r="AA18" s="379"/>
      <c r="AB18" s="379"/>
      <c r="AC18" s="379"/>
    </row>
    <row r="19">
      <c r="A19" s="371">
        <v>11.0</v>
      </c>
      <c r="B19" s="188" t="s">
        <v>67</v>
      </c>
      <c r="C19" s="216" t="s">
        <v>68</v>
      </c>
      <c r="D19" s="381"/>
      <c r="E19" s="372"/>
      <c r="F19" s="373"/>
      <c r="G19" s="374">
        <f>'601'!D20</f>
        <v>8</v>
      </c>
      <c r="H19" s="374">
        <f>'601 L'!D20</f>
        <v>4</v>
      </c>
      <c r="I19" s="375">
        <f>'602'!D20</f>
        <v>9</v>
      </c>
      <c r="J19" s="376">
        <f>'602 L'!D20</f>
        <v>4</v>
      </c>
      <c r="K19" s="375">
        <f>'603'!D20</f>
        <v>10</v>
      </c>
      <c r="L19" s="375">
        <f>'604'!D20</f>
        <v>7</v>
      </c>
      <c r="M19" s="376">
        <f>'605 L'!D20</f>
        <v>1</v>
      </c>
      <c r="N19" s="376">
        <f>'606 L'!D20</f>
        <v>5</v>
      </c>
      <c r="O19" s="375">
        <f>'607-EOI'!D20</f>
        <v>0</v>
      </c>
      <c r="P19" s="375">
        <f>'608-MP'!D20</f>
        <v>1</v>
      </c>
      <c r="Q19" s="375">
        <f t="shared" si="1"/>
        <v>34</v>
      </c>
      <c r="R19" s="375">
        <f t="shared" si="2"/>
        <v>15</v>
      </c>
      <c r="S19" s="376">
        <f t="shared" si="3"/>
        <v>49</v>
      </c>
      <c r="T19" s="377">
        <f t="shared" si="4"/>
        <v>27</v>
      </c>
      <c r="U19" s="378"/>
      <c r="V19" s="378"/>
      <c r="W19" s="379"/>
      <c r="X19" s="379"/>
      <c r="Y19" s="379"/>
      <c r="Z19" s="379"/>
      <c r="AA19" s="379"/>
      <c r="AB19" s="379"/>
      <c r="AC19" s="379"/>
    </row>
    <row r="20" ht="15.75" customHeight="1">
      <c r="A20" s="380">
        <v>12.0</v>
      </c>
      <c r="B20" s="188" t="s">
        <v>69</v>
      </c>
      <c r="C20" s="216" t="s">
        <v>70</v>
      </c>
      <c r="D20" s="372"/>
      <c r="E20" s="372"/>
      <c r="F20" s="373"/>
      <c r="G20" s="374">
        <f>'601'!D21</f>
        <v>10</v>
      </c>
      <c r="H20" s="374">
        <f>'601 L'!D21</f>
        <v>4</v>
      </c>
      <c r="I20" s="375">
        <f>'602'!D21</f>
        <v>14</v>
      </c>
      <c r="J20" s="376">
        <f>'602 L'!D21</f>
        <v>5</v>
      </c>
      <c r="K20" s="375">
        <f>'603'!D21</f>
        <v>10</v>
      </c>
      <c r="L20" s="375">
        <f>'604'!D21</f>
        <v>7</v>
      </c>
      <c r="M20" s="376">
        <f>'605 L'!D21</f>
        <v>0</v>
      </c>
      <c r="N20" s="376">
        <f>'606 L'!D21</f>
        <v>5</v>
      </c>
      <c r="O20" s="375">
        <f>'607-EOI'!D21</f>
        <v>0</v>
      </c>
      <c r="P20" s="375">
        <f>'608-MP'!D21</f>
        <v>5</v>
      </c>
      <c r="Q20" s="375">
        <f t="shared" si="1"/>
        <v>41</v>
      </c>
      <c r="R20" s="375">
        <f t="shared" si="2"/>
        <v>19</v>
      </c>
      <c r="S20" s="376">
        <f t="shared" si="3"/>
        <v>60</v>
      </c>
      <c r="T20" s="377">
        <f t="shared" si="4"/>
        <v>34</v>
      </c>
      <c r="U20" s="378"/>
      <c r="V20" s="378"/>
      <c r="W20" s="379"/>
      <c r="X20" s="379"/>
      <c r="Y20" s="379"/>
      <c r="Z20" s="379"/>
      <c r="AA20" s="379"/>
      <c r="AB20" s="379"/>
      <c r="AC20" s="379"/>
    </row>
    <row r="21" ht="15.75" customHeight="1">
      <c r="A21" s="371">
        <v>13.0</v>
      </c>
      <c r="B21" s="188" t="s">
        <v>71</v>
      </c>
      <c r="C21" s="216" t="s">
        <v>72</v>
      </c>
      <c r="D21" s="381"/>
      <c r="E21" s="372"/>
      <c r="F21" s="373"/>
      <c r="G21" s="374">
        <f>'601'!D22</f>
        <v>10</v>
      </c>
      <c r="H21" s="374">
        <f>'601 L'!D22</f>
        <v>6</v>
      </c>
      <c r="I21" s="375">
        <f>'602'!D22</f>
        <v>16</v>
      </c>
      <c r="J21" s="376">
        <f>'602 L'!D22</f>
        <v>3</v>
      </c>
      <c r="K21" s="375">
        <f>'603'!D22</f>
        <v>12</v>
      </c>
      <c r="L21" s="375">
        <f>'604'!D22</f>
        <v>8</v>
      </c>
      <c r="M21" s="376">
        <f>'605 L'!D22</f>
        <v>1</v>
      </c>
      <c r="N21" s="376">
        <f>'606 L'!D22</f>
        <v>5</v>
      </c>
      <c r="O21" s="375">
        <f>'607-EOI'!D22</f>
        <v>0</v>
      </c>
      <c r="P21" s="375">
        <f>'608-MP'!D22</f>
        <v>8</v>
      </c>
      <c r="Q21" s="375">
        <f t="shared" si="1"/>
        <v>46</v>
      </c>
      <c r="R21" s="375">
        <f t="shared" si="2"/>
        <v>23</v>
      </c>
      <c r="S21" s="376">
        <f t="shared" si="3"/>
        <v>69</v>
      </c>
      <c r="T21" s="377">
        <f t="shared" si="4"/>
        <v>39</v>
      </c>
      <c r="U21" s="378"/>
      <c r="V21" s="378"/>
      <c r="W21" s="379"/>
      <c r="X21" s="379"/>
      <c r="Y21" s="379"/>
      <c r="Z21" s="379"/>
      <c r="AA21" s="379"/>
      <c r="AB21" s="379"/>
      <c r="AC21" s="379"/>
    </row>
    <row r="22" ht="15.75" customHeight="1">
      <c r="A22" s="371">
        <v>14.0</v>
      </c>
      <c r="B22" s="188" t="s">
        <v>73</v>
      </c>
      <c r="C22" s="216" t="s">
        <v>74</v>
      </c>
      <c r="D22" s="381"/>
      <c r="E22" s="372"/>
      <c r="F22" s="373"/>
      <c r="G22" s="374">
        <f>'601'!D23</f>
        <v>5</v>
      </c>
      <c r="H22" s="374">
        <f>'601 L'!D23</f>
        <v>3</v>
      </c>
      <c r="I22" s="375">
        <f>'602'!D23</f>
        <v>6</v>
      </c>
      <c r="J22" s="376">
        <f>'602 L'!D23</f>
        <v>1</v>
      </c>
      <c r="K22" s="375">
        <f>'603'!D23</f>
        <v>6</v>
      </c>
      <c r="L22" s="375">
        <f>'604'!D23</f>
        <v>3</v>
      </c>
      <c r="M22" s="376">
        <f>'605 L'!D23</f>
        <v>0</v>
      </c>
      <c r="N22" s="376">
        <f>'606 L'!D23</f>
        <v>5</v>
      </c>
      <c r="O22" s="375">
        <f>'607-EOI'!D23</f>
        <v>0</v>
      </c>
      <c r="P22" s="375">
        <f>'608-MP'!D23</f>
        <v>2</v>
      </c>
      <c r="Q22" s="375">
        <f t="shared" si="1"/>
        <v>20</v>
      </c>
      <c r="R22" s="375">
        <f t="shared" si="2"/>
        <v>11</v>
      </c>
      <c r="S22" s="376">
        <f t="shared" si="3"/>
        <v>31</v>
      </c>
      <c r="T22" s="377">
        <f t="shared" si="4"/>
        <v>17</v>
      </c>
      <c r="U22" s="378"/>
      <c r="V22" s="378"/>
      <c r="W22" s="379"/>
      <c r="X22" s="379"/>
      <c r="Y22" s="379"/>
      <c r="Z22" s="379"/>
      <c r="AA22" s="379"/>
      <c r="AB22" s="379"/>
      <c r="AC22" s="379"/>
    </row>
    <row r="23" ht="15.75" customHeight="1">
      <c r="A23" s="380">
        <v>15.0</v>
      </c>
      <c r="B23" s="188" t="s">
        <v>75</v>
      </c>
      <c r="C23" s="216" t="s">
        <v>76</v>
      </c>
      <c r="D23" s="381"/>
      <c r="E23" s="372"/>
      <c r="F23" s="373"/>
      <c r="G23" s="374">
        <f>'601'!D24</f>
        <v>6</v>
      </c>
      <c r="H23" s="374">
        <f>'601 L'!D24</f>
        <v>2</v>
      </c>
      <c r="I23" s="375">
        <f>'602'!D24</f>
        <v>7</v>
      </c>
      <c r="J23" s="376">
        <f>'602 L'!D24</f>
        <v>2</v>
      </c>
      <c r="K23" s="375">
        <f>'603'!D24</f>
        <v>6</v>
      </c>
      <c r="L23" s="375">
        <f>'604'!D24</f>
        <v>7</v>
      </c>
      <c r="M23" s="376">
        <f>'605 L'!D24</f>
        <v>3</v>
      </c>
      <c r="N23" s="376">
        <f>'606 L'!D24</f>
        <v>1</v>
      </c>
      <c r="O23" s="375">
        <f>'607-EOI'!D24</f>
        <v>0</v>
      </c>
      <c r="P23" s="375">
        <f>'608-MP'!D24</f>
        <v>2</v>
      </c>
      <c r="Q23" s="375">
        <f t="shared" si="1"/>
        <v>26</v>
      </c>
      <c r="R23" s="375">
        <f t="shared" si="2"/>
        <v>10</v>
      </c>
      <c r="S23" s="376">
        <f t="shared" si="3"/>
        <v>36</v>
      </c>
      <c r="T23" s="377">
        <f t="shared" si="4"/>
        <v>20</v>
      </c>
      <c r="U23" s="378"/>
      <c r="V23" s="378"/>
      <c r="W23" s="379"/>
      <c r="X23" s="379"/>
      <c r="Y23" s="379"/>
      <c r="Z23" s="379"/>
      <c r="AA23" s="379"/>
      <c r="AB23" s="379"/>
      <c r="AC23" s="379"/>
    </row>
    <row r="24" ht="15.75" customHeight="1">
      <c r="A24" s="371">
        <v>16.0</v>
      </c>
      <c r="B24" s="188" t="s">
        <v>77</v>
      </c>
      <c r="C24" s="216" t="s">
        <v>78</v>
      </c>
      <c r="D24" s="381"/>
      <c r="E24" s="372"/>
      <c r="F24" s="373"/>
      <c r="G24" s="374">
        <f>'601'!D25</f>
        <v>7</v>
      </c>
      <c r="H24" s="374">
        <f>'601 L'!D25</f>
        <v>7</v>
      </c>
      <c r="I24" s="375">
        <f>'602'!D25</f>
        <v>12</v>
      </c>
      <c r="J24" s="376">
        <f>'602 L'!D25</f>
        <v>3</v>
      </c>
      <c r="K24" s="375">
        <f>'603'!D25</f>
        <v>9</v>
      </c>
      <c r="L24" s="375">
        <f>'604'!D25</f>
        <v>7</v>
      </c>
      <c r="M24" s="376">
        <f>'605 L'!D25</f>
        <v>3</v>
      </c>
      <c r="N24" s="376">
        <f>'606 L'!D25</f>
        <v>7</v>
      </c>
      <c r="O24" s="375">
        <f>'607-EOI'!D25</f>
        <v>0</v>
      </c>
      <c r="P24" s="375">
        <f>'608-MP'!D25</f>
        <v>7</v>
      </c>
      <c r="Q24" s="375">
        <f t="shared" si="1"/>
        <v>35</v>
      </c>
      <c r="R24" s="375">
        <f t="shared" si="2"/>
        <v>27</v>
      </c>
      <c r="S24" s="376">
        <f t="shared" si="3"/>
        <v>62</v>
      </c>
      <c r="T24" s="377">
        <f t="shared" si="4"/>
        <v>35</v>
      </c>
      <c r="U24" s="378"/>
      <c r="V24" s="378"/>
      <c r="W24" s="379"/>
      <c r="X24" s="379"/>
      <c r="Y24" s="379"/>
      <c r="Z24" s="379"/>
      <c r="AA24" s="379"/>
      <c r="AB24" s="379"/>
      <c r="AC24" s="379"/>
    </row>
    <row r="25" ht="15.75" customHeight="1">
      <c r="A25" s="380">
        <v>17.0</v>
      </c>
      <c r="B25" s="188" t="s">
        <v>79</v>
      </c>
      <c r="C25" s="216" t="s">
        <v>80</v>
      </c>
      <c r="D25" s="381"/>
      <c r="E25" s="382"/>
      <c r="F25" s="373"/>
      <c r="G25" s="374">
        <f>'601'!D26</f>
        <v>3</v>
      </c>
      <c r="H25" s="374">
        <f>'601 L'!D26</f>
        <v>3</v>
      </c>
      <c r="I25" s="375">
        <f>'602'!D26</f>
        <v>8</v>
      </c>
      <c r="J25" s="376">
        <f>'602 L'!D26</f>
        <v>2</v>
      </c>
      <c r="K25" s="375">
        <f>'603'!D26</f>
        <v>5</v>
      </c>
      <c r="L25" s="375">
        <f>'604'!D26</f>
        <v>4</v>
      </c>
      <c r="M25" s="376">
        <f>'605 L'!D26</f>
        <v>3</v>
      </c>
      <c r="N25" s="376">
        <f>'606 L'!D26</f>
        <v>3</v>
      </c>
      <c r="O25" s="375">
        <f>'607-EOI'!D26</f>
        <v>0</v>
      </c>
      <c r="P25" s="375">
        <f>'608-MP'!D26</f>
        <v>1</v>
      </c>
      <c r="Q25" s="375">
        <f t="shared" si="1"/>
        <v>20</v>
      </c>
      <c r="R25" s="375">
        <f t="shared" si="2"/>
        <v>12</v>
      </c>
      <c r="S25" s="376">
        <f t="shared" si="3"/>
        <v>32</v>
      </c>
      <c r="T25" s="377">
        <f t="shared" si="4"/>
        <v>18</v>
      </c>
      <c r="U25" s="378"/>
      <c r="V25" s="383"/>
      <c r="W25" s="379"/>
      <c r="X25" s="379"/>
      <c r="Y25" s="379"/>
      <c r="Z25" s="379"/>
      <c r="AA25" s="379"/>
      <c r="AB25" s="379"/>
      <c r="AC25" s="379"/>
    </row>
    <row r="26" ht="15.75" customHeight="1">
      <c r="A26" s="371">
        <v>18.0</v>
      </c>
      <c r="B26" s="188" t="s">
        <v>81</v>
      </c>
      <c r="C26" s="216" t="s">
        <v>82</v>
      </c>
      <c r="D26" s="381"/>
      <c r="E26" s="372"/>
      <c r="F26" s="373"/>
      <c r="G26" s="374">
        <f>'601'!D27</f>
        <v>6</v>
      </c>
      <c r="H26" s="374">
        <f>'601 L'!D27</f>
        <v>6</v>
      </c>
      <c r="I26" s="375">
        <f>'602'!D27</f>
        <v>9</v>
      </c>
      <c r="J26" s="376">
        <f>'602 L'!D27</f>
        <v>2</v>
      </c>
      <c r="K26" s="375">
        <f>'603'!D27</f>
        <v>3</v>
      </c>
      <c r="L26" s="375">
        <f>'604'!D27</f>
        <v>4</v>
      </c>
      <c r="M26" s="376">
        <f>'605 L'!D27</f>
        <v>2</v>
      </c>
      <c r="N26" s="376">
        <f>'606 L'!D27</f>
        <v>5</v>
      </c>
      <c r="O26" s="375">
        <f>'607-EOI'!D27</f>
        <v>0</v>
      </c>
      <c r="P26" s="375">
        <f>'608-MP'!D27</f>
        <v>4</v>
      </c>
      <c r="Q26" s="375">
        <f t="shared" si="1"/>
        <v>22</v>
      </c>
      <c r="R26" s="375">
        <f t="shared" si="2"/>
        <v>19</v>
      </c>
      <c r="S26" s="376">
        <f t="shared" si="3"/>
        <v>41</v>
      </c>
      <c r="T26" s="377">
        <f t="shared" si="4"/>
        <v>23</v>
      </c>
      <c r="U26" s="378"/>
      <c r="V26" s="378"/>
      <c r="W26" s="379"/>
      <c r="X26" s="379"/>
      <c r="Y26" s="379"/>
      <c r="Z26" s="379"/>
      <c r="AA26" s="379"/>
      <c r="AB26" s="379"/>
      <c r="AC26" s="379"/>
    </row>
    <row r="27" ht="15.75" customHeight="1">
      <c r="A27" s="371">
        <v>19.0</v>
      </c>
      <c r="B27" s="188" t="s">
        <v>83</v>
      </c>
      <c r="C27" s="216" t="s">
        <v>84</v>
      </c>
      <c r="D27" s="381"/>
      <c r="E27" s="372"/>
      <c r="F27" s="373"/>
      <c r="G27" s="374">
        <f>'601'!D28</f>
        <v>5</v>
      </c>
      <c r="H27" s="374">
        <f>'601 L'!D28</f>
        <v>3</v>
      </c>
      <c r="I27" s="375">
        <f>'602'!D28</f>
        <v>8</v>
      </c>
      <c r="J27" s="376">
        <f>'602 L'!D28</f>
        <v>3</v>
      </c>
      <c r="K27" s="375">
        <f>'603'!D28</f>
        <v>8</v>
      </c>
      <c r="L27" s="375">
        <f>'604'!D28</f>
        <v>5</v>
      </c>
      <c r="M27" s="376">
        <f>'605 L'!D28</f>
        <v>4</v>
      </c>
      <c r="N27" s="376">
        <f>'606 L'!D28</f>
        <v>2</v>
      </c>
      <c r="O27" s="375">
        <f>'607-EOI'!D28</f>
        <v>0</v>
      </c>
      <c r="P27" s="375">
        <f>'608-MP'!D28</f>
        <v>1</v>
      </c>
      <c r="Q27" s="375">
        <f t="shared" si="1"/>
        <v>26</v>
      </c>
      <c r="R27" s="375">
        <f t="shared" si="2"/>
        <v>13</v>
      </c>
      <c r="S27" s="376">
        <f t="shared" si="3"/>
        <v>39</v>
      </c>
      <c r="T27" s="377">
        <f t="shared" si="4"/>
        <v>22</v>
      </c>
      <c r="U27" s="378"/>
      <c r="V27" s="378"/>
      <c r="W27" s="379"/>
      <c r="X27" s="379"/>
      <c r="Y27" s="379"/>
      <c r="Z27" s="379"/>
      <c r="AA27" s="379"/>
      <c r="AB27" s="379"/>
      <c r="AC27" s="379"/>
    </row>
    <row r="28" ht="15.75" customHeight="1">
      <c r="A28" s="380">
        <v>20.0</v>
      </c>
      <c r="B28" s="188" t="s">
        <v>85</v>
      </c>
      <c r="C28" s="216" t="s">
        <v>86</v>
      </c>
      <c r="D28" s="372"/>
      <c r="E28" s="372"/>
      <c r="F28" s="373"/>
      <c r="G28" s="374">
        <f>'601'!D29</f>
        <v>23</v>
      </c>
      <c r="H28" s="374">
        <f>'601 L'!D29</f>
        <v>12</v>
      </c>
      <c r="I28" s="375">
        <f>'602'!D29</f>
        <v>30</v>
      </c>
      <c r="J28" s="376">
        <f>'602 L'!D29</f>
        <v>7</v>
      </c>
      <c r="K28" s="375">
        <f>'603'!D29</f>
        <v>19</v>
      </c>
      <c r="L28" s="375">
        <f>'604'!D29</f>
        <v>20</v>
      </c>
      <c r="M28" s="376">
        <f>'605 L'!D29</f>
        <v>5</v>
      </c>
      <c r="N28" s="376">
        <f>'606 L'!D29</f>
        <v>10</v>
      </c>
      <c r="O28" s="375">
        <f>'607-EOI'!D29</f>
        <v>0</v>
      </c>
      <c r="P28" s="375">
        <f>'608-MP'!D29</f>
        <v>16</v>
      </c>
      <c r="Q28" s="375">
        <f t="shared" si="1"/>
        <v>92</v>
      </c>
      <c r="R28" s="375">
        <f t="shared" si="2"/>
        <v>50</v>
      </c>
      <c r="S28" s="376">
        <f t="shared" si="3"/>
        <v>142</v>
      </c>
      <c r="T28" s="377">
        <f t="shared" si="4"/>
        <v>79</v>
      </c>
      <c r="U28" s="378"/>
      <c r="V28" s="378"/>
      <c r="W28" s="379"/>
      <c r="X28" s="379"/>
      <c r="Y28" s="379"/>
      <c r="Z28" s="379"/>
      <c r="AA28" s="379"/>
      <c r="AB28" s="379"/>
      <c r="AC28" s="379"/>
    </row>
    <row r="29" ht="15.75" customHeight="1">
      <c r="A29" s="371">
        <v>21.0</v>
      </c>
      <c r="B29" s="384" t="s">
        <v>87</v>
      </c>
      <c r="C29" s="385" t="s">
        <v>88</v>
      </c>
      <c r="D29" s="381"/>
      <c r="E29" s="372"/>
      <c r="F29" s="373"/>
      <c r="G29" s="374">
        <f>'601'!D30</f>
        <v>6</v>
      </c>
      <c r="H29" s="374">
        <f>'601 L'!D30</f>
        <v>3</v>
      </c>
      <c r="I29" s="375">
        <f>'602'!D30</f>
        <v>11</v>
      </c>
      <c r="J29" s="376">
        <f>'602 L'!D30</f>
        <v>3</v>
      </c>
      <c r="K29" s="375">
        <f>'603'!D30</f>
        <v>4</v>
      </c>
      <c r="L29" s="375">
        <f>'604'!D30</f>
        <v>5</v>
      </c>
      <c r="M29" s="376">
        <f>'605 L'!D30</f>
        <v>1</v>
      </c>
      <c r="N29" s="376">
        <f>'606 L'!D30</f>
        <v>6</v>
      </c>
      <c r="O29" s="375">
        <f>'607-EOI'!D30</f>
        <v>0</v>
      </c>
      <c r="P29" s="375">
        <f>'608-MP'!D30</f>
        <v>2</v>
      </c>
      <c r="Q29" s="375">
        <f t="shared" si="1"/>
        <v>26</v>
      </c>
      <c r="R29" s="375">
        <f t="shared" si="2"/>
        <v>15</v>
      </c>
      <c r="S29" s="376">
        <f t="shared" si="3"/>
        <v>41</v>
      </c>
      <c r="T29" s="377">
        <f t="shared" si="4"/>
        <v>23</v>
      </c>
      <c r="U29" s="378"/>
      <c r="V29" s="378"/>
      <c r="W29" s="379"/>
      <c r="X29" s="379"/>
      <c r="Y29" s="379"/>
      <c r="Z29" s="379"/>
      <c r="AA29" s="379"/>
      <c r="AB29" s="379"/>
      <c r="AC29" s="379"/>
    </row>
    <row r="30" ht="15.75" customHeight="1">
      <c r="A30" s="380">
        <v>22.0</v>
      </c>
      <c r="B30" s="188" t="s">
        <v>89</v>
      </c>
      <c r="C30" s="216" t="s">
        <v>90</v>
      </c>
      <c r="D30" s="372"/>
      <c r="E30" s="372"/>
      <c r="F30" s="373"/>
      <c r="G30" s="374">
        <f>'601'!D31</f>
        <v>12</v>
      </c>
      <c r="H30" s="374">
        <f>'601 L'!D31</f>
        <v>6</v>
      </c>
      <c r="I30" s="375">
        <f>'602'!D31</f>
        <v>13</v>
      </c>
      <c r="J30" s="376">
        <f>'602 L'!D31</f>
        <v>6</v>
      </c>
      <c r="K30" s="375">
        <f>'603'!D31</f>
        <v>10</v>
      </c>
      <c r="L30" s="375">
        <f>'604'!D31</f>
        <v>7</v>
      </c>
      <c r="M30" s="376">
        <f>'605 L'!D31</f>
        <v>1</v>
      </c>
      <c r="N30" s="376">
        <f>'606 L'!D31</f>
        <v>6</v>
      </c>
      <c r="O30" s="375">
        <f>'607-EOI'!D31</f>
        <v>0</v>
      </c>
      <c r="P30" s="375">
        <f>'608-MP'!D31</f>
        <v>4</v>
      </c>
      <c r="Q30" s="375">
        <f t="shared" si="1"/>
        <v>42</v>
      </c>
      <c r="R30" s="375">
        <f t="shared" si="2"/>
        <v>23</v>
      </c>
      <c r="S30" s="376">
        <f t="shared" si="3"/>
        <v>65</v>
      </c>
      <c r="T30" s="377">
        <f t="shared" si="4"/>
        <v>36</v>
      </c>
      <c r="U30" s="378"/>
      <c r="V30" s="378"/>
      <c r="W30" s="379"/>
      <c r="X30" s="379"/>
      <c r="Y30" s="379"/>
      <c r="Z30" s="379"/>
      <c r="AA30" s="379"/>
      <c r="AB30" s="379"/>
      <c r="AC30" s="379"/>
    </row>
    <row r="31" ht="15.75" customHeight="1">
      <c r="A31" s="371">
        <v>23.0</v>
      </c>
      <c r="B31" s="188" t="s">
        <v>91</v>
      </c>
      <c r="C31" s="216" t="s">
        <v>92</v>
      </c>
      <c r="D31" s="372"/>
      <c r="E31" s="372"/>
      <c r="F31" s="373"/>
      <c r="G31" s="374">
        <f>'601'!D32</f>
        <v>14</v>
      </c>
      <c r="H31" s="374">
        <f>'601 L'!D32</f>
        <v>4</v>
      </c>
      <c r="I31" s="375">
        <f>'602'!D32</f>
        <v>17</v>
      </c>
      <c r="J31" s="376">
        <f>'602 L'!D32</f>
        <v>7</v>
      </c>
      <c r="K31" s="375">
        <f>'603'!D32</f>
        <v>11</v>
      </c>
      <c r="L31" s="375">
        <f>'604'!D32</f>
        <v>11</v>
      </c>
      <c r="M31" s="376">
        <f>'605 L'!D32</f>
        <v>2</v>
      </c>
      <c r="N31" s="376">
        <f>'606 L'!D32</f>
        <v>6</v>
      </c>
      <c r="O31" s="375">
        <f>'607-EOI'!D32</f>
        <v>0</v>
      </c>
      <c r="P31" s="375">
        <f>'608-MP'!D32</f>
        <v>7</v>
      </c>
      <c r="Q31" s="375">
        <f t="shared" si="1"/>
        <v>53</v>
      </c>
      <c r="R31" s="375">
        <f t="shared" si="2"/>
        <v>26</v>
      </c>
      <c r="S31" s="376">
        <f t="shared" si="3"/>
        <v>79</v>
      </c>
      <c r="T31" s="377">
        <f t="shared" si="4"/>
        <v>44</v>
      </c>
      <c r="U31" s="378"/>
      <c r="V31" s="378"/>
      <c r="W31" s="379"/>
      <c r="X31" s="379"/>
      <c r="Y31" s="379"/>
      <c r="Z31" s="379"/>
      <c r="AA31" s="379"/>
      <c r="AB31" s="379"/>
      <c r="AC31" s="379"/>
    </row>
    <row r="32" ht="15.75" customHeight="1">
      <c r="A32" s="371">
        <v>24.0</v>
      </c>
      <c r="B32" s="188" t="s">
        <v>93</v>
      </c>
      <c r="C32" s="216" t="s">
        <v>94</v>
      </c>
      <c r="D32" s="372"/>
      <c r="E32" s="382"/>
      <c r="F32" s="373"/>
      <c r="G32" s="374">
        <f>'601'!D33</f>
        <v>13</v>
      </c>
      <c r="H32" s="374">
        <f>'601 L'!D33</f>
        <v>6</v>
      </c>
      <c r="I32" s="375">
        <f>'602'!D33</f>
        <v>16</v>
      </c>
      <c r="J32" s="376">
        <f>'602 L'!D33</f>
        <v>6</v>
      </c>
      <c r="K32" s="375">
        <f>'603'!D33</f>
        <v>12</v>
      </c>
      <c r="L32" s="375">
        <f>'604'!D33</f>
        <v>9</v>
      </c>
      <c r="M32" s="376">
        <f>'605 L'!D33</f>
        <v>1</v>
      </c>
      <c r="N32" s="376">
        <f>'606 L'!D33</f>
        <v>6</v>
      </c>
      <c r="O32" s="375">
        <f>'607-EOI'!D33</f>
        <v>0</v>
      </c>
      <c r="P32" s="375">
        <f>'608-MP'!D33</f>
        <v>5</v>
      </c>
      <c r="Q32" s="375">
        <f t="shared" si="1"/>
        <v>50</v>
      </c>
      <c r="R32" s="375">
        <f t="shared" si="2"/>
        <v>24</v>
      </c>
      <c r="S32" s="376">
        <f t="shared" si="3"/>
        <v>74</v>
      </c>
      <c r="T32" s="377">
        <f t="shared" si="4"/>
        <v>41</v>
      </c>
      <c r="U32" s="378"/>
      <c r="V32" s="383"/>
      <c r="W32" s="379"/>
      <c r="X32" s="379"/>
      <c r="Y32" s="379"/>
      <c r="Z32" s="379"/>
      <c r="AA32" s="379"/>
      <c r="AB32" s="379"/>
      <c r="AC32" s="379"/>
    </row>
    <row r="33" ht="15.75" customHeight="1">
      <c r="A33" s="380">
        <v>25.0</v>
      </c>
      <c r="B33" s="188" t="s">
        <v>95</v>
      </c>
      <c r="C33" s="216" t="s">
        <v>96</v>
      </c>
      <c r="D33" s="381"/>
      <c r="E33" s="382"/>
      <c r="F33" s="373"/>
      <c r="G33" s="374">
        <f>'601'!D34</f>
        <v>5</v>
      </c>
      <c r="H33" s="374">
        <f>'601 L'!D34</f>
        <v>2</v>
      </c>
      <c r="I33" s="375">
        <f>'602'!D34</f>
        <v>6</v>
      </c>
      <c r="J33" s="376">
        <f>'602 L'!D34</f>
        <v>3</v>
      </c>
      <c r="K33" s="375">
        <f>'603'!D34</f>
        <v>7</v>
      </c>
      <c r="L33" s="375">
        <f>'604'!D34</f>
        <v>4</v>
      </c>
      <c r="M33" s="376">
        <f>'605 L'!D34</f>
        <v>2</v>
      </c>
      <c r="N33" s="376">
        <f>'606 L'!D34</f>
        <v>0</v>
      </c>
      <c r="O33" s="375">
        <f>'607-EOI'!D34</f>
        <v>0</v>
      </c>
      <c r="P33" s="375">
        <f>'608-MP'!D34</f>
        <v>3</v>
      </c>
      <c r="Q33" s="375">
        <f t="shared" si="1"/>
        <v>22</v>
      </c>
      <c r="R33" s="375">
        <f t="shared" si="2"/>
        <v>10</v>
      </c>
      <c r="S33" s="376">
        <f t="shared" si="3"/>
        <v>32</v>
      </c>
      <c r="T33" s="377">
        <f t="shared" si="4"/>
        <v>18</v>
      </c>
      <c r="U33" s="378"/>
      <c r="V33" s="383"/>
      <c r="W33" s="379"/>
      <c r="X33" s="379"/>
      <c r="Y33" s="379"/>
      <c r="Z33" s="379"/>
      <c r="AA33" s="379"/>
      <c r="AB33" s="379"/>
      <c r="AC33" s="379"/>
    </row>
    <row r="34" ht="15.75" customHeight="1">
      <c r="A34" s="371">
        <v>26.0</v>
      </c>
      <c r="B34" s="188" t="s">
        <v>97</v>
      </c>
      <c r="C34" s="216" t="s">
        <v>98</v>
      </c>
      <c r="D34" s="381"/>
      <c r="E34" s="372"/>
      <c r="F34" s="373"/>
      <c r="G34" s="374">
        <f>'601'!D35</f>
        <v>17</v>
      </c>
      <c r="H34" s="374">
        <f>'601 L'!D35</f>
        <v>11</v>
      </c>
      <c r="I34" s="375">
        <f>'602'!D35</f>
        <v>27</v>
      </c>
      <c r="J34" s="376">
        <f>'602 L'!D35</f>
        <v>5</v>
      </c>
      <c r="K34" s="375">
        <f>'603'!D35</f>
        <v>17</v>
      </c>
      <c r="L34" s="375">
        <f>'604'!D35</f>
        <v>16</v>
      </c>
      <c r="M34" s="376">
        <f>'605 L'!D35</f>
        <v>5</v>
      </c>
      <c r="N34" s="376">
        <f>'606 L'!D35</f>
        <v>9</v>
      </c>
      <c r="O34" s="375">
        <f>'607-EOI'!D35</f>
        <v>0</v>
      </c>
      <c r="P34" s="375">
        <f>'608-MP'!D35</f>
        <v>13</v>
      </c>
      <c r="Q34" s="375">
        <f t="shared" si="1"/>
        <v>77</v>
      </c>
      <c r="R34" s="375">
        <f t="shared" si="2"/>
        <v>43</v>
      </c>
      <c r="S34" s="376">
        <f t="shared" si="3"/>
        <v>120</v>
      </c>
      <c r="T34" s="377">
        <f t="shared" si="4"/>
        <v>67</v>
      </c>
      <c r="U34" s="378"/>
      <c r="V34" s="378"/>
      <c r="W34" s="379"/>
      <c r="X34" s="379"/>
      <c r="Y34" s="379"/>
      <c r="Z34" s="379"/>
      <c r="AA34" s="379"/>
      <c r="AB34" s="379"/>
      <c r="AC34" s="379"/>
    </row>
    <row r="35" ht="15.75" customHeight="1">
      <c r="A35" s="380">
        <v>27.0</v>
      </c>
      <c r="B35" s="188" t="s">
        <v>99</v>
      </c>
      <c r="C35" s="216" t="s">
        <v>100</v>
      </c>
      <c r="D35" s="372"/>
      <c r="E35" s="372"/>
      <c r="F35" s="373"/>
      <c r="G35" s="374">
        <f>'601'!D36</f>
        <v>0</v>
      </c>
      <c r="H35" s="374">
        <f>'601 L'!D36</f>
        <v>0</v>
      </c>
      <c r="I35" s="375">
        <f>'602'!D36</f>
        <v>0</v>
      </c>
      <c r="J35" s="376">
        <f>'602 L'!D36</f>
        <v>0</v>
      </c>
      <c r="K35" s="375">
        <f>'603'!D36</f>
        <v>0</v>
      </c>
      <c r="L35" s="375">
        <f>'604'!D36</f>
        <v>0</v>
      </c>
      <c r="M35" s="376">
        <f>'605 L'!D36</f>
        <v>0</v>
      </c>
      <c r="N35" s="376">
        <f>'606 L'!D36</f>
        <v>0</v>
      </c>
      <c r="O35" s="375">
        <f>'607-EOI'!D36</f>
        <v>0</v>
      </c>
      <c r="P35" s="375">
        <f>'608-MP'!D36</f>
        <v>0</v>
      </c>
      <c r="Q35" s="375">
        <f t="shared" si="1"/>
        <v>0</v>
      </c>
      <c r="R35" s="375">
        <f t="shared" si="2"/>
        <v>0</v>
      </c>
      <c r="S35" s="376">
        <f t="shared" si="3"/>
        <v>0</v>
      </c>
      <c r="T35" s="377">
        <f t="shared" si="4"/>
        <v>0</v>
      </c>
      <c r="U35" s="378"/>
      <c r="V35" s="378"/>
      <c r="W35" s="379"/>
      <c r="X35" s="379"/>
      <c r="Y35" s="379"/>
      <c r="Z35" s="379"/>
      <c r="AA35" s="379"/>
      <c r="AB35" s="379"/>
      <c r="AC35" s="379"/>
    </row>
    <row r="36" ht="15.75" customHeight="1">
      <c r="A36" s="371">
        <v>28.0</v>
      </c>
      <c r="B36" s="188" t="s">
        <v>101</v>
      </c>
      <c r="C36" s="216" t="s">
        <v>102</v>
      </c>
      <c r="D36" s="372"/>
      <c r="E36" s="372"/>
      <c r="F36" s="373"/>
      <c r="G36" s="374">
        <f>'601'!D37</f>
        <v>7</v>
      </c>
      <c r="H36" s="374">
        <f>'601 L'!D37</f>
        <v>4</v>
      </c>
      <c r="I36" s="375">
        <f>'602'!D37</f>
        <v>9</v>
      </c>
      <c r="J36" s="376">
        <f>'602 L'!D37</f>
        <v>2</v>
      </c>
      <c r="K36" s="375">
        <f>'603'!D37</f>
        <v>5</v>
      </c>
      <c r="L36" s="375">
        <f>'604'!D37</f>
        <v>2</v>
      </c>
      <c r="M36" s="376">
        <f>'605 L'!D37</f>
        <v>0</v>
      </c>
      <c r="N36" s="376">
        <f>'606 L'!D37</f>
        <v>1</v>
      </c>
      <c r="O36" s="375">
        <f>'607-EOI'!D37</f>
        <v>0</v>
      </c>
      <c r="P36" s="375">
        <f>'608-MP'!D37</f>
        <v>2</v>
      </c>
      <c r="Q36" s="375">
        <f t="shared" si="1"/>
        <v>23</v>
      </c>
      <c r="R36" s="375">
        <f t="shared" si="2"/>
        <v>9</v>
      </c>
      <c r="S36" s="376">
        <f t="shared" si="3"/>
        <v>32</v>
      </c>
      <c r="T36" s="377">
        <f t="shared" si="4"/>
        <v>18</v>
      </c>
      <c r="U36" s="378"/>
      <c r="V36" s="378"/>
      <c r="W36" s="379"/>
      <c r="X36" s="379"/>
      <c r="Y36" s="379"/>
      <c r="Z36" s="379"/>
      <c r="AA36" s="379"/>
      <c r="AB36" s="379"/>
      <c r="AC36" s="379"/>
    </row>
    <row r="37" ht="15.75" customHeight="1">
      <c r="A37" s="371">
        <v>29.0</v>
      </c>
      <c r="B37" s="188" t="s">
        <v>103</v>
      </c>
      <c r="C37" s="216" t="s">
        <v>104</v>
      </c>
      <c r="D37" s="381"/>
      <c r="E37" s="372"/>
      <c r="F37" s="373"/>
      <c r="G37" s="374">
        <f>'601'!D38</f>
        <v>4</v>
      </c>
      <c r="H37" s="374">
        <f>'601 L'!D38</f>
        <v>1</v>
      </c>
      <c r="I37" s="375">
        <f>'602'!D38</f>
        <v>3</v>
      </c>
      <c r="J37" s="376">
        <f>'602 L'!D38</f>
        <v>4</v>
      </c>
      <c r="K37" s="375">
        <f>'603'!D38</f>
        <v>6</v>
      </c>
      <c r="L37" s="375">
        <f>'604'!D38</f>
        <v>3</v>
      </c>
      <c r="M37" s="376">
        <f>'605 L'!D38</f>
        <v>1</v>
      </c>
      <c r="N37" s="376">
        <f>'606 L'!D38</f>
        <v>3</v>
      </c>
      <c r="O37" s="375">
        <f>'607-EOI'!D38</f>
        <v>0</v>
      </c>
      <c r="P37" s="375">
        <f>'608-MP'!D38</f>
        <v>1</v>
      </c>
      <c r="Q37" s="375">
        <f t="shared" si="1"/>
        <v>16</v>
      </c>
      <c r="R37" s="375">
        <f t="shared" si="2"/>
        <v>10</v>
      </c>
      <c r="S37" s="376">
        <f t="shared" si="3"/>
        <v>26</v>
      </c>
      <c r="T37" s="377">
        <f t="shared" si="4"/>
        <v>15</v>
      </c>
      <c r="U37" s="378"/>
      <c r="V37" s="378"/>
      <c r="W37" s="379"/>
      <c r="X37" s="379"/>
      <c r="Y37" s="379"/>
      <c r="Z37" s="379"/>
      <c r="AA37" s="379"/>
      <c r="AB37" s="379"/>
      <c r="AC37" s="379"/>
    </row>
    <row r="38" ht="15.75" customHeight="1">
      <c r="A38" s="380">
        <v>30.0</v>
      </c>
      <c r="B38" s="188" t="s">
        <v>105</v>
      </c>
      <c r="C38" s="216" t="s">
        <v>106</v>
      </c>
      <c r="D38" s="372"/>
      <c r="E38" s="372"/>
      <c r="F38" s="373"/>
      <c r="G38" s="374">
        <f>'601'!D39</f>
        <v>3</v>
      </c>
      <c r="H38" s="374">
        <f>'601 L'!D39</f>
        <v>1</v>
      </c>
      <c r="I38" s="375">
        <f>'602'!D39</f>
        <v>4</v>
      </c>
      <c r="J38" s="376">
        <f>'602 L'!D39</f>
        <v>2</v>
      </c>
      <c r="K38" s="375">
        <f>'603'!D39</f>
        <v>2</v>
      </c>
      <c r="L38" s="375">
        <f>'604'!D39</f>
        <v>3</v>
      </c>
      <c r="M38" s="376">
        <f>'605 L'!D39</f>
        <v>0</v>
      </c>
      <c r="N38" s="376">
        <f>'606 L'!D39</f>
        <v>2</v>
      </c>
      <c r="O38" s="375">
        <f>'607-EOI'!D39</f>
        <v>0</v>
      </c>
      <c r="P38" s="375">
        <f>'608-MP'!D39</f>
        <v>2</v>
      </c>
      <c r="Q38" s="375">
        <f t="shared" si="1"/>
        <v>12</v>
      </c>
      <c r="R38" s="375">
        <f t="shared" si="2"/>
        <v>7</v>
      </c>
      <c r="S38" s="376">
        <f t="shared" si="3"/>
        <v>19</v>
      </c>
      <c r="T38" s="377">
        <f t="shared" si="4"/>
        <v>11</v>
      </c>
      <c r="U38" s="378"/>
      <c r="V38" s="378"/>
      <c r="W38" s="379"/>
      <c r="X38" s="379"/>
      <c r="Y38" s="379"/>
      <c r="Z38" s="379"/>
      <c r="AA38" s="379"/>
      <c r="AB38" s="379"/>
      <c r="AC38" s="379"/>
    </row>
    <row r="39" ht="15.75" customHeight="1">
      <c r="A39" s="371">
        <v>31.0</v>
      </c>
      <c r="B39" s="188" t="s">
        <v>107</v>
      </c>
      <c r="C39" s="216" t="s">
        <v>108</v>
      </c>
      <c r="D39" s="386"/>
      <c r="E39" s="372"/>
      <c r="F39" s="373"/>
      <c r="G39" s="374">
        <f>'601'!D40</f>
        <v>8</v>
      </c>
      <c r="H39" s="374">
        <f>'601 L'!D40</f>
        <v>4</v>
      </c>
      <c r="I39" s="375">
        <f>'602'!D40</f>
        <v>9</v>
      </c>
      <c r="J39" s="376">
        <f>'602 L'!D40</f>
        <v>3</v>
      </c>
      <c r="K39" s="375">
        <f>'603'!D40</f>
        <v>8</v>
      </c>
      <c r="L39" s="375">
        <f>'604'!D40</f>
        <v>6</v>
      </c>
      <c r="M39" s="376">
        <f>'605 L'!D40</f>
        <v>2</v>
      </c>
      <c r="N39" s="376">
        <f>'606 L'!D40</f>
        <v>3</v>
      </c>
      <c r="O39" s="375">
        <f>'607-EOI'!D40</f>
        <v>0</v>
      </c>
      <c r="P39" s="375">
        <f>'608-MP'!D40</f>
        <v>2</v>
      </c>
      <c r="Q39" s="375">
        <f t="shared" si="1"/>
        <v>31</v>
      </c>
      <c r="R39" s="375">
        <f t="shared" si="2"/>
        <v>14</v>
      </c>
      <c r="S39" s="376">
        <f t="shared" si="3"/>
        <v>45</v>
      </c>
      <c r="T39" s="377">
        <f t="shared" si="4"/>
        <v>25</v>
      </c>
      <c r="U39" s="387"/>
      <c r="V39" s="378"/>
      <c r="W39" s="379"/>
      <c r="X39" s="379"/>
      <c r="Y39" s="379"/>
      <c r="Z39" s="379"/>
      <c r="AA39" s="379"/>
      <c r="AB39" s="379"/>
      <c r="AC39" s="379"/>
    </row>
    <row r="40" ht="15.75" customHeight="1">
      <c r="A40" s="380">
        <v>32.0</v>
      </c>
      <c r="B40" s="188" t="s">
        <v>109</v>
      </c>
      <c r="C40" s="216" t="s">
        <v>110</v>
      </c>
      <c r="D40" s="388"/>
      <c r="E40" s="382"/>
      <c r="F40" s="373"/>
      <c r="G40" s="374">
        <f>'601'!D41</f>
        <v>8</v>
      </c>
      <c r="H40" s="374">
        <f>'601 L'!D41</f>
        <v>2</v>
      </c>
      <c r="I40" s="375">
        <f>'602'!D41</f>
        <v>9</v>
      </c>
      <c r="J40" s="376">
        <f>'602 L'!D41</f>
        <v>4</v>
      </c>
      <c r="K40" s="375">
        <f>'603'!D41</f>
        <v>9</v>
      </c>
      <c r="L40" s="375">
        <f>'604'!D41</f>
        <v>6</v>
      </c>
      <c r="M40" s="376">
        <f>'605 L'!D41</f>
        <v>2</v>
      </c>
      <c r="N40" s="376">
        <f>'606 L'!D41</f>
        <v>5</v>
      </c>
      <c r="O40" s="375">
        <f>'607-EOI'!D41</f>
        <v>0</v>
      </c>
      <c r="P40" s="375">
        <f>'608-MP'!D41</f>
        <v>2</v>
      </c>
      <c r="Q40" s="375">
        <f t="shared" si="1"/>
        <v>32</v>
      </c>
      <c r="R40" s="375">
        <f t="shared" si="2"/>
        <v>15</v>
      </c>
      <c r="S40" s="376">
        <f t="shared" si="3"/>
        <v>47</v>
      </c>
      <c r="T40" s="377">
        <f t="shared" si="4"/>
        <v>26</v>
      </c>
      <c r="U40" s="383"/>
      <c r="V40" s="383"/>
      <c r="W40" s="379"/>
      <c r="X40" s="379"/>
      <c r="Y40" s="379"/>
      <c r="Z40" s="379"/>
      <c r="AA40" s="379"/>
      <c r="AB40" s="379"/>
      <c r="AC40" s="379"/>
    </row>
    <row r="41" ht="15.75" customHeight="1">
      <c r="A41" s="371">
        <v>33.0</v>
      </c>
      <c r="B41" s="188" t="s">
        <v>111</v>
      </c>
      <c r="C41" s="216" t="s">
        <v>112</v>
      </c>
      <c r="D41" s="372"/>
      <c r="E41" s="372"/>
      <c r="F41" s="373"/>
      <c r="G41" s="374">
        <f>'601'!D42</f>
        <v>4</v>
      </c>
      <c r="H41" s="374">
        <f>'601 L'!D42</f>
        <v>3</v>
      </c>
      <c r="I41" s="375">
        <f>'602'!D42</f>
        <v>5</v>
      </c>
      <c r="J41" s="376">
        <f>'602 L'!D42</f>
        <v>0</v>
      </c>
      <c r="K41" s="375">
        <f>'603'!D42</f>
        <v>4</v>
      </c>
      <c r="L41" s="375">
        <f>'604'!D42</f>
        <v>2</v>
      </c>
      <c r="M41" s="376">
        <f>'605 L'!D42</f>
        <v>1</v>
      </c>
      <c r="N41" s="376">
        <f>'606 L'!D42</f>
        <v>1</v>
      </c>
      <c r="O41" s="375">
        <f>'607-EOI'!D42</f>
        <v>0</v>
      </c>
      <c r="P41" s="375">
        <f>'608-MP'!D42</f>
        <v>2</v>
      </c>
      <c r="Q41" s="375">
        <f t="shared" si="1"/>
        <v>15</v>
      </c>
      <c r="R41" s="375">
        <f t="shared" si="2"/>
        <v>7</v>
      </c>
      <c r="S41" s="376">
        <f t="shared" si="3"/>
        <v>22</v>
      </c>
      <c r="T41" s="377">
        <f t="shared" si="4"/>
        <v>12</v>
      </c>
      <c r="U41" s="378"/>
      <c r="V41" s="378"/>
      <c r="W41" s="379"/>
      <c r="X41" s="379"/>
      <c r="Y41" s="379"/>
      <c r="Z41" s="379"/>
      <c r="AA41" s="379"/>
      <c r="AB41" s="379"/>
      <c r="AC41" s="379"/>
    </row>
    <row r="42" ht="15.75" customHeight="1">
      <c r="A42" s="371">
        <v>34.0</v>
      </c>
      <c r="B42" s="188" t="s">
        <v>113</v>
      </c>
      <c r="C42" s="216" t="s">
        <v>114</v>
      </c>
      <c r="D42" s="381"/>
      <c r="E42" s="382"/>
      <c r="F42" s="373"/>
      <c r="G42" s="374">
        <f>'601'!D43</f>
        <v>8</v>
      </c>
      <c r="H42" s="374">
        <f>'601 L'!D43</f>
        <v>4</v>
      </c>
      <c r="I42" s="375">
        <f>'602'!D43</f>
        <v>11</v>
      </c>
      <c r="J42" s="376">
        <f>'602 L'!D43</f>
        <v>3</v>
      </c>
      <c r="K42" s="375">
        <f>'603'!D43</f>
        <v>11</v>
      </c>
      <c r="L42" s="375">
        <f>'604'!D43</f>
        <v>4</v>
      </c>
      <c r="M42" s="376">
        <f>'605 L'!D43</f>
        <v>1</v>
      </c>
      <c r="N42" s="376">
        <f>'606 L'!D43</f>
        <v>6</v>
      </c>
      <c r="O42" s="375">
        <f>'607-EOI'!D43</f>
        <v>0</v>
      </c>
      <c r="P42" s="375">
        <f>'608-MP'!D43</f>
        <v>5</v>
      </c>
      <c r="Q42" s="375">
        <f t="shared" si="1"/>
        <v>34</v>
      </c>
      <c r="R42" s="375">
        <f t="shared" si="2"/>
        <v>19</v>
      </c>
      <c r="S42" s="376">
        <f t="shared" si="3"/>
        <v>53</v>
      </c>
      <c r="T42" s="377">
        <f t="shared" si="4"/>
        <v>30</v>
      </c>
      <c r="U42" s="378"/>
      <c r="V42" s="383"/>
      <c r="W42" s="379"/>
      <c r="X42" s="379"/>
      <c r="Y42" s="379"/>
      <c r="Z42" s="379"/>
      <c r="AA42" s="379"/>
      <c r="AB42" s="379"/>
      <c r="AC42" s="379"/>
    </row>
    <row r="43" ht="15.75" customHeight="1">
      <c r="A43" s="380">
        <v>35.0</v>
      </c>
      <c r="B43" s="188" t="s">
        <v>115</v>
      </c>
      <c r="C43" s="216" t="s">
        <v>116</v>
      </c>
      <c r="D43" s="381"/>
      <c r="E43" s="382"/>
      <c r="F43" s="373"/>
      <c r="G43" s="374">
        <f>'601'!D44</f>
        <v>8</v>
      </c>
      <c r="H43" s="374">
        <f>'601 L'!D44</f>
        <v>5</v>
      </c>
      <c r="I43" s="375">
        <f>'602'!D44</f>
        <v>10</v>
      </c>
      <c r="J43" s="376">
        <f>'602 L'!D44</f>
        <v>4</v>
      </c>
      <c r="K43" s="375">
        <f>'603'!D44</f>
        <v>11</v>
      </c>
      <c r="L43" s="375">
        <f>'604'!D44</f>
        <v>6</v>
      </c>
      <c r="M43" s="376">
        <f>'605 L'!D44</f>
        <v>3</v>
      </c>
      <c r="N43" s="376">
        <f>'606 L'!D44</f>
        <v>3</v>
      </c>
      <c r="O43" s="375">
        <f>'607-EOI'!D44</f>
        <v>0</v>
      </c>
      <c r="P43" s="375">
        <f>'608-MP'!D44</f>
        <v>4</v>
      </c>
      <c r="Q43" s="375">
        <f t="shared" si="1"/>
        <v>35</v>
      </c>
      <c r="R43" s="375">
        <f t="shared" si="2"/>
        <v>19</v>
      </c>
      <c r="S43" s="376">
        <f t="shared" si="3"/>
        <v>54</v>
      </c>
      <c r="T43" s="377">
        <f t="shared" si="4"/>
        <v>30</v>
      </c>
      <c r="U43" s="378"/>
      <c r="V43" s="383"/>
      <c r="W43" s="379"/>
      <c r="X43" s="379"/>
      <c r="Y43" s="379"/>
      <c r="Z43" s="379"/>
      <c r="AA43" s="379"/>
      <c r="AB43" s="379"/>
      <c r="AC43" s="379"/>
    </row>
    <row r="44" ht="18.0" customHeight="1">
      <c r="A44" s="371">
        <v>36.0</v>
      </c>
      <c r="B44" s="188" t="s">
        <v>117</v>
      </c>
      <c r="C44" s="216" t="s">
        <v>118</v>
      </c>
      <c r="D44" s="372"/>
      <c r="E44" s="372"/>
      <c r="F44" s="373"/>
      <c r="G44" s="374">
        <f>'601'!D45</f>
        <v>0</v>
      </c>
      <c r="H44" s="374">
        <f>'601 L'!D45</f>
        <v>0</v>
      </c>
      <c r="I44" s="375">
        <f>'602'!D45</f>
        <v>0</v>
      </c>
      <c r="J44" s="376">
        <f>'602 L'!D45</f>
        <v>0</v>
      </c>
      <c r="K44" s="375">
        <f>'603'!D45</f>
        <v>0</v>
      </c>
      <c r="L44" s="375">
        <f>'604'!D45</f>
        <v>0</v>
      </c>
      <c r="M44" s="376">
        <f>'605 L'!D45</f>
        <v>0</v>
      </c>
      <c r="N44" s="376">
        <f>'606 L'!D45</f>
        <v>0</v>
      </c>
      <c r="O44" s="375">
        <f>'607-EOI'!D45</f>
        <v>0</v>
      </c>
      <c r="P44" s="375">
        <f>'608-MP'!D45</f>
        <v>0</v>
      </c>
      <c r="Q44" s="375">
        <f t="shared" si="1"/>
        <v>0</v>
      </c>
      <c r="R44" s="375">
        <f t="shared" si="2"/>
        <v>0</v>
      </c>
      <c r="S44" s="376">
        <f t="shared" si="3"/>
        <v>0</v>
      </c>
      <c r="T44" s="377">
        <f t="shared" si="4"/>
        <v>0</v>
      </c>
      <c r="U44" s="378"/>
      <c r="V44" s="378"/>
      <c r="W44" s="379"/>
      <c r="X44" s="379"/>
      <c r="Y44" s="379"/>
      <c r="Z44" s="379"/>
      <c r="AA44" s="379"/>
      <c r="AB44" s="379"/>
      <c r="AC44" s="379"/>
    </row>
    <row r="45" ht="18.0" customHeight="1">
      <c r="A45" s="380">
        <v>37.0</v>
      </c>
      <c r="B45" s="188" t="s">
        <v>119</v>
      </c>
      <c r="C45" s="216" t="s">
        <v>120</v>
      </c>
      <c r="D45" s="381"/>
      <c r="E45" s="372"/>
      <c r="F45" s="373"/>
      <c r="G45" s="374">
        <f>'601'!D46</f>
        <v>7</v>
      </c>
      <c r="H45" s="374">
        <f>'601 L'!D46</f>
        <v>5</v>
      </c>
      <c r="I45" s="375">
        <f>'602'!D46</f>
        <v>7</v>
      </c>
      <c r="J45" s="376">
        <f>'602 L'!D46</f>
        <v>4</v>
      </c>
      <c r="K45" s="375">
        <f>'603'!D46</f>
        <v>6</v>
      </c>
      <c r="L45" s="375">
        <f>'604'!D46</f>
        <v>3</v>
      </c>
      <c r="M45" s="376">
        <f>'605 L'!D46</f>
        <v>2</v>
      </c>
      <c r="N45" s="376">
        <f>'606 L'!D46</f>
        <v>4</v>
      </c>
      <c r="O45" s="375">
        <f>'607-EOI'!D46</f>
        <v>0</v>
      </c>
      <c r="P45" s="375">
        <f>'608-MP'!D46</f>
        <v>1</v>
      </c>
      <c r="Q45" s="375">
        <f t="shared" si="1"/>
        <v>23</v>
      </c>
      <c r="R45" s="375">
        <f t="shared" si="2"/>
        <v>16</v>
      </c>
      <c r="S45" s="376">
        <f t="shared" si="3"/>
        <v>39</v>
      </c>
      <c r="T45" s="377">
        <f t="shared" si="4"/>
        <v>22</v>
      </c>
      <c r="U45" s="378"/>
      <c r="V45" s="378"/>
      <c r="W45" s="379"/>
      <c r="X45" s="379"/>
      <c r="Y45" s="379"/>
      <c r="Z45" s="379"/>
      <c r="AA45" s="379"/>
      <c r="AB45" s="379"/>
      <c r="AC45" s="379"/>
    </row>
    <row r="46" ht="15.75" customHeight="1">
      <c r="A46" s="371">
        <v>38.0</v>
      </c>
      <c r="B46" s="188" t="s">
        <v>121</v>
      </c>
      <c r="C46" s="216" t="s">
        <v>122</v>
      </c>
      <c r="D46" s="381"/>
      <c r="E46" s="372"/>
      <c r="F46" s="373"/>
      <c r="G46" s="374">
        <f>'601'!D47</f>
        <v>16</v>
      </c>
      <c r="H46" s="374">
        <f>'601 L'!D47</f>
        <v>10</v>
      </c>
      <c r="I46" s="375">
        <f>'602'!D47</f>
        <v>22</v>
      </c>
      <c r="J46" s="376">
        <f>'602 L'!D47</f>
        <v>6</v>
      </c>
      <c r="K46" s="375">
        <f>'603'!D47</f>
        <v>15</v>
      </c>
      <c r="L46" s="375">
        <f>'604'!D47</f>
        <v>16</v>
      </c>
      <c r="M46" s="376">
        <f>'605 L'!D47</f>
        <v>3</v>
      </c>
      <c r="N46" s="376">
        <f>'606 L'!D47</f>
        <v>7</v>
      </c>
      <c r="O46" s="375">
        <f>'607-EOI'!D47</f>
        <v>0</v>
      </c>
      <c r="P46" s="375">
        <f>'608-MP'!D47</f>
        <v>10</v>
      </c>
      <c r="Q46" s="375">
        <f t="shared" si="1"/>
        <v>69</v>
      </c>
      <c r="R46" s="375">
        <f t="shared" si="2"/>
        <v>36</v>
      </c>
      <c r="S46" s="376">
        <f t="shared" si="3"/>
        <v>105</v>
      </c>
      <c r="T46" s="377">
        <f t="shared" si="4"/>
        <v>59</v>
      </c>
      <c r="U46" s="378"/>
      <c r="V46" s="378"/>
      <c r="W46" s="379"/>
      <c r="X46" s="379"/>
      <c r="Y46" s="379"/>
      <c r="Z46" s="379"/>
      <c r="AA46" s="379"/>
      <c r="AB46" s="379"/>
      <c r="AC46" s="379"/>
    </row>
    <row r="47" ht="15.75" customHeight="1">
      <c r="A47" s="371">
        <v>39.0</v>
      </c>
      <c r="B47" s="188" t="s">
        <v>123</v>
      </c>
      <c r="C47" s="216" t="s">
        <v>124</v>
      </c>
      <c r="D47" s="381"/>
      <c r="E47" s="372"/>
      <c r="F47" s="373"/>
      <c r="G47" s="374">
        <f>'601'!D48</f>
        <v>6</v>
      </c>
      <c r="H47" s="374">
        <f>'601 L'!D48</f>
        <v>6</v>
      </c>
      <c r="I47" s="375">
        <f>'602'!D48</f>
        <v>9</v>
      </c>
      <c r="J47" s="376">
        <f>'602 L'!D48</f>
        <v>3</v>
      </c>
      <c r="K47" s="375">
        <f>'603'!D48</f>
        <v>4</v>
      </c>
      <c r="L47" s="375">
        <f>'604'!D48</f>
        <v>5</v>
      </c>
      <c r="M47" s="376">
        <f>'605 L'!D48</f>
        <v>2</v>
      </c>
      <c r="N47" s="376">
        <f>'606 L'!D48</f>
        <v>5</v>
      </c>
      <c r="O47" s="375">
        <f>'607-EOI'!D48</f>
        <v>0</v>
      </c>
      <c r="P47" s="375">
        <f>'608-MP'!D48</f>
        <v>4</v>
      </c>
      <c r="Q47" s="375">
        <f t="shared" si="1"/>
        <v>24</v>
      </c>
      <c r="R47" s="375">
        <f t="shared" si="2"/>
        <v>20</v>
      </c>
      <c r="S47" s="376">
        <f t="shared" si="3"/>
        <v>44</v>
      </c>
      <c r="T47" s="389">
        <f t="shared" si="4"/>
        <v>25</v>
      </c>
      <c r="U47" s="378"/>
      <c r="V47" s="378"/>
      <c r="W47" s="379"/>
      <c r="X47" s="379"/>
      <c r="Y47" s="379"/>
      <c r="Z47" s="379"/>
      <c r="AA47" s="379"/>
      <c r="AB47" s="379"/>
      <c r="AC47" s="379"/>
    </row>
    <row r="48" ht="15.75" customHeight="1">
      <c r="A48" s="390">
        <v>40.0</v>
      </c>
      <c r="B48" s="188" t="s">
        <v>125</v>
      </c>
      <c r="C48" s="216" t="s">
        <v>126</v>
      </c>
      <c r="D48" s="381"/>
      <c r="E48" s="372"/>
      <c r="F48" s="373"/>
      <c r="G48" s="374">
        <f>'601'!D49</f>
        <v>6</v>
      </c>
      <c r="H48" s="374">
        <f>'601 L'!D49</f>
        <v>6</v>
      </c>
      <c r="I48" s="375">
        <f>'602'!D49</f>
        <v>9</v>
      </c>
      <c r="J48" s="376">
        <f>'602 L'!D49</f>
        <v>3</v>
      </c>
      <c r="K48" s="375">
        <f>'603'!D49</f>
        <v>4</v>
      </c>
      <c r="L48" s="375">
        <f>'604'!D49</f>
        <v>6</v>
      </c>
      <c r="M48" s="376">
        <f>'605 L'!D49</f>
        <v>2</v>
      </c>
      <c r="N48" s="376">
        <f>'606 L'!D49</f>
        <v>5</v>
      </c>
      <c r="O48" s="375">
        <f>'607-EOI'!D49</f>
        <v>0</v>
      </c>
      <c r="P48" s="375">
        <f>'608-MP'!D49</f>
        <v>4</v>
      </c>
      <c r="Q48" s="375">
        <f t="shared" si="1"/>
        <v>25</v>
      </c>
      <c r="R48" s="375">
        <f t="shared" si="2"/>
        <v>20</v>
      </c>
      <c r="S48" s="376">
        <f t="shared" si="3"/>
        <v>45</v>
      </c>
      <c r="T48" s="389">
        <f t="shared" si="4"/>
        <v>25</v>
      </c>
      <c r="U48" s="378"/>
      <c r="V48" s="378"/>
      <c r="W48" s="391"/>
      <c r="X48" s="391"/>
      <c r="Y48" s="391"/>
      <c r="Z48" s="391"/>
      <c r="AA48" s="391"/>
      <c r="AB48" s="391"/>
      <c r="AC48" s="391"/>
    </row>
    <row r="49" ht="15.75" customHeight="1">
      <c r="A49" s="371">
        <v>41.0</v>
      </c>
      <c r="B49" s="188" t="s">
        <v>127</v>
      </c>
      <c r="C49" s="216" t="s">
        <v>128</v>
      </c>
      <c r="D49" s="381"/>
      <c r="E49" s="372"/>
      <c r="F49" s="373"/>
      <c r="G49" s="374">
        <f>'601'!D50</f>
        <v>6</v>
      </c>
      <c r="H49" s="374">
        <f>'601 L'!D50</f>
        <v>3</v>
      </c>
      <c r="I49" s="375">
        <f>'602'!D50</f>
        <v>7</v>
      </c>
      <c r="J49" s="376">
        <f>'602 L'!D50</f>
        <v>2</v>
      </c>
      <c r="K49" s="375">
        <f>'603'!D50</f>
        <v>5</v>
      </c>
      <c r="L49" s="375">
        <f>'604'!D50</f>
        <v>3</v>
      </c>
      <c r="M49" s="376">
        <f>'605 L'!D50</f>
        <v>1</v>
      </c>
      <c r="N49" s="376">
        <f>'606 L'!D50</f>
        <v>3</v>
      </c>
      <c r="O49" s="375">
        <f>'607-EOI'!D50</f>
        <v>0</v>
      </c>
      <c r="P49" s="375">
        <f>'608-MP'!D50</f>
        <v>5</v>
      </c>
      <c r="Q49" s="375">
        <f t="shared" si="1"/>
        <v>21</v>
      </c>
      <c r="R49" s="375">
        <f t="shared" si="2"/>
        <v>14</v>
      </c>
      <c r="S49" s="376">
        <f t="shared" si="3"/>
        <v>35</v>
      </c>
      <c r="T49" s="389">
        <f t="shared" si="4"/>
        <v>20</v>
      </c>
      <c r="U49" s="378"/>
      <c r="V49" s="378"/>
      <c r="W49" s="379"/>
      <c r="X49" s="379"/>
      <c r="Y49" s="379"/>
      <c r="Z49" s="379"/>
      <c r="AA49" s="379"/>
      <c r="AB49" s="379"/>
      <c r="AC49" s="379"/>
    </row>
    <row r="50" ht="15.75" customHeight="1">
      <c r="A50" s="380">
        <v>42.0</v>
      </c>
      <c r="B50" s="188" t="s">
        <v>129</v>
      </c>
      <c r="C50" s="216" t="s">
        <v>130</v>
      </c>
      <c r="D50" s="381"/>
      <c r="E50" s="372"/>
      <c r="F50" s="373"/>
      <c r="G50" s="374">
        <f>'601'!D51</f>
        <v>11</v>
      </c>
      <c r="H50" s="374">
        <f>'601 L'!D51</f>
        <v>7</v>
      </c>
      <c r="I50" s="375">
        <f>'602'!D51</f>
        <v>9</v>
      </c>
      <c r="J50" s="376">
        <f>'602 L'!D51</f>
        <v>2</v>
      </c>
      <c r="K50" s="375">
        <f>'603'!D51</f>
        <v>10</v>
      </c>
      <c r="L50" s="375">
        <f>'604'!D51</f>
        <v>9</v>
      </c>
      <c r="M50" s="376">
        <f>'605 L'!D51</f>
        <v>2</v>
      </c>
      <c r="N50" s="376">
        <f>'606 L'!D51</f>
        <v>5</v>
      </c>
      <c r="O50" s="375">
        <f>'607-EOI'!D51</f>
        <v>0</v>
      </c>
      <c r="P50" s="375">
        <f>'608-MP'!D51</f>
        <v>3</v>
      </c>
      <c r="Q50" s="375">
        <f t="shared" si="1"/>
        <v>39</v>
      </c>
      <c r="R50" s="375">
        <f t="shared" ref="R50:R92" si="5">SUM(H50+J50+N50+O50+M50+P49)</f>
        <v>21</v>
      </c>
      <c r="S50" s="376">
        <f t="shared" si="3"/>
        <v>60</v>
      </c>
      <c r="T50" s="389">
        <f t="shared" si="4"/>
        <v>34</v>
      </c>
      <c r="U50" s="378"/>
      <c r="V50" s="378"/>
      <c r="W50" s="379"/>
      <c r="X50" s="379"/>
      <c r="Y50" s="379"/>
      <c r="Z50" s="379"/>
      <c r="AA50" s="379"/>
      <c r="AB50" s="379"/>
      <c r="AC50" s="379"/>
    </row>
    <row r="51" ht="15.75" customHeight="1">
      <c r="A51" s="390">
        <v>43.0</v>
      </c>
      <c r="B51" s="188" t="s">
        <v>131</v>
      </c>
      <c r="C51" s="216" t="s">
        <v>132</v>
      </c>
      <c r="D51" s="381"/>
      <c r="E51" s="372"/>
      <c r="F51" s="373"/>
      <c r="G51" s="374">
        <f>'601'!D52</f>
        <v>6</v>
      </c>
      <c r="H51" s="374">
        <f>'601 L'!D52</f>
        <v>2</v>
      </c>
      <c r="I51" s="375">
        <f>'602'!D52</f>
        <v>9</v>
      </c>
      <c r="J51" s="376">
        <f>'602 L'!D52</f>
        <v>2</v>
      </c>
      <c r="K51" s="375">
        <f>'603'!D52</f>
        <v>4</v>
      </c>
      <c r="L51" s="375">
        <f>'604'!D52</f>
        <v>7</v>
      </c>
      <c r="M51" s="376">
        <f>'605 L'!D52</f>
        <v>2</v>
      </c>
      <c r="N51" s="376">
        <f>'606 L'!D52</f>
        <v>4</v>
      </c>
      <c r="O51" s="375">
        <f>'607-EOI'!D52</f>
        <v>0</v>
      </c>
      <c r="P51" s="375">
        <f>'608-MP'!D52</f>
        <v>1</v>
      </c>
      <c r="Q51" s="375">
        <f t="shared" si="1"/>
        <v>26</v>
      </c>
      <c r="R51" s="375">
        <f t="shared" si="5"/>
        <v>13</v>
      </c>
      <c r="S51" s="376">
        <f t="shared" si="3"/>
        <v>39</v>
      </c>
      <c r="T51" s="389">
        <f t="shared" si="4"/>
        <v>22</v>
      </c>
      <c r="U51" s="378"/>
      <c r="V51" s="378"/>
      <c r="W51" s="379"/>
      <c r="X51" s="379"/>
      <c r="Y51" s="379"/>
      <c r="Z51" s="379"/>
      <c r="AA51" s="379"/>
      <c r="AB51" s="379"/>
      <c r="AC51" s="379"/>
    </row>
    <row r="52" ht="15.75" customHeight="1">
      <c r="A52" s="371">
        <v>44.0</v>
      </c>
      <c r="B52" s="188" t="s">
        <v>133</v>
      </c>
      <c r="C52" s="216" t="s">
        <v>134</v>
      </c>
      <c r="D52" s="381"/>
      <c r="E52" s="372"/>
      <c r="F52" s="373"/>
      <c r="G52" s="374">
        <f>'601'!D53</f>
        <v>10</v>
      </c>
      <c r="H52" s="374">
        <f>'601 L'!D53</f>
        <v>5</v>
      </c>
      <c r="I52" s="375">
        <f>'602'!D53</f>
        <v>17</v>
      </c>
      <c r="J52" s="376">
        <f>'602 L'!D53</f>
        <v>3</v>
      </c>
      <c r="K52" s="375">
        <f>'603'!D53</f>
        <v>11</v>
      </c>
      <c r="L52" s="375">
        <f>'604'!D53</f>
        <v>10</v>
      </c>
      <c r="M52" s="376">
        <f>'605 L'!D53</f>
        <v>3</v>
      </c>
      <c r="N52" s="376">
        <f>'606 L'!D53</f>
        <v>6</v>
      </c>
      <c r="O52" s="375">
        <f>'607-EOI'!D53</f>
        <v>0</v>
      </c>
      <c r="P52" s="375">
        <f>'608-MP'!D53</f>
        <v>4</v>
      </c>
      <c r="Q52" s="375">
        <f t="shared" si="1"/>
        <v>48</v>
      </c>
      <c r="R52" s="375">
        <f t="shared" si="5"/>
        <v>18</v>
      </c>
      <c r="S52" s="376">
        <f t="shared" si="3"/>
        <v>66</v>
      </c>
      <c r="T52" s="389">
        <f t="shared" si="4"/>
        <v>37</v>
      </c>
      <c r="U52" s="378"/>
      <c r="V52" s="378"/>
      <c r="W52" s="379"/>
      <c r="X52" s="379"/>
      <c r="Y52" s="379"/>
      <c r="Z52" s="379"/>
      <c r="AA52" s="379"/>
      <c r="AB52" s="379"/>
      <c r="AC52" s="379"/>
    </row>
    <row r="53" ht="15.75" customHeight="1">
      <c r="A53" s="380">
        <v>45.0</v>
      </c>
      <c r="B53" s="188" t="s">
        <v>135</v>
      </c>
      <c r="C53" s="216" t="s">
        <v>136</v>
      </c>
      <c r="D53" s="372"/>
      <c r="E53" s="372"/>
      <c r="F53" s="373"/>
      <c r="G53" s="374">
        <f>'601'!D54</f>
        <v>6</v>
      </c>
      <c r="H53" s="374">
        <f>'601 L'!D54</f>
        <v>2</v>
      </c>
      <c r="I53" s="375">
        <f>'602'!D54</f>
        <v>7</v>
      </c>
      <c r="J53" s="376">
        <f>'602 L'!D54</f>
        <v>3</v>
      </c>
      <c r="K53" s="375">
        <f>'603'!D54</f>
        <v>1</v>
      </c>
      <c r="L53" s="375">
        <f>'604'!D54</f>
        <v>5</v>
      </c>
      <c r="M53" s="376">
        <f>'605 L'!D54</f>
        <v>0</v>
      </c>
      <c r="N53" s="376">
        <f>'606 L'!D54</f>
        <v>3</v>
      </c>
      <c r="O53" s="375">
        <f>'607-EOI'!D54</f>
        <v>0</v>
      </c>
      <c r="P53" s="375">
        <f>'608-MP'!D54</f>
        <v>2</v>
      </c>
      <c r="Q53" s="375">
        <f t="shared" si="1"/>
        <v>19</v>
      </c>
      <c r="R53" s="375">
        <f t="shared" si="5"/>
        <v>12</v>
      </c>
      <c r="S53" s="376">
        <f t="shared" si="3"/>
        <v>31</v>
      </c>
      <c r="T53" s="389">
        <f t="shared" si="4"/>
        <v>17</v>
      </c>
      <c r="U53" s="378"/>
      <c r="V53" s="378"/>
      <c r="W53" s="379"/>
      <c r="X53" s="379"/>
      <c r="Y53" s="379"/>
      <c r="Z53" s="379"/>
      <c r="AA53" s="379"/>
      <c r="AB53" s="379"/>
      <c r="AC53" s="379"/>
    </row>
    <row r="54" ht="15.75" customHeight="1">
      <c r="A54" s="390">
        <v>46.0</v>
      </c>
      <c r="B54" s="188" t="s">
        <v>137</v>
      </c>
      <c r="C54" s="216" t="s">
        <v>138</v>
      </c>
      <c r="D54" s="381"/>
      <c r="E54" s="372"/>
      <c r="F54" s="373"/>
      <c r="G54" s="374">
        <f>'601'!D55</f>
        <v>4</v>
      </c>
      <c r="H54" s="374">
        <f>'601 L'!D55</f>
        <v>2</v>
      </c>
      <c r="I54" s="375">
        <f>'602'!D55</f>
        <v>9</v>
      </c>
      <c r="J54" s="376">
        <f>'602 L'!D55</f>
        <v>2</v>
      </c>
      <c r="K54" s="375">
        <f>'603'!D55</f>
        <v>4</v>
      </c>
      <c r="L54" s="375">
        <f>'604'!D55</f>
        <v>6</v>
      </c>
      <c r="M54" s="376">
        <f>'605 L'!D55</f>
        <v>3</v>
      </c>
      <c r="N54" s="376">
        <f>'606 L'!D55</f>
        <v>4</v>
      </c>
      <c r="O54" s="375">
        <f>'607-EOI'!D55</f>
        <v>0</v>
      </c>
      <c r="P54" s="375">
        <f>'608-MP'!D55</f>
        <v>3</v>
      </c>
      <c r="Q54" s="375">
        <f t="shared" si="1"/>
        <v>23</v>
      </c>
      <c r="R54" s="375">
        <f t="shared" si="5"/>
        <v>13</v>
      </c>
      <c r="S54" s="376">
        <f t="shared" si="3"/>
        <v>36</v>
      </c>
      <c r="T54" s="389">
        <f t="shared" si="4"/>
        <v>20</v>
      </c>
      <c r="U54" s="378"/>
      <c r="V54" s="378"/>
      <c r="W54" s="379"/>
      <c r="X54" s="379"/>
      <c r="Y54" s="379"/>
      <c r="Z54" s="379"/>
      <c r="AA54" s="379"/>
      <c r="AB54" s="379"/>
      <c r="AC54" s="379"/>
    </row>
    <row r="55" ht="15.75" customHeight="1">
      <c r="A55" s="371">
        <v>47.0</v>
      </c>
      <c r="B55" s="188" t="s">
        <v>139</v>
      </c>
      <c r="C55" s="216" t="s">
        <v>140</v>
      </c>
      <c r="D55" s="372"/>
      <c r="E55" s="372"/>
      <c r="F55" s="373"/>
      <c r="G55" s="374">
        <f>'601'!D56</f>
        <v>5</v>
      </c>
      <c r="H55" s="374">
        <f>'601 L'!D56</f>
        <v>4</v>
      </c>
      <c r="I55" s="375">
        <f>'602'!D56</f>
        <v>9</v>
      </c>
      <c r="J55" s="376">
        <f>'602 L'!D56</f>
        <v>4</v>
      </c>
      <c r="K55" s="375">
        <f>'603'!D56</f>
        <v>8</v>
      </c>
      <c r="L55" s="375">
        <f>'604'!D56</f>
        <v>8</v>
      </c>
      <c r="M55" s="376">
        <f>'605 L'!D56</f>
        <v>2</v>
      </c>
      <c r="N55" s="376">
        <f>'606 L'!D56</f>
        <v>4</v>
      </c>
      <c r="O55" s="375">
        <f>'607-EOI'!D56</f>
        <v>0</v>
      </c>
      <c r="P55" s="375">
        <f>'608-MP'!D56</f>
        <v>3</v>
      </c>
      <c r="Q55" s="375">
        <f t="shared" si="1"/>
        <v>30</v>
      </c>
      <c r="R55" s="375">
        <f t="shared" si="5"/>
        <v>17</v>
      </c>
      <c r="S55" s="376">
        <f t="shared" si="3"/>
        <v>47</v>
      </c>
      <c r="T55" s="389">
        <f t="shared" si="4"/>
        <v>26</v>
      </c>
      <c r="U55" s="378"/>
      <c r="V55" s="378"/>
      <c r="W55" s="379"/>
      <c r="X55" s="379"/>
      <c r="Y55" s="379"/>
      <c r="Z55" s="379"/>
      <c r="AA55" s="379"/>
      <c r="AB55" s="379"/>
      <c r="AC55" s="379"/>
    </row>
    <row r="56" ht="15.75" customHeight="1">
      <c r="A56" s="380">
        <v>48.0</v>
      </c>
      <c r="B56" s="188" t="s">
        <v>141</v>
      </c>
      <c r="C56" s="216" t="s">
        <v>142</v>
      </c>
      <c r="D56" s="381"/>
      <c r="E56" s="372"/>
      <c r="F56" s="392"/>
      <c r="G56" s="374">
        <f>'601'!D57</f>
        <v>7</v>
      </c>
      <c r="H56" s="374">
        <f>'601 L'!D57</f>
        <v>5</v>
      </c>
      <c r="I56" s="375">
        <f>'602'!D57</f>
        <v>11</v>
      </c>
      <c r="J56" s="376">
        <f>'602 L'!D57</f>
        <v>4</v>
      </c>
      <c r="K56" s="375">
        <f>'603'!D57</f>
        <v>10</v>
      </c>
      <c r="L56" s="375">
        <f>'604'!D57</f>
        <v>8</v>
      </c>
      <c r="M56" s="376">
        <f>'605 L'!D57</f>
        <v>3</v>
      </c>
      <c r="N56" s="376">
        <f>'606 L'!D57</f>
        <v>4</v>
      </c>
      <c r="O56" s="375">
        <f>'607-EOI'!D57</f>
        <v>0</v>
      </c>
      <c r="P56" s="375">
        <f>'608-MP'!D57</f>
        <v>4</v>
      </c>
      <c r="Q56" s="375">
        <f t="shared" si="1"/>
        <v>36</v>
      </c>
      <c r="R56" s="375">
        <f t="shared" si="5"/>
        <v>19</v>
      </c>
      <c r="S56" s="376">
        <f t="shared" si="3"/>
        <v>55</v>
      </c>
      <c r="T56" s="389">
        <f t="shared" si="4"/>
        <v>31</v>
      </c>
      <c r="U56" s="378"/>
      <c r="V56" s="378"/>
      <c r="W56" s="379"/>
      <c r="X56" s="379"/>
      <c r="Y56" s="379"/>
      <c r="Z56" s="379"/>
      <c r="AA56" s="379"/>
      <c r="AB56" s="379"/>
      <c r="AC56" s="379"/>
    </row>
    <row r="57" ht="15.75" customHeight="1">
      <c r="A57" s="390">
        <v>49.0</v>
      </c>
      <c r="B57" s="188" t="s">
        <v>143</v>
      </c>
      <c r="C57" s="216" t="s">
        <v>144</v>
      </c>
      <c r="D57" s="381"/>
      <c r="E57" s="372"/>
      <c r="F57" s="373"/>
      <c r="G57" s="374">
        <f>'601'!D58</f>
        <v>13</v>
      </c>
      <c r="H57" s="374">
        <f>'601 L'!D58</f>
        <v>9</v>
      </c>
      <c r="I57" s="375">
        <f>'602'!D58</f>
        <v>16</v>
      </c>
      <c r="J57" s="376">
        <f>'602 L'!D58</f>
        <v>5</v>
      </c>
      <c r="K57" s="375">
        <f>'603'!D58</f>
        <v>14</v>
      </c>
      <c r="L57" s="375">
        <f>'604'!D58</f>
        <v>10</v>
      </c>
      <c r="M57" s="376">
        <f>'605 L'!D58</f>
        <v>1</v>
      </c>
      <c r="N57" s="376">
        <f>'606 L'!D58</f>
        <v>6</v>
      </c>
      <c r="O57" s="375">
        <f>'607-EOI'!D58</f>
        <v>0</v>
      </c>
      <c r="P57" s="375">
        <f>'608-MP'!D58</f>
        <v>7</v>
      </c>
      <c r="Q57" s="375">
        <f t="shared" si="1"/>
        <v>53</v>
      </c>
      <c r="R57" s="375">
        <f t="shared" si="5"/>
        <v>25</v>
      </c>
      <c r="S57" s="376">
        <f t="shared" si="3"/>
        <v>78</v>
      </c>
      <c r="T57" s="389">
        <f t="shared" si="4"/>
        <v>44</v>
      </c>
      <c r="U57" s="378"/>
      <c r="V57" s="378"/>
      <c r="W57" s="379"/>
      <c r="X57" s="379"/>
      <c r="Y57" s="379"/>
      <c r="Z57" s="379"/>
      <c r="AA57" s="379"/>
      <c r="AB57" s="379"/>
      <c r="AC57" s="379"/>
    </row>
    <row r="58" ht="15.75" customHeight="1">
      <c r="A58" s="371">
        <v>50.0</v>
      </c>
      <c r="B58" s="188" t="s">
        <v>145</v>
      </c>
      <c r="C58" s="216" t="s">
        <v>146</v>
      </c>
      <c r="D58" s="381"/>
      <c r="E58" s="372"/>
      <c r="F58" s="373"/>
      <c r="G58" s="374">
        <f>'601'!D59</f>
        <v>7</v>
      </c>
      <c r="H58" s="374">
        <f>'601 L'!D59</f>
        <v>5</v>
      </c>
      <c r="I58" s="375">
        <f>'602'!D59</f>
        <v>10</v>
      </c>
      <c r="J58" s="376">
        <f>'602 L'!D59</f>
        <v>4</v>
      </c>
      <c r="K58" s="375">
        <f>'603'!D59</f>
        <v>5</v>
      </c>
      <c r="L58" s="375">
        <f>'604'!D59</f>
        <v>5</v>
      </c>
      <c r="M58" s="376">
        <f>'605 L'!D59</f>
        <v>2</v>
      </c>
      <c r="N58" s="376">
        <f>'606 L'!D59</f>
        <v>4</v>
      </c>
      <c r="O58" s="375">
        <f>'607-EOI'!D59</f>
        <v>0</v>
      </c>
      <c r="P58" s="375">
        <f>'608-MP'!D59</f>
        <v>4</v>
      </c>
      <c r="Q58" s="375">
        <f t="shared" si="1"/>
        <v>27</v>
      </c>
      <c r="R58" s="375">
        <f t="shared" si="5"/>
        <v>22</v>
      </c>
      <c r="S58" s="376">
        <f t="shared" si="3"/>
        <v>49</v>
      </c>
      <c r="T58" s="389">
        <f t="shared" si="4"/>
        <v>27</v>
      </c>
      <c r="U58" s="378"/>
      <c r="V58" s="378"/>
      <c r="W58" s="379"/>
      <c r="X58" s="379"/>
      <c r="Y58" s="379"/>
      <c r="Z58" s="379"/>
      <c r="AA58" s="379"/>
      <c r="AB58" s="379"/>
      <c r="AC58" s="379"/>
    </row>
    <row r="59" ht="15.75" customHeight="1">
      <c r="A59" s="380">
        <v>51.0</v>
      </c>
      <c r="B59" s="188" t="s">
        <v>147</v>
      </c>
      <c r="C59" s="216" t="s">
        <v>148</v>
      </c>
      <c r="D59" s="381"/>
      <c r="E59" s="372"/>
      <c r="F59" s="373"/>
      <c r="G59" s="374">
        <f>'601'!D60</f>
        <v>5</v>
      </c>
      <c r="H59" s="374">
        <f>'601 L'!D60</f>
        <v>6</v>
      </c>
      <c r="I59" s="375">
        <f>'602'!D60</f>
        <v>8</v>
      </c>
      <c r="J59" s="376">
        <f>'602 L'!D60</f>
        <v>3</v>
      </c>
      <c r="K59" s="375">
        <f>'603'!D60</f>
        <v>5</v>
      </c>
      <c r="L59" s="375">
        <f>'604'!D60</f>
        <v>4</v>
      </c>
      <c r="M59" s="376">
        <f>'605 L'!D60</f>
        <v>0</v>
      </c>
      <c r="N59" s="376">
        <f>'606 L'!D60</f>
        <v>5</v>
      </c>
      <c r="O59" s="375">
        <f>'607-EOI'!D60</f>
        <v>0</v>
      </c>
      <c r="P59" s="375">
        <f>'608-MP'!D60</f>
        <v>4</v>
      </c>
      <c r="Q59" s="375">
        <f t="shared" si="1"/>
        <v>22</v>
      </c>
      <c r="R59" s="375">
        <f t="shared" si="5"/>
        <v>18</v>
      </c>
      <c r="S59" s="376">
        <f t="shared" si="3"/>
        <v>40</v>
      </c>
      <c r="T59" s="389">
        <f t="shared" si="4"/>
        <v>22</v>
      </c>
      <c r="U59" s="378"/>
      <c r="V59" s="378"/>
      <c r="W59" s="379"/>
      <c r="X59" s="379"/>
      <c r="Y59" s="379"/>
      <c r="Z59" s="379"/>
      <c r="AA59" s="379"/>
      <c r="AB59" s="379"/>
      <c r="AC59" s="379"/>
    </row>
    <row r="60" ht="15.75" customHeight="1">
      <c r="A60" s="390">
        <v>52.0</v>
      </c>
      <c r="B60" s="188" t="s">
        <v>149</v>
      </c>
      <c r="C60" s="216" t="s">
        <v>150</v>
      </c>
      <c r="D60" s="372"/>
      <c r="E60" s="372"/>
      <c r="F60" s="373"/>
      <c r="G60" s="374">
        <f>'601'!D61</f>
        <v>16</v>
      </c>
      <c r="H60" s="374">
        <f>'601 L'!D61</f>
        <v>8</v>
      </c>
      <c r="I60" s="375">
        <f>'602'!D61</f>
        <v>14</v>
      </c>
      <c r="J60" s="376">
        <f>'602 L'!D61</f>
        <v>4</v>
      </c>
      <c r="K60" s="375">
        <f>'603'!D61</f>
        <v>14</v>
      </c>
      <c r="L60" s="375">
        <f>'604'!D61</f>
        <v>14</v>
      </c>
      <c r="M60" s="376">
        <f>'605 L'!D61</f>
        <v>2</v>
      </c>
      <c r="N60" s="376">
        <f>'606 L'!D61</f>
        <v>7</v>
      </c>
      <c r="O60" s="375">
        <f>'607-EOI'!D61</f>
        <v>0</v>
      </c>
      <c r="P60" s="375">
        <f>'608-MP'!D61</f>
        <v>8</v>
      </c>
      <c r="Q60" s="375">
        <f t="shared" si="1"/>
        <v>58</v>
      </c>
      <c r="R60" s="375">
        <f t="shared" si="5"/>
        <v>25</v>
      </c>
      <c r="S60" s="376">
        <f t="shared" si="3"/>
        <v>83</v>
      </c>
      <c r="T60" s="389">
        <f t="shared" si="4"/>
        <v>46</v>
      </c>
      <c r="U60" s="378"/>
      <c r="V60" s="378"/>
      <c r="W60" s="379"/>
      <c r="X60" s="379"/>
      <c r="Y60" s="379"/>
      <c r="Z60" s="379"/>
      <c r="AA60" s="379"/>
      <c r="AB60" s="379"/>
      <c r="AC60" s="379"/>
    </row>
    <row r="61" ht="15.75" customHeight="1">
      <c r="A61" s="371">
        <v>53.0</v>
      </c>
      <c r="B61" s="188" t="s">
        <v>151</v>
      </c>
      <c r="C61" s="216" t="s">
        <v>152</v>
      </c>
      <c r="D61" s="381"/>
      <c r="E61" s="372"/>
      <c r="F61" s="373"/>
      <c r="G61" s="374">
        <f>'601'!D62</f>
        <v>5</v>
      </c>
      <c r="H61" s="374">
        <f>'601 L'!D62</f>
        <v>6</v>
      </c>
      <c r="I61" s="375">
        <f>'602'!D62</f>
        <v>6</v>
      </c>
      <c r="J61" s="376">
        <f>'602 L'!D62</f>
        <v>1</v>
      </c>
      <c r="K61" s="375">
        <f>'603'!D62</f>
        <v>7</v>
      </c>
      <c r="L61" s="375">
        <f>'604'!D62</f>
        <v>4</v>
      </c>
      <c r="M61" s="376">
        <f>'605 L'!D62</f>
        <v>1</v>
      </c>
      <c r="N61" s="376">
        <f>'606 L'!D62</f>
        <v>2</v>
      </c>
      <c r="O61" s="375">
        <f>'607-EOI'!D62</f>
        <v>0</v>
      </c>
      <c r="P61" s="375">
        <f>'608-MP'!D62</f>
        <v>4</v>
      </c>
      <c r="Q61" s="375">
        <f t="shared" si="1"/>
        <v>22</v>
      </c>
      <c r="R61" s="375">
        <f t="shared" si="5"/>
        <v>18</v>
      </c>
      <c r="S61" s="376">
        <f t="shared" si="3"/>
        <v>40</v>
      </c>
      <c r="T61" s="389">
        <f t="shared" si="4"/>
        <v>22</v>
      </c>
      <c r="U61" s="378"/>
      <c r="V61" s="378"/>
      <c r="W61" s="379"/>
      <c r="X61" s="379"/>
      <c r="Y61" s="379"/>
      <c r="Z61" s="379"/>
      <c r="AA61" s="379"/>
      <c r="AB61" s="379"/>
      <c r="AC61" s="379"/>
    </row>
    <row r="62" ht="15.75" customHeight="1">
      <c r="A62" s="380">
        <v>54.0</v>
      </c>
      <c r="B62" s="188" t="s">
        <v>153</v>
      </c>
      <c r="C62" s="216" t="s">
        <v>154</v>
      </c>
      <c r="D62" s="381"/>
      <c r="E62" s="372"/>
      <c r="F62" s="373"/>
      <c r="G62" s="374">
        <f>'601'!D63</f>
        <v>6</v>
      </c>
      <c r="H62" s="374">
        <f>'601 L'!D63</f>
        <v>3</v>
      </c>
      <c r="I62" s="375">
        <f>'602'!D63</f>
        <v>4</v>
      </c>
      <c r="J62" s="376">
        <f>'602 L'!D63</f>
        <v>2</v>
      </c>
      <c r="K62" s="375">
        <f>'603'!D63</f>
        <v>7</v>
      </c>
      <c r="L62" s="375">
        <f>'604'!D63</f>
        <v>4</v>
      </c>
      <c r="M62" s="376">
        <f>'605 L'!D63</f>
        <v>1</v>
      </c>
      <c r="N62" s="376">
        <f>'606 L'!D63</f>
        <v>2</v>
      </c>
      <c r="O62" s="375">
        <f>'607-EOI'!D63</f>
        <v>0</v>
      </c>
      <c r="P62" s="375">
        <f>'608-MP'!D63</f>
        <v>1</v>
      </c>
      <c r="Q62" s="375">
        <f t="shared" si="1"/>
        <v>21</v>
      </c>
      <c r="R62" s="375">
        <f t="shared" si="5"/>
        <v>12</v>
      </c>
      <c r="S62" s="376">
        <f t="shared" si="3"/>
        <v>33</v>
      </c>
      <c r="T62" s="389">
        <f t="shared" si="4"/>
        <v>18</v>
      </c>
      <c r="U62" s="378"/>
      <c r="V62" s="378"/>
      <c r="W62" s="379"/>
      <c r="X62" s="379"/>
      <c r="Y62" s="379"/>
      <c r="Z62" s="379"/>
      <c r="AA62" s="379"/>
      <c r="AB62" s="379"/>
      <c r="AC62" s="379"/>
    </row>
    <row r="63" ht="15.75" customHeight="1">
      <c r="A63" s="390">
        <v>55.0</v>
      </c>
      <c r="B63" s="188" t="s">
        <v>155</v>
      </c>
      <c r="C63" s="216" t="s">
        <v>156</v>
      </c>
      <c r="D63" s="372"/>
      <c r="E63" s="372"/>
      <c r="F63" s="373"/>
      <c r="G63" s="374">
        <f>'601'!D64</f>
        <v>7</v>
      </c>
      <c r="H63" s="374">
        <f>'601 L'!D64</f>
        <v>3</v>
      </c>
      <c r="I63" s="375">
        <f>'602'!D64</f>
        <v>9</v>
      </c>
      <c r="J63" s="376">
        <f>'602 L'!D64</f>
        <v>3</v>
      </c>
      <c r="K63" s="375">
        <f>'603'!D64</f>
        <v>1</v>
      </c>
      <c r="L63" s="375">
        <f>'604'!D64</f>
        <v>6</v>
      </c>
      <c r="M63" s="376">
        <f>'605 L'!D64</f>
        <v>0</v>
      </c>
      <c r="N63" s="376">
        <f>'606 L'!D64</f>
        <v>3</v>
      </c>
      <c r="O63" s="375">
        <f>'607-EOI'!D64</f>
        <v>0</v>
      </c>
      <c r="P63" s="375">
        <f>'608-MP'!D64</f>
        <v>3</v>
      </c>
      <c r="Q63" s="375">
        <f t="shared" si="1"/>
        <v>23</v>
      </c>
      <c r="R63" s="375">
        <f t="shared" si="5"/>
        <v>10</v>
      </c>
      <c r="S63" s="376">
        <f t="shared" si="3"/>
        <v>33</v>
      </c>
      <c r="T63" s="389">
        <f t="shared" si="4"/>
        <v>18</v>
      </c>
      <c r="U63" s="378"/>
      <c r="V63" s="378"/>
      <c r="W63" s="379"/>
      <c r="X63" s="379"/>
      <c r="Y63" s="379"/>
      <c r="Z63" s="379"/>
      <c r="AA63" s="379"/>
      <c r="AB63" s="379"/>
      <c r="AC63" s="379"/>
    </row>
    <row r="64" ht="15.75" customHeight="1">
      <c r="A64" s="371">
        <v>56.0</v>
      </c>
      <c r="B64" s="188" t="s">
        <v>157</v>
      </c>
      <c r="C64" s="216" t="s">
        <v>158</v>
      </c>
      <c r="D64" s="372"/>
      <c r="E64" s="372"/>
      <c r="F64" s="373"/>
      <c r="G64" s="374">
        <f>'601'!D65</f>
        <v>0</v>
      </c>
      <c r="H64" s="374">
        <f>'601 L'!D65</f>
        <v>1</v>
      </c>
      <c r="I64" s="375">
        <f>'602'!D65</f>
        <v>0</v>
      </c>
      <c r="J64" s="376">
        <f>'602 L'!D65</f>
        <v>0</v>
      </c>
      <c r="K64" s="375">
        <f>'603'!D65</f>
        <v>0</v>
      </c>
      <c r="L64" s="375">
        <f>'604'!D65</f>
        <v>0</v>
      </c>
      <c r="M64" s="376">
        <f>'605 L'!D65</f>
        <v>0</v>
      </c>
      <c r="N64" s="376">
        <f>'606 L'!D65</f>
        <v>0</v>
      </c>
      <c r="O64" s="375">
        <f>'607-EOI'!D65</f>
        <v>0</v>
      </c>
      <c r="P64" s="375">
        <f>'608-MP'!D65</f>
        <v>0</v>
      </c>
      <c r="Q64" s="375">
        <f t="shared" si="1"/>
        <v>0</v>
      </c>
      <c r="R64" s="375">
        <f t="shared" si="5"/>
        <v>4</v>
      </c>
      <c r="S64" s="376">
        <f t="shared" si="3"/>
        <v>4</v>
      </c>
      <c r="T64" s="389">
        <f t="shared" si="4"/>
        <v>2</v>
      </c>
      <c r="U64" s="378"/>
      <c r="V64" s="378"/>
      <c r="W64" s="379"/>
      <c r="X64" s="379"/>
      <c r="Y64" s="379"/>
      <c r="Z64" s="379"/>
      <c r="AA64" s="379"/>
      <c r="AB64" s="379"/>
      <c r="AC64" s="379"/>
    </row>
    <row r="65" ht="15.75" customHeight="1">
      <c r="A65" s="380">
        <v>57.0</v>
      </c>
      <c r="B65" s="188" t="s">
        <v>159</v>
      </c>
      <c r="C65" s="216" t="s">
        <v>160</v>
      </c>
      <c r="D65" s="372"/>
      <c r="E65" s="372"/>
      <c r="F65" s="373"/>
      <c r="G65" s="374">
        <f>'601'!D66</f>
        <v>16</v>
      </c>
      <c r="H65" s="374">
        <f>'601 L'!D66</f>
        <v>4</v>
      </c>
      <c r="I65" s="375">
        <f>'602'!D66</f>
        <v>18</v>
      </c>
      <c r="J65" s="376">
        <f>'602 L'!D66</f>
        <v>4</v>
      </c>
      <c r="K65" s="375">
        <f>'603'!D66</f>
        <v>13</v>
      </c>
      <c r="L65" s="375">
        <f>'604'!D66</f>
        <v>11</v>
      </c>
      <c r="M65" s="376">
        <f>'605 L'!D66</f>
        <v>3</v>
      </c>
      <c r="N65" s="376">
        <f>'606 L'!D66</f>
        <v>7</v>
      </c>
      <c r="O65" s="375">
        <f>'607-EOI'!D66</f>
        <v>0</v>
      </c>
      <c r="P65" s="375">
        <f>'608-MP'!D66</f>
        <v>9</v>
      </c>
      <c r="Q65" s="375">
        <f t="shared" si="1"/>
        <v>58</v>
      </c>
      <c r="R65" s="375">
        <f t="shared" si="5"/>
        <v>18</v>
      </c>
      <c r="S65" s="376">
        <f t="shared" si="3"/>
        <v>76</v>
      </c>
      <c r="T65" s="389">
        <f t="shared" si="4"/>
        <v>42</v>
      </c>
      <c r="U65" s="378"/>
      <c r="V65" s="378"/>
      <c r="W65" s="379"/>
      <c r="X65" s="379"/>
      <c r="Y65" s="379"/>
      <c r="Z65" s="379"/>
      <c r="AA65" s="379"/>
      <c r="AB65" s="379"/>
      <c r="AC65" s="379"/>
    </row>
    <row r="66" ht="15.75" customHeight="1">
      <c r="A66" s="390">
        <v>58.0</v>
      </c>
      <c r="B66" s="188" t="s">
        <v>161</v>
      </c>
      <c r="C66" s="216" t="s">
        <v>162</v>
      </c>
      <c r="D66" s="381"/>
      <c r="E66" s="372"/>
      <c r="F66" s="373"/>
      <c r="G66" s="374">
        <f>'601'!D67</f>
        <v>4</v>
      </c>
      <c r="H66" s="374">
        <f>'601 L'!D67</f>
        <v>4</v>
      </c>
      <c r="I66" s="375">
        <f>'602'!D67</f>
        <v>3</v>
      </c>
      <c r="J66" s="376">
        <f>'602 L'!D67</f>
        <v>0</v>
      </c>
      <c r="K66" s="375">
        <f>'603'!D67</f>
        <v>5</v>
      </c>
      <c r="L66" s="375">
        <f>'604'!D67</f>
        <v>3</v>
      </c>
      <c r="M66" s="376">
        <f>'605 L'!D67</f>
        <v>2</v>
      </c>
      <c r="N66" s="376">
        <f>'606 L'!D67</f>
        <v>1</v>
      </c>
      <c r="O66" s="375">
        <f>'607-EOI'!D67</f>
        <v>0</v>
      </c>
      <c r="P66" s="375">
        <f>'608-MP'!D67</f>
        <v>3</v>
      </c>
      <c r="Q66" s="375">
        <f t="shared" si="1"/>
        <v>15</v>
      </c>
      <c r="R66" s="375">
        <f t="shared" si="5"/>
        <v>16</v>
      </c>
      <c r="S66" s="376">
        <f t="shared" si="3"/>
        <v>31</v>
      </c>
      <c r="T66" s="389">
        <f t="shared" si="4"/>
        <v>17</v>
      </c>
      <c r="U66" s="378"/>
      <c r="V66" s="378"/>
      <c r="W66" s="379"/>
      <c r="X66" s="379"/>
      <c r="Y66" s="379"/>
      <c r="Z66" s="379"/>
      <c r="AA66" s="379"/>
      <c r="AB66" s="379"/>
      <c r="AC66" s="379"/>
    </row>
    <row r="67" ht="15.75" customHeight="1">
      <c r="A67" s="371">
        <v>59.0</v>
      </c>
      <c r="B67" s="188" t="s">
        <v>163</v>
      </c>
      <c r="C67" s="216" t="s">
        <v>164</v>
      </c>
      <c r="D67" s="381"/>
      <c r="E67" s="372"/>
      <c r="F67" s="373"/>
      <c r="G67" s="374">
        <f>'601'!D68</f>
        <v>9</v>
      </c>
      <c r="H67" s="374">
        <f>'601 L'!D68</f>
        <v>4</v>
      </c>
      <c r="I67" s="375">
        <f>'602'!D68</f>
        <v>7</v>
      </c>
      <c r="J67" s="376">
        <f>'602 L'!D68</f>
        <v>2</v>
      </c>
      <c r="K67" s="375">
        <f>'603'!D68</f>
        <v>1</v>
      </c>
      <c r="L67" s="375">
        <f>'604'!D68</f>
        <v>7</v>
      </c>
      <c r="M67" s="376">
        <f>'605 L'!D68</f>
        <v>3</v>
      </c>
      <c r="N67" s="376">
        <f>'606 L'!D68</f>
        <v>5</v>
      </c>
      <c r="O67" s="375">
        <f>'607-EOI'!D68</f>
        <v>0</v>
      </c>
      <c r="P67" s="375">
        <f>'608-MP'!D68</f>
        <v>4</v>
      </c>
      <c r="Q67" s="375">
        <f t="shared" si="1"/>
        <v>24</v>
      </c>
      <c r="R67" s="375">
        <f t="shared" si="5"/>
        <v>17</v>
      </c>
      <c r="S67" s="376">
        <f t="shared" si="3"/>
        <v>41</v>
      </c>
      <c r="T67" s="389">
        <f t="shared" si="4"/>
        <v>23</v>
      </c>
      <c r="U67" s="378"/>
      <c r="V67" s="378"/>
      <c r="W67" s="379"/>
      <c r="X67" s="379"/>
      <c r="Y67" s="379"/>
      <c r="Z67" s="379"/>
      <c r="AA67" s="379"/>
      <c r="AB67" s="379"/>
      <c r="AC67" s="379"/>
    </row>
    <row r="68" ht="15.75" customHeight="1">
      <c r="A68" s="380">
        <v>60.0</v>
      </c>
      <c r="B68" s="188" t="s">
        <v>165</v>
      </c>
      <c r="C68" s="216" t="s">
        <v>166</v>
      </c>
      <c r="D68" s="372"/>
      <c r="E68" s="372"/>
      <c r="F68" s="373"/>
      <c r="G68" s="374">
        <f>'601'!D69</f>
        <v>16</v>
      </c>
      <c r="H68" s="374">
        <f>'601 L'!D69</f>
        <v>8</v>
      </c>
      <c r="I68" s="375">
        <f>'602'!D69</f>
        <v>21</v>
      </c>
      <c r="J68" s="376">
        <f>'602 L'!D69</f>
        <v>6</v>
      </c>
      <c r="K68" s="375">
        <f>'603'!D69</f>
        <v>15</v>
      </c>
      <c r="L68" s="375">
        <f>'604'!D69</f>
        <v>15</v>
      </c>
      <c r="M68" s="376">
        <f>'605 L'!D69</f>
        <v>3</v>
      </c>
      <c r="N68" s="376">
        <f>'606 L'!D69</f>
        <v>9</v>
      </c>
      <c r="O68" s="375">
        <f>'607-EOI'!D69</f>
        <v>0</v>
      </c>
      <c r="P68" s="375">
        <f>'608-MP'!D69</f>
        <v>9</v>
      </c>
      <c r="Q68" s="375">
        <f t="shared" si="1"/>
        <v>67</v>
      </c>
      <c r="R68" s="375">
        <f t="shared" si="5"/>
        <v>30</v>
      </c>
      <c r="S68" s="376">
        <f t="shared" si="3"/>
        <v>97</v>
      </c>
      <c r="T68" s="389">
        <f t="shared" si="4"/>
        <v>54</v>
      </c>
      <c r="U68" s="378"/>
      <c r="V68" s="378"/>
      <c r="W68" s="379"/>
      <c r="X68" s="379"/>
      <c r="Y68" s="379"/>
      <c r="Z68" s="379"/>
      <c r="AA68" s="379"/>
      <c r="AB68" s="379"/>
      <c r="AC68" s="379"/>
    </row>
    <row r="69" ht="15.75" customHeight="1">
      <c r="A69" s="390">
        <v>61.0</v>
      </c>
      <c r="B69" s="188" t="s">
        <v>167</v>
      </c>
      <c r="C69" s="216" t="s">
        <v>168</v>
      </c>
      <c r="D69" s="372"/>
      <c r="E69" s="372"/>
      <c r="F69" s="373"/>
      <c r="G69" s="374">
        <f>'601'!D70</f>
        <v>1</v>
      </c>
      <c r="H69" s="374">
        <f>'601 L'!D70</f>
        <v>1</v>
      </c>
      <c r="I69" s="375">
        <f>'602'!D70</f>
        <v>2</v>
      </c>
      <c r="J69" s="376">
        <f>'602 L'!D70</f>
        <v>2</v>
      </c>
      <c r="K69" s="375">
        <f>'603'!D70</f>
        <v>2</v>
      </c>
      <c r="L69" s="375">
        <f>'604'!D70</f>
        <v>2</v>
      </c>
      <c r="M69" s="376">
        <f>'605 L'!D70</f>
        <v>1</v>
      </c>
      <c r="N69" s="376">
        <f>'606 L'!D70</f>
        <v>1</v>
      </c>
      <c r="O69" s="375">
        <f>'607-EOI'!D70</f>
        <v>0</v>
      </c>
      <c r="P69" s="375">
        <f>'608-MP'!D70</f>
        <v>1</v>
      </c>
      <c r="Q69" s="375">
        <f t="shared" si="1"/>
        <v>7</v>
      </c>
      <c r="R69" s="375">
        <f t="shared" si="5"/>
        <v>14</v>
      </c>
      <c r="S69" s="376">
        <f t="shared" si="3"/>
        <v>21</v>
      </c>
      <c r="T69" s="389">
        <f t="shared" si="4"/>
        <v>12</v>
      </c>
      <c r="U69" s="378"/>
      <c r="V69" s="378"/>
      <c r="W69" s="379"/>
      <c r="X69" s="379"/>
      <c r="Y69" s="379"/>
      <c r="Z69" s="379"/>
      <c r="AA69" s="379"/>
      <c r="AB69" s="379"/>
      <c r="AC69" s="379"/>
    </row>
    <row r="70" ht="15.75" customHeight="1">
      <c r="A70" s="371">
        <v>62.0</v>
      </c>
      <c r="B70" s="384" t="s">
        <v>169</v>
      </c>
      <c r="C70" s="385" t="s">
        <v>170</v>
      </c>
      <c r="D70" s="372"/>
      <c r="E70" s="372"/>
      <c r="F70" s="373"/>
      <c r="G70" s="374">
        <f>'601'!D71</f>
        <v>0</v>
      </c>
      <c r="H70" s="374">
        <f>'601 L'!D71</f>
        <v>0</v>
      </c>
      <c r="I70" s="375">
        <f>'602'!D71</f>
        <v>0</v>
      </c>
      <c r="J70" s="376">
        <f>'602 L'!D71</f>
        <v>0</v>
      </c>
      <c r="K70" s="375">
        <f>'603'!D71</f>
        <v>1</v>
      </c>
      <c r="L70" s="375">
        <f>'604'!D71</f>
        <v>0</v>
      </c>
      <c r="M70" s="376">
        <f>'605 L'!D71</f>
        <v>0</v>
      </c>
      <c r="N70" s="376">
        <f>'606 L'!D71</f>
        <v>0</v>
      </c>
      <c r="O70" s="375">
        <f>'607-EOI'!D71</f>
        <v>0</v>
      </c>
      <c r="P70" s="375">
        <f>'608-MP'!D71</f>
        <v>0</v>
      </c>
      <c r="Q70" s="375">
        <f t="shared" si="1"/>
        <v>1</v>
      </c>
      <c r="R70" s="375">
        <f t="shared" si="5"/>
        <v>1</v>
      </c>
      <c r="S70" s="376">
        <f t="shared" si="3"/>
        <v>2</v>
      </c>
      <c r="T70" s="389">
        <f t="shared" si="4"/>
        <v>1</v>
      </c>
      <c r="U70" s="378"/>
      <c r="V70" s="378"/>
      <c r="W70" s="379"/>
      <c r="X70" s="379"/>
      <c r="Y70" s="379"/>
      <c r="Z70" s="379"/>
      <c r="AA70" s="379"/>
      <c r="AB70" s="379"/>
      <c r="AC70" s="379"/>
    </row>
    <row r="71" ht="15.75" customHeight="1">
      <c r="A71" s="380">
        <v>63.0</v>
      </c>
      <c r="B71" s="188" t="s">
        <v>171</v>
      </c>
      <c r="C71" s="216" t="s">
        <v>172</v>
      </c>
      <c r="D71" s="372"/>
      <c r="E71" s="372"/>
      <c r="F71" s="373"/>
      <c r="G71" s="374">
        <f>'601'!D72</f>
        <v>16</v>
      </c>
      <c r="H71" s="374">
        <f>'601 L'!D72</f>
        <v>9</v>
      </c>
      <c r="I71" s="375">
        <f>'602'!D72</f>
        <v>14</v>
      </c>
      <c r="J71" s="376">
        <f>'602 L'!D72</f>
        <v>4</v>
      </c>
      <c r="K71" s="375">
        <f>'603'!D72</f>
        <v>14</v>
      </c>
      <c r="L71" s="375">
        <f>'604'!D72</f>
        <v>14</v>
      </c>
      <c r="M71" s="376">
        <f>'605 L'!D72</f>
        <v>2</v>
      </c>
      <c r="N71" s="376">
        <f>'606 L'!D72</f>
        <v>7</v>
      </c>
      <c r="O71" s="375">
        <f>'607-EOI'!D72</f>
        <v>0</v>
      </c>
      <c r="P71" s="375">
        <f>'608-MP'!D72</f>
        <v>7</v>
      </c>
      <c r="Q71" s="375">
        <f t="shared" si="1"/>
        <v>58</v>
      </c>
      <c r="R71" s="375">
        <f t="shared" si="5"/>
        <v>22</v>
      </c>
      <c r="S71" s="376">
        <f t="shared" si="3"/>
        <v>80</v>
      </c>
      <c r="T71" s="389">
        <f t="shared" si="4"/>
        <v>45</v>
      </c>
      <c r="U71" s="378"/>
      <c r="V71" s="378"/>
      <c r="W71" s="379"/>
      <c r="X71" s="379"/>
      <c r="Y71" s="379"/>
      <c r="Z71" s="379"/>
      <c r="AA71" s="379"/>
      <c r="AB71" s="379"/>
      <c r="AC71" s="379"/>
    </row>
    <row r="72" ht="15.75" customHeight="1">
      <c r="A72" s="390">
        <v>64.0</v>
      </c>
      <c r="B72" s="188" t="s">
        <v>173</v>
      </c>
      <c r="C72" s="216" t="s">
        <v>174</v>
      </c>
      <c r="D72" s="381"/>
      <c r="E72" s="372"/>
      <c r="F72" s="373"/>
      <c r="G72" s="374">
        <f>'601'!D73</f>
        <v>10</v>
      </c>
      <c r="H72" s="374">
        <f>'601 L'!D73</f>
        <v>3</v>
      </c>
      <c r="I72" s="375">
        <f>'602'!D73</f>
        <v>13</v>
      </c>
      <c r="J72" s="376">
        <f>'602 L'!D73</f>
        <v>3</v>
      </c>
      <c r="K72" s="375">
        <f>'603'!D73</f>
        <v>9</v>
      </c>
      <c r="L72" s="375">
        <f>'604'!D73</f>
        <v>9</v>
      </c>
      <c r="M72" s="376">
        <f>'605 L'!D73</f>
        <v>4</v>
      </c>
      <c r="N72" s="376">
        <f>'606 L'!D73</f>
        <v>3</v>
      </c>
      <c r="O72" s="375">
        <f>'607-EOI'!D73</f>
        <v>0</v>
      </c>
      <c r="P72" s="375">
        <f>'608-MP'!D73</f>
        <v>2</v>
      </c>
      <c r="Q72" s="375">
        <f t="shared" si="1"/>
        <v>41</v>
      </c>
      <c r="R72" s="375">
        <f t="shared" si="5"/>
        <v>20</v>
      </c>
      <c r="S72" s="376">
        <f t="shared" si="3"/>
        <v>61</v>
      </c>
      <c r="T72" s="389">
        <f t="shared" si="4"/>
        <v>34</v>
      </c>
      <c r="U72" s="378"/>
      <c r="V72" s="378"/>
      <c r="W72" s="379"/>
      <c r="X72" s="379"/>
      <c r="Y72" s="379"/>
      <c r="Z72" s="379"/>
      <c r="AA72" s="379"/>
      <c r="AB72" s="379"/>
      <c r="AC72" s="379"/>
    </row>
    <row r="73" ht="15.75" customHeight="1">
      <c r="A73" s="371">
        <v>65.0</v>
      </c>
      <c r="B73" s="188" t="s">
        <v>175</v>
      </c>
      <c r="C73" s="216" t="s">
        <v>176</v>
      </c>
      <c r="D73" s="381"/>
      <c r="E73" s="372"/>
      <c r="F73" s="373"/>
      <c r="G73" s="374">
        <f>'601'!D74</f>
        <v>5</v>
      </c>
      <c r="H73" s="374">
        <f>'601 L'!D74</f>
        <v>3</v>
      </c>
      <c r="I73" s="375">
        <f>'602'!D74</f>
        <v>5</v>
      </c>
      <c r="J73" s="376">
        <f>'602 L'!D74</f>
        <v>3</v>
      </c>
      <c r="K73" s="375">
        <f>'603'!D74</f>
        <v>4</v>
      </c>
      <c r="L73" s="375">
        <f>'604'!D74</f>
        <v>4</v>
      </c>
      <c r="M73" s="376">
        <f>'605 L'!D74</f>
        <v>3</v>
      </c>
      <c r="N73" s="376">
        <f>'606 L'!D74</f>
        <v>4</v>
      </c>
      <c r="O73" s="375">
        <f>'607-EOI'!D74</f>
        <v>0</v>
      </c>
      <c r="P73" s="375">
        <f>'608-MP'!D74</f>
        <v>2</v>
      </c>
      <c r="Q73" s="375">
        <f t="shared" si="1"/>
        <v>18</v>
      </c>
      <c r="R73" s="375">
        <f t="shared" si="5"/>
        <v>15</v>
      </c>
      <c r="S73" s="376">
        <f t="shared" si="3"/>
        <v>33</v>
      </c>
      <c r="T73" s="389">
        <f t="shared" si="4"/>
        <v>18</v>
      </c>
      <c r="U73" s="378"/>
      <c r="V73" s="378"/>
      <c r="W73" s="379"/>
      <c r="X73" s="379"/>
      <c r="Y73" s="379"/>
      <c r="Z73" s="379"/>
      <c r="AA73" s="379"/>
      <c r="AB73" s="379"/>
      <c r="AC73" s="379"/>
    </row>
    <row r="74" ht="15.75" customHeight="1">
      <c r="A74" s="380">
        <v>66.0</v>
      </c>
      <c r="B74" s="305" t="s">
        <v>177</v>
      </c>
      <c r="C74" s="306" t="s">
        <v>178</v>
      </c>
      <c r="D74" s="381"/>
      <c r="E74" s="382"/>
      <c r="F74" s="373"/>
      <c r="G74" s="374">
        <f>'601'!D75</f>
        <v>8</v>
      </c>
      <c r="H74" s="374">
        <f>'601 L'!D75</f>
        <v>6</v>
      </c>
      <c r="I74" s="375">
        <f>'602'!D75</f>
        <v>9</v>
      </c>
      <c r="J74" s="376">
        <f>'602 L'!D75</f>
        <v>4</v>
      </c>
      <c r="K74" s="375">
        <f>'603'!D75</f>
        <v>9</v>
      </c>
      <c r="L74" s="375">
        <f>'604'!D75</f>
        <v>6</v>
      </c>
      <c r="M74" s="376">
        <f>'605 L'!D75</f>
        <v>2</v>
      </c>
      <c r="N74" s="376">
        <f>'606 L'!D75</f>
        <v>6</v>
      </c>
      <c r="O74" s="375">
        <f>'607-EOI'!D75</f>
        <v>0</v>
      </c>
      <c r="P74" s="375">
        <f>'608-MP'!D75</f>
        <v>4</v>
      </c>
      <c r="Q74" s="375">
        <f t="shared" si="1"/>
        <v>32</v>
      </c>
      <c r="R74" s="375">
        <f t="shared" si="5"/>
        <v>20</v>
      </c>
      <c r="S74" s="376">
        <f t="shared" si="3"/>
        <v>52</v>
      </c>
      <c r="T74" s="389">
        <f t="shared" si="4"/>
        <v>29</v>
      </c>
      <c r="U74" s="378"/>
      <c r="V74" s="383"/>
      <c r="W74" s="379"/>
      <c r="X74" s="379"/>
      <c r="Y74" s="379"/>
      <c r="Z74" s="379"/>
      <c r="AA74" s="379"/>
      <c r="AB74" s="379"/>
      <c r="AC74" s="379"/>
    </row>
    <row r="75" ht="15.75" customHeight="1">
      <c r="A75" s="390">
        <v>67.0</v>
      </c>
      <c r="B75" s="307" t="s">
        <v>179</v>
      </c>
      <c r="C75" s="308" t="s">
        <v>180</v>
      </c>
      <c r="D75" s="381"/>
      <c r="E75" s="382"/>
      <c r="F75" s="373"/>
      <c r="G75" s="374">
        <f>'601'!D76</f>
        <v>4</v>
      </c>
      <c r="H75" s="374">
        <f>'601 L'!D76</f>
        <v>3</v>
      </c>
      <c r="I75" s="375">
        <f>'602'!D76</f>
        <v>8</v>
      </c>
      <c r="J75" s="376">
        <f>'602 L'!D76</f>
        <v>2</v>
      </c>
      <c r="K75" s="375">
        <f>'603'!D76</f>
        <v>6</v>
      </c>
      <c r="L75" s="375">
        <f>'604'!D76</f>
        <v>4</v>
      </c>
      <c r="M75" s="376">
        <f>'605 L'!D76</f>
        <v>3</v>
      </c>
      <c r="N75" s="376">
        <f>'606 L'!D76</f>
        <v>2</v>
      </c>
      <c r="O75" s="375">
        <f>'607-EOI'!D76</f>
        <v>0</v>
      </c>
      <c r="P75" s="375">
        <f>'608-MP'!D76</f>
        <v>3</v>
      </c>
      <c r="Q75" s="375">
        <f t="shared" si="1"/>
        <v>22</v>
      </c>
      <c r="R75" s="375">
        <f t="shared" si="5"/>
        <v>14</v>
      </c>
      <c r="S75" s="376">
        <f t="shared" si="3"/>
        <v>36</v>
      </c>
      <c r="T75" s="389">
        <f t="shared" si="4"/>
        <v>20</v>
      </c>
      <c r="U75" s="378"/>
      <c r="V75" s="383"/>
      <c r="W75" s="379"/>
      <c r="X75" s="379"/>
      <c r="Y75" s="379"/>
      <c r="Z75" s="379"/>
      <c r="AA75" s="379"/>
      <c r="AB75" s="379"/>
      <c r="AC75" s="379"/>
    </row>
    <row r="76" ht="15.75" customHeight="1">
      <c r="A76" s="371">
        <v>68.0</v>
      </c>
      <c r="B76" s="307" t="s">
        <v>181</v>
      </c>
      <c r="C76" s="308" t="s">
        <v>182</v>
      </c>
      <c r="D76" s="372"/>
      <c r="E76" s="382"/>
      <c r="F76" s="373"/>
      <c r="G76" s="374">
        <f>'601'!D77</f>
        <v>4</v>
      </c>
      <c r="H76" s="374">
        <f>'601 L'!D77</f>
        <v>3</v>
      </c>
      <c r="I76" s="375">
        <f>'602'!D77</f>
        <v>7</v>
      </c>
      <c r="J76" s="376">
        <f>'602 L'!D77</f>
        <v>5</v>
      </c>
      <c r="K76" s="375">
        <f>'603'!D77</f>
        <v>8</v>
      </c>
      <c r="L76" s="375">
        <f>'604'!D77</f>
        <v>8</v>
      </c>
      <c r="M76" s="376">
        <f>'605 L'!D77</f>
        <v>2</v>
      </c>
      <c r="N76" s="376">
        <f>'606 L'!D77</f>
        <v>3</v>
      </c>
      <c r="O76" s="375">
        <f>'607-EOI'!D77</f>
        <v>0</v>
      </c>
      <c r="P76" s="375">
        <f>'608-MP'!D77</f>
        <v>2</v>
      </c>
      <c r="Q76" s="375">
        <f t="shared" si="1"/>
        <v>27</v>
      </c>
      <c r="R76" s="375">
        <f t="shared" si="5"/>
        <v>16</v>
      </c>
      <c r="S76" s="376">
        <f t="shared" si="3"/>
        <v>43</v>
      </c>
      <c r="T76" s="389">
        <f t="shared" si="4"/>
        <v>24</v>
      </c>
      <c r="U76" s="378"/>
      <c r="V76" s="383"/>
      <c r="W76" s="379"/>
      <c r="X76" s="379"/>
      <c r="Y76" s="379"/>
      <c r="Z76" s="379"/>
      <c r="AA76" s="379"/>
      <c r="AB76" s="379"/>
      <c r="AC76" s="379"/>
    </row>
    <row r="77" ht="15.75" customHeight="1">
      <c r="A77" s="380">
        <v>69.0</v>
      </c>
      <c r="B77" s="307" t="s">
        <v>183</v>
      </c>
      <c r="C77" s="308" t="s">
        <v>184</v>
      </c>
      <c r="D77" s="372"/>
      <c r="E77" s="372"/>
      <c r="F77" s="373"/>
      <c r="G77" s="374">
        <f>'601'!D78</f>
        <v>9</v>
      </c>
      <c r="H77" s="374">
        <f>'601 L'!D78</f>
        <v>8</v>
      </c>
      <c r="I77" s="375">
        <f>'602'!D78</f>
        <v>15</v>
      </c>
      <c r="J77" s="376">
        <f>'602 L'!D78</f>
        <v>6</v>
      </c>
      <c r="K77" s="375">
        <f>'603'!D78</f>
        <v>10</v>
      </c>
      <c r="L77" s="375">
        <f>'604'!D78</f>
        <v>12</v>
      </c>
      <c r="M77" s="376">
        <f>'605 L'!D78</f>
        <v>3</v>
      </c>
      <c r="N77" s="376">
        <f>'606 L'!D78</f>
        <v>5</v>
      </c>
      <c r="O77" s="375">
        <f>'607-EOI'!D78</f>
        <v>0</v>
      </c>
      <c r="P77" s="375">
        <f>'608-MP'!D78</f>
        <v>3</v>
      </c>
      <c r="Q77" s="375">
        <f t="shared" si="1"/>
        <v>46</v>
      </c>
      <c r="R77" s="375">
        <f t="shared" si="5"/>
        <v>24</v>
      </c>
      <c r="S77" s="376">
        <f t="shared" si="3"/>
        <v>70</v>
      </c>
      <c r="T77" s="389">
        <f t="shared" si="4"/>
        <v>39</v>
      </c>
      <c r="U77" s="378"/>
      <c r="V77" s="378"/>
      <c r="W77" s="379"/>
      <c r="X77" s="379"/>
      <c r="Y77" s="379"/>
      <c r="Z77" s="379"/>
      <c r="AA77" s="379"/>
      <c r="AB77" s="379"/>
      <c r="AC77" s="379"/>
    </row>
    <row r="78" ht="15.75" customHeight="1">
      <c r="A78" s="390">
        <v>70.0</v>
      </c>
      <c r="B78" s="307" t="s">
        <v>185</v>
      </c>
      <c r="C78" s="308" t="s">
        <v>186</v>
      </c>
      <c r="D78" s="381"/>
      <c r="E78" s="372"/>
      <c r="F78" s="373"/>
      <c r="G78" s="374">
        <f>'601'!D79</f>
        <v>8</v>
      </c>
      <c r="H78" s="374">
        <f>'601 L'!D79</f>
        <v>3</v>
      </c>
      <c r="I78" s="375">
        <f>'602'!D79</f>
        <v>12</v>
      </c>
      <c r="J78" s="376">
        <f>'602 L'!D79</f>
        <v>5</v>
      </c>
      <c r="K78" s="375">
        <f>'603'!D79</f>
        <v>5</v>
      </c>
      <c r="L78" s="375">
        <f>'604'!D79</f>
        <v>8</v>
      </c>
      <c r="M78" s="376">
        <f>'605 L'!D79</f>
        <v>3</v>
      </c>
      <c r="N78" s="376">
        <f>'606 L'!D79</f>
        <v>6</v>
      </c>
      <c r="O78" s="375">
        <f>'607-EOI'!D79</f>
        <v>0</v>
      </c>
      <c r="P78" s="375">
        <f>'608-MP'!D79</f>
        <v>4</v>
      </c>
      <c r="Q78" s="375">
        <f t="shared" si="1"/>
        <v>33</v>
      </c>
      <c r="R78" s="375">
        <f t="shared" si="5"/>
        <v>20</v>
      </c>
      <c r="S78" s="376">
        <f t="shared" si="3"/>
        <v>53</v>
      </c>
      <c r="T78" s="389">
        <f t="shared" si="4"/>
        <v>30</v>
      </c>
      <c r="U78" s="378"/>
      <c r="V78" s="378"/>
      <c r="W78" s="379"/>
      <c r="X78" s="379"/>
      <c r="Y78" s="379"/>
      <c r="Z78" s="379"/>
      <c r="AA78" s="379"/>
      <c r="AB78" s="379"/>
      <c r="AC78" s="379"/>
    </row>
    <row r="79" ht="15.75" customHeight="1">
      <c r="A79" s="371">
        <v>71.0</v>
      </c>
      <c r="B79" s="307" t="s">
        <v>187</v>
      </c>
      <c r="C79" s="308" t="s">
        <v>188</v>
      </c>
      <c r="D79" s="372"/>
      <c r="E79" s="372"/>
      <c r="F79" s="373"/>
      <c r="G79" s="374">
        <f>'601'!D80</f>
        <v>7</v>
      </c>
      <c r="H79" s="374">
        <f>'601 L'!D80</f>
        <v>1</v>
      </c>
      <c r="I79" s="375">
        <f>'602'!D80</f>
        <v>8</v>
      </c>
      <c r="J79" s="376">
        <f>'602 L'!D80</f>
        <v>4</v>
      </c>
      <c r="K79" s="375">
        <f>'603'!D80</f>
        <v>3</v>
      </c>
      <c r="L79" s="375">
        <f>'604'!D80</f>
        <v>10</v>
      </c>
      <c r="M79" s="376">
        <f>'605 L'!D80</f>
        <v>2</v>
      </c>
      <c r="N79" s="376">
        <f>'606 L'!D80</f>
        <v>4</v>
      </c>
      <c r="O79" s="375">
        <f>'607-EOI'!D80</f>
        <v>0</v>
      </c>
      <c r="P79" s="375">
        <f>'608-MP'!D80</f>
        <v>2</v>
      </c>
      <c r="Q79" s="375">
        <f t="shared" si="1"/>
        <v>28</v>
      </c>
      <c r="R79" s="375">
        <f t="shared" si="5"/>
        <v>15</v>
      </c>
      <c r="S79" s="376">
        <f t="shared" si="3"/>
        <v>43</v>
      </c>
      <c r="T79" s="389">
        <f t="shared" si="4"/>
        <v>24</v>
      </c>
      <c r="U79" s="378"/>
      <c r="V79" s="378"/>
      <c r="W79" s="379"/>
      <c r="X79" s="379"/>
      <c r="Y79" s="379"/>
      <c r="Z79" s="379"/>
      <c r="AA79" s="379"/>
      <c r="AB79" s="379"/>
      <c r="AC79" s="379"/>
    </row>
    <row r="80" ht="15.75" customHeight="1">
      <c r="A80" s="380">
        <v>72.0</v>
      </c>
      <c r="B80" s="307" t="s">
        <v>189</v>
      </c>
      <c r="C80" s="308" t="s">
        <v>190</v>
      </c>
      <c r="D80" s="381"/>
      <c r="E80" s="372"/>
      <c r="F80" s="373"/>
      <c r="G80" s="374">
        <f>'601'!D81</f>
        <v>3</v>
      </c>
      <c r="H80" s="374">
        <f>'601 L'!D81</f>
        <v>1</v>
      </c>
      <c r="I80" s="375">
        <f>'602'!D81</f>
        <v>4</v>
      </c>
      <c r="J80" s="376">
        <f>'602 L'!D81</f>
        <v>1</v>
      </c>
      <c r="K80" s="375">
        <f>'603'!D81</f>
        <v>4</v>
      </c>
      <c r="L80" s="375">
        <f>'604'!D81</f>
        <v>4</v>
      </c>
      <c r="M80" s="376">
        <f>'605 L'!D81</f>
        <v>1</v>
      </c>
      <c r="N80" s="376">
        <f>'606 L'!D81</f>
        <v>2</v>
      </c>
      <c r="O80" s="375">
        <f>'607-EOI'!D81</f>
        <v>0</v>
      </c>
      <c r="P80" s="375">
        <f>'608-MP'!D81</f>
        <v>1</v>
      </c>
      <c r="Q80" s="375">
        <f t="shared" si="1"/>
        <v>15</v>
      </c>
      <c r="R80" s="375">
        <f t="shared" si="5"/>
        <v>7</v>
      </c>
      <c r="S80" s="376">
        <f t="shared" si="3"/>
        <v>22</v>
      </c>
      <c r="T80" s="389">
        <f t="shared" si="4"/>
        <v>12</v>
      </c>
      <c r="U80" s="378"/>
      <c r="V80" s="378"/>
      <c r="W80" s="379"/>
      <c r="X80" s="379"/>
      <c r="Y80" s="379"/>
      <c r="Z80" s="379"/>
      <c r="AA80" s="379"/>
      <c r="AB80" s="379"/>
      <c r="AC80" s="379"/>
    </row>
    <row r="81" ht="15.75" customHeight="1">
      <c r="A81" s="390">
        <v>73.0</v>
      </c>
      <c r="B81" s="307" t="s">
        <v>191</v>
      </c>
      <c r="C81" s="308" t="s">
        <v>192</v>
      </c>
      <c r="D81" s="381"/>
      <c r="E81" s="372"/>
      <c r="F81" s="373"/>
      <c r="G81" s="374">
        <f>'601'!D82</f>
        <v>11</v>
      </c>
      <c r="H81" s="374">
        <f>'601 L'!D82</f>
        <v>4</v>
      </c>
      <c r="I81" s="375">
        <f>'602'!D82</f>
        <v>14</v>
      </c>
      <c r="J81" s="376">
        <f>'602 L'!D82</f>
        <v>5</v>
      </c>
      <c r="K81" s="375">
        <f>'603'!D82</f>
        <v>7</v>
      </c>
      <c r="L81" s="375">
        <f>'604'!D82</f>
        <v>11</v>
      </c>
      <c r="M81" s="376">
        <f>'605 L'!D82</f>
        <v>3</v>
      </c>
      <c r="N81" s="376">
        <f>'606 L'!D82</f>
        <v>6</v>
      </c>
      <c r="O81" s="375">
        <f>'607-EOI'!D82</f>
        <v>0</v>
      </c>
      <c r="P81" s="375">
        <f>'608-MP'!D82</f>
        <v>5</v>
      </c>
      <c r="Q81" s="375">
        <f t="shared" si="1"/>
        <v>43</v>
      </c>
      <c r="R81" s="375">
        <f t="shared" si="5"/>
        <v>19</v>
      </c>
      <c r="S81" s="376">
        <f t="shared" si="3"/>
        <v>62</v>
      </c>
      <c r="T81" s="389">
        <f t="shared" si="4"/>
        <v>35</v>
      </c>
      <c r="U81" s="378"/>
      <c r="V81" s="378"/>
      <c r="W81" s="379"/>
      <c r="X81" s="379"/>
      <c r="Y81" s="379"/>
      <c r="Z81" s="379"/>
      <c r="AA81" s="379"/>
      <c r="AB81" s="379"/>
      <c r="AC81" s="379"/>
    </row>
    <row r="82" ht="15.75" customHeight="1">
      <c r="A82" s="371">
        <v>74.0</v>
      </c>
      <c r="B82" s="393" t="s">
        <v>193</v>
      </c>
      <c r="C82" s="394" t="s">
        <v>194</v>
      </c>
      <c r="D82" s="372"/>
      <c r="E82" s="372"/>
      <c r="F82" s="373"/>
      <c r="G82" s="374">
        <f>'601'!D83</f>
        <v>0</v>
      </c>
      <c r="H82" s="374">
        <f>'601 L'!D83</f>
        <v>0</v>
      </c>
      <c r="I82" s="375">
        <f>'602'!D83</f>
        <v>0</v>
      </c>
      <c r="J82" s="376">
        <f>'602 L'!D83</f>
        <v>0</v>
      </c>
      <c r="K82" s="375">
        <f>'603'!D83</f>
        <v>0</v>
      </c>
      <c r="L82" s="375">
        <f>'604'!D83</f>
        <v>0</v>
      </c>
      <c r="M82" s="376">
        <f>'605 L'!D83</f>
        <v>0</v>
      </c>
      <c r="N82" s="376">
        <f>'606 L'!D83</f>
        <v>0</v>
      </c>
      <c r="O82" s="375">
        <f>'607-EOI'!D83</f>
        <v>0</v>
      </c>
      <c r="P82" s="375">
        <f>'608-MP'!D83</f>
        <v>0</v>
      </c>
      <c r="Q82" s="375">
        <f t="shared" si="1"/>
        <v>0</v>
      </c>
      <c r="R82" s="375">
        <f t="shared" si="5"/>
        <v>5</v>
      </c>
      <c r="S82" s="376">
        <f t="shared" si="3"/>
        <v>5</v>
      </c>
      <c r="T82" s="389">
        <f t="shared" si="4"/>
        <v>3</v>
      </c>
      <c r="U82" s="378"/>
      <c r="V82" s="378"/>
      <c r="W82" s="379"/>
      <c r="X82" s="379"/>
      <c r="Y82" s="379"/>
      <c r="Z82" s="379"/>
      <c r="AA82" s="379"/>
      <c r="AB82" s="379"/>
      <c r="AC82" s="379"/>
    </row>
    <row r="83" ht="15.75" customHeight="1">
      <c r="A83" s="380">
        <v>75.0</v>
      </c>
      <c r="B83" s="307" t="s">
        <v>195</v>
      </c>
      <c r="C83" s="308" t="s">
        <v>196</v>
      </c>
      <c r="D83" s="381"/>
      <c r="E83" s="372"/>
      <c r="F83" s="373"/>
      <c r="G83" s="374">
        <f>'601'!D84</f>
        <v>8</v>
      </c>
      <c r="H83" s="374">
        <f>'601 L'!D84</f>
        <v>5</v>
      </c>
      <c r="I83" s="375">
        <f>'602'!D84</f>
        <v>8</v>
      </c>
      <c r="J83" s="376">
        <f>'602 L'!D84</f>
        <v>4</v>
      </c>
      <c r="K83" s="375">
        <f>'603'!D84</f>
        <v>4</v>
      </c>
      <c r="L83" s="375">
        <f>'604'!D84</f>
        <v>10</v>
      </c>
      <c r="M83" s="376">
        <f>'605 L'!D84</f>
        <v>2</v>
      </c>
      <c r="N83" s="376">
        <f>'606 L'!D84</f>
        <v>4</v>
      </c>
      <c r="O83" s="375">
        <f>'607-EOI'!D84</f>
        <v>0</v>
      </c>
      <c r="P83" s="375">
        <f>'608-MP'!D84</f>
        <v>1</v>
      </c>
      <c r="Q83" s="375">
        <f t="shared" si="1"/>
        <v>30</v>
      </c>
      <c r="R83" s="375">
        <f t="shared" si="5"/>
        <v>15</v>
      </c>
      <c r="S83" s="376">
        <f t="shared" si="3"/>
        <v>45</v>
      </c>
      <c r="T83" s="389">
        <f t="shared" si="4"/>
        <v>25</v>
      </c>
      <c r="U83" s="378"/>
      <c r="V83" s="378"/>
      <c r="W83" s="379"/>
      <c r="X83" s="379"/>
      <c r="Y83" s="379"/>
      <c r="Z83" s="379"/>
      <c r="AA83" s="379"/>
      <c r="AB83" s="379"/>
      <c r="AC83" s="379"/>
    </row>
    <row r="84" ht="15.75" customHeight="1">
      <c r="A84" s="390">
        <v>76.0</v>
      </c>
      <c r="B84" s="393" t="s">
        <v>197</v>
      </c>
      <c r="C84" s="394" t="s">
        <v>198</v>
      </c>
      <c r="D84" s="381"/>
      <c r="E84" s="372"/>
      <c r="F84" s="373"/>
      <c r="G84" s="374">
        <f>'601'!D85</f>
        <v>2</v>
      </c>
      <c r="H84" s="374">
        <f>'601 L'!D85</f>
        <v>3</v>
      </c>
      <c r="I84" s="375">
        <f>'602'!D85</f>
        <v>4</v>
      </c>
      <c r="J84" s="376">
        <f>'602 L'!D85</f>
        <v>1</v>
      </c>
      <c r="K84" s="375">
        <f>'603'!D85</f>
        <v>3</v>
      </c>
      <c r="L84" s="375">
        <f>'604'!D85</f>
        <v>3</v>
      </c>
      <c r="M84" s="376">
        <f>'605 L'!D85</f>
        <v>2</v>
      </c>
      <c r="N84" s="376">
        <f>'606 L'!D85</f>
        <v>3</v>
      </c>
      <c r="O84" s="375">
        <f>'607-EOI'!D85</f>
        <v>0</v>
      </c>
      <c r="P84" s="375">
        <f>'608-MP'!D85</f>
        <v>2</v>
      </c>
      <c r="Q84" s="375">
        <f t="shared" si="1"/>
        <v>12</v>
      </c>
      <c r="R84" s="375">
        <f t="shared" si="5"/>
        <v>10</v>
      </c>
      <c r="S84" s="376">
        <f t="shared" si="3"/>
        <v>22</v>
      </c>
      <c r="T84" s="389">
        <f t="shared" si="4"/>
        <v>12</v>
      </c>
      <c r="U84" s="378"/>
      <c r="V84" s="378"/>
      <c r="W84" s="379"/>
      <c r="X84" s="379"/>
      <c r="Y84" s="379"/>
      <c r="Z84" s="379"/>
      <c r="AA84" s="379"/>
      <c r="AB84" s="379"/>
      <c r="AC84" s="379"/>
    </row>
    <row r="85" ht="15.75" customHeight="1">
      <c r="A85" s="371">
        <v>77.0</v>
      </c>
      <c r="B85" s="307" t="s">
        <v>199</v>
      </c>
      <c r="C85" s="308" t="s">
        <v>200</v>
      </c>
      <c r="D85" s="381"/>
      <c r="E85" s="372"/>
      <c r="F85" s="373"/>
      <c r="G85" s="374">
        <f>'601'!D86</f>
        <v>10</v>
      </c>
      <c r="H85" s="374">
        <f>'601 L'!D86</f>
        <v>4</v>
      </c>
      <c r="I85" s="375">
        <f>'602'!D86</f>
        <v>13</v>
      </c>
      <c r="J85" s="376">
        <f>'602 L'!D86</f>
        <v>5</v>
      </c>
      <c r="K85" s="375">
        <f>'603'!D86</f>
        <v>7</v>
      </c>
      <c r="L85" s="375">
        <f>'604'!D86</f>
        <v>8</v>
      </c>
      <c r="M85" s="376">
        <f>'605 L'!D86</f>
        <v>3</v>
      </c>
      <c r="N85" s="376">
        <f>'606 L'!D86</f>
        <v>5</v>
      </c>
      <c r="O85" s="375">
        <f>'607-EOI'!D86</f>
        <v>0</v>
      </c>
      <c r="P85" s="375">
        <f>'608-MP'!D86</f>
        <v>6</v>
      </c>
      <c r="Q85" s="375">
        <f t="shared" si="1"/>
        <v>38</v>
      </c>
      <c r="R85" s="375">
        <f t="shared" si="5"/>
        <v>19</v>
      </c>
      <c r="S85" s="376">
        <f t="shared" si="3"/>
        <v>57</v>
      </c>
      <c r="T85" s="389">
        <f t="shared" si="4"/>
        <v>32</v>
      </c>
      <c r="U85" s="378"/>
      <c r="V85" s="378"/>
      <c r="W85" s="379"/>
      <c r="X85" s="379"/>
      <c r="Y85" s="379"/>
      <c r="Z85" s="379"/>
      <c r="AA85" s="379"/>
      <c r="AB85" s="379"/>
      <c r="AC85" s="379"/>
    </row>
    <row r="86" ht="15.75" customHeight="1">
      <c r="A86" s="380">
        <v>78.0</v>
      </c>
      <c r="B86" s="307" t="s">
        <v>201</v>
      </c>
      <c r="C86" s="308" t="s">
        <v>202</v>
      </c>
      <c r="D86" s="381"/>
      <c r="E86" s="372"/>
      <c r="F86" s="373"/>
      <c r="G86" s="374">
        <f>'601'!D87</f>
        <v>1</v>
      </c>
      <c r="H86" s="374">
        <f>'601 L'!D87</f>
        <v>0</v>
      </c>
      <c r="I86" s="375">
        <f>'602'!D87</f>
        <v>3</v>
      </c>
      <c r="J86" s="376">
        <f>'602 L'!D87</f>
        <v>0</v>
      </c>
      <c r="K86" s="375">
        <f>'603'!D87</f>
        <v>4</v>
      </c>
      <c r="L86" s="375">
        <f>'604'!D87</f>
        <v>2</v>
      </c>
      <c r="M86" s="376">
        <f>'605 L'!D87</f>
        <v>1</v>
      </c>
      <c r="N86" s="376">
        <f>'606 L'!D87</f>
        <v>1</v>
      </c>
      <c r="O86" s="375">
        <f>'607-EOI'!D87</f>
        <v>0</v>
      </c>
      <c r="P86" s="375">
        <f>'608-MP'!D87</f>
        <v>1</v>
      </c>
      <c r="Q86" s="375">
        <f t="shared" si="1"/>
        <v>10</v>
      </c>
      <c r="R86" s="375">
        <f t="shared" si="5"/>
        <v>8</v>
      </c>
      <c r="S86" s="376">
        <f t="shared" si="3"/>
        <v>18</v>
      </c>
      <c r="T86" s="389">
        <f t="shared" si="4"/>
        <v>10</v>
      </c>
      <c r="U86" s="378"/>
      <c r="V86" s="378"/>
      <c r="W86" s="379"/>
      <c r="X86" s="379"/>
      <c r="Y86" s="379"/>
      <c r="Z86" s="379"/>
      <c r="AA86" s="379"/>
      <c r="AB86" s="379"/>
      <c r="AC86" s="379"/>
    </row>
    <row r="87" ht="15.75" customHeight="1">
      <c r="A87" s="390">
        <v>79.0</v>
      </c>
      <c r="B87" s="152" t="s">
        <v>203</v>
      </c>
      <c r="C87" s="395" t="s">
        <v>204</v>
      </c>
      <c r="D87" s="396"/>
      <c r="E87" s="396"/>
      <c r="F87" s="373"/>
      <c r="G87" s="374">
        <f>'601'!D88</f>
        <v>5</v>
      </c>
      <c r="H87" s="374">
        <f>'601 L'!D88</f>
        <v>2</v>
      </c>
      <c r="I87" s="375">
        <f>'602'!D88</f>
        <v>7</v>
      </c>
      <c r="J87" s="376">
        <f>'602 L'!D88</f>
        <v>3</v>
      </c>
      <c r="K87" s="375">
        <f>'603'!D88</f>
        <v>6</v>
      </c>
      <c r="L87" s="375">
        <f>'604'!D88</f>
        <v>5</v>
      </c>
      <c r="M87" s="376">
        <f>'605 L'!D88</f>
        <v>1</v>
      </c>
      <c r="N87" s="376">
        <f>'606 L'!D88</f>
        <v>4</v>
      </c>
      <c r="O87" s="375">
        <f>'607-EOI'!D88</f>
        <v>0</v>
      </c>
      <c r="P87" s="375">
        <f>'608-MP'!D88</f>
        <v>2</v>
      </c>
      <c r="Q87" s="375">
        <f t="shared" si="1"/>
        <v>23</v>
      </c>
      <c r="R87" s="375">
        <f t="shared" si="5"/>
        <v>11</v>
      </c>
      <c r="S87" s="376">
        <f t="shared" si="3"/>
        <v>34</v>
      </c>
      <c r="T87" s="389">
        <f t="shared" si="4"/>
        <v>19</v>
      </c>
      <c r="U87" s="397"/>
      <c r="V87" s="397"/>
      <c r="W87" s="10"/>
      <c r="X87" s="10"/>
      <c r="Y87" s="10"/>
      <c r="Z87" s="10"/>
      <c r="AA87" s="10"/>
      <c r="AB87" s="10"/>
      <c r="AC87" s="10"/>
    </row>
    <row r="88" ht="15.75" customHeight="1">
      <c r="A88" s="371">
        <v>80.0</v>
      </c>
      <c r="B88" s="313" t="s">
        <v>205</v>
      </c>
      <c r="C88" s="398" t="s">
        <v>206</v>
      </c>
      <c r="D88" s="396"/>
      <c r="E88" s="396"/>
      <c r="F88" s="399"/>
      <c r="G88" s="374">
        <f>'601'!D89</f>
        <v>0</v>
      </c>
      <c r="H88" s="374">
        <f>'601 L'!D89</f>
        <v>0</v>
      </c>
      <c r="I88" s="375">
        <f>'602'!D89</f>
        <v>0</v>
      </c>
      <c r="J88" s="376">
        <f>'602 L'!D89</f>
        <v>0</v>
      </c>
      <c r="K88" s="375">
        <f>'603'!D89</f>
        <v>0</v>
      </c>
      <c r="L88" s="375">
        <f>'604'!D89</f>
        <v>0</v>
      </c>
      <c r="M88" s="376">
        <f>'605 L'!D89</f>
        <v>0</v>
      </c>
      <c r="N88" s="376">
        <f>'606 L'!D89</f>
        <v>0</v>
      </c>
      <c r="O88" s="375">
        <f>'607-EOI'!D89</f>
        <v>0</v>
      </c>
      <c r="P88" s="375">
        <f>'608-MP'!D89</f>
        <v>0</v>
      </c>
      <c r="Q88" s="375">
        <f t="shared" si="1"/>
        <v>0</v>
      </c>
      <c r="R88" s="375">
        <f t="shared" si="5"/>
        <v>2</v>
      </c>
      <c r="S88" s="376">
        <f t="shared" si="3"/>
        <v>2</v>
      </c>
      <c r="T88" s="389">
        <f t="shared" si="4"/>
        <v>1</v>
      </c>
      <c r="U88" s="397"/>
      <c r="V88" s="397"/>
      <c r="W88" s="10"/>
      <c r="X88" s="10"/>
      <c r="Y88" s="10"/>
      <c r="Z88" s="10"/>
      <c r="AA88" s="10"/>
      <c r="AB88" s="10"/>
      <c r="AC88" s="10"/>
    </row>
    <row r="89" ht="15.75" customHeight="1">
      <c r="A89" s="380">
        <v>81.0</v>
      </c>
      <c r="B89" s="152" t="s">
        <v>207</v>
      </c>
      <c r="C89" s="398" t="s">
        <v>208</v>
      </c>
      <c r="D89" s="400"/>
      <c r="E89" s="396"/>
      <c r="F89" s="373"/>
      <c r="G89" s="374">
        <f>'601'!D90</f>
        <v>12</v>
      </c>
      <c r="H89" s="374">
        <f>'601 L'!D90</f>
        <v>5</v>
      </c>
      <c r="I89" s="375">
        <f>'602'!D90</f>
        <v>14</v>
      </c>
      <c r="J89" s="376">
        <f>'602 L'!D90</f>
        <v>4</v>
      </c>
      <c r="K89" s="375">
        <f>'603'!D90</f>
        <v>12</v>
      </c>
      <c r="L89" s="375">
        <f>'604'!D90</f>
        <v>9</v>
      </c>
      <c r="M89" s="376">
        <f>'605 L'!D90</f>
        <v>0</v>
      </c>
      <c r="N89" s="376">
        <f>'606 L'!D90</f>
        <v>6</v>
      </c>
      <c r="O89" s="375">
        <f>'607-EOI'!D90</f>
        <v>0</v>
      </c>
      <c r="P89" s="375">
        <f>'608-MP'!D90</f>
        <v>4</v>
      </c>
      <c r="Q89" s="375">
        <f t="shared" si="1"/>
        <v>47</v>
      </c>
      <c r="R89" s="375">
        <f t="shared" si="5"/>
        <v>15</v>
      </c>
      <c r="S89" s="376">
        <f t="shared" si="3"/>
        <v>62</v>
      </c>
      <c r="T89" s="389">
        <f t="shared" si="4"/>
        <v>35</v>
      </c>
      <c r="U89" s="397"/>
      <c r="V89" s="397"/>
      <c r="W89" s="10"/>
      <c r="X89" s="10"/>
      <c r="Y89" s="10"/>
      <c r="Z89" s="10"/>
      <c r="AA89" s="10"/>
      <c r="AB89" s="10"/>
      <c r="AC89" s="10"/>
    </row>
    <row r="90" ht="15.75" customHeight="1">
      <c r="A90" s="390">
        <v>82.0</v>
      </c>
      <c r="B90" s="152" t="s">
        <v>209</v>
      </c>
      <c r="C90" s="398" t="s">
        <v>210</v>
      </c>
      <c r="D90" s="400"/>
      <c r="E90" s="396"/>
      <c r="F90" s="373"/>
      <c r="G90" s="374">
        <f>'601'!D91</f>
        <v>5</v>
      </c>
      <c r="H90" s="374">
        <f>'601 L'!D91</f>
        <v>4</v>
      </c>
      <c r="I90" s="375">
        <f>'602'!D91</f>
        <v>5</v>
      </c>
      <c r="J90" s="376">
        <f>'602 L'!D91</f>
        <v>1</v>
      </c>
      <c r="K90" s="375">
        <f>'603'!D91</f>
        <v>8</v>
      </c>
      <c r="L90" s="375">
        <f>'604'!D91</f>
        <v>6</v>
      </c>
      <c r="M90" s="376">
        <f>'605 L'!D91</f>
        <v>3</v>
      </c>
      <c r="N90" s="376">
        <f>'606 L'!D91</f>
        <v>3</v>
      </c>
      <c r="O90" s="375">
        <f>'607-EOI'!D91</f>
        <v>0</v>
      </c>
      <c r="P90" s="375">
        <f>'608-MP'!D91</f>
        <v>3</v>
      </c>
      <c r="Q90" s="375">
        <f t="shared" si="1"/>
        <v>24</v>
      </c>
      <c r="R90" s="375">
        <f t="shared" si="5"/>
        <v>15</v>
      </c>
      <c r="S90" s="376">
        <f t="shared" si="3"/>
        <v>39</v>
      </c>
      <c r="T90" s="389">
        <f t="shared" si="4"/>
        <v>22</v>
      </c>
      <c r="U90" s="397"/>
      <c r="V90" s="397"/>
      <c r="W90" s="10"/>
      <c r="X90" s="10"/>
      <c r="Y90" s="10"/>
      <c r="Z90" s="10"/>
      <c r="AA90" s="10"/>
      <c r="AB90" s="10"/>
      <c r="AC90" s="10"/>
    </row>
    <row r="91" ht="15.75" customHeight="1">
      <c r="A91" s="401">
        <v>83.0</v>
      </c>
      <c r="B91" s="315" t="s">
        <v>211</v>
      </c>
      <c r="C91" s="273" t="s">
        <v>212</v>
      </c>
      <c r="D91" s="400"/>
      <c r="E91" s="396"/>
      <c r="F91" s="373"/>
      <c r="G91" s="402">
        <f>'601'!D92</f>
        <v>9</v>
      </c>
      <c r="H91" s="402">
        <f>'601 L'!D92</f>
        <v>4</v>
      </c>
      <c r="I91" s="375">
        <f>'602'!D92</f>
        <v>13</v>
      </c>
      <c r="J91" s="376">
        <f>'602 L'!D92</f>
        <v>3</v>
      </c>
      <c r="K91" s="375">
        <f>'603'!D92</f>
        <v>11</v>
      </c>
      <c r="L91" s="375">
        <f>'604'!D92</f>
        <v>7</v>
      </c>
      <c r="M91" s="376">
        <f>'605 L'!D92</f>
        <v>0</v>
      </c>
      <c r="N91" s="376">
        <f>'606 L'!D92</f>
        <v>4</v>
      </c>
      <c r="O91" s="375">
        <f>'607-EOI'!D92</f>
        <v>0</v>
      </c>
      <c r="P91" s="375">
        <f>'608-MP'!D92</f>
        <v>5</v>
      </c>
      <c r="Q91" s="403">
        <f t="shared" si="1"/>
        <v>40</v>
      </c>
      <c r="R91" s="403">
        <f t="shared" si="5"/>
        <v>14</v>
      </c>
      <c r="S91" s="404">
        <f t="shared" si="3"/>
        <v>54</v>
      </c>
      <c r="T91" s="389">
        <f t="shared" si="4"/>
        <v>30</v>
      </c>
      <c r="U91" s="397"/>
      <c r="V91" s="397"/>
      <c r="W91" s="10"/>
      <c r="X91" s="10"/>
      <c r="Y91" s="10"/>
      <c r="Z91" s="10"/>
      <c r="AA91" s="10"/>
      <c r="AB91" s="10"/>
      <c r="AC91" s="10"/>
    </row>
    <row r="92" ht="15.75" customHeight="1">
      <c r="A92" s="405">
        <v>84.0</v>
      </c>
      <c r="B92" s="32"/>
      <c r="C92" s="290" t="s">
        <v>213</v>
      </c>
      <c r="D92" s="229"/>
      <c r="E92" s="229"/>
      <c r="F92" s="406"/>
      <c r="G92" s="402">
        <f>'601'!D93</f>
        <v>0</v>
      </c>
      <c r="H92" s="402">
        <f>'601 L'!D93</f>
        <v>0</v>
      </c>
      <c r="I92" s="375">
        <f>'602'!D93</f>
        <v>0</v>
      </c>
      <c r="J92" s="376">
        <f>'602 L'!D93</f>
        <v>0</v>
      </c>
      <c r="K92" s="375">
        <f>'603'!D93</f>
        <v>0</v>
      </c>
      <c r="L92" s="375">
        <f>'604'!D93</f>
        <v>0</v>
      </c>
      <c r="M92" s="376">
        <f>'605 L'!D93</f>
        <v>0</v>
      </c>
      <c r="N92" s="376">
        <f>'606 L'!D93</f>
        <v>0</v>
      </c>
      <c r="O92" s="375">
        <f>'607-EOI'!D93</f>
        <v>0</v>
      </c>
      <c r="P92" s="375">
        <f>'608-MP'!D93</f>
        <v>0</v>
      </c>
      <c r="Q92" s="403">
        <f t="shared" si="1"/>
        <v>0</v>
      </c>
      <c r="R92" s="403">
        <f t="shared" si="5"/>
        <v>5</v>
      </c>
      <c r="S92" s="404">
        <f t="shared" si="3"/>
        <v>5</v>
      </c>
      <c r="T92" s="389">
        <f t="shared" si="4"/>
        <v>3</v>
      </c>
      <c r="U92" s="407"/>
      <c r="V92" s="407"/>
      <c r="W92" s="10"/>
      <c r="X92" s="10"/>
      <c r="Y92" s="10"/>
      <c r="Z92" s="10"/>
      <c r="AA92" s="10"/>
      <c r="AB92" s="10"/>
      <c r="AC92" s="10"/>
    </row>
    <row r="93" ht="15.75" customHeight="1">
      <c r="A93" s="10"/>
      <c r="B93" s="10"/>
      <c r="C93" s="10"/>
      <c r="D93" s="22"/>
      <c r="E93" s="22"/>
      <c r="F93" s="340"/>
      <c r="G93" s="22"/>
      <c r="H93" s="22"/>
      <c r="I93" s="22"/>
      <c r="J93" s="22"/>
      <c r="K93" s="22"/>
      <c r="L93" s="22"/>
      <c r="M93" s="22"/>
      <c r="N93" s="22"/>
      <c r="O93" s="22"/>
      <c r="P93" s="10"/>
      <c r="Q93" s="10"/>
      <c r="R93" s="10"/>
      <c r="S93" s="10"/>
      <c r="T93" s="341"/>
      <c r="U93" s="407"/>
      <c r="V93" s="407"/>
      <c r="W93" s="10"/>
      <c r="X93" s="10"/>
      <c r="Y93" s="10"/>
      <c r="Z93" s="10"/>
      <c r="AA93" s="10"/>
      <c r="AB93" s="10"/>
      <c r="AC93" s="10"/>
    </row>
    <row r="94" ht="15.75" customHeight="1">
      <c r="A94" s="10"/>
      <c r="B94" s="10"/>
      <c r="C94" s="10"/>
      <c r="D94" s="22"/>
      <c r="E94" s="22"/>
      <c r="F94" s="340"/>
      <c r="G94" s="22"/>
      <c r="H94" s="22"/>
      <c r="I94" s="22"/>
      <c r="J94" s="22"/>
      <c r="K94" s="22"/>
      <c r="L94" s="22"/>
      <c r="M94" s="22"/>
      <c r="N94" s="22"/>
      <c r="O94" s="22"/>
      <c r="P94" s="10"/>
      <c r="Q94" s="10"/>
      <c r="R94" s="10"/>
      <c r="S94" s="10"/>
      <c r="T94" s="341"/>
      <c r="U94" s="407"/>
      <c r="V94" s="407"/>
      <c r="W94" s="10"/>
      <c r="X94" s="10"/>
      <c r="Y94" s="10"/>
      <c r="Z94" s="10"/>
      <c r="AA94" s="10"/>
      <c r="AB94" s="10"/>
      <c r="AC94" s="10"/>
    </row>
    <row r="95" ht="15.75" customHeight="1">
      <c r="A95" s="10"/>
      <c r="B95" s="10"/>
      <c r="C95" s="10"/>
      <c r="D95" s="22"/>
      <c r="E95" s="22"/>
      <c r="F95" s="340"/>
      <c r="G95" s="22"/>
      <c r="H95" s="22"/>
      <c r="I95" s="22"/>
      <c r="J95" s="22"/>
      <c r="K95" s="22"/>
      <c r="L95" s="22"/>
      <c r="M95" s="22"/>
      <c r="N95" s="22"/>
      <c r="O95" s="22"/>
      <c r="P95" s="10"/>
      <c r="Q95" s="10"/>
      <c r="R95" s="10"/>
      <c r="S95" s="10"/>
      <c r="T95" s="341"/>
      <c r="U95" s="407"/>
      <c r="V95" s="407"/>
      <c r="W95" s="10"/>
      <c r="X95" s="10"/>
      <c r="Y95" s="10"/>
      <c r="Z95" s="10"/>
      <c r="AA95" s="10"/>
      <c r="AB95" s="10"/>
      <c r="AC95" s="10"/>
    </row>
    <row r="96" ht="15.75" customHeight="1">
      <c r="A96" s="10"/>
      <c r="B96" s="10"/>
      <c r="C96" s="10"/>
      <c r="D96" s="22"/>
      <c r="E96" s="22"/>
      <c r="F96" s="340"/>
      <c r="G96" s="22"/>
      <c r="H96" s="22"/>
      <c r="I96" s="22"/>
      <c r="J96" s="22"/>
      <c r="K96" s="22"/>
      <c r="L96" s="22"/>
      <c r="M96" s="22"/>
      <c r="N96" s="22"/>
      <c r="O96" s="22"/>
      <c r="P96" s="10"/>
      <c r="Q96" s="10"/>
      <c r="R96" s="10"/>
      <c r="S96" s="10"/>
      <c r="T96" s="341"/>
      <c r="U96" s="407"/>
      <c r="V96" s="407"/>
      <c r="W96" s="10"/>
      <c r="X96" s="10"/>
      <c r="Y96" s="10"/>
      <c r="Z96" s="10"/>
      <c r="AA96" s="10"/>
      <c r="AB96" s="10"/>
      <c r="AC96" s="10"/>
    </row>
    <row r="97" ht="15.75" customHeight="1">
      <c r="A97" s="10"/>
      <c r="B97" s="10"/>
      <c r="C97" s="10"/>
      <c r="D97" s="22"/>
      <c r="E97" s="22"/>
      <c r="F97" s="340"/>
      <c r="G97" s="22"/>
      <c r="H97" s="22"/>
      <c r="I97" s="22"/>
      <c r="J97" s="22"/>
      <c r="K97" s="22"/>
      <c r="L97" s="22"/>
      <c r="M97" s="22"/>
      <c r="N97" s="22"/>
      <c r="O97" s="22"/>
      <c r="P97" s="10"/>
      <c r="Q97" s="10"/>
      <c r="R97" s="10"/>
      <c r="S97" s="10"/>
      <c r="T97" s="341"/>
      <c r="U97" s="407"/>
      <c r="V97" s="407"/>
      <c r="W97" s="10"/>
      <c r="X97" s="10"/>
      <c r="Y97" s="10"/>
      <c r="Z97" s="10"/>
      <c r="AA97" s="10"/>
      <c r="AB97" s="10"/>
      <c r="AC97" s="10"/>
    </row>
    <row r="98" ht="15.75" customHeight="1">
      <c r="A98" s="10"/>
      <c r="B98" s="10"/>
      <c r="C98" s="10"/>
      <c r="D98" s="22"/>
      <c r="E98" s="22"/>
      <c r="F98" s="340"/>
      <c r="G98" s="22"/>
      <c r="H98" s="22"/>
      <c r="I98" s="22"/>
      <c r="J98" s="22"/>
      <c r="K98" s="22"/>
      <c r="L98" s="22"/>
      <c r="M98" s="22"/>
      <c r="N98" s="22"/>
      <c r="O98" s="22"/>
      <c r="P98" s="10"/>
      <c r="Q98" s="10"/>
      <c r="R98" s="10"/>
      <c r="S98" s="10"/>
      <c r="T98" s="341"/>
      <c r="U98" s="10"/>
      <c r="V98" s="10"/>
      <c r="W98" s="10"/>
      <c r="X98" s="10"/>
      <c r="Y98" s="10"/>
      <c r="Z98" s="10"/>
      <c r="AA98" s="10"/>
      <c r="AB98" s="10"/>
      <c r="AC98" s="10"/>
    </row>
    <row r="99" ht="15.75" customHeight="1">
      <c r="A99" s="10"/>
      <c r="B99" s="10"/>
      <c r="C99" s="10"/>
      <c r="D99" s="22"/>
      <c r="E99" s="22"/>
      <c r="F99" s="340"/>
      <c r="G99" s="22"/>
      <c r="H99" s="22"/>
      <c r="I99" s="22"/>
      <c r="J99" s="22"/>
      <c r="K99" s="22"/>
      <c r="L99" s="22"/>
      <c r="M99" s="22"/>
      <c r="N99" s="22"/>
      <c r="O99" s="22"/>
      <c r="P99" s="10"/>
      <c r="Q99" s="10"/>
      <c r="R99" s="10"/>
      <c r="S99" s="10"/>
      <c r="T99" s="341"/>
      <c r="U99" s="10"/>
      <c r="V99" s="10"/>
      <c r="W99" s="10"/>
      <c r="X99" s="10"/>
      <c r="Y99" s="10"/>
      <c r="Z99" s="10"/>
      <c r="AA99" s="10"/>
      <c r="AB99" s="10"/>
      <c r="AC99" s="10"/>
    </row>
    <row r="100" ht="15.75" customHeight="1">
      <c r="A100" s="10"/>
      <c r="B100" s="10"/>
      <c r="C100" s="10"/>
      <c r="D100" s="22"/>
      <c r="E100" s="22"/>
      <c r="F100" s="340"/>
      <c r="G100" s="22"/>
      <c r="H100" s="22"/>
      <c r="I100" s="22"/>
      <c r="J100" s="22"/>
      <c r="K100" s="22"/>
      <c r="L100" s="22"/>
      <c r="M100" s="22"/>
      <c r="N100" s="22"/>
      <c r="O100" s="22"/>
      <c r="P100" s="10"/>
      <c r="Q100" s="10"/>
      <c r="R100" s="10"/>
      <c r="S100" s="10"/>
      <c r="T100" s="341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5.75" customHeight="1">
      <c r="A101" s="10"/>
      <c r="B101" s="10"/>
      <c r="C101" s="10"/>
      <c r="D101" s="22"/>
      <c r="E101" s="22"/>
      <c r="F101" s="340"/>
      <c r="G101" s="22"/>
      <c r="H101" s="22"/>
      <c r="I101" s="22"/>
      <c r="J101" s="22"/>
      <c r="K101" s="22"/>
      <c r="L101" s="22"/>
      <c r="M101" s="22"/>
      <c r="N101" s="22"/>
      <c r="O101" s="22"/>
      <c r="P101" s="10"/>
      <c r="Q101" s="10"/>
      <c r="R101" s="10"/>
      <c r="S101" s="10"/>
      <c r="T101" s="341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5.75" customHeight="1">
      <c r="A102" s="10"/>
      <c r="B102" s="10"/>
      <c r="C102" s="10"/>
      <c r="D102" s="22"/>
      <c r="E102" s="22"/>
      <c r="F102" s="340"/>
      <c r="G102" s="22"/>
      <c r="H102" s="22"/>
      <c r="I102" s="22"/>
      <c r="J102" s="22"/>
      <c r="K102" s="22"/>
      <c r="L102" s="22"/>
      <c r="M102" s="22"/>
      <c r="N102" s="22"/>
      <c r="O102" s="22"/>
      <c r="P102" s="10"/>
      <c r="Q102" s="10"/>
      <c r="R102" s="10"/>
      <c r="S102" s="10"/>
      <c r="T102" s="341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5.75" customHeight="1">
      <c r="A103" s="10"/>
      <c r="B103" s="10"/>
      <c r="C103" s="10"/>
      <c r="D103" s="22"/>
      <c r="E103" s="22"/>
      <c r="F103" s="340"/>
      <c r="G103" s="22"/>
      <c r="H103" s="22"/>
      <c r="I103" s="22"/>
      <c r="J103" s="22"/>
      <c r="K103" s="22"/>
      <c r="L103" s="22"/>
      <c r="M103" s="22"/>
      <c r="N103" s="22"/>
      <c r="O103" s="22"/>
      <c r="P103" s="10"/>
      <c r="Q103" s="10"/>
      <c r="R103" s="10"/>
      <c r="S103" s="10"/>
      <c r="T103" s="341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5.75" customHeight="1">
      <c r="A104" s="10"/>
      <c r="B104" s="10"/>
      <c r="C104" s="10"/>
      <c r="D104" s="22"/>
      <c r="E104" s="22"/>
      <c r="F104" s="340"/>
      <c r="G104" s="22"/>
      <c r="H104" s="22"/>
      <c r="I104" s="22"/>
      <c r="J104" s="22"/>
      <c r="K104" s="22"/>
      <c r="L104" s="22"/>
      <c r="M104" s="22"/>
      <c r="N104" s="22"/>
      <c r="O104" s="22"/>
      <c r="P104" s="10"/>
      <c r="Q104" s="10"/>
      <c r="R104" s="10"/>
      <c r="S104" s="10"/>
      <c r="T104" s="341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5.75" customHeight="1">
      <c r="A105" s="10"/>
      <c r="B105" s="10"/>
      <c r="C105" s="10"/>
      <c r="D105" s="22"/>
      <c r="E105" s="22"/>
      <c r="F105" s="340"/>
      <c r="G105" s="22"/>
      <c r="H105" s="22"/>
      <c r="I105" s="22"/>
      <c r="J105" s="22"/>
      <c r="K105" s="22"/>
      <c r="L105" s="22"/>
      <c r="M105" s="22"/>
      <c r="N105" s="22"/>
      <c r="O105" s="22"/>
      <c r="P105" s="10"/>
      <c r="Q105" s="10"/>
      <c r="R105" s="10"/>
      <c r="S105" s="10"/>
      <c r="T105" s="341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5.75" customHeight="1">
      <c r="A106" s="10"/>
      <c r="B106" s="10"/>
      <c r="C106" s="10"/>
      <c r="D106" s="22"/>
      <c r="E106" s="22"/>
      <c r="F106" s="340"/>
      <c r="G106" s="22"/>
      <c r="H106" s="22"/>
      <c r="I106" s="22"/>
      <c r="J106" s="22"/>
      <c r="K106" s="22"/>
      <c r="L106" s="22"/>
      <c r="M106" s="22"/>
      <c r="N106" s="22"/>
      <c r="O106" s="22"/>
      <c r="P106" s="10"/>
      <c r="Q106" s="10"/>
      <c r="R106" s="10"/>
      <c r="S106" s="10"/>
      <c r="T106" s="341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5.75" customHeight="1">
      <c r="A107" s="10"/>
      <c r="B107" s="10"/>
      <c r="C107" s="10"/>
      <c r="D107" s="22"/>
      <c r="E107" s="22"/>
      <c r="F107" s="340"/>
      <c r="G107" s="22"/>
      <c r="H107" s="22"/>
      <c r="I107" s="22"/>
      <c r="J107" s="22"/>
      <c r="K107" s="22"/>
      <c r="L107" s="22"/>
      <c r="M107" s="22"/>
      <c r="N107" s="22"/>
      <c r="O107" s="22"/>
      <c r="P107" s="10"/>
      <c r="Q107" s="10"/>
      <c r="R107" s="10"/>
      <c r="S107" s="10"/>
      <c r="T107" s="341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5.75" customHeight="1">
      <c r="A108" s="10"/>
      <c r="B108" s="10"/>
      <c r="C108" s="10"/>
      <c r="D108" s="22"/>
      <c r="E108" s="22"/>
      <c r="F108" s="340"/>
      <c r="G108" s="22"/>
      <c r="H108" s="22"/>
      <c r="I108" s="22"/>
      <c r="J108" s="22"/>
      <c r="K108" s="22"/>
      <c r="L108" s="22"/>
      <c r="M108" s="22"/>
      <c r="N108" s="22"/>
      <c r="O108" s="22"/>
      <c r="P108" s="10"/>
      <c r="Q108" s="10"/>
      <c r="R108" s="10"/>
      <c r="S108" s="10"/>
      <c r="T108" s="341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5.75" customHeight="1">
      <c r="A109" s="10"/>
      <c r="B109" s="10"/>
      <c r="C109" s="10"/>
      <c r="D109" s="22"/>
      <c r="E109" s="22"/>
      <c r="F109" s="340"/>
      <c r="G109" s="22"/>
      <c r="H109" s="22"/>
      <c r="I109" s="22"/>
      <c r="J109" s="22"/>
      <c r="K109" s="22"/>
      <c r="L109" s="22"/>
      <c r="M109" s="22"/>
      <c r="N109" s="22"/>
      <c r="O109" s="22"/>
      <c r="P109" s="10"/>
      <c r="Q109" s="10"/>
      <c r="R109" s="10"/>
      <c r="S109" s="10"/>
      <c r="T109" s="341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5.75" customHeight="1">
      <c r="A110" s="10"/>
      <c r="B110" s="10"/>
      <c r="C110" s="10"/>
      <c r="D110" s="22"/>
      <c r="E110" s="22"/>
      <c r="F110" s="340"/>
      <c r="G110" s="22"/>
      <c r="H110" s="22"/>
      <c r="I110" s="22"/>
      <c r="J110" s="22"/>
      <c r="K110" s="22"/>
      <c r="L110" s="22"/>
      <c r="M110" s="22"/>
      <c r="N110" s="22"/>
      <c r="O110" s="22"/>
      <c r="P110" s="10"/>
      <c r="Q110" s="10"/>
      <c r="R110" s="10"/>
      <c r="S110" s="10"/>
      <c r="T110" s="341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5.75" customHeight="1">
      <c r="A111" s="10"/>
      <c r="B111" s="10"/>
      <c r="C111" s="10"/>
      <c r="D111" s="22"/>
      <c r="E111" s="22"/>
      <c r="F111" s="340"/>
      <c r="G111" s="22"/>
      <c r="H111" s="22"/>
      <c r="I111" s="22"/>
      <c r="J111" s="22"/>
      <c r="K111" s="22"/>
      <c r="L111" s="22"/>
      <c r="M111" s="22"/>
      <c r="N111" s="22"/>
      <c r="O111" s="22"/>
      <c r="P111" s="10"/>
      <c r="Q111" s="10"/>
      <c r="R111" s="10"/>
      <c r="S111" s="10"/>
      <c r="T111" s="341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5.75" customHeight="1">
      <c r="A112" s="10"/>
      <c r="B112" s="10"/>
      <c r="C112" s="10"/>
      <c r="D112" s="22"/>
      <c r="E112" s="22"/>
      <c r="F112" s="340"/>
      <c r="G112" s="22"/>
      <c r="H112" s="22"/>
      <c r="I112" s="22"/>
      <c r="J112" s="22"/>
      <c r="K112" s="22"/>
      <c r="L112" s="22"/>
      <c r="M112" s="22"/>
      <c r="N112" s="22"/>
      <c r="O112" s="22"/>
      <c r="P112" s="10"/>
      <c r="Q112" s="10"/>
      <c r="R112" s="10"/>
      <c r="S112" s="10"/>
      <c r="T112" s="341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5.75" customHeight="1">
      <c r="A113" s="10"/>
      <c r="B113" s="10"/>
      <c r="C113" s="10"/>
      <c r="D113" s="22"/>
      <c r="E113" s="22"/>
      <c r="F113" s="340"/>
      <c r="G113" s="22"/>
      <c r="H113" s="22"/>
      <c r="I113" s="22"/>
      <c r="J113" s="22"/>
      <c r="K113" s="22"/>
      <c r="L113" s="22"/>
      <c r="M113" s="22"/>
      <c r="N113" s="22"/>
      <c r="O113" s="22"/>
      <c r="P113" s="10"/>
      <c r="Q113" s="10"/>
      <c r="R113" s="10"/>
      <c r="S113" s="10"/>
      <c r="T113" s="341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5.75" customHeight="1">
      <c r="A114" s="10"/>
      <c r="B114" s="10"/>
      <c r="C114" s="10"/>
      <c r="D114" s="22"/>
      <c r="E114" s="22"/>
      <c r="F114" s="340"/>
      <c r="G114" s="22"/>
      <c r="H114" s="22"/>
      <c r="I114" s="22"/>
      <c r="J114" s="22"/>
      <c r="K114" s="22"/>
      <c r="L114" s="22"/>
      <c r="M114" s="22"/>
      <c r="N114" s="22"/>
      <c r="O114" s="22"/>
      <c r="P114" s="10"/>
      <c r="Q114" s="10"/>
      <c r="R114" s="10"/>
      <c r="S114" s="10"/>
      <c r="T114" s="341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5.75" customHeight="1">
      <c r="A115" s="10"/>
      <c r="B115" s="10"/>
      <c r="C115" s="10"/>
      <c r="D115" s="22"/>
      <c r="E115" s="22"/>
      <c r="F115" s="340"/>
      <c r="G115" s="22"/>
      <c r="H115" s="22"/>
      <c r="I115" s="22"/>
      <c r="J115" s="22"/>
      <c r="K115" s="22"/>
      <c r="L115" s="22"/>
      <c r="M115" s="22"/>
      <c r="N115" s="22"/>
      <c r="O115" s="22"/>
      <c r="P115" s="10"/>
      <c r="Q115" s="10"/>
      <c r="R115" s="10"/>
      <c r="S115" s="10"/>
      <c r="T115" s="341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5.75" customHeight="1">
      <c r="A116" s="10"/>
      <c r="B116" s="10"/>
      <c r="C116" s="10"/>
      <c r="D116" s="22"/>
      <c r="E116" s="22"/>
      <c r="F116" s="340"/>
      <c r="G116" s="22"/>
      <c r="H116" s="22"/>
      <c r="I116" s="22"/>
      <c r="J116" s="22"/>
      <c r="K116" s="22"/>
      <c r="L116" s="22"/>
      <c r="M116" s="22"/>
      <c r="N116" s="22"/>
      <c r="O116" s="22"/>
      <c r="P116" s="10"/>
      <c r="Q116" s="10"/>
      <c r="R116" s="10"/>
      <c r="S116" s="10"/>
      <c r="T116" s="341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5.75" customHeight="1">
      <c r="A117" s="10"/>
      <c r="B117" s="10"/>
      <c r="C117" s="10"/>
      <c r="D117" s="22"/>
      <c r="E117" s="22"/>
      <c r="F117" s="340"/>
      <c r="G117" s="22"/>
      <c r="H117" s="22"/>
      <c r="I117" s="22"/>
      <c r="J117" s="22"/>
      <c r="K117" s="22"/>
      <c r="L117" s="22"/>
      <c r="M117" s="22"/>
      <c r="N117" s="22"/>
      <c r="O117" s="22"/>
      <c r="P117" s="10"/>
      <c r="Q117" s="10"/>
      <c r="R117" s="10"/>
      <c r="S117" s="10"/>
      <c r="T117" s="341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5.75" customHeight="1">
      <c r="A118" s="10"/>
      <c r="B118" s="10"/>
      <c r="C118" s="10"/>
      <c r="D118" s="22"/>
      <c r="E118" s="22"/>
      <c r="F118" s="340"/>
      <c r="G118" s="22"/>
      <c r="H118" s="22"/>
      <c r="I118" s="22"/>
      <c r="J118" s="22"/>
      <c r="K118" s="22"/>
      <c r="L118" s="22"/>
      <c r="M118" s="22"/>
      <c r="N118" s="22"/>
      <c r="O118" s="22"/>
      <c r="P118" s="10"/>
      <c r="Q118" s="10"/>
      <c r="R118" s="10"/>
      <c r="S118" s="10"/>
      <c r="T118" s="341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5.75" customHeight="1">
      <c r="A119" s="10"/>
      <c r="B119" s="10"/>
      <c r="C119" s="10"/>
      <c r="D119" s="22"/>
      <c r="E119" s="22"/>
      <c r="F119" s="340"/>
      <c r="G119" s="22"/>
      <c r="H119" s="22"/>
      <c r="I119" s="22"/>
      <c r="J119" s="22"/>
      <c r="K119" s="22"/>
      <c r="L119" s="22"/>
      <c r="M119" s="22"/>
      <c r="N119" s="22"/>
      <c r="O119" s="22"/>
      <c r="P119" s="10"/>
      <c r="Q119" s="10"/>
      <c r="R119" s="10"/>
      <c r="S119" s="10"/>
      <c r="T119" s="341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5.75" customHeight="1">
      <c r="A120" s="10"/>
      <c r="B120" s="10"/>
      <c r="C120" s="10"/>
      <c r="D120" s="22"/>
      <c r="E120" s="22"/>
      <c r="F120" s="340"/>
      <c r="G120" s="22"/>
      <c r="H120" s="22"/>
      <c r="I120" s="22"/>
      <c r="J120" s="22"/>
      <c r="K120" s="22"/>
      <c r="L120" s="22"/>
      <c r="M120" s="22"/>
      <c r="N120" s="22"/>
      <c r="O120" s="22"/>
      <c r="P120" s="10"/>
      <c r="Q120" s="10"/>
      <c r="R120" s="10"/>
      <c r="S120" s="10"/>
      <c r="T120" s="341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5.75" customHeight="1">
      <c r="A121" s="10"/>
      <c r="B121" s="10"/>
      <c r="C121" s="10"/>
      <c r="D121" s="22"/>
      <c r="E121" s="22"/>
      <c r="F121" s="340"/>
      <c r="G121" s="22"/>
      <c r="H121" s="22"/>
      <c r="I121" s="22"/>
      <c r="J121" s="22"/>
      <c r="K121" s="22"/>
      <c r="L121" s="22"/>
      <c r="M121" s="22"/>
      <c r="N121" s="22"/>
      <c r="O121" s="22"/>
      <c r="P121" s="10"/>
      <c r="Q121" s="10"/>
      <c r="R121" s="10"/>
      <c r="S121" s="10"/>
      <c r="T121" s="341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5.75" customHeight="1">
      <c r="A122" s="10"/>
      <c r="B122" s="10"/>
      <c r="C122" s="10"/>
      <c r="D122" s="22"/>
      <c r="E122" s="22"/>
      <c r="F122" s="340"/>
      <c r="G122" s="22"/>
      <c r="H122" s="22"/>
      <c r="I122" s="22"/>
      <c r="J122" s="22"/>
      <c r="K122" s="22"/>
      <c r="L122" s="22"/>
      <c r="M122" s="22"/>
      <c r="N122" s="22"/>
      <c r="O122" s="22"/>
      <c r="P122" s="10"/>
      <c r="Q122" s="10"/>
      <c r="R122" s="10"/>
      <c r="S122" s="10"/>
      <c r="T122" s="341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5.75" customHeight="1">
      <c r="A123" s="10"/>
      <c r="B123" s="10"/>
      <c r="C123" s="10"/>
      <c r="D123" s="22"/>
      <c r="E123" s="22"/>
      <c r="F123" s="340"/>
      <c r="G123" s="22"/>
      <c r="H123" s="22"/>
      <c r="I123" s="22"/>
      <c r="J123" s="22"/>
      <c r="K123" s="22"/>
      <c r="L123" s="22"/>
      <c r="M123" s="22"/>
      <c r="N123" s="22"/>
      <c r="O123" s="22"/>
      <c r="P123" s="10"/>
      <c r="Q123" s="10"/>
      <c r="R123" s="10"/>
      <c r="S123" s="10"/>
      <c r="T123" s="341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5.75" customHeight="1">
      <c r="A124" s="10"/>
      <c r="B124" s="10"/>
      <c r="C124" s="10"/>
      <c r="D124" s="22"/>
      <c r="E124" s="22"/>
      <c r="F124" s="340"/>
      <c r="G124" s="22"/>
      <c r="H124" s="22"/>
      <c r="I124" s="22"/>
      <c r="J124" s="22"/>
      <c r="K124" s="22"/>
      <c r="L124" s="22"/>
      <c r="M124" s="22"/>
      <c r="N124" s="22"/>
      <c r="O124" s="22"/>
      <c r="P124" s="10"/>
      <c r="Q124" s="10"/>
      <c r="R124" s="10"/>
      <c r="S124" s="10"/>
      <c r="T124" s="341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5.75" customHeight="1">
      <c r="A125" s="10"/>
      <c r="B125" s="10"/>
      <c r="C125" s="10"/>
      <c r="D125" s="22"/>
      <c r="E125" s="22"/>
      <c r="F125" s="340"/>
      <c r="G125" s="22"/>
      <c r="H125" s="22"/>
      <c r="I125" s="22"/>
      <c r="J125" s="22"/>
      <c r="K125" s="22"/>
      <c r="L125" s="22"/>
      <c r="M125" s="22"/>
      <c r="N125" s="22"/>
      <c r="O125" s="22"/>
      <c r="P125" s="10"/>
      <c r="Q125" s="10"/>
      <c r="R125" s="10"/>
      <c r="S125" s="10"/>
      <c r="T125" s="341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5.75" customHeight="1">
      <c r="A126" s="10"/>
      <c r="B126" s="10"/>
      <c r="C126" s="10"/>
      <c r="D126" s="22"/>
      <c r="E126" s="22"/>
      <c r="F126" s="340"/>
      <c r="G126" s="22"/>
      <c r="H126" s="22"/>
      <c r="I126" s="22"/>
      <c r="J126" s="22"/>
      <c r="K126" s="22"/>
      <c r="L126" s="22"/>
      <c r="M126" s="22"/>
      <c r="N126" s="22"/>
      <c r="O126" s="22"/>
      <c r="P126" s="10"/>
      <c r="Q126" s="10"/>
      <c r="R126" s="10"/>
      <c r="S126" s="10"/>
      <c r="T126" s="341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5.75" customHeight="1">
      <c r="A127" s="10"/>
      <c r="B127" s="10"/>
      <c r="C127" s="10"/>
      <c r="D127" s="22"/>
      <c r="E127" s="22"/>
      <c r="F127" s="340"/>
      <c r="G127" s="22"/>
      <c r="H127" s="22"/>
      <c r="I127" s="22"/>
      <c r="J127" s="22"/>
      <c r="K127" s="22"/>
      <c r="L127" s="22"/>
      <c r="M127" s="22"/>
      <c r="N127" s="22"/>
      <c r="O127" s="22"/>
      <c r="P127" s="10"/>
      <c r="Q127" s="10"/>
      <c r="R127" s="10"/>
      <c r="S127" s="10"/>
      <c r="T127" s="341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5.75" customHeight="1">
      <c r="A128" s="10"/>
      <c r="B128" s="10"/>
      <c r="C128" s="10"/>
      <c r="D128" s="22"/>
      <c r="E128" s="22"/>
      <c r="F128" s="340"/>
      <c r="G128" s="22"/>
      <c r="H128" s="22"/>
      <c r="I128" s="22"/>
      <c r="J128" s="22"/>
      <c r="K128" s="22"/>
      <c r="L128" s="22"/>
      <c r="M128" s="22"/>
      <c r="N128" s="22"/>
      <c r="O128" s="22"/>
      <c r="P128" s="10"/>
      <c r="Q128" s="10"/>
      <c r="R128" s="10"/>
      <c r="S128" s="10"/>
      <c r="T128" s="341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5.75" customHeight="1">
      <c r="A129" s="10"/>
      <c r="B129" s="10"/>
      <c r="C129" s="10"/>
      <c r="D129" s="22"/>
      <c r="E129" s="22"/>
      <c r="F129" s="340"/>
      <c r="G129" s="22"/>
      <c r="H129" s="22"/>
      <c r="I129" s="22"/>
      <c r="J129" s="22"/>
      <c r="K129" s="22"/>
      <c r="L129" s="22"/>
      <c r="M129" s="22"/>
      <c r="N129" s="22"/>
      <c r="O129" s="22"/>
      <c r="P129" s="10"/>
      <c r="Q129" s="10"/>
      <c r="R129" s="10"/>
      <c r="S129" s="10"/>
      <c r="T129" s="341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5.75" customHeight="1">
      <c r="A130" s="10"/>
      <c r="B130" s="10"/>
      <c r="C130" s="10"/>
      <c r="D130" s="22"/>
      <c r="E130" s="22"/>
      <c r="F130" s="340"/>
      <c r="G130" s="22"/>
      <c r="H130" s="22"/>
      <c r="I130" s="22"/>
      <c r="J130" s="22"/>
      <c r="K130" s="22"/>
      <c r="L130" s="22"/>
      <c r="M130" s="22"/>
      <c r="N130" s="22"/>
      <c r="O130" s="22"/>
      <c r="P130" s="10"/>
      <c r="Q130" s="10"/>
      <c r="R130" s="10"/>
      <c r="S130" s="10"/>
      <c r="T130" s="341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5.75" customHeight="1">
      <c r="A131" s="10"/>
      <c r="B131" s="10"/>
      <c r="C131" s="10"/>
      <c r="D131" s="22"/>
      <c r="E131" s="22"/>
      <c r="F131" s="340"/>
      <c r="G131" s="22"/>
      <c r="H131" s="22"/>
      <c r="I131" s="22"/>
      <c r="J131" s="22"/>
      <c r="K131" s="22"/>
      <c r="L131" s="22"/>
      <c r="M131" s="22"/>
      <c r="N131" s="22"/>
      <c r="O131" s="22"/>
      <c r="P131" s="10"/>
      <c r="Q131" s="10"/>
      <c r="R131" s="10"/>
      <c r="S131" s="10"/>
      <c r="T131" s="341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5.75" customHeight="1">
      <c r="A132" s="10"/>
      <c r="B132" s="10"/>
      <c r="C132" s="10"/>
      <c r="D132" s="22"/>
      <c r="E132" s="22"/>
      <c r="F132" s="340"/>
      <c r="G132" s="22"/>
      <c r="H132" s="22"/>
      <c r="I132" s="22"/>
      <c r="J132" s="22"/>
      <c r="K132" s="22"/>
      <c r="L132" s="22"/>
      <c r="M132" s="22"/>
      <c r="N132" s="22"/>
      <c r="O132" s="22"/>
      <c r="P132" s="10"/>
      <c r="Q132" s="10"/>
      <c r="R132" s="10"/>
      <c r="S132" s="10"/>
      <c r="T132" s="341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5.75" customHeight="1">
      <c r="A133" s="10"/>
      <c r="B133" s="10"/>
      <c r="C133" s="10"/>
      <c r="D133" s="10"/>
      <c r="E133" s="10"/>
      <c r="F133" s="34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341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5.75" customHeight="1">
      <c r="A134" s="10"/>
      <c r="B134" s="10"/>
      <c r="C134" s="10"/>
      <c r="D134" s="10"/>
      <c r="E134" s="10"/>
      <c r="F134" s="34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341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5.75" customHeight="1">
      <c r="A135" s="10"/>
      <c r="B135" s="10"/>
      <c r="C135" s="10"/>
      <c r="D135" s="10"/>
      <c r="E135" s="10"/>
      <c r="F135" s="34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341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5.75" customHeight="1">
      <c r="A136" s="10"/>
      <c r="B136" s="10"/>
      <c r="C136" s="10"/>
      <c r="D136" s="10"/>
      <c r="E136" s="10"/>
      <c r="F136" s="34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341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5.75" customHeight="1">
      <c r="A137" s="10"/>
      <c r="B137" s="10"/>
      <c r="C137" s="10"/>
      <c r="D137" s="10"/>
      <c r="E137" s="10"/>
      <c r="F137" s="34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341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5.75" customHeight="1">
      <c r="A138" s="10"/>
      <c r="B138" s="10"/>
      <c r="C138" s="10"/>
      <c r="D138" s="10"/>
      <c r="E138" s="10"/>
      <c r="F138" s="34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341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5.75" customHeight="1">
      <c r="A139" s="10"/>
      <c r="B139" s="10"/>
      <c r="C139" s="10"/>
      <c r="D139" s="10"/>
      <c r="E139" s="10"/>
      <c r="F139" s="34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341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5.75" customHeight="1">
      <c r="A140" s="10"/>
      <c r="B140" s="10"/>
      <c r="C140" s="10"/>
      <c r="D140" s="10"/>
      <c r="E140" s="10"/>
      <c r="F140" s="34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341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5.75" customHeight="1">
      <c r="A141" s="10"/>
      <c r="B141" s="10"/>
      <c r="C141" s="10"/>
      <c r="D141" s="10"/>
      <c r="E141" s="10"/>
      <c r="F141" s="34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341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5.75" customHeight="1">
      <c r="A142" s="10"/>
      <c r="B142" s="10"/>
      <c r="C142" s="10"/>
      <c r="D142" s="10"/>
      <c r="E142" s="10"/>
      <c r="F142" s="34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341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5.75" customHeight="1">
      <c r="A143" s="10"/>
      <c r="B143" s="10"/>
      <c r="C143" s="10"/>
      <c r="D143" s="10"/>
      <c r="E143" s="10"/>
      <c r="F143" s="34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341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5.75" customHeight="1">
      <c r="A144" s="10"/>
      <c r="B144" s="10"/>
      <c r="C144" s="10"/>
      <c r="D144" s="10"/>
      <c r="E144" s="10"/>
      <c r="F144" s="34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341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5.75" customHeight="1">
      <c r="A145" s="10"/>
      <c r="B145" s="10"/>
      <c r="C145" s="10"/>
      <c r="D145" s="10"/>
      <c r="E145" s="10"/>
      <c r="F145" s="34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341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5.75" customHeight="1">
      <c r="A146" s="10"/>
      <c r="B146" s="10"/>
      <c r="C146" s="10"/>
      <c r="D146" s="10"/>
      <c r="E146" s="10"/>
      <c r="F146" s="34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341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5.75" customHeight="1">
      <c r="A147" s="10"/>
      <c r="B147" s="10"/>
      <c r="C147" s="10"/>
      <c r="D147" s="10"/>
      <c r="E147" s="10"/>
      <c r="F147" s="34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341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5.75" customHeight="1">
      <c r="A148" s="10"/>
      <c r="B148" s="10"/>
      <c r="C148" s="10"/>
      <c r="D148" s="10"/>
      <c r="E148" s="10"/>
      <c r="F148" s="34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341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5.75" customHeight="1">
      <c r="A149" s="10"/>
      <c r="B149" s="10"/>
      <c r="C149" s="10"/>
      <c r="D149" s="10"/>
      <c r="E149" s="10"/>
      <c r="F149" s="34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341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5.75" customHeight="1">
      <c r="A150" s="10"/>
      <c r="B150" s="10"/>
      <c r="C150" s="10"/>
      <c r="D150" s="10"/>
      <c r="E150" s="10"/>
      <c r="F150" s="34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341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5.75" customHeight="1">
      <c r="A151" s="10"/>
      <c r="B151" s="10"/>
      <c r="C151" s="10"/>
      <c r="D151" s="10"/>
      <c r="E151" s="10"/>
      <c r="F151" s="34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341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5.75" customHeight="1">
      <c r="A152" s="10"/>
      <c r="B152" s="10"/>
      <c r="C152" s="10"/>
      <c r="D152" s="10"/>
      <c r="E152" s="10"/>
      <c r="F152" s="34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341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5.75" customHeight="1">
      <c r="A153" s="10"/>
      <c r="B153" s="10"/>
      <c r="C153" s="10"/>
      <c r="D153" s="10"/>
      <c r="E153" s="10"/>
      <c r="F153" s="34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341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5.75" customHeight="1">
      <c r="A154" s="10"/>
      <c r="B154" s="10"/>
      <c r="C154" s="10"/>
      <c r="D154" s="10"/>
      <c r="E154" s="10"/>
      <c r="F154" s="34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341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5.75" customHeight="1">
      <c r="A155" s="10"/>
      <c r="B155" s="10"/>
      <c r="C155" s="10"/>
      <c r="D155" s="10"/>
      <c r="E155" s="10"/>
      <c r="F155" s="34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341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5.75" customHeight="1">
      <c r="A156" s="10"/>
      <c r="B156" s="10"/>
      <c r="C156" s="10"/>
      <c r="D156" s="10"/>
      <c r="E156" s="10"/>
      <c r="F156" s="34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341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5.75" customHeight="1">
      <c r="A157" s="10"/>
      <c r="B157" s="10"/>
      <c r="C157" s="10"/>
      <c r="D157" s="10"/>
      <c r="E157" s="10"/>
      <c r="F157" s="34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341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5.75" customHeight="1">
      <c r="A158" s="10"/>
      <c r="B158" s="10"/>
      <c r="C158" s="10"/>
      <c r="D158" s="10"/>
      <c r="E158" s="10"/>
      <c r="F158" s="34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341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5.75" customHeight="1">
      <c r="A159" s="10"/>
      <c r="B159" s="10"/>
      <c r="C159" s="10"/>
      <c r="D159" s="10"/>
      <c r="E159" s="10"/>
      <c r="F159" s="34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341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5.75" customHeight="1">
      <c r="A160" s="10"/>
      <c r="B160" s="10"/>
      <c r="C160" s="10"/>
      <c r="D160" s="10"/>
      <c r="E160" s="10"/>
      <c r="F160" s="34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341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5.75" customHeight="1">
      <c r="A161" s="10"/>
      <c r="B161" s="10"/>
      <c r="C161" s="10"/>
      <c r="D161" s="10"/>
      <c r="E161" s="10"/>
      <c r="F161" s="34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341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5.75" customHeight="1">
      <c r="A162" s="10"/>
      <c r="B162" s="10"/>
      <c r="C162" s="10"/>
      <c r="D162" s="10"/>
      <c r="E162" s="10"/>
      <c r="F162" s="34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341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5.75" customHeight="1">
      <c r="A163" s="10"/>
      <c r="B163" s="10"/>
      <c r="C163" s="10"/>
      <c r="D163" s="10"/>
      <c r="E163" s="10"/>
      <c r="F163" s="34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341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5.75" customHeight="1">
      <c r="A164" s="10"/>
      <c r="B164" s="10"/>
      <c r="C164" s="10"/>
      <c r="D164" s="10"/>
      <c r="E164" s="10"/>
      <c r="F164" s="34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341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5.75" customHeight="1">
      <c r="A165" s="10"/>
      <c r="B165" s="10"/>
      <c r="C165" s="10"/>
      <c r="D165" s="10"/>
      <c r="E165" s="10"/>
      <c r="F165" s="34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341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5.75" customHeight="1">
      <c r="A166" s="10"/>
      <c r="B166" s="10"/>
      <c r="C166" s="10"/>
      <c r="D166" s="10"/>
      <c r="E166" s="10"/>
      <c r="F166" s="34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341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5.75" customHeight="1">
      <c r="A167" s="10"/>
      <c r="B167" s="10"/>
      <c r="C167" s="10"/>
      <c r="D167" s="10"/>
      <c r="E167" s="10"/>
      <c r="F167" s="34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341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5.75" customHeight="1">
      <c r="A168" s="10"/>
      <c r="B168" s="10"/>
      <c r="C168" s="10"/>
      <c r="D168" s="10"/>
      <c r="E168" s="10"/>
      <c r="F168" s="34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341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5.75" customHeight="1">
      <c r="A169" s="10"/>
      <c r="B169" s="10"/>
      <c r="C169" s="10"/>
      <c r="D169" s="10"/>
      <c r="E169" s="10"/>
      <c r="F169" s="34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341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5.75" customHeight="1">
      <c r="A170" s="10"/>
      <c r="B170" s="10"/>
      <c r="C170" s="10"/>
      <c r="D170" s="10"/>
      <c r="E170" s="10"/>
      <c r="F170" s="34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341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5.75" customHeight="1">
      <c r="A171" s="10"/>
      <c r="B171" s="10"/>
      <c r="C171" s="10"/>
      <c r="D171" s="10"/>
      <c r="E171" s="10"/>
      <c r="F171" s="34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341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5.75" customHeight="1">
      <c r="A172" s="10"/>
      <c r="B172" s="10"/>
      <c r="C172" s="10"/>
      <c r="D172" s="10"/>
      <c r="E172" s="10"/>
      <c r="F172" s="34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341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5.75" customHeight="1">
      <c r="A173" s="10"/>
      <c r="B173" s="10"/>
      <c r="C173" s="10"/>
      <c r="D173" s="10"/>
      <c r="E173" s="10"/>
      <c r="F173" s="34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341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5.75" customHeight="1">
      <c r="A174" s="10"/>
      <c r="B174" s="10"/>
      <c r="C174" s="10"/>
      <c r="D174" s="10"/>
      <c r="E174" s="10"/>
      <c r="F174" s="34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341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5.75" customHeight="1">
      <c r="A175" s="10"/>
      <c r="B175" s="10"/>
      <c r="C175" s="10"/>
      <c r="D175" s="10"/>
      <c r="E175" s="10"/>
      <c r="F175" s="34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341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5.75" customHeight="1">
      <c r="A176" s="10"/>
      <c r="B176" s="10"/>
      <c r="C176" s="10"/>
      <c r="D176" s="10"/>
      <c r="E176" s="10"/>
      <c r="F176" s="34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341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5.75" customHeight="1">
      <c r="A177" s="10"/>
      <c r="B177" s="10"/>
      <c r="C177" s="10"/>
      <c r="D177" s="10"/>
      <c r="E177" s="10"/>
      <c r="F177" s="34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341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5.75" customHeight="1">
      <c r="A178" s="10"/>
      <c r="B178" s="10"/>
      <c r="C178" s="10"/>
      <c r="D178" s="10"/>
      <c r="E178" s="10"/>
      <c r="F178" s="34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341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5.75" customHeight="1">
      <c r="A179" s="10"/>
      <c r="B179" s="10"/>
      <c r="C179" s="10"/>
      <c r="D179" s="10"/>
      <c r="E179" s="10"/>
      <c r="F179" s="34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341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5.75" customHeight="1">
      <c r="A180" s="10"/>
      <c r="B180" s="10"/>
      <c r="C180" s="10"/>
      <c r="D180" s="10"/>
      <c r="E180" s="10"/>
      <c r="F180" s="34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341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5.75" customHeight="1">
      <c r="A181" s="10"/>
      <c r="B181" s="10"/>
      <c r="C181" s="10"/>
      <c r="D181" s="10"/>
      <c r="E181" s="10"/>
      <c r="F181" s="34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341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5.75" customHeight="1">
      <c r="A182" s="10"/>
      <c r="B182" s="10"/>
      <c r="C182" s="10"/>
      <c r="D182" s="10"/>
      <c r="E182" s="10"/>
      <c r="F182" s="34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341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5.75" customHeight="1">
      <c r="A183" s="10"/>
      <c r="B183" s="10"/>
      <c r="C183" s="10"/>
      <c r="D183" s="10"/>
      <c r="E183" s="10"/>
      <c r="F183" s="34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341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A184" s="10"/>
      <c r="B184" s="10"/>
      <c r="C184" s="10"/>
      <c r="D184" s="10"/>
      <c r="E184" s="10"/>
      <c r="F184" s="34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341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>
      <c r="A185" s="10"/>
      <c r="B185" s="10"/>
      <c r="C185" s="10"/>
      <c r="D185" s="10"/>
      <c r="E185" s="10"/>
      <c r="F185" s="34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341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10"/>
      <c r="B186" s="10"/>
      <c r="C186" s="10"/>
      <c r="D186" s="10"/>
      <c r="E186" s="10"/>
      <c r="F186" s="34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341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10"/>
      <c r="B187" s="10"/>
      <c r="C187" s="10"/>
      <c r="D187" s="10"/>
      <c r="E187" s="10"/>
      <c r="F187" s="34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341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5.75" customHeight="1">
      <c r="A188" s="10"/>
      <c r="B188" s="10"/>
      <c r="C188" s="10"/>
      <c r="D188" s="10"/>
      <c r="E188" s="10"/>
      <c r="F188" s="34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341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5.75" customHeight="1">
      <c r="A189" s="10"/>
      <c r="B189" s="10"/>
      <c r="C189" s="10"/>
      <c r="D189" s="10"/>
      <c r="E189" s="10"/>
      <c r="F189" s="34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341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5.75" customHeight="1">
      <c r="A190" s="10"/>
      <c r="B190" s="10"/>
      <c r="C190" s="10"/>
      <c r="D190" s="10"/>
      <c r="E190" s="10"/>
      <c r="F190" s="34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341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5.75" customHeight="1">
      <c r="A191" s="10"/>
      <c r="B191" s="10"/>
      <c r="C191" s="10"/>
      <c r="D191" s="10"/>
      <c r="E191" s="10"/>
      <c r="F191" s="34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341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5.75" customHeight="1">
      <c r="A192" s="10"/>
      <c r="B192" s="10"/>
      <c r="C192" s="10"/>
      <c r="D192" s="10"/>
      <c r="E192" s="10"/>
      <c r="F192" s="34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341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5.75" customHeight="1">
      <c r="A193" s="10"/>
      <c r="B193" s="10"/>
      <c r="C193" s="10"/>
      <c r="D193" s="10"/>
      <c r="E193" s="10"/>
      <c r="F193" s="34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341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5.75" customHeight="1">
      <c r="A194" s="10"/>
      <c r="B194" s="10"/>
      <c r="C194" s="10"/>
      <c r="D194" s="10"/>
      <c r="E194" s="10"/>
      <c r="F194" s="34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5.75" customHeight="1">
      <c r="A195" s="10"/>
      <c r="B195" s="10"/>
      <c r="C195" s="10"/>
      <c r="D195" s="10"/>
      <c r="E195" s="10"/>
      <c r="F195" s="34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5.75" customHeight="1">
      <c r="A196" s="10"/>
      <c r="B196" s="10"/>
      <c r="C196" s="10"/>
      <c r="D196" s="10"/>
      <c r="E196" s="10"/>
      <c r="F196" s="34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5.75" customHeight="1">
      <c r="A197" s="10"/>
      <c r="B197" s="10"/>
      <c r="C197" s="10"/>
      <c r="D197" s="10"/>
      <c r="E197" s="10"/>
      <c r="F197" s="34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5.75" customHeight="1">
      <c r="A198" s="10"/>
      <c r="B198" s="10"/>
      <c r="C198" s="10"/>
      <c r="D198" s="10"/>
      <c r="E198" s="10"/>
      <c r="F198" s="34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5.75" customHeight="1">
      <c r="A199" s="10"/>
      <c r="B199" s="10"/>
      <c r="C199" s="10"/>
      <c r="D199" s="10"/>
      <c r="E199" s="10"/>
      <c r="F199" s="34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5.75" customHeight="1">
      <c r="A200" s="10"/>
      <c r="B200" s="10"/>
      <c r="C200" s="10"/>
      <c r="D200" s="10"/>
      <c r="E200" s="10"/>
      <c r="F200" s="34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5.75" customHeight="1">
      <c r="A201" s="10"/>
      <c r="B201" s="10"/>
      <c r="C201" s="10"/>
      <c r="D201" s="10"/>
      <c r="E201" s="10"/>
      <c r="F201" s="34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5.75" customHeight="1">
      <c r="A202" s="10"/>
      <c r="B202" s="10"/>
      <c r="C202" s="10"/>
      <c r="D202" s="10"/>
      <c r="E202" s="10"/>
      <c r="F202" s="34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5.75" customHeight="1">
      <c r="A203" s="10"/>
      <c r="B203" s="10"/>
      <c r="C203" s="10"/>
      <c r="D203" s="10"/>
      <c r="E203" s="10"/>
      <c r="F203" s="34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5.75" customHeight="1">
      <c r="A204" s="10"/>
      <c r="B204" s="10"/>
      <c r="C204" s="10"/>
      <c r="D204" s="10"/>
      <c r="E204" s="10"/>
      <c r="F204" s="34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5.75" customHeight="1">
      <c r="A205" s="10"/>
      <c r="B205" s="10"/>
      <c r="C205" s="10"/>
      <c r="D205" s="10"/>
      <c r="E205" s="10"/>
      <c r="F205" s="34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5.75" customHeight="1">
      <c r="A206" s="10"/>
      <c r="B206" s="10"/>
      <c r="C206" s="10"/>
      <c r="D206" s="10"/>
      <c r="E206" s="10"/>
      <c r="F206" s="34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5.75" customHeight="1">
      <c r="A207" s="10"/>
      <c r="B207" s="10"/>
      <c r="C207" s="10"/>
      <c r="D207" s="10"/>
      <c r="E207" s="10"/>
      <c r="F207" s="34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5.75" customHeight="1">
      <c r="A208" s="10"/>
      <c r="B208" s="10"/>
      <c r="C208" s="10"/>
      <c r="D208" s="10"/>
      <c r="E208" s="10"/>
      <c r="F208" s="34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5.75" customHeight="1">
      <c r="A209" s="10"/>
      <c r="B209" s="10"/>
      <c r="C209" s="10"/>
      <c r="D209" s="10"/>
      <c r="E209" s="10"/>
      <c r="F209" s="34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5.75" customHeight="1">
      <c r="A210" s="10"/>
      <c r="B210" s="10"/>
      <c r="C210" s="10"/>
      <c r="D210" s="10"/>
      <c r="E210" s="10"/>
      <c r="F210" s="34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5.75" customHeight="1">
      <c r="A211" s="10"/>
      <c r="B211" s="10"/>
      <c r="C211" s="10"/>
      <c r="D211" s="10"/>
      <c r="E211" s="10"/>
      <c r="F211" s="34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5.75" customHeight="1">
      <c r="A212" s="10"/>
      <c r="B212" s="10"/>
      <c r="C212" s="10"/>
      <c r="D212" s="10"/>
      <c r="E212" s="10"/>
      <c r="F212" s="34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5.75" customHeight="1">
      <c r="A213" s="10"/>
      <c r="B213" s="10"/>
      <c r="C213" s="10"/>
      <c r="D213" s="10"/>
      <c r="E213" s="10"/>
      <c r="F213" s="34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5.75" customHeight="1">
      <c r="A214" s="10"/>
      <c r="B214" s="10"/>
      <c r="C214" s="10"/>
      <c r="D214" s="10"/>
      <c r="E214" s="10"/>
      <c r="F214" s="34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5.75" customHeight="1">
      <c r="A215" s="10"/>
      <c r="B215" s="10"/>
      <c r="C215" s="10"/>
      <c r="D215" s="10"/>
      <c r="E215" s="10"/>
      <c r="F215" s="34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5.75" customHeight="1">
      <c r="A216" s="10"/>
      <c r="B216" s="10"/>
      <c r="C216" s="10"/>
      <c r="D216" s="10"/>
      <c r="E216" s="10"/>
      <c r="F216" s="34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5.75" customHeight="1">
      <c r="A217" s="10"/>
      <c r="B217" s="10"/>
      <c r="C217" s="10"/>
      <c r="D217" s="10"/>
      <c r="E217" s="10"/>
      <c r="F217" s="34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5.75" customHeight="1">
      <c r="A218" s="10"/>
      <c r="B218" s="10"/>
      <c r="C218" s="10"/>
      <c r="D218" s="10"/>
      <c r="E218" s="10"/>
      <c r="F218" s="34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5.75" customHeight="1">
      <c r="A219" s="10"/>
      <c r="B219" s="10"/>
      <c r="C219" s="10"/>
      <c r="D219" s="10"/>
      <c r="E219" s="10"/>
      <c r="F219" s="34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5.75" customHeight="1">
      <c r="A220" s="10"/>
      <c r="B220" s="10"/>
      <c r="C220" s="10"/>
      <c r="D220" s="10"/>
      <c r="E220" s="10"/>
      <c r="F220" s="34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5.75" customHeight="1">
      <c r="A221" s="10"/>
      <c r="B221" s="10"/>
      <c r="C221" s="10"/>
      <c r="D221" s="10"/>
      <c r="E221" s="10"/>
      <c r="F221" s="34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5.75" customHeight="1">
      <c r="A222" s="10"/>
      <c r="B222" s="10"/>
      <c r="C222" s="10"/>
      <c r="D222" s="10"/>
      <c r="E222" s="10"/>
      <c r="F222" s="34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5.75" customHeight="1">
      <c r="A223" s="10"/>
      <c r="B223" s="10"/>
      <c r="C223" s="10"/>
      <c r="D223" s="10"/>
      <c r="E223" s="10"/>
      <c r="F223" s="34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5.75" customHeight="1">
      <c r="A224" s="10"/>
      <c r="B224" s="10"/>
      <c r="C224" s="10"/>
      <c r="D224" s="10"/>
      <c r="E224" s="10"/>
      <c r="F224" s="34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5.75" customHeight="1">
      <c r="A225" s="10"/>
      <c r="B225" s="10"/>
      <c r="C225" s="10"/>
      <c r="D225" s="10"/>
      <c r="E225" s="10"/>
      <c r="F225" s="34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5.75" customHeight="1">
      <c r="A226" s="10"/>
      <c r="B226" s="10"/>
      <c r="C226" s="10"/>
      <c r="D226" s="10"/>
      <c r="E226" s="10"/>
      <c r="F226" s="34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5.75" customHeight="1">
      <c r="A227" s="10"/>
      <c r="B227" s="10"/>
      <c r="C227" s="10"/>
      <c r="D227" s="10"/>
      <c r="E227" s="10"/>
      <c r="F227" s="34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5.75" customHeight="1">
      <c r="A228" s="10"/>
      <c r="B228" s="10"/>
      <c r="C228" s="10"/>
      <c r="D228" s="10"/>
      <c r="E228" s="10"/>
      <c r="F228" s="34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5.75" customHeight="1">
      <c r="A229" s="10"/>
      <c r="B229" s="10"/>
      <c r="C229" s="10"/>
      <c r="D229" s="10"/>
      <c r="E229" s="10"/>
      <c r="F229" s="34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5.75" customHeight="1">
      <c r="A230" s="10"/>
      <c r="B230" s="10"/>
      <c r="C230" s="10"/>
      <c r="D230" s="10"/>
      <c r="E230" s="10"/>
      <c r="F230" s="34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5.75" customHeight="1">
      <c r="A231" s="10"/>
      <c r="B231" s="10"/>
      <c r="C231" s="10"/>
      <c r="D231" s="10"/>
      <c r="E231" s="10"/>
      <c r="F231" s="34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5.75" customHeight="1">
      <c r="A232" s="10"/>
      <c r="B232" s="10"/>
      <c r="C232" s="10"/>
      <c r="D232" s="10"/>
      <c r="E232" s="10"/>
      <c r="F232" s="34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5.75" customHeight="1">
      <c r="A233" s="10"/>
      <c r="B233" s="10"/>
      <c r="C233" s="10"/>
      <c r="D233" s="10"/>
      <c r="E233" s="10"/>
      <c r="F233" s="34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5.75" customHeight="1">
      <c r="A234" s="10"/>
      <c r="B234" s="10"/>
      <c r="C234" s="10"/>
      <c r="D234" s="10"/>
      <c r="E234" s="10"/>
      <c r="F234" s="34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5.75" customHeight="1">
      <c r="A235" s="10"/>
      <c r="B235" s="10"/>
      <c r="C235" s="10"/>
      <c r="D235" s="10"/>
      <c r="E235" s="10"/>
      <c r="F235" s="34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5.75" customHeight="1">
      <c r="A236" s="10"/>
      <c r="B236" s="10"/>
      <c r="C236" s="10"/>
      <c r="D236" s="10"/>
      <c r="E236" s="10"/>
      <c r="F236" s="34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5.75" customHeight="1">
      <c r="A237" s="10"/>
      <c r="B237" s="10"/>
      <c r="C237" s="10"/>
      <c r="D237" s="10"/>
      <c r="E237" s="10"/>
      <c r="F237" s="34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5.75" customHeight="1">
      <c r="A238" s="10"/>
      <c r="B238" s="10"/>
      <c r="C238" s="10"/>
      <c r="D238" s="10"/>
      <c r="E238" s="10"/>
      <c r="F238" s="34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5.75" customHeight="1">
      <c r="A239" s="10"/>
      <c r="B239" s="10"/>
      <c r="C239" s="10"/>
      <c r="D239" s="10"/>
      <c r="E239" s="10"/>
      <c r="F239" s="34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5.75" customHeight="1">
      <c r="A240" s="10"/>
      <c r="B240" s="10"/>
      <c r="C240" s="10"/>
      <c r="D240" s="10"/>
      <c r="E240" s="10"/>
      <c r="F240" s="34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5.75" customHeight="1">
      <c r="A241" s="10"/>
      <c r="B241" s="10"/>
      <c r="C241" s="10"/>
      <c r="D241" s="10"/>
      <c r="E241" s="10"/>
      <c r="F241" s="34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5.75" customHeight="1">
      <c r="A242" s="10"/>
      <c r="B242" s="10"/>
      <c r="C242" s="10"/>
      <c r="D242" s="10"/>
      <c r="E242" s="10"/>
      <c r="F242" s="34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5.75" customHeight="1">
      <c r="A243" s="10"/>
      <c r="B243" s="10"/>
      <c r="C243" s="10"/>
      <c r="D243" s="10"/>
      <c r="E243" s="10"/>
      <c r="F243" s="34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5.75" customHeight="1">
      <c r="A244" s="10"/>
      <c r="B244" s="10"/>
      <c r="C244" s="10"/>
      <c r="D244" s="10"/>
      <c r="E244" s="10"/>
      <c r="F244" s="34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5.75" customHeight="1">
      <c r="A245" s="10"/>
      <c r="B245" s="10"/>
      <c r="C245" s="10"/>
      <c r="D245" s="10"/>
      <c r="E245" s="10"/>
      <c r="F245" s="34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5.75" customHeight="1">
      <c r="A246" s="10"/>
      <c r="B246" s="10"/>
      <c r="C246" s="10"/>
      <c r="D246" s="10"/>
      <c r="E246" s="10"/>
      <c r="F246" s="34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5.75" customHeight="1">
      <c r="A247" s="10"/>
      <c r="B247" s="10"/>
      <c r="C247" s="10"/>
      <c r="D247" s="10"/>
      <c r="E247" s="10"/>
      <c r="F247" s="34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5.75" customHeight="1">
      <c r="A248" s="10"/>
      <c r="B248" s="10"/>
      <c r="C248" s="10"/>
      <c r="D248" s="10"/>
      <c r="E248" s="10"/>
      <c r="F248" s="34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5.75" customHeight="1">
      <c r="A249" s="10"/>
      <c r="B249" s="10"/>
      <c r="C249" s="10"/>
      <c r="D249" s="10"/>
      <c r="E249" s="10"/>
      <c r="F249" s="34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5.75" customHeight="1">
      <c r="A250" s="10"/>
      <c r="B250" s="10"/>
      <c r="C250" s="10"/>
      <c r="D250" s="10"/>
      <c r="E250" s="10"/>
      <c r="F250" s="34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5.75" customHeight="1">
      <c r="A251" s="10"/>
      <c r="B251" s="10"/>
      <c r="C251" s="10"/>
      <c r="D251" s="10"/>
      <c r="E251" s="10"/>
      <c r="F251" s="34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5.75" customHeight="1">
      <c r="A252" s="10"/>
      <c r="B252" s="10"/>
      <c r="C252" s="10"/>
      <c r="D252" s="10"/>
      <c r="E252" s="10"/>
      <c r="F252" s="34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5.75" customHeight="1">
      <c r="A253" s="10"/>
      <c r="B253" s="10"/>
      <c r="C253" s="10"/>
      <c r="D253" s="10"/>
      <c r="E253" s="10"/>
      <c r="F253" s="34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5.75" customHeight="1">
      <c r="A254" s="10"/>
      <c r="B254" s="10"/>
      <c r="C254" s="10"/>
      <c r="D254" s="10"/>
      <c r="E254" s="10"/>
      <c r="F254" s="34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5.75" customHeight="1">
      <c r="A255" s="10"/>
      <c r="B255" s="10"/>
      <c r="C255" s="10"/>
      <c r="D255" s="10"/>
      <c r="E255" s="10"/>
      <c r="F255" s="34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5.75" customHeight="1">
      <c r="A256" s="10"/>
      <c r="B256" s="10"/>
      <c r="C256" s="10"/>
      <c r="D256" s="10"/>
      <c r="E256" s="10"/>
      <c r="F256" s="34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5.75" customHeight="1">
      <c r="A257" s="10"/>
      <c r="B257" s="10"/>
      <c r="C257" s="10"/>
      <c r="D257" s="10"/>
      <c r="E257" s="10"/>
      <c r="F257" s="34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5.75" customHeight="1">
      <c r="A258" s="10"/>
      <c r="B258" s="10"/>
      <c r="C258" s="10"/>
      <c r="D258" s="10"/>
      <c r="E258" s="10"/>
      <c r="F258" s="34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5.75" customHeight="1">
      <c r="A259" s="10"/>
      <c r="B259" s="10"/>
      <c r="C259" s="10"/>
      <c r="D259" s="10"/>
      <c r="E259" s="10"/>
      <c r="F259" s="34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5.75" customHeight="1">
      <c r="A260" s="10"/>
      <c r="B260" s="10"/>
      <c r="C260" s="10"/>
      <c r="D260" s="10"/>
      <c r="E260" s="10"/>
      <c r="F260" s="34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5.75" customHeight="1">
      <c r="A261" s="10"/>
      <c r="B261" s="10"/>
      <c r="C261" s="10"/>
      <c r="D261" s="10"/>
      <c r="E261" s="10"/>
      <c r="F261" s="34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5.75" customHeight="1">
      <c r="A262" s="10"/>
      <c r="B262" s="10"/>
      <c r="C262" s="10"/>
      <c r="D262" s="10"/>
      <c r="E262" s="10"/>
      <c r="F262" s="34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5.75" customHeight="1">
      <c r="A263" s="10"/>
      <c r="B263" s="10"/>
      <c r="C263" s="10"/>
      <c r="D263" s="10"/>
      <c r="E263" s="10"/>
      <c r="F263" s="34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5.75" customHeight="1">
      <c r="A264" s="10"/>
      <c r="B264" s="10"/>
      <c r="C264" s="10"/>
      <c r="D264" s="10"/>
      <c r="E264" s="10"/>
      <c r="F264" s="34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5.75" customHeight="1">
      <c r="A265" s="10"/>
      <c r="B265" s="10"/>
      <c r="C265" s="10"/>
      <c r="D265" s="10"/>
      <c r="E265" s="10"/>
      <c r="F265" s="34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5.75" customHeight="1">
      <c r="A266" s="10"/>
      <c r="B266" s="10"/>
      <c r="C266" s="10"/>
      <c r="D266" s="10"/>
      <c r="E266" s="10"/>
      <c r="F266" s="34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5.75" customHeight="1">
      <c r="A267" s="10"/>
      <c r="B267" s="10"/>
      <c r="C267" s="10"/>
      <c r="D267" s="10"/>
      <c r="E267" s="10"/>
      <c r="F267" s="34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5.75" customHeight="1">
      <c r="A268" s="10"/>
      <c r="B268" s="10"/>
      <c r="C268" s="10"/>
      <c r="D268" s="10"/>
      <c r="E268" s="10"/>
      <c r="F268" s="34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5.75" customHeight="1">
      <c r="A269" s="10"/>
      <c r="B269" s="10"/>
      <c r="C269" s="10"/>
      <c r="D269" s="10"/>
      <c r="E269" s="10"/>
      <c r="F269" s="34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5.75" customHeight="1">
      <c r="A270" s="10"/>
      <c r="B270" s="10"/>
      <c r="C270" s="10"/>
      <c r="D270" s="10"/>
      <c r="E270" s="10"/>
      <c r="F270" s="34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5.75" customHeight="1">
      <c r="A271" s="10"/>
      <c r="B271" s="10"/>
      <c r="C271" s="10"/>
      <c r="D271" s="10"/>
      <c r="E271" s="10"/>
      <c r="F271" s="34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5.75" customHeight="1">
      <c r="A272" s="10"/>
      <c r="B272" s="10"/>
      <c r="C272" s="10"/>
      <c r="D272" s="10"/>
      <c r="E272" s="10"/>
      <c r="F272" s="34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5.75" customHeight="1">
      <c r="A273" s="10"/>
      <c r="B273" s="10"/>
      <c r="C273" s="10"/>
      <c r="D273" s="10"/>
      <c r="E273" s="10"/>
      <c r="F273" s="34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5.75" customHeight="1">
      <c r="A274" s="10"/>
      <c r="B274" s="10"/>
      <c r="C274" s="10"/>
      <c r="D274" s="10"/>
      <c r="E274" s="10"/>
      <c r="F274" s="34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5.75" customHeight="1">
      <c r="A275" s="10"/>
      <c r="B275" s="10"/>
      <c r="C275" s="10"/>
      <c r="D275" s="10"/>
      <c r="E275" s="10"/>
      <c r="F275" s="34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5.75" customHeight="1">
      <c r="A276" s="10"/>
      <c r="B276" s="10"/>
      <c r="C276" s="10"/>
      <c r="D276" s="10"/>
      <c r="E276" s="10"/>
      <c r="F276" s="34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5.75" customHeight="1">
      <c r="A277" s="10"/>
      <c r="B277" s="10"/>
      <c r="C277" s="10"/>
      <c r="D277" s="10"/>
      <c r="E277" s="10"/>
      <c r="F277" s="34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5.75" customHeight="1">
      <c r="A278" s="10"/>
      <c r="B278" s="10"/>
      <c r="C278" s="10"/>
      <c r="D278" s="10"/>
      <c r="E278" s="10"/>
      <c r="F278" s="34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5.75" customHeight="1">
      <c r="A279" s="10"/>
      <c r="B279" s="10"/>
      <c r="C279" s="10"/>
      <c r="D279" s="10"/>
      <c r="E279" s="10"/>
      <c r="F279" s="34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5.75" customHeight="1">
      <c r="A280" s="10"/>
      <c r="B280" s="10"/>
      <c r="C280" s="10"/>
      <c r="D280" s="10"/>
      <c r="E280" s="10"/>
      <c r="F280" s="34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5.75" customHeight="1">
      <c r="A281" s="10"/>
      <c r="B281" s="10"/>
      <c r="C281" s="10"/>
      <c r="D281" s="10"/>
      <c r="E281" s="10"/>
      <c r="F281" s="34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5.75" customHeight="1">
      <c r="A282" s="10"/>
      <c r="B282" s="10"/>
      <c r="C282" s="10"/>
      <c r="D282" s="10"/>
      <c r="E282" s="10"/>
      <c r="F282" s="34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5.75" customHeight="1">
      <c r="A283" s="10"/>
      <c r="B283" s="10"/>
      <c r="C283" s="10"/>
      <c r="D283" s="10"/>
      <c r="E283" s="10"/>
      <c r="F283" s="34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T$1:$T$980"/>
  <conditionalFormatting sqref="G7:G92 D8:E86 F8:F87 H8:P92 S8:S92 T9:T92 U9:V86 F89:F91">
    <cfRule type="cellIs" dxfId="1" priority="1" operator="lessThan">
      <formula>1</formula>
    </cfRule>
  </conditionalFormatting>
  <conditionalFormatting sqref="T1:T980">
    <cfRule type="cellIs" dxfId="2" priority="2" operator="lessThan">
      <formula>49.9</formula>
    </cfRule>
  </conditionalFormatting>
  <conditionalFormatting sqref="T1:T980">
    <cfRule type="cellIs" dxfId="3" priority="3" operator="greaterThanOrEqual">
      <formula>50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1.86"/>
    <col customWidth="1" min="4" max="4" width="5.43"/>
    <col customWidth="1" min="5" max="5" width="8.43"/>
    <col customWidth="1" min="6" max="6" width="12.0"/>
    <col customWidth="1" min="7" max="7" width="8.57"/>
    <col customWidth="1" min="8" max="8" width="9.29"/>
    <col customWidth="1" min="9" max="13" width="6.0"/>
    <col customWidth="1" min="14" max="14" width="7.43"/>
    <col customWidth="1" min="15" max="15" width="6.57"/>
    <col customWidth="1" min="16" max="16" width="8.0"/>
    <col customWidth="1" min="17" max="17" width="9.71"/>
    <col customWidth="1" min="18" max="18" width="9.0"/>
    <col customWidth="1" min="19" max="19" width="16.57"/>
    <col customWidth="1" min="20" max="20" width="10.0"/>
  </cols>
  <sheetData>
    <row r="1">
      <c r="A1" s="10"/>
      <c r="B1" s="338" t="s">
        <v>235</v>
      </c>
      <c r="C1" s="339" t="s">
        <v>236</v>
      </c>
      <c r="D1" s="22"/>
      <c r="E1" s="22"/>
      <c r="F1" s="340"/>
      <c r="G1" s="22"/>
      <c r="H1" s="22"/>
      <c r="I1" s="22"/>
      <c r="J1" s="22"/>
      <c r="K1" s="10"/>
      <c r="L1" s="10"/>
      <c r="M1" s="10"/>
      <c r="N1" s="22"/>
      <c r="O1" s="22"/>
      <c r="P1" s="10"/>
      <c r="Q1" s="10"/>
      <c r="R1" s="10"/>
      <c r="S1" s="10"/>
      <c r="T1" s="341"/>
      <c r="U1" s="10"/>
      <c r="V1" s="10"/>
      <c r="W1" s="10"/>
      <c r="X1" s="10"/>
      <c r="Y1" s="10"/>
      <c r="Z1" s="10"/>
      <c r="AA1" s="10"/>
      <c r="AB1" s="10"/>
    </row>
    <row r="2">
      <c r="A2" s="10"/>
      <c r="B2" s="342" t="s">
        <v>237</v>
      </c>
      <c r="C2" s="343" t="s">
        <v>238</v>
      </c>
      <c r="D2" s="22"/>
      <c r="E2" s="22"/>
      <c r="F2" s="340"/>
      <c r="G2" s="22"/>
      <c r="H2" s="22"/>
      <c r="I2" s="22"/>
      <c r="J2" s="22"/>
      <c r="K2" s="10"/>
      <c r="L2" s="10"/>
      <c r="M2" s="10"/>
      <c r="N2" s="22"/>
      <c r="O2" s="22"/>
      <c r="P2" s="10"/>
      <c r="Q2" s="10"/>
      <c r="R2" s="10"/>
      <c r="S2" s="10"/>
      <c r="T2" s="341"/>
      <c r="U2" s="10"/>
      <c r="V2" s="10"/>
      <c r="W2" s="10"/>
      <c r="X2" s="10"/>
      <c r="Y2" s="10"/>
      <c r="Z2" s="10"/>
      <c r="AA2" s="10"/>
      <c r="AB2" s="10"/>
    </row>
    <row r="3">
      <c r="A3" s="10"/>
      <c r="B3" s="342" t="s">
        <v>239</v>
      </c>
      <c r="C3" s="344">
        <v>46069.0</v>
      </c>
      <c r="D3" s="10"/>
      <c r="E3" s="10"/>
      <c r="F3" s="34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341"/>
      <c r="U3" s="10"/>
      <c r="V3" s="10"/>
      <c r="W3" s="10"/>
      <c r="X3" s="10"/>
      <c r="Y3" s="10"/>
      <c r="Z3" s="10"/>
      <c r="AA3" s="10"/>
      <c r="AB3" s="10"/>
    </row>
    <row r="4">
      <c r="A4" s="10"/>
      <c r="B4" s="346" t="s">
        <v>240</v>
      </c>
      <c r="C4" s="347"/>
      <c r="D4" s="10"/>
      <c r="E4" s="10"/>
      <c r="F4" s="34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41"/>
      <c r="U4" s="10"/>
      <c r="V4" s="10"/>
      <c r="W4" s="10"/>
      <c r="X4" s="10"/>
      <c r="Y4" s="10"/>
      <c r="Z4" s="10"/>
      <c r="AA4" s="10"/>
      <c r="AB4" s="10"/>
    </row>
    <row r="5">
      <c r="A5" s="10"/>
      <c r="B5" s="10"/>
      <c r="C5" s="10"/>
      <c r="D5" s="10"/>
      <c r="E5" s="10"/>
      <c r="F5" s="34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41"/>
      <c r="U5" s="10"/>
      <c r="V5" s="10"/>
      <c r="W5" s="10"/>
      <c r="X5" s="10"/>
      <c r="Y5" s="10"/>
      <c r="Z5" s="10"/>
      <c r="AA5" s="10"/>
      <c r="AB5" s="10"/>
    </row>
    <row r="6">
      <c r="A6" s="10"/>
      <c r="B6" s="10"/>
      <c r="C6" s="10"/>
      <c r="D6" s="22"/>
      <c r="E6" s="22"/>
      <c r="F6" s="340"/>
      <c r="G6" s="22"/>
      <c r="H6" s="22"/>
      <c r="I6" s="22"/>
      <c r="J6" s="22"/>
      <c r="K6" s="22"/>
      <c r="L6" s="22"/>
      <c r="M6" s="22"/>
      <c r="N6" s="22"/>
      <c r="O6" s="22"/>
      <c r="P6" s="10"/>
      <c r="Q6" s="10"/>
      <c r="R6" s="10"/>
      <c r="S6" s="10"/>
      <c r="T6" s="341"/>
      <c r="U6" s="10"/>
      <c r="V6" s="10"/>
      <c r="W6" s="10"/>
      <c r="X6" s="10"/>
      <c r="Y6" s="10"/>
      <c r="Z6" s="10"/>
      <c r="AA6" s="10"/>
      <c r="AB6" s="10"/>
    </row>
    <row r="7" ht="27.0" customHeight="1">
      <c r="A7" s="348"/>
      <c r="B7" s="348"/>
      <c r="C7" s="349"/>
      <c r="D7" s="350" t="s">
        <v>241</v>
      </c>
      <c r="E7" s="351" t="s">
        <v>242</v>
      </c>
      <c r="F7" s="350" t="s">
        <v>243</v>
      </c>
      <c r="G7" s="352">
        <v>601.0</v>
      </c>
      <c r="H7" s="353" t="s">
        <v>244</v>
      </c>
      <c r="I7" s="354">
        <v>602.0</v>
      </c>
      <c r="J7" s="355" t="s">
        <v>245</v>
      </c>
      <c r="K7" s="356">
        <v>603.0</v>
      </c>
      <c r="L7" s="357">
        <v>604.0</v>
      </c>
      <c r="M7" s="355" t="s">
        <v>246</v>
      </c>
      <c r="N7" s="358" t="s">
        <v>247</v>
      </c>
      <c r="O7" s="355" t="s">
        <v>248</v>
      </c>
      <c r="P7" s="356" t="s">
        <v>249</v>
      </c>
      <c r="Q7" s="359" t="s">
        <v>250</v>
      </c>
      <c r="R7" s="359" t="s">
        <v>251</v>
      </c>
      <c r="S7" s="360" t="s">
        <v>252</v>
      </c>
      <c r="T7" s="361" t="s">
        <v>253</v>
      </c>
      <c r="U7" s="10"/>
      <c r="V7" s="10"/>
      <c r="W7" s="10"/>
      <c r="X7" s="10"/>
      <c r="Y7" s="10"/>
      <c r="Z7" s="10"/>
      <c r="AA7" s="10"/>
      <c r="AB7" s="10"/>
    </row>
    <row r="8">
      <c r="A8" s="362" t="s">
        <v>256</v>
      </c>
      <c r="B8" s="363" t="s">
        <v>45</v>
      </c>
      <c r="C8" s="364" t="s">
        <v>44</v>
      </c>
      <c r="D8" s="365"/>
      <c r="E8" s="365"/>
      <c r="F8" s="366"/>
      <c r="G8" s="367">
        <f>'601'!D9</f>
        <v>27</v>
      </c>
      <c r="H8" s="367">
        <f>'601 L'!D9</f>
        <v>14</v>
      </c>
      <c r="I8" s="368">
        <f>'602'!D9</f>
        <v>33</v>
      </c>
      <c r="J8" s="48">
        <f>'602 L'!D9</f>
        <v>9</v>
      </c>
      <c r="K8" s="369">
        <f>'603'!D9</f>
        <v>33</v>
      </c>
      <c r="L8" s="368">
        <f>'604'!D9</f>
        <v>24</v>
      </c>
      <c r="M8" s="48">
        <f>'605 L'!D9</f>
        <v>5</v>
      </c>
      <c r="N8" s="48">
        <f>'606 L'!D9</f>
        <v>17</v>
      </c>
      <c r="O8" s="368">
        <f>'607-EOI'!D9</f>
        <v>0</v>
      </c>
      <c r="P8" s="368">
        <f>'608-MP'!D9</f>
        <v>17</v>
      </c>
      <c r="Q8" s="368">
        <f t="shared" ref="Q8:Q92" si="1">SUM(G8+I8+K8+L8)</f>
        <v>117</v>
      </c>
      <c r="R8" s="368">
        <f t="shared" ref="R8:R49" si="2">SUM(H8+J8+N8+O8+M8+P8)</f>
        <v>62</v>
      </c>
      <c r="S8" s="48">
        <f>Q8+R8+D8+E8</f>
        <v>179</v>
      </c>
      <c r="T8" s="370" t="s">
        <v>255</v>
      </c>
      <c r="U8" s="10"/>
      <c r="V8" s="10"/>
      <c r="W8" s="10"/>
      <c r="X8" s="10"/>
      <c r="Y8" s="10"/>
      <c r="Z8" s="10"/>
      <c r="AA8" s="10"/>
      <c r="AB8" s="10"/>
    </row>
    <row r="9">
      <c r="A9" s="371">
        <v>1.0</v>
      </c>
      <c r="B9" s="129" t="s">
        <v>47</v>
      </c>
      <c r="C9" s="131" t="s">
        <v>48</v>
      </c>
      <c r="D9" s="381">
        <v>56.0</v>
      </c>
      <c r="E9" s="372"/>
      <c r="F9" s="373"/>
      <c r="G9" s="374">
        <f>'601'!D10</f>
        <v>3</v>
      </c>
      <c r="H9" s="374">
        <f>'601 L'!D10</f>
        <v>0</v>
      </c>
      <c r="I9" s="375">
        <f>'602'!D10</f>
        <v>3</v>
      </c>
      <c r="J9" s="376">
        <f>'602 L'!D10</f>
        <v>2</v>
      </c>
      <c r="K9" s="375">
        <f>'603'!D10</f>
        <v>4</v>
      </c>
      <c r="L9" s="375">
        <f>'604'!D10</f>
        <v>4</v>
      </c>
      <c r="M9" s="376">
        <f>'605 L'!D10</f>
        <v>0</v>
      </c>
      <c r="N9" s="376">
        <f>'606 L'!D10</f>
        <v>1</v>
      </c>
      <c r="O9" s="375">
        <f>'607-EOI'!D10</f>
        <v>0</v>
      </c>
      <c r="P9" s="375">
        <f>'608-MP'!D10</f>
        <v>0</v>
      </c>
      <c r="Q9" s="375">
        <f t="shared" si="1"/>
        <v>14</v>
      </c>
      <c r="R9" s="375">
        <f t="shared" si="2"/>
        <v>3</v>
      </c>
      <c r="S9" s="376">
        <f t="shared" ref="S9:S92" si="3">Q9+R9+D9</f>
        <v>73</v>
      </c>
      <c r="T9" s="377">
        <f t="shared" ref="T9:T92" si="4">ROUND(S9/S$8*100,0)</f>
        <v>41</v>
      </c>
      <c r="U9" s="378"/>
      <c r="V9" s="379"/>
      <c r="W9" s="379"/>
      <c r="X9" s="379"/>
      <c r="Y9" s="379"/>
      <c r="Z9" s="379"/>
      <c r="AA9" s="379"/>
      <c r="AB9" s="379"/>
    </row>
    <row r="10" ht="15.75" customHeight="1">
      <c r="A10" s="380">
        <v>2.0</v>
      </c>
      <c r="B10" s="188" t="s">
        <v>49</v>
      </c>
      <c r="C10" s="174" t="s">
        <v>50</v>
      </c>
      <c r="D10" s="381">
        <v>50.0</v>
      </c>
      <c r="E10" s="381"/>
      <c r="F10" s="373"/>
      <c r="G10" s="374">
        <f>'601'!D11</f>
        <v>19</v>
      </c>
      <c r="H10" s="374">
        <f>'601 L'!D11</f>
        <v>12</v>
      </c>
      <c r="I10" s="375">
        <f>'602'!D11</f>
        <v>27</v>
      </c>
      <c r="J10" s="376">
        <f>'602 L'!D11</f>
        <v>7</v>
      </c>
      <c r="K10" s="375">
        <f>'603'!D11</f>
        <v>17</v>
      </c>
      <c r="L10" s="375">
        <f>'604'!D11</f>
        <v>17</v>
      </c>
      <c r="M10" s="376">
        <f>'605 L'!D11</f>
        <v>4</v>
      </c>
      <c r="N10" s="376">
        <f>'606 L'!D11</f>
        <v>10</v>
      </c>
      <c r="O10" s="375">
        <f>'607-EOI'!D11</f>
        <v>0</v>
      </c>
      <c r="P10" s="375">
        <f>'608-MP'!D11</f>
        <v>13</v>
      </c>
      <c r="Q10" s="375">
        <f t="shared" si="1"/>
        <v>80</v>
      </c>
      <c r="R10" s="375">
        <f t="shared" si="2"/>
        <v>46</v>
      </c>
      <c r="S10" s="376">
        <f t="shared" si="3"/>
        <v>176</v>
      </c>
      <c r="T10" s="377">
        <f t="shared" si="4"/>
        <v>98</v>
      </c>
      <c r="U10" s="378"/>
      <c r="V10" s="379"/>
      <c r="W10" s="379"/>
      <c r="X10" s="379"/>
      <c r="Y10" s="379"/>
      <c r="Z10" s="379"/>
      <c r="AA10" s="379"/>
      <c r="AB10" s="379"/>
    </row>
    <row r="11">
      <c r="A11" s="371">
        <v>3.0</v>
      </c>
      <c r="B11" s="188" t="s">
        <v>51</v>
      </c>
      <c r="C11" s="216" t="s">
        <v>52</v>
      </c>
      <c r="D11" s="381">
        <v>45.0</v>
      </c>
      <c r="E11" s="382"/>
      <c r="F11" s="373"/>
      <c r="G11" s="374">
        <f>'601'!D12</f>
        <v>6</v>
      </c>
      <c r="H11" s="374">
        <f>'601 L'!D12</f>
        <v>2</v>
      </c>
      <c r="I11" s="375">
        <f>'602'!D12</f>
        <v>3</v>
      </c>
      <c r="J11" s="376">
        <f>'602 L'!D12</f>
        <v>4</v>
      </c>
      <c r="K11" s="375">
        <f>'603'!D12</f>
        <v>5</v>
      </c>
      <c r="L11" s="375">
        <f>'604'!D12</f>
        <v>6</v>
      </c>
      <c r="M11" s="376">
        <f>'605 L'!D12</f>
        <v>1</v>
      </c>
      <c r="N11" s="376">
        <f>'606 L'!D12</f>
        <v>2</v>
      </c>
      <c r="O11" s="375">
        <f>'607-EOI'!D12</f>
        <v>0</v>
      </c>
      <c r="P11" s="375">
        <f>'608-MP'!D12</f>
        <v>1</v>
      </c>
      <c r="Q11" s="375">
        <f t="shared" si="1"/>
        <v>20</v>
      </c>
      <c r="R11" s="375">
        <f t="shared" si="2"/>
        <v>10</v>
      </c>
      <c r="S11" s="376">
        <f t="shared" si="3"/>
        <v>75</v>
      </c>
      <c r="T11" s="377">
        <f t="shared" si="4"/>
        <v>42</v>
      </c>
      <c r="U11" s="383"/>
      <c r="V11" s="379"/>
      <c r="W11" s="379"/>
      <c r="X11" s="379"/>
      <c r="Y11" s="379"/>
      <c r="Z11" s="379"/>
      <c r="AA11" s="379"/>
      <c r="AB11" s="379"/>
    </row>
    <row r="12" ht="13.5" customHeight="1">
      <c r="A12" s="371">
        <v>4.0</v>
      </c>
      <c r="B12" s="188" t="s">
        <v>53</v>
      </c>
      <c r="C12" s="216" t="s">
        <v>54</v>
      </c>
      <c r="D12" s="372"/>
      <c r="E12" s="372"/>
      <c r="F12" s="373"/>
      <c r="G12" s="374">
        <f>'601'!D13</f>
        <v>13</v>
      </c>
      <c r="H12" s="374">
        <f>'601 L'!D13</f>
        <v>5</v>
      </c>
      <c r="I12" s="375">
        <f>'602'!D13</f>
        <v>13</v>
      </c>
      <c r="J12" s="376">
        <f>'602 L'!D13</f>
        <v>7</v>
      </c>
      <c r="K12" s="375">
        <f>'603'!D13</f>
        <v>17</v>
      </c>
      <c r="L12" s="375">
        <f>'604'!D13</f>
        <v>15</v>
      </c>
      <c r="M12" s="376">
        <f>'605 L'!D13</f>
        <v>1</v>
      </c>
      <c r="N12" s="376">
        <f>'606 L'!D13</f>
        <v>8</v>
      </c>
      <c r="O12" s="375">
        <f>'607-EOI'!D13</f>
        <v>0</v>
      </c>
      <c r="P12" s="375">
        <f>'608-MP'!D13</f>
        <v>1</v>
      </c>
      <c r="Q12" s="375">
        <f t="shared" si="1"/>
        <v>58</v>
      </c>
      <c r="R12" s="375">
        <f t="shared" si="2"/>
        <v>22</v>
      </c>
      <c r="S12" s="376">
        <f t="shared" si="3"/>
        <v>80</v>
      </c>
      <c r="T12" s="377">
        <f t="shared" si="4"/>
        <v>45</v>
      </c>
      <c r="U12" s="378"/>
      <c r="V12" s="379"/>
      <c r="W12" s="379"/>
      <c r="X12" s="379"/>
      <c r="Y12" s="379"/>
      <c r="Z12" s="379"/>
      <c r="AA12" s="379"/>
      <c r="AB12" s="379"/>
    </row>
    <row r="13" ht="18.75" customHeight="1">
      <c r="A13" s="380">
        <v>5.0</v>
      </c>
      <c r="B13" s="188" t="s">
        <v>55</v>
      </c>
      <c r="C13" s="216" t="s">
        <v>56</v>
      </c>
      <c r="D13" s="381"/>
      <c r="E13" s="382"/>
      <c r="F13" s="373"/>
      <c r="G13" s="374">
        <f>'601'!D14</f>
        <v>16</v>
      </c>
      <c r="H13" s="374">
        <f>'601 L'!D14</f>
        <v>6</v>
      </c>
      <c r="I13" s="375">
        <f>'602'!D14</f>
        <v>21</v>
      </c>
      <c r="J13" s="376">
        <f>'602 L'!D14</f>
        <v>4</v>
      </c>
      <c r="K13" s="375">
        <f>'603'!D14</f>
        <v>12</v>
      </c>
      <c r="L13" s="375">
        <f>'604'!D14</f>
        <v>12</v>
      </c>
      <c r="M13" s="376">
        <f>'605 L'!D14</f>
        <v>3</v>
      </c>
      <c r="N13" s="376">
        <f>'606 L'!D14</f>
        <v>6</v>
      </c>
      <c r="O13" s="375">
        <f>'607-EOI'!D14</f>
        <v>0</v>
      </c>
      <c r="P13" s="375">
        <f>'608-MP'!D14</f>
        <v>9</v>
      </c>
      <c r="Q13" s="375">
        <f t="shared" si="1"/>
        <v>61</v>
      </c>
      <c r="R13" s="375">
        <f t="shared" si="2"/>
        <v>28</v>
      </c>
      <c r="S13" s="376">
        <f t="shared" si="3"/>
        <v>89</v>
      </c>
      <c r="T13" s="377">
        <f t="shared" si="4"/>
        <v>50</v>
      </c>
      <c r="U13" s="383"/>
      <c r="V13" s="379"/>
      <c r="W13" s="379"/>
      <c r="X13" s="379"/>
      <c r="Y13" s="379"/>
      <c r="Z13" s="379"/>
      <c r="AA13" s="379"/>
      <c r="AB13" s="379"/>
    </row>
    <row r="14">
      <c r="A14" s="371">
        <v>6.0</v>
      </c>
      <c r="B14" s="188" t="s">
        <v>57</v>
      </c>
      <c r="C14" s="216" t="s">
        <v>58</v>
      </c>
      <c r="D14" s="372"/>
      <c r="E14" s="372"/>
      <c r="F14" s="373"/>
      <c r="G14" s="374">
        <f>'601'!D15</f>
        <v>0</v>
      </c>
      <c r="H14" s="374">
        <f>'601 L'!D15</f>
        <v>0</v>
      </c>
      <c r="I14" s="375">
        <f>'602'!D15</f>
        <v>0</v>
      </c>
      <c r="J14" s="376">
        <f>'602 L'!D15</f>
        <v>0</v>
      </c>
      <c r="K14" s="375">
        <f>'603'!D15</f>
        <v>0</v>
      </c>
      <c r="L14" s="375">
        <f>'604'!D15</f>
        <v>0</v>
      </c>
      <c r="M14" s="376">
        <f>'605 L'!D15</f>
        <v>0</v>
      </c>
      <c r="N14" s="376">
        <f>'606 L'!D15</f>
        <v>0</v>
      </c>
      <c r="O14" s="375">
        <f>'607-EOI'!D15</f>
        <v>0</v>
      </c>
      <c r="P14" s="375">
        <f>'608-MP'!D15</f>
        <v>0</v>
      </c>
      <c r="Q14" s="375">
        <f t="shared" si="1"/>
        <v>0</v>
      </c>
      <c r="R14" s="375">
        <f t="shared" si="2"/>
        <v>0</v>
      </c>
      <c r="S14" s="376">
        <f t="shared" si="3"/>
        <v>0</v>
      </c>
      <c r="T14" s="377">
        <f t="shared" si="4"/>
        <v>0</v>
      </c>
      <c r="U14" s="378"/>
      <c r="V14" s="379"/>
      <c r="W14" s="379"/>
      <c r="X14" s="379"/>
      <c r="Y14" s="379"/>
      <c r="Z14" s="379"/>
      <c r="AA14" s="379"/>
      <c r="AB14" s="379"/>
    </row>
    <row r="15">
      <c r="A15" s="380">
        <v>7.0</v>
      </c>
      <c r="B15" s="188" t="s">
        <v>59</v>
      </c>
      <c r="C15" s="216" t="s">
        <v>60</v>
      </c>
      <c r="D15" s="381">
        <v>14.0</v>
      </c>
      <c r="E15" s="372"/>
      <c r="F15" s="373"/>
      <c r="G15" s="374">
        <f>'601'!D16</f>
        <v>9</v>
      </c>
      <c r="H15" s="374">
        <f>'601 L'!D16</f>
        <v>4</v>
      </c>
      <c r="I15" s="375">
        <f>'602'!D16</f>
        <v>10</v>
      </c>
      <c r="J15" s="376">
        <f>'602 L'!D16</f>
        <v>6</v>
      </c>
      <c r="K15" s="375">
        <f>'603'!D16</f>
        <v>8</v>
      </c>
      <c r="L15" s="375">
        <f>'604'!D16</f>
        <v>11</v>
      </c>
      <c r="M15" s="376">
        <f>'605 L'!D16</f>
        <v>0</v>
      </c>
      <c r="N15" s="376">
        <f>'606 L'!D16</f>
        <v>6</v>
      </c>
      <c r="O15" s="375">
        <f>'607-EOI'!D16</f>
        <v>0</v>
      </c>
      <c r="P15" s="375">
        <f>'608-MP'!D16</f>
        <v>1</v>
      </c>
      <c r="Q15" s="375">
        <f t="shared" si="1"/>
        <v>38</v>
      </c>
      <c r="R15" s="375">
        <f t="shared" si="2"/>
        <v>17</v>
      </c>
      <c r="S15" s="376">
        <f t="shared" si="3"/>
        <v>69</v>
      </c>
      <c r="T15" s="377">
        <f t="shared" si="4"/>
        <v>39</v>
      </c>
      <c r="U15" s="378"/>
      <c r="V15" s="379"/>
      <c r="W15" s="379"/>
      <c r="X15" s="379"/>
      <c r="Y15" s="379"/>
      <c r="Z15" s="379"/>
      <c r="AA15" s="379"/>
      <c r="AB15" s="379"/>
    </row>
    <row r="16">
      <c r="A16" s="371">
        <v>8.0</v>
      </c>
      <c r="B16" s="188" t="s">
        <v>61</v>
      </c>
      <c r="C16" s="216" t="s">
        <v>62</v>
      </c>
      <c r="D16" s="381"/>
      <c r="E16" s="372"/>
      <c r="F16" s="373"/>
      <c r="G16" s="374">
        <f>'601'!D17</f>
        <v>15</v>
      </c>
      <c r="H16" s="374">
        <f>'601 L'!D17</f>
        <v>5</v>
      </c>
      <c r="I16" s="375">
        <f>'602'!D17</f>
        <v>18</v>
      </c>
      <c r="J16" s="376">
        <f>'602 L'!D17</f>
        <v>5</v>
      </c>
      <c r="K16" s="375">
        <f>'603'!D17</f>
        <v>13</v>
      </c>
      <c r="L16" s="375">
        <f>'604'!D17</f>
        <v>10</v>
      </c>
      <c r="M16" s="376">
        <f>'605 L'!D17</f>
        <v>3</v>
      </c>
      <c r="N16" s="376">
        <f>'606 L'!D17</f>
        <v>5</v>
      </c>
      <c r="O16" s="375">
        <f>'607-EOI'!D17</f>
        <v>0</v>
      </c>
      <c r="P16" s="375">
        <f>'608-MP'!D17</f>
        <v>9</v>
      </c>
      <c r="Q16" s="375">
        <f t="shared" si="1"/>
        <v>56</v>
      </c>
      <c r="R16" s="375">
        <f t="shared" si="2"/>
        <v>27</v>
      </c>
      <c r="S16" s="376">
        <f t="shared" si="3"/>
        <v>83</v>
      </c>
      <c r="T16" s="377">
        <f t="shared" si="4"/>
        <v>46</v>
      </c>
      <c r="U16" s="378"/>
      <c r="V16" s="379"/>
      <c r="W16" s="379"/>
      <c r="X16" s="379"/>
      <c r="Y16" s="379"/>
      <c r="Z16" s="379"/>
      <c r="AA16" s="379"/>
      <c r="AB16" s="379"/>
    </row>
    <row r="17">
      <c r="A17" s="371">
        <v>9.0</v>
      </c>
      <c r="B17" s="188" t="s">
        <v>63</v>
      </c>
      <c r="C17" s="216" t="s">
        <v>64</v>
      </c>
      <c r="D17" s="381">
        <v>36.0</v>
      </c>
      <c r="E17" s="372"/>
      <c r="F17" s="373"/>
      <c r="G17" s="374">
        <f>'601'!D18</f>
        <v>9</v>
      </c>
      <c r="H17" s="374">
        <f>'601 L'!D18</f>
        <v>5</v>
      </c>
      <c r="I17" s="375">
        <f>'602'!D18</f>
        <v>14</v>
      </c>
      <c r="J17" s="376">
        <f>'602 L'!D18</f>
        <v>5</v>
      </c>
      <c r="K17" s="375">
        <f>'603'!D18</f>
        <v>11</v>
      </c>
      <c r="L17" s="375">
        <f>'604'!D18</f>
        <v>9</v>
      </c>
      <c r="M17" s="376">
        <f>'605 L'!D18</f>
        <v>0</v>
      </c>
      <c r="N17" s="376">
        <f>'606 L'!D18</f>
        <v>5</v>
      </c>
      <c r="O17" s="375">
        <f>'607-EOI'!D18</f>
        <v>0</v>
      </c>
      <c r="P17" s="375">
        <f>'608-MP'!D18</f>
        <v>4</v>
      </c>
      <c r="Q17" s="375">
        <f t="shared" si="1"/>
        <v>43</v>
      </c>
      <c r="R17" s="375">
        <f t="shared" si="2"/>
        <v>19</v>
      </c>
      <c r="S17" s="376">
        <f t="shared" si="3"/>
        <v>98</v>
      </c>
      <c r="T17" s="377">
        <f t="shared" si="4"/>
        <v>55</v>
      </c>
      <c r="U17" s="378"/>
      <c r="V17" s="379"/>
      <c r="W17" s="379"/>
      <c r="X17" s="379"/>
      <c r="Y17" s="379"/>
      <c r="Z17" s="379"/>
      <c r="AA17" s="379"/>
      <c r="AB17" s="379"/>
    </row>
    <row r="18">
      <c r="A18" s="380">
        <v>10.0</v>
      </c>
      <c r="B18" s="188" t="s">
        <v>65</v>
      </c>
      <c r="C18" s="216" t="s">
        <v>66</v>
      </c>
      <c r="D18" s="381">
        <v>56.0</v>
      </c>
      <c r="E18" s="381"/>
      <c r="F18" s="373"/>
      <c r="G18" s="374">
        <f>'601'!D19</f>
        <v>10</v>
      </c>
      <c r="H18" s="374">
        <f>'601 L'!D19</f>
        <v>3</v>
      </c>
      <c r="I18" s="375">
        <f>'602'!D19</f>
        <v>9</v>
      </c>
      <c r="J18" s="376">
        <f>'602 L'!D19</f>
        <v>3</v>
      </c>
      <c r="K18" s="375">
        <f>'603'!D19</f>
        <v>8</v>
      </c>
      <c r="L18" s="375">
        <f>'604'!D19</f>
        <v>9</v>
      </c>
      <c r="M18" s="376">
        <f>'605 L'!D19</f>
        <v>1</v>
      </c>
      <c r="N18" s="376">
        <f>'606 L'!D19</f>
        <v>3</v>
      </c>
      <c r="O18" s="375">
        <f>'607-EOI'!D19</f>
        <v>0</v>
      </c>
      <c r="P18" s="375">
        <f>'608-MP'!D19</f>
        <v>6</v>
      </c>
      <c r="Q18" s="375">
        <f t="shared" si="1"/>
        <v>36</v>
      </c>
      <c r="R18" s="375">
        <f t="shared" si="2"/>
        <v>16</v>
      </c>
      <c r="S18" s="376">
        <f t="shared" si="3"/>
        <v>108</v>
      </c>
      <c r="T18" s="377">
        <f t="shared" si="4"/>
        <v>60</v>
      </c>
      <c r="U18" s="378"/>
      <c r="V18" s="379"/>
      <c r="W18" s="379"/>
      <c r="X18" s="379"/>
      <c r="Y18" s="379"/>
      <c r="Z18" s="379"/>
      <c r="AA18" s="379"/>
      <c r="AB18" s="379"/>
    </row>
    <row r="19">
      <c r="A19" s="371">
        <v>11.0</v>
      </c>
      <c r="B19" s="188" t="s">
        <v>67</v>
      </c>
      <c r="C19" s="216" t="s">
        <v>68</v>
      </c>
      <c r="D19" s="381">
        <v>52.0</v>
      </c>
      <c r="E19" s="372"/>
      <c r="F19" s="373"/>
      <c r="G19" s="374">
        <f>'601'!D20</f>
        <v>8</v>
      </c>
      <c r="H19" s="374">
        <f>'601 L'!D20</f>
        <v>4</v>
      </c>
      <c r="I19" s="375">
        <f>'602'!D20</f>
        <v>9</v>
      </c>
      <c r="J19" s="376">
        <f>'602 L'!D20</f>
        <v>4</v>
      </c>
      <c r="K19" s="375">
        <f>'603'!D20</f>
        <v>10</v>
      </c>
      <c r="L19" s="375">
        <f>'604'!D20</f>
        <v>7</v>
      </c>
      <c r="M19" s="376">
        <f>'605 L'!D20</f>
        <v>1</v>
      </c>
      <c r="N19" s="376">
        <f>'606 L'!D20</f>
        <v>5</v>
      </c>
      <c r="O19" s="375">
        <f>'607-EOI'!D20</f>
        <v>0</v>
      </c>
      <c r="P19" s="375">
        <f>'608-MP'!D20</f>
        <v>1</v>
      </c>
      <c r="Q19" s="375">
        <f t="shared" si="1"/>
        <v>34</v>
      </c>
      <c r="R19" s="375">
        <f t="shared" si="2"/>
        <v>15</v>
      </c>
      <c r="S19" s="376">
        <f t="shared" si="3"/>
        <v>101</v>
      </c>
      <c r="T19" s="377">
        <f t="shared" si="4"/>
        <v>56</v>
      </c>
      <c r="U19" s="378"/>
      <c r="V19" s="379"/>
      <c r="W19" s="379"/>
      <c r="X19" s="379"/>
      <c r="Y19" s="379"/>
      <c r="Z19" s="379"/>
      <c r="AA19" s="379"/>
      <c r="AB19" s="379"/>
    </row>
    <row r="20" ht="15.75" customHeight="1">
      <c r="A20" s="380">
        <v>12.0</v>
      </c>
      <c r="B20" s="188" t="s">
        <v>69</v>
      </c>
      <c r="C20" s="216" t="s">
        <v>70</v>
      </c>
      <c r="D20" s="381">
        <v>14.0</v>
      </c>
      <c r="E20" s="372"/>
      <c r="F20" s="373"/>
      <c r="G20" s="374">
        <f>'601'!D21</f>
        <v>10</v>
      </c>
      <c r="H20" s="374">
        <f>'601 L'!D21</f>
        <v>4</v>
      </c>
      <c r="I20" s="375">
        <f>'602'!D21</f>
        <v>14</v>
      </c>
      <c r="J20" s="376">
        <f>'602 L'!D21</f>
        <v>5</v>
      </c>
      <c r="K20" s="375">
        <f>'603'!D21</f>
        <v>10</v>
      </c>
      <c r="L20" s="375">
        <f>'604'!D21</f>
        <v>7</v>
      </c>
      <c r="M20" s="376">
        <f>'605 L'!D21</f>
        <v>0</v>
      </c>
      <c r="N20" s="376">
        <f>'606 L'!D21</f>
        <v>5</v>
      </c>
      <c r="O20" s="375">
        <f>'607-EOI'!D21</f>
        <v>0</v>
      </c>
      <c r="P20" s="375">
        <f>'608-MP'!D21</f>
        <v>5</v>
      </c>
      <c r="Q20" s="375">
        <f t="shared" si="1"/>
        <v>41</v>
      </c>
      <c r="R20" s="375">
        <f t="shared" si="2"/>
        <v>19</v>
      </c>
      <c r="S20" s="376">
        <f t="shared" si="3"/>
        <v>74</v>
      </c>
      <c r="T20" s="377">
        <f t="shared" si="4"/>
        <v>41</v>
      </c>
      <c r="U20" s="378"/>
      <c r="V20" s="379"/>
      <c r="W20" s="379"/>
      <c r="X20" s="379"/>
      <c r="Y20" s="379"/>
      <c r="Z20" s="379"/>
      <c r="AA20" s="379"/>
      <c r="AB20" s="379"/>
    </row>
    <row r="21" ht="15.75" customHeight="1">
      <c r="A21" s="371">
        <v>13.0</v>
      </c>
      <c r="B21" s="188" t="s">
        <v>71</v>
      </c>
      <c r="C21" s="216" t="s">
        <v>72</v>
      </c>
      <c r="D21" s="381">
        <v>52.0</v>
      </c>
      <c r="E21" s="372"/>
      <c r="F21" s="373"/>
      <c r="G21" s="374">
        <f>'601'!D22</f>
        <v>10</v>
      </c>
      <c r="H21" s="374">
        <f>'601 L'!D22</f>
        <v>6</v>
      </c>
      <c r="I21" s="375">
        <f>'602'!D22</f>
        <v>16</v>
      </c>
      <c r="J21" s="376">
        <f>'602 L'!D22</f>
        <v>3</v>
      </c>
      <c r="K21" s="375">
        <f>'603'!D22</f>
        <v>12</v>
      </c>
      <c r="L21" s="375">
        <f>'604'!D22</f>
        <v>8</v>
      </c>
      <c r="M21" s="376">
        <f>'605 L'!D22</f>
        <v>1</v>
      </c>
      <c r="N21" s="376">
        <f>'606 L'!D22</f>
        <v>5</v>
      </c>
      <c r="O21" s="375">
        <f>'607-EOI'!D22</f>
        <v>0</v>
      </c>
      <c r="P21" s="375">
        <f>'608-MP'!D22</f>
        <v>8</v>
      </c>
      <c r="Q21" s="375">
        <f t="shared" si="1"/>
        <v>46</v>
      </c>
      <c r="R21" s="375">
        <f t="shared" si="2"/>
        <v>23</v>
      </c>
      <c r="S21" s="376">
        <f t="shared" si="3"/>
        <v>121</v>
      </c>
      <c r="T21" s="377">
        <f t="shared" si="4"/>
        <v>68</v>
      </c>
      <c r="U21" s="378"/>
      <c r="V21" s="379"/>
      <c r="W21" s="379"/>
      <c r="X21" s="379"/>
      <c r="Y21" s="379"/>
      <c r="Z21" s="379"/>
      <c r="AA21" s="379"/>
      <c r="AB21" s="379"/>
    </row>
    <row r="22" ht="15.75" customHeight="1">
      <c r="A22" s="371">
        <v>14.0</v>
      </c>
      <c r="B22" s="188" t="s">
        <v>73</v>
      </c>
      <c r="C22" s="216" t="s">
        <v>74</v>
      </c>
      <c r="D22" s="381">
        <v>52.0</v>
      </c>
      <c r="E22" s="372"/>
      <c r="F22" s="373"/>
      <c r="G22" s="374">
        <f>'601'!D23</f>
        <v>5</v>
      </c>
      <c r="H22" s="374">
        <f>'601 L'!D23</f>
        <v>3</v>
      </c>
      <c r="I22" s="375">
        <f>'602'!D23</f>
        <v>6</v>
      </c>
      <c r="J22" s="376">
        <f>'602 L'!D23</f>
        <v>1</v>
      </c>
      <c r="K22" s="375">
        <f>'603'!D23</f>
        <v>6</v>
      </c>
      <c r="L22" s="375">
        <f>'604'!D23</f>
        <v>3</v>
      </c>
      <c r="M22" s="376">
        <f>'605 L'!D23</f>
        <v>0</v>
      </c>
      <c r="N22" s="376">
        <f>'606 L'!D23</f>
        <v>5</v>
      </c>
      <c r="O22" s="375">
        <f>'607-EOI'!D23</f>
        <v>0</v>
      </c>
      <c r="P22" s="375">
        <f>'608-MP'!D23</f>
        <v>2</v>
      </c>
      <c r="Q22" s="375">
        <f t="shared" si="1"/>
        <v>20</v>
      </c>
      <c r="R22" s="375">
        <f t="shared" si="2"/>
        <v>11</v>
      </c>
      <c r="S22" s="376">
        <f t="shared" si="3"/>
        <v>83</v>
      </c>
      <c r="T22" s="377">
        <f t="shared" si="4"/>
        <v>46</v>
      </c>
      <c r="U22" s="378"/>
      <c r="V22" s="379"/>
      <c r="W22" s="379"/>
      <c r="X22" s="379"/>
      <c r="Y22" s="379"/>
      <c r="Z22" s="379"/>
      <c r="AA22" s="379"/>
      <c r="AB22" s="379"/>
    </row>
    <row r="23" ht="15.75" customHeight="1">
      <c r="A23" s="380">
        <v>15.0</v>
      </c>
      <c r="B23" s="188" t="s">
        <v>75</v>
      </c>
      <c r="C23" s="216" t="s">
        <v>76</v>
      </c>
      <c r="D23" s="381">
        <v>45.0</v>
      </c>
      <c r="E23" s="372"/>
      <c r="F23" s="373"/>
      <c r="G23" s="374">
        <f>'601'!D24</f>
        <v>6</v>
      </c>
      <c r="H23" s="374">
        <f>'601 L'!D24</f>
        <v>2</v>
      </c>
      <c r="I23" s="375">
        <f>'602'!D24</f>
        <v>7</v>
      </c>
      <c r="J23" s="376">
        <f>'602 L'!D24</f>
        <v>2</v>
      </c>
      <c r="K23" s="375">
        <f>'603'!D24</f>
        <v>6</v>
      </c>
      <c r="L23" s="375">
        <f>'604'!D24</f>
        <v>7</v>
      </c>
      <c r="M23" s="376">
        <f>'605 L'!D24</f>
        <v>3</v>
      </c>
      <c r="N23" s="376">
        <f>'606 L'!D24</f>
        <v>1</v>
      </c>
      <c r="O23" s="375">
        <f>'607-EOI'!D24</f>
        <v>0</v>
      </c>
      <c r="P23" s="375">
        <f>'608-MP'!D24</f>
        <v>2</v>
      </c>
      <c r="Q23" s="375">
        <f t="shared" si="1"/>
        <v>26</v>
      </c>
      <c r="R23" s="375">
        <f t="shared" si="2"/>
        <v>10</v>
      </c>
      <c r="S23" s="376">
        <f t="shared" si="3"/>
        <v>81</v>
      </c>
      <c r="T23" s="377">
        <f t="shared" si="4"/>
        <v>45</v>
      </c>
      <c r="U23" s="378"/>
      <c r="V23" s="379"/>
      <c r="W23" s="379"/>
      <c r="X23" s="379"/>
      <c r="Y23" s="379"/>
      <c r="Z23" s="379"/>
      <c r="AA23" s="379"/>
      <c r="AB23" s="379"/>
    </row>
    <row r="24" ht="15.75" customHeight="1">
      <c r="A24" s="371">
        <v>16.0</v>
      </c>
      <c r="B24" s="188" t="s">
        <v>77</v>
      </c>
      <c r="C24" s="216" t="s">
        <v>78</v>
      </c>
      <c r="D24" s="381">
        <v>36.0</v>
      </c>
      <c r="E24" s="372"/>
      <c r="F24" s="373"/>
      <c r="G24" s="374">
        <f>'601'!D25</f>
        <v>7</v>
      </c>
      <c r="H24" s="374">
        <f>'601 L'!D25</f>
        <v>7</v>
      </c>
      <c r="I24" s="375">
        <f>'602'!D25</f>
        <v>12</v>
      </c>
      <c r="J24" s="376">
        <f>'602 L'!D25</f>
        <v>3</v>
      </c>
      <c r="K24" s="375">
        <f>'603'!D25</f>
        <v>9</v>
      </c>
      <c r="L24" s="375">
        <f>'604'!D25</f>
        <v>7</v>
      </c>
      <c r="M24" s="376">
        <f>'605 L'!D25</f>
        <v>3</v>
      </c>
      <c r="N24" s="376">
        <f>'606 L'!D25</f>
        <v>7</v>
      </c>
      <c r="O24" s="375">
        <f>'607-EOI'!D25</f>
        <v>0</v>
      </c>
      <c r="P24" s="375">
        <f>'608-MP'!D25</f>
        <v>7</v>
      </c>
      <c r="Q24" s="375">
        <f t="shared" si="1"/>
        <v>35</v>
      </c>
      <c r="R24" s="375">
        <f t="shared" si="2"/>
        <v>27</v>
      </c>
      <c r="S24" s="376">
        <f t="shared" si="3"/>
        <v>98</v>
      </c>
      <c r="T24" s="377">
        <f t="shared" si="4"/>
        <v>55</v>
      </c>
      <c r="U24" s="378"/>
      <c r="V24" s="379"/>
      <c r="W24" s="379"/>
      <c r="X24" s="379"/>
      <c r="Y24" s="379"/>
      <c r="Z24" s="379"/>
      <c r="AA24" s="379"/>
      <c r="AB24" s="379"/>
    </row>
    <row r="25" ht="15.75" customHeight="1">
      <c r="A25" s="380">
        <v>17.0</v>
      </c>
      <c r="B25" s="188" t="s">
        <v>79</v>
      </c>
      <c r="C25" s="216" t="s">
        <v>80</v>
      </c>
      <c r="D25" s="381">
        <v>45.0</v>
      </c>
      <c r="E25" s="382"/>
      <c r="F25" s="373"/>
      <c r="G25" s="374">
        <f>'601'!D26</f>
        <v>3</v>
      </c>
      <c r="H25" s="374">
        <f>'601 L'!D26</f>
        <v>3</v>
      </c>
      <c r="I25" s="375">
        <f>'602'!D26</f>
        <v>8</v>
      </c>
      <c r="J25" s="376">
        <f>'602 L'!D26</f>
        <v>2</v>
      </c>
      <c r="K25" s="375">
        <f>'603'!D26</f>
        <v>5</v>
      </c>
      <c r="L25" s="375">
        <f>'604'!D26</f>
        <v>4</v>
      </c>
      <c r="M25" s="376">
        <f>'605 L'!D26</f>
        <v>3</v>
      </c>
      <c r="N25" s="376">
        <f>'606 L'!D26</f>
        <v>3</v>
      </c>
      <c r="O25" s="375">
        <f>'607-EOI'!D26</f>
        <v>0</v>
      </c>
      <c r="P25" s="375">
        <f>'608-MP'!D26</f>
        <v>1</v>
      </c>
      <c r="Q25" s="375">
        <f t="shared" si="1"/>
        <v>20</v>
      </c>
      <c r="R25" s="375">
        <f t="shared" si="2"/>
        <v>12</v>
      </c>
      <c r="S25" s="376">
        <f t="shared" si="3"/>
        <v>77</v>
      </c>
      <c r="T25" s="377">
        <f t="shared" si="4"/>
        <v>43</v>
      </c>
      <c r="U25" s="383"/>
      <c r="V25" s="379"/>
      <c r="W25" s="379"/>
      <c r="X25" s="379"/>
      <c r="Y25" s="379"/>
      <c r="Z25" s="379"/>
      <c r="AA25" s="379"/>
      <c r="AB25" s="379"/>
    </row>
    <row r="26" ht="15.75" customHeight="1">
      <c r="A26" s="371">
        <v>18.0</v>
      </c>
      <c r="B26" s="188" t="s">
        <v>81</v>
      </c>
      <c r="C26" s="216" t="s">
        <v>82</v>
      </c>
      <c r="D26" s="381">
        <v>106.0</v>
      </c>
      <c r="E26" s="372"/>
      <c r="F26" s="373"/>
      <c r="G26" s="374">
        <f>'601'!D27</f>
        <v>6</v>
      </c>
      <c r="H26" s="374">
        <f>'601 L'!D27</f>
        <v>6</v>
      </c>
      <c r="I26" s="375">
        <f>'602'!D27</f>
        <v>9</v>
      </c>
      <c r="J26" s="376">
        <f>'602 L'!D27</f>
        <v>2</v>
      </c>
      <c r="K26" s="375">
        <f>'603'!D27</f>
        <v>3</v>
      </c>
      <c r="L26" s="375">
        <f>'604'!D27</f>
        <v>4</v>
      </c>
      <c r="M26" s="376">
        <f>'605 L'!D27</f>
        <v>2</v>
      </c>
      <c r="N26" s="376">
        <f>'606 L'!D27</f>
        <v>5</v>
      </c>
      <c r="O26" s="375">
        <f>'607-EOI'!D27</f>
        <v>0</v>
      </c>
      <c r="P26" s="375">
        <f>'608-MP'!D27</f>
        <v>4</v>
      </c>
      <c r="Q26" s="375">
        <f t="shared" si="1"/>
        <v>22</v>
      </c>
      <c r="R26" s="375">
        <f t="shared" si="2"/>
        <v>19</v>
      </c>
      <c r="S26" s="376">
        <f t="shared" si="3"/>
        <v>147</v>
      </c>
      <c r="T26" s="377">
        <f t="shared" si="4"/>
        <v>82</v>
      </c>
      <c r="U26" s="378"/>
      <c r="V26" s="379"/>
      <c r="W26" s="379"/>
      <c r="X26" s="379"/>
      <c r="Y26" s="379"/>
      <c r="Z26" s="379"/>
      <c r="AA26" s="379"/>
      <c r="AB26" s="379"/>
    </row>
    <row r="27" ht="15.75" customHeight="1">
      <c r="A27" s="371">
        <v>19.0</v>
      </c>
      <c r="B27" s="188" t="s">
        <v>83</v>
      </c>
      <c r="C27" s="216" t="s">
        <v>84</v>
      </c>
      <c r="D27" s="381">
        <v>110.0</v>
      </c>
      <c r="E27" s="381"/>
      <c r="F27" s="373"/>
      <c r="G27" s="374">
        <f>'601'!D28</f>
        <v>5</v>
      </c>
      <c r="H27" s="374">
        <f>'601 L'!D28</f>
        <v>3</v>
      </c>
      <c r="I27" s="375">
        <f>'602'!D28</f>
        <v>8</v>
      </c>
      <c r="J27" s="376">
        <f>'602 L'!D28</f>
        <v>3</v>
      </c>
      <c r="K27" s="375">
        <f>'603'!D28</f>
        <v>8</v>
      </c>
      <c r="L27" s="375">
        <f>'604'!D28</f>
        <v>5</v>
      </c>
      <c r="M27" s="376">
        <f>'605 L'!D28</f>
        <v>4</v>
      </c>
      <c r="N27" s="376">
        <f>'606 L'!D28</f>
        <v>2</v>
      </c>
      <c r="O27" s="375">
        <f>'607-EOI'!D28</f>
        <v>0</v>
      </c>
      <c r="P27" s="375">
        <f>'608-MP'!D28</f>
        <v>1</v>
      </c>
      <c r="Q27" s="375">
        <f t="shared" si="1"/>
        <v>26</v>
      </c>
      <c r="R27" s="375">
        <f t="shared" si="2"/>
        <v>13</v>
      </c>
      <c r="S27" s="376">
        <f t="shared" si="3"/>
        <v>149</v>
      </c>
      <c r="T27" s="377">
        <f t="shared" si="4"/>
        <v>83</v>
      </c>
      <c r="U27" s="378"/>
      <c r="V27" s="379"/>
      <c r="W27" s="379"/>
      <c r="X27" s="379"/>
      <c r="Y27" s="379"/>
      <c r="Z27" s="379"/>
      <c r="AA27" s="379"/>
      <c r="AB27" s="379"/>
    </row>
    <row r="28" ht="15.75" customHeight="1">
      <c r="A28" s="380">
        <v>20.0</v>
      </c>
      <c r="B28" s="188" t="s">
        <v>85</v>
      </c>
      <c r="C28" s="216" t="s">
        <v>86</v>
      </c>
      <c r="D28" s="372"/>
      <c r="E28" s="372"/>
      <c r="F28" s="373"/>
      <c r="G28" s="374">
        <f>'601'!D29</f>
        <v>23</v>
      </c>
      <c r="H28" s="374">
        <f>'601 L'!D29</f>
        <v>12</v>
      </c>
      <c r="I28" s="375">
        <f>'602'!D29</f>
        <v>30</v>
      </c>
      <c r="J28" s="376">
        <f>'602 L'!D29</f>
        <v>7</v>
      </c>
      <c r="K28" s="375">
        <f>'603'!D29</f>
        <v>19</v>
      </c>
      <c r="L28" s="375">
        <f>'604'!D29</f>
        <v>20</v>
      </c>
      <c r="M28" s="376">
        <f>'605 L'!D29</f>
        <v>5</v>
      </c>
      <c r="N28" s="376">
        <f>'606 L'!D29</f>
        <v>10</v>
      </c>
      <c r="O28" s="375">
        <f>'607-EOI'!D29</f>
        <v>0</v>
      </c>
      <c r="P28" s="375">
        <f>'608-MP'!D29</f>
        <v>16</v>
      </c>
      <c r="Q28" s="375">
        <f t="shared" si="1"/>
        <v>92</v>
      </c>
      <c r="R28" s="375">
        <f t="shared" si="2"/>
        <v>50</v>
      </c>
      <c r="S28" s="376">
        <f t="shared" si="3"/>
        <v>142</v>
      </c>
      <c r="T28" s="377">
        <f t="shared" si="4"/>
        <v>79</v>
      </c>
      <c r="U28" s="378"/>
      <c r="V28" s="379"/>
      <c r="W28" s="379"/>
      <c r="X28" s="379"/>
      <c r="Y28" s="379"/>
      <c r="Z28" s="379"/>
      <c r="AA28" s="379"/>
      <c r="AB28" s="379"/>
    </row>
    <row r="29" ht="15.75" customHeight="1">
      <c r="A29" s="371">
        <v>21.0</v>
      </c>
      <c r="B29" s="384" t="s">
        <v>87</v>
      </c>
      <c r="C29" s="385" t="s">
        <v>88</v>
      </c>
      <c r="D29" s="381">
        <v>52.0</v>
      </c>
      <c r="E29" s="372"/>
      <c r="F29" s="373"/>
      <c r="G29" s="374">
        <f>'601'!D30</f>
        <v>6</v>
      </c>
      <c r="H29" s="374">
        <f>'601 L'!D30</f>
        <v>3</v>
      </c>
      <c r="I29" s="375">
        <f>'602'!D30</f>
        <v>11</v>
      </c>
      <c r="J29" s="376">
        <f>'602 L'!D30</f>
        <v>3</v>
      </c>
      <c r="K29" s="375">
        <f>'603'!D30</f>
        <v>4</v>
      </c>
      <c r="L29" s="375">
        <f>'604'!D30</f>
        <v>5</v>
      </c>
      <c r="M29" s="376">
        <f>'605 L'!D30</f>
        <v>1</v>
      </c>
      <c r="N29" s="376">
        <f>'606 L'!D30</f>
        <v>6</v>
      </c>
      <c r="O29" s="375">
        <f>'607-EOI'!D30</f>
        <v>0</v>
      </c>
      <c r="P29" s="375">
        <f>'608-MP'!D30</f>
        <v>2</v>
      </c>
      <c r="Q29" s="375">
        <f t="shared" si="1"/>
        <v>26</v>
      </c>
      <c r="R29" s="375">
        <f t="shared" si="2"/>
        <v>15</v>
      </c>
      <c r="S29" s="376">
        <f t="shared" si="3"/>
        <v>93</v>
      </c>
      <c r="T29" s="377">
        <f t="shared" si="4"/>
        <v>52</v>
      </c>
      <c r="U29" s="378"/>
      <c r="V29" s="379"/>
      <c r="W29" s="379"/>
      <c r="X29" s="379"/>
      <c r="Y29" s="379"/>
      <c r="Z29" s="379"/>
      <c r="AA29" s="379"/>
      <c r="AB29" s="379"/>
    </row>
    <row r="30" ht="15.75" customHeight="1">
      <c r="A30" s="380">
        <v>22.0</v>
      </c>
      <c r="B30" s="188" t="s">
        <v>89</v>
      </c>
      <c r="C30" s="216" t="s">
        <v>90</v>
      </c>
      <c r="D30" s="372"/>
      <c r="E30" s="372"/>
      <c r="F30" s="373"/>
      <c r="G30" s="374">
        <f>'601'!D31</f>
        <v>12</v>
      </c>
      <c r="H30" s="374">
        <f>'601 L'!D31</f>
        <v>6</v>
      </c>
      <c r="I30" s="375">
        <f>'602'!D31</f>
        <v>13</v>
      </c>
      <c r="J30" s="376">
        <f>'602 L'!D31</f>
        <v>6</v>
      </c>
      <c r="K30" s="375">
        <f>'603'!D31</f>
        <v>10</v>
      </c>
      <c r="L30" s="375">
        <f>'604'!D31</f>
        <v>7</v>
      </c>
      <c r="M30" s="376">
        <f>'605 L'!D31</f>
        <v>1</v>
      </c>
      <c r="N30" s="376">
        <f>'606 L'!D31</f>
        <v>6</v>
      </c>
      <c r="O30" s="375">
        <f>'607-EOI'!D31</f>
        <v>0</v>
      </c>
      <c r="P30" s="375">
        <f>'608-MP'!D31</f>
        <v>4</v>
      </c>
      <c r="Q30" s="375">
        <f t="shared" si="1"/>
        <v>42</v>
      </c>
      <c r="R30" s="375">
        <f t="shared" si="2"/>
        <v>23</v>
      </c>
      <c r="S30" s="376">
        <f t="shared" si="3"/>
        <v>65</v>
      </c>
      <c r="T30" s="377">
        <f t="shared" si="4"/>
        <v>36</v>
      </c>
      <c r="U30" s="378"/>
      <c r="V30" s="379"/>
      <c r="W30" s="379"/>
      <c r="X30" s="379"/>
      <c r="Y30" s="379"/>
      <c r="Z30" s="379"/>
      <c r="AA30" s="379"/>
      <c r="AB30" s="379"/>
    </row>
    <row r="31" ht="15.75" customHeight="1">
      <c r="A31" s="371">
        <v>23.0</v>
      </c>
      <c r="B31" s="188" t="s">
        <v>91</v>
      </c>
      <c r="C31" s="216" t="s">
        <v>92</v>
      </c>
      <c r="D31" s="372"/>
      <c r="E31" s="372"/>
      <c r="F31" s="373"/>
      <c r="G31" s="374">
        <f>'601'!D32</f>
        <v>14</v>
      </c>
      <c r="H31" s="374">
        <f>'601 L'!D32</f>
        <v>4</v>
      </c>
      <c r="I31" s="375">
        <f>'602'!D32</f>
        <v>17</v>
      </c>
      <c r="J31" s="376">
        <f>'602 L'!D32</f>
        <v>7</v>
      </c>
      <c r="K31" s="375">
        <f>'603'!D32</f>
        <v>11</v>
      </c>
      <c r="L31" s="375">
        <f>'604'!D32</f>
        <v>11</v>
      </c>
      <c r="M31" s="376">
        <f>'605 L'!D32</f>
        <v>2</v>
      </c>
      <c r="N31" s="376">
        <f>'606 L'!D32</f>
        <v>6</v>
      </c>
      <c r="O31" s="375">
        <f>'607-EOI'!D32</f>
        <v>0</v>
      </c>
      <c r="P31" s="375">
        <f>'608-MP'!D32</f>
        <v>7</v>
      </c>
      <c r="Q31" s="375">
        <f t="shared" si="1"/>
        <v>53</v>
      </c>
      <c r="R31" s="375">
        <f t="shared" si="2"/>
        <v>26</v>
      </c>
      <c r="S31" s="376">
        <f t="shared" si="3"/>
        <v>79</v>
      </c>
      <c r="T31" s="377">
        <f t="shared" si="4"/>
        <v>44</v>
      </c>
      <c r="U31" s="378"/>
      <c r="V31" s="379"/>
      <c r="W31" s="379"/>
      <c r="X31" s="379"/>
      <c r="Y31" s="379"/>
      <c r="Z31" s="379"/>
      <c r="AA31" s="379"/>
      <c r="AB31" s="379"/>
    </row>
    <row r="32" ht="15.75" customHeight="1">
      <c r="A32" s="371">
        <v>24.0</v>
      </c>
      <c r="B32" s="188" t="s">
        <v>93</v>
      </c>
      <c r="C32" s="216" t="s">
        <v>94</v>
      </c>
      <c r="D32" s="372"/>
      <c r="E32" s="382"/>
      <c r="F32" s="373"/>
      <c r="G32" s="374">
        <f>'601'!D33</f>
        <v>13</v>
      </c>
      <c r="H32" s="374">
        <f>'601 L'!D33</f>
        <v>6</v>
      </c>
      <c r="I32" s="375">
        <f>'602'!D33</f>
        <v>16</v>
      </c>
      <c r="J32" s="376">
        <f>'602 L'!D33</f>
        <v>6</v>
      </c>
      <c r="K32" s="375">
        <f>'603'!D33</f>
        <v>12</v>
      </c>
      <c r="L32" s="375">
        <f>'604'!D33</f>
        <v>9</v>
      </c>
      <c r="M32" s="376">
        <f>'605 L'!D33</f>
        <v>1</v>
      </c>
      <c r="N32" s="376">
        <f>'606 L'!D33</f>
        <v>6</v>
      </c>
      <c r="O32" s="375">
        <f>'607-EOI'!D33</f>
        <v>0</v>
      </c>
      <c r="P32" s="375">
        <f>'608-MP'!D33</f>
        <v>5</v>
      </c>
      <c r="Q32" s="375">
        <f t="shared" si="1"/>
        <v>50</v>
      </c>
      <c r="R32" s="375">
        <f t="shared" si="2"/>
        <v>24</v>
      </c>
      <c r="S32" s="376">
        <f t="shared" si="3"/>
        <v>74</v>
      </c>
      <c r="T32" s="377">
        <f t="shared" si="4"/>
        <v>41</v>
      </c>
      <c r="U32" s="383"/>
      <c r="V32" s="379"/>
      <c r="W32" s="379"/>
      <c r="X32" s="379"/>
      <c r="Y32" s="379"/>
      <c r="Z32" s="379"/>
      <c r="AA32" s="379"/>
      <c r="AB32" s="379"/>
    </row>
    <row r="33" ht="15.75" customHeight="1">
      <c r="A33" s="380">
        <v>25.0</v>
      </c>
      <c r="B33" s="188" t="s">
        <v>95</v>
      </c>
      <c r="C33" s="216" t="s">
        <v>96</v>
      </c>
      <c r="D33" s="381">
        <v>43.0</v>
      </c>
      <c r="E33" s="382"/>
      <c r="F33" s="373"/>
      <c r="G33" s="374">
        <f>'601'!D34</f>
        <v>5</v>
      </c>
      <c r="H33" s="374">
        <f>'601 L'!D34</f>
        <v>2</v>
      </c>
      <c r="I33" s="375">
        <f>'602'!D34</f>
        <v>6</v>
      </c>
      <c r="J33" s="376">
        <f>'602 L'!D34</f>
        <v>3</v>
      </c>
      <c r="K33" s="375">
        <f>'603'!D34</f>
        <v>7</v>
      </c>
      <c r="L33" s="375">
        <f>'604'!D34</f>
        <v>4</v>
      </c>
      <c r="M33" s="376">
        <f>'605 L'!D34</f>
        <v>2</v>
      </c>
      <c r="N33" s="376">
        <f>'606 L'!D34</f>
        <v>0</v>
      </c>
      <c r="O33" s="375">
        <f>'607-EOI'!D34</f>
        <v>0</v>
      </c>
      <c r="P33" s="375">
        <f>'608-MP'!D34</f>
        <v>3</v>
      </c>
      <c r="Q33" s="375">
        <f t="shared" si="1"/>
        <v>22</v>
      </c>
      <c r="R33" s="375">
        <f t="shared" si="2"/>
        <v>10</v>
      </c>
      <c r="S33" s="376">
        <f t="shared" si="3"/>
        <v>75</v>
      </c>
      <c r="T33" s="377">
        <f t="shared" si="4"/>
        <v>42</v>
      </c>
      <c r="U33" s="383"/>
      <c r="V33" s="379"/>
      <c r="W33" s="379"/>
      <c r="X33" s="379"/>
      <c r="Y33" s="379"/>
      <c r="Z33" s="379"/>
      <c r="AA33" s="379"/>
      <c r="AB33" s="379"/>
    </row>
    <row r="34" ht="15.75" customHeight="1">
      <c r="A34" s="371">
        <v>26.0</v>
      </c>
      <c r="B34" s="188" t="s">
        <v>97</v>
      </c>
      <c r="C34" s="216" t="s">
        <v>98</v>
      </c>
      <c r="D34" s="381">
        <v>36.0</v>
      </c>
      <c r="E34" s="372"/>
      <c r="F34" s="373"/>
      <c r="G34" s="374">
        <f>'601'!D35</f>
        <v>17</v>
      </c>
      <c r="H34" s="374">
        <f>'601 L'!D35</f>
        <v>11</v>
      </c>
      <c r="I34" s="375">
        <f>'602'!D35</f>
        <v>27</v>
      </c>
      <c r="J34" s="376">
        <f>'602 L'!D35</f>
        <v>5</v>
      </c>
      <c r="K34" s="375">
        <f>'603'!D35</f>
        <v>17</v>
      </c>
      <c r="L34" s="375">
        <f>'604'!D35</f>
        <v>16</v>
      </c>
      <c r="M34" s="376">
        <f>'605 L'!D35</f>
        <v>5</v>
      </c>
      <c r="N34" s="376">
        <f>'606 L'!D35</f>
        <v>9</v>
      </c>
      <c r="O34" s="375">
        <f>'607-EOI'!D35</f>
        <v>0</v>
      </c>
      <c r="P34" s="375">
        <f>'608-MP'!D35</f>
        <v>13</v>
      </c>
      <c r="Q34" s="375">
        <f t="shared" si="1"/>
        <v>77</v>
      </c>
      <c r="R34" s="375">
        <f t="shared" si="2"/>
        <v>43</v>
      </c>
      <c r="S34" s="376">
        <f t="shared" si="3"/>
        <v>156</v>
      </c>
      <c r="T34" s="377">
        <f t="shared" si="4"/>
        <v>87</v>
      </c>
      <c r="U34" s="378"/>
      <c r="V34" s="379"/>
      <c r="W34" s="379"/>
      <c r="X34" s="379"/>
      <c r="Y34" s="379"/>
      <c r="Z34" s="379"/>
      <c r="AA34" s="379"/>
      <c r="AB34" s="379"/>
    </row>
    <row r="35" ht="15.75" customHeight="1">
      <c r="A35" s="380">
        <v>27.0</v>
      </c>
      <c r="B35" s="188" t="s">
        <v>99</v>
      </c>
      <c r="C35" s="216" t="s">
        <v>100</v>
      </c>
      <c r="D35" s="381">
        <v>42.0</v>
      </c>
      <c r="E35" s="372"/>
      <c r="F35" s="373"/>
      <c r="G35" s="374">
        <f>'601'!D36</f>
        <v>0</v>
      </c>
      <c r="H35" s="374">
        <f>'601 L'!D36</f>
        <v>0</v>
      </c>
      <c r="I35" s="375">
        <f>'602'!D36</f>
        <v>0</v>
      </c>
      <c r="J35" s="376">
        <f>'602 L'!D36</f>
        <v>0</v>
      </c>
      <c r="K35" s="375">
        <f>'603'!D36</f>
        <v>0</v>
      </c>
      <c r="L35" s="375">
        <f>'604'!D36</f>
        <v>0</v>
      </c>
      <c r="M35" s="376">
        <f>'605 L'!D36</f>
        <v>0</v>
      </c>
      <c r="N35" s="376">
        <f>'606 L'!D36</f>
        <v>0</v>
      </c>
      <c r="O35" s="375">
        <f>'607-EOI'!D36</f>
        <v>0</v>
      </c>
      <c r="P35" s="375">
        <f>'608-MP'!D36</f>
        <v>0</v>
      </c>
      <c r="Q35" s="375">
        <f t="shared" si="1"/>
        <v>0</v>
      </c>
      <c r="R35" s="375">
        <f t="shared" si="2"/>
        <v>0</v>
      </c>
      <c r="S35" s="376">
        <f t="shared" si="3"/>
        <v>42</v>
      </c>
      <c r="T35" s="377">
        <f t="shared" si="4"/>
        <v>23</v>
      </c>
      <c r="U35" s="378"/>
      <c r="V35" s="379"/>
      <c r="W35" s="379"/>
      <c r="X35" s="379"/>
      <c r="Y35" s="379"/>
      <c r="Z35" s="379"/>
      <c r="AA35" s="379"/>
      <c r="AB35" s="379"/>
    </row>
    <row r="36" ht="15.75" customHeight="1">
      <c r="A36" s="371">
        <v>28.0</v>
      </c>
      <c r="B36" s="188" t="s">
        <v>101</v>
      </c>
      <c r="C36" s="216" t="s">
        <v>102</v>
      </c>
      <c r="D36" s="381">
        <v>105.0</v>
      </c>
      <c r="E36" s="381"/>
      <c r="F36" s="373"/>
      <c r="G36" s="374">
        <f>'601'!D37</f>
        <v>7</v>
      </c>
      <c r="H36" s="374">
        <f>'601 L'!D37</f>
        <v>4</v>
      </c>
      <c r="I36" s="375">
        <f>'602'!D37</f>
        <v>9</v>
      </c>
      <c r="J36" s="376">
        <f>'602 L'!D37</f>
        <v>2</v>
      </c>
      <c r="K36" s="375">
        <f>'603'!D37</f>
        <v>5</v>
      </c>
      <c r="L36" s="375">
        <f>'604'!D37</f>
        <v>2</v>
      </c>
      <c r="M36" s="376">
        <f>'605 L'!D37</f>
        <v>0</v>
      </c>
      <c r="N36" s="376">
        <f>'606 L'!D37</f>
        <v>1</v>
      </c>
      <c r="O36" s="375">
        <f>'607-EOI'!D37</f>
        <v>0</v>
      </c>
      <c r="P36" s="375">
        <f>'608-MP'!D37</f>
        <v>2</v>
      </c>
      <c r="Q36" s="375">
        <f t="shared" si="1"/>
        <v>23</v>
      </c>
      <c r="R36" s="375">
        <f t="shared" si="2"/>
        <v>9</v>
      </c>
      <c r="S36" s="376">
        <f t="shared" si="3"/>
        <v>137</v>
      </c>
      <c r="T36" s="377">
        <f t="shared" si="4"/>
        <v>77</v>
      </c>
      <c r="U36" s="378"/>
      <c r="V36" s="379"/>
      <c r="W36" s="379"/>
      <c r="X36" s="379"/>
      <c r="Y36" s="379"/>
      <c r="Z36" s="379"/>
      <c r="AA36" s="379"/>
      <c r="AB36" s="379"/>
    </row>
    <row r="37" ht="15.75" customHeight="1">
      <c r="A37" s="371">
        <v>29.0</v>
      </c>
      <c r="B37" s="188" t="s">
        <v>103</v>
      </c>
      <c r="C37" s="216" t="s">
        <v>104</v>
      </c>
      <c r="D37" s="381">
        <v>45.0</v>
      </c>
      <c r="E37" s="372"/>
      <c r="F37" s="373"/>
      <c r="G37" s="374">
        <f>'601'!D38</f>
        <v>4</v>
      </c>
      <c r="H37" s="374">
        <f>'601 L'!D38</f>
        <v>1</v>
      </c>
      <c r="I37" s="375">
        <f>'602'!D38</f>
        <v>3</v>
      </c>
      <c r="J37" s="376">
        <f>'602 L'!D38</f>
        <v>4</v>
      </c>
      <c r="K37" s="375">
        <f>'603'!D38</f>
        <v>6</v>
      </c>
      <c r="L37" s="375">
        <f>'604'!D38</f>
        <v>3</v>
      </c>
      <c r="M37" s="376">
        <f>'605 L'!D38</f>
        <v>1</v>
      </c>
      <c r="N37" s="376">
        <f>'606 L'!D38</f>
        <v>3</v>
      </c>
      <c r="O37" s="375">
        <f>'607-EOI'!D38</f>
        <v>0</v>
      </c>
      <c r="P37" s="375">
        <f>'608-MP'!D38</f>
        <v>1</v>
      </c>
      <c r="Q37" s="375">
        <f t="shared" si="1"/>
        <v>16</v>
      </c>
      <c r="R37" s="375">
        <f t="shared" si="2"/>
        <v>10</v>
      </c>
      <c r="S37" s="376">
        <f t="shared" si="3"/>
        <v>71</v>
      </c>
      <c r="T37" s="377">
        <f t="shared" si="4"/>
        <v>40</v>
      </c>
      <c r="U37" s="378"/>
      <c r="V37" s="379"/>
      <c r="W37" s="379"/>
      <c r="X37" s="379"/>
      <c r="Y37" s="379"/>
      <c r="Z37" s="379"/>
      <c r="AA37" s="379"/>
      <c r="AB37" s="379"/>
    </row>
    <row r="38" ht="15.75" customHeight="1">
      <c r="A38" s="380">
        <v>30.0</v>
      </c>
      <c r="B38" s="188" t="s">
        <v>105</v>
      </c>
      <c r="C38" s="216" t="s">
        <v>106</v>
      </c>
      <c r="D38" s="381">
        <v>7.0</v>
      </c>
      <c r="E38" s="372"/>
      <c r="F38" s="373"/>
      <c r="G38" s="374">
        <f>'601'!D39</f>
        <v>3</v>
      </c>
      <c r="H38" s="374">
        <f>'601 L'!D39</f>
        <v>1</v>
      </c>
      <c r="I38" s="375">
        <f>'602'!D39</f>
        <v>4</v>
      </c>
      <c r="J38" s="376">
        <f>'602 L'!D39</f>
        <v>2</v>
      </c>
      <c r="K38" s="375">
        <f>'603'!D39</f>
        <v>2</v>
      </c>
      <c r="L38" s="375">
        <f>'604'!D39</f>
        <v>3</v>
      </c>
      <c r="M38" s="376">
        <f>'605 L'!D39</f>
        <v>0</v>
      </c>
      <c r="N38" s="376">
        <f>'606 L'!D39</f>
        <v>2</v>
      </c>
      <c r="O38" s="375">
        <f>'607-EOI'!D39</f>
        <v>0</v>
      </c>
      <c r="P38" s="375">
        <f>'608-MP'!D39</f>
        <v>2</v>
      </c>
      <c r="Q38" s="375">
        <f t="shared" si="1"/>
        <v>12</v>
      </c>
      <c r="R38" s="375">
        <f t="shared" si="2"/>
        <v>7</v>
      </c>
      <c r="S38" s="376">
        <f t="shared" si="3"/>
        <v>26</v>
      </c>
      <c r="T38" s="377">
        <f t="shared" si="4"/>
        <v>15</v>
      </c>
      <c r="U38" s="378"/>
      <c r="V38" s="379"/>
      <c r="W38" s="379"/>
      <c r="X38" s="379"/>
      <c r="Y38" s="379"/>
      <c r="Z38" s="379"/>
      <c r="AA38" s="379"/>
      <c r="AB38" s="379"/>
    </row>
    <row r="39" ht="15.75" customHeight="1">
      <c r="A39" s="371">
        <v>31.0</v>
      </c>
      <c r="B39" s="188" t="s">
        <v>107</v>
      </c>
      <c r="C39" s="216" t="s">
        <v>108</v>
      </c>
      <c r="D39" s="408">
        <v>37.0</v>
      </c>
      <c r="E39" s="381"/>
      <c r="F39" s="373"/>
      <c r="G39" s="374">
        <f>'601'!D40</f>
        <v>8</v>
      </c>
      <c r="H39" s="374">
        <f>'601 L'!D40</f>
        <v>4</v>
      </c>
      <c r="I39" s="375">
        <f>'602'!D40</f>
        <v>9</v>
      </c>
      <c r="J39" s="376">
        <f>'602 L'!D40</f>
        <v>3</v>
      </c>
      <c r="K39" s="375">
        <f>'603'!D40</f>
        <v>8</v>
      </c>
      <c r="L39" s="375">
        <f>'604'!D40</f>
        <v>6</v>
      </c>
      <c r="M39" s="376">
        <f>'605 L'!D40</f>
        <v>2</v>
      </c>
      <c r="N39" s="376">
        <f>'606 L'!D40</f>
        <v>3</v>
      </c>
      <c r="O39" s="375">
        <f>'607-EOI'!D40</f>
        <v>0</v>
      </c>
      <c r="P39" s="375">
        <f>'608-MP'!D40</f>
        <v>2</v>
      </c>
      <c r="Q39" s="375">
        <f t="shared" si="1"/>
        <v>31</v>
      </c>
      <c r="R39" s="375">
        <f t="shared" si="2"/>
        <v>14</v>
      </c>
      <c r="S39" s="376">
        <f t="shared" si="3"/>
        <v>82</v>
      </c>
      <c r="T39" s="377">
        <f t="shared" si="4"/>
        <v>46</v>
      </c>
      <c r="U39" s="378"/>
      <c r="V39" s="379"/>
      <c r="W39" s="379"/>
      <c r="X39" s="379"/>
      <c r="Y39" s="379"/>
      <c r="Z39" s="379"/>
      <c r="AA39" s="379"/>
      <c r="AB39" s="379"/>
    </row>
    <row r="40" ht="15.75" customHeight="1">
      <c r="A40" s="380">
        <v>32.0</v>
      </c>
      <c r="B40" s="188" t="s">
        <v>109</v>
      </c>
      <c r="C40" s="216" t="s">
        <v>110</v>
      </c>
      <c r="D40" s="388">
        <v>45.0</v>
      </c>
      <c r="E40" s="382"/>
      <c r="F40" s="373"/>
      <c r="G40" s="374">
        <f>'601'!D41</f>
        <v>8</v>
      </c>
      <c r="H40" s="374">
        <f>'601 L'!D41</f>
        <v>2</v>
      </c>
      <c r="I40" s="375">
        <f>'602'!D41</f>
        <v>9</v>
      </c>
      <c r="J40" s="376">
        <f>'602 L'!D41</f>
        <v>4</v>
      </c>
      <c r="K40" s="375">
        <f>'603'!D41</f>
        <v>9</v>
      </c>
      <c r="L40" s="375">
        <f>'604'!D41</f>
        <v>6</v>
      </c>
      <c r="M40" s="376">
        <f>'605 L'!D41</f>
        <v>2</v>
      </c>
      <c r="N40" s="376">
        <f>'606 L'!D41</f>
        <v>5</v>
      </c>
      <c r="O40" s="375">
        <f>'607-EOI'!D41</f>
        <v>0</v>
      </c>
      <c r="P40" s="375">
        <f>'608-MP'!D41</f>
        <v>2</v>
      </c>
      <c r="Q40" s="375">
        <f t="shared" si="1"/>
        <v>32</v>
      </c>
      <c r="R40" s="375">
        <f t="shared" si="2"/>
        <v>15</v>
      </c>
      <c r="S40" s="376">
        <f t="shared" si="3"/>
        <v>92</v>
      </c>
      <c r="T40" s="377">
        <f t="shared" si="4"/>
        <v>51</v>
      </c>
      <c r="U40" s="383"/>
      <c r="V40" s="379"/>
      <c r="W40" s="379"/>
      <c r="X40" s="379"/>
      <c r="Y40" s="379"/>
      <c r="Z40" s="379"/>
      <c r="AA40" s="379"/>
      <c r="AB40" s="379"/>
    </row>
    <row r="41" ht="15.75" customHeight="1">
      <c r="A41" s="371">
        <v>33.0</v>
      </c>
      <c r="B41" s="188" t="s">
        <v>111</v>
      </c>
      <c r="C41" s="216" t="s">
        <v>112</v>
      </c>
      <c r="D41" s="381">
        <v>49.0</v>
      </c>
      <c r="E41" s="372"/>
      <c r="F41" s="373"/>
      <c r="G41" s="374">
        <f>'601'!D42</f>
        <v>4</v>
      </c>
      <c r="H41" s="374">
        <f>'601 L'!D42</f>
        <v>3</v>
      </c>
      <c r="I41" s="375">
        <f>'602'!D42</f>
        <v>5</v>
      </c>
      <c r="J41" s="376">
        <f>'602 L'!D42</f>
        <v>0</v>
      </c>
      <c r="K41" s="375">
        <f>'603'!D42</f>
        <v>4</v>
      </c>
      <c r="L41" s="375">
        <f>'604'!D42</f>
        <v>2</v>
      </c>
      <c r="M41" s="376">
        <f>'605 L'!D42</f>
        <v>1</v>
      </c>
      <c r="N41" s="376">
        <f>'606 L'!D42</f>
        <v>1</v>
      </c>
      <c r="O41" s="375">
        <f>'607-EOI'!D42</f>
        <v>0</v>
      </c>
      <c r="P41" s="375">
        <f>'608-MP'!D42</f>
        <v>2</v>
      </c>
      <c r="Q41" s="375">
        <f t="shared" si="1"/>
        <v>15</v>
      </c>
      <c r="R41" s="375">
        <f t="shared" si="2"/>
        <v>7</v>
      </c>
      <c r="S41" s="376">
        <f t="shared" si="3"/>
        <v>71</v>
      </c>
      <c r="T41" s="377">
        <f t="shared" si="4"/>
        <v>40</v>
      </c>
      <c r="U41" s="378"/>
      <c r="V41" s="379"/>
      <c r="W41" s="379"/>
      <c r="X41" s="379"/>
      <c r="Y41" s="379"/>
      <c r="Z41" s="379"/>
      <c r="AA41" s="379"/>
      <c r="AB41" s="379"/>
    </row>
    <row r="42" ht="15.75" customHeight="1">
      <c r="A42" s="371">
        <v>34.0</v>
      </c>
      <c r="B42" s="188" t="s">
        <v>113</v>
      </c>
      <c r="C42" s="216" t="s">
        <v>114</v>
      </c>
      <c r="D42" s="381">
        <v>45.0</v>
      </c>
      <c r="E42" s="382"/>
      <c r="F42" s="373"/>
      <c r="G42" s="374">
        <f>'601'!D43</f>
        <v>8</v>
      </c>
      <c r="H42" s="374">
        <f>'601 L'!D43</f>
        <v>4</v>
      </c>
      <c r="I42" s="375">
        <f>'602'!D43</f>
        <v>11</v>
      </c>
      <c r="J42" s="376">
        <f>'602 L'!D43</f>
        <v>3</v>
      </c>
      <c r="K42" s="375">
        <f>'603'!D43</f>
        <v>11</v>
      </c>
      <c r="L42" s="375">
        <f>'604'!D43</f>
        <v>4</v>
      </c>
      <c r="M42" s="376">
        <f>'605 L'!D43</f>
        <v>1</v>
      </c>
      <c r="N42" s="376">
        <f>'606 L'!D43</f>
        <v>6</v>
      </c>
      <c r="O42" s="375">
        <f>'607-EOI'!D43</f>
        <v>0</v>
      </c>
      <c r="P42" s="375">
        <f>'608-MP'!D43</f>
        <v>5</v>
      </c>
      <c r="Q42" s="375">
        <f t="shared" si="1"/>
        <v>34</v>
      </c>
      <c r="R42" s="375">
        <f t="shared" si="2"/>
        <v>19</v>
      </c>
      <c r="S42" s="376">
        <f t="shared" si="3"/>
        <v>98</v>
      </c>
      <c r="T42" s="377">
        <f t="shared" si="4"/>
        <v>55</v>
      </c>
      <c r="U42" s="383"/>
      <c r="V42" s="379"/>
      <c r="W42" s="379"/>
      <c r="X42" s="379"/>
      <c r="Y42" s="379"/>
      <c r="Z42" s="379"/>
      <c r="AA42" s="379"/>
      <c r="AB42" s="379"/>
    </row>
    <row r="43" ht="15.75" customHeight="1">
      <c r="A43" s="380">
        <v>35.0</v>
      </c>
      <c r="B43" s="188" t="s">
        <v>115</v>
      </c>
      <c r="C43" s="216" t="s">
        <v>116</v>
      </c>
      <c r="D43" s="381">
        <v>92.0</v>
      </c>
      <c r="E43" s="388"/>
      <c r="F43" s="373"/>
      <c r="G43" s="374">
        <f>'601'!D44</f>
        <v>8</v>
      </c>
      <c r="H43" s="374">
        <f>'601 L'!D44</f>
        <v>5</v>
      </c>
      <c r="I43" s="375">
        <f>'602'!D44</f>
        <v>10</v>
      </c>
      <c r="J43" s="376">
        <f>'602 L'!D44</f>
        <v>4</v>
      </c>
      <c r="K43" s="375">
        <f>'603'!D44</f>
        <v>11</v>
      </c>
      <c r="L43" s="375">
        <f>'604'!D44</f>
        <v>6</v>
      </c>
      <c r="M43" s="376">
        <f>'605 L'!D44</f>
        <v>3</v>
      </c>
      <c r="N43" s="376">
        <f>'606 L'!D44</f>
        <v>3</v>
      </c>
      <c r="O43" s="375">
        <f>'607-EOI'!D44</f>
        <v>0</v>
      </c>
      <c r="P43" s="375">
        <f>'608-MP'!D44</f>
        <v>4</v>
      </c>
      <c r="Q43" s="375">
        <f t="shared" si="1"/>
        <v>35</v>
      </c>
      <c r="R43" s="375">
        <f t="shared" si="2"/>
        <v>19</v>
      </c>
      <c r="S43" s="376">
        <f t="shared" si="3"/>
        <v>146</v>
      </c>
      <c r="T43" s="377">
        <f t="shared" si="4"/>
        <v>82</v>
      </c>
      <c r="U43" s="383"/>
      <c r="V43" s="379"/>
      <c r="W43" s="379"/>
      <c r="X43" s="379"/>
      <c r="Y43" s="379"/>
      <c r="Z43" s="379"/>
      <c r="AA43" s="379"/>
      <c r="AB43" s="379"/>
    </row>
    <row r="44" ht="18.0" customHeight="1">
      <c r="A44" s="371">
        <v>36.0</v>
      </c>
      <c r="B44" s="188" t="s">
        <v>117</v>
      </c>
      <c r="C44" s="216" t="s">
        <v>118</v>
      </c>
      <c r="D44" s="372"/>
      <c r="E44" s="372"/>
      <c r="F44" s="373"/>
      <c r="G44" s="374">
        <f>'601'!D45</f>
        <v>0</v>
      </c>
      <c r="H44" s="374">
        <f>'601 L'!D45</f>
        <v>0</v>
      </c>
      <c r="I44" s="375">
        <f>'602'!D45</f>
        <v>0</v>
      </c>
      <c r="J44" s="376">
        <f>'602 L'!D45</f>
        <v>0</v>
      </c>
      <c r="K44" s="375">
        <f>'603'!D45</f>
        <v>0</v>
      </c>
      <c r="L44" s="375">
        <f>'604'!D45</f>
        <v>0</v>
      </c>
      <c r="M44" s="376">
        <f>'605 L'!D45</f>
        <v>0</v>
      </c>
      <c r="N44" s="376">
        <f>'606 L'!D45</f>
        <v>0</v>
      </c>
      <c r="O44" s="375">
        <f>'607-EOI'!D45</f>
        <v>0</v>
      </c>
      <c r="P44" s="375">
        <f>'608-MP'!D45</f>
        <v>0</v>
      </c>
      <c r="Q44" s="375">
        <f t="shared" si="1"/>
        <v>0</v>
      </c>
      <c r="R44" s="375">
        <f t="shared" si="2"/>
        <v>0</v>
      </c>
      <c r="S44" s="376">
        <f t="shared" si="3"/>
        <v>0</v>
      </c>
      <c r="T44" s="377">
        <f t="shared" si="4"/>
        <v>0</v>
      </c>
      <c r="U44" s="378"/>
      <c r="V44" s="379"/>
      <c r="W44" s="379"/>
      <c r="X44" s="379"/>
      <c r="Y44" s="379"/>
      <c r="Z44" s="379"/>
      <c r="AA44" s="379"/>
      <c r="AB44" s="379"/>
    </row>
    <row r="45" ht="18.0" customHeight="1">
      <c r="A45" s="380">
        <v>37.0</v>
      </c>
      <c r="B45" s="188" t="s">
        <v>119</v>
      </c>
      <c r="C45" s="216" t="s">
        <v>120</v>
      </c>
      <c r="D45" s="381">
        <v>52.0</v>
      </c>
      <c r="E45" s="381"/>
      <c r="F45" s="373"/>
      <c r="G45" s="374">
        <f>'601'!D46</f>
        <v>7</v>
      </c>
      <c r="H45" s="374">
        <f>'601 L'!D46</f>
        <v>5</v>
      </c>
      <c r="I45" s="375">
        <f>'602'!D46</f>
        <v>7</v>
      </c>
      <c r="J45" s="376">
        <f>'602 L'!D46</f>
        <v>4</v>
      </c>
      <c r="K45" s="375">
        <f>'603'!D46</f>
        <v>6</v>
      </c>
      <c r="L45" s="375">
        <f>'604'!D46</f>
        <v>3</v>
      </c>
      <c r="M45" s="376">
        <f>'605 L'!D46</f>
        <v>2</v>
      </c>
      <c r="N45" s="376">
        <f>'606 L'!D46</f>
        <v>4</v>
      </c>
      <c r="O45" s="375">
        <f>'607-EOI'!D46</f>
        <v>0</v>
      </c>
      <c r="P45" s="375">
        <f>'608-MP'!D46</f>
        <v>1</v>
      </c>
      <c r="Q45" s="375">
        <f t="shared" si="1"/>
        <v>23</v>
      </c>
      <c r="R45" s="375">
        <f t="shared" si="2"/>
        <v>16</v>
      </c>
      <c r="S45" s="376">
        <f t="shared" si="3"/>
        <v>91</v>
      </c>
      <c r="T45" s="377">
        <f t="shared" si="4"/>
        <v>51</v>
      </c>
      <c r="U45" s="378"/>
      <c r="V45" s="379"/>
      <c r="W45" s="379"/>
      <c r="X45" s="379"/>
      <c r="Y45" s="379"/>
      <c r="Z45" s="379"/>
      <c r="AA45" s="379"/>
      <c r="AB45" s="379"/>
    </row>
    <row r="46" ht="15.75" customHeight="1">
      <c r="A46" s="371">
        <v>38.0</v>
      </c>
      <c r="B46" s="188" t="s">
        <v>121</v>
      </c>
      <c r="C46" s="216" t="s">
        <v>122</v>
      </c>
      <c r="D46" s="381">
        <v>36.0</v>
      </c>
      <c r="E46" s="372"/>
      <c r="F46" s="373"/>
      <c r="G46" s="374">
        <f>'601'!D47</f>
        <v>16</v>
      </c>
      <c r="H46" s="374">
        <f>'601 L'!D47</f>
        <v>10</v>
      </c>
      <c r="I46" s="375">
        <f>'602'!D47</f>
        <v>22</v>
      </c>
      <c r="J46" s="376">
        <f>'602 L'!D47</f>
        <v>6</v>
      </c>
      <c r="K46" s="375">
        <f>'603'!D47</f>
        <v>15</v>
      </c>
      <c r="L46" s="375">
        <f>'604'!D47</f>
        <v>16</v>
      </c>
      <c r="M46" s="376">
        <f>'605 L'!D47</f>
        <v>3</v>
      </c>
      <c r="N46" s="376">
        <f>'606 L'!D47</f>
        <v>7</v>
      </c>
      <c r="O46" s="375">
        <f>'607-EOI'!D47</f>
        <v>0</v>
      </c>
      <c r="P46" s="375">
        <f>'608-MP'!D47</f>
        <v>10</v>
      </c>
      <c r="Q46" s="375">
        <f t="shared" si="1"/>
        <v>69</v>
      </c>
      <c r="R46" s="375">
        <f t="shared" si="2"/>
        <v>36</v>
      </c>
      <c r="S46" s="376">
        <f t="shared" si="3"/>
        <v>141</v>
      </c>
      <c r="T46" s="377">
        <f t="shared" si="4"/>
        <v>79</v>
      </c>
      <c r="U46" s="378"/>
      <c r="V46" s="379"/>
      <c r="W46" s="379"/>
      <c r="X46" s="379"/>
      <c r="Y46" s="379"/>
      <c r="Z46" s="379"/>
      <c r="AA46" s="379"/>
      <c r="AB46" s="379"/>
    </row>
    <row r="47" ht="15.75" customHeight="1">
      <c r="A47" s="371">
        <v>39.0</v>
      </c>
      <c r="B47" s="188" t="s">
        <v>123</v>
      </c>
      <c r="C47" s="216" t="s">
        <v>124</v>
      </c>
      <c r="D47" s="381">
        <v>106.0</v>
      </c>
      <c r="E47" s="372"/>
      <c r="F47" s="373"/>
      <c r="G47" s="374">
        <f>'601'!D48</f>
        <v>6</v>
      </c>
      <c r="H47" s="374">
        <f>'601 L'!D48</f>
        <v>6</v>
      </c>
      <c r="I47" s="375">
        <f>'602'!D48</f>
        <v>9</v>
      </c>
      <c r="J47" s="376">
        <f>'602 L'!D48</f>
        <v>3</v>
      </c>
      <c r="K47" s="375">
        <f>'603'!D48</f>
        <v>4</v>
      </c>
      <c r="L47" s="375">
        <f>'604'!D48</f>
        <v>5</v>
      </c>
      <c r="M47" s="376">
        <f>'605 L'!D48</f>
        <v>2</v>
      </c>
      <c r="N47" s="376">
        <f>'606 L'!D48</f>
        <v>5</v>
      </c>
      <c r="O47" s="375">
        <f>'607-EOI'!D48</f>
        <v>0</v>
      </c>
      <c r="P47" s="375">
        <f>'608-MP'!D48</f>
        <v>4</v>
      </c>
      <c r="Q47" s="375">
        <f t="shared" si="1"/>
        <v>24</v>
      </c>
      <c r="R47" s="375">
        <f t="shared" si="2"/>
        <v>20</v>
      </c>
      <c r="S47" s="376">
        <f t="shared" si="3"/>
        <v>150</v>
      </c>
      <c r="T47" s="389">
        <f t="shared" si="4"/>
        <v>84</v>
      </c>
      <c r="U47" s="378"/>
      <c r="V47" s="379"/>
      <c r="W47" s="379"/>
      <c r="X47" s="379"/>
      <c r="Y47" s="379"/>
      <c r="Z47" s="379"/>
      <c r="AA47" s="379"/>
      <c r="AB47" s="379"/>
    </row>
    <row r="48" ht="15.75" customHeight="1">
      <c r="A48" s="390">
        <v>40.0</v>
      </c>
      <c r="B48" s="188" t="s">
        <v>125</v>
      </c>
      <c r="C48" s="216" t="s">
        <v>126</v>
      </c>
      <c r="D48" s="381">
        <v>106.0</v>
      </c>
      <c r="E48" s="372"/>
      <c r="F48" s="373"/>
      <c r="G48" s="374">
        <f>'601'!D49</f>
        <v>6</v>
      </c>
      <c r="H48" s="374">
        <f>'601 L'!D49</f>
        <v>6</v>
      </c>
      <c r="I48" s="375">
        <f>'602'!D49</f>
        <v>9</v>
      </c>
      <c r="J48" s="376">
        <f>'602 L'!D49</f>
        <v>3</v>
      </c>
      <c r="K48" s="375">
        <f>'603'!D49</f>
        <v>4</v>
      </c>
      <c r="L48" s="375">
        <f>'604'!D49</f>
        <v>6</v>
      </c>
      <c r="M48" s="376">
        <f>'605 L'!D49</f>
        <v>2</v>
      </c>
      <c r="N48" s="376">
        <f>'606 L'!D49</f>
        <v>5</v>
      </c>
      <c r="O48" s="375">
        <f>'607-EOI'!D49</f>
        <v>0</v>
      </c>
      <c r="P48" s="375">
        <f>'608-MP'!D49</f>
        <v>4</v>
      </c>
      <c r="Q48" s="375">
        <f t="shared" si="1"/>
        <v>25</v>
      </c>
      <c r="R48" s="375">
        <f t="shared" si="2"/>
        <v>20</v>
      </c>
      <c r="S48" s="376">
        <f t="shared" si="3"/>
        <v>151</v>
      </c>
      <c r="T48" s="389">
        <f t="shared" si="4"/>
        <v>84</v>
      </c>
      <c r="U48" s="378"/>
      <c r="V48" s="391"/>
      <c r="W48" s="391"/>
      <c r="X48" s="391"/>
      <c r="Y48" s="391"/>
      <c r="Z48" s="391"/>
      <c r="AA48" s="391"/>
      <c r="AB48" s="391"/>
    </row>
    <row r="49" ht="15.75" customHeight="1">
      <c r="A49" s="371">
        <v>41.0</v>
      </c>
      <c r="B49" s="188" t="s">
        <v>127</v>
      </c>
      <c r="C49" s="216" t="s">
        <v>128</v>
      </c>
      <c r="D49" s="381">
        <v>52.0</v>
      </c>
      <c r="E49" s="381"/>
      <c r="F49" s="373"/>
      <c r="G49" s="374">
        <f>'601'!D50</f>
        <v>6</v>
      </c>
      <c r="H49" s="374">
        <f>'601 L'!D50</f>
        <v>3</v>
      </c>
      <c r="I49" s="375">
        <f>'602'!D50</f>
        <v>7</v>
      </c>
      <c r="J49" s="376">
        <f>'602 L'!D50</f>
        <v>2</v>
      </c>
      <c r="K49" s="375">
        <f>'603'!D50</f>
        <v>5</v>
      </c>
      <c r="L49" s="375">
        <f>'604'!D50</f>
        <v>3</v>
      </c>
      <c r="M49" s="376">
        <f>'605 L'!D50</f>
        <v>1</v>
      </c>
      <c r="N49" s="376">
        <f>'606 L'!D50</f>
        <v>3</v>
      </c>
      <c r="O49" s="375">
        <f>'607-EOI'!D50</f>
        <v>0</v>
      </c>
      <c r="P49" s="375">
        <f>'608-MP'!D50</f>
        <v>5</v>
      </c>
      <c r="Q49" s="375">
        <f t="shared" si="1"/>
        <v>21</v>
      </c>
      <c r="R49" s="375">
        <f t="shared" si="2"/>
        <v>14</v>
      </c>
      <c r="S49" s="376">
        <f t="shared" si="3"/>
        <v>87</v>
      </c>
      <c r="T49" s="389">
        <f t="shared" si="4"/>
        <v>49</v>
      </c>
      <c r="U49" s="378"/>
      <c r="V49" s="379"/>
      <c r="W49" s="379"/>
      <c r="X49" s="379"/>
      <c r="Y49" s="379"/>
      <c r="Z49" s="379"/>
      <c r="AA49" s="379"/>
      <c r="AB49" s="379"/>
    </row>
    <row r="50" ht="15.75" customHeight="1">
      <c r="A50" s="380">
        <v>42.0</v>
      </c>
      <c r="B50" s="188" t="s">
        <v>129</v>
      </c>
      <c r="C50" s="216" t="s">
        <v>130</v>
      </c>
      <c r="D50" s="381">
        <v>45.0</v>
      </c>
      <c r="E50" s="372"/>
      <c r="F50" s="373"/>
      <c r="G50" s="374">
        <f>'601'!D51</f>
        <v>11</v>
      </c>
      <c r="H50" s="374">
        <f>'601 L'!D51</f>
        <v>7</v>
      </c>
      <c r="I50" s="375">
        <f>'602'!D51</f>
        <v>9</v>
      </c>
      <c r="J50" s="376">
        <f>'602 L'!D51</f>
        <v>2</v>
      </c>
      <c r="K50" s="375">
        <f>'603'!D51</f>
        <v>10</v>
      </c>
      <c r="L50" s="375">
        <f>'604'!D51</f>
        <v>9</v>
      </c>
      <c r="M50" s="376">
        <f>'605 L'!D51</f>
        <v>2</v>
      </c>
      <c r="N50" s="376">
        <f>'606 L'!D51</f>
        <v>5</v>
      </c>
      <c r="O50" s="375">
        <f>'607-EOI'!D51</f>
        <v>0</v>
      </c>
      <c r="P50" s="375">
        <f>'608-MP'!D51</f>
        <v>3</v>
      </c>
      <c r="Q50" s="375">
        <f t="shared" si="1"/>
        <v>39</v>
      </c>
      <c r="R50" s="375">
        <f t="shared" ref="R50:R92" si="5">SUM(H50+J50+N50+O50+M50+P49)</f>
        <v>21</v>
      </c>
      <c r="S50" s="376">
        <f t="shared" si="3"/>
        <v>105</v>
      </c>
      <c r="T50" s="389">
        <f t="shared" si="4"/>
        <v>59</v>
      </c>
      <c r="U50" s="378"/>
      <c r="V50" s="379"/>
      <c r="W50" s="379"/>
      <c r="X50" s="379"/>
      <c r="Y50" s="379"/>
      <c r="Z50" s="379"/>
      <c r="AA50" s="379"/>
      <c r="AB50" s="379"/>
    </row>
    <row r="51" ht="15.75" customHeight="1">
      <c r="A51" s="390">
        <v>43.0</v>
      </c>
      <c r="B51" s="188" t="s">
        <v>131</v>
      </c>
      <c r="C51" s="216" t="s">
        <v>132</v>
      </c>
      <c r="D51" s="381">
        <v>45.0</v>
      </c>
      <c r="E51" s="372"/>
      <c r="F51" s="373"/>
      <c r="G51" s="374">
        <f>'601'!D52</f>
        <v>6</v>
      </c>
      <c r="H51" s="374">
        <f>'601 L'!D52</f>
        <v>2</v>
      </c>
      <c r="I51" s="375">
        <f>'602'!D52</f>
        <v>9</v>
      </c>
      <c r="J51" s="376">
        <f>'602 L'!D52</f>
        <v>2</v>
      </c>
      <c r="K51" s="375">
        <f>'603'!D52</f>
        <v>4</v>
      </c>
      <c r="L51" s="375">
        <f>'604'!D52</f>
        <v>7</v>
      </c>
      <c r="M51" s="376">
        <f>'605 L'!D52</f>
        <v>2</v>
      </c>
      <c r="N51" s="376">
        <f>'606 L'!D52</f>
        <v>4</v>
      </c>
      <c r="O51" s="375">
        <f>'607-EOI'!D52</f>
        <v>0</v>
      </c>
      <c r="P51" s="375">
        <f>'608-MP'!D52</f>
        <v>1</v>
      </c>
      <c r="Q51" s="375">
        <f t="shared" si="1"/>
        <v>26</v>
      </c>
      <c r="R51" s="375">
        <f t="shared" si="5"/>
        <v>13</v>
      </c>
      <c r="S51" s="376">
        <f t="shared" si="3"/>
        <v>84</v>
      </c>
      <c r="T51" s="389">
        <f t="shared" si="4"/>
        <v>47</v>
      </c>
      <c r="U51" s="378"/>
      <c r="V51" s="379"/>
      <c r="W51" s="379"/>
      <c r="X51" s="379"/>
      <c r="Y51" s="379"/>
      <c r="Z51" s="379"/>
      <c r="AA51" s="379"/>
      <c r="AB51" s="379"/>
    </row>
    <row r="52" ht="15.75" customHeight="1">
      <c r="A52" s="371">
        <v>44.0</v>
      </c>
      <c r="B52" s="188" t="s">
        <v>133</v>
      </c>
      <c r="C52" s="216" t="s">
        <v>134</v>
      </c>
      <c r="D52" s="381">
        <v>59.0</v>
      </c>
      <c r="E52" s="381"/>
      <c r="F52" s="373"/>
      <c r="G52" s="374">
        <f>'601'!D53</f>
        <v>10</v>
      </c>
      <c r="H52" s="374">
        <f>'601 L'!D53</f>
        <v>5</v>
      </c>
      <c r="I52" s="375">
        <f>'602'!D53</f>
        <v>17</v>
      </c>
      <c r="J52" s="376">
        <f>'602 L'!D53</f>
        <v>3</v>
      </c>
      <c r="K52" s="375">
        <f>'603'!D53</f>
        <v>11</v>
      </c>
      <c r="L52" s="375">
        <f>'604'!D53</f>
        <v>10</v>
      </c>
      <c r="M52" s="376">
        <f>'605 L'!D53</f>
        <v>3</v>
      </c>
      <c r="N52" s="376">
        <f>'606 L'!D53</f>
        <v>6</v>
      </c>
      <c r="O52" s="375">
        <f>'607-EOI'!D53</f>
        <v>0</v>
      </c>
      <c r="P52" s="375">
        <f>'608-MP'!D53</f>
        <v>4</v>
      </c>
      <c r="Q52" s="375">
        <f t="shared" si="1"/>
        <v>48</v>
      </c>
      <c r="R52" s="375">
        <f t="shared" si="5"/>
        <v>18</v>
      </c>
      <c r="S52" s="376">
        <f t="shared" si="3"/>
        <v>125</v>
      </c>
      <c r="T52" s="389">
        <f t="shared" si="4"/>
        <v>70</v>
      </c>
      <c r="U52" s="378"/>
      <c r="V52" s="379"/>
      <c r="W52" s="379"/>
      <c r="X52" s="379"/>
      <c r="Y52" s="379"/>
      <c r="Z52" s="379"/>
      <c r="AA52" s="379"/>
      <c r="AB52" s="379"/>
    </row>
    <row r="53" ht="15.75" customHeight="1">
      <c r="A53" s="380">
        <v>45.0</v>
      </c>
      <c r="B53" s="188" t="s">
        <v>135</v>
      </c>
      <c r="C53" s="216" t="s">
        <v>136</v>
      </c>
      <c r="D53" s="381">
        <v>21.0</v>
      </c>
      <c r="E53" s="372"/>
      <c r="F53" s="373"/>
      <c r="G53" s="374">
        <f>'601'!D54</f>
        <v>6</v>
      </c>
      <c r="H53" s="374">
        <f>'601 L'!D54</f>
        <v>2</v>
      </c>
      <c r="I53" s="375">
        <f>'602'!D54</f>
        <v>7</v>
      </c>
      <c r="J53" s="376">
        <f>'602 L'!D54</f>
        <v>3</v>
      </c>
      <c r="K53" s="375">
        <f>'603'!D54</f>
        <v>1</v>
      </c>
      <c r="L53" s="375">
        <f>'604'!D54</f>
        <v>5</v>
      </c>
      <c r="M53" s="376">
        <f>'605 L'!D54</f>
        <v>0</v>
      </c>
      <c r="N53" s="376">
        <f>'606 L'!D54</f>
        <v>3</v>
      </c>
      <c r="O53" s="375">
        <f>'607-EOI'!D54</f>
        <v>0</v>
      </c>
      <c r="P53" s="375">
        <f>'608-MP'!D54</f>
        <v>2</v>
      </c>
      <c r="Q53" s="375">
        <f t="shared" si="1"/>
        <v>19</v>
      </c>
      <c r="R53" s="375">
        <f t="shared" si="5"/>
        <v>12</v>
      </c>
      <c r="S53" s="376">
        <f t="shared" si="3"/>
        <v>52</v>
      </c>
      <c r="T53" s="389">
        <f t="shared" si="4"/>
        <v>29</v>
      </c>
      <c r="U53" s="378"/>
      <c r="V53" s="379"/>
      <c r="W53" s="379"/>
      <c r="X53" s="379"/>
      <c r="Y53" s="379"/>
      <c r="Z53" s="379"/>
      <c r="AA53" s="379"/>
      <c r="AB53" s="379"/>
    </row>
    <row r="54" ht="15.75" customHeight="1">
      <c r="A54" s="390">
        <v>46.0</v>
      </c>
      <c r="B54" s="188" t="s">
        <v>137</v>
      </c>
      <c r="C54" s="216" t="s">
        <v>138</v>
      </c>
      <c r="D54" s="381">
        <v>52.0</v>
      </c>
      <c r="E54" s="381"/>
      <c r="F54" s="373"/>
      <c r="G54" s="374">
        <f>'601'!D55</f>
        <v>4</v>
      </c>
      <c r="H54" s="374">
        <f>'601 L'!D55</f>
        <v>2</v>
      </c>
      <c r="I54" s="375">
        <f>'602'!D55</f>
        <v>9</v>
      </c>
      <c r="J54" s="376">
        <f>'602 L'!D55</f>
        <v>2</v>
      </c>
      <c r="K54" s="375">
        <f>'603'!D55</f>
        <v>4</v>
      </c>
      <c r="L54" s="375">
        <f>'604'!D55</f>
        <v>6</v>
      </c>
      <c r="M54" s="376">
        <f>'605 L'!D55</f>
        <v>3</v>
      </c>
      <c r="N54" s="376">
        <f>'606 L'!D55</f>
        <v>4</v>
      </c>
      <c r="O54" s="375">
        <f>'607-EOI'!D55</f>
        <v>0</v>
      </c>
      <c r="P54" s="375">
        <f>'608-MP'!D55</f>
        <v>3</v>
      </c>
      <c r="Q54" s="375">
        <f t="shared" si="1"/>
        <v>23</v>
      </c>
      <c r="R54" s="375">
        <f t="shared" si="5"/>
        <v>13</v>
      </c>
      <c r="S54" s="376">
        <f t="shared" si="3"/>
        <v>88</v>
      </c>
      <c r="T54" s="389">
        <f t="shared" si="4"/>
        <v>49</v>
      </c>
      <c r="U54" s="378"/>
      <c r="V54" s="379"/>
      <c r="W54" s="379"/>
      <c r="X54" s="379"/>
      <c r="Y54" s="379"/>
      <c r="Z54" s="379"/>
      <c r="AA54" s="379"/>
      <c r="AB54" s="379"/>
    </row>
    <row r="55" ht="15.75" customHeight="1">
      <c r="A55" s="409" t="s">
        <v>3</v>
      </c>
      <c r="B55" s="188" t="s">
        <v>139</v>
      </c>
      <c r="C55" s="216" t="s">
        <v>140</v>
      </c>
      <c r="D55" s="381">
        <v>42.0</v>
      </c>
      <c r="E55" s="372"/>
      <c r="F55" s="373"/>
      <c r="G55" s="374">
        <f>'601'!D56</f>
        <v>5</v>
      </c>
      <c r="H55" s="374">
        <f>'601 L'!D56</f>
        <v>4</v>
      </c>
      <c r="I55" s="375">
        <f>'602'!D56</f>
        <v>9</v>
      </c>
      <c r="J55" s="376">
        <f>'602 L'!D56</f>
        <v>4</v>
      </c>
      <c r="K55" s="375">
        <f>'603'!D56</f>
        <v>8</v>
      </c>
      <c r="L55" s="375">
        <f>'604'!D56</f>
        <v>8</v>
      </c>
      <c r="M55" s="376">
        <f>'605 L'!D56</f>
        <v>2</v>
      </c>
      <c r="N55" s="376">
        <f>'606 L'!D56</f>
        <v>4</v>
      </c>
      <c r="O55" s="375">
        <f>'607-EOI'!D56</f>
        <v>0</v>
      </c>
      <c r="P55" s="375">
        <f>'608-MP'!D56</f>
        <v>3</v>
      </c>
      <c r="Q55" s="375">
        <f t="shared" si="1"/>
        <v>30</v>
      </c>
      <c r="R55" s="375">
        <f t="shared" si="5"/>
        <v>17</v>
      </c>
      <c r="S55" s="376">
        <f t="shared" si="3"/>
        <v>89</v>
      </c>
      <c r="T55" s="389">
        <f t="shared" si="4"/>
        <v>50</v>
      </c>
      <c r="U55" s="378"/>
      <c r="V55" s="379"/>
      <c r="W55" s="379"/>
      <c r="X55" s="379"/>
      <c r="Y55" s="379"/>
      <c r="Z55" s="379"/>
      <c r="AA55" s="379"/>
      <c r="AB55" s="379"/>
    </row>
    <row r="56" ht="15.75" customHeight="1">
      <c r="A56" s="380">
        <v>48.0</v>
      </c>
      <c r="B56" s="188" t="s">
        <v>141</v>
      </c>
      <c r="C56" s="216" t="s">
        <v>142</v>
      </c>
      <c r="D56" s="381">
        <v>77.0</v>
      </c>
      <c r="E56" s="372"/>
      <c r="F56" s="392" t="s">
        <v>257</v>
      </c>
      <c r="G56" s="374">
        <f>'601'!D57</f>
        <v>7</v>
      </c>
      <c r="H56" s="374">
        <f>'601 L'!D57</f>
        <v>5</v>
      </c>
      <c r="I56" s="375">
        <f>'602'!D57</f>
        <v>11</v>
      </c>
      <c r="J56" s="376">
        <f>'602 L'!D57</f>
        <v>4</v>
      </c>
      <c r="K56" s="375">
        <f>'603'!D57</f>
        <v>10</v>
      </c>
      <c r="L56" s="375">
        <f>'604'!D57</f>
        <v>8</v>
      </c>
      <c r="M56" s="376">
        <f>'605 L'!D57</f>
        <v>3</v>
      </c>
      <c r="N56" s="376">
        <f>'606 L'!D57</f>
        <v>4</v>
      </c>
      <c r="O56" s="375">
        <f>'607-EOI'!D57</f>
        <v>0</v>
      </c>
      <c r="P56" s="375">
        <f>'608-MP'!D57</f>
        <v>4</v>
      </c>
      <c r="Q56" s="375">
        <f t="shared" si="1"/>
        <v>36</v>
      </c>
      <c r="R56" s="375">
        <f t="shared" si="5"/>
        <v>19</v>
      </c>
      <c r="S56" s="376">
        <f t="shared" si="3"/>
        <v>132</v>
      </c>
      <c r="T56" s="389">
        <f t="shared" si="4"/>
        <v>74</v>
      </c>
      <c r="U56" s="378"/>
      <c r="V56" s="379"/>
      <c r="W56" s="379"/>
      <c r="X56" s="379"/>
      <c r="Y56" s="379"/>
      <c r="Z56" s="379"/>
      <c r="AA56" s="379"/>
      <c r="AB56" s="379"/>
    </row>
    <row r="57" ht="15.75" customHeight="1">
      <c r="A57" s="390">
        <v>49.0</v>
      </c>
      <c r="B57" s="188" t="s">
        <v>143</v>
      </c>
      <c r="C57" s="216" t="s">
        <v>144</v>
      </c>
      <c r="D57" s="381">
        <v>43.0</v>
      </c>
      <c r="E57" s="381">
        <v>56.0</v>
      </c>
      <c r="F57" s="373"/>
      <c r="G57" s="374">
        <f>'601'!D58</f>
        <v>13</v>
      </c>
      <c r="H57" s="374">
        <f>'601 L'!D58</f>
        <v>9</v>
      </c>
      <c r="I57" s="375">
        <f>'602'!D58</f>
        <v>16</v>
      </c>
      <c r="J57" s="376">
        <f>'602 L'!D58</f>
        <v>5</v>
      </c>
      <c r="K57" s="375">
        <f>'603'!D58</f>
        <v>14</v>
      </c>
      <c r="L57" s="375">
        <f>'604'!D58</f>
        <v>10</v>
      </c>
      <c r="M57" s="376">
        <f>'605 L'!D58</f>
        <v>1</v>
      </c>
      <c r="N57" s="376">
        <f>'606 L'!D58</f>
        <v>6</v>
      </c>
      <c r="O57" s="375">
        <f>'607-EOI'!D58</f>
        <v>0</v>
      </c>
      <c r="P57" s="375">
        <f>'608-MP'!D58</f>
        <v>7</v>
      </c>
      <c r="Q57" s="375">
        <f t="shared" si="1"/>
        <v>53</v>
      </c>
      <c r="R57" s="375">
        <f t="shared" si="5"/>
        <v>25</v>
      </c>
      <c r="S57" s="376">
        <f t="shared" si="3"/>
        <v>121</v>
      </c>
      <c r="T57" s="389">
        <f t="shared" si="4"/>
        <v>68</v>
      </c>
      <c r="U57" s="378"/>
      <c r="V57" s="379"/>
      <c r="W57" s="379"/>
      <c r="X57" s="379"/>
      <c r="Y57" s="379"/>
      <c r="Z57" s="379"/>
      <c r="AA57" s="379"/>
      <c r="AB57" s="379"/>
    </row>
    <row r="58" ht="15.75" customHeight="1">
      <c r="A58" s="371">
        <v>50.0</v>
      </c>
      <c r="B58" s="188" t="s">
        <v>145</v>
      </c>
      <c r="C58" s="216" t="s">
        <v>146</v>
      </c>
      <c r="D58" s="381">
        <v>106.0</v>
      </c>
      <c r="E58" s="372"/>
      <c r="F58" s="373"/>
      <c r="G58" s="374">
        <f>'601'!D59</f>
        <v>7</v>
      </c>
      <c r="H58" s="374">
        <f>'601 L'!D59</f>
        <v>5</v>
      </c>
      <c r="I58" s="375">
        <f>'602'!D59</f>
        <v>10</v>
      </c>
      <c r="J58" s="376">
        <f>'602 L'!D59</f>
        <v>4</v>
      </c>
      <c r="K58" s="375">
        <f>'603'!D59</f>
        <v>5</v>
      </c>
      <c r="L58" s="375">
        <f>'604'!D59</f>
        <v>5</v>
      </c>
      <c r="M58" s="376">
        <f>'605 L'!D59</f>
        <v>2</v>
      </c>
      <c r="N58" s="376">
        <f>'606 L'!D59</f>
        <v>4</v>
      </c>
      <c r="O58" s="375">
        <f>'607-EOI'!D59</f>
        <v>0</v>
      </c>
      <c r="P58" s="375">
        <f>'608-MP'!D59</f>
        <v>4</v>
      </c>
      <c r="Q58" s="375">
        <f t="shared" si="1"/>
        <v>27</v>
      </c>
      <c r="R58" s="375">
        <f t="shared" si="5"/>
        <v>22</v>
      </c>
      <c r="S58" s="376">
        <f t="shared" si="3"/>
        <v>155</v>
      </c>
      <c r="T58" s="389">
        <f t="shared" si="4"/>
        <v>87</v>
      </c>
      <c r="U58" s="378"/>
      <c r="V58" s="379"/>
      <c r="W58" s="379"/>
      <c r="X58" s="379"/>
      <c r="Y58" s="379"/>
      <c r="Z58" s="379"/>
      <c r="AA58" s="379"/>
      <c r="AB58" s="379"/>
    </row>
    <row r="59" ht="15.75" customHeight="1">
      <c r="A59" s="380">
        <v>51.0</v>
      </c>
      <c r="B59" s="188" t="s">
        <v>147</v>
      </c>
      <c r="C59" s="216" t="s">
        <v>148</v>
      </c>
      <c r="D59" s="381">
        <v>45.0</v>
      </c>
      <c r="E59" s="372"/>
      <c r="F59" s="373"/>
      <c r="G59" s="374">
        <f>'601'!D60</f>
        <v>5</v>
      </c>
      <c r="H59" s="374">
        <f>'601 L'!D60</f>
        <v>6</v>
      </c>
      <c r="I59" s="375">
        <f>'602'!D60</f>
        <v>8</v>
      </c>
      <c r="J59" s="376">
        <f>'602 L'!D60</f>
        <v>3</v>
      </c>
      <c r="K59" s="375">
        <f>'603'!D60</f>
        <v>5</v>
      </c>
      <c r="L59" s="375">
        <f>'604'!D60</f>
        <v>4</v>
      </c>
      <c r="M59" s="376">
        <f>'605 L'!D60</f>
        <v>0</v>
      </c>
      <c r="N59" s="376">
        <f>'606 L'!D60</f>
        <v>5</v>
      </c>
      <c r="O59" s="375">
        <f>'607-EOI'!D60</f>
        <v>0</v>
      </c>
      <c r="P59" s="375">
        <f>'608-MP'!D60</f>
        <v>4</v>
      </c>
      <c r="Q59" s="375">
        <f t="shared" si="1"/>
        <v>22</v>
      </c>
      <c r="R59" s="375">
        <f t="shared" si="5"/>
        <v>18</v>
      </c>
      <c r="S59" s="376">
        <f t="shared" si="3"/>
        <v>85</v>
      </c>
      <c r="T59" s="389">
        <f t="shared" si="4"/>
        <v>47</v>
      </c>
      <c r="U59" s="378"/>
      <c r="V59" s="379"/>
      <c r="W59" s="379"/>
      <c r="X59" s="379"/>
      <c r="Y59" s="379"/>
      <c r="Z59" s="379"/>
      <c r="AA59" s="379"/>
      <c r="AB59" s="379"/>
    </row>
    <row r="60" ht="15.75" customHeight="1">
      <c r="A60" s="390">
        <v>52.0</v>
      </c>
      <c r="B60" s="188" t="s">
        <v>149</v>
      </c>
      <c r="C60" s="216" t="s">
        <v>150</v>
      </c>
      <c r="D60" s="381">
        <v>21.0</v>
      </c>
      <c r="E60" s="372"/>
      <c r="F60" s="373"/>
      <c r="G60" s="374">
        <f>'601'!D61</f>
        <v>16</v>
      </c>
      <c r="H60" s="374">
        <f>'601 L'!D61</f>
        <v>8</v>
      </c>
      <c r="I60" s="375">
        <f>'602'!D61</f>
        <v>14</v>
      </c>
      <c r="J60" s="376">
        <f>'602 L'!D61</f>
        <v>4</v>
      </c>
      <c r="K60" s="375">
        <f>'603'!D61</f>
        <v>14</v>
      </c>
      <c r="L60" s="375">
        <f>'604'!D61</f>
        <v>14</v>
      </c>
      <c r="M60" s="376">
        <f>'605 L'!D61</f>
        <v>2</v>
      </c>
      <c r="N60" s="376">
        <f>'606 L'!D61</f>
        <v>7</v>
      </c>
      <c r="O60" s="375">
        <f>'607-EOI'!D61</f>
        <v>0</v>
      </c>
      <c r="P60" s="375">
        <f>'608-MP'!D61</f>
        <v>8</v>
      </c>
      <c r="Q60" s="375">
        <f t="shared" si="1"/>
        <v>58</v>
      </c>
      <c r="R60" s="375">
        <f t="shared" si="5"/>
        <v>25</v>
      </c>
      <c r="S60" s="376">
        <f t="shared" si="3"/>
        <v>104</v>
      </c>
      <c r="T60" s="389">
        <f t="shared" si="4"/>
        <v>58</v>
      </c>
      <c r="U60" s="378"/>
      <c r="V60" s="379"/>
      <c r="W60" s="379"/>
      <c r="X60" s="379"/>
      <c r="Y60" s="379"/>
      <c r="Z60" s="379"/>
      <c r="AA60" s="379"/>
      <c r="AB60" s="379"/>
    </row>
    <row r="61" ht="15.75" customHeight="1">
      <c r="A61" s="371">
        <v>53.0</v>
      </c>
      <c r="B61" s="188" t="s">
        <v>151</v>
      </c>
      <c r="C61" s="216" t="s">
        <v>152</v>
      </c>
      <c r="D61" s="381">
        <v>92.0</v>
      </c>
      <c r="E61" s="381"/>
      <c r="F61" s="373"/>
      <c r="G61" s="374">
        <f>'601'!D62</f>
        <v>5</v>
      </c>
      <c r="H61" s="374">
        <f>'601 L'!D62</f>
        <v>6</v>
      </c>
      <c r="I61" s="375">
        <f>'602'!D62</f>
        <v>6</v>
      </c>
      <c r="J61" s="376">
        <f>'602 L'!D62</f>
        <v>1</v>
      </c>
      <c r="K61" s="375">
        <f>'603'!D62</f>
        <v>7</v>
      </c>
      <c r="L61" s="375">
        <f>'604'!D62</f>
        <v>4</v>
      </c>
      <c r="M61" s="376">
        <f>'605 L'!D62</f>
        <v>1</v>
      </c>
      <c r="N61" s="376">
        <f>'606 L'!D62</f>
        <v>2</v>
      </c>
      <c r="O61" s="375">
        <f>'607-EOI'!D62</f>
        <v>0</v>
      </c>
      <c r="P61" s="375">
        <f>'608-MP'!D62</f>
        <v>4</v>
      </c>
      <c r="Q61" s="375">
        <f t="shared" si="1"/>
        <v>22</v>
      </c>
      <c r="R61" s="375">
        <f t="shared" si="5"/>
        <v>18</v>
      </c>
      <c r="S61" s="376">
        <f t="shared" si="3"/>
        <v>132</v>
      </c>
      <c r="T61" s="389">
        <f t="shared" si="4"/>
        <v>74</v>
      </c>
      <c r="U61" s="378"/>
      <c r="V61" s="379"/>
      <c r="W61" s="379"/>
      <c r="X61" s="379"/>
      <c r="Y61" s="379"/>
      <c r="Z61" s="379"/>
      <c r="AA61" s="379"/>
      <c r="AB61" s="379"/>
    </row>
    <row r="62" ht="15.75" customHeight="1">
      <c r="A62" s="380">
        <v>54.0</v>
      </c>
      <c r="B62" s="188" t="s">
        <v>153</v>
      </c>
      <c r="C62" s="216" t="s">
        <v>154</v>
      </c>
      <c r="D62" s="381">
        <v>45.0</v>
      </c>
      <c r="E62" s="372"/>
      <c r="F62" s="373"/>
      <c r="G62" s="374">
        <f>'601'!D63</f>
        <v>6</v>
      </c>
      <c r="H62" s="374">
        <f>'601 L'!D63</f>
        <v>3</v>
      </c>
      <c r="I62" s="375">
        <f>'602'!D63</f>
        <v>4</v>
      </c>
      <c r="J62" s="376">
        <f>'602 L'!D63</f>
        <v>2</v>
      </c>
      <c r="K62" s="375">
        <f>'603'!D63</f>
        <v>7</v>
      </c>
      <c r="L62" s="375">
        <f>'604'!D63</f>
        <v>4</v>
      </c>
      <c r="M62" s="376">
        <f>'605 L'!D63</f>
        <v>1</v>
      </c>
      <c r="N62" s="376">
        <f>'606 L'!D63</f>
        <v>2</v>
      </c>
      <c r="O62" s="375">
        <f>'607-EOI'!D63</f>
        <v>0</v>
      </c>
      <c r="P62" s="375">
        <f>'608-MP'!D63</f>
        <v>1</v>
      </c>
      <c r="Q62" s="375">
        <f t="shared" si="1"/>
        <v>21</v>
      </c>
      <c r="R62" s="375">
        <f t="shared" si="5"/>
        <v>12</v>
      </c>
      <c r="S62" s="376">
        <f t="shared" si="3"/>
        <v>78</v>
      </c>
      <c r="T62" s="389">
        <f t="shared" si="4"/>
        <v>44</v>
      </c>
      <c r="U62" s="378"/>
      <c r="V62" s="379"/>
      <c r="W62" s="379"/>
      <c r="X62" s="379"/>
      <c r="Y62" s="379"/>
      <c r="Z62" s="379"/>
      <c r="AA62" s="379"/>
      <c r="AB62" s="379"/>
    </row>
    <row r="63" ht="15.75" customHeight="1">
      <c r="A63" s="390">
        <v>55.0</v>
      </c>
      <c r="B63" s="188" t="s">
        <v>155</v>
      </c>
      <c r="C63" s="216" t="s">
        <v>156</v>
      </c>
      <c r="D63" s="381">
        <v>14.0</v>
      </c>
      <c r="E63" s="372"/>
      <c r="F63" s="373"/>
      <c r="G63" s="374">
        <f>'601'!D64</f>
        <v>7</v>
      </c>
      <c r="H63" s="374">
        <f>'601 L'!D64</f>
        <v>3</v>
      </c>
      <c r="I63" s="375">
        <f>'602'!D64</f>
        <v>9</v>
      </c>
      <c r="J63" s="376">
        <f>'602 L'!D64</f>
        <v>3</v>
      </c>
      <c r="K63" s="375">
        <f>'603'!D64</f>
        <v>1</v>
      </c>
      <c r="L63" s="375">
        <f>'604'!D64</f>
        <v>6</v>
      </c>
      <c r="M63" s="376">
        <f>'605 L'!D64</f>
        <v>0</v>
      </c>
      <c r="N63" s="376">
        <f>'606 L'!D64</f>
        <v>3</v>
      </c>
      <c r="O63" s="375">
        <f>'607-EOI'!D64</f>
        <v>0</v>
      </c>
      <c r="P63" s="375">
        <f>'608-MP'!D64</f>
        <v>3</v>
      </c>
      <c r="Q63" s="375">
        <f t="shared" si="1"/>
        <v>23</v>
      </c>
      <c r="R63" s="375">
        <f t="shared" si="5"/>
        <v>10</v>
      </c>
      <c r="S63" s="376">
        <f t="shared" si="3"/>
        <v>47</v>
      </c>
      <c r="T63" s="389">
        <f t="shared" si="4"/>
        <v>26</v>
      </c>
      <c r="U63" s="378"/>
      <c r="V63" s="379"/>
      <c r="W63" s="379"/>
      <c r="X63" s="379"/>
      <c r="Y63" s="379"/>
      <c r="Z63" s="379"/>
      <c r="AA63" s="379"/>
      <c r="AB63" s="379"/>
    </row>
    <row r="64" ht="15.75" customHeight="1">
      <c r="A64" s="371">
        <v>56.0</v>
      </c>
      <c r="B64" s="188" t="s">
        <v>157</v>
      </c>
      <c r="C64" s="216" t="s">
        <v>158</v>
      </c>
      <c r="D64" s="372"/>
      <c r="E64" s="372"/>
      <c r="F64" s="373"/>
      <c r="G64" s="374">
        <f>'601'!D65</f>
        <v>0</v>
      </c>
      <c r="H64" s="374">
        <f>'601 L'!D65</f>
        <v>1</v>
      </c>
      <c r="I64" s="375">
        <f>'602'!D65</f>
        <v>0</v>
      </c>
      <c r="J64" s="376">
        <f>'602 L'!D65</f>
        <v>0</v>
      </c>
      <c r="K64" s="375">
        <f>'603'!D65</f>
        <v>0</v>
      </c>
      <c r="L64" s="375">
        <f>'604'!D65</f>
        <v>0</v>
      </c>
      <c r="M64" s="376">
        <f>'605 L'!D65</f>
        <v>0</v>
      </c>
      <c r="N64" s="376">
        <f>'606 L'!D65</f>
        <v>0</v>
      </c>
      <c r="O64" s="375">
        <f>'607-EOI'!D65</f>
        <v>0</v>
      </c>
      <c r="P64" s="375">
        <f>'608-MP'!D65</f>
        <v>0</v>
      </c>
      <c r="Q64" s="375">
        <f t="shared" si="1"/>
        <v>0</v>
      </c>
      <c r="R64" s="375">
        <f t="shared" si="5"/>
        <v>4</v>
      </c>
      <c r="S64" s="376">
        <f t="shared" si="3"/>
        <v>4</v>
      </c>
      <c r="T64" s="389">
        <f t="shared" si="4"/>
        <v>2</v>
      </c>
      <c r="U64" s="378"/>
      <c r="V64" s="379"/>
      <c r="W64" s="379"/>
      <c r="X64" s="379"/>
      <c r="Y64" s="379"/>
      <c r="Z64" s="379"/>
      <c r="AA64" s="379"/>
      <c r="AB64" s="379"/>
    </row>
    <row r="65" ht="15.75" customHeight="1">
      <c r="A65" s="380">
        <v>57.0</v>
      </c>
      <c r="B65" s="188" t="s">
        <v>159</v>
      </c>
      <c r="C65" s="216" t="s">
        <v>160</v>
      </c>
      <c r="D65" s="372"/>
      <c r="E65" s="372"/>
      <c r="F65" s="373"/>
      <c r="G65" s="374">
        <f>'601'!D66</f>
        <v>16</v>
      </c>
      <c r="H65" s="374">
        <f>'601 L'!D66</f>
        <v>4</v>
      </c>
      <c r="I65" s="375">
        <f>'602'!D66</f>
        <v>18</v>
      </c>
      <c r="J65" s="376">
        <f>'602 L'!D66</f>
        <v>4</v>
      </c>
      <c r="K65" s="375">
        <f>'603'!D66</f>
        <v>13</v>
      </c>
      <c r="L65" s="375">
        <f>'604'!D66</f>
        <v>11</v>
      </c>
      <c r="M65" s="376">
        <f>'605 L'!D66</f>
        <v>3</v>
      </c>
      <c r="N65" s="376">
        <f>'606 L'!D66</f>
        <v>7</v>
      </c>
      <c r="O65" s="375">
        <f>'607-EOI'!D66</f>
        <v>0</v>
      </c>
      <c r="P65" s="375">
        <f>'608-MP'!D66</f>
        <v>9</v>
      </c>
      <c r="Q65" s="375">
        <f t="shared" si="1"/>
        <v>58</v>
      </c>
      <c r="R65" s="375">
        <f t="shared" si="5"/>
        <v>18</v>
      </c>
      <c r="S65" s="376">
        <f t="shared" si="3"/>
        <v>76</v>
      </c>
      <c r="T65" s="389">
        <f t="shared" si="4"/>
        <v>42</v>
      </c>
      <c r="U65" s="378"/>
      <c r="V65" s="379"/>
      <c r="W65" s="379"/>
      <c r="X65" s="379"/>
      <c r="Y65" s="379"/>
      <c r="Z65" s="379"/>
      <c r="AA65" s="379"/>
      <c r="AB65" s="379"/>
    </row>
    <row r="66" ht="15.75" customHeight="1">
      <c r="A66" s="390">
        <v>58.0</v>
      </c>
      <c r="B66" s="188" t="s">
        <v>161</v>
      </c>
      <c r="C66" s="216" t="s">
        <v>162</v>
      </c>
      <c r="D66" s="381">
        <v>45.0</v>
      </c>
      <c r="E66" s="372"/>
      <c r="F66" s="373"/>
      <c r="G66" s="374">
        <f>'601'!D67</f>
        <v>4</v>
      </c>
      <c r="H66" s="374">
        <f>'601 L'!D67</f>
        <v>4</v>
      </c>
      <c r="I66" s="375">
        <f>'602'!D67</f>
        <v>3</v>
      </c>
      <c r="J66" s="376">
        <f>'602 L'!D67</f>
        <v>0</v>
      </c>
      <c r="K66" s="375">
        <f>'603'!D67</f>
        <v>5</v>
      </c>
      <c r="L66" s="375">
        <f>'604'!D67</f>
        <v>3</v>
      </c>
      <c r="M66" s="376">
        <f>'605 L'!D67</f>
        <v>2</v>
      </c>
      <c r="N66" s="376">
        <f>'606 L'!D67</f>
        <v>1</v>
      </c>
      <c r="O66" s="375">
        <f>'607-EOI'!D67</f>
        <v>0</v>
      </c>
      <c r="P66" s="375">
        <f>'608-MP'!D67</f>
        <v>3</v>
      </c>
      <c r="Q66" s="375">
        <f t="shared" si="1"/>
        <v>15</v>
      </c>
      <c r="R66" s="375">
        <f t="shared" si="5"/>
        <v>16</v>
      </c>
      <c r="S66" s="376">
        <f t="shared" si="3"/>
        <v>76</v>
      </c>
      <c r="T66" s="389">
        <f t="shared" si="4"/>
        <v>42</v>
      </c>
      <c r="U66" s="378"/>
      <c r="V66" s="379"/>
      <c r="W66" s="379"/>
      <c r="X66" s="379"/>
      <c r="Y66" s="379"/>
      <c r="Z66" s="379"/>
      <c r="AA66" s="379"/>
      <c r="AB66" s="379"/>
    </row>
    <row r="67" ht="15.75" customHeight="1">
      <c r="A67" s="371">
        <v>59.0</v>
      </c>
      <c r="B67" s="188" t="s">
        <v>163</v>
      </c>
      <c r="C67" s="216" t="s">
        <v>164</v>
      </c>
      <c r="D67" s="381">
        <v>108.0</v>
      </c>
      <c r="E67" s="381"/>
      <c r="F67" s="373"/>
      <c r="G67" s="374">
        <f>'601'!D68</f>
        <v>9</v>
      </c>
      <c r="H67" s="374">
        <f>'601 L'!D68</f>
        <v>4</v>
      </c>
      <c r="I67" s="375">
        <f>'602'!D68</f>
        <v>7</v>
      </c>
      <c r="J67" s="376">
        <f>'602 L'!D68</f>
        <v>2</v>
      </c>
      <c r="K67" s="375">
        <f>'603'!D68</f>
        <v>1</v>
      </c>
      <c r="L67" s="375">
        <f>'604'!D68</f>
        <v>7</v>
      </c>
      <c r="M67" s="376">
        <f>'605 L'!D68</f>
        <v>3</v>
      </c>
      <c r="N67" s="376">
        <f>'606 L'!D68</f>
        <v>5</v>
      </c>
      <c r="O67" s="375">
        <f>'607-EOI'!D68</f>
        <v>0</v>
      </c>
      <c r="P67" s="375">
        <f>'608-MP'!D68</f>
        <v>4</v>
      </c>
      <c r="Q67" s="375">
        <f t="shared" si="1"/>
        <v>24</v>
      </c>
      <c r="R67" s="375">
        <f t="shared" si="5"/>
        <v>17</v>
      </c>
      <c r="S67" s="376">
        <f t="shared" si="3"/>
        <v>149</v>
      </c>
      <c r="T67" s="389">
        <f t="shared" si="4"/>
        <v>83</v>
      </c>
      <c r="U67" s="378"/>
      <c r="V67" s="379"/>
      <c r="W67" s="379"/>
      <c r="X67" s="379"/>
      <c r="Y67" s="379"/>
      <c r="Z67" s="379"/>
      <c r="AA67" s="379"/>
      <c r="AB67" s="379"/>
    </row>
    <row r="68" ht="15.75" customHeight="1">
      <c r="A68" s="380">
        <v>60.0</v>
      </c>
      <c r="B68" s="188" t="s">
        <v>165</v>
      </c>
      <c r="C68" s="216" t="s">
        <v>166</v>
      </c>
      <c r="D68" s="372"/>
      <c r="E68" s="372"/>
      <c r="F68" s="373"/>
      <c r="G68" s="374">
        <f>'601'!D69</f>
        <v>16</v>
      </c>
      <c r="H68" s="374">
        <f>'601 L'!D69</f>
        <v>8</v>
      </c>
      <c r="I68" s="375">
        <f>'602'!D69</f>
        <v>21</v>
      </c>
      <c r="J68" s="376">
        <f>'602 L'!D69</f>
        <v>6</v>
      </c>
      <c r="K68" s="375">
        <f>'603'!D69</f>
        <v>15</v>
      </c>
      <c r="L68" s="375">
        <f>'604'!D69</f>
        <v>15</v>
      </c>
      <c r="M68" s="376">
        <f>'605 L'!D69</f>
        <v>3</v>
      </c>
      <c r="N68" s="376">
        <f>'606 L'!D69</f>
        <v>9</v>
      </c>
      <c r="O68" s="375">
        <f>'607-EOI'!D69</f>
        <v>0</v>
      </c>
      <c r="P68" s="375">
        <f>'608-MP'!D69</f>
        <v>9</v>
      </c>
      <c r="Q68" s="375">
        <f t="shared" si="1"/>
        <v>67</v>
      </c>
      <c r="R68" s="375">
        <f t="shared" si="5"/>
        <v>30</v>
      </c>
      <c r="S68" s="376">
        <f t="shared" si="3"/>
        <v>97</v>
      </c>
      <c r="T68" s="389">
        <f t="shared" si="4"/>
        <v>54</v>
      </c>
      <c r="U68" s="378"/>
      <c r="V68" s="379"/>
      <c r="W68" s="379"/>
      <c r="X68" s="379"/>
      <c r="Y68" s="379"/>
      <c r="Z68" s="379"/>
      <c r="AA68" s="379"/>
      <c r="AB68" s="379"/>
    </row>
    <row r="69" ht="15.75" customHeight="1">
      <c r="A69" s="390">
        <v>61.0</v>
      </c>
      <c r="B69" s="188" t="s">
        <v>167</v>
      </c>
      <c r="C69" s="216" t="s">
        <v>168</v>
      </c>
      <c r="D69" s="381">
        <v>56.0</v>
      </c>
      <c r="E69" s="381"/>
      <c r="F69" s="373"/>
      <c r="G69" s="374">
        <f>'601'!D70</f>
        <v>1</v>
      </c>
      <c r="H69" s="374">
        <f>'601 L'!D70</f>
        <v>1</v>
      </c>
      <c r="I69" s="375">
        <f>'602'!D70</f>
        <v>2</v>
      </c>
      <c r="J69" s="376">
        <f>'602 L'!D70</f>
        <v>2</v>
      </c>
      <c r="K69" s="375">
        <f>'603'!D70</f>
        <v>2</v>
      </c>
      <c r="L69" s="375">
        <f>'604'!D70</f>
        <v>2</v>
      </c>
      <c r="M69" s="376">
        <f>'605 L'!D70</f>
        <v>1</v>
      </c>
      <c r="N69" s="376">
        <f>'606 L'!D70</f>
        <v>1</v>
      </c>
      <c r="O69" s="375">
        <f>'607-EOI'!D70</f>
        <v>0</v>
      </c>
      <c r="P69" s="375">
        <f>'608-MP'!D70</f>
        <v>1</v>
      </c>
      <c r="Q69" s="375">
        <f t="shared" si="1"/>
        <v>7</v>
      </c>
      <c r="R69" s="375">
        <f t="shared" si="5"/>
        <v>14</v>
      </c>
      <c r="S69" s="376">
        <f t="shared" si="3"/>
        <v>77</v>
      </c>
      <c r="T69" s="389">
        <f t="shared" si="4"/>
        <v>43</v>
      </c>
      <c r="U69" s="378"/>
      <c r="V69" s="379"/>
      <c r="W69" s="379"/>
      <c r="X69" s="379"/>
      <c r="Y69" s="379"/>
      <c r="Z69" s="379"/>
      <c r="AA69" s="379"/>
      <c r="AB69" s="379"/>
    </row>
    <row r="70" ht="15.75" customHeight="1">
      <c r="A70" s="371">
        <v>62.0</v>
      </c>
      <c r="B70" s="384" t="s">
        <v>169</v>
      </c>
      <c r="C70" s="385" t="s">
        <v>170</v>
      </c>
      <c r="D70" s="372"/>
      <c r="E70" s="372"/>
      <c r="F70" s="373"/>
      <c r="G70" s="374">
        <f>'601'!D71</f>
        <v>0</v>
      </c>
      <c r="H70" s="374">
        <f>'601 L'!D71</f>
        <v>0</v>
      </c>
      <c r="I70" s="375">
        <f>'602'!D71</f>
        <v>0</v>
      </c>
      <c r="J70" s="376">
        <f>'602 L'!D71</f>
        <v>0</v>
      </c>
      <c r="K70" s="375">
        <f>'603'!D71</f>
        <v>1</v>
      </c>
      <c r="L70" s="375">
        <f>'604'!D71</f>
        <v>0</v>
      </c>
      <c r="M70" s="376">
        <f>'605 L'!D71</f>
        <v>0</v>
      </c>
      <c r="N70" s="376">
        <f>'606 L'!D71</f>
        <v>0</v>
      </c>
      <c r="O70" s="375">
        <f>'607-EOI'!D71</f>
        <v>0</v>
      </c>
      <c r="P70" s="375">
        <f>'608-MP'!D71</f>
        <v>0</v>
      </c>
      <c r="Q70" s="375">
        <f t="shared" si="1"/>
        <v>1</v>
      </c>
      <c r="R70" s="375">
        <f t="shared" si="5"/>
        <v>1</v>
      </c>
      <c r="S70" s="376">
        <f t="shared" si="3"/>
        <v>2</v>
      </c>
      <c r="T70" s="389">
        <f t="shared" si="4"/>
        <v>1</v>
      </c>
      <c r="U70" s="378"/>
      <c r="V70" s="379"/>
      <c r="W70" s="379"/>
      <c r="X70" s="379"/>
      <c r="Y70" s="379"/>
      <c r="Z70" s="379"/>
      <c r="AA70" s="379"/>
      <c r="AB70" s="379"/>
    </row>
    <row r="71" ht="15.75" customHeight="1">
      <c r="A71" s="380">
        <v>63.0</v>
      </c>
      <c r="B71" s="188" t="s">
        <v>171</v>
      </c>
      <c r="C71" s="216" t="s">
        <v>172</v>
      </c>
      <c r="D71" s="381">
        <v>21.0</v>
      </c>
      <c r="E71" s="372"/>
      <c r="F71" s="373"/>
      <c r="G71" s="374">
        <f>'601'!D72</f>
        <v>16</v>
      </c>
      <c r="H71" s="374">
        <f>'601 L'!D72</f>
        <v>9</v>
      </c>
      <c r="I71" s="375">
        <f>'602'!D72</f>
        <v>14</v>
      </c>
      <c r="J71" s="376">
        <f>'602 L'!D72</f>
        <v>4</v>
      </c>
      <c r="K71" s="375">
        <f>'603'!D72</f>
        <v>14</v>
      </c>
      <c r="L71" s="375">
        <f>'604'!D72</f>
        <v>14</v>
      </c>
      <c r="M71" s="376">
        <f>'605 L'!D72</f>
        <v>2</v>
      </c>
      <c r="N71" s="376">
        <f>'606 L'!D72</f>
        <v>7</v>
      </c>
      <c r="O71" s="375">
        <f>'607-EOI'!D72</f>
        <v>0</v>
      </c>
      <c r="P71" s="375">
        <f>'608-MP'!D72</f>
        <v>7</v>
      </c>
      <c r="Q71" s="375">
        <f t="shared" si="1"/>
        <v>58</v>
      </c>
      <c r="R71" s="375">
        <f t="shared" si="5"/>
        <v>22</v>
      </c>
      <c r="S71" s="376">
        <f t="shared" si="3"/>
        <v>101</v>
      </c>
      <c r="T71" s="389">
        <f t="shared" si="4"/>
        <v>56</v>
      </c>
      <c r="U71" s="378"/>
      <c r="V71" s="379"/>
      <c r="W71" s="379"/>
      <c r="X71" s="379"/>
      <c r="Y71" s="379"/>
      <c r="Z71" s="379"/>
      <c r="AA71" s="379"/>
      <c r="AB71" s="379"/>
    </row>
    <row r="72" ht="15.75" customHeight="1">
      <c r="A72" s="390">
        <v>64.0</v>
      </c>
      <c r="B72" s="188" t="s">
        <v>173</v>
      </c>
      <c r="C72" s="216" t="s">
        <v>174</v>
      </c>
      <c r="D72" s="381">
        <v>45.0</v>
      </c>
      <c r="E72" s="372"/>
      <c r="F72" s="373"/>
      <c r="G72" s="374">
        <f>'601'!D73</f>
        <v>10</v>
      </c>
      <c r="H72" s="374">
        <f>'601 L'!D73</f>
        <v>3</v>
      </c>
      <c r="I72" s="375">
        <f>'602'!D73</f>
        <v>13</v>
      </c>
      <c r="J72" s="376">
        <f>'602 L'!D73</f>
        <v>3</v>
      </c>
      <c r="K72" s="375">
        <f>'603'!D73</f>
        <v>9</v>
      </c>
      <c r="L72" s="375">
        <f>'604'!D73</f>
        <v>9</v>
      </c>
      <c r="M72" s="376">
        <f>'605 L'!D73</f>
        <v>4</v>
      </c>
      <c r="N72" s="376">
        <f>'606 L'!D73</f>
        <v>3</v>
      </c>
      <c r="O72" s="375">
        <f>'607-EOI'!D73</f>
        <v>0</v>
      </c>
      <c r="P72" s="375">
        <f>'608-MP'!D73</f>
        <v>2</v>
      </c>
      <c r="Q72" s="375">
        <f t="shared" si="1"/>
        <v>41</v>
      </c>
      <c r="R72" s="375">
        <f t="shared" si="5"/>
        <v>20</v>
      </c>
      <c r="S72" s="376">
        <f t="shared" si="3"/>
        <v>106</v>
      </c>
      <c r="T72" s="389">
        <f t="shared" si="4"/>
        <v>59</v>
      </c>
      <c r="U72" s="378"/>
      <c r="V72" s="379"/>
      <c r="W72" s="379"/>
      <c r="X72" s="379"/>
      <c r="Y72" s="379"/>
      <c r="Z72" s="379"/>
      <c r="AA72" s="379"/>
      <c r="AB72" s="379"/>
    </row>
    <row r="73" ht="15.75" customHeight="1">
      <c r="A73" s="371">
        <v>65.0</v>
      </c>
      <c r="B73" s="188" t="s">
        <v>175</v>
      </c>
      <c r="C73" s="216" t="s">
        <v>176</v>
      </c>
      <c r="D73" s="381">
        <v>45.0</v>
      </c>
      <c r="E73" s="372"/>
      <c r="F73" s="373"/>
      <c r="G73" s="374">
        <f>'601'!D74</f>
        <v>5</v>
      </c>
      <c r="H73" s="374">
        <f>'601 L'!D74</f>
        <v>3</v>
      </c>
      <c r="I73" s="375">
        <f>'602'!D74</f>
        <v>5</v>
      </c>
      <c r="J73" s="376">
        <f>'602 L'!D74</f>
        <v>3</v>
      </c>
      <c r="K73" s="375">
        <f>'603'!D74</f>
        <v>4</v>
      </c>
      <c r="L73" s="375">
        <f>'604'!D74</f>
        <v>4</v>
      </c>
      <c r="M73" s="376">
        <f>'605 L'!D74</f>
        <v>3</v>
      </c>
      <c r="N73" s="376">
        <f>'606 L'!D74</f>
        <v>4</v>
      </c>
      <c r="O73" s="375">
        <f>'607-EOI'!D74</f>
        <v>0</v>
      </c>
      <c r="P73" s="375">
        <f>'608-MP'!D74</f>
        <v>2</v>
      </c>
      <c r="Q73" s="375">
        <f t="shared" si="1"/>
        <v>18</v>
      </c>
      <c r="R73" s="375">
        <f t="shared" si="5"/>
        <v>15</v>
      </c>
      <c r="S73" s="376">
        <f t="shared" si="3"/>
        <v>78</v>
      </c>
      <c r="T73" s="389">
        <f t="shared" si="4"/>
        <v>44</v>
      </c>
      <c r="U73" s="378"/>
      <c r="V73" s="379"/>
      <c r="W73" s="379"/>
      <c r="X73" s="379"/>
      <c r="Y73" s="379"/>
      <c r="Z73" s="379"/>
      <c r="AA73" s="379"/>
      <c r="AB73" s="379"/>
    </row>
    <row r="74" ht="15.75" customHeight="1">
      <c r="A74" s="380">
        <v>66.0</v>
      </c>
      <c r="B74" s="305" t="s">
        <v>177</v>
      </c>
      <c r="C74" s="306" t="s">
        <v>178</v>
      </c>
      <c r="D74" s="381">
        <v>45.0</v>
      </c>
      <c r="E74" s="382"/>
      <c r="F74" s="373"/>
      <c r="G74" s="374">
        <f>'601'!D75</f>
        <v>8</v>
      </c>
      <c r="H74" s="374">
        <f>'601 L'!D75</f>
        <v>6</v>
      </c>
      <c r="I74" s="375">
        <f>'602'!D75</f>
        <v>9</v>
      </c>
      <c r="J74" s="376">
        <f>'602 L'!D75</f>
        <v>4</v>
      </c>
      <c r="K74" s="375">
        <f>'603'!D75</f>
        <v>9</v>
      </c>
      <c r="L74" s="375">
        <f>'604'!D75</f>
        <v>6</v>
      </c>
      <c r="M74" s="376">
        <f>'605 L'!D75</f>
        <v>2</v>
      </c>
      <c r="N74" s="376">
        <f>'606 L'!D75</f>
        <v>6</v>
      </c>
      <c r="O74" s="375">
        <f>'607-EOI'!D75</f>
        <v>0</v>
      </c>
      <c r="P74" s="375">
        <f>'608-MP'!D75</f>
        <v>4</v>
      </c>
      <c r="Q74" s="375">
        <f t="shared" si="1"/>
        <v>32</v>
      </c>
      <c r="R74" s="375">
        <f t="shared" si="5"/>
        <v>20</v>
      </c>
      <c r="S74" s="376">
        <f t="shared" si="3"/>
        <v>97</v>
      </c>
      <c r="T74" s="389">
        <f t="shared" si="4"/>
        <v>54</v>
      </c>
      <c r="U74" s="383"/>
      <c r="V74" s="379"/>
      <c r="W74" s="379"/>
      <c r="X74" s="379"/>
      <c r="Y74" s="379"/>
      <c r="Z74" s="379"/>
      <c r="AA74" s="379"/>
      <c r="AB74" s="379"/>
    </row>
    <row r="75" ht="15.75" customHeight="1">
      <c r="A75" s="390">
        <v>67.0</v>
      </c>
      <c r="B75" s="307" t="s">
        <v>179</v>
      </c>
      <c r="C75" s="308" t="s">
        <v>180</v>
      </c>
      <c r="D75" s="381">
        <v>45.0</v>
      </c>
      <c r="E75" s="382"/>
      <c r="F75" s="373"/>
      <c r="G75" s="374">
        <f>'601'!D76</f>
        <v>4</v>
      </c>
      <c r="H75" s="374">
        <f>'601 L'!D76</f>
        <v>3</v>
      </c>
      <c r="I75" s="375">
        <f>'602'!D76</f>
        <v>8</v>
      </c>
      <c r="J75" s="376">
        <f>'602 L'!D76</f>
        <v>2</v>
      </c>
      <c r="K75" s="375">
        <f>'603'!D76</f>
        <v>6</v>
      </c>
      <c r="L75" s="375">
        <f>'604'!D76</f>
        <v>4</v>
      </c>
      <c r="M75" s="376">
        <f>'605 L'!D76</f>
        <v>3</v>
      </c>
      <c r="N75" s="376">
        <f>'606 L'!D76</f>
        <v>2</v>
      </c>
      <c r="O75" s="375">
        <f>'607-EOI'!D76</f>
        <v>0</v>
      </c>
      <c r="P75" s="375">
        <f>'608-MP'!D76</f>
        <v>3</v>
      </c>
      <c r="Q75" s="375">
        <f t="shared" si="1"/>
        <v>22</v>
      </c>
      <c r="R75" s="375">
        <f t="shared" si="5"/>
        <v>14</v>
      </c>
      <c r="S75" s="376">
        <f t="shared" si="3"/>
        <v>81</v>
      </c>
      <c r="T75" s="389">
        <f t="shared" si="4"/>
        <v>45</v>
      </c>
      <c r="U75" s="383"/>
      <c r="V75" s="379"/>
      <c r="W75" s="379"/>
      <c r="X75" s="379"/>
      <c r="Y75" s="379"/>
      <c r="Z75" s="379"/>
      <c r="AA75" s="379"/>
      <c r="AB75" s="379"/>
    </row>
    <row r="76" ht="15.75" customHeight="1">
      <c r="A76" s="371">
        <v>68.0</v>
      </c>
      <c r="B76" s="307" t="s">
        <v>181</v>
      </c>
      <c r="C76" s="308" t="s">
        <v>182</v>
      </c>
      <c r="D76" s="381">
        <v>28.0</v>
      </c>
      <c r="E76" s="382"/>
      <c r="F76" s="373"/>
      <c r="G76" s="374">
        <f>'601'!D77</f>
        <v>4</v>
      </c>
      <c r="H76" s="374">
        <f>'601 L'!D77</f>
        <v>3</v>
      </c>
      <c r="I76" s="375">
        <f>'602'!D77</f>
        <v>7</v>
      </c>
      <c r="J76" s="376">
        <f>'602 L'!D77</f>
        <v>5</v>
      </c>
      <c r="K76" s="375">
        <f>'603'!D77</f>
        <v>8</v>
      </c>
      <c r="L76" s="375">
        <f>'604'!D77</f>
        <v>8</v>
      </c>
      <c r="M76" s="376">
        <f>'605 L'!D77</f>
        <v>2</v>
      </c>
      <c r="N76" s="376">
        <f>'606 L'!D77</f>
        <v>3</v>
      </c>
      <c r="O76" s="375">
        <f>'607-EOI'!D77</f>
        <v>0</v>
      </c>
      <c r="P76" s="375">
        <f>'608-MP'!D77</f>
        <v>2</v>
      </c>
      <c r="Q76" s="375">
        <f t="shared" si="1"/>
        <v>27</v>
      </c>
      <c r="R76" s="375">
        <f t="shared" si="5"/>
        <v>16</v>
      </c>
      <c r="S76" s="376">
        <f t="shared" si="3"/>
        <v>71</v>
      </c>
      <c r="T76" s="389">
        <f t="shared" si="4"/>
        <v>40</v>
      </c>
      <c r="U76" s="383"/>
      <c r="V76" s="379"/>
      <c r="W76" s="379"/>
      <c r="X76" s="379"/>
      <c r="Y76" s="379"/>
      <c r="Z76" s="379"/>
      <c r="AA76" s="379"/>
      <c r="AB76" s="379"/>
    </row>
    <row r="77" ht="15.75" customHeight="1">
      <c r="A77" s="380">
        <v>69.0</v>
      </c>
      <c r="B77" s="307" t="s">
        <v>183</v>
      </c>
      <c r="C77" s="308" t="s">
        <v>184</v>
      </c>
      <c r="D77" s="381">
        <v>7.0</v>
      </c>
      <c r="E77" s="372"/>
      <c r="F77" s="373"/>
      <c r="G77" s="374">
        <f>'601'!D78</f>
        <v>9</v>
      </c>
      <c r="H77" s="374">
        <f>'601 L'!D78</f>
        <v>8</v>
      </c>
      <c r="I77" s="375">
        <f>'602'!D78</f>
        <v>15</v>
      </c>
      <c r="J77" s="376">
        <f>'602 L'!D78</f>
        <v>6</v>
      </c>
      <c r="K77" s="375">
        <f>'603'!D78</f>
        <v>10</v>
      </c>
      <c r="L77" s="375">
        <f>'604'!D78</f>
        <v>12</v>
      </c>
      <c r="M77" s="376">
        <f>'605 L'!D78</f>
        <v>3</v>
      </c>
      <c r="N77" s="376">
        <f>'606 L'!D78</f>
        <v>5</v>
      </c>
      <c r="O77" s="375">
        <f>'607-EOI'!D78</f>
        <v>0</v>
      </c>
      <c r="P77" s="375">
        <f>'608-MP'!D78</f>
        <v>3</v>
      </c>
      <c r="Q77" s="375">
        <f t="shared" si="1"/>
        <v>46</v>
      </c>
      <c r="R77" s="375">
        <f t="shared" si="5"/>
        <v>24</v>
      </c>
      <c r="S77" s="376">
        <f t="shared" si="3"/>
        <v>77</v>
      </c>
      <c r="T77" s="389">
        <f t="shared" si="4"/>
        <v>43</v>
      </c>
      <c r="U77" s="378"/>
      <c r="V77" s="379"/>
      <c r="W77" s="379"/>
      <c r="X77" s="379"/>
      <c r="Y77" s="379"/>
      <c r="Z77" s="379"/>
      <c r="AA77" s="379"/>
      <c r="AB77" s="379"/>
    </row>
    <row r="78" ht="15.75" customHeight="1">
      <c r="A78" s="390">
        <v>70.0</v>
      </c>
      <c r="B78" s="307" t="s">
        <v>185</v>
      </c>
      <c r="C78" s="308" t="s">
        <v>186</v>
      </c>
      <c r="D78" s="381">
        <v>36.0</v>
      </c>
      <c r="E78" s="372"/>
      <c r="F78" s="373"/>
      <c r="G78" s="374">
        <f>'601'!D79</f>
        <v>8</v>
      </c>
      <c r="H78" s="374">
        <f>'601 L'!D79</f>
        <v>3</v>
      </c>
      <c r="I78" s="375">
        <f>'602'!D79</f>
        <v>12</v>
      </c>
      <c r="J78" s="376">
        <f>'602 L'!D79</f>
        <v>5</v>
      </c>
      <c r="K78" s="375">
        <f>'603'!D79</f>
        <v>5</v>
      </c>
      <c r="L78" s="375">
        <f>'604'!D79</f>
        <v>8</v>
      </c>
      <c r="M78" s="376">
        <f>'605 L'!D79</f>
        <v>3</v>
      </c>
      <c r="N78" s="376">
        <f>'606 L'!D79</f>
        <v>6</v>
      </c>
      <c r="O78" s="375">
        <f>'607-EOI'!D79</f>
        <v>0</v>
      </c>
      <c r="P78" s="375">
        <f>'608-MP'!D79</f>
        <v>4</v>
      </c>
      <c r="Q78" s="375">
        <f t="shared" si="1"/>
        <v>33</v>
      </c>
      <c r="R78" s="375">
        <f t="shared" si="5"/>
        <v>20</v>
      </c>
      <c r="S78" s="376">
        <f t="shared" si="3"/>
        <v>89</v>
      </c>
      <c r="T78" s="389">
        <f t="shared" si="4"/>
        <v>50</v>
      </c>
      <c r="U78" s="378"/>
      <c r="V78" s="379"/>
      <c r="W78" s="379"/>
      <c r="X78" s="379"/>
      <c r="Y78" s="379"/>
      <c r="Z78" s="379"/>
      <c r="AA78" s="379"/>
      <c r="AB78" s="379"/>
    </row>
    <row r="79" ht="15.75" customHeight="1">
      <c r="A79" s="371">
        <v>71.0</v>
      </c>
      <c r="B79" s="307" t="s">
        <v>187</v>
      </c>
      <c r="C79" s="308" t="s">
        <v>188</v>
      </c>
      <c r="D79" s="381">
        <v>49.0</v>
      </c>
      <c r="E79" s="372"/>
      <c r="F79" s="392" t="s">
        <v>258</v>
      </c>
      <c r="G79" s="374">
        <f>'601'!D80</f>
        <v>7</v>
      </c>
      <c r="H79" s="374">
        <f>'601 L'!D80</f>
        <v>1</v>
      </c>
      <c r="I79" s="375">
        <f>'602'!D80</f>
        <v>8</v>
      </c>
      <c r="J79" s="376">
        <f>'602 L'!D80</f>
        <v>4</v>
      </c>
      <c r="K79" s="375">
        <f>'603'!D80</f>
        <v>3</v>
      </c>
      <c r="L79" s="375">
        <f>'604'!D80</f>
        <v>10</v>
      </c>
      <c r="M79" s="376">
        <f>'605 L'!D80</f>
        <v>2</v>
      </c>
      <c r="N79" s="376">
        <f>'606 L'!D80</f>
        <v>4</v>
      </c>
      <c r="O79" s="375">
        <f>'607-EOI'!D80</f>
        <v>0</v>
      </c>
      <c r="P79" s="375">
        <f>'608-MP'!D80</f>
        <v>2</v>
      </c>
      <c r="Q79" s="375">
        <f t="shared" si="1"/>
        <v>28</v>
      </c>
      <c r="R79" s="375">
        <f t="shared" si="5"/>
        <v>15</v>
      </c>
      <c r="S79" s="376">
        <f t="shared" si="3"/>
        <v>92</v>
      </c>
      <c r="T79" s="389">
        <f t="shared" si="4"/>
        <v>51</v>
      </c>
      <c r="U79" s="378"/>
      <c r="V79" s="379"/>
      <c r="W79" s="379"/>
      <c r="X79" s="379"/>
      <c r="Y79" s="379"/>
      <c r="Z79" s="379"/>
      <c r="AA79" s="379"/>
      <c r="AB79" s="379"/>
    </row>
    <row r="80" ht="15.75" customHeight="1">
      <c r="A80" s="380">
        <v>72.0</v>
      </c>
      <c r="B80" s="307" t="s">
        <v>189</v>
      </c>
      <c r="C80" s="308" t="s">
        <v>190</v>
      </c>
      <c r="D80" s="381">
        <v>57.0</v>
      </c>
      <c r="E80" s="372"/>
      <c r="F80" s="373"/>
      <c r="G80" s="374">
        <f>'601'!D81</f>
        <v>3</v>
      </c>
      <c r="H80" s="374">
        <f>'601 L'!D81</f>
        <v>1</v>
      </c>
      <c r="I80" s="375">
        <f>'602'!D81</f>
        <v>4</v>
      </c>
      <c r="J80" s="376">
        <f>'602 L'!D81</f>
        <v>1</v>
      </c>
      <c r="K80" s="375">
        <f>'603'!D81</f>
        <v>4</v>
      </c>
      <c r="L80" s="375">
        <f>'604'!D81</f>
        <v>4</v>
      </c>
      <c r="M80" s="376">
        <f>'605 L'!D81</f>
        <v>1</v>
      </c>
      <c r="N80" s="376">
        <f>'606 L'!D81</f>
        <v>2</v>
      </c>
      <c r="O80" s="375">
        <f>'607-EOI'!D81</f>
        <v>0</v>
      </c>
      <c r="P80" s="375">
        <f>'608-MP'!D81</f>
        <v>1</v>
      </c>
      <c r="Q80" s="375">
        <f t="shared" si="1"/>
        <v>15</v>
      </c>
      <c r="R80" s="375">
        <f t="shared" si="5"/>
        <v>7</v>
      </c>
      <c r="S80" s="376">
        <f t="shared" si="3"/>
        <v>79</v>
      </c>
      <c r="T80" s="389">
        <f t="shared" si="4"/>
        <v>44</v>
      </c>
      <c r="U80" s="378"/>
      <c r="V80" s="379"/>
      <c r="W80" s="379"/>
      <c r="X80" s="379"/>
      <c r="Y80" s="379"/>
      <c r="Z80" s="379"/>
      <c r="AA80" s="379"/>
      <c r="AB80" s="379"/>
    </row>
    <row r="81" ht="15.75" customHeight="1">
      <c r="A81" s="390">
        <v>73.0</v>
      </c>
      <c r="B81" s="307" t="s">
        <v>191</v>
      </c>
      <c r="C81" s="308" t="s">
        <v>192</v>
      </c>
      <c r="D81" s="381">
        <v>92.0</v>
      </c>
      <c r="E81" s="381"/>
      <c r="F81" s="373"/>
      <c r="G81" s="374">
        <f>'601'!D82</f>
        <v>11</v>
      </c>
      <c r="H81" s="374">
        <f>'601 L'!D82</f>
        <v>4</v>
      </c>
      <c r="I81" s="375">
        <f>'602'!D82</f>
        <v>14</v>
      </c>
      <c r="J81" s="376">
        <f>'602 L'!D82</f>
        <v>5</v>
      </c>
      <c r="K81" s="375">
        <f>'603'!D82</f>
        <v>7</v>
      </c>
      <c r="L81" s="375">
        <f>'604'!D82</f>
        <v>11</v>
      </c>
      <c r="M81" s="376">
        <f>'605 L'!D82</f>
        <v>3</v>
      </c>
      <c r="N81" s="376">
        <f>'606 L'!D82</f>
        <v>6</v>
      </c>
      <c r="O81" s="375">
        <f>'607-EOI'!D82</f>
        <v>0</v>
      </c>
      <c r="P81" s="375">
        <f>'608-MP'!D82</f>
        <v>5</v>
      </c>
      <c r="Q81" s="375">
        <f t="shared" si="1"/>
        <v>43</v>
      </c>
      <c r="R81" s="375">
        <f t="shared" si="5"/>
        <v>19</v>
      </c>
      <c r="S81" s="376">
        <f t="shared" si="3"/>
        <v>154</v>
      </c>
      <c r="T81" s="389">
        <f t="shared" si="4"/>
        <v>86</v>
      </c>
      <c r="U81" s="378"/>
      <c r="V81" s="379"/>
      <c r="W81" s="379"/>
      <c r="X81" s="379"/>
      <c r="Y81" s="379"/>
      <c r="Z81" s="379"/>
      <c r="AA81" s="379"/>
      <c r="AB81" s="379"/>
    </row>
    <row r="82" ht="15.75" customHeight="1">
      <c r="A82" s="371">
        <v>74.0</v>
      </c>
      <c r="B82" s="393" t="s">
        <v>193</v>
      </c>
      <c r="C82" s="394" t="s">
        <v>194</v>
      </c>
      <c r="D82" s="372"/>
      <c r="E82" s="372"/>
      <c r="F82" s="373"/>
      <c r="G82" s="374">
        <f>'601'!D83</f>
        <v>0</v>
      </c>
      <c r="H82" s="374">
        <f>'601 L'!D83</f>
        <v>0</v>
      </c>
      <c r="I82" s="375">
        <f>'602'!D83</f>
        <v>0</v>
      </c>
      <c r="J82" s="376">
        <f>'602 L'!D83</f>
        <v>0</v>
      </c>
      <c r="K82" s="375">
        <f>'603'!D83</f>
        <v>0</v>
      </c>
      <c r="L82" s="375">
        <f>'604'!D83</f>
        <v>0</v>
      </c>
      <c r="M82" s="376">
        <f>'605 L'!D83</f>
        <v>0</v>
      </c>
      <c r="N82" s="376">
        <f>'606 L'!D83</f>
        <v>0</v>
      </c>
      <c r="O82" s="375">
        <f>'607-EOI'!D83</f>
        <v>0</v>
      </c>
      <c r="P82" s="375">
        <f>'608-MP'!D83</f>
        <v>0</v>
      </c>
      <c r="Q82" s="375">
        <f t="shared" si="1"/>
        <v>0</v>
      </c>
      <c r="R82" s="375">
        <f t="shared" si="5"/>
        <v>5</v>
      </c>
      <c r="S82" s="376">
        <f t="shared" si="3"/>
        <v>5</v>
      </c>
      <c r="T82" s="389">
        <f t="shared" si="4"/>
        <v>3</v>
      </c>
      <c r="U82" s="378"/>
      <c r="V82" s="379"/>
      <c r="W82" s="379"/>
      <c r="X82" s="379"/>
      <c r="Y82" s="379"/>
      <c r="Z82" s="379"/>
      <c r="AA82" s="379"/>
      <c r="AB82" s="379"/>
    </row>
    <row r="83" ht="15.75" customHeight="1">
      <c r="A83" s="380">
        <v>75.0</v>
      </c>
      <c r="B83" s="307" t="s">
        <v>195</v>
      </c>
      <c r="C83" s="308" t="s">
        <v>196</v>
      </c>
      <c r="D83" s="381">
        <v>36.0</v>
      </c>
      <c r="E83" s="372"/>
      <c r="F83" s="373"/>
      <c r="G83" s="374">
        <f>'601'!D84</f>
        <v>8</v>
      </c>
      <c r="H83" s="374">
        <f>'601 L'!D84</f>
        <v>5</v>
      </c>
      <c r="I83" s="375">
        <f>'602'!D84</f>
        <v>8</v>
      </c>
      <c r="J83" s="376">
        <f>'602 L'!D84</f>
        <v>4</v>
      </c>
      <c r="K83" s="375">
        <f>'603'!D84</f>
        <v>4</v>
      </c>
      <c r="L83" s="375">
        <f>'604'!D84</f>
        <v>10</v>
      </c>
      <c r="M83" s="376">
        <f>'605 L'!D84</f>
        <v>2</v>
      </c>
      <c r="N83" s="376">
        <f>'606 L'!D84</f>
        <v>4</v>
      </c>
      <c r="O83" s="375">
        <f>'607-EOI'!D84</f>
        <v>0</v>
      </c>
      <c r="P83" s="375">
        <f>'608-MP'!D84</f>
        <v>1</v>
      </c>
      <c r="Q83" s="375">
        <f t="shared" si="1"/>
        <v>30</v>
      </c>
      <c r="R83" s="375">
        <f t="shared" si="5"/>
        <v>15</v>
      </c>
      <c r="S83" s="376">
        <f t="shared" si="3"/>
        <v>81</v>
      </c>
      <c r="T83" s="389">
        <f t="shared" si="4"/>
        <v>45</v>
      </c>
      <c r="U83" s="378"/>
      <c r="V83" s="379"/>
      <c r="W83" s="379"/>
      <c r="X83" s="379"/>
      <c r="Y83" s="379"/>
      <c r="Z83" s="379"/>
      <c r="AA83" s="379"/>
      <c r="AB83" s="379"/>
    </row>
    <row r="84" ht="15.75" customHeight="1">
      <c r="A84" s="390">
        <v>76.0</v>
      </c>
      <c r="B84" s="393" t="s">
        <v>197</v>
      </c>
      <c r="C84" s="394" t="s">
        <v>198</v>
      </c>
      <c r="D84" s="381">
        <v>71.0</v>
      </c>
      <c r="E84" s="372"/>
      <c r="F84" s="373"/>
      <c r="G84" s="374">
        <f>'601'!D85</f>
        <v>2</v>
      </c>
      <c r="H84" s="374">
        <f>'601 L'!D85</f>
        <v>3</v>
      </c>
      <c r="I84" s="375">
        <f>'602'!D85</f>
        <v>4</v>
      </c>
      <c r="J84" s="376">
        <f>'602 L'!D85</f>
        <v>1</v>
      </c>
      <c r="K84" s="375">
        <f>'603'!D85</f>
        <v>3</v>
      </c>
      <c r="L84" s="375">
        <f>'604'!D85</f>
        <v>3</v>
      </c>
      <c r="M84" s="376">
        <f>'605 L'!D85</f>
        <v>2</v>
      </c>
      <c r="N84" s="376">
        <f>'606 L'!D85</f>
        <v>3</v>
      </c>
      <c r="O84" s="375">
        <f>'607-EOI'!D85</f>
        <v>0</v>
      </c>
      <c r="P84" s="375">
        <f>'608-MP'!D85</f>
        <v>2</v>
      </c>
      <c r="Q84" s="375">
        <f t="shared" si="1"/>
        <v>12</v>
      </c>
      <c r="R84" s="375">
        <f t="shared" si="5"/>
        <v>10</v>
      </c>
      <c r="S84" s="376">
        <f t="shared" si="3"/>
        <v>93</v>
      </c>
      <c r="T84" s="389">
        <f t="shared" si="4"/>
        <v>52</v>
      </c>
      <c r="U84" s="378"/>
      <c r="V84" s="379"/>
      <c r="W84" s="379"/>
      <c r="X84" s="379"/>
      <c r="Y84" s="379"/>
      <c r="Z84" s="379"/>
      <c r="AA84" s="379"/>
      <c r="AB84" s="379"/>
    </row>
    <row r="85" ht="15.75" customHeight="1">
      <c r="A85" s="371">
        <v>77.0</v>
      </c>
      <c r="B85" s="307" t="s">
        <v>199</v>
      </c>
      <c r="C85" s="308" t="s">
        <v>200</v>
      </c>
      <c r="D85" s="381">
        <v>36.0</v>
      </c>
      <c r="E85" s="372"/>
      <c r="F85" s="373"/>
      <c r="G85" s="374">
        <f>'601'!D86</f>
        <v>10</v>
      </c>
      <c r="H85" s="374">
        <f>'601 L'!D86</f>
        <v>4</v>
      </c>
      <c r="I85" s="375">
        <f>'602'!D86</f>
        <v>13</v>
      </c>
      <c r="J85" s="376">
        <f>'602 L'!D86</f>
        <v>5</v>
      </c>
      <c r="K85" s="375">
        <f>'603'!D86</f>
        <v>7</v>
      </c>
      <c r="L85" s="375">
        <f>'604'!D86</f>
        <v>8</v>
      </c>
      <c r="M85" s="376">
        <f>'605 L'!D86</f>
        <v>3</v>
      </c>
      <c r="N85" s="376">
        <f>'606 L'!D86</f>
        <v>5</v>
      </c>
      <c r="O85" s="375">
        <f>'607-EOI'!D86</f>
        <v>0</v>
      </c>
      <c r="P85" s="375">
        <f>'608-MP'!D86</f>
        <v>6</v>
      </c>
      <c r="Q85" s="375">
        <f t="shared" si="1"/>
        <v>38</v>
      </c>
      <c r="R85" s="375">
        <f t="shared" si="5"/>
        <v>19</v>
      </c>
      <c r="S85" s="376">
        <f t="shared" si="3"/>
        <v>93</v>
      </c>
      <c r="T85" s="389">
        <f t="shared" si="4"/>
        <v>52</v>
      </c>
      <c r="U85" s="378"/>
      <c r="V85" s="379"/>
      <c r="W85" s="379"/>
      <c r="X85" s="379"/>
      <c r="Y85" s="379"/>
      <c r="Z85" s="379"/>
      <c r="AA85" s="379"/>
      <c r="AB85" s="379"/>
    </row>
    <row r="86" ht="15.75" customHeight="1">
      <c r="A86" s="380">
        <v>78.0</v>
      </c>
      <c r="B86" s="307" t="s">
        <v>201</v>
      </c>
      <c r="C86" s="308" t="s">
        <v>202</v>
      </c>
      <c r="D86" s="381">
        <v>101.0</v>
      </c>
      <c r="E86" s="381"/>
      <c r="F86" s="373"/>
      <c r="G86" s="374">
        <f>'601'!D87</f>
        <v>1</v>
      </c>
      <c r="H86" s="374">
        <f>'601 L'!D87</f>
        <v>0</v>
      </c>
      <c r="I86" s="375">
        <f>'602'!D87</f>
        <v>3</v>
      </c>
      <c r="J86" s="376">
        <f>'602 L'!D87</f>
        <v>0</v>
      </c>
      <c r="K86" s="375">
        <f>'603'!D87</f>
        <v>4</v>
      </c>
      <c r="L86" s="375">
        <f>'604'!D87</f>
        <v>2</v>
      </c>
      <c r="M86" s="376">
        <f>'605 L'!D87</f>
        <v>1</v>
      </c>
      <c r="N86" s="376">
        <f>'606 L'!D87</f>
        <v>1</v>
      </c>
      <c r="O86" s="375">
        <f>'607-EOI'!D87</f>
        <v>0</v>
      </c>
      <c r="P86" s="375">
        <f>'608-MP'!D87</f>
        <v>1</v>
      </c>
      <c r="Q86" s="375">
        <f t="shared" si="1"/>
        <v>10</v>
      </c>
      <c r="R86" s="375">
        <f t="shared" si="5"/>
        <v>8</v>
      </c>
      <c r="S86" s="376">
        <f t="shared" si="3"/>
        <v>119</v>
      </c>
      <c r="T86" s="389">
        <f t="shared" si="4"/>
        <v>66</v>
      </c>
      <c r="U86" s="378"/>
      <c r="V86" s="379"/>
      <c r="W86" s="379"/>
      <c r="X86" s="379"/>
      <c r="Y86" s="379"/>
      <c r="Z86" s="379"/>
      <c r="AA86" s="379"/>
      <c r="AB86" s="379"/>
    </row>
    <row r="87" ht="15.75" customHeight="1">
      <c r="A87" s="390">
        <v>79.0</v>
      </c>
      <c r="B87" s="152" t="s">
        <v>203</v>
      </c>
      <c r="C87" s="395" t="s">
        <v>204</v>
      </c>
      <c r="D87" s="400">
        <v>30.0</v>
      </c>
      <c r="E87" s="400"/>
      <c r="F87" s="373"/>
      <c r="G87" s="374">
        <f>'601'!D88</f>
        <v>5</v>
      </c>
      <c r="H87" s="374">
        <f>'601 L'!D88</f>
        <v>2</v>
      </c>
      <c r="I87" s="375">
        <f>'602'!D88</f>
        <v>7</v>
      </c>
      <c r="J87" s="376">
        <f>'602 L'!D88</f>
        <v>3</v>
      </c>
      <c r="K87" s="375">
        <f>'603'!D88</f>
        <v>6</v>
      </c>
      <c r="L87" s="375">
        <f>'604'!D88</f>
        <v>5</v>
      </c>
      <c r="M87" s="376">
        <f>'605 L'!D88</f>
        <v>1</v>
      </c>
      <c r="N87" s="376">
        <f>'606 L'!D88</f>
        <v>4</v>
      </c>
      <c r="O87" s="375">
        <f>'607-EOI'!D88</f>
        <v>0</v>
      </c>
      <c r="P87" s="375">
        <f>'608-MP'!D88</f>
        <v>2</v>
      </c>
      <c r="Q87" s="375">
        <f t="shared" si="1"/>
        <v>23</v>
      </c>
      <c r="R87" s="375">
        <f t="shared" si="5"/>
        <v>11</v>
      </c>
      <c r="S87" s="376">
        <f t="shared" si="3"/>
        <v>64</v>
      </c>
      <c r="T87" s="389">
        <f t="shared" si="4"/>
        <v>36</v>
      </c>
      <c r="U87" s="397"/>
      <c r="V87" s="10"/>
      <c r="W87" s="10"/>
      <c r="X87" s="10"/>
      <c r="Y87" s="10"/>
      <c r="Z87" s="10"/>
      <c r="AA87" s="10"/>
      <c r="AB87" s="10"/>
    </row>
    <row r="88" ht="15.75" customHeight="1">
      <c r="A88" s="371">
        <v>80.0</v>
      </c>
      <c r="B88" s="313" t="s">
        <v>205</v>
      </c>
      <c r="C88" s="398" t="s">
        <v>206</v>
      </c>
      <c r="D88" s="396"/>
      <c r="E88" s="396"/>
      <c r="F88" s="399"/>
      <c r="G88" s="374">
        <f>'601'!D89</f>
        <v>0</v>
      </c>
      <c r="H88" s="374">
        <f>'601 L'!D89</f>
        <v>0</v>
      </c>
      <c r="I88" s="375">
        <f>'602'!D89</f>
        <v>0</v>
      </c>
      <c r="J88" s="376">
        <f>'602 L'!D89</f>
        <v>0</v>
      </c>
      <c r="K88" s="375">
        <f>'603'!D89</f>
        <v>0</v>
      </c>
      <c r="L88" s="375">
        <f>'604'!D89</f>
        <v>0</v>
      </c>
      <c r="M88" s="376">
        <f>'605 L'!D89</f>
        <v>0</v>
      </c>
      <c r="N88" s="376">
        <f>'606 L'!D89</f>
        <v>0</v>
      </c>
      <c r="O88" s="375">
        <f>'607-EOI'!D89</f>
        <v>0</v>
      </c>
      <c r="P88" s="375">
        <f>'608-MP'!D89</f>
        <v>0</v>
      </c>
      <c r="Q88" s="375">
        <f t="shared" si="1"/>
        <v>0</v>
      </c>
      <c r="R88" s="375">
        <f t="shared" si="5"/>
        <v>2</v>
      </c>
      <c r="S88" s="376">
        <f t="shared" si="3"/>
        <v>2</v>
      </c>
      <c r="T88" s="389">
        <f t="shared" si="4"/>
        <v>1</v>
      </c>
      <c r="U88" s="397"/>
      <c r="V88" s="10"/>
      <c r="W88" s="10"/>
      <c r="X88" s="10"/>
      <c r="Y88" s="10"/>
      <c r="Z88" s="10"/>
      <c r="AA88" s="10"/>
      <c r="AB88" s="10"/>
    </row>
    <row r="89" ht="15.75" customHeight="1">
      <c r="A89" s="380">
        <v>81.0</v>
      </c>
      <c r="B89" s="152" t="s">
        <v>207</v>
      </c>
      <c r="C89" s="398" t="s">
        <v>208</v>
      </c>
      <c r="D89" s="400">
        <v>45.0</v>
      </c>
      <c r="E89" s="396"/>
      <c r="F89" s="373"/>
      <c r="G89" s="374">
        <f>'601'!D90</f>
        <v>12</v>
      </c>
      <c r="H89" s="374">
        <f>'601 L'!D90</f>
        <v>5</v>
      </c>
      <c r="I89" s="375">
        <f>'602'!D90</f>
        <v>14</v>
      </c>
      <c r="J89" s="376">
        <f>'602 L'!D90</f>
        <v>4</v>
      </c>
      <c r="K89" s="375">
        <f>'603'!D90</f>
        <v>12</v>
      </c>
      <c r="L89" s="375">
        <f>'604'!D90</f>
        <v>9</v>
      </c>
      <c r="M89" s="376">
        <f>'605 L'!D90</f>
        <v>0</v>
      </c>
      <c r="N89" s="376">
        <f>'606 L'!D90</f>
        <v>6</v>
      </c>
      <c r="O89" s="375">
        <f>'607-EOI'!D90</f>
        <v>0</v>
      </c>
      <c r="P89" s="375">
        <f>'608-MP'!D90</f>
        <v>4</v>
      </c>
      <c r="Q89" s="375">
        <f t="shared" si="1"/>
        <v>47</v>
      </c>
      <c r="R89" s="375">
        <f t="shared" si="5"/>
        <v>15</v>
      </c>
      <c r="S89" s="376">
        <f t="shared" si="3"/>
        <v>107</v>
      </c>
      <c r="T89" s="389">
        <f t="shared" si="4"/>
        <v>60</v>
      </c>
      <c r="U89" s="397"/>
      <c r="V89" s="10"/>
      <c r="W89" s="10"/>
      <c r="X89" s="10"/>
      <c r="Y89" s="10"/>
      <c r="Z89" s="10"/>
      <c r="AA89" s="10"/>
      <c r="AB89" s="10"/>
    </row>
    <row r="90" ht="15.75" customHeight="1">
      <c r="A90" s="390">
        <v>82.0</v>
      </c>
      <c r="B90" s="152" t="s">
        <v>209</v>
      </c>
      <c r="C90" s="398" t="s">
        <v>210</v>
      </c>
      <c r="D90" s="400">
        <v>101.0</v>
      </c>
      <c r="E90" s="400"/>
      <c r="F90" s="373"/>
      <c r="G90" s="374">
        <f>'601'!D91</f>
        <v>5</v>
      </c>
      <c r="H90" s="374">
        <f>'601 L'!D91</f>
        <v>4</v>
      </c>
      <c r="I90" s="375">
        <f>'602'!D91</f>
        <v>5</v>
      </c>
      <c r="J90" s="376">
        <f>'602 L'!D91</f>
        <v>1</v>
      </c>
      <c r="K90" s="375">
        <f>'603'!D91</f>
        <v>8</v>
      </c>
      <c r="L90" s="375">
        <f>'604'!D91</f>
        <v>6</v>
      </c>
      <c r="M90" s="376">
        <f>'605 L'!D91</f>
        <v>3</v>
      </c>
      <c r="N90" s="376">
        <f>'606 L'!D91</f>
        <v>3</v>
      </c>
      <c r="O90" s="375">
        <f>'607-EOI'!D91</f>
        <v>0</v>
      </c>
      <c r="P90" s="375">
        <f>'608-MP'!D91</f>
        <v>3</v>
      </c>
      <c r="Q90" s="375">
        <f t="shared" si="1"/>
        <v>24</v>
      </c>
      <c r="R90" s="375">
        <f t="shared" si="5"/>
        <v>15</v>
      </c>
      <c r="S90" s="376">
        <f t="shared" si="3"/>
        <v>140</v>
      </c>
      <c r="T90" s="389">
        <f t="shared" si="4"/>
        <v>78</v>
      </c>
      <c r="U90" s="397"/>
      <c r="V90" s="10"/>
      <c r="W90" s="10"/>
      <c r="X90" s="10"/>
      <c r="Y90" s="10"/>
      <c r="Z90" s="10"/>
      <c r="AA90" s="10"/>
      <c r="AB90" s="10"/>
    </row>
    <row r="91" ht="15.75" customHeight="1">
      <c r="A91" s="401">
        <v>83.0</v>
      </c>
      <c r="B91" s="315" t="s">
        <v>211</v>
      </c>
      <c r="C91" s="273" t="s">
        <v>212</v>
      </c>
      <c r="D91" s="400">
        <v>45.0</v>
      </c>
      <c r="E91" s="396"/>
      <c r="F91" s="373"/>
      <c r="G91" s="402">
        <f>'601'!D92</f>
        <v>9</v>
      </c>
      <c r="H91" s="402">
        <f>'601 L'!D92</f>
        <v>4</v>
      </c>
      <c r="I91" s="375">
        <f>'602'!D92</f>
        <v>13</v>
      </c>
      <c r="J91" s="376">
        <f>'602 L'!D92</f>
        <v>3</v>
      </c>
      <c r="K91" s="375">
        <f>'603'!D92</f>
        <v>11</v>
      </c>
      <c r="L91" s="375">
        <f>'604'!D92</f>
        <v>7</v>
      </c>
      <c r="M91" s="376">
        <f>'605 L'!D92</f>
        <v>0</v>
      </c>
      <c r="N91" s="376">
        <f>'606 L'!D92</f>
        <v>4</v>
      </c>
      <c r="O91" s="375">
        <f>'607-EOI'!D92</f>
        <v>0</v>
      </c>
      <c r="P91" s="375">
        <f>'608-MP'!D92</f>
        <v>5</v>
      </c>
      <c r="Q91" s="403">
        <f t="shared" si="1"/>
        <v>40</v>
      </c>
      <c r="R91" s="403">
        <f t="shared" si="5"/>
        <v>14</v>
      </c>
      <c r="S91" s="376">
        <f t="shared" si="3"/>
        <v>99</v>
      </c>
      <c r="T91" s="389">
        <f t="shared" si="4"/>
        <v>55</v>
      </c>
      <c r="U91" s="397"/>
      <c r="V91" s="10"/>
      <c r="W91" s="10"/>
      <c r="X91" s="10"/>
      <c r="Y91" s="10"/>
      <c r="Z91" s="10"/>
      <c r="AA91" s="10"/>
      <c r="AB91" s="10"/>
    </row>
    <row r="92" ht="15.75" customHeight="1">
      <c r="A92" s="405">
        <v>84.0</v>
      </c>
      <c r="B92" s="32"/>
      <c r="C92" s="290" t="s">
        <v>213</v>
      </c>
      <c r="D92" s="229"/>
      <c r="E92" s="229"/>
      <c r="F92" s="406"/>
      <c r="G92" s="402">
        <f>'601'!D93</f>
        <v>0</v>
      </c>
      <c r="H92" s="402">
        <f>'601 L'!D93</f>
        <v>0</v>
      </c>
      <c r="I92" s="375">
        <f>'602'!D93</f>
        <v>0</v>
      </c>
      <c r="J92" s="376">
        <f>'602 L'!D93</f>
        <v>0</v>
      </c>
      <c r="K92" s="375">
        <f>'603'!D93</f>
        <v>0</v>
      </c>
      <c r="L92" s="375">
        <f>'604'!D93</f>
        <v>0</v>
      </c>
      <c r="M92" s="376">
        <f>'605 L'!D93</f>
        <v>0</v>
      </c>
      <c r="N92" s="376">
        <f>'606 L'!D93</f>
        <v>0</v>
      </c>
      <c r="O92" s="375">
        <f>'607-EOI'!D93</f>
        <v>0</v>
      </c>
      <c r="P92" s="375">
        <f>'608-MP'!D93</f>
        <v>0</v>
      </c>
      <c r="Q92" s="403">
        <f t="shared" si="1"/>
        <v>0</v>
      </c>
      <c r="R92" s="403">
        <f t="shared" si="5"/>
        <v>5</v>
      </c>
      <c r="S92" s="376">
        <f t="shared" si="3"/>
        <v>5</v>
      </c>
      <c r="T92" s="389">
        <f t="shared" si="4"/>
        <v>3</v>
      </c>
      <c r="U92" s="407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22"/>
      <c r="E93" s="22"/>
      <c r="F93" s="340"/>
      <c r="G93" s="22"/>
      <c r="H93" s="22"/>
      <c r="I93" s="22"/>
      <c r="J93" s="22"/>
      <c r="K93" s="22"/>
      <c r="L93" s="22"/>
      <c r="M93" s="22"/>
      <c r="N93" s="22"/>
      <c r="O93" s="22"/>
      <c r="P93" s="10"/>
      <c r="Q93" s="10"/>
      <c r="R93" s="10"/>
      <c r="S93" s="10"/>
      <c r="T93" s="341"/>
      <c r="U93" s="407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22"/>
      <c r="E94" s="22"/>
      <c r="F94" s="340"/>
      <c r="G94" s="22"/>
      <c r="H94" s="22"/>
      <c r="I94" s="22"/>
      <c r="J94" s="22"/>
      <c r="K94" s="22"/>
      <c r="L94" s="22"/>
      <c r="M94" s="22"/>
      <c r="N94" s="22"/>
      <c r="O94" s="22"/>
      <c r="P94" s="10"/>
      <c r="Q94" s="10"/>
      <c r="R94" s="10"/>
      <c r="S94" s="10"/>
      <c r="T94" s="341"/>
      <c r="U94" s="407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22"/>
      <c r="E95" s="22"/>
      <c r="F95" s="340"/>
      <c r="G95" s="22"/>
      <c r="H95" s="22"/>
      <c r="I95" s="22"/>
      <c r="J95" s="22"/>
      <c r="K95" s="22"/>
      <c r="L95" s="22"/>
      <c r="M95" s="22"/>
      <c r="N95" s="22"/>
      <c r="O95" s="22"/>
      <c r="P95" s="10"/>
      <c r="Q95" s="10"/>
      <c r="R95" s="10"/>
      <c r="S95" s="10"/>
      <c r="T95" s="341"/>
      <c r="U95" s="407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22"/>
      <c r="E96" s="22"/>
      <c r="F96" s="340"/>
      <c r="G96" s="22"/>
      <c r="H96" s="22"/>
      <c r="I96" s="22"/>
      <c r="J96" s="22"/>
      <c r="K96" s="22"/>
      <c r="L96" s="22"/>
      <c r="M96" s="22"/>
      <c r="N96" s="22"/>
      <c r="O96" s="22"/>
      <c r="P96" s="10"/>
      <c r="Q96" s="10"/>
      <c r="R96" s="10"/>
      <c r="S96" s="10"/>
      <c r="T96" s="341"/>
      <c r="U96" s="407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22"/>
      <c r="E97" s="22"/>
      <c r="F97" s="340"/>
      <c r="G97" s="22"/>
      <c r="H97" s="22"/>
      <c r="I97" s="22"/>
      <c r="J97" s="22"/>
      <c r="K97" s="22"/>
      <c r="L97" s="22"/>
      <c r="M97" s="22"/>
      <c r="N97" s="22"/>
      <c r="O97" s="22"/>
      <c r="P97" s="10"/>
      <c r="Q97" s="10"/>
      <c r="R97" s="10"/>
      <c r="S97" s="10"/>
      <c r="T97" s="341"/>
      <c r="U97" s="407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22"/>
      <c r="E98" s="22"/>
      <c r="F98" s="340"/>
      <c r="G98" s="22"/>
      <c r="H98" s="22"/>
      <c r="I98" s="22"/>
      <c r="J98" s="22"/>
      <c r="K98" s="22"/>
      <c r="L98" s="22"/>
      <c r="M98" s="22"/>
      <c r="N98" s="22"/>
      <c r="O98" s="22"/>
      <c r="P98" s="10"/>
      <c r="Q98" s="10"/>
      <c r="R98" s="10"/>
      <c r="S98" s="10"/>
      <c r="T98" s="341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22"/>
      <c r="E99" s="22"/>
      <c r="F99" s="340"/>
      <c r="G99" s="22"/>
      <c r="H99" s="22"/>
      <c r="I99" s="22"/>
      <c r="J99" s="22"/>
      <c r="K99" s="22"/>
      <c r="L99" s="22"/>
      <c r="M99" s="22"/>
      <c r="N99" s="22"/>
      <c r="O99" s="22"/>
      <c r="P99" s="10"/>
      <c r="Q99" s="10"/>
      <c r="R99" s="10"/>
      <c r="S99" s="10"/>
      <c r="T99" s="341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22"/>
      <c r="E100" s="22"/>
      <c r="F100" s="340"/>
      <c r="G100" s="22"/>
      <c r="H100" s="22"/>
      <c r="I100" s="22"/>
      <c r="J100" s="22"/>
      <c r="K100" s="22"/>
      <c r="L100" s="22"/>
      <c r="M100" s="22"/>
      <c r="N100" s="22"/>
      <c r="O100" s="22"/>
      <c r="P100" s="10"/>
      <c r="Q100" s="10"/>
      <c r="R100" s="10"/>
      <c r="S100" s="10"/>
      <c r="T100" s="341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22"/>
      <c r="E101" s="22"/>
      <c r="F101" s="340"/>
      <c r="G101" s="22"/>
      <c r="H101" s="22"/>
      <c r="I101" s="22"/>
      <c r="J101" s="22"/>
      <c r="K101" s="22"/>
      <c r="L101" s="22"/>
      <c r="M101" s="22"/>
      <c r="N101" s="22"/>
      <c r="O101" s="22"/>
      <c r="P101" s="10"/>
      <c r="Q101" s="10"/>
      <c r="R101" s="10"/>
      <c r="S101" s="10"/>
      <c r="T101" s="341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22"/>
      <c r="E102" s="22"/>
      <c r="F102" s="340"/>
      <c r="G102" s="22"/>
      <c r="H102" s="22"/>
      <c r="I102" s="22"/>
      <c r="J102" s="22"/>
      <c r="K102" s="22"/>
      <c r="L102" s="22"/>
      <c r="M102" s="22"/>
      <c r="N102" s="22"/>
      <c r="O102" s="22"/>
      <c r="P102" s="10"/>
      <c r="Q102" s="10"/>
      <c r="R102" s="10"/>
      <c r="S102" s="10"/>
      <c r="T102" s="341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22"/>
      <c r="E103" s="22"/>
      <c r="F103" s="340"/>
      <c r="G103" s="22"/>
      <c r="H103" s="22"/>
      <c r="I103" s="22"/>
      <c r="J103" s="22"/>
      <c r="K103" s="22"/>
      <c r="L103" s="22"/>
      <c r="M103" s="22"/>
      <c r="N103" s="22"/>
      <c r="O103" s="22"/>
      <c r="P103" s="10"/>
      <c r="Q103" s="10"/>
      <c r="R103" s="10"/>
      <c r="S103" s="10"/>
      <c r="T103" s="341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22"/>
      <c r="E104" s="22"/>
      <c r="F104" s="340"/>
      <c r="G104" s="22"/>
      <c r="H104" s="22"/>
      <c r="I104" s="22"/>
      <c r="J104" s="22"/>
      <c r="K104" s="22"/>
      <c r="L104" s="22"/>
      <c r="M104" s="22"/>
      <c r="N104" s="22"/>
      <c r="O104" s="22"/>
      <c r="P104" s="10"/>
      <c r="Q104" s="10"/>
      <c r="R104" s="10"/>
      <c r="S104" s="10"/>
      <c r="T104" s="341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22"/>
      <c r="E105" s="22"/>
      <c r="F105" s="340"/>
      <c r="G105" s="22"/>
      <c r="H105" s="22"/>
      <c r="I105" s="22"/>
      <c r="J105" s="22"/>
      <c r="K105" s="22"/>
      <c r="L105" s="22"/>
      <c r="M105" s="22"/>
      <c r="N105" s="22"/>
      <c r="O105" s="22"/>
      <c r="P105" s="10"/>
      <c r="Q105" s="10"/>
      <c r="R105" s="10"/>
      <c r="S105" s="10"/>
      <c r="T105" s="341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22"/>
      <c r="E106" s="22"/>
      <c r="F106" s="340"/>
      <c r="G106" s="22"/>
      <c r="H106" s="22"/>
      <c r="I106" s="22"/>
      <c r="J106" s="22"/>
      <c r="K106" s="22"/>
      <c r="L106" s="22"/>
      <c r="M106" s="22"/>
      <c r="N106" s="22"/>
      <c r="O106" s="22"/>
      <c r="P106" s="10"/>
      <c r="Q106" s="10"/>
      <c r="R106" s="10"/>
      <c r="S106" s="10"/>
      <c r="T106" s="341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22"/>
      <c r="E107" s="22"/>
      <c r="F107" s="340"/>
      <c r="G107" s="22"/>
      <c r="H107" s="22"/>
      <c r="I107" s="22"/>
      <c r="J107" s="22"/>
      <c r="K107" s="22"/>
      <c r="L107" s="22"/>
      <c r="M107" s="22"/>
      <c r="N107" s="22"/>
      <c r="O107" s="22"/>
      <c r="P107" s="10"/>
      <c r="Q107" s="10"/>
      <c r="R107" s="10"/>
      <c r="S107" s="10"/>
      <c r="T107" s="341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22"/>
      <c r="E108" s="22"/>
      <c r="F108" s="340"/>
      <c r="G108" s="22"/>
      <c r="H108" s="22"/>
      <c r="I108" s="22"/>
      <c r="J108" s="22"/>
      <c r="K108" s="22"/>
      <c r="L108" s="22"/>
      <c r="M108" s="22"/>
      <c r="N108" s="22"/>
      <c r="O108" s="22"/>
      <c r="P108" s="10"/>
      <c r="Q108" s="10"/>
      <c r="R108" s="10"/>
      <c r="S108" s="10"/>
      <c r="T108" s="341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22"/>
      <c r="E109" s="22"/>
      <c r="F109" s="340"/>
      <c r="G109" s="22"/>
      <c r="H109" s="22"/>
      <c r="I109" s="22"/>
      <c r="J109" s="22"/>
      <c r="K109" s="22"/>
      <c r="L109" s="22"/>
      <c r="M109" s="22"/>
      <c r="N109" s="22"/>
      <c r="O109" s="22"/>
      <c r="P109" s="10"/>
      <c r="Q109" s="10"/>
      <c r="R109" s="10"/>
      <c r="S109" s="10"/>
      <c r="T109" s="341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22"/>
      <c r="E110" s="22"/>
      <c r="F110" s="340"/>
      <c r="G110" s="22"/>
      <c r="H110" s="22"/>
      <c r="I110" s="22"/>
      <c r="J110" s="22"/>
      <c r="K110" s="22"/>
      <c r="L110" s="22"/>
      <c r="M110" s="22"/>
      <c r="N110" s="22"/>
      <c r="O110" s="22"/>
      <c r="P110" s="10"/>
      <c r="Q110" s="10"/>
      <c r="R110" s="10"/>
      <c r="S110" s="10"/>
      <c r="T110" s="341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22"/>
      <c r="E111" s="22"/>
      <c r="F111" s="340"/>
      <c r="G111" s="22"/>
      <c r="H111" s="22"/>
      <c r="I111" s="22"/>
      <c r="J111" s="22"/>
      <c r="K111" s="22"/>
      <c r="L111" s="22"/>
      <c r="M111" s="22"/>
      <c r="N111" s="22"/>
      <c r="O111" s="22"/>
      <c r="P111" s="10"/>
      <c r="Q111" s="10"/>
      <c r="R111" s="10"/>
      <c r="S111" s="10"/>
      <c r="T111" s="341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22"/>
      <c r="E112" s="22"/>
      <c r="F112" s="340"/>
      <c r="G112" s="22"/>
      <c r="H112" s="22"/>
      <c r="I112" s="22"/>
      <c r="J112" s="22"/>
      <c r="K112" s="22"/>
      <c r="L112" s="22"/>
      <c r="M112" s="22"/>
      <c r="N112" s="22"/>
      <c r="O112" s="22"/>
      <c r="P112" s="10"/>
      <c r="Q112" s="10"/>
      <c r="R112" s="10"/>
      <c r="S112" s="10"/>
      <c r="T112" s="341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22"/>
      <c r="E113" s="22"/>
      <c r="F113" s="340"/>
      <c r="G113" s="22"/>
      <c r="H113" s="22"/>
      <c r="I113" s="22"/>
      <c r="J113" s="22"/>
      <c r="K113" s="22"/>
      <c r="L113" s="22"/>
      <c r="M113" s="22"/>
      <c r="N113" s="22"/>
      <c r="O113" s="22"/>
      <c r="P113" s="10"/>
      <c r="Q113" s="10"/>
      <c r="R113" s="10"/>
      <c r="S113" s="10"/>
      <c r="T113" s="341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22"/>
      <c r="E114" s="22"/>
      <c r="F114" s="340"/>
      <c r="G114" s="22"/>
      <c r="H114" s="22"/>
      <c r="I114" s="22"/>
      <c r="J114" s="22"/>
      <c r="K114" s="22"/>
      <c r="L114" s="22"/>
      <c r="M114" s="22"/>
      <c r="N114" s="22"/>
      <c r="O114" s="22"/>
      <c r="P114" s="10"/>
      <c r="Q114" s="10"/>
      <c r="R114" s="10"/>
      <c r="S114" s="10"/>
      <c r="T114" s="341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22"/>
      <c r="E115" s="22"/>
      <c r="F115" s="340"/>
      <c r="G115" s="22"/>
      <c r="H115" s="22"/>
      <c r="I115" s="22"/>
      <c r="J115" s="22"/>
      <c r="K115" s="22"/>
      <c r="L115" s="22"/>
      <c r="M115" s="22"/>
      <c r="N115" s="22"/>
      <c r="O115" s="22"/>
      <c r="P115" s="10"/>
      <c r="Q115" s="10"/>
      <c r="R115" s="10"/>
      <c r="S115" s="10"/>
      <c r="T115" s="341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22"/>
      <c r="E116" s="22"/>
      <c r="F116" s="340"/>
      <c r="G116" s="22"/>
      <c r="H116" s="22"/>
      <c r="I116" s="22"/>
      <c r="J116" s="22"/>
      <c r="K116" s="22"/>
      <c r="L116" s="22"/>
      <c r="M116" s="22"/>
      <c r="N116" s="22"/>
      <c r="O116" s="22"/>
      <c r="P116" s="10"/>
      <c r="Q116" s="10"/>
      <c r="R116" s="10"/>
      <c r="S116" s="10"/>
      <c r="T116" s="341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22"/>
      <c r="E117" s="22"/>
      <c r="F117" s="340"/>
      <c r="G117" s="22"/>
      <c r="H117" s="22"/>
      <c r="I117" s="22"/>
      <c r="J117" s="22"/>
      <c r="K117" s="22"/>
      <c r="L117" s="22"/>
      <c r="M117" s="22"/>
      <c r="N117" s="22"/>
      <c r="O117" s="22"/>
      <c r="P117" s="10"/>
      <c r="Q117" s="10"/>
      <c r="R117" s="10"/>
      <c r="S117" s="10"/>
      <c r="T117" s="341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22"/>
      <c r="E118" s="22"/>
      <c r="F118" s="340"/>
      <c r="G118" s="22"/>
      <c r="H118" s="22"/>
      <c r="I118" s="22"/>
      <c r="J118" s="22"/>
      <c r="K118" s="22"/>
      <c r="L118" s="22"/>
      <c r="M118" s="22"/>
      <c r="N118" s="22"/>
      <c r="O118" s="22"/>
      <c r="P118" s="10"/>
      <c r="Q118" s="10"/>
      <c r="R118" s="10"/>
      <c r="S118" s="10"/>
      <c r="T118" s="341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22"/>
      <c r="E119" s="22"/>
      <c r="F119" s="340"/>
      <c r="G119" s="22"/>
      <c r="H119" s="22"/>
      <c r="I119" s="22"/>
      <c r="J119" s="22"/>
      <c r="K119" s="22"/>
      <c r="L119" s="22"/>
      <c r="M119" s="22"/>
      <c r="N119" s="22"/>
      <c r="O119" s="22"/>
      <c r="P119" s="10"/>
      <c r="Q119" s="10"/>
      <c r="R119" s="10"/>
      <c r="S119" s="10"/>
      <c r="T119" s="341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22"/>
      <c r="E120" s="22"/>
      <c r="F120" s="340"/>
      <c r="G120" s="22"/>
      <c r="H120" s="22"/>
      <c r="I120" s="22"/>
      <c r="J120" s="22"/>
      <c r="K120" s="22"/>
      <c r="L120" s="22"/>
      <c r="M120" s="22"/>
      <c r="N120" s="22"/>
      <c r="O120" s="22"/>
      <c r="P120" s="10"/>
      <c r="Q120" s="10"/>
      <c r="R120" s="10"/>
      <c r="S120" s="10"/>
      <c r="T120" s="341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22"/>
      <c r="E121" s="22"/>
      <c r="F121" s="340"/>
      <c r="G121" s="22"/>
      <c r="H121" s="22"/>
      <c r="I121" s="22"/>
      <c r="J121" s="22"/>
      <c r="K121" s="22"/>
      <c r="L121" s="22"/>
      <c r="M121" s="22"/>
      <c r="N121" s="22"/>
      <c r="O121" s="22"/>
      <c r="P121" s="10"/>
      <c r="Q121" s="10"/>
      <c r="R121" s="10"/>
      <c r="S121" s="10"/>
      <c r="T121" s="341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22"/>
      <c r="E122" s="22"/>
      <c r="F122" s="340"/>
      <c r="G122" s="22"/>
      <c r="H122" s="22"/>
      <c r="I122" s="22"/>
      <c r="J122" s="22"/>
      <c r="K122" s="22"/>
      <c r="L122" s="22"/>
      <c r="M122" s="22"/>
      <c r="N122" s="22"/>
      <c r="O122" s="22"/>
      <c r="P122" s="10"/>
      <c r="Q122" s="10"/>
      <c r="R122" s="10"/>
      <c r="S122" s="10"/>
      <c r="T122" s="341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22"/>
      <c r="E123" s="22"/>
      <c r="F123" s="340"/>
      <c r="G123" s="22"/>
      <c r="H123" s="22"/>
      <c r="I123" s="22"/>
      <c r="J123" s="22"/>
      <c r="K123" s="22"/>
      <c r="L123" s="22"/>
      <c r="M123" s="22"/>
      <c r="N123" s="22"/>
      <c r="O123" s="22"/>
      <c r="P123" s="10"/>
      <c r="Q123" s="10"/>
      <c r="R123" s="10"/>
      <c r="S123" s="10"/>
      <c r="T123" s="341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22"/>
      <c r="E124" s="22"/>
      <c r="F124" s="340"/>
      <c r="G124" s="22"/>
      <c r="H124" s="22"/>
      <c r="I124" s="22"/>
      <c r="J124" s="22"/>
      <c r="K124" s="22"/>
      <c r="L124" s="22"/>
      <c r="M124" s="22"/>
      <c r="N124" s="22"/>
      <c r="O124" s="22"/>
      <c r="P124" s="10"/>
      <c r="Q124" s="10"/>
      <c r="R124" s="10"/>
      <c r="S124" s="10"/>
      <c r="T124" s="341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22"/>
      <c r="E125" s="22"/>
      <c r="F125" s="340"/>
      <c r="G125" s="22"/>
      <c r="H125" s="22"/>
      <c r="I125" s="22"/>
      <c r="J125" s="22"/>
      <c r="K125" s="22"/>
      <c r="L125" s="22"/>
      <c r="M125" s="22"/>
      <c r="N125" s="22"/>
      <c r="O125" s="22"/>
      <c r="P125" s="10"/>
      <c r="Q125" s="10"/>
      <c r="R125" s="10"/>
      <c r="S125" s="10"/>
      <c r="T125" s="341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22"/>
      <c r="E126" s="22"/>
      <c r="F126" s="340"/>
      <c r="G126" s="22"/>
      <c r="H126" s="22"/>
      <c r="I126" s="22"/>
      <c r="J126" s="22"/>
      <c r="K126" s="22"/>
      <c r="L126" s="22"/>
      <c r="M126" s="22"/>
      <c r="N126" s="22"/>
      <c r="O126" s="22"/>
      <c r="P126" s="10"/>
      <c r="Q126" s="10"/>
      <c r="R126" s="10"/>
      <c r="S126" s="10"/>
      <c r="T126" s="341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22"/>
      <c r="E127" s="22"/>
      <c r="F127" s="340"/>
      <c r="G127" s="22"/>
      <c r="H127" s="22"/>
      <c r="I127" s="22"/>
      <c r="J127" s="22"/>
      <c r="K127" s="22"/>
      <c r="L127" s="22"/>
      <c r="M127" s="22"/>
      <c r="N127" s="22"/>
      <c r="O127" s="22"/>
      <c r="P127" s="10"/>
      <c r="Q127" s="10"/>
      <c r="R127" s="10"/>
      <c r="S127" s="10"/>
      <c r="T127" s="341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22"/>
      <c r="E128" s="22"/>
      <c r="F128" s="340"/>
      <c r="G128" s="22"/>
      <c r="H128" s="22"/>
      <c r="I128" s="22"/>
      <c r="J128" s="22"/>
      <c r="K128" s="22"/>
      <c r="L128" s="22"/>
      <c r="M128" s="22"/>
      <c r="N128" s="22"/>
      <c r="O128" s="22"/>
      <c r="P128" s="10"/>
      <c r="Q128" s="10"/>
      <c r="R128" s="10"/>
      <c r="S128" s="10"/>
      <c r="T128" s="341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22"/>
      <c r="E129" s="22"/>
      <c r="F129" s="340"/>
      <c r="G129" s="22"/>
      <c r="H129" s="22"/>
      <c r="I129" s="22"/>
      <c r="J129" s="22"/>
      <c r="K129" s="22"/>
      <c r="L129" s="22"/>
      <c r="M129" s="22"/>
      <c r="N129" s="22"/>
      <c r="O129" s="22"/>
      <c r="P129" s="10"/>
      <c r="Q129" s="10"/>
      <c r="R129" s="10"/>
      <c r="S129" s="10"/>
      <c r="T129" s="341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22"/>
      <c r="E130" s="22"/>
      <c r="F130" s="340"/>
      <c r="G130" s="22"/>
      <c r="H130" s="22"/>
      <c r="I130" s="22"/>
      <c r="J130" s="22"/>
      <c r="K130" s="22"/>
      <c r="L130" s="22"/>
      <c r="M130" s="22"/>
      <c r="N130" s="22"/>
      <c r="O130" s="22"/>
      <c r="P130" s="10"/>
      <c r="Q130" s="10"/>
      <c r="R130" s="10"/>
      <c r="S130" s="10"/>
      <c r="T130" s="341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22"/>
      <c r="E131" s="22"/>
      <c r="F131" s="340"/>
      <c r="G131" s="22"/>
      <c r="H131" s="22"/>
      <c r="I131" s="22"/>
      <c r="J131" s="22"/>
      <c r="K131" s="22"/>
      <c r="L131" s="22"/>
      <c r="M131" s="22"/>
      <c r="N131" s="22"/>
      <c r="O131" s="22"/>
      <c r="P131" s="10"/>
      <c r="Q131" s="10"/>
      <c r="R131" s="10"/>
      <c r="S131" s="10"/>
      <c r="T131" s="341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22"/>
      <c r="E132" s="22"/>
      <c r="F132" s="340"/>
      <c r="G132" s="22"/>
      <c r="H132" s="22"/>
      <c r="I132" s="22"/>
      <c r="J132" s="22"/>
      <c r="K132" s="22"/>
      <c r="L132" s="22"/>
      <c r="M132" s="22"/>
      <c r="N132" s="22"/>
      <c r="O132" s="22"/>
      <c r="P132" s="10"/>
      <c r="Q132" s="10"/>
      <c r="R132" s="10"/>
      <c r="S132" s="10"/>
      <c r="T132" s="341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10"/>
      <c r="F133" s="34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341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10"/>
      <c r="F134" s="34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341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10"/>
      <c r="F135" s="34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341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10"/>
      <c r="F136" s="34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341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10"/>
      <c r="F137" s="34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341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10"/>
      <c r="F138" s="34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341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10"/>
      <c r="F139" s="34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341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10"/>
      <c r="F140" s="34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341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10"/>
      <c r="F141" s="34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341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10"/>
      <c r="F142" s="34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341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10"/>
      <c r="F143" s="34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341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10"/>
      <c r="F144" s="34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341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10"/>
      <c r="F145" s="34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341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10"/>
      <c r="F146" s="34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341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10"/>
      <c r="F147" s="34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341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10"/>
      <c r="F148" s="34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341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10"/>
      <c r="F149" s="34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341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10"/>
      <c r="F150" s="34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341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10"/>
      <c r="F151" s="34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341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10"/>
      <c r="F152" s="34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341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10"/>
      <c r="F153" s="34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341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10"/>
      <c r="F154" s="34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341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10"/>
      <c r="F155" s="34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341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10"/>
      <c r="F156" s="34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341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10"/>
      <c r="F157" s="34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341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10"/>
      <c r="F158" s="34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341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10"/>
      <c r="F159" s="34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341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10"/>
      <c r="F160" s="34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341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10"/>
      <c r="F161" s="34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341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10"/>
      <c r="F162" s="34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341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10"/>
      <c r="F163" s="34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341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10"/>
      <c r="F164" s="34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341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10"/>
      <c r="F165" s="34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341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10"/>
      <c r="F166" s="34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341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10"/>
      <c r="F167" s="34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341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10"/>
      <c r="F168" s="34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341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10"/>
      <c r="F169" s="34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341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10"/>
      <c r="F170" s="34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341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10"/>
      <c r="F171" s="34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341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10"/>
      <c r="F172" s="34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341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10"/>
      <c r="F173" s="34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341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10"/>
      <c r="F174" s="34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341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10"/>
      <c r="F175" s="34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341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10"/>
      <c r="F176" s="34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341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10"/>
      <c r="F177" s="34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341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10"/>
      <c r="F178" s="34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341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10"/>
      <c r="F179" s="34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341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10"/>
      <c r="F180" s="34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341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10"/>
      <c r="F181" s="34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341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10"/>
      <c r="F182" s="34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341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10"/>
      <c r="F183" s="34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341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10"/>
      <c r="F184" s="34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341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10"/>
      <c r="F185" s="34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341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10"/>
      <c r="F186" s="34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341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10"/>
      <c r="F187" s="34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341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10"/>
      <c r="F188" s="34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341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10"/>
      <c r="F189" s="34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341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10"/>
      <c r="F190" s="34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341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10"/>
      <c r="F191" s="34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341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10"/>
      <c r="F192" s="34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341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10"/>
      <c r="F193" s="34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341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10"/>
      <c r="F194" s="34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10"/>
      <c r="F195" s="34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10"/>
      <c r="F196" s="34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10"/>
      <c r="F197" s="34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10"/>
      <c r="F198" s="34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10"/>
      <c r="F199" s="34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10"/>
      <c r="F200" s="34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10"/>
      <c r="F201" s="34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10"/>
      <c r="F202" s="34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10"/>
      <c r="F203" s="34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10"/>
      <c r="F204" s="34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10"/>
      <c r="F205" s="34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10"/>
      <c r="F206" s="34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10"/>
      <c r="F207" s="34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10"/>
      <c r="F208" s="34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10"/>
      <c r="F209" s="34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10"/>
      <c r="F210" s="34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10"/>
      <c r="F211" s="34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10"/>
      <c r="F212" s="34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10"/>
      <c r="F213" s="34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10"/>
      <c r="F214" s="34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10"/>
      <c r="F215" s="34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10"/>
      <c r="F216" s="34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10"/>
      <c r="F217" s="34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10"/>
      <c r="F218" s="34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10"/>
      <c r="F219" s="34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10"/>
      <c r="F220" s="34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10"/>
      <c r="F221" s="34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10"/>
      <c r="F222" s="34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10"/>
      <c r="F223" s="34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10"/>
      <c r="F224" s="34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10"/>
      <c r="F225" s="34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10"/>
      <c r="F226" s="34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10"/>
      <c r="F227" s="34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10"/>
      <c r="F228" s="34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10"/>
      <c r="F229" s="34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10"/>
      <c r="F230" s="34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10"/>
      <c r="F231" s="34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10"/>
      <c r="F232" s="34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10"/>
      <c r="F233" s="34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10"/>
      <c r="F234" s="34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10"/>
      <c r="F235" s="34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10"/>
      <c r="F236" s="34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10"/>
      <c r="F237" s="34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10"/>
      <c r="F238" s="34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10"/>
      <c r="F239" s="34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10"/>
      <c r="F240" s="34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10"/>
      <c r="F241" s="34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10"/>
      <c r="F242" s="34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10"/>
      <c r="F243" s="34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10"/>
      <c r="F244" s="34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10"/>
      <c r="F245" s="34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10"/>
      <c r="F246" s="34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10"/>
      <c r="F247" s="34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10"/>
      <c r="F248" s="34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10"/>
      <c r="F249" s="34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10"/>
      <c r="F250" s="34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10"/>
      <c r="F251" s="34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10"/>
      <c r="F252" s="34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10"/>
      <c r="F253" s="34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10"/>
      <c r="F254" s="34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10"/>
      <c r="F255" s="34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10"/>
      <c r="F256" s="34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10"/>
      <c r="F257" s="34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10"/>
      <c r="F258" s="34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10"/>
      <c r="F259" s="34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10"/>
      <c r="F260" s="34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10"/>
      <c r="F261" s="34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10"/>
      <c r="F262" s="34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10"/>
      <c r="F263" s="34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10"/>
      <c r="F264" s="34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10"/>
      <c r="F265" s="34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10"/>
      <c r="F266" s="34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10"/>
      <c r="F267" s="34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10"/>
      <c r="F268" s="34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10"/>
      <c r="F269" s="34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10"/>
      <c r="F270" s="34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10"/>
      <c r="F271" s="34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10"/>
      <c r="F272" s="34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10"/>
      <c r="F273" s="34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10"/>
      <c r="F274" s="34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10"/>
      <c r="F275" s="34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10"/>
      <c r="F276" s="34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10"/>
      <c r="F277" s="34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10"/>
      <c r="F278" s="34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10"/>
      <c r="F279" s="34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10"/>
      <c r="F280" s="34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10"/>
      <c r="F281" s="34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10"/>
      <c r="F282" s="34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10"/>
      <c r="F283" s="34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conditionalFormatting sqref="G7:G92 D8:E86 F8:F87 H8:P92 S8:S92 T9:T92 U9:U86 F89:F91">
    <cfRule type="cellIs" dxfId="1" priority="1" operator="lessThan">
      <formula>1</formula>
    </cfRule>
  </conditionalFormatting>
  <conditionalFormatting sqref="T1:T980">
    <cfRule type="cellIs" dxfId="2" priority="2" operator="lessThan">
      <formula>49.9</formula>
    </cfRule>
  </conditionalFormatting>
  <conditionalFormatting sqref="T1:T980">
    <cfRule type="cellIs" dxfId="3" priority="3" operator="greaterThanOrEqual">
      <formula>50</formula>
    </cfRule>
  </conditionalFormatting>
  <drawing r:id="rId1"/>
</worksheet>
</file>